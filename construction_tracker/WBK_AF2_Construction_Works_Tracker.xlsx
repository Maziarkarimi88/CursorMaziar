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00_How_to_Use" sheetId="1" state="visible" r:id="rId1"/>
    <sheet name="01_Scheme_Tracker" sheetId="2" state="visible" r:id="rId2"/>
    <sheet name="02_Dashboard" sheetId="3" state="visible" r:id="rId3"/>
    <sheet name="03_Package_Summary" sheetId="4" state="visible" r:id="rId4"/>
    <sheet name="10_By_Contractor" sheetId="5" state="visible" r:id="rId5"/>
    <sheet name="11_Package_Status" sheetId="6" state="visible" r:id="rId6"/>
    <sheet name="04_Date_Rules" sheetId="7" state="visible" r:id="rId7"/>
    <sheet name="05_Example_Filled" sheetId="8" state="visible" r:id="rId8"/>
    <sheet name="06_Status_Pipeline" sheetId="9" state="visible" r:id="rId9"/>
    <sheet name="07_Domains" sheetId="10" state="visible" r:id="rId10"/>
    <sheet name="08_Geography" sheetId="11" state="visible" r:id="rId11"/>
    <sheet name="09_Lookups" sheetId="12" state="visible" r:id="rId12"/>
  </sheets>
  <definedNames>
    <definedName name="Interventions">='07_Domains'!$A$3:$A$37</definedName>
    <definedName name="Donors">='07_Domains'!$B$3:$B$31</definedName>
    <definedName name="Projects">='07_Domains'!$C$3:$C$26</definedName>
    <definedName name="Regions">='07_Domains'!$D$3:$D$31</definedName>
    <definedName name="Statuses">='07_Domains'!$E$3:$E$36</definedName>
    <definedName name="All_Provinces">='07_Domains'!$F$3:$F$57</definedName>
    <definedName name="All_Districts">='07_Domains'!$G$3:$G$371</definedName>
    <definedName name="AwardGroups">='07_Domains'!$H$3:$H$25</definedName>
    <definedName name="Families">='07_Domains'!$I$3:$I$28</definedName>
    <definedName name="Contractors">='07_Domains'!$J$3:$J$136</definedName>
    <definedName name="_xlnm.Print_Titles" localSheetId="0">'00_How_to_Use'!$1:$2</definedName>
    <definedName name="_xlnm._FilterDatabase" localSheetId="1" hidden="1">'01_Scheme_Tracker'!$A$3:$BI$453</definedName>
    <definedName name="_xlnm.Print_Titles" localSheetId="1">'01_Scheme_Tracker'!$1:$3</definedName>
    <definedName name="_xlnm._FilterDatabase" localSheetId="3" hidden="1">'03_Package_Summary'!$A$3:$P$94</definedName>
    <definedName name="_xlnm.Print_Titles" localSheetId="3">'03_Package_Summary'!$1:$3</definedName>
    <definedName name="_xlnm._FilterDatabase" localSheetId="4" hidden="1">'10_By_Contractor'!$A$3:$J$44</definedName>
    <definedName name="_xlnm.Print_Titles" localSheetId="4">'10_By_Contractor'!$1:$3</definedName>
    <definedName name="_xlnm.Print_Titles" localSheetId="5">'11_Package_Status'!$1:$17</definedName>
    <definedName name="_xlnm.Print_Titles" localSheetId="6">'04_Date_Rules'!$1:$2</definedName>
    <definedName name="_xlnm._FilterDatabase" localSheetId="7" hidden="1">'05_Example_Filled'!$A$3:$BI$453</definedName>
    <definedName name="_xlnm.Print_Titles" localSheetId="7">'05_Example_Filled'!$1:$3</definedName>
    <definedName name="_xlnm._FilterDatabase" localSheetId="9" hidden="1">'07_Domains'!$A$2:$J$2</definedName>
  </definedNames>
  <calcPr calcId="124519" fullCalcOnLoad="1"/>
</workbook>
</file>

<file path=xl/styles.xml><?xml version="1.0" encoding="utf-8"?>
<styleSheet xmlns="http://schemas.openxmlformats.org/spreadsheetml/2006/main">
  <numFmts count="3">
    <numFmt numFmtId="164" formatCode="DD-MMM-YYYY"/>
    <numFmt numFmtId="165" formatCode="yyyy-mm-dd h:mm:ss"/>
    <numFmt numFmtId="166" formatCode="0.0"/>
  </numFmts>
  <fonts count="14">
    <font>
      <name val="Calibri"/>
      <family val="2"/>
      <color theme="1"/>
      <sz val="11"/>
      <scheme val="minor"/>
    </font>
    <font>
      <name val="Calibri"/>
      <b val="1"/>
      <color rgb="00FFFFFF"/>
      <sz val="16"/>
    </font>
    <font>
      <name val="Calibri"/>
      <i val="1"/>
      <color rgb="00D6DEE8"/>
      <sz val="10"/>
    </font>
    <font>
      <name val="Calibri"/>
      <b val="1"/>
      <color rgb="001B365D"/>
      <sz val="10"/>
    </font>
    <font>
      <name val="Calibri"/>
      <color rgb="001F2A33"/>
      <sz val="10"/>
    </font>
    <font>
      <name val="Calibri"/>
      <i val="1"/>
      <color rgb="005B6770"/>
      <sz val="9"/>
    </font>
    <font>
      <name val="Calibri"/>
      <b val="1"/>
      <color rgb="001B365D"/>
      <sz val="13"/>
    </font>
    <font>
      <name val="Calibri"/>
      <b val="1"/>
      <color rgb="00FFFFFF"/>
      <sz val="9"/>
    </font>
    <font>
      <name val="Calibri"/>
      <b val="1"/>
      <color rgb="002E5984"/>
      <sz val="11"/>
    </font>
    <font>
      <name val="Calibri"/>
      <color rgb="002E5984"/>
      <sz val="10"/>
    </font>
    <font>
      <name val="Calibri"/>
      <b val="1"/>
      <color rgb="001F2A33"/>
      <sz val="10"/>
    </font>
    <font>
      <name val="Calibri"/>
      <b val="1"/>
      <color rgb="001B365D"/>
      <sz val="18"/>
    </font>
    <font>
      <name val="Calibri"/>
      <b val="1"/>
      <color rgb="001B365D"/>
      <sz val="16"/>
    </font>
    <font>
      <name val="Calibri"/>
      <b val="1"/>
      <color rgb="001B365D"/>
      <sz val="14"/>
    </font>
  </fonts>
  <fills count="32">
    <fill>
      <patternFill/>
    </fill>
    <fill>
      <patternFill patternType="gray125"/>
    </fill>
    <fill>
      <patternFill patternType="solid">
        <fgColor rgb="001B365D"/>
      </patternFill>
    </fill>
    <fill>
      <patternFill patternType="solid">
        <fgColor rgb="00EEF1F4"/>
      </patternFill>
    </fill>
    <fill>
      <patternFill patternType="solid">
        <fgColor rgb="00E8EEF4"/>
      </patternFill>
    </fill>
    <fill>
      <patternFill patternType="solid">
        <fgColor rgb="002E5984"/>
      </patternFill>
    </fill>
    <fill>
      <patternFill patternType="solid">
        <fgColor rgb="00D6E4F0"/>
      </patternFill>
    </fill>
    <fill>
      <patternFill patternType="solid">
        <fgColor rgb="00E6E0EF"/>
      </patternFill>
    </fill>
    <fill>
      <patternFill patternType="solid">
        <fgColor rgb="00F7F1E3"/>
      </patternFill>
    </fill>
    <fill>
      <patternFill patternType="solid">
        <fgColor rgb="00F3E6D0"/>
      </patternFill>
    </fill>
    <fill>
      <patternFill patternType="solid">
        <fgColor rgb="00F0E6C8"/>
      </patternFill>
    </fill>
    <fill>
      <patternFill patternType="solid">
        <fgColor rgb="00D4E8E4"/>
      </patternFill>
    </fill>
    <fill>
      <patternFill patternType="solid">
        <fgColor rgb="00D4E6D4"/>
      </patternFill>
    </fill>
    <fill>
      <patternFill patternType="solid">
        <fgColor rgb="00C5D5C5"/>
      </patternFill>
    </fill>
    <fill>
      <patternFill patternType="solid">
        <fgColor rgb="00FFFFFF"/>
      </patternFill>
    </fill>
    <fill>
      <patternFill patternType="solid">
        <fgColor rgb="00F0F0F0"/>
      </patternFill>
    </fill>
    <fill>
      <patternFill patternType="solid">
        <fgColor rgb="00FBFCFD"/>
      </patternFill>
    </fill>
    <fill>
      <patternFill patternType="solid">
        <fgColor rgb="00E8EFE8"/>
      </patternFill>
    </fill>
    <fill>
      <patternFill patternType="solid">
        <fgColor rgb="003D5A3D"/>
      </patternFill>
    </fill>
    <fill>
      <patternFill patternType="solid">
        <fgColor rgb="008A6D3B"/>
      </patternFill>
    </fill>
    <fill>
      <patternFill patternType="solid">
        <fgColor rgb="004A5560"/>
      </patternFill>
    </fill>
    <fill>
      <patternFill patternType="solid">
        <fgColor rgb="00C5CDD6"/>
      </patternFill>
    </fill>
    <fill>
      <patternFill patternType="solid">
        <fgColor rgb="00F4F6F8"/>
      </patternFill>
    </fill>
    <fill>
      <patternFill patternType="solid">
        <fgColor rgb="00F7F9FC"/>
      </patternFill>
    </fill>
    <fill>
      <patternFill patternType="solid">
        <fgColor rgb="00E4EBF3"/>
      </patternFill>
    </fill>
    <fill>
      <patternFill patternType="solid">
        <fgColor rgb="00F6F0E4"/>
      </patternFill>
    </fill>
    <fill>
      <patternFill patternType="solid">
        <fgColor rgb="00E6EFE6"/>
      </patternFill>
    </fill>
    <fill>
      <patternFill patternType="solid">
        <fgColor rgb="00F4EBE0"/>
      </patternFill>
    </fill>
    <fill>
      <patternFill patternType="solid">
        <fgColor rgb="00D0D4D8"/>
      </patternFill>
    </fill>
    <fill>
      <patternFill patternType="solid">
        <fgColor rgb="00C6E0B4"/>
      </patternFill>
    </fill>
    <fill>
      <patternFill patternType="solid">
        <fgColor rgb="00F4B183"/>
      </patternFill>
    </fill>
    <fill>
      <patternFill patternType="solid">
        <fgColor rgb="00FFE699"/>
      </patternFill>
    </fill>
  </fills>
  <borders count="7">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medium">
        <color rgb="001B365D"/>
      </top>
      <bottom style="thin">
        <color rgb="00C5CDD6"/>
      </bottom>
    </border>
    <border>
      <left/>
      <right/>
      <top style="thin">
        <color rgb="00C5CDD6"/>
      </top>
      <bottom/>
      <diagonal/>
    </border>
    <border>
      <left/>
      <right style="thin">
        <color rgb="00C5CDD6"/>
      </right>
      <top style="thin">
        <color rgb="00C5CDD6"/>
      </top>
      <bottom/>
      <diagonal/>
    </border>
    <border>
      <left/>
      <right/>
      <top style="thin">
        <color rgb="00C5CDD6"/>
      </top>
      <bottom style="thin">
        <color rgb="00C5CDD6"/>
      </bottom>
      <diagonal/>
    </border>
    <border>
      <left/>
      <right style="thin">
        <color rgb="00C5CDD6"/>
      </right>
      <top style="thin">
        <color rgb="00C5CDD6"/>
      </top>
      <bottom style="thin">
        <color rgb="00C5CDD6"/>
      </bottom>
      <diagonal/>
    </border>
  </borders>
  <cellStyleXfs count="1">
    <xf numFmtId="0" fontId="0" fillId="0" borderId="0"/>
  </cellStyleXfs>
  <cellXfs count="121">
    <xf numFmtId="0" fontId="0" fillId="0" borderId="0" pivotButton="0" quotePrefix="0" xfId="0"/>
    <xf numFmtId="0" fontId="1" fillId="2" borderId="0" applyAlignment="1" pivotButton="0" quotePrefix="0" xfId="0">
      <alignment horizontal="left" vertical="center" wrapText="1"/>
    </xf>
    <xf numFmtId="0" fontId="0"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4" borderId="0" applyAlignment="1" pivotButton="0" quotePrefix="0" xfId="0">
      <alignment horizontal="left" vertical="center" wrapText="1"/>
    </xf>
    <xf numFmtId="0" fontId="0" fillId="4" borderId="0" pivotButton="0" quotePrefix="0" xfId="0"/>
    <xf numFmtId="0" fontId="7"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 borderId="1" applyAlignment="1" pivotButton="0" quotePrefix="0" xfId="0">
      <alignment horizontal="left" vertical="center" wrapText="1"/>
    </xf>
    <xf numFmtId="0" fontId="1" fillId="2" borderId="1" applyAlignment="1" pivotButton="0" quotePrefix="0" xfId="0">
      <alignment horizontal="left" vertical="center" wrapText="1"/>
    </xf>
    <xf numFmtId="0" fontId="0" fillId="2" borderId="1" applyAlignment="1" pivotButton="0" quotePrefix="0" xfId="0">
      <alignment horizontal="left" vertical="center" wrapText="1"/>
    </xf>
    <xf numFmtId="0" fontId="7" fillId="2" borderId="1" applyAlignment="1" pivotButton="0" quotePrefix="0" xfId="0">
      <alignment horizontal="center" vertical="center" wrapText="1"/>
    </xf>
    <xf numFmtId="0" fontId="7" fillId="18" borderId="1" applyAlignment="1" pivotButton="0" quotePrefix="0" xfId="0">
      <alignment horizontal="center" vertical="center" wrapText="1"/>
    </xf>
    <xf numFmtId="0" fontId="0" fillId="18" borderId="1" applyAlignment="1" pivotButton="0" quotePrefix="0" xfId="0">
      <alignment horizontal="left" vertical="center" wrapText="1"/>
    </xf>
    <xf numFmtId="0" fontId="7" fillId="19" borderId="1" applyAlignment="1" pivotButton="0" quotePrefix="0" xfId="0">
      <alignment horizontal="center" vertical="center" wrapText="1"/>
    </xf>
    <xf numFmtId="0" fontId="0" fillId="19" borderId="1" applyAlignment="1" pivotButton="0" quotePrefix="0" xfId="0">
      <alignment horizontal="left" vertical="center" wrapText="1"/>
    </xf>
    <xf numFmtId="0" fontId="0" fillId="5" borderId="1" applyAlignment="1" pivotButton="0" quotePrefix="0" xfId="0">
      <alignment horizontal="left" vertical="center" wrapText="1"/>
    </xf>
    <xf numFmtId="0" fontId="7" fillId="20" borderId="1" applyAlignment="1" pivotButton="0" quotePrefix="0" xfId="0">
      <alignment horizontal="center" vertical="center" wrapText="1"/>
    </xf>
    <xf numFmtId="0" fontId="0" fillId="20" borderId="1" applyAlignment="1" pivotButton="0" quotePrefix="0" xfId="0">
      <alignment horizontal="left" vertical="center" wrapText="1"/>
    </xf>
    <xf numFmtId="0" fontId="7" fillId="21" borderId="1" applyAlignment="1" pivotButton="0" quotePrefix="0" xfId="0">
      <alignment horizontal="center" vertical="center" wrapText="1"/>
    </xf>
    <xf numFmtId="0" fontId="9" fillId="22" borderId="2" applyAlignment="1" pivotButton="0" quotePrefix="0" xfId="0">
      <alignment horizontal="center" vertical="center" wrapText="1"/>
    </xf>
    <xf numFmtId="0" fontId="10" fillId="24" borderId="2" applyAlignment="1" pivotButton="0" quotePrefix="0" xfId="0">
      <alignment horizontal="left" vertical="center" wrapText="1"/>
    </xf>
    <xf numFmtId="0" fontId="4" fillId="14" borderId="2" applyAlignment="1" pivotButton="0" quotePrefix="0" xfId="0">
      <alignment horizontal="left" vertical="center" wrapText="1"/>
    </xf>
    <xf numFmtId="3" fontId="4" fillId="14" borderId="2" applyAlignment="1" pivotButton="0" quotePrefix="0" xfId="0">
      <alignment horizontal="center" vertical="center" wrapText="1"/>
    </xf>
    <xf numFmtId="164" fontId="9" fillId="22" borderId="2" applyAlignment="1" pivotButton="0" quotePrefix="0" xfId="0">
      <alignment horizontal="center" vertical="center" wrapText="1"/>
    </xf>
    <xf numFmtId="164" fontId="4" fillId="14" borderId="2" applyAlignment="1" pivotButton="0" quotePrefix="0" xfId="0">
      <alignment horizontal="center" vertical="center" wrapText="1"/>
    </xf>
    <xf numFmtId="1" fontId="4" fillId="14" borderId="2" applyAlignment="1" pivotButton="0" quotePrefix="0" xfId="0">
      <alignment horizontal="center" vertical="center" wrapText="1"/>
    </xf>
    <xf numFmtId="1" fontId="9" fillId="22" borderId="2" applyAlignment="1" pivotButton="0" quotePrefix="0" xfId="0">
      <alignment horizontal="center" vertical="center" wrapText="1"/>
    </xf>
    <xf numFmtId="164" fontId="4" fillId="15" borderId="2" applyAlignment="1" pivotButton="0" quotePrefix="0" xfId="0">
      <alignment horizontal="center" vertical="center" wrapText="1"/>
    </xf>
    <xf numFmtId="0" fontId="5" fillId="15" borderId="2" applyAlignment="1" pivotButton="0" quotePrefix="0" xfId="0">
      <alignment horizontal="left" vertical="center" wrapText="1"/>
    </xf>
    <xf numFmtId="0" fontId="9" fillId="22" borderId="1" applyAlignment="1" pivotButton="0" quotePrefix="0" xfId="0">
      <alignment horizontal="center" vertical="center" wrapText="1"/>
    </xf>
    <xf numFmtId="0" fontId="4" fillId="24" borderId="1" applyAlignment="1" pivotButton="0" quotePrefix="0" xfId="0">
      <alignment horizontal="left" vertical="center" wrapText="1"/>
    </xf>
    <xf numFmtId="0" fontId="4" fillId="23" borderId="1" applyAlignment="1" pivotButton="0" quotePrefix="0" xfId="0">
      <alignment horizontal="left" vertical="center" wrapText="1"/>
    </xf>
    <xf numFmtId="3" fontId="4" fillId="23" borderId="1" applyAlignment="1" pivotButton="0" quotePrefix="0" xfId="0">
      <alignment horizontal="center" vertical="center" wrapText="1"/>
    </xf>
    <xf numFmtId="164" fontId="9" fillId="22" borderId="1" applyAlignment="1" pivotButton="0" quotePrefix="0" xfId="0">
      <alignment horizontal="center" vertical="center" wrapText="1"/>
    </xf>
    <xf numFmtId="164" fontId="4" fillId="23" borderId="1" applyAlignment="1" pivotButton="0" quotePrefix="0" xfId="0">
      <alignment horizontal="center" vertical="center" wrapText="1"/>
    </xf>
    <xf numFmtId="1" fontId="4" fillId="23" borderId="1" applyAlignment="1" pivotButton="0" quotePrefix="0" xfId="0">
      <alignment horizontal="center" vertical="center" wrapText="1"/>
    </xf>
    <xf numFmtId="1" fontId="9" fillId="22" borderId="1" applyAlignment="1" pivotButton="0" quotePrefix="0" xfId="0">
      <alignment horizontal="center" vertical="center" wrapText="1"/>
    </xf>
    <xf numFmtId="164"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0" fontId="4" fillId="14" borderId="1" applyAlignment="1" pivotButton="0" quotePrefix="0" xfId="0">
      <alignment horizontal="left" vertical="center" wrapText="1"/>
    </xf>
    <xf numFmtId="3" fontId="4" fillId="14"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14" borderId="1" applyAlignment="1" pivotButton="0" quotePrefix="0" xfId="0">
      <alignment horizontal="center" vertical="center" wrapText="1"/>
    </xf>
    <xf numFmtId="0" fontId="10" fillId="25" borderId="2" applyAlignment="1" pivotButton="0" quotePrefix="0" xfId="0">
      <alignment horizontal="left" vertical="center" wrapText="1"/>
    </xf>
    <xf numFmtId="0" fontId="4" fillId="23" borderId="2" applyAlignment="1" pivotButton="0" quotePrefix="0" xfId="0">
      <alignment horizontal="left" vertical="center" wrapText="1"/>
    </xf>
    <xf numFmtId="3" fontId="4" fillId="23" borderId="2" applyAlignment="1" pivotButton="0" quotePrefix="0" xfId="0">
      <alignment horizontal="center" vertical="center" wrapText="1"/>
    </xf>
    <xf numFmtId="164" fontId="4" fillId="23" borderId="2" applyAlignment="1" pivotButton="0" quotePrefix="0" xfId="0">
      <alignment horizontal="center" vertical="center" wrapText="1"/>
    </xf>
    <xf numFmtId="1" fontId="4" fillId="23" borderId="2" applyAlignment="1" pivotButton="0" quotePrefix="0" xfId="0">
      <alignment horizontal="center" vertical="center" wrapText="1"/>
    </xf>
    <xf numFmtId="0" fontId="4" fillId="25" borderId="1" applyAlignment="1" pivotButton="0" quotePrefix="0" xfId="0">
      <alignment horizontal="left" vertical="center" wrapText="1"/>
    </xf>
    <xf numFmtId="0" fontId="10" fillId="26" borderId="2" applyAlignment="1" pivotButton="0" quotePrefix="0" xfId="0">
      <alignment horizontal="left" vertical="center" wrapText="1"/>
    </xf>
    <xf numFmtId="0" fontId="4" fillId="26" borderId="1" applyAlignment="1" pivotButton="0" quotePrefix="0" xfId="0">
      <alignment horizontal="left" vertical="center" wrapText="1"/>
    </xf>
    <xf numFmtId="0" fontId="10" fillId="27" borderId="2" applyAlignment="1" pivotButton="0" quotePrefix="0" xfId="0">
      <alignment horizontal="left" vertical="center" wrapText="1"/>
    </xf>
    <xf numFmtId="0" fontId="4" fillId="27" borderId="1" applyAlignment="1" pivotButton="0" quotePrefix="0" xfId="0">
      <alignment horizontal="left" vertical="center" wrapText="1"/>
    </xf>
    <xf numFmtId="164" fontId="4" fillId="4" borderId="2" applyAlignment="1" pivotButton="0" quotePrefix="0" xfId="0">
      <alignment horizontal="center" vertical="center" wrapText="1"/>
    </xf>
    <xf numFmtId="164" fontId="4" fillId="4" borderId="1" applyAlignment="1" pivotButton="0" quotePrefix="0" xfId="0">
      <alignment horizontal="center" vertical="center" wrapText="1"/>
    </xf>
    <xf numFmtId="0" fontId="5" fillId="4" borderId="0" applyAlignment="1" pivotButton="0" quotePrefix="0" xfId="0">
      <alignment horizontal="left" vertical="center" wrapText="1"/>
    </xf>
    <xf numFmtId="0" fontId="7" fillId="5" borderId="0" applyAlignment="1" pivotButton="0" quotePrefix="0" xfId="0">
      <alignment horizontal="center" vertical="center" wrapText="1"/>
    </xf>
    <xf numFmtId="0" fontId="11"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6" fillId="17" borderId="0" applyAlignment="1" pivotButton="0" quotePrefix="0" xfId="0">
      <alignment horizontal="left" vertical="center" wrapText="1"/>
    </xf>
    <xf numFmtId="0" fontId="6" fillId="8" borderId="0" applyAlignment="1" pivotButton="0" quotePrefix="0" xfId="0">
      <alignment horizontal="left" vertical="center" wrapText="1"/>
    </xf>
    <xf numFmtId="9" fontId="9" fillId="22" borderId="1" applyAlignment="1" pivotButton="0" quotePrefix="0" xfId="0">
      <alignment horizontal="center" vertical="center" wrapText="1"/>
    </xf>
    <xf numFmtId="166" fontId="9" fillId="22" borderId="1" applyAlignment="1" pivotButton="0" quotePrefix="0" xfId="0">
      <alignment horizontal="center" vertical="center" wrapText="1"/>
    </xf>
    <xf numFmtId="0" fontId="8" fillId="3" borderId="0" applyAlignment="1" pivotButton="0" quotePrefix="0" xfId="0">
      <alignment horizontal="left" vertical="center" wrapText="1"/>
    </xf>
    <xf numFmtId="166" fontId="11" fillId="3" borderId="1" applyAlignment="1" pivotButton="0" quotePrefix="0" xfId="0">
      <alignment horizontal="center" vertical="center" wrapText="1"/>
    </xf>
    <xf numFmtId="0" fontId="0" fillId="0" borderId="5" pivotButton="0" quotePrefix="0" xfId="0"/>
    <xf numFmtId="0" fontId="0" fillId="0" borderId="6" pivotButton="0" quotePrefix="0" xfId="0"/>
    <xf numFmtId="0" fontId="8" fillId="0" borderId="0" applyAlignment="1" pivotButton="0" quotePrefix="0" xfId="0">
      <alignment horizontal="left" vertical="center" wrapText="1"/>
    </xf>
    <xf numFmtId="0" fontId="4" fillId="0" borderId="0" applyAlignment="1" pivotButton="0" quotePrefix="0" xfId="0">
      <alignment horizontal="left" vertical="center" wrapText="1"/>
    </xf>
    <xf numFmtId="0" fontId="10" fillId="14" borderId="1" applyAlignment="1" pivotButton="0" quotePrefix="0" xfId="0">
      <alignment horizontal="left" vertical="center" wrapText="1"/>
    </xf>
    <xf numFmtId="0" fontId="4" fillId="14" borderId="1" applyAlignment="1" pivotButton="0" quotePrefix="0" xfId="0">
      <alignment horizontal="center" vertical="center" wrapText="1"/>
    </xf>
    <xf numFmtId="0" fontId="4" fillId="11" borderId="1" applyAlignment="1" pivotButton="0" quotePrefix="0" xfId="0">
      <alignment horizontal="center" vertical="center" wrapText="1"/>
    </xf>
    <xf numFmtId="4" fontId="9" fillId="22" borderId="1" applyAlignment="1" pivotButton="0" quotePrefix="0" xfId="0">
      <alignment horizontal="right" vertical="center"/>
    </xf>
    <xf numFmtId="0" fontId="5" fillId="14" borderId="1" applyAlignment="1" pivotButton="0" quotePrefix="0" xfId="0">
      <alignment horizontal="left" vertical="center" wrapText="1"/>
    </xf>
    <xf numFmtId="0" fontId="10"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4" fillId="9" borderId="1" applyAlignment="1" pivotButton="0" quotePrefix="0" xfId="0">
      <alignment horizontal="center" vertical="center" wrapText="1"/>
    </xf>
    <xf numFmtId="0" fontId="5" fillId="23"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2"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4" borderId="1" applyAlignment="1" pivotButton="0" quotePrefix="0" xfId="0">
      <alignment horizontal="center" vertical="center" wrapText="1"/>
    </xf>
    <xf numFmtId="1" fontId="12" fillId="3" borderId="1" applyAlignment="1" pivotButton="0" quotePrefix="0" xfId="0">
      <alignment horizontal="center" vertical="center" wrapText="1"/>
    </xf>
    <xf numFmtId="0" fontId="0" fillId="3" borderId="1" applyAlignment="1" pivotButton="0" quotePrefix="0" xfId="0">
      <alignment horizontal="left" vertical="center" wrapText="1"/>
    </xf>
    <xf numFmtId="1" fontId="12" fillId="17" borderId="1" applyAlignment="1" pivotButton="0" quotePrefix="0" xfId="0">
      <alignment horizontal="center" vertical="center" wrapText="1"/>
    </xf>
    <xf numFmtId="0" fontId="0" fillId="17" borderId="1" applyAlignment="1" pivotButton="0" quotePrefix="0" xfId="0">
      <alignment horizontal="left" vertical="center" wrapText="1"/>
    </xf>
    <xf numFmtId="1" fontId="12" fillId="8" borderId="1" applyAlignment="1" pivotButton="0" quotePrefix="0" xfId="0">
      <alignment horizontal="center" vertical="center" wrapText="1"/>
    </xf>
    <xf numFmtId="0" fontId="0" fillId="8" borderId="1" applyAlignment="1" pivotButton="0" quotePrefix="0" xfId="0">
      <alignment horizontal="left" vertical="center" wrapText="1"/>
    </xf>
    <xf numFmtId="1" fontId="13" fillId="4" borderId="1" applyAlignment="1" pivotButton="0" quotePrefix="0" xfId="0">
      <alignment horizontal="center" vertical="center" wrapText="1"/>
    </xf>
    <xf numFmtId="1" fontId="9" fillId="17" borderId="1" applyAlignment="1" pivotButton="0" quotePrefix="0" xfId="0">
      <alignment horizontal="center" vertical="center" wrapText="1"/>
    </xf>
    <xf numFmtId="1" fontId="9" fillId="8" borderId="1" applyAlignment="1" pivotButton="0" quotePrefix="0" xfId="0">
      <alignment horizontal="center" vertical="center" wrapText="1"/>
    </xf>
    <xf numFmtId="0" fontId="7" fillId="5" borderId="1" applyAlignment="1" pivotButton="0" quotePrefix="0" xfId="0">
      <alignment horizontal="left" vertical="center" wrapText="1"/>
    </xf>
    <xf numFmtId="9" fontId="9" fillId="17" borderId="1" applyAlignment="1" pivotButton="0" quotePrefix="0" xfId="0">
      <alignment horizontal="center" vertical="center" wrapText="1"/>
    </xf>
    <xf numFmtId="0" fontId="4" fillId="28" borderId="1" applyAlignment="1" pivotButton="0" quotePrefix="0" xfId="0">
      <alignment horizontal="left" vertical="center" wrapText="1"/>
    </xf>
    <xf numFmtId="0" fontId="5" fillId="28" borderId="1" applyAlignment="1" pivotButton="0" quotePrefix="0" xfId="0">
      <alignment horizontal="left" vertical="center" wrapText="1"/>
    </xf>
    <xf numFmtId="0" fontId="5" fillId="29" borderId="1" applyAlignment="1" pivotButton="0" quotePrefix="0" xfId="0">
      <alignment horizontal="left" vertical="center" wrapText="1"/>
    </xf>
    <xf numFmtId="0" fontId="5" fillId="30" borderId="1" applyAlignment="1" pivotButton="0" quotePrefix="0" xfId="0">
      <alignment horizontal="left" vertical="center" wrapText="1"/>
    </xf>
    <xf numFmtId="0" fontId="5" fillId="31" borderId="1" applyAlignment="1" pivotButton="0" quotePrefix="0" xfId="0">
      <alignment horizontal="left" vertical="center" wrapText="1"/>
    </xf>
    <xf numFmtId="0" fontId="4" fillId="15" borderId="1" applyAlignment="1" pivotButton="0" quotePrefix="0" xfId="0">
      <alignment horizontal="center" vertical="center" wrapText="1"/>
    </xf>
    <xf numFmtId="0" fontId="4" fillId="15" borderId="1" applyAlignment="1" pivotButton="0" quotePrefix="0" xfId="0">
      <alignment horizontal="left" vertical="center" wrapText="1"/>
    </xf>
    <xf numFmtId="1" fontId="4" fillId="15" borderId="1" applyAlignment="1" pivotButton="0" quotePrefix="0" xfId="0">
      <alignment horizontal="center" vertical="center" wrapText="1"/>
    </xf>
    <xf numFmtId="0" fontId="4" fillId="16" borderId="1" applyAlignment="1" pivotButton="0" quotePrefix="0" xfId="0">
      <alignment horizontal="left" vertical="center" wrapText="1"/>
    </xf>
    <xf numFmtId="0" fontId="8" fillId="17" borderId="0" applyAlignment="1" pivotButton="0" quotePrefix="0" xfId="0">
      <alignment horizontal="left" vertical="center" wrapText="1"/>
    </xf>
    <xf numFmtId="0" fontId="8" fillId="8" borderId="0" applyAlignment="1" pivotButton="0" quotePrefix="0" xfId="0">
      <alignment horizontal="left" vertical="center" wrapText="1"/>
    </xf>
  </cellXfs>
  <cellStyles count="1">
    <cellStyle name="Normal" xfId="0" builtinId="0" hidden="0"/>
  </cellStyles>
  <dxfs count="17">
    <dxf>
      <font>
        <name val="Calibri"/>
        <color rgb="001F2A33"/>
        <sz val="10"/>
      </font>
      <fill>
        <patternFill patternType="solid">
          <fgColor rgb="00E8EEF4"/>
        </patternFill>
      </fill>
    </dxf>
    <dxf>
      <font>
        <name val="Calibri"/>
        <color rgb="001F2A33"/>
        <sz val="10"/>
      </font>
      <fill>
        <patternFill patternType="solid">
          <fgColor rgb="00D6E4F0"/>
        </patternFill>
      </fill>
    </dxf>
    <dxf>
      <font>
        <name val="Calibri"/>
        <color rgb="001F2A33"/>
        <sz val="10"/>
      </font>
      <fill>
        <patternFill patternType="solid">
          <fgColor rgb="00E6E0EF"/>
        </patternFill>
      </fill>
    </dxf>
    <dxf>
      <font>
        <name val="Calibri"/>
        <color rgb="001F2A33"/>
        <sz val="10"/>
      </font>
      <fill>
        <patternFill patternType="solid">
          <fgColor rgb="00F7F1E3"/>
        </patternFill>
      </fill>
    </dxf>
    <dxf>
      <font>
        <name val="Calibri"/>
        <color rgb="001F2A33"/>
        <sz val="10"/>
      </font>
      <fill>
        <patternFill patternType="solid">
          <fgColor rgb="00F3E6D0"/>
        </patternFill>
      </fill>
    </dxf>
    <dxf>
      <font>
        <name val="Calibri"/>
        <color rgb="001F2A33"/>
        <sz val="10"/>
      </font>
      <fill>
        <patternFill patternType="solid">
          <fgColor rgb="00F0E6C8"/>
        </patternFill>
      </fill>
    </dxf>
    <dxf>
      <font>
        <name val="Calibri"/>
        <color rgb="001F2A33"/>
        <sz val="10"/>
      </font>
      <fill>
        <patternFill patternType="solid">
          <fgColor rgb="00D4E8E4"/>
        </patternFill>
      </fill>
    </dxf>
    <dxf>
      <font>
        <name val="Calibri"/>
        <color rgb="001F2A33"/>
        <sz val="10"/>
      </font>
      <fill>
        <patternFill patternType="solid">
          <fgColor rgb="00D4E6D4"/>
        </patternFill>
      </fill>
    </dxf>
    <dxf>
      <font>
        <name val="Calibri"/>
        <color rgb="001F2A33"/>
        <sz val="10"/>
      </font>
      <fill>
        <patternFill patternType="solid">
          <fgColor rgb="00C5D5C5"/>
        </patternFill>
      </fill>
    </dxf>
    <dxf>
      <font>
        <name val="Calibri"/>
        <b val="1"/>
        <color rgb="00FFFFFF"/>
        <sz val="10"/>
      </font>
      <fill>
        <patternFill patternType="solid">
          <fgColor rgb="001B365D"/>
        </patternFill>
      </fill>
    </dxf>
    <dxf>
      <font>
        <name val="Calibri"/>
        <color rgb="001F2A33"/>
        <sz val="10"/>
      </font>
      <fill>
        <patternFill patternType="solid">
          <fgColor rgb="00D0D4D8"/>
        </patternFill>
      </fill>
    </dxf>
    <dxf>
      <font>
        <name val="Calibri"/>
        <color rgb="001F2A33"/>
        <sz val="10"/>
      </font>
      <fill>
        <patternFill patternType="solid">
          <fgColor rgb="00FFFFFF"/>
        </patternFill>
      </fill>
    </dxf>
    <dxf>
      <font>
        <name val="Calibri"/>
        <b val="1"/>
        <color rgb="00842029"/>
        <sz val="10"/>
      </font>
      <fill>
        <patternFill patternType="solid">
          <fgColor rgb="00F8D7DA"/>
        </patternFill>
      </fill>
    </dxf>
    <dxf>
      <font>
        <name val="Calibri"/>
        <color rgb="00842029"/>
        <sz val="10"/>
      </font>
      <fill>
        <patternFill patternType="solid">
          <fgColor rgb="00F8D7DA"/>
        </patternFill>
      </fill>
    </dxf>
    <dxf>
      <font>
        <name val="Calibri"/>
        <color rgb="001F2A33"/>
        <sz val="10"/>
      </font>
      <fill>
        <patternFill patternType="solid">
          <fgColor rgb="00C6E0B4"/>
        </patternFill>
      </fill>
    </dxf>
    <dxf>
      <font>
        <name val="Calibri"/>
        <color rgb="001F2A33"/>
        <sz val="10"/>
      </font>
      <fill>
        <patternFill patternType="solid">
          <fgColor rgb="00FFE699"/>
        </patternFill>
      </fill>
    </dxf>
    <dxf>
      <font>
        <name val="Calibri"/>
        <b val="1"/>
        <color rgb="00842029"/>
        <sz val="10"/>
      </font>
      <fill>
        <patternFill patternType="solid">
          <fgColor rgb="00F4B18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style val="10"/>
  <chart>
    <title>
      <tx>
        <rich>
          <a:bodyPr/>
          <a:p>
            <a:pPr>
              <a:defRPr/>
            </a:pPr>
            <a:r>
              <a:t>Schemes by current status</a:t>
            </a:r>
          </a:p>
        </rich>
      </tx>
    </title>
    <plotArea>
      <barChart>
        <barDir val="bar"/>
        <grouping val="clustered"/>
        <ser>
          <idx val="0"/>
          <order val="0"/>
          <tx>
            <strRef>
              <f>'02_Dashboard'!B8</f>
            </strRef>
          </tx>
          <spPr>
            <a:ln>
              <a:prstDash val="solid"/>
            </a:ln>
          </spPr>
          <cat>
            <numRef>
              <f>'02_Dashboard'!$A$9:$A$20</f>
            </numRef>
          </cat>
          <val>
            <numRef>
              <f>'02_Dashboard'!$B$9:$B$20</f>
            </numRef>
          </val>
        </ser>
        <dLbls>
          <showVal val="1"/>
        </dLbls>
        <gapWidth val="150"/>
        <axId val="10"/>
        <axId val="100"/>
      </barChart>
      <catAx>
        <axId val="10"/>
        <scaling>
          <orientation val="minMax"/>
        </scaling>
        <axPos val="l"/>
        <title>
          <tx>
            <rich>
              <a:bodyPr/>
              <a:p>
                <a:pPr>
                  <a:defRPr/>
                </a:pPr>
                <a:r>
                  <a:t>Schemes</a:t>
                </a:r>
              </a:p>
            </rich>
          </tx>
        </title>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Packages by status</a:t>
            </a:r>
          </a:p>
        </rich>
      </tx>
    </title>
    <plotArea>
      <barChart>
        <barDir val="bar"/>
        <grouping val="clustered"/>
        <ser>
          <idx val="0"/>
          <order val="0"/>
          <tx>
            <strRef>
              <f>'11_Package_Status'!B8</f>
            </strRef>
          </tx>
          <spPr>
            <a:ln>
              <a:prstDash val="solid"/>
            </a:ln>
          </spPr>
          <cat>
            <numRef>
              <f>'11_Package_Status'!$A$9:$A$30</f>
            </numRef>
          </cat>
          <val>
            <numRef>
              <f>'11_Package_Status'!$B$9:$B$30</f>
            </numRef>
          </val>
        </ser>
        <dLbls>
          <showVal val="1"/>
        </dLbls>
        <gapWidth val="150"/>
        <axId val="10"/>
        <axId val="100"/>
      </barChart>
      <catAx>
        <axId val="10"/>
        <scaling>
          <orientation val="minMax"/>
        </scaling>
        <axPos val="l"/>
        <title>
          <tx>
            <rich>
              <a:bodyPr/>
              <a:p>
                <a:pPr>
                  <a:defRPr/>
                </a:pPr>
                <a:r>
                  <a:t>Packages</a:t>
                </a:r>
              </a:p>
            </rich>
          </tx>
        </title>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Packages in each status, stacked by major intervention</a:t>
            </a:r>
          </a:p>
        </rich>
      </tx>
    </title>
    <plotArea>
      <barChart>
        <barDir val="bar"/>
        <grouping val="stacked"/>
        <ser>
          <idx val="0"/>
          <order val="0"/>
          <tx>
            <strRef>
              <f>'11_Package_Status'!G8</f>
            </strRef>
          </tx>
          <spPr>
            <a:ln>
              <a:prstDash val="solid"/>
            </a:ln>
          </spPr>
          <cat>
            <numRef>
              <f>'11_Package_Status'!$A$9:$A$30</f>
            </numRef>
          </cat>
          <val>
            <numRef>
              <f>'11_Package_Status'!$G$9:$G$30</f>
            </numRef>
          </val>
        </ser>
        <ser>
          <idx val="1"/>
          <order val="1"/>
          <tx>
            <strRef>
              <f>'11_Package_Status'!I8</f>
            </strRef>
          </tx>
          <spPr>
            <a:ln>
              <a:prstDash val="solid"/>
            </a:ln>
          </spPr>
          <cat>
            <numRef>
              <f>'11_Package_Status'!$A$9:$A$30</f>
            </numRef>
          </cat>
          <val>
            <numRef>
              <f>'11_Package_Status'!$I$9:$I$30</f>
            </numRef>
          </val>
        </ser>
        <ser>
          <idx val="2"/>
          <order val="2"/>
          <tx>
            <strRef>
              <f>'11_Package_Status'!K8</f>
            </strRef>
          </tx>
          <spPr>
            <a:ln>
              <a:prstDash val="solid"/>
            </a:ln>
          </spPr>
          <cat>
            <numRef>
              <f>'11_Package_Status'!$A$9:$A$30</f>
            </numRef>
          </cat>
          <val>
            <numRef>
              <f>'11_Package_Status'!$K$9:$K$30</f>
            </numRef>
          </val>
        </ser>
        <ser>
          <idx val="3"/>
          <order val="3"/>
          <tx>
            <strRef>
              <f>'11_Package_Status'!M8</f>
            </strRef>
          </tx>
          <spPr>
            <a:ln>
              <a:prstDash val="solid"/>
            </a:ln>
          </spPr>
          <cat>
            <numRef>
              <f>'11_Package_Status'!$A$9:$A$30</f>
            </numRef>
          </cat>
          <val>
            <numRef>
              <f>'11_Package_Status'!$M$9:$M$30</f>
            </numRef>
          </val>
        </ser>
        <ser>
          <idx val="4"/>
          <order val="4"/>
          <tx>
            <strRef>
              <f>'11_Package_Status'!O8</f>
            </strRef>
          </tx>
          <spPr>
            <a:ln>
              <a:prstDash val="solid"/>
            </a:ln>
          </spPr>
          <cat>
            <numRef>
              <f>'11_Package_Status'!$A$9:$A$30</f>
            </numRef>
          </cat>
          <val>
            <numRef>
              <f>'11_Package_Status'!$O$9:$O$30</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Tracker</author>
  </authors>
  <commentList>
    <comment ref="B3" authorId="0" shapeId="0">
      <text>
        <t>Same Package ID on every sub-project of one contract. Package #8-AF2 IS is two canals / two rows; Package #10-AF2 IS is four canals / four rows. Use the outline +/- on the left to collapse extra sites.</t>
      </text>
    </comment>
    <comment ref="C3" authorId="0" shapeId="0">
      <text>
        <t>Full Package / Contract Name from the master file. Repeated on every sub-project row of that package.</t>
      </text>
    </comment>
    <comment ref="D3" authorId="0" shapeId="0">
      <text>
        <t>Position of this site inside the package, for example 2 of 4.</t>
      </text>
    </comment>
    <comment ref="G3" authorId="0" shapeId="0">
      <text>
        <t>Major type: Watershed Management, Irrigation Scheme, Drip Irrigation, Agroforestry saplings / seeds, or Laser Land Leveler (LLL).</t>
      </text>
    </comment>
    <comment ref="H3" authorId="0" shapeId="0">
      <text>
        <t>Sub-type under the major intervention: irrigation canal, protection wall, check dam, and so on.</t>
      </text>
    </comment>
    <comment ref="O3" authorId="0" shapeId="0">
      <text>
        <t>Awarded = contract signed. Not awarded = still in design / procurement.</t>
      </text>
    </comment>
    <comment ref="Q3" authorId="0" shapeId="0">
      <text>
        <t>Repeated on every sub-project of the same contract. To count unique contracts for this company, filter 10_By_Contractor or 03_Package_Summary — do not count the number of rows here. ZSCC on Package #10 is one contract / four canals.</t>
      </text>
    </comment>
    <comment ref="T3" authorId="0" shapeId="0">
      <text>
        <t>Copies Date: Awarded. Enter the contract signature date in the Awarded status-date column.</t>
      </text>
    </comment>
    <comment ref="AA3" authorId="0" shapeId="0">
      <text>
        <t>Use this until official step dates are entered. Current Status follows dates once they exist.</t>
      </text>
    </comment>
    <comment ref="AC3" authorId="0" shapeId="0">
      <text>
        <t>Latest step that has a date. If no dates are entered, uses Reported Status.</t>
      </text>
    </comment>
    <comment ref="AD3" authorId="0" shapeId="0">
      <text>
        <t>TODAY minus the latest status date. Turns red after 30 days.</t>
      </text>
    </comment>
    <comment ref="AG3" authorId="0" shapeId="0">
      <text>
        <t>Green = on track. Amber = within 30 days of a planned date (close to off track). Red = behind the planned award or end date, or physical progress lagging the elapsed contract time by more than 15 points.</t>
      </text>
    </comment>
    <comment ref="AH3" authorId="0" shapeId="0">
      <text>
        <t>Positive = days remaining until the planned award (Not awarded) or contract end (Awarded). Negative = days behind that date.</t>
      </text>
    </comment>
  </commentList>
</comments>
</file>

<file path=xl/comments/comment2.xml><?xml version="1.0" encoding="utf-8"?>
<comments xmlns="http://schemas.openxmlformats.org/spreadsheetml/2006/main">
  <authors>
    <author>Tracker</author>
  </authors>
  <commentList>
    <comment ref="B3" authorId="0" shapeId="0">
      <text>
        <t>Same Package ID on every sub-project of one contract. Package #8-AF2 IS is two canals / two rows; Package #10-AF2 IS is four canals / four rows. Use the outline +/- on the left to collapse extra sites.</t>
      </text>
    </comment>
    <comment ref="C3" authorId="0" shapeId="0">
      <text>
        <t>Full Package / Contract Name from the master file. Repeated on every sub-project row of that package.</t>
      </text>
    </comment>
    <comment ref="D3" authorId="0" shapeId="0">
      <text>
        <t>Position of this site inside the package, for example 2 of 4.</t>
      </text>
    </comment>
    <comment ref="G3" authorId="0" shapeId="0">
      <text>
        <t>Major type: Watershed Management, Irrigation Scheme, Drip Irrigation, Agroforestry saplings / seeds, or Laser Land Leveler (LLL).</t>
      </text>
    </comment>
    <comment ref="H3" authorId="0" shapeId="0">
      <text>
        <t>Sub-type under the major intervention: irrigation canal, protection wall, check dam, and so on.</t>
      </text>
    </comment>
    <comment ref="O3" authorId="0" shapeId="0">
      <text>
        <t>Awarded = contract signed. Not awarded = still in design / procurement.</t>
      </text>
    </comment>
    <comment ref="Q3" authorId="0" shapeId="0">
      <text>
        <t>Repeated on every sub-project of the same contract. To count unique contracts for this company, filter 10_By_Contractor or 03_Package_Summary — do not count the number of rows here. ZSCC on Package #10 is one contract / four canals.</t>
      </text>
    </comment>
    <comment ref="T3" authorId="0" shapeId="0">
      <text>
        <t>Copies Date: Awarded. Enter the contract signature date in the Awarded status-date column.</t>
      </text>
    </comment>
    <comment ref="AA3" authorId="0" shapeId="0">
      <text>
        <t>Use this until official step dates are entered. Current Status follows dates once they exist.</t>
      </text>
    </comment>
    <comment ref="AC3" authorId="0" shapeId="0">
      <text>
        <t>Latest step that has a date. If no dates are entered, uses Reported Status.</t>
      </text>
    </comment>
    <comment ref="AD3" authorId="0" shapeId="0">
      <text>
        <t>TODAY minus the latest status date. Turns red after 30 days.</t>
      </text>
    </comment>
    <comment ref="AG3" authorId="0" shapeId="0">
      <text>
        <t>Green = on track. Amber = within 30 days of a planned date (close to off track). Red = behind the planned award or end date, or physical progress lagging the elapsed contract time by more than 15 points.</t>
      </text>
    </comment>
    <comment ref="AH3" authorId="0" shapeId="0">
      <text>
        <t>Positive = days remaining until the planned award (Not awarded) or contract end (Awarded). Negative = days behind that date.</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52</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52</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52</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RegionMap" displayName="RegionMap" ref="A3:B11" headerRowCount="1">
  <autoFilter ref="A3:B11"/>
  <tableColumns count="2">
    <tableColumn id="1" name="Region display name"/>
    <tableColumn id="2" name="Province named range"/>
  </tableColumns>
  <tableStyleInfo name="TableStyleMedium2" showRowStripes="1"/>
</table>
</file>

<file path=xl/tables/table2.xml><?xml version="1.0" encoding="utf-8"?>
<table xmlns="http://schemas.openxmlformats.org/spreadsheetml/2006/main" id="2" name="ProvinceMap" displayName="ProvinceMap" ref="E3:F37" headerRowCount="1">
  <autoFilter ref="E3:F37"/>
  <tableColumns count="2">
    <tableColumn id="5" name="Province"/>
    <tableColumn id="6" name="District named range"/>
  </tableColumns>
  <tableStyleInfo name="TableStyleMedium7"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sheet1.xml><?xml version="1.0" encoding="utf-8"?>
<worksheet xmlns="http://schemas.openxmlformats.org/spreadsheetml/2006/main">
  <sheetPr>
    <tabColor rgb="001B365D"/>
    <outlinePr summaryBelow="1" summaryRight="1"/>
    <pageSetUpPr fitToPage="1"/>
  </sheetPr>
  <dimension ref="B1:E50"/>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92" customWidth="1" min="3" max="3"/>
    <col width="36" customWidth="1" min="4" max="4"/>
  </cols>
  <sheetData>
    <row r="1" ht="28" customHeight="1">
      <c r="B1" s="1" t="inlineStr">
        <is>
          <t>Construction Works Scheme Tracker</t>
        </is>
      </c>
      <c r="C1" s="2" t="n"/>
      <c r="D1" s="2" t="n"/>
    </row>
    <row r="2">
      <c r="B2" s="3" t="inlineStr">
        <is>
          <t>Emergency Food Security Project (EFSP) · Component 2: Water and Resilience Services · WBK/AF-2  ·  How to use and how to add or remove columns and domains</t>
        </is>
      </c>
      <c r="C2" s="2" t="n"/>
      <c r="D2" s="2" t="n"/>
    </row>
    <row r="3" ht="64" customHeight="1">
      <c r="B3" s="4" t="inlineStr"/>
      <c r="C3" s="5" t="inlineStr"/>
      <c r="D3" s="6" t="inlineStr"/>
    </row>
    <row r="5" ht="22" customHeight="1">
      <c r="B5" s="7" t="inlineStr">
        <is>
          <t>What this workbook does</t>
        </is>
      </c>
      <c r="C5" s="8" t="n"/>
      <c r="D5" s="8" t="n"/>
    </row>
    <row r="6" ht="64" customHeight="1">
      <c r="B6" s="4" t="inlineStr">
        <is>
          <t>Purpose</t>
        </is>
      </c>
      <c r="C6" s="5" t="inlineStr">
        <is>
          <t>Track every construction scheme from design through handover. Each scheme is one row. Each pipeline step has its own date. Excel then calculates how many days it took to move from one step to the next, how long the scheme has sat in the current step, and the total days from the first date to the last.</t>
        </is>
      </c>
      <c r="D6" s="6" t="inlineStr"/>
    </row>
    <row r="7" ht="64" customHeight="1">
      <c r="B7" s="4" t="inlineStr">
        <is>
          <t>Sheets</t>
        </is>
      </c>
      <c r="C7" s="5" t="inlineStr">
        <is>
          <t>01_Scheme_Tracker is the working register (one row per sub-project). 02_Dashboard summarises counts and average durations. 03_Package_Summary rolls every contract package to one row (Package #8 and #10 sit here as single packages). 10_By_Contractor lists each company once, with how many unique contracts it holds (Zahid Saeed / ZSCC is one awarded contract covering four canals). 11_Package_Status counts unique packages in each pipeline step and shows how each status is shared across Watershed Management, Irrigation Scheme, Drip Irrigation, LLL, and Agroforestry. 04_Date_Rules explains how each date is used and how schedule health is coloured. 05_Example_Filled shows two worked examples so you can see the day-count formulas. 06_Status_Pipeline is the ordered list of steps. 07_Domains holds dropdown lists (major intervention, sub-type, donor, project, region, Awarded / Not awarded). 08_Geography holds province and district lists. 09_Lookups maps region/province names to those lists.</t>
        </is>
      </c>
      <c r="D7" s="6" t="inlineStr"/>
    </row>
    <row r="9" ht="22" customHeight="1">
      <c r="B9" s="7" t="inlineStr">
        <is>
          <t>Daily use</t>
        </is>
      </c>
      <c r="C9" s="8" t="n"/>
      <c r="D9" s="8" t="n"/>
    </row>
    <row r="10" ht="64" customHeight="1">
      <c r="B10" s="4" t="inlineStr">
        <is>
          <t>Add a scheme</t>
        </is>
      </c>
      <c r="C10" s="5" t="inlineStr">
        <is>
          <t>Go to 01_Scheme_Tracker and type in the next empty row. Choose Major intervention first (Watershed Management, Irrigation Scheme, Drip Irrigation, Agroforestry saplings / seeds, or Laser Land Leveler), then Intervention sub-type (protection wall, irrigation canal, check dam, and so on). Dropdowns are also attached for Project, Region, Province, District, Donor, Awarded / Not awarded, and Reported Status.</t>
        </is>
      </c>
      <c r="D10" s="6" t="inlineStr">
        <is>
          <t>01_Scheme_Tracker</t>
        </is>
      </c>
    </row>
    <row r="11" ht="64" customHeight="1">
      <c r="B11" s="4" t="inlineStr">
        <is>
          <t>Packages that cover several sites</t>
        </is>
      </c>
      <c r="C11" s="5" t="inlineStr">
        <is>
          <t>One Package / Contract Name can cover several canals or check dams in different districts. Keep one row per sub-project (location) so province, district, village, and progress stay honest. Give every row of that contract the same Package ID and the same Package / Contract Name. Sub-project in package shows 1 of 4, 2 of 4, … Example: Package #8-AF2 IS (Khas Kunar Lower canal + Bahrabad canal) is two rows, one Package ID. Package #10-AF2 IS (Baraki, Darbal, Nawikhar, Mangali) is four rows, one Package ID. On the tracker, extra rows of the same package are grouped — use the outline +/- at the left margin to collapse them. 03_Package_Summary lists each package once.</t>
        </is>
      </c>
      <c r="D11" s="6" t="inlineStr">
        <is>
          <t>01_Scheme_Tracker / 03_Package_Summary</t>
        </is>
      </c>
    </row>
    <row r="12" ht="64" customHeight="1">
      <c r="B12" s="4" t="inlineStr">
        <is>
          <t>Find contracts awarded to one company</t>
        </is>
      </c>
      <c r="C12" s="5" t="inlineStr">
        <is>
          <t>The contractor name is repeated on every sub-project of that contract. Filtering Contractor Name on 01_Scheme_Tracker for 'Zahid Saeed Engineering and Construction Company (ZSCC)' shows four rows — those are four canals on the same Package #10 contract (057/2025), not four contracts. To see unique contracts: open 10_By_Contractor and filter the company (ZSCC = 1 awarded contract, 4 sub-projects), or open 03_Package_Summary and filter Contractor Name. Count Package IDs / Contract Numbers, not the number of tracker rows.</t>
        </is>
      </c>
      <c r="D12" s="6" t="inlineStr">
        <is>
          <t>10_By_Contractor / 03_Package_Summary</t>
        </is>
      </c>
    </row>
    <row r="13" ht="64" customHeight="1">
      <c r="B13" s="4" t="inlineStr">
        <is>
          <t>How many packages are in each status</t>
        </is>
      </c>
      <c r="C13" s="5" t="inlineStr">
        <is>
          <t>02_Dashboard counts sub-projects. That overstates a step when one contract has many sites (50 LLL units and 39 agroforestry rows are each one package still Under Awarding). Open 11_Package_Status for unique-package counts: Under Design, Under Review of WRI, Under LTO Review, PR to be Raised, ITB Launched, Retendered, Technical Evaluation, Under Awarding, Awarded, Under Construction, Completed. A package takes the least-advanced status of its unfinished sites. It is Completed only when every sub-project is completed. Filter Package status on 03_Package_Summary to list them.</t>
        </is>
      </c>
      <c r="D13" s="6" t="inlineStr">
        <is>
          <t>11_Package_Status</t>
        </is>
      </c>
    </row>
    <row r="14" ht="64" customHeight="1">
      <c r="B14" s="4" t="inlineStr">
        <is>
          <t>Enter status dates</t>
        </is>
      </c>
      <c r="C14" s="5" t="inlineStr">
        <is>
          <t>When a scheme reaches a step, type that day's date in the matching 'Date:' column (for example Date: Under Design, Date: ITB Launched). Use a real date, not text. Current Status then switches automatically to the latest dated step. If no dates are entered yet, Current Status falls back to Reported Status.</t>
        </is>
      </c>
      <c r="D14" s="6" t="inlineStr">
        <is>
          <t>Section 4 of the tracker</t>
        </is>
      </c>
    </row>
    <row r="15" ht="64" customHeight="1">
      <c r="B15" s="4" t="inlineStr">
        <is>
          <t>Awarded date and contract duration</t>
        </is>
      </c>
      <c r="C15" s="5" t="inlineStr">
        <is>
          <t>Type the contract-signature (or notice of award) date in the Date: Awarded column in section 4. The Awarded Date field in section 2 copies it automatically. Contract Duration (months) is the period in the contract. Planned End Date is calculated with EDATE(Awarded Date, duration). Physical Works Progress % is 0–100. Contractor Name and Contract Number are free text.</t>
        </is>
      </c>
      <c r="D15" s="6" t="inlineStr">
        <is>
          <t>Sections 2 and 4 of the tracker</t>
        </is>
      </c>
    </row>
    <row r="16" ht="64" customHeight="1">
      <c r="B16" s="4" t="inlineStr">
        <is>
          <t>Reading the day counts</t>
        </is>
      </c>
      <c r="C16" s="5" t="inlineStr">
        <is>
          <t>Each 'Days … → …' column is the number of days from the previous filled date to this step's date. If a step is skipped, the count still uses the last previous date that was filled. 'Days in current status' is TODAY minus the latest status date (this number changes every day). 'Total days first → last step' is last filled date minus first filled date. 'Days over target this step' is days in current status minus the target days set on 06_Status_Pipeline (blank if there is no target).</t>
        </is>
      </c>
      <c r="D16" s="6" t="inlineStr">
        <is>
          <t>Sections 3 and 5</t>
        </is>
      </c>
    </row>
    <row r="17" ht="64" customHeight="1">
      <c r="B17" s="4" t="inlineStr">
        <is>
          <t>Schedule health colours</t>
        </is>
      </c>
      <c r="C17" s="5" t="inlineStr">
        <is>
          <t>Schedule health is calculated from planned dates and TODAY() — it changes every calendar day. GREEN — On track, or completed. AMBER — At risk / close to off track: the planned award or contract end is within 30 days. RED — Behind: today is after the expected award date (Not awarded) or after the contract end date (Awarded), or physical progress is more than 15 percentage points behind the share of the contract period that has already elapsed. 'Days vs planned date' is days remaining (positive) or days overdue (negative). Full rules, including which date each condition uses, are on 04_Date_Rules.</t>
        </is>
      </c>
      <c r="D17" s="6" t="inlineStr">
        <is>
          <t>04_Date_Rules</t>
        </is>
      </c>
    </row>
    <row r="18" ht="64" customHeight="1">
      <c r="B18" s="4" t="inlineStr">
        <is>
          <t>What a status date means</t>
        </is>
      </c>
      <c r="C18" s="5" t="inlineStr">
        <is>
          <t>Type the calendar day the scheme reached that step (the day the step started or was achieved), not a forecast. Leave later steps blank until they happen. Current Status is the latest dated step. If no dates are entered yet, Current Status uses Reported Status. Awarded Date copies Date: Awarded. Planned End Date uses the contract end if you typed one, otherwise EDATE(Awarded Date, duration months). Not awarded rows are judged against Expected award date (and, if that is blank, the expected end). Awarded rows are judged against the planned / contract end and against physical progress over elapsed time.</t>
        </is>
      </c>
      <c r="D18" s="6" t="inlineStr">
        <is>
          <t>04_Date_Rules</t>
        </is>
      </c>
    </row>
    <row r="20" ht="22" customHeight="1">
      <c r="B20" s="7" t="inlineStr">
        <is>
          <t>Add or remove domains (dropdown values)</t>
        </is>
      </c>
      <c r="C20" s="8" t="n"/>
      <c r="D20" s="8" t="n"/>
    </row>
    <row r="21" ht="64" customHeight="1">
      <c r="B21" s="4" t="inlineStr">
        <is>
          <t>Add an intervention type, donor, project, or region</t>
        </is>
      </c>
      <c r="C21" s="5" t="inlineStr">
        <is>
          <t>Open 07_Domains. Type the new value in the first empty cell at the bottom of that column. Do not leave a blank row in the middle of the list. The dropdowns expand automatically (named ranges use COUNTA). You do not need to re-run the generator for this.</t>
        </is>
      </c>
      <c r="D21" s="6" t="inlineStr">
        <is>
          <t>07_Domains</t>
        </is>
      </c>
    </row>
    <row r="22" ht="64" customHeight="1">
      <c r="B22" s="4" t="inlineStr">
        <is>
          <t>Remove a domain value</t>
        </is>
      </c>
      <c r="C22" s="5" t="inlineStr">
        <is>
          <t>Delete the cell on 07_Domains (or 08_Geography). Existing scheme rows that already use that value keep showing it; new rows will no longer offer it in the dropdown.</t>
        </is>
      </c>
      <c r="D22" s="6" t="inlineStr">
        <is>
          <t>07_Domains / 08_Geography</t>
        </is>
      </c>
    </row>
    <row r="23" ht="64" customHeight="1">
      <c r="B23" s="4" t="inlineStr">
        <is>
          <t>Add a province</t>
        </is>
      </c>
      <c r="C23" s="5" t="inlineStr">
        <is>
          <t>1) On 08_Geography, under the correct region code column in the province block, type the province name. 2) Add a new district column for that province in the district block (copy an adjacent column). 3) On 09_Lookups, add a row: Province name | Dist_&lt;Province&gt; named range. 4) Define the named range Dist_&lt;Province&gt; (Formulas → Name Manager) pointing at the district cells. The reliable alternative is to add the province in tracker_config.py GEOGRAPHY and run generate_tracker.py.</t>
        </is>
      </c>
      <c r="D23" s="6" t="inlineStr">
        <is>
          <t>08_Geography + 09_Lookups</t>
        </is>
      </c>
    </row>
    <row r="24" ht="64" customHeight="1">
      <c r="B24" s="4" t="inlineStr">
        <is>
          <t>Add a district</t>
        </is>
      </c>
      <c r="C24" s="5" t="inlineStr">
        <is>
          <t>On 08_Geography find the province column in the district block and type the district in the next empty cell. The Dist_ named range grows automatically. No other change is required.</t>
        </is>
      </c>
      <c r="D24" s="6" t="inlineStr">
        <is>
          <t>08_Geography</t>
        </is>
      </c>
    </row>
    <row r="26" ht="22" customHeight="1">
      <c r="B26" s="7" t="inlineStr">
        <is>
          <t>Add or remove status steps (the tracking pipeline)</t>
        </is>
      </c>
      <c r="C26" s="8" t="n"/>
      <c r="D26" s="8" t="n"/>
    </row>
    <row r="27" ht="64" customHeight="1">
      <c r="B27" s="4" t="inlineStr">
        <is>
          <t>Add a step at the end (no script)</t>
        </is>
      </c>
      <c r="C27" s="5" t="inlineStr">
        <is>
          <t>Open 06_Status_Pipeline. Spare slots are already reserved at the bottom. Type the new status name, a short name, a description, and optional target days in the first spare row. The matching Date column header on 01_Scheme_Tracker updates itself. Start entering dates in that column. Duration headers also pick up the new name.</t>
        </is>
      </c>
      <c r="D27" s="6" t="inlineStr">
        <is>
          <t>06_Status_Pipeline spare slots</t>
        </is>
      </c>
    </row>
    <row r="28" ht="64" customHeight="1">
      <c r="B28" s="4" t="inlineStr">
        <is>
          <t>Add a step in the middle, or remove a step</t>
        </is>
      </c>
      <c r="C28" s="5" t="inlineStr">
        <is>
          <t>Changing order affects rows that already have dates, because dates sit in fixed columns. Preferred method: edit STATUS_PIPELINE in tracker_config.py (add, remove, or reorder dicts) and run python3 generate_tracker.py. That rebuilds date columns, duration formulas, dropdowns, and the dashboard. Copy any dates you already typed into a backup first — regenerating replaces the workbook file.</t>
        </is>
      </c>
      <c r="D28" s="6" t="inlineStr">
        <is>
          <t>tracker_config.py</t>
        </is>
      </c>
    </row>
    <row r="29" ht="64" customHeight="1">
      <c r="B29" s="4" t="inlineStr">
        <is>
          <t>Hide a column you do not need</t>
        </is>
      </c>
      <c r="C29" s="5" t="inlineStr">
        <is>
          <t>On 01_Scheme_Tracker, select the column → right-click → Hide. Do not delete formula columns (sections 3 and 5) or the tracker will break. Hidden columns can be unhidden later.</t>
        </is>
      </c>
      <c r="D29" s="6" t="inlineStr">
        <is>
          <t>01_Scheme_Tracker</t>
        </is>
      </c>
    </row>
    <row r="30" ht="64" customHeight="1">
      <c r="B30" s="4" t="inlineStr">
        <is>
          <t>Add an extra data column (GPS, engineer, photo link, …)</t>
        </is>
      </c>
      <c r="C30" s="5" t="inlineStr">
        <is>
          <t>Insert a column inside section 1 (identity) or section 2 (contract), not inside the date or duration blocks. Give it a header in row 3. Filters will include it after you re-apply AutoFilter if needed. To make it permanent in future rebuilds, append a tuple to IDENTITY_COLUMNS or CONTRACT_COLUMNS in tracker_config.py.</t>
        </is>
      </c>
      <c r="D30" s="6" t="inlineStr">
        <is>
          <t>01_Scheme_Tracker / tracker_config.py</t>
        </is>
      </c>
    </row>
    <row r="32" ht="22" customHeight="1">
      <c r="B32" s="7" t="inlineStr">
        <is>
          <t>Rules that keep the numbers honest</t>
        </is>
      </c>
      <c r="C32" s="8" t="n"/>
      <c r="D32" s="8" t="n"/>
    </row>
    <row r="33" ht="64" customHeight="1">
      <c r="B33" s="4" t="inlineStr">
        <is>
          <t>Dates must move forward</t>
        </is>
      </c>
      <c r="C33" s="5" t="inlineStr">
        <is>
          <t>A later step should not have an earlier date than a previous step. Negative day-counts mean the dates need checking.</t>
        </is>
      </c>
      <c r="D33" s="6" t="inlineStr"/>
    </row>
    <row r="34" ht="64" customHeight="1">
      <c r="B34" s="4" t="inlineStr">
        <is>
          <t>One row = one sub-project; one Package ID = one contract</t>
        </is>
      </c>
      <c r="C34" s="5" t="inlineStr">
        <is>
          <t>If a package has three check dams or four canals, use three or four rows. Do not merge those rows — AutoFilter and sort would break. Repeat the Package / Contract Name and Package ID on every row. Cost may be per sub-project (as in the master file) or only on the first row.</t>
        </is>
      </c>
      <c r="D34" s="6" t="inlineStr">
        <is>
          <t>03_Package_Summary</t>
        </is>
      </c>
    </row>
    <row r="35" ht="64" customHeight="1">
      <c r="B35" s="4" t="inlineStr">
        <is>
          <t>Grey cells are formulas</t>
        </is>
      </c>
      <c r="C35" s="5" t="inlineStr">
        <is>
          <t>Do not type over Current Status, Planned End Date, day-count columns, or helper columns. White cells are inputs.</t>
        </is>
      </c>
      <c r="D35" s="6" t="inlineStr"/>
    </row>
    <row r="36" ht="64" customHeight="1">
      <c r="B36" s="4" t="inlineStr">
        <is>
          <t>DEMO rows</t>
        </is>
      </c>
      <c r="C36" s="5" t="inlineStr">
        <is>
          <t>05_Example_Filled is for learning. Do not copy those dates into official reports.</t>
        </is>
      </c>
      <c r="D36" s="6" t="inlineStr">
        <is>
          <t>05_Example_Filled</t>
        </is>
      </c>
    </row>
    <row r="38">
      <c r="B38" s="7" t="inlineStr">
        <is>
          <t>Status pipeline (default)</t>
        </is>
      </c>
    </row>
    <row r="39">
      <c r="B39" s="9" t="inlineStr">
        <is>
          <t>Step</t>
        </is>
      </c>
      <c r="C39" s="9" t="inlineStr">
        <is>
          <t>Status</t>
        </is>
      </c>
      <c r="D39" s="9" t="inlineStr">
        <is>
          <t>What it means</t>
        </is>
      </c>
      <c r="E39" s="9" t="inlineStr">
        <is>
          <t>Target days</t>
        </is>
      </c>
    </row>
    <row r="40">
      <c r="B40" s="10" t="n">
        <v>1</v>
      </c>
      <c r="C40" s="11" t="inlineStr">
        <is>
          <t>Under Design</t>
        </is>
      </c>
      <c r="D40" s="5" t="inlineStr">
        <is>
          <t>Detailed design, surveys, and drawings are being prepared.</t>
        </is>
      </c>
      <c r="E40" s="10" t="n">
        <v>30</v>
      </c>
    </row>
    <row r="41">
      <c r="B41" s="10" t="n">
        <v>2</v>
      </c>
      <c r="C41" s="12" t="inlineStr">
        <is>
          <t>Under Review of WRI</t>
        </is>
      </c>
      <c r="D41" s="5" t="inlineStr">
        <is>
          <t>Water Resources / WRI is reviewing the design package.</t>
        </is>
      </c>
      <c r="E41" s="10" t="n">
        <v>14</v>
      </c>
    </row>
    <row r="42">
      <c r="B42" s="10" t="n">
        <v>3</v>
      </c>
      <c r="C42" s="13" t="inlineStr">
        <is>
          <t>Under LTO Review</t>
        </is>
      </c>
      <c r="D42" s="5" t="inlineStr">
        <is>
          <t>Legal / LTO clearance of the package.</t>
        </is>
      </c>
      <c r="E42" s="10" t="n">
        <v>10</v>
      </c>
    </row>
    <row r="43">
      <c r="B43" s="10" t="n">
        <v>4</v>
      </c>
      <c r="C43" s="14" t="inlineStr">
        <is>
          <t>PR to be Raised</t>
        </is>
      </c>
      <c r="D43" s="5" t="inlineStr">
        <is>
          <t>Purchase request / procurement request still to be raised.</t>
        </is>
      </c>
      <c r="E43" s="10" t="n">
        <v>10</v>
      </c>
    </row>
    <row r="44">
      <c r="B44" s="10" t="n">
        <v>5</v>
      </c>
      <c r="C44" s="15" t="inlineStr">
        <is>
          <t>ITB Launched</t>
        </is>
      </c>
      <c r="D44" s="5" t="inlineStr">
        <is>
          <t>Invitation to Bid has been issued.</t>
        </is>
      </c>
      <c r="E44" s="10" t="n">
        <v>21</v>
      </c>
    </row>
    <row r="45">
      <c r="B45" s="10" t="n">
        <v>6</v>
      </c>
      <c r="C45" s="15" t="inlineStr">
        <is>
          <t>Retendered (Re-ITB)</t>
        </is>
      </c>
      <c r="D45" s="5" t="inlineStr">
        <is>
          <t>Previous bid failed or was cancelled; invitation re-issued.</t>
        </is>
      </c>
      <c r="E45" s="10" t="n">
        <v>21</v>
      </c>
    </row>
    <row r="46">
      <c r="B46" s="10" t="n">
        <v>7</v>
      </c>
      <c r="C46" s="16" t="inlineStr">
        <is>
          <t>Under Technical Evaluation</t>
        </is>
      </c>
      <c r="D46" s="5" t="inlineStr">
        <is>
          <t>Bids are under technical evaluation.</t>
        </is>
      </c>
      <c r="E46" s="10" t="n">
        <v>14</v>
      </c>
    </row>
    <row r="47">
      <c r="B47" s="10" t="n">
        <v>8</v>
      </c>
      <c r="C47" s="17" t="inlineStr">
        <is>
          <t>Under Awarding</t>
        </is>
      </c>
      <c r="D47" s="5" t="inlineStr">
        <is>
          <t>Award recommendation, negotiations, and approval.</t>
        </is>
      </c>
      <c r="E47" s="10" t="n">
        <v>14</v>
      </c>
    </row>
    <row r="48">
      <c r="B48" s="10" t="n">
        <v>9</v>
      </c>
      <c r="C48" s="18" t="inlineStr">
        <is>
          <t>Awarded</t>
        </is>
      </c>
      <c r="D48" s="5" t="inlineStr">
        <is>
          <t>Contract signed / notice of award issued.</t>
        </is>
      </c>
      <c r="E48" s="10" t="inlineStr">
        <is>
          <t>—</t>
        </is>
      </c>
    </row>
    <row r="49">
      <c r="B49" s="10" t="n">
        <v>10</v>
      </c>
      <c r="C49" s="19" t="inlineStr">
        <is>
          <t>Under Construction</t>
        </is>
      </c>
      <c r="D49" s="5" t="inlineStr">
        <is>
          <t>Contractor is mobilised and physical works are ongoing.</t>
        </is>
      </c>
      <c r="E49" s="10" t="n">
        <v>150</v>
      </c>
    </row>
    <row r="50">
      <c r="B50" s="10" t="n">
        <v>11</v>
      </c>
      <c r="C50" s="20" t="inlineStr">
        <is>
          <t>Completed / Handover</t>
        </is>
      </c>
      <c r="D50" s="5" t="inlineStr">
        <is>
          <t>Works completed and handed over.</t>
        </is>
      </c>
      <c r="E50" s="10" t="inlineStr">
        <is>
          <t>—</t>
        </is>
      </c>
    </row>
  </sheetData>
  <mergeCells count="32">
    <mergeCell ref="C23"/>
    <mergeCell ref="C17"/>
    <mergeCell ref="B1:D1"/>
    <mergeCell ref="C7"/>
    <mergeCell ref="C28"/>
    <mergeCell ref="C13"/>
    <mergeCell ref="B38:D38"/>
    <mergeCell ref="C18"/>
    <mergeCell ref="C3"/>
    <mergeCell ref="C34"/>
    <mergeCell ref="C30"/>
    <mergeCell ref="C15"/>
    <mergeCell ref="B9:D9"/>
    <mergeCell ref="C33"/>
    <mergeCell ref="C6"/>
    <mergeCell ref="C24"/>
    <mergeCell ref="C14"/>
    <mergeCell ref="B20:D20"/>
    <mergeCell ref="B5:D5"/>
    <mergeCell ref="C35"/>
    <mergeCell ref="C29"/>
    <mergeCell ref="B32:D32"/>
    <mergeCell ref="B26:D26"/>
    <mergeCell ref="C10"/>
    <mergeCell ref="C16"/>
    <mergeCell ref="C22"/>
    <mergeCell ref="C12"/>
    <mergeCell ref="C21"/>
    <mergeCell ref="C11"/>
    <mergeCell ref="C36"/>
    <mergeCell ref="C27"/>
    <mergeCell ref="B2:D2"/>
  </mergeCells>
  <pageMargins left="0.75" right="0.75" top="1" bottom="1" header="0.5" footer="0.5"/>
  <pageSetup orientation="landscape" paperSize="9" fitToHeight="0" fitToWidth="1"/>
  <headerFooter>
    <oddHeader>&amp;LConstruction Works Scheme Tracker</oddHeader>
    <oddFooter>&amp;RPage &amp;P of &amp;N</oddFooter>
    <evenHeader/>
    <evenFooter/>
    <firstHeader/>
    <firstFooter/>
  </headerFooter>
</worksheet>
</file>

<file path=xl/worksheets/sheet2.xml><?xml version="1.0" encoding="utf-8"?>
<worksheet xmlns="http://schemas.openxmlformats.org/spreadsheetml/2006/main">
  <sheetPr>
    <tabColor rgb="003D5A3D"/>
    <outlinePr summaryBelow="0" summaryRight="0"/>
    <pageSetUpPr fitToPage="1"/>
  </sheetPr>
  <dimension ref="A1:BK453"/>
  <sheetViews>
    <sheetView topLeftCell="A1" zoomScale="100" workbookViewId="0">
      <pane ySplit="3" topLeftCell="A4" activePane="bottomLeft" state="frozen"/>
      <selection pane="bottomLeft" activeCell="A1" sqref="A1"/>
    </sheetView>
  </sheetViews>
  <sheetFormatPr baseColWidth="8" defaultRowHeight="15"/>
  <cols>
    <col width="6" customWidth="1" min="1" max="1"/>
    <col width="14" customWidth="1" min="2" max="2"/>
    <col width="40" customWidth="1" min="3" max="3"/>
    <col width="12" customWidth="1" min="4" max="4"/>
    <col width="14" customWidth="1" min="5" max="5"/>
    <col width="32" customWidth="1" min="6" max="6"/>
    <col width="26" customWidth="1" min="7" max="7"/>
    <col width="22" customWidth="1" min="8" max="8"/>
    <col width="28" customWidth="1" min="9" max="9"/>
    <col width="22" customWidth="1" min="10" max="10"/>
    <col width="16" customWidth="1" min="11" max="11"/>
    <col width="22" customWidth="1" min="12" max="12"/>
    <col width="28" customWidth="1" min="13" max="13"/>
    <col width="22" customWidth="1" min="14" max="14"/>
    <col width="16" customWidth="1" min="15" max="15"/>
    <col width="28" customWidth="1" min="16" max="16"/>
    <col width="22" customWidth="1" min="17" max="17"/>
    <col width="16" customWidth="1" min="18" max="18"/>
    <col width="16"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24" customWidth="1" min="27" max="27"/>
    <col width="28" customWidth="1" min="28" max="28"/>
    <col width="24" customWidth="1" min="29" max="29"/>
    <col width="12" customWidth="1" min="30" max="30"/>
    <col width="12" customWidth="1" min="31" max="31"/>
    <col width="12" customWidth="1" min="32" max="32"/>
    <col width="26" customWidth="1" min="33" max="33"/>
    <col width="14"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hidden="1" width="14" customWidth="1" min="62" max="62"/>
    <col hidden="1" width="14" customWidth="1" min="63" max="63"/>
  </cols>
  <sheetData>
    <row r="1" ht="24" customHeight="1">
      <c r="A1" s="21" t="inlineStr">
        <is>
          <t>Construction Works Scheme Tracker  ·  live register — type dates in section 4</t>
        </is>
      </c>
      <c r="B1" s="22" t="n"/>
      <c r="C1" s="22" t="n"/>
      <c r="D1" s="22" t="n"/>
      <c r="E1" s="22" t="n"/>
      <c r="F1" s="22" t="n"/>
      <c r="G1" s="22" t="n"/>
      <c r="H1" s="22" t="n"/>
      <c r="I1" s="22"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2" t="n"/>
      <c r="AG1" s="22" t="n"/>
      <c r="AH1" s="22" t="n"/>
      <c r="AI1" s="22" t="n"/>
      <c r="AJ1" s="22" t="n"/>
      <c r="AK1" s="22" t="n"/>
      <c r="AL1" s="22" t="n"/>
      <c r="AM1" s="22" t="n"/>
      <c r="AN1" s="22" t="n"/>
      <c r="AO1" s="22" t="n"/>
      <c r="AP1" s="22" t="n"/>
      <c r="AQ1" s="22" t="n"/>
      <c r="AR1" s="22" t="n"/>
      <c r="AS1" s="22" t="n"/>
      <c r="AT1" s="22" t="n"/>
      <c r="AU1" s="22" t="n"/>
      <c r="AV1" s="22" t="n"/>
      <c r="AW1" s="22" t="n"/>
      <c r="AX1" s="22" t="n"/>
      <c r="AY1" s="22" t="n"/>
      <c r="AZ1" s="22" t="n"/>
      <c r="BA1" s="22" t="n"/>
      <c r="BB1" s="22" t="n"/>
      <c r="BC1" s="22" t="n"/>
      <c r="BD1" s="22" t="n"/>
      <c r="BE1" s="22" t="n"/>
      <c r="BF1" s="22" t="n"/>
      <c r="BG1" s="22" t="n"/>
      <c r="BH1" s="22" t="n"/>
      <c r="BI1" s="22" t="n"/>
      <c r="BJ1" s="22" t="n"/>
      <c r="BK1" s="22" t="n"/>
    </row>
    <row r="2" ht="20" customHeight="1">
      <c r="A2" s="23" t="inlineStr">
        <is>
          <t>1. Scheme identity</t>
        </is>
      </c>
      <c r="B2" s="22" t="n"/>
      <c r="C2" s="22" t="n"/>
      <c r="D2" s="22" t="n"/>
      <c r="E2" s="22" t="n"/>
      <c r="F2" s="22" t="n"/>
      <c r="G2" s="22" t="n"/>
      <c r="H2" s="22" t="n"/>
      <c r="I2" s="22" t="n"/>
      <c r="J2" s="22" t="n"/>
      <c r="K2" s="22" t="n"/>
      <c r="L2" s="22" t="n"/>
      <c r="M2" s="22" t="n"/>
      <c r="N2" s="22" t="n"/>
      <c r="O2" s="22" t="n"/>
      <c r="P2" s="22" t="n"/>
      <c r="Q2" s="24" t="inlineStr">
        <is>
          <t>2. Contract and physical progress</t>
        </is>
      </c>
      <c r="R2" s="25" t="n"/>
      <c r="S2" s="25" t="n"/>
      <c r="T2" s="25" t="n"/>
      <c r="U2" s="25" t="n"/>
      <c r="V2" s="25" t="n"/>
      <c r="W2" s="25" t="n"/>
      <c r="X2" s="25" t="n"/>
      <c r="Y2" s="25" t="n"/>
      <c r="Z2" s="25" t="n"/>
      <c r="AA2" s="25" t="n"/>
      <c r="AB2" s="25" t="n"/>
      <c r="AC2" s="26" t="inlineStr">
        <is>
          <t>3. Live status and schedule health (calculated)</t>
        </is>
      </c>
      <c r="AD2" s="27" t="n"/>
      <c r="AE2" s="27" t="n"/>
      <c r="AF2" s="27" t="n"/>
      <c r="AG2" s="27" t="n"/>
      <c r="AH2" s="27" t="n"/>
      <c r="AI2" s="9" t="inlineStr">
        <is>
          <t>4. Status dates — enter the date each step was reached</t>
        </is>
      </c>
      <c r="AJ2" s="28" t="n"/>
      <c r="AK2" s="28" t="n"/>
      <c r="AL2" s="28" t="n"/>
      <c r="AM2" s="28" t="n"/>
      <c r="AN2" s="28" t="n"/>
      <c r="AO2" s="28" t="n"/>
      <c r="AP2" s="28" t="n"/>
      <c r="AQ2" s="28" t="n"/>
      <c r="AR2" s="28" t="n"/>
      <c r="AS2" s="28" t="n"/>
      <c r="AT2" s="28" t="n"/>
      <c r="AU2" s="28" t="n"/>
      <c r="AV2" s="28" t="n"/>
      <c r="AW2" s="29" t="inlineStr">
        <is>
          <t>5. Days between steps (calculated)</t>
        </is>
      </c>
      <c r="AX2" s="30" t="n"/>
      <c r="AY2" s="30" t="n"/>
      <c r="AZ2" s="30" t="n"/>
      <c r="BA2" s="30" t="n"/>
      <c r="BB2" s="30" t="n"/>
      <c r="BC2" s="30" t="n"/>
      <c r="BD2" s="30" t="n"/>
      <c r="BE2" s="30" t="n"/>
      <c r="BF2" s="30" t="n"/>
      <c r="BG2" s="30" t="n"/>
      <c r="BH2" s="30" t="n"/>
      <c r="BI2" s="30" t="n"/>
    </row>
    <row r="3" ht="36" customHeight="1">
      <c r="A3" s="23" t="inlineStr">
        <is>
          <t>SN</t>
        </is>
      </c>
      <c r="B3" s="23" t="inlineStr">
        <is>
          <t>Package ID</t>
        </is>
      </c>
      <c r="C3" s="23" t="inlineStr">
        <is>
          <t>Package / Contract Name</t>
        </is>
      </c>
      <c r="D3" s="23" t="inlineStr">
        <is>
          <t>Sub-project in package</t>
        </is>
      </c>
      <c r="E3" s="23" t="inlineStr">
        <is>
          <t>Scheme ID</t>
        </is>
      </c>
      <c r="F3" s="23" t="inlineStr">
        <is>
          <t>Sub-project / scheme name</t>
        </is>
      </c>
      <c r="G3" s="23" t="inlineStr">
        <is>
          <t>Major intervention</t>
        </is>
      </c>
      <c r="H3" s="23" t="inlineStr">
        <is>
          <t>Intervention sub-type</t>
        </is>
      </c>
      <c r="I3" s="23" t="inlineStr">
        <is>
          <t>Project Name</t>
        </is>
      </c>
      <c r="J3" s="23" t="inlineStr">
        <is>
          <t>Region</t>
        </is>
      </c>
      <c r="K3" s="23" t="inlineStr">
        <is>
          <t>Province</t>
        </is>
      </c>
      <c r="L3" s="23" t="inlineStr">
        <is>
          <t>District</t>
        </is>
      </c>
      <c r="M3" s="23" t="inlineStr">
        <is>
          <t>Village</t>
        </is>
      </c>
      <c r="N3" s="23" t="inlineStr">
        <is>
          <t>Donor</t>
        </is>
      </c>
      <c r="O3" s="23" t="inlineStr">
        <is>
          <t>Awarded / Not awarded</t>
        </is>
      </c>
      <c r="P3" s="23" t="inlineStr">
        <is>
          <t>Source sheet</t>
        </is>
      </c>
      <c r="Q3" s="24" t="inlineStr">
        <is>
          <t>Contractor Name</t>
        </is>
      </c>
      <c r="R3" s="24" t="inlineStr">
        <is>
          <t>Contract Number</t>
        </is>
      </c>
      <c r="S3" s="24" t="inlineStr">
        <is>
          <t>Contract Cost (USD)</t>
        </is>
      </c>
      <c r="T3" s="24" t="inlineStr">
        <is>
          <t>Awarded Date</t>
        </is>
      </c>
      <c r="U3" s="24" t="inlineStr">
        <is>
          <t>Expected award date</t>
        </is>
      </c>
      <c r="V3" s="24" t="inlineStr">
        <is>
          <t>Contract Duration (months)</t>
        </is>
      </c>
      <c r="W3" s="24" t="inlineStr">
        <is>
          <t>Contract / expected end date</t>
        </is>
      </c>
      <c r="X3" s="24" t="inlineStr">
        <is>
          <t>Planned End Date</t>
        </is>
      </c>
      <c r="Y3" s="24" t="inlineStr">
        <is>
          <t>Actual completion date</t>
        </is>
      </c>
      <c r="Z3" s="24" t="inlineStr">
        <is>
          <t>Physical Works Progress %</t>
        </is>
      </c>
      <c r="AA3" s="24" t="inlineStr">
        <is>
          <t>Reported Status</t>
        </is>
      </c>
      <c r="AB3" s="24" t="inlineStr">
        <is>
          <t>Remarks</t>
        </is>
      </c>
      <c r="AC3" s="26" t="inlineStr">
        <is>
          <t>Current Status (auto)</t>
        </is>
      </c>
      <c r="AD3" s="26" t="inlineStr">
        <is>
          <t>Days in current status</t>
        </is>
      </c>
      <c r="AE3" s="26" t="inlineStr">
        <is>
          <t>Total days first → last step</t>
        </is>
      </c>
      <c r="AF3" s="26" t="inlineStr">
        <is>
          <t>Days over target this step</t>
        </is>
      </c>
      <c r="AG3" s="26" t="inlineStr">
        <is>
          <t>Schedule health</t>
        </is>
      </c>
      <c r="AH3" s="26" t="inlineStr">
        <is>
          <t>Days vs planned date</t>
        </is>
      </c>
      <c r="AI3" s="9" t="inlineStr">
        <is>
          <t>IF('06_Status_Pipeline'!B3="","(spare slot 1)","Date: "&amp;'06_Status_Pipeline'!B3)</t>
        </is>
      </c>
      <c r="AJ3" s="9" t="inlineStr">
        <is>
          <t>IF('06_Status_Pipeline'!B4="","(spare slot 2)","Date: "&amp;'06_Status_Pipeline'!B4)</t>
        </is>
      </c>
      <c r="AK3" s="9" t="inlineStr">
        <is>
          <t>IF('06_Status_Pipeline'!B5="","(spare slot 3)","Date: "&amp;'06_Status_Pipeline'!B5)</t>
        </is>
      </c>
      <c r="AL3" s="9" t="inlineStr">
        <is>
          <t>IF('06_Status_Pipeline'!B6="","(spare slot 4)","Date: "&amp;'06_Status_Pipeline'!B6)</t>
        </is>
      </c>
      <c r="AM3" s="9" t="inlineStr">
        <is>
          <t>IF('06_Status_Pipeline'!B7="","(spare slot 5)","Date: "&amp;'06_Status_Pipeline'!B7)</t>
        </is>
      </c>
      <c r="AN3" s="9" t="inlineStr">
        <is>
          <t>IF('06_Status_Pipeline'!B8="","(spare slot 6)","Date: "&amp;'06_Status_Pipeline'!B8)</t>
        </is>
      </c>
      <c r="AO3" s="9" t="inlineStr">
        <is>
          <t>IF('06_Status_Pipeline'!B9="","(spare slot 7)","Date: "&amp;'06_Status_Pipeline'!B9)</t>
        </is>
      </c>
      <c r="AP3" s="9" t="inlineStr">
        <is>
          <t>IF('06_Status_Pipeline'!B10="","(spare slot 8)","Date: "&amp;'06_Status_Pipeline'!B10)</t>
        </is>
      </c>
      <c r="AQ3" s="9" t="inlineStr">
        <is>
          <t>IF('06_Status_Pipeline'!B11="","(spare slot 9)","Date: "&amp;'06_Status_Pipeline'!B11)</t>
        </is>
      </c>
      <c r="AR3" s="9" t="inlineStr">
        <is>
          <t>IF('06_Status_Pipeline'!B12="","(spare slot 10)","Date: "&amp;'06_Status_Pipeline'!B12)</t>
        </is>
      </c>
      <c r="AS3" s="9" t="inlineStr">
        <is>
          <t>IF('06_Status_Pipeline'!B13="","(spare slot 11)","Date: "&amp;'06_Status_Pipeline'!B13)</t>
        </is>
      </c>
      <c r="AT3" s="9" t="inlineStr">
        <is>
          <t>IF('06_Status_Pipeline'!B14="","(spare slot 12)","Date: "&amp;'06_Status_Pipeline'!B14)</t>
        </is>
      </c>
      <c r="AU3" s="9" t="inlineStr">
        <is>
          <t>IF('06_Status_Pipeline'!B15="","(spare slot 13)","Date: "&amp;'06_Status_Pipeline'!B15)</t>
        </is>
      </c>
      <c r="AV3" s="9" t="inlineStr">
        <is>
          <t>IF('06_Status_Pipeline'!B16="","(spare slot 14)","Date: "&amp;'06_Status_Pipeline'!B16)</t>
        </is>
      </c>
      <c r="AW3" s="29" t="inlineStr">
        <is>
          <t>IF(AND('06_Status_Pipeline'!B3="",'06_Status_Pipeline'!B4=""),"(spare)","Days: "&amp;IF('06_Status_Pipeline'!B3="","(prev)",'06_Status_Pipeline'!B3)&amp;" → "&amp;IF('06_Status_Pipeline'!B4="","(next)",'06_Status_Pipeline'!B4))</t>
        </is>
      </c>
      <c r="AX3" s="29" t="inlineStr">
        <is>
          <t>IF(AND('06_Status_Pipeline'!B4="",'06_Status_Pipeline'!B5=""),"(spare)","Days: "&amp;IF('06_Status_Pipeline'!B4="","(prev)",'06_Status_Pipeline'!B4)&amp;" → "&amp;IF('06_Status_Pipeline'!B5="","(next)",'06_Status_Pipeline'!B5))</t>
        </is>
      </c>
      <c r="AY3" s="29" t="inlineStr">
        <is>
          <t>IF(AND('06_Status_Pipeline'!B5="",'06_Status_Pipeline'!B6=""),"(spare)","Days: "&amp;IF('06_Status_Pipeline'!B5="","(prev)",'06_Status_Pipeline'!B5)&amp;" → "&amp;IF('06_Status_Pipeline'!B6="","(next)",'06_Status_Pipeline'!B6))</t>
        </is>
      </c>
      <c r="AZ3" s="29" t="inlineStr">
        <is>
          <t>IF(AND('06_Status_Pipeline'!B6="",'06_Status_Pipeline'!B7=""),"(spare)","Days: "&amp;IF('06_Status_Pipeline'!B6="","(prev)",'06_Status_Pipeline'!B6)&amp;" → "&amp;IF('06_Status_Pipeline'!B7="","(next)",'06_Status_Pipeline'!B7))</t>
        </is>
      </c>
      <c r="BA3" s="29" t="inlineStr">
        <is>
          <t>IF(AND('06_Status_Pipeline'!B7="",'06_Status_Pipeline'!B8=""),"(spare)","Days: "&amp;IF('06_Status_Pipeline'!B7="","(prev)",'06_Status_Pipeline'!B7)&amp;" → "&amp;IF('06_Status_Pipeline'!B8="","(next)",'06_Status_Pipeline'!B8))</t>
        </is>
      </c>
      <c r="BB3" s="29" t="inlineStr">
        <is>
          <t>IF(AND('06_Status_Pipeline'!B8="",'06_Status_Pipeline'!B9=""),"(spare)","Days: "&amp;IF('06_Status_Pipeline'!B8="","(prev)",'06_Status_Pipeline'!B8)&amp;" → "&amp;IF('06_Status_Pipeline'!B9="","(next)",'06_Status_Pipeline'!B9))</t>
        </is>
      </c>
      <c r="BC3" s="29" t="inlineStr">
        <is>
          <t>IF(AND('06_Status_Pipeline'!B9="",'06_Status_Pipeline'!B10=""),"(spare)","Days: "&amp;IF('06_Status_Pipeline'!B9="","(prev)",'06_Status_Pipeline'!B9)&amp;" → "&amp;IF('06_Status_Pipeline'!B10="","(next)",'06_Status_Pipeline'!B10))</t>
        </is>
      </c>
      <c r="BD3" s="29" t="inlineStr">
        <is>
          <t>IF(AND('06_Status_Pipeline'!B10="",'06_Status_Pipeline'!B11=""),"(spare)","Days: "&amp;IF('06_Status_Pipeline'!B10="","(prev)",'06_Status_Pipeline'!B10)&amp;" → "&amp;IF('06_Status_Pipeline'!B11="","(next)",'06_Status_Pipeline'!B11))</t>
        </is>
      </c>
      <c r="BE3" s="29" t="inlineStr">
        <is>
          <t>IF(AND('06_Status_Pipeline'!B11="",'06_Status_Pipeline'!B12=""),"(spare)","Days: "&amp;IF('06_Status_Pipeline'!B11="","(prev)",'06_Status_Pipeline'!B11)&amp;" → "&amp;IF('06_Status_Pipeline'!B12="","(next)",'06_Status_Pipeline'!B12))</t>
        </is>
      </c>
      <c r="BF3" s="29" t="inlineStr">
        <is>
          <t>IF(AND('06_Status_Pipeline'!B12="",'06_Status_Pipeline'!B13=""),"(spare)","Days: "&amp;IF('06_Status_Pipeline'!B12="","(prev)",'06_Status_Pipeline'!B12)&amp;" → "&amp;IF('06_Status_Pipeline'!B13="","(next)",'06_Status_Pipeline'!B13))</t>
        </is>
      </c>
      <c r="BG3" s="29" t="inlineStr">
        <is>
          <t>IF(AND('06_Status_Pipeline'!B13="",'06_Status_Pipeline'!B14=""),"(spare)","Days: "&amp;IF('06_Status_Pipeline'!B13="","(prev)",'06_Status_Pipeline'!B13)&amp;" → "&amp;IF('06_Status_Pipeline'!B14="","(next)",'06_Status_Pipeline'!B14))</t>
        </is>
      </c>
      <c r="BH3" s="29" t="inlineStr">
        <is>
          <t>IF(AND('06_Status_Pipeline'!B14="",'06_Status_Pipeline'!B15=""),"(spare)","Days: "&amp;IF('06_Status_Pipeline'!B14="","(prev)",'06_Status_Pipeline'!B14)&amp;" → "&amp;IF('06_Status_Pipeline'!B15="","(next)",'06_Status_Pipeline'!B15))</t>
        </is>
      </c>
      <c r="BI3" s="29" t="inlineStr">
        <is>
          <t>IF(AND('06_Status_Pipeline'!B15="",'06_Status_Pipeline'!B16=""),"(spare)","Days: "&amp;IF('06_Status_Pipeline'!B15="","(prev)",'06_Status_Pipeline'!B15)&amp;" → "&amp;IF('06_Status_Pipeline'!B16="","(next)",'06_Status_Pipeline'!B16))</t>
        </is>
      </c>
      <c r="BJ3" s="31" t="inlineStr">
        <is>
          <t>_ProvinceList</t>
        </is>
      </c>
      <c r="BK3" s="31" t="inlineStr">
        <is>
          <t>_DistrictList</t>
        </is>
      </c>
    </row>
    <row r="4" ht="18" customHeight="1">
      <c r="A4" s="32" t="inlineStr">
        <is>
          <t>IF(F4="","",ROW()-3)</t>
        </is>
      </c>
      <c r="B4" s="33" t="inlineStr">
        <is>
          <t>AF2-AGF-ALL</t>
        </is>
      </c>
      <c r="C4" s="33" t="inlineStr">
        <is>
          <t>Agroforestry saplings and seeds 2026/27</t>
        </is>
      </c>
      <c r="D4" s="33" t="inlineStr">
        <is>
          <t>1 of 39</t>
        </is>
      </c>
      <c r="E4" s="34" t="inlineStr">
        <is>
          <t>AF2-AGF-N-001</t>
        </is>
      </c>
      <c r="F4" s="34" t="inlineStr">
        <is>
          <t>Agroforestry — Badakhshan / Wardoj</t>
        </is>
      </c>
      <c r="G4" s="34" t="inlineStr">
        <is>
          <t>Agroforestry saplings / seeds</t>
        </is>
      </c>
      <c r="H4" s="34" t="inlineStr">
        <is>
          <t>Saplings and seeds</t>
        </is>
      </c>
      <c r="I4" s="34" t="inlineStr">
        <is>
          <t>Emergency Food Security Project (EFSP) – WBK/AF-2</t>
        </is>
      </c>
      <c r="J4" s="34" t="inlineStr">
        <is>
          <t>Northeast / Kunduz</t>
        </is>
      </c>
      <c r="K4" s="34" t="inlineStr">
        <is>
          <t>Badakhshan</t>
        </is>
      </c>
      <c r="L4" s="34" t="inlineStr">
        <is>
          <t>Wardoj</t>
        </is>
      </c>
      <c r="M4" s="34" t="inlineStr">
        <is>
          <t>Saplings: 8184; Seeds kg: 495</t>
        </is>
      </c>
      <c r="N4" s="34" t="inlineStr">
        <is>
          <t>World Bank (WBK/AF-2)</t>
        </is>
      </c>
      <c r="O4" s="34" t="inlineStr">
        <is>
          <t>Not awarded</t>
        </is>
      </c>
      <c r="P4" s="34" t="inlineStr">
        <is>
          <t>7. Agroforestry Saplings-seeds</t>
        </is>
      </c>
      <c r="Q4" s="34" t="inlineStr"/>
      <c r="R4" s="34" t="inlineStr"/>
      <c r="S4" s="35" t="n"/>
      <c r="T4" s="36" t="inlineStr">
        <is>
          <t>IF(AQ4="","",AQ4)</t>
        </is>
      </c>
      <c r="U4" s="37" t="n">
        <v>46142</v>
      </c>
      <c r="V4" s="38" t="n">
        <v>12</v>
      </c>
      <c r="W4" s="37" t="n">
        <v>46478</v>
      </c>
      <c r="X4" s="36" t="inlineStr">
        <is>
          <t>IF(W4&lt;&gt;"",W4,IF(OR(T4="",V4=""),"",EDATE(T4,V4)))</t>
        </is>
      </c>
      <c r="Y4" s="37" t="n"/>
      <c r="Z4" s="38" t="n"/>
      <c r="AA4" s="34" t="inlineStr">
        <is>
          <t>Under Awarding</t>
        </is>
      </c>
      <c r="AB4" s="34" t="inlineStr">
        <is>
          <t>The saplings PO has already been issued and PO for seeds is expected to be issued in November 2026</t>
        </is>
      </c>
      <c r="AC4" s="32" t="inlineStr">
        <is>
          <t>IF(F4="","",IF(COUNT(AI4:AV4)=0,IF(AA4="","Not started",AA4),SUBSTITUTE(LOOKUP(2,1/(AI4:AV4&lt;&gt;""),$AI$3:$AV$3),"Date: ","")))</t>
        </is>
      </c>
      <c r="AD4" s="39" t="inlineStr">
        <is>
          <t>IF(OR(F4="",COUNT(AI4:AV4)=0),"",TODAY()-LOOKUP(2,1/(AI4:AV4&lt;&gt;""),AI4:AV4))</t>
        </is>
      </c>
      <c r="AE4" s="39" t="inlineStr">
        <is>
          <t>IF(OR(F4="",COUNT(AI4:AV4)&lt;2),"",LOOKUP(2,1/(AI4:AV4&lt;&gt;""),AI4:AV4)-MIN(AI4:AV4))</t>
        </is>
      </c>
      <c r="AF4" s="39" t="inlineStr">
        <is>
          <t>IF(OR(AD4="",AC4="Not started",AC4=""),"",IFERROR(AD4-IF(VLOOKUP(AC4,'06_Status_Pipeline'!$B$3:$E$20,4,FALSE)="",0,VLOOKUP(AC4,'06_Status_Pipeline'!$B$3:$E$20,4,FALSE)),""))</t>
        </is>
      </c>
      <c r="AG4" s="32" t="inlineStr">
        <is>
          <t>IF(F4="","",IF(OR(AA4="Cancelled",AC4="Cancelled"),"Cancelled",IF(OR(AC4="Completed / Handover",Y4&lt;&gt;"",Z4&gt;=100),"Completed — on track",IF(O4="Not awarded",IF(U4="",IF(X4="","No planned date",IF(TODAY()&gt;X4,"Behind — past planned date",IF(X4-TODAY()&lt;=30,"At risk — close to off track","On track"))),IF(TODAY()&gt;U4,"Behind — award date passed",IF(U4-TODAY()&lt;=30,"At risk — close to off track","On track"))),IF(X4="","No planned date",IF(AND(TODAY()&gt;X4,OR(Z4="",Z4&lt;100)),"Behind — past end date",IF(AND(T4&lt;&gt;"",X4&lt;&gt;"",Z4&lt;&gt;"",(Z4&lt;100),((TODAY()-T4)/MAX(X4-T4,1)*100)-Z4&gt;15),"Behind — progress lag",IF(AND(X4-TODAY()&lt;=30,X4-TODAY()&gt;=0,OR(Z4="",Z4&lt;90)),"At risk — close to off track","On track"))))))))</t>
        </is>
      </c>
      <c r="AH4" s="39" t="inlineStr">
        <is>
          <t>IF(OR(F4="",AC4="Completed / Handover",AC4="Cancelled"),"",IF(O4="Not awarded",IF(U4&lt;&gt;"",U4-TODAY(),IF(X4="","",X4-TODAY())),IF(X4="","",X4-TODAY())))</t>
        </is>
      </c>
      <c r="AI4" s="37" t="n"/>
      <c r="AJ4" s="37" t="n"/>
      <c r="AK4" s="37" t="n"/>
      <c r="AL4" s="37" t="n"/>
      <c r="AM4" s="37" t="n"/>
      <c r="AN4" s="37" t="n"/>
      <c r="AO4" s="37" t="n"/>
      <c r="AP4" s="37" t="n"/>
      <c r="AQ4" s="37" t="n"/>
      <c r="AR4" s="37" t="n"/>
      <c r="AS4" s="37" t="n"/>
      <c r="AT4" s="40" t="n"/>
      <c r="AU4" s="40" t="n"/>
      <c r="AV4" s="40" t="n"/>
      <c r="AW4" s="39" t="inlineStr">
        <is>
          <t>IF(OR(F4="",AJ4=""),"",IF(COUNT(AI4:AI4)=0,"",AJ4-LOOKUP(2,1/(AI4:AI4&lt;&gt;""),AI4:AI4)))</t>
        </is>
      </c>
      <c r="AX4" s="39" t="inlineStr">
        <is>
          <t>IF(OR(F4="",AK4=""),"",IF(COUNT(AI4:AJ4)=0,"",AK4-LOOKUP(2,1/(AI4:AJ4&lt;&gt;""),AI4:AJ4)))</t>
        </is>
      </c>
      <c r="AY4" s="39" t="inlineStr">
        <is>
          <t>IF(OR(F4="",AL4=""),"",IF(COUNT(AI4:AK4)=0,"",AL4-LOOKUP(2,1/(AI4:AK4&lt;&gt;""),AI4:AK4)))</t>
        </is>
      </c>
      <c r="AZ4" s="39" t="inlineStr">
        <is>
          <t>IF(OR(F4="",AM4=""),"",IF(COUNT(AI4:AL4)=0,"",AM4-LOOKUP(2,1/(AI4:AL4&lt;&gt;""),AI4:AL4)))</t>
        </is>
      </c>
      <c r="BA4" s="39" t="inlineStr">
        <is>
          <t>IF(OR(F4="",AN4=""),"",IF(COUNT(AI4:AM4)=0,"",AN4-LOOKUP(2,1/(AI4:AM4&lt;&gt;""),AI4:AM4)))</t>
        </is>
      </c>
      <c r="BB4" s="39" t="inlineStr">
        <is>
          <t>IF(OR(F4="",AO4=""),"",IF(COUNT(AI4:AN4)=0,"",AO4-LOOKUP(2,1/(AI4:AN4&lt;&gt;""),AI4:AN4)))</t>
        </is>
      </c>
      <c r="BC4" s="39" t="inlineStr">
        <is>
          <t>IF(OR(F4="",AP4=""),"",IF(COUNT(AI4:AO4)=0,"",AP4-LOOKUP(2,1/(AI4:AO4&lt;&gt;""),AI4:AO4)))</t>
        </is>
      </c>
      <c r="BD4" s="39" t="inlineStr">
        <is>
          <t>IF(OR(F4="",AQ4=""),"",IF(COUNT(AI4:AP4)=0,"",AQ4-LOOKUP(2,1/(AI4:AP4&lt;&gt;""),AI4:AP4)))</t>
        </is>
      </c>
      <c r="BE4" s="39" t="inlineStr">
        <is>
          <t>IF(OR(F4="",AR4=""),"",IF(COUNT(AI4:AQ4)=0,"",AR4-LOOKUP(2,1/(AI4:AQ4&lt;&gt;""),AI4:AQ4)))</t>
        </is>
      </c>
      <c r="BF4" s="39" t="inlineStr">
        <is>
          <t>IF(OR(F4="",AS4=""),"",IF(COUNT(AI4:AR4)=0,"",AS4-LOOKUP(2,1/(AI4:AR4&lt;&gt;""),AI4:AR4)))</t>
        </is>
      </c>
      <c r="BG4" s="39" t="inlineStr">
        <is>
          <t>IF(OR(F4="",AT4=""),"",IF(COUNT(AI4:AS4)=0,"",AT4-LOOKUP(2,1/(AI4:AS4&lt;&gt;""),AI4:AS4)))</t>
        </is>
      </c>
      <c r="BH4" s="39" t="inlineStr">
        <is>
          <t>IF(OR(F4="",AU4=""),"",IF(COUNT(AI4:AT4)=0,"",AU4-LOOKUP(2,1/(AI4:AT4&lt;&gt;""),AI4:AT4)))</t>
        </is>
      </c>
      <c r="BI4" s="39" t="inlineStr">
        <is>
          <t>IF(OR(F4="",AV4=""),"",IF(COUNT(AI4:AU4)=0,"",AV4-LOOKUP(2,1/(AI4:AU4&lt;&gt;""),AI4:AU4)))</t>
        </is>
      </c>
      <c r="BJ4" s="41" t="inlineStr">
        <is>
          <t>IF(J4="","All_Provinces",IFERROR(VLOOKUP(J4,'09_Lookups'!$A$4:$B$20,2,FALSE),"All_Provinces"))</t>
        </is>
      </c>
      <c r="BK4" s="41" t="inlineStr">
        <is>
          <t>IF(K4="","All_Districts",IFERROR(VLOOKUP(K4,'09_Lookups'!$E$4:$F$42,2,FALSE),"All_Districts"))</t>
        </is>
      </c>
    </row>
    <row r="5" outlineLevel="1" ht="18" customHeight="1">
      <c r="A5" s="42" t="inlineStr">
        <is>
          <t>IF(F5="","",ROW()-3)</t>
        </is>
      </c>
      <c r="B5" s="43" t="inlineStr">
        <is>
          <t>AF2-AGF-ALL</t>
        </is>
      </c>
      <c r="C5" s="43" t="inlineStr">
        <is>
          <t>Agroforestry saplings and seeds 2026/27</t>
        </is>
      </c>
      <c r="D5" s="43" t="inlineStr">
        <is>
          <t>2 of 39</t>
        </is>
      </c>
      <c r="E5" s="44" t="inlineStr">
        <is>
          <t>AF2-AGF-N-002</t>
        </is>
      </c>
      <c r="F5" s="44" t="inlineStr">
        <is>
          <t>Agroforestry — Badghis / Sang Atish</t>
        </is>
      </c>
      <c r="G5" s="44" t="inlineStr">
        <is>
          <t>Agroforestry saplings / seeds</t>
        </is>
      </c>
      <c r="H5" s="44" t="inlineStr">
        <is>
          <t>Saplings and seeds</t>
        </is>
      </c>
      <c r="I5" s="44" t="inlineStr">
        <is>
          <t>Emergency Food Security Project (EFSP) – WBK/AF-2</t>
        </is>
      </c>
      <c r="J5" s="44" t="inlineStr">
        <is>
          <t>West / Herat</t>
        </is>
      </c>
      <c r="K5" s="44" t="inlineStr">
        <is>
          <t>Badghis</t>
        </is>
      </c>
      <c r="L5" s="44" t="inlineStr">
        <is>
          <t>Sang Atish</t>
        </is>
      </c>
      <c r="M5" s="44" t="inlineStr">
        <is>
          <t>Saplings: 0; Seeds kg: 20</t>
        </is>
      </c>
      <c r="N5" s="44" t="inlineStr">
        <is>
          <t>World Bank (WBK/AF-2)</t>
        </is>
      </c>
      <c r="O5" s="44" t="inlineStr">
        <is>
          <t>Not awarded</t>
        </is>
      </c>
      <c r="P5" s="44" t="inlineStr">
        <is>
          <t>7. Agroforestry Saplings-seeds</t>
        </is>
      </c>
      <c r="Q5" s="44" t="inlineStr"/>
      <c r="R5" s="44" t="inlineStr"/>
      <c r="S5" s="45" t="n"/>
      <c r="T5" s="46" t="inlineStr">
        <is>
          <t>IF(AQ5="","",AQ5)</t>
        </is>
      </c>
      <c r="U5" s="47" t="n">
        <v>46142</v>
      </c>
      <c r="V5" s="48" t="n">
        <v>12</v>
      </c>
      <c r="W5" s="47" t="n">
        <v>46478</v>
      </c>
      <c r="X5" s="46" t="inlineStr">
        <is>
          <t>IF(W5&lt;&gt;"",W5,IF(OR(T5="",V5=""),"",EDATE(T5,V5)))</t>
        </is>
      </c>
      <c r="Y5" s="47" t="n"/>
      <c r="Z5" s="48" t="n"/>
      <c r="AA5" s="44" t="inlineStr">
        <is>
          <t>Under Awarding</t>
        </is>
      </c>
      <c r="AB5" s="44" t="inlineStr">
        <is>
          <t>The saplings PO has already been issued and PO for seeds is expected to be issued in November 2026</t>
        </is>
      </c>
      <c r="AC5" s="42" t="inlineStr">
        <is>
          <t>IF(F5="","",IF(COUNT(AI5:AV5)=0,IF(AA5="","Not started",AA5),SUBSTITUTE(LOOKUP(2,1/(AI5:AV5&lt;&gt;""),$AI$3:$AV$3),"Date: ","")))</t>
        </is>
      </c>
      <c r="AD5" s="49" t="inlineStr">
        <is>
          <t>IF(OR(F5="",COUNT(AI5:AV5)=0),"",TODAY()-LOOKUP(2,1/(AI5:AV5&lt;&gt;""),AI5:AV5))</t>
        </is>
      </c>
      <c r="AE5" s="49" t="inlineStr">
        <is>
          <t>IF(OR(F5="",COUNT(AI5:AV5)&lt;2),"",LOOKUP(2,1/(AI5:AV5&lt;&gt;""),AI5:AV5)-MIN(AI5:AV5))</t>
        </is>
      </c>
      <c r="AF5" s="49" t="inlineStr">
        <is>
          <t>IF(OR(AD5="",AC5="Not started",AC5=""),"",IFERROR(AD5-IF(VLOOKUP(AC5,'06_Status_Pipeline'!$B$3:$E$20,4,FALSE)="",0,VLOOKUP(AC5,'06_Status_Pipeline'!$B$3:$E$20,4,FALSE)),""))</t>
        </is>
      </c>
      <c r="AG5" s="42" t="inlineStr">
        <is>
          <t>IF(F5="","",IF(OR(AA5="Cancelled",AC5="Cancelled"),"Cancelled",IF(OR(AC5="Completed / Handover",Y5&lt;&gt;"",Z5&gt;=100),"Completed — on track",IF(O5="Not awarded",IF(U5="",IF(X5="","No planned date",IF(TODAY()&gt;X5,"Behind — past planned date",IF(X5-TODAY()&lt;=30,"At risk — close to off track","On track"))),IF(TODAY()&gt;U5,"Behind — award date passed",IF(U5-TODAY()&lt;=30,"At risk — close to off track","On track"))),IF(X5="","No planned date",IF(AND(TODAY()&gt;X5,OR(Z5="",Z5&lt;100)),"Behind — past end date",IF(AND(T5&lt;&gt;"",X5&lt;&gt;"",Z5&lt;&gt;"",(Z5&lt;100),((TODAY()-T5)/MAX(X5-T5,1)*100)-Z5&gt;15),"Behind — progress lag",IF(AND(X5-TODAY()&lt;=30,X5-TODAY()&gt;=0,OR(Z5="",Z5&lt;90)),"At risk — close to off track","On track"))))))))</t>
        </is>
      </c>
      <c r="AH5" s="49" t="inlineStr">
        <is>
          <t>IF(OR(F5="",AC5="Completed / Handover",AC5="Cancelled"),"",IF(O5="Not awarded",IF(U5&lt;&gt;"",U5-TODAY(),IF(X5="","",X5-TODAY())),IF(X5="","",X5-TODAY())))</t>
        </is>
      </c>
      <c r="AI5" s="47" t="n"/>
      <c r="AJ5" s="47" t="n"/>
      <c r="AK5" s="47" t="n"/>
      <c r="AL5" s="47" t="n"/>
      <c r="AM5" s="47" t="n"/>
      <c r="AN5" s="47" t="n"/>
      <c r="AO5" s="47" t="n"/>
      <c r="AP5" s="47" t="n"/>
      <c r="AQ5" s="47" t="n"/>
      <c r="AR5" s="47" t="n"/>
      <c r="AS5" s="47" t="n"/>
      <c r="AT5" s="50" t="n"/>
      <c r="AU5" s="50" t="n"/>
      <c r="AV5" s="50" t="n"/>
      <c r="AW5" s="49" t="inlineStr">
        <is>
          <t>IF(OR(F5="",AJ5=""),"",IF(COUNT(AI5:AI5)=0,"",AJ5-LOOKUP(2,1/(AI5:AI5&lt;&gt;""),AI5:AI5)))</t>
        </is>
      </c>
      <c r="AX5" s="49" t="inlineStr">
        <is>
          <t>IF(OR(F5="",AK5=""),"",IF(COUNT(AI5:AJ5)=0,"",AK5-LOOKUP(2,1/(AI5:AJ5&lt;&gt;""),AI5:AJ5)))</t>
        </is>
      </c>
      <c r="AY5" s="49" t="inlineStr">
        <is>
          <t>IF(OR(F5="",AL5=""),"",IF(COUNT(AI5:AK5)=0,"",AL5-LOOKUP(2,1/(AI5:AK5&lt;&gt;""),AI5:AK5)))</t>
        </is>
      </c>
      <c r="AZ5" s="49" t="inlineStr">
        <is>
          <t>IF(OR(F5="",AM5=""),"",IF(COUNT(AI5:AL5)=0,"",AM5-LOOKUP(2,1/(AI5:AL5&lt;&gt;""),AI5:AL5)))</t>
        </is>
      </c>
      <c r="BA5" s="49" t="inlineStr">
        <is>
          <t>IF(OR(F5="",AN5=""),"",IF(COUNT(AI5:AM5)=0,"",AN5-LOOKUP(2,1/(AI5:AM5&lt;&gt;""),AI5:AM5)))</t>
        </is>
      </c>
      <c r="BB5" s="49" t="inlineStr">
        <is>
          <t>IF(OR(F5="",AO5=""),"",IF(COUNT(AI5:AN5)=0,"",AO5-LOOKUP(2,1/(AI5:AN5&lt;&gt;""),AI5:AN5)))</t>
        </is>
      </c>
      <c r="BC5" s="49" t="inlineStr">
        <is>
          <t>IF(OR(F5="",AP5=""),"",IF(COUNT(AI5:AO5)=0,"",AP5-LOOKUP(2,1/(AI5:AO5&lt;&gt;""),AI5:AO5)))</t>
        </is>
      </c>
      <c r="BD5" s="49" t="inlineStr">
        <is>
          <t>IF(OR(F5="",AQ5=""),"",IF(COUNT(AI5:AP5)=0,"",AQ5-LOOKUP(2,1/(AI5:AP5&lt;&gt;""),AI5:AP5)))</t>
        </is>
      </c>
      <c r="BE5" s="49" t="inlineStr">
        <is>
          <t>IF(OR(F5="",AR5=""),"",IF(COUNT(AI5:AQ5)=0,"",AR5-LOOKUP(2,1/(AI5:AQ5&lt;&gt;""),AI5:AQ5)))</t>
        </is>
      </c>
      <c r="BF5" s="49" t="inlineStr">
        <is>
          <t>IF(OR(F5="",AS5=""),"",IF(COUNT(AI5:AR5)=0,"",AS5-LOOKUP(2,1/(AI5:AR5&lt;&gt;""),AI5:AR5)))</t>
        </is>
      </c>
      <c r="BG5" s="49" t="inlineStr">
        <is>
          <t>IF(OR(F5="",AT5=""),"",IF(COUNT(AI5:AS5)=0,"",AT5-LOOKUP(2,1/(AI5:AS5&lt;&gt;""),AI5:AS5)))</t>
        </is>
      </c>
      <c r="BH5" s="49" t="inlineStr">
        <is>
          <t>IF(OR(F5="",AU5=""),"",IF(COUNT(AI5:AT5)=0,"",AU5-LOOKUP(2,1/(AI5:AT5&lt;&gt;""),AI5:AT5)))</t>
        </is>
      </c>
      <c r="BI5" s="49" t="inlineStr">
        <is>
          <t>IF(OR(F5="",AV5=""),"",IF(COUNT(AI5:AU5)=0,"",AV5-LOOKUP(2,1/(AI5:AU5&lt;&gt;""),AI5:AU5)))</t>
        </is>
      </c>
      <c r="BJ5" s="51" t="inlineStr">
        <is>
          <t>IF(J5="","All_Provinces",IFERROR(VLOOKUP(J5,'09_Lookups'!$A$4:$B$20,2,FALSE),"All_Provinces"))</t>
        </is>
      </c>
      <c r="BK5" s="51" t="inlineStr">
        <is>
          <t>IF(K5="","All_Districts",IFERROR(VLOOKUP(K5,'09_Lookups'!$E$4:$F$42,2,FALSE),"All_Districts"))</t>
        </is>
      </c>
    </row>
    <row r="6" outlineLevel="1" ht="18" customHeight="1">
      <c r="A6" s="42" t="inlineStr">
        <is>
          <t>IF(F6="","",ROW()-3)</t>
        </is>
      </c>
      <c r="B6" s="43" t="inlineStr">
        <is>
          <t>AF2-AGF-ALL</t>
        </is>
      </c>
      <c r="C6" s="43" t="inlineStr">
        <is>
          <t>Agroforestry saplings and seeds 2026/27</t>
        </is>
      </c>
      <c r="D6" s="43" t="inlineStr">
        <is>
          <t>3 of 39</t>
        </is>
      </c>
      <c r="E6" s="52" t="inlineStr">
        <is>
          <t>AF2-AGF-N-003</t>
        </is>
      </c>
      <c r="F6" s="52" t="inlineStr">
        <is>
          <t>Agroforestry — Baghlan / Banu</t>
        </is>
      </c>
      <c r="G6" s="52" t="inlineStr">
        <is>
          <t>Agroforestry saplings / seeds</t>
        </is>
      </c>
      <c r="H6" s="52" t="inlineStr">
        <is>
          <t>Saplings and seeds</t>
        </is>
      </c>
      <c r="I6" s="52" t="inlineStr">
        <is>
          <t>Emergency Food Security Project (EFSP) – WBK/AF-2</t>
        </is>
      </c>
      <c r="J6" s="52" t="inlineStr">
        <is>
          <t>Northeast / Kunduz</t>
        </is>
      </c>
      <c r="K6" s="52" t="inlineStr">
        <is>
          <t>Baghlan</t>
        </is>
      </c>
      <c r="L6" s="52" t="inlineStr">
        <is>
          <t>Banu</t>
        </is>
      </c>
      <c r="M6" s="52" t="inlineStr">
        <is>
          <t>Saplings: 8316; Seeds kg: 121</t>
        </is>
      </c>
      <c r="N6" s="52" t="inlineStr">
        <is>
          <t>World Bank (WBK/AF-2)</t>
        </is>
      </c>
      <c r="O6" s="52" t="inlineStr">
        <is>
          <t>Not awarded</t>
        </is>
      </c>
      <c r="P6" s="52" t="inlineStr">
        <is>
          <t>7. Agroforestry Saplings-seeds</t>
        </is>
      </c>
      <c r="Q6" s="52" t="inlineStr"/>
      <c r="R6" s="52" t="inlineStr"/>
      <c r="S6" s="53" t="n"/>
      <c r="T6" s="46" t="inlineStr">
        <is>
          <t>IF(AQ6="","",AQ6)</t>
        </is>
      </c>
      <c r="U6" s="54" t="n">
        <v>46142</v>
      </c>
      <c r="V6" s="55" t="n">
        <v>12</v>
      </c>
      <c r="W6" s="54" t="n">
        <v>46478</v>
      </c>
      <c r="X6" s="46" t="inlineStr">
        <is>
          <t>IF(W6&lt;&gt;"",W6,IF(OR(T6="",V6=""),"",EDATE(T6,V6)))</t>
        </is>
      </c>
      <c r="Y6" s="54" t="n"/>
      <c r="Z6" s="55" t="n"/>
      <c r="AA6" s="52" t="inlineStr">
        <is>
          <t>Under Awarding</t>
        </is>
      </c>
      <c r="AB6" s="52" t="inlineStr">
        <is>
          <t>The saplings PO has already been issued and PO for seeds is expected to be issued in November 2026</t>
        </is>
      </c>
      <c r="AC6" s="42" t="inlineStr">
        <is>
          <t>IF(F6="","",IF(COUNT(AI6:AV6)=0,IF(AA6="","Not started",AA6),SUBSTITUTE(LOOKUP(2,1/(AI6:AV6&lt;&gt;""),$AI$3:$AV$3),"Date: ","")))</t>
        </is>
      </c>
      <c r="AD6" s="49" t="inlineStr">
        <is>
          <t>IF(OR(F6="",COUNT(AI6:AV6)=0),"",TODAY()-LOOKUP(2,1/(AI6:AV6&lt;&gt;""),AI6:AV6))</t>
        </is>
      </c>
      <c r="AE6" s="49" t="inlineStr">
        <is>
          <t>IF(OR(F6="",COUNT(AI6:AV6)&lt;2),"",LOOKUP(2,1/(AI6:AV6&lt;&gt;""),AI6:AV6)-MIN(AI6:AV6))</t>
        </is>
      </c>
      <c r="AF6" s="49" t="inlineStr">
        <is>
          <t>IF(OR(AD6="",AC6="Not started",AC6=""),"",IFERROR(AD6-IF(VLOOKUP(AC6,'06_Status_Pipeline'!$B$3:$E$20,4,FALSE)="",0,VLOOKUP(AC6,'06_Status_Pipeline'!$B$3:$E$20,4,FALSE)),""))</t>
        </is>
      </c>
      <c r="AG6" s="42" t="inlineStr">
        <is>
          <t>IF(F6="","",IF(OR(AA6="Cancelled",AC6="Cancelled"),"Cancelled",IF(OR(AC6="Completed / Handover",Y6&lt;&gt;"",Z6&gt;=100),"Completed — on track",IF(O6="Not awarded",IF(U6="",IF(X6="","No planned date",IF(TODAY()&gt;X6,"Behind — past planned date",IF(X6-TODAY()&lt;=30,"At risk — close to off track","On track"))),IF(TODAY()&gt;U6,"Behind — award date passed",IF(U6-TODAY()&lt;=30,"At risk — close to off track","On track"))),IF(X6="","No planned date",IF(AND(TODAY()&gt;X6,OR(Z6="",Z6&lt;100)),"Behind — past end date",IF(AND(T6&lt;&gt;"",X6&lt;&gt;"",Z6&lt;&gt;"",(Z6&lt;100),((TODAY()-T6)/MAX(X6-T6,1)*100)-Z6&gt;15),"Behind — progress lag",IF(AND(X6-TODAY()&lt;=30,X6-TODAY()&gt;=0,OR(Z6="",Z6&lt;90)),"At risk — close to off track","On track"))))))))</t>
        </is>
      </c>
      <c r="AH6" s="49" t="inlineStr">
        <is>
          <t>IF(OR(F6="",AC6="Completed / Handover",AC6="Cancelled"),"",IF(O6="Not awarded",IF(U6&lt;&gt;"",U6-TODAY(),IF(X6="","",X6-TODAY())),IF(X6="","",X6-TODAY())))</t>
        </is>
      </c>
      <c r="AI6" s="54" t="n"/>
      <c r="AJ6" s="54" t="n"/>
      <c r="AK6" s="54" t="n"/>
      <c r="AL6" s="54" t="n"/>
      <c r="AM6" s="54" t="n"/>
      <c r="AN6" s="54" t="n"/>
      <c r="AO6" s="54" t="n"/>
      <c r="AP6" s="54" t="n"/>
      <c r="AQ6" s="54" t="n"/>
      <c r="AR6" s="54" t="n"/>
      <c r="AS6" s="54" t="n"/>
      <c r="AT6" s="50" t="n"/>
      <c r="AU6" s="50" t="n"/>
      <c r="AV6" s="50" t="n"/>
      <c r="AW6" s="49" t="inlineStr">
        <is>
          <t>IF(OR(F6="",AJ6=""),"",IF(COUNT(AI6:AI6)=0,"",AJ6-LOOKUP(2,1/(AI6:AI6&lt;&gt;""),AI6:AI6)))</t>
        </is>
      </c>
      <c r="AX6" s="49" t="inlineStr">
        <is>
          <t>IF(OR(F6="",AK6=""),"",IF(COUNT(AI6:AJ6)=0,"",AK6-LOOKUP(2,1/(AI6:AJ6&lt;&gt;""),AI6:AJ6)))</t>
        </is>
      </c>
      <c r="AY6" s="49" t="inlineStr">
        <is>
          <t>IF(OR(F6="",AL6=""),"",IF(COUNT(AI6:AK6)=0,"",AL6-LOOKUP(2,1/(AI6:AK6&lt;&gt;""),AI6:AK6)))</t>
        </is>
      </c>
      <c r="AZ6" s="49" t="inlineStr">
        <is>
          <t>IF(OR(F6="",AM6=""),"",IF(COUNT(AI6:AL6)=0,"",AM6-LOOKUP(2,1/(AI6:AL6&lt;&gt;""),AI6:AL6)))</t>
        </is>
      </c>
      <c r="BA6" s="49" t="inlineStr">
        <is>
          <t>IF(OR(F6="",AN6=""),"",IF(COUNT(AI6:AM6)=0,"",AN6-LOOKUP(2,1/(AI6:AM6&lt;&gt;""),AI6:AM6)))</t>
        </is>
      </c>
      <c r="BB6" s="49" t="inlineStr">
        <is>
          <t>IF(OR(F6="",AO6=""),"",IF(COUNT(AI6:AN6)=0,"",AO6-LOOKUP(2,1/(AI6:AN6&lt;&gt;""),AI6:AN6)))</t>
        </is>
      </c>
      <c r="BC6" s="49" t="inlineStr">
        <is>
          <t>IF(OR(F6="",AP6=""),"",IF(COUNT(AI6:AO6)=0,"",AP6-LOOKUP(2,1/(AI6:AO6&lt;&gt;""),AI6:AO6)))</t>
        </is>
      </c>
      <c r="BD6" s="49" t="inlineStr">
        <is>
          <t>IF(OR(F6="",AQ6=""),"",IF(COUNT(AI6:AP6)=0,"",AQ6-LOOKUP(2,1/(AI6:AP6&lt;&gt;""),AI6:AP6)))</t>
        </is>
      </c>
      <c r="BE6" s="49" t="inlineStr">
        <is>
          <t>IF(OR(F6="",AR6=""),"",IF(COUNT(AI6:AQ6)=0,"",AR6-LOOKUP(2,1/(AI6:AQ6&lt;&gt;""),AI6:AQ6)))</t>
        </is>
      </c>
      <c r="BF6" s="49" t="inlineStr">
        <is>
          <t>IF(OR(F6="",AS6=""),"",IF(COUNT(AI6:AR6)=0,"",AS6-LOOKUP(2,1/(AI6:AR6&lt;&gt;""),AI6:AR6)))</t>
        </is>
      </c>
      <c r="BG6" s="49" t="inlineStr">
        <is>
          <t>IF(OR(F6="",AT6=""),"",IF(COUNT(AI6:AS6)=0,"",AT6-LOOKUP(2,1/(AI6:AS6&lt;&gt;""),AI6:AS6)))</t>
        </is>
      </c>
      <c r="BH6" s="49" t="inlineStr">
        <is>
          <t>IF(OR(F6="",AU6=""),"",IF(COUNT(AI6:AT6)=0,"",AU6-LOOKUP(2,1/(AI6:AT6&lt;&gt;""),AI6:AT6)))</t>
        </is>
      </c>
      <c r="BI6" s="49" t="inlineStr">
        <is>
          <t>IF(OR(F6="",AV6=""),"",IF(COUNT(AI6:AU6)=0,"",AV6-LOOKUP(2,1/(AI6:AU6&lt;&gt;""),AI6:AU6)))</t>
        </is>
      </c>
      <c r="BJ6" s="51" t="inlineStr">
        <is>
          <t>IF(J6="","All_Provinces",IFERROR(VLOOKUP(J6,'09_Lookups'!$A$4:$B$20,2,FALSE),"All_Provinces"))</t>
        </is>
      </c>
      <c r="BK6" s="51" t="inlineStr">
        <is>
          <t>IF(K6="","All_Districts",IFERROR(VLOOKUP(K6,'09_Lookups'!$E$4:$F$42,2,FALSE),"All_Districts"))</t>
        </is>
      </c>
    </row>
    <row r="7" outlineLevel="1" ht="18" customHeight="1">
      <c r="A7" s="42" t="inlineStr">
        <is>
          <t>IF(F7="","",ROW()-3)</t>
        </is>
      </c>
      <c r="B7" s="43" t="inlineStr">
        <is>
          <t>AF2-AGF-ALL</t>
        </is>
      </c>
      <c r="C7" s="43" t="inlineStr">
        <is>
          <t>Agroforestry saplings and seeds 2026/27</t>
        </is>
      </c>
      <c r="D7" s="43" t="inlineStr">
        <is>
          <t>4 of 39</t>
        </is>
      </c>
      <c r="E7" s="44" t="inlineStr">
        <is>
          <t>AF2-AGF-N-004</t>
        </is>
      </c>
      <c r="F7" s="44" t="inlineStr">
        <is>
          <t>Agroforestry — Balkh / Charkent</t>
        </is>
      </c>
      <c r="G7" s="44" t="inlineStr">
        <is>
          <t>Agroforestry saplings / seeds</t>
        </is>
      </c>
      <c r="H7" s="44" t="inlineStr">
        <is>
          <t>Saplings and seeds</t>
        </is>
      </c>
      <c r="I7" s="44" t="inlineStr">
        <is>
          <t>Emergency Food Security Project (EFSP) – WBK/AF-2</t>
        </is>
      </c>
      <c r="J7" s="44" t="inlineStr">
        <is>
          <t>North / Mazar</t>
        </is>
      </c>
      <c r="K7" s="44" t="inlineStr">
        <is>
          <t>Balkh</t>
        </is>
      </c>
      <c r="L7" s="44" t="inlineStr">
        <is>
          <t>Charkent</t>
        </is>
      </c>
      <c r="M7" s="44" t="inlineStr">
        <is>
          <t>Saplings: 0; Seeds kg: 31</t>
        </is>
      </c>
      <c r="N7" s="44" t="inlineStr">
        <is>
          <t>World Bank (WBK/AF-2)</t>
        </is>
      </c>
      <c r="O7" s="44" t="inlineStr">
        <is>
          <t>Not awarded</t>
        </is>
      </c>
      <c r="P7" s="44" t="inlineStr">
        <is>
          <t>7. Agroforestry Saplings-seeds</t>
        </is>
      </c>
      <c r="Q7" s="44" t="inlineStr"/>
      <c r="R7" s="44" t="inlineStr"/>
      <c r="S7" s="45" t="n"/>
      <c r="T7" s="46" t="inlineStr">
        <is>
          <t>IF(AQ7="","",AQ7)</t>
        </is>
      </c>
      <c r="U7" s="47" t="n">
        <v>46142</v>
      </c>
      <c r="V7" s="48" t="n">
        <v>12</v>
      </c>
      <c r="W7" s="47" t="n">
        <v>46478</v>
      </c>
      <c r="X7" s="46" t="inlineStr">
        <is>
          <t>IF(W7&lt;&gt;"",W7,IF(OR(T7="",V7=""),"",EDATE(T7,V7)))</t>
        </is>
      </c>
      <c r="Y7" s="47" t="n"/>
      <c r="Z7" s="48" t="n"/>
      <c r="AA7" s="44" t="inlineStr">
        <is>
          <t>Under Awarding</t>
        </is>
      </c>
      <c r="AB7" s="44" t="inlineStr">
        <is>
          <t>The saplings PO has already been issued and PO for seeds is expected to be issued in November 2026</t>
        </is>
      </c>
      <c r="AC7" s="42" t="inlineStr">
        <is>
          <t>IF(F7="","",IF(COUNT(AI7:AV7)=0,IF(AA7="","Not started",AA7),SUBSTITUTE(LOOKUP(2,1/(AI7:AV7&lt;&gt;""),$AI$3:$AV$3),"Date: ","")))</t>
        </is>
      </c>
      <c r="AD7" s="49" t="inlineStr">
        <is>
          <t>IF(OR(F7="",COUNT(AI7:AV7)=0),"",TODAY()-LOOKUP(2,1/(AI7:AV7&lt;&gt;""),AI7:AV7))</t>
        </is>
      </c>
      <c r="AE7" s="49" t="inlineStr">
        <is>
          <t>IF(OR(F7="",COUNT(AI7:AV7)&lt;2),"",LOOKUP(2,1/(AI7:AV7&lt;&gt;""),AI7:AV7)-MIN(AI7:AV7))</t>
        </is>
      </c>
      <c r="AF7" s="49" t="inlineStr">
        <is>
          <t>IF(OR(AD7="",AC7="Not started",AC7=""),"",IFERROR(AD7-IF(VLOOKUP(AC7,'06_Status_Pipeline'!$B$3:$E$20,4,FALSE)="",0,VLOOKUP(AC7,'06_Status_Pipeline'!$B$3:$E$20,4,FALSE)),""))</t>
        </is>
      </c>
      <c r="AG7" s="42" t="inlineStr">
        <is>
          <t>IF(F7="","",IF(OR(AA7="Cancelled",AC7="Cancelled"),"Cancelled",IF(OR(AC7="Completed / Handover",Y7&lt;&gt;"",Z7&gt;=100),"Completed — on track",IF(O7="Not awarded",IF(U7="",IF(X7="","No planned date",IF(TODAY()&gt;X7,"Behind — past planned date",IF(X7-TODAY()&lt;=30,"At risk — close to off track","On track"))),IF(TODAY()&gt;U7,"Behind — award date passed",IF(U7-TODAY()&lt;=30,"At risk — close to off track","On track"))),IF(X7="","No planned date",IF(AND(TODAY()&gt;X7,OR(Z7="",Z7&lt;100)),"Behind — past end date",IF(AND(T7&lt;&gt;"",X7&lt;&gt;"",Z7&lt;&gt;"",(Z7&lt;100),((TODAY()-T7)/MAX(X7-T7,1)*100)-Z7&gt;15),"Behind — progress lag",IF(AND(X7-TODAY()&lt;=30,X7-TODAY()&gt;=0,OR(Z7="",Z7&lt;90)),"At risk — close to off track","On track"))))))))</t>
        </is>
      </c>
      <c r="AH7" s="49" t="inlineStr">
        <is>
          <t>IF(OR(F7="",AC7="Completed / Handover",AC7="Cancelled"),"",IF(O7="Not awarded",IF(U7&lt;&gt;"",U7-TODAY(),IF(X7="","",X7-TODAY())),IF(X7="","",X7-TODAY())))</t>
        </is>
      </c>
      <c r="AI7" s="47" t="n"/>
      <c r="AJ7" s="47" t="n"/>
      <c r="AK7" s="47" t="n"/>
      <c r="AL7" s="47" t="n"/>
      <c r="AM7" s="47" t="n"/>
      <c r="AN7" s="47" t="n"/>
      <c r="AO7" s="47" t="n"/>
      <c r="AP7" s="47" t="n"/>
      <c r="AQ7" s="47" t="n"/>
      <c r="AR7" s="47" t="n"/>
      <c r="AS7" s="47" t="n"/>
      <c r="AT7" s="50" t="n"/>
      <c r="AU7" s="50" t="n"/>
      <c r="AV7" s="50" t="n"/>
      <c r="AW7" s="49" t="inlineStr">
        <is>
          <t>IF(OR(F7="",AJ7=""),"",IF(COUNT(AI7:AI7)=0,"",AJ7-LOOKUP(2,1/(AI7:AI7&lt;&gt;""),AI7:AI7)))</t>
        </is>
      </c>
      <c r="AX7" s="49" t="inlineStr">
        <is>
          <t>IF(OR(F7="",AK7=""),"",IF(COUNT(AI7:AJ7)=0,"",AK7-LOOKUP(2,1/(AI7:AJ7&lt;&gt;""),AI7:AJ7)))</t>
        </is>
      </c>
      <c r="AY7" s="49" t="inlineStr">
        <is>
          <t>IF(OR(F7="",AL7=""),"",IF(COUNT(AI7:AK7)=0,"",AL7-LOOKUP(2,1/(AI7:AK7&lt;&gt;""),AI7:AK7)))</t>
        </is>
      </c>
      <c r="AZ7" s="49" t="inlineStr">
        <is>
          <t>IF(OR(F7="",AM7=""),"",IF(COUNT(AI7:AL7)=0,"",AM7-LOOKUP(2,1/(AI7:AL7&lt;&gt;""),AI7:AL7)))</t>
        </is>
      </c>
      <c r="BA7" s="49" t="inlineStr">
        <is>
          <t>IF(OR(F7="",AN7=""),"",IF(COUNT(AI7:AM7)=0,"",AN7-LOOKUP(2,1/(AI7:AM7&lt;&gt;""),AI7:AM7)))</t>
        </is>
      </c>
      <c r="BB7" s="49" t="inlineStr">
        <is>
          <t>IF(OR(F7="",AO7=""),"",IF(COUNT(AI7:AN7)=0,"",AO7-LOOKUP(2,1/(AI7:AN7&lt;&gt;""),AI7:AN7)))</t>
        </is>
      </c>
      <c r="BC7" s="49" t="inlineStr">
        <is>
          <t>IF(OR(F7="",AP7=""),"",IF(COUNT(AI7:AO7)=0,"",AP7-LOOKUP(2,1/(AI7:AO7&lt;&gt;""),AI7:AO7)))</t>
        </is>
      </c>
      <c r="BD7" s="49" t="inlineStr">
        <is>
          <t>IF(OR(F7="",AQ7=""),"",IF(COUNT(AI7:AP7)=0,"",AQ7-LOOKUP(2,1/(AI7:AP7&lt;&gt;""),AI7:AP7)))</t>
        </is>
      </c>
      <c r="BE7" s="49" t="inlineStr">
        <is>
          <t>IF(OR(F7="",AR7=""),"",IF(COUNT(AI7:AQ7)=0,"",AR7-LOOKUP(2,1/(AI7:AQ7&lt;&gt;""),AI7:AQ7)))</t>
        </is>
      </c>
      <c r="BF7" s="49" t="inlineStr">
        <is>
          <t>IF(OR(F7="",AS7=""),"",IF(COUNT(AI7:AR7)=0,"",AS7-LOOKUP(2,1/(AI7:AR7&lt;&gt;""),AI7:AR7)))</t>
        </is>
      </c>
      <c r="BG7" s="49" t="inlineStr">
        <is>
          <t>IF(OR(F7="",AT7=""),"",IF(COUNT(AI7:AS7)=0,"",AT7-LOOKUP(2,1/(AI7:AS7&lt;&gt;""),AI7:AS7)))</t>
        </is>
      </c>
      <c r="BH7" s="49" t="inlineStr">
        <is>
          <t>IF(OR(F7="",AU7=""),"",IF(COUNT(AI7:AT7)=0,"",AU7-LOOKUP(2,1/(AI7:AT7&lt;&gt;""),AI7:AT7)))</t>
        </is>
      </c>
      <c r="BI7" s="49" t="inlineStr">
        <is>
          <t>IF(OR(F7="",AV7=""),"",IF(COUNT(AI7:AU7)=0,"",AV7-LOOKUP(2,1/(AI7:AU7&lt;&gt;""),AI7:AU7)))</t>
        </is>
      </c>
      <c r="BJ7" s="51" t="inlineStr">
        <is>
          <t>IF(J7="","All_Provinces",IFERROR(VLOOKUP(J7,'09_Lookups'!$A$4:$B$20,2,FALSE),"All_Provinces"))</t>
        </is>
      </c>
      <c r="BK7" s="51" t="inlineStr">
        <is>
          <t>IF(K7="","All_Districts",IFERROR(VLOOKUP(K7,'09_Lookups'!$E$4:$F$42,2,FALSE),"All_Districts"))</t>
        </is>
      </c>
    </row>
    <row r="8" outlineLevel="1" ht="18" customHeight="1">
      <c r="A8" s="42" t="inlineStr">
        <is>
          <t>IF(F8="","",ROW()-3)</t>
        </is>
      </c>
      <c r="B8" s="43" t="inlineStr">
        <is>
          <t>AF2-AGF-ALL</t>
        </is>
      </c>
      <c r="C8" s="43" t="inlineStr">
        <is>
          <t>Agroforestry saplings and seeds 2026/27</t>
        </is>
      </c>
      <c r="D8" s="43" t="inlineStr">
        <is>
          <t>5 of 39</t>
        </is>
      </c>
      <c r="E8" s="52" t="inlineStr">
        <is>
          <t>AF2-AGF-N-005</t>
        </is>
      </c>
      <c r="F8" s="52" t="inlineStr">
        <is>
          <t>Agroforestry — Balkh / Dehdadi</t>
        </is>
      </c>
      <c r="G8" s="52" t="inlineStr">
        <is>
          <t>Agroforestry saplings / seeds</t>
        </is>
      </c>
      <c r="H8" s="52" t="inlineStr">
        <is>
          <t>Saplings and seeds</t>
        </is>
      </c>
      <c r="I8" s="52" t="inlineStr">
        <is>
          <t>Emergency Food Security Project (EFSP) – WBK/AF-2</t>
        </is>
      </c>
      <c r="J8" s="52" t="inlineStr">
        <is>
          <t>North / Mazar</t>
        </is>
      </c>
      <c r="K8" s="52" t="inlineStr">
        <is>
          <t>Balkh</t>
        </is>
      </c>
      <c r="L8" s="52" t="inlineStr">
        <is>
          <t>Dehdadi</t>
        </is>
      </c>
      <c r="M8" s="52" t="inlineStr">
        <is>
          <t>Saplings: 2400; Seeds kg: 21</t>
        </is>
      </c>
      <c r="N8" s="52" t="inlineStr">
        <is>
          <t>World Bank (WBK/AF-2)</t>
        </is>
      </c>
      <c r="O8" s="52" t="inlineStr">
        <is>
          <t>Not awarded</t>
        </is>
      </c>
      <c r="P8" s="52" t="inlineStr">
        <is>
          <t>7. Agroforestry Saplings-seeds</t>
        </is>
      </c>
      <c r="Q8" s="52" t="inlineStr"/>
      <c r="R8" s="52" t="inlineStr"/>
      <c r="S8" s="53" t="n"/>
      <c r="T8" s="46" t="inlineStr">
        <is>
          <t>IF(AQ8="","",AQ8)</t>
        </is>
      </c>
      <c r="U8" s="54" t="n">
        <v>46142</v>
      </c>
      <c r="V8" s="55" t="n">
        <v>12</v>
      </c>
      <c r="W8" s="54" t="n">
        <v>46478</v>
      </c>
      <c r="X8" s="46" t="inlineStr">
        <is>
          <t>IF(W8&lt;&gt;"",W8,IF(OR(T8="",V8=""),"",EDATE(T8,V8)))</t>
        </is>
      </c>
      <c r="Y8" s="54" t="n"/>
      <c r="Z8" s="55" t="n"/>
      <c r="AA8" s="52" t="inlineStr">
        <is>
          <t>Under Awarding</t>
        </is>
      </c>
      <c r="AB8" s="52" t="inlineStr">
        <is>
          <t>The saplings PO has already been issued and PO for seeds is expected to be issued in November 2026</t>
        </is>
      </c>
      <c r="AC8" s="42" t="inlineStr">
        <is>
          <t>IF(F8="","",IF(COUNT(AI8:AV8)=0,IF(AA8="","Not started",AA8),SUBSTITUTE(LOOKUP(2,1/(AI8:AV8&lt;&gt;""),$AI$3:$AV$3),"Date: ","")))</t>
        </is>
      </c>
      <c r="AD8" s="49" t="inlineStr">
        <is>
          <t>IF(OR(F8="",COUNT(AI8:AV8)=0),"",TODAY()-LOOKUP(2,1/(AI8:AV8&lt;&gt;""),AI8:AV8))</t>
        </is>
      </c>
      <c r="AE8" s="49" t="inlineStr">
        <is>
          <t>IF(OR(F8="",COUNT(AI8:AV8)&lt;2),"",LOOKUP(2,1/(AI8:AV8&lt;&gt;""),AI8:AV8)-MIN(AI8:AV8))</t>
        </is>
      </c>
      <c r="AF8" s="49" t="inlineStr">
        <is>
          <t>IF(OR(AD8="",AC8="Not started",AC8=""),"",IFERROR(AD8-IF(VLOOKUP(AC8,'06_Status_Pipeline'!$B$3:$E$20,4,FALSE)="",0,VLOOKUP(AC8,'06_Status_Pipeline'!$B$3:$E$20,4,FALSE)),""))</t>
        </is>
      </c>
      <c r="AG8" s="42" t="inlineStr">
        <is>
          <t>IF(F8="","",IF(OR(AA8="Cancelled",AC8="Cancelled"),"Cancelled",IF(OR(AC8="Completed / Handover",Y8&lt;&gt;"",Z8&gt;=100),"Completed — on track",IF(O8="Not awarded",IF(U8="",IF(X8="","No planned date",IF(TODAY()&gt;X8,"Behind — past planned date",IF(X8-TODAY()&lt;=30,"At risk — close to off track","On track"))),IF(TODAY()&gt;U8,"Behind — award date passed",IF(U8-TODAY()&lt;=30,"At risk — close to off track","On track"))),IF(X8="","No planned date",IF(AND(TODAY()&gt;X8,OR(Z8="",Z8&lt;100)),"Behind — past end date",IF(AND(T8&lt;&gt;"",X8&lt;&gt;"",Z8&lt;&gt;"",(Z8&lt;100),((TODAY()-T8)/MAX(X8-T8,1)*100)-Z8&gt;15),"Behind — progress lag",IF(AND(X8-TODAY()&lt;=30,X8-TODAY()&gt;=0,OR(Z8="",Z8&lt;90)),"At risk — close to off track","On track"))))))))</t>
        </is>
      </c>
      <c r="AH8" s="49" t="inlineStr">
        <is>
          <t>IF(OR(F8="",AC8="Completed / Handover",AC8="Cancelled"),"",IF(O8="Not awarded",IF(U8&lt;&gt;"",U8-TODAY(),IF(X8="","",X8-TODAY())),IF(X8="","",X8-TODAY())))</t>
        </is>
      </c>
      <c r="AI8" s="54" t="n"/>
      <c r="AJ8" s="54" t="n"/>
      <c r="AK8" s="54" t="n"/>
      <c r="AL8" s="54" t="n"/>
      <c r="AM8" s="54" t="n"/>
      <c r="AN8" s="54" t="n"/>
      <c r="AO8" s="54" t="n"/>
      <c r="AP8" s="54" t="n"/>
      <c r="AQ8" s="54" t="n"/>
      <c r="AR8" s="54" t="n"/>
      <c r="AS8" s="54" t="n"/>
      <c r="AT8" s="50" t="n"/>
      <c r="AU8" s="50" t="n"/>
      <c r="AV8" s="50" t="n"/>
      <c r="AW8" s="49" t="inlineStr">
        <is>
          <t>IF(OR(F8="",AJ8=""),"",IF(COUNT(AI8:AI8)=0,"",AJ8-LOOKUP(2,1/(AI8:AI8&lt;&gt;""),AI8:AI8)))</t>
        </is>
      </c>
      <c r="AX8" s="49" t="inlineStr">
        <is>
          <t>IF(OR(F8="",AK8=""),"",IF(COUNT(AI8:AJ8)=0,"",AK8-LOOKUP(2,1/(AI8:AJ8&lt;&gt;""),AI8:AJ8)))</t>
        </is>
      </c>
      <c r="AY8" s="49" t="inlineStr">
        <is>
          <t>IF(OR(F8="",AL8=""),"",IF(COUNT(AI8:AK8)=0,"",AL8-LOOKUP(2,1/(AI8:AK8&lt;&gt;""),AI8:AK8)))</t>
        </is>
      </c>
      <c r="AZ8" s="49" t="inlineStr">
        <is>
          <t>IF(OR(F8="",AM8=""),"",IF(COUNT(AI8:AL8)=0,"",AM8-LOOKUP(2,1/(AI8:AL8&lt;&gt;""),AI8:AL8)))</t>
        </is>
      </c>
      <c r="BA8" s="49" t="inlineStr">
        <is>
          <t>IF(OR(F8="",AN8=""),"",IF(COUNT(AI8:AM8)=0,"",AN8-LOOKUP(2,1/(AI8:AM8&lt;&gt;""),AI8:AM8)))</t>
        </is>
      </c>
      <c r="BB8" s="49" t="inlineStr">
        <is>
          <t>IF(OR(F8="",AO8=""),"",IF(COUNT(AI8:AN8)=0,"",AO8-LOOKUP(2,1/(AI8:AN8&lt;&gt;""),AI8:AN8)))</t>
        </is>
      </c>
      <c r="BC8" s="49" t="inlineStr">
        <is>
          <t>IF(OR(F8="",AP8=""),"",IF(COUNT(AI8:AO8)=0,"",AP8-LOOKUP(2,1/(AI8:AO8&lt;&gt;""),AI8:AO8)))</t>
        </is>
      </c>
      <c r="BD8" s="49" t="inlineStr">
        <is>
          <t>IF(OR(F8="",AQ8=""),"",IF(COUNT(AI8:AP8)=0,"",AQ8-LOOKUP(2,1/(AI8:AP8&lt;&gt;""),AI8:AP8)))</t>
        </is>
      </c>
      <c r="BE8" s="49" t="inlineStr">
        <is>
          <t>IF(OR(F8="",AR8=""),"",IF(COUNT(AI8:AQ8)=0,"",AR8-LOOKUP(2,1/(AI8:AQ8&lt;&gt;""),AI8:AQ8)))</t>
        </is>
      </c>
      <c r="BF8" s="49" t="inlineStr">
        <is>
          <t>IF(OR(F8="",AS8=""),"",IF(COUNT(AI8:AR8)=0,"",AS8-LOOKUP(2,1/(AI8:AR8&lt;&gt;""),AI8:AR8)))</t>
        </is>
      </c>
      <c r="BG8" s="49" t="inlineStr">
        <is>
          <t>IF(OR(F8="",AT8=""),"",IF(COUNT(AI8:AS8)=0,"",AT8-LOOKUP(2,1/(AI8:AS8&lt;&gt;""),AI8:AS8)))</t>
        </is>
      </c>
      <c r="BH8" s="49" t="inlineStr">
        <is>
          <t>IF(OR(F8="",AU8=""),"",IF(COUNT(AI8:AT8)=0,"",AU8-LOOKUP(2,1/(AI8:AT8&lt;&gt;""),AI8:AT8)))</t>
        </is>
      </c>
      <c r="BI8" s="49" t="inlineStr">
        <is>
          <t>IF(OR(F8="",AV8=""),"",IF(COUNT(AI8:AU8)=0,"",AV8-LOOKUP(2,1/(AI8:AU8&lt;&gt;""),AI8:AU8)))</t>
        </is>
      </c>
      <c r="BJ8" s="51" t="inlineStr">
        <is>
          <t>IF(J8="","All_Provinces",IFERROR(VLOOKUP(J8,'09_Lookups'!$A$4:$B$20,2,FALSE),"All_Provinces"))</t>
        </is>
      </c>
      <c r="BK8" s="51" t="inlineStr">
        <is>
          <t>IF(K8="","All_Districts",IFERROR(VLOOKUP(K8,'09_Lookups'!$E$4:$F$42,2,FALSE),"All_Districts"))</t>
        </is>
      </c>
    </row>
    <row r="9" outlineLevel="1" ht="18" customHeight="1">
      <c r="A9" s="42" t="inlineStr">
        <is>
          <t>IF(F9="","",ROW()-3)</t>
        </is>
      </c>
      <c r="B9" s="43" t="inlineStr">
        <is>
          <t>AF2-AGF-ALL</t>
        </is>
      </c>
      <c r="C9" s="43" t="inlineStr">
        <is>
          <t>Agroforestry saplings and seeds 2026/27</t>
        </is>
      </c>
      <c r="D9" s="43" t="inlineStr">
        <is>
          <t>6 of 39</t>
        </is>
      </c>
      <c r="E9" s="44" t="inlineStr">
        <is>
          <t>AF2-AGF-N-006</t>
        </is>
      </c>
      <c r="F9" s="44" t="inlineStr">
        <is>
          <t>Agroforestry — Balkh / Kishendeh</t>
        </is>
      </c>
      <c r="G9" s="44" t="inlineStr">
        <is>
          <t>Agroforestry saplings / seeds</t>
        </is>
      </c>
      <c r="H9" s="44" t="inlineStr">
        <is>
          <t>Saplings and seeds</t>
        </is>
      </c>
      <c r="I9" s="44" t="inlineStr">
        <is>
          <t>Emergency Food Security Project (EFSP) – WBK/AF-2</t>
        </is>
      </c>
      <c r="J9" s="44" t="inlineStr">
        <is>
          <t>North / Mazar</t>
        </is>
      </c>
      <c r="K9" s="44" t="inlineStr">
        <is>
          <t>Balkh</t>
        </is>
      </c>
      <c r="L9" s="44" t="inlineStr">
        <is>
          <t>Kishendeh</t>
        </is>
      </c>
      <c r="M9" s="44" t="inlineStr">
        <is>
          <t>Saplings: 0; Seeds kg: 46</t>
        </is>
      </c>
      <c r="N9" s="44" t="inlineStr">
        <is>
          <t>World Bank (WBK/AF-2)</t>
        </is>
      </c>
      <c r="O9" s="44" t="inlineStr">
        <is>
          <t>Not awarded</t>
        </is>
      </c>
      <c r="P9" s="44" t="inlineStr">
        <is>
          <t>7. Agroforestry Saplings-seeds</t>
        </is>
      </c>
      <c r="Q9" s="44" t="inlineStr"/>
      <c r="R9" s="44" t="inlineStr"/>
      <c r="S9" s="45" t="n"/>
      <c r="T9" s="46" t="inlineStr">
        <is>
          <t>IF(AQ9="","",AQ9)</t>
        </is>
      </c>
      <c r="U9" s="47" t="n">
        <v>46142</v>
      </c>
      <c r="V9" s="48" t="n">
        <v>12</v>
      </c>
      <c r="W9" s="47" t="n">
        <v>46478</v>
      </c>
      <c r="X9" s="46" t="inlineStr">
        <is>
          <t>IF(W9&lt;&gt;"",W9,IF(OR(T9="",V9=""),"",EDATE(T9,V9)))</t>
        </is>
      </c>
      <c r="Y9" s="47" t="n"/>
      <c r="Z9" s="48" t="n"/>
      <c r="AA9" s="44" t="inlineStr">
        <is>
          <t>Under Awarding</t>
        </is>
      </c>
      <c r="AB9" s="44" t="inlineStr">
        <is>
          <t>The saplings PO has already been issued and PO for seeds is expected to be issued in November 2026</t>
        </is>
      </c>
      <c r="AC9" s="42" t="inlineStr">
        <is>
          <t>IF(F9="","",IF(COUNT(AI9:AV9)=0,IF(AA9="","Not started",AA9),SUBSTITUTE(LOOKUP(2,1/(AI9:AV9&lt;&gt;""),$AI$3:$AV$3),"Date: ","")))</t>
        </is>
      </c>
      <c r="AD9" s="49" t="inlineStr">
        <is>
          <t>IF(OR(F9="",COUNT(AI9:AV9)=0),"",TODAY()-LOOKUP(2,1/(AI9:AV9&lt;&gt;""),AI9:AV9))</t>
        </is>
      </c>
      <c r="AE9" s="49" t="inlineStr">
        <is>
          <t>IF(OR(F9="",COUNT(AI9:AV9)&lt;2),"",LOOKUP(2,1/(AI9:AV9&lt;&gt;""),AI9:AV9)-MIN(AI9:AV9))</t>
        </is>
      </c>
      <c r="AF9" s="49" t="inlineStr">
        <is>
          <t>IF(OR(AD9="",AC9="Not started",AC9=""),"",IFERROR(AD9-IF(VLOOKUP(AC9,'06_Status_Pipeline'!$B$3:$E$20,4,FALSE)="",0,VLOOKUP(AC9,'06_Status_Pipeline'!$B$3:$E$20,4,FALSE)),""))</t>
        </is>
      </c>
      <c r="AG9" s="42" t="inlineStr">
        <is>
          <t>IF(F9="","",IF(OR(AA9="Cancelled",AC9="Cancelled"),"Cancelled",IF(OR(AC9="Completed / Handover",Y9&lt;&gt;"",Z9&gt;=100),"Completed — on track",IF(O9="Not awarded",IF(U9="",IF(X9="","No planned date",IF(TODAY()&gt;X9,"Behind — past planned date",IF(X9-TODAY()&lt;=30,"At risk — close to off track","On track"))),IF(TODAY()&gt;U9,"Behind — award date passed",IF(U9-TODAY()&lt;=30,"At risk — close to off track","On track"))),IF(X9="","No planned date",IF(AND(TODAY()&gt;X9,OR(Z9="",Z9&lt;100)),"Behind — past end date",IF(AND(T9&lt;&gt;"",X9&lt;&gt;"",Z9&lt;&gt;"",(Z9&lt;100),((TODAY()-T9)/MAX(X9-T9,1)*100)-Z9&gt;15),"Behind — progress lag",IF(AND(X9-TODAY()&lt;=30,X9-TODAY()&gt;=0,OR(Z9="",Z9&lt;90)),"At risk — close to off track","On track"))))))))</t>
        </is>
      </c>
      <c r="AH9" s="49" t="inlineStr">
        <is>
          <t>IF(OR(F9="",AC9="Completed / Handover",AC9="Cancelled"),"",IF(O9="Not awarded",IF(U9&lt;&gt;"",U9-TODAY(),IF(X9="","",X9-TODAY())),IF(X9="","",X9-TODAY())))</t>
        </is>
      </c>
      <c r="AI9" s="47" t="n"/>
      <c r="AJ9" s="47" t="n"/>
      <c r="AK9" s="47" t="n"/>
      <c r="AL9" s="47" t="n"/>
      <c r="AM9" s="47" t="n"/>
      <c r="AN9" s="47" t="n"/>
      <c r="AO9" s="47" t="n"/>
      <c r="AP9" s="47" t="n"/>
      <c r="AQ9" s="47" t="n"/>
      <c r="AR9" s="47" t="n"/>
      <c r="AS9" s="47" t="n"/>
      <c r="AT9" s="50" t="n"/>
      <c r="AU9" s="50" t="n"/>
      <c r="AV9" s="50" t="n"/>
      <c r="AW9" s="49" t="inlineStr">
        <is>
          <t>IF(OR(F9="",AJ9=""),"",IF(COUNT(AI9:AI9)=0,"",AJ9-LOOKUP(2,1/(AI9:AI9&lt;&gt;""),AI9:AI9)))</t>
        </is>
      </c>
      <c r="AX9" s="49" t="inlineStr">
        <is>
          <t>IF(OR(F9="",AK9=""),"",IF(COUNT(AI9:AJ9)=0,"",AK9-LOOKUP(2,1/(AI9:AJ9&lt;&gt;""),AI9:AJ9)))</t>
        </is>
      </c>
      <c r="AY9" s="49" t="inlineStr">
        <is>
          <t>IF(OR(F9="",AL9=""),"",IF(COUNT(AI9:AK9)=0,"",AL9-LOOKUP(2,1/(AI9:AK9&lt;&gt;""),AI9:AK9)))</t>
        </is>
      </c>
      <c r="AZ9" s="49" t="inlineStr">
        <is>
          <t>IF(OR(F9="",AM9=""),"",IF(COUNT(AI9:AL9)=0,"",AM9-LOOKUP(2,1/(AI9:AL9&lt;&gt;""),AI9:AL9)))</t>
        </is>
      </c>
      <c r="BA9" s="49" t="inlineStr">
        <is>
          <t>IF(OR(F9="",AN9=""),"",IF(COUNT(AI9:AM9)=0,"",AN9-LOOKUP(2,1/(AI9:AM9&lt;&gt;""),AI9:AM9)))</t>
        </is>
      </c>
      <c r="BB9" s="49" t="inlineStr">
        <is>
          <t>IF(OR(F9="",AO9=""),"",IF(COUNT(AI9:AN9)=0,"",AO9-LOOKUP(2,1/(AI9:AN9&lt;&gt;""),AI9:AN9)))</t>
        </is>
      </c>
      <c r="BC9" s="49" t="inlineStr">
        <is>
          <t>IF(OR(F9="",AP9=""),"",IF(COUNT(AI9:AO9)=0,"",AP9-LOOKUP(2,1/(AI9:AO9&lt;&gt;""),AI9:AO9)))</t>
        </is>
      </c>
      <c r="BD9" s="49" t="inlineStr">
        <is>
          <t>IF(OR(F9="",AQ9=""),"",IF(COUNT(AI9:AP9)=0,"",AQ9-LOOKUP(2,1/(AI9:AP9&lt;&gt;""),AI9:AP9)))</t>
        </is>
      </c>
      <c r="BE9" s="49" t="inlineStr">
        <is>
          <t>IF(OR(F9="",AR9=""),"",IF(COUNT(AI9:AQ9)=0,"",AR9-LOOKUP(2,1/(AI9:AQ9&lt;&gt;""),AI9:AQ9)))</t>
        </is>
      </c>
      <c r="BF9" s="49" t="inlineStr">
        <is>
          <t>IF(OR(F9="",AS9=""),"",IF(COUNT(AI9:AR9)=0,"",AS9-LOOKUP(2,1/(AI9:AR9&lt;&gt;""),AI9:AR9)))</t>
        </is>
      </c>
      <c r="BG9" s="49" t="inlineStr">
        <is>
          <t>IF(OR(F9="",AT9=""),"",IF(COUNT(AI9:AS9)=0,"",AT9-LOOKUP(2,1/(AI9:AS9&lt;&gt;""),AI9:AS9)))</t>
        </is>
      </c>
      <c r="BH9" s="49" t="inlineStr">
        <is>
          <t>IF(OR(F9="",AU9=""),"",IF(COUNT(AI9:AT9)=0,"",AU9-LOOKUP(2,1/(AI9:AT9&lt;&gt;""),AI9:AT9)))</t>
        </is>
      </c>
      <c r="BI9" s="49" t="inlineStr">
        <is>
          <t>IF(OR(F9="",AV9=""),"",IF(COUNT(AI9:AU9)=0,"",AV9-LOOKUP(2,1/(AI9:AU9&lt;&gt;""),AI9:AU9)))</t>
        </is>
      </c>
      <c r="BJ9" s="51" t="inlineStr">
        <is>
          <t>IF(J9="","All_Provinces",IFERROR(VLOOKUP(J9,'09_Lookups'!$A$4:$B$20,2,FALSE),"All_Provinces"))</t>
        </is>
      </c>
      <c r="BK9" s="51" t="inlineStr">
        <is>
          <t>IF(K9="","All_Districts",IFERROR(VLOOKUP(K9,'09_Lookups'!$E$4:$F$42,2,FALSE),"All_Districts"))</t>
        </is>
      </c>
    </row>
    <row r="10" outlineLevel="1" ht="18" customHeight="1">
      <c r="A10" s="42" t="inlineStr">
        <is>
          <t>IF(F10="","",ROW()-3)</t>
        </is>
      </c>
      <c r="B10" s="43" t="inlineStr">
        <is>
          <t>AF2-AGF-ALL</t>
        </is>
      </c>
      <c r="C10" s="43" t="inlineStr">
        <is>
          <t>Agroforestry saplings and seeds 2026/27</t>
        </is>
      </c>
      <c r="D10" s="43" t="inlineStr">
        <is>
          <t>7 of 39</t>
        </is>
      </c>
      <c r="E10" s="52" t="inlineStr">
        <is>
          <t>AF2-AGF-N-007</t>
        </is>
      </c>
      <c r="F10" s="52" t="inlineStr">
        <is>
          <t>Agroforestry — Balkh / Marmul</t>
        </is>
      </c>
      <c r="G10" s="52" t="inlineStr">
        <is>
          <t>Agroforestry saplings / seeds</t>
        </is>
      </c>
      <c r="H10" s="52" t="inlineStr">
        <is>
          <t>Saplings and seeds</t>
        </is>
      </c>
      <c r="I10" s="52" t="inlineStr">
        <is>
          <t>Emergency Food Security Project (EFSP) – WBK/AF-2</t>
        </is>
      </c>
      <c r="J10" s="52" t="inlineStr">
        <is>
          <t>North / Mazar</t>
        </is>
      </c>
      <c r="K10" s="52" t="inlineStr">
        <is>
          <t>Balkh</t>
        </is>
      </c>
      <c r="L10" s="52" t="inlineStr">
        <is>
          <t>Marmul</t>
        </is>
      </c>
      <c r="M10" s="52" t="inlineStr">
        <is>
          <t>Saplings: 0; Seeds kg: 41</t>
        </is>
      </c>
      <c r="N10" s="52" t="inlineStr">
        <is>
          <t>World Bank (WBK/AF-2)</t>
        </is>
      </c>
      <c r="O10" s="52" t="inlineStr">
        <is>
          <t>Not awarded</t>
        </is>
      </c>
      <c r="P10" s="52" t="inlineStr">
        <is>
          <t>7. Agroforestry Saplings-seeds</t>
        </is>
      </c>
      <c r="Q10" s="52" t="inlineStr"/>
      <c r="R10" s="52" t="inlineStr"/>
      <c r="S10" s="53" t="n"/>
      <c r="T10" s="46" t="inlineStr">
        <is>
          <t>IF(AQ10="","",AQ10)</t>
        </is>
      </c>
      <c r="U10" s="54" t="n">
        <v>46142</v>
      </c>
      <c r="V10" s="55" t="n">
        <v>12</v>
      </c>
      <c r="W10" s="54" t="n">
        <v>46478</v>
      </c>
      <c r="X10" s="46" t="inlineStr">
        <is>
          <t>IF(W10&lt;&gt;"",W10,IF(OR(T10="",V10=""),"",EDATE(T10,V10)))</t>
        </is>
      </c>
      <c r="Y10" s="54" t="n"/>
      <c r="Z10" s="55" t="n"/>
      <c r="AA10" s="52" t="inlineStr">
        <is>
          <t>Under Awarding</t>
        </is>
      </c>
      <c r="AB10" s="52" t="inlineStr">
        <is>
          <t>The saplings PO has already been issued and PO for seeds is expected to be issued in November 2026</t>
        </is>
      </c>
      <c r="AC10" s="42" t="inlineStr">
        <is>
          <t>IF(F10="","",IF(COUNT(AI10:AV10)=0,IF(AA10="","Not started",AA10),SUBSTITUTE(LOOKUP(2,1/(AI10:AV10&lt;&gt;""),$AI$3:$AV$3),"Date: ","")))</t>
        </is>
      </c>
      <c r="AD10" s="49" t="inlineStr">
        <is>
          <t>IF(OR(F10="",COUNT(AI10:AV10)=0),"",TODAY()-LOOKUP(2,1/(AI10:AV10&lt;&gt;""),AI10:AV10))</t>
        </is>
      </c>
      <c r="AE10" s="49" t="inlineStr">
        <is>
          <t>IF(OR(F10="",COUNT(AI10:AV10)&lt;2),"",LOOKUP(2,1/(AI10:AV10&lt;&gt;""),AI10:AV10)-MIN(AI10:AV10))</t>
        </is>
      </c>
      <c r="AF10" s="49" t="inlineStr">
        <is>
          <t>IF(OR(AD10="",AC10="Not started",AC10=""),"",IFERROR(AD10-IF(VLOOKUP(AC10,'06_Status_Pipeline'!$B$3:$E$20,4,FALSE)="",0,VLOOKUP(AC10,'06_Status_Pipeline'!$B$3:$E$20,4,FALSE)),""))</t>
        </is>
      </c>
      <c r="AG10" s="42" t="inlineStr">
        <is>
          <t>IF(F10="","",IF(OR(AA10="Cancelled",AC10="Cancelled"),"Cancelled",IF(OR(AC10="Completed / Handover",Y10&lt;&gt;"",Z10&gt;=100),"Completed — on track",IF(O10="Not awarded",IF(U10="",IF(X10="","No planned date",IF(TODAY()&gt;X10,"Behind — past planned date",IF(X10-TODAY()&lt;=30,"At risk — close to off track","On track"))),IF(TODAY()&gt;U10,"Behind — award date passed",IF(U10-TODAY()&lt;=30,"At risk — close to off track","On track"))),IF(X10="","No planned date",IF(AND(TODAY()&gt;X10,OR(Z10="",Z10&lt;100)),"Behind — past end date",IF(AND(T10&lt;&gt;"",X10&lt;&gt;"",Z10&lt;&gt;"",(Z10&lt;100),((TODAY()-T10)/MAX(X10-T10,1)*100)-Z10&gt;15),"Behind — progress lag",IF(AND(X10-TODAY()&lt;=30,X10-TODAY()&gt;=0,OR(Z10="",Z10&lt;90)),"At risk — close to off track","On track"))))))))</t>
        </is>
      </c>
      <c r="AH10" s="49" t="inlineStr">
        <is>
          <t>IF(OR(F10="",AC10="Completed / Handover",AC10="Cancelled"),"",IF(O10="Not awarded",IF(U10&lt;&gt;"",U10-TODAY(),IF(X10="","",X10-TODAY())),IF(X10="","",X10-TODAY())))</t>
        </is>
      </c>
      <c r="AI10" s="54" t="n"/>
      <c r="AJ10" s="54" t="n"/>
      <c r="AK10" s="54" t="n"/>
      <c r="AL10" s="54" t="n"/>
      <c r="AM10" s="54" t="n"/>
      <c r="AN10" s="54" t="n"/>
      <c r="AO10" s="54" t="n"/>
      <c r="AP10" s="54" t="n"/>
      <c r="AQ10" s="54" t="n"/>
      <c r="AR10" s="54" t="n"/>
      <c r="AS10" s="54" t="n"/>
      <c r="AT10" s="50" t="n"/>
      <c r="AU10" s="50" t="n"/>
      <c r="AV10" s="50" t="n"/>
      <c r="AW10" s="49" t="inlineStr">
        <is>
          <t>IF(OR(F10="",AJ10=""),"",IF(COUNT(AI10:AI10)=0,"",AJ10-LOOKUP(2,1/(AI10:AI10&lt;&gt;""),AI10:AI10)))</t>
        </is>
      </c>
      <c r="AX10" s="49" t="inlineStr">
        <is>
          <t>IF(OR(F10="",AK10=""),"",IF(COUNT(AI10:AJ10)=0,"",AK10-LOOKUP(2,1/(AI10:AJ10&lt;&gt;""),AI10:AJ10)))</t>
        </is>
      </c>
      <c r="AY10" s="49" t="inlineStr">
        <is>
          <t>IF(OR(F10="",AL10=""),"",IF(COUNT(AI10:AK10)=0,"",AL10-LOOKUP(2,1/(AI10:AK10&lt;&gt;""),AI10:AK10)))</t>
        </is>
      </c>
      <c r="AZ10" s="49" t="inlineStr">
        <is>
          <t>IF(OR(F10="",AM10=""),"",IF(COUNT(AI10:AL10)=0,"",AM10-LOOKUP(2,1/(AI10:AL10&lt;&gt;""),AI10:AL10)))</t>
        </is>
      </c>
      <c r="BA10" s="49" t="inlineStr">
        <is>
          <t>IF(OR(F10="",AN10=""),"",IF(COUNT(AI10:AM10)=0,"",AN10-LOOKUP(2,1/(AI10:AM10&lt;&gt;""),AI10:AM10)))</t>
        </is>
      </c>
      <c r="BB10" s="49" t="inlineStr">
        <is>
          <t>IF(OR(F10="",AO10=""),"",IF(COUNT(AI10:AN10)=0,"",AO10-LOOKUP(2,1/(AI10:AN10&lt;&gt;""),AI10:AN10)))</t>
        </is>
      </c>
      <c r="BC10" s="49" t="inlineStr">
        <is>
          <t>IF(OR(F10="",AP10=""),"",IF(COUNT(AI10:AO10)=0,"",AP10-LOOKUP(2,1/(AI10:AO10&lt;&gt;""),AI10:AO10)))</t>
        </is>
      </c>
      <c r="BD10" s="49" t="inlineStr">
        <is>
          <t>IF(OR(F10="",AQ10=""),"",IF(COUNT(AI10:AP10)=0,"",AQ10-LOOKUP(2,1/(AI10:AP10&lt;&gt;""),AI10:AP10)))</t>
        </is>
      </c>
      <c r="BE10" s="49" t="inlineStr">
        <is>
          <t>IF(OR(F10="",AR10=""),"",IF(COUNT(AI10:AQ10)=0,"",AR10-LOOKUP(2,1/(AI10:AQ10&lt;&gt;""),AI10:AQ10)))</t>
        </is>
      </c>
      <c r="BF10" s="49" t="inlineStr">
        <is>
          <t>IF(OR(F10="",AS10=""),"",IF(COUNT(AI10:AR10)=0,"",AS10-LOOKUP(2,1/(AI10:AR10&lt;&gt;""),AI10:AR10)))</t>
        </is>
      </c>
      <c r="BG10" s="49" t="inlineStr">
        <is>
          <t>IF(OR(F10="",AT10=""),"",IF(COUNT(AI10:AS10)=0,"",AT10-LOOKUP(2,1/(AI10:AS10&lt;&gt;""),AI10:AS10)))</t>
        </is>
      </c>
      <c r="BH10" s="49" t="inlineStr">
        <is>
          <t>IF(OR(F10="",AU10=""),"",IF(COUNT(AI10:AT10)=0,"",AU10-LOOKUP(2,1/(AI10:AT10&lt;&gt;""),AI10:AT10)))</t>
        </is>
      </c>
      <c r="BI10" s="49" t="inlineStr">
        <is>
          <t>IF(OR(F10="",AV10=""),"",IF(COUNT(AI10:AU10)=0,"",AV10-LOOKUP(2,1/(AI10:AU10&lt;&gt;""),AI10:AU10)))</t>
        </is>
      </c>
      <c r="BJ10" s="51" t="inlineStr">
        <is>
          <t>IF(J10="","All_Provinces",IFERROR(VLOOKUP(J10,'09_Lookups'!$A$4:$B$20,2,FALSE),"All_Provinces"))</t>
        </is>
      </c>
      <c r="BK10" s="51" t="inlineStr">
        <is>
          <t>IF(K10="","All_Districts",IFERROR(VLOOKUP(K10,'09_Lookups'!$E$4:$F$42,2,FALSE),"All_Districts"))</t>
        </is>
      </c>
    </row>
    <row r="11" outlineLevel="1" ht="18" customHeight="1">
      <c r="A11" s="42" t="inlineStr">
        <is>
          <t>IF(F11="","",ROW()-3)</t>
        </is>
      </c>
      <c r="B11" s="43" t="inlineStr">
        <is>
          <t>AF2-AGF-ALL</t>
        </is>
      </c>
      <c r="C11" s="43" t="inlineStr">
        <is>
          <t>Agroforestry saplings and seeds 2026/27</t>
        </is>
      </c>
      <c r="D11" s="43" t="inlineStr">
        <is>
          <t>8 of 39</t>
        </is>
      </c>
      <c r="E11" s="44" t="inlineStr">
        <is>
          <t>AF2-AGF-N-008</t>
        </is>
      </c>
      <c r="F11" s="44" t="inlineStr">
        <is>
          <t>Agroforestry — Balkh / Nahre Shahi</t>
        </is>
      </c>
      <c r="G11" s="44" t="inlineStr">
        <is>
          <t>Agroforestry saplings / seeds</t>
        </is>
      </c>
      <c r="H11" s="44" t="inlineStr">
        <is>
          <t>Saplings and seeds</t>
        </is>
      </c>
      <c r="I11" s="44" t="inlineStr">
        <is>
          <t>Emergency Food Security Project (EFSP) – WBK/AF-2</t>
        </is>
      </c>
      <c r="J11" s="44" t="inlineStr">
        <is>
          <t>North / Mazar</t>
        </is>
      </c>
      <c r="K11" s="44" t="inlineStr">
        <is>
          <t>Balkh</t>
        </is>
      </c>
      <c r="L11" s="44" t="inlineStr">
        <is>
          <t>Nahre Shahi</t>
        </is>
      </c>
      <c r="M11" s="44" t="inlineStr">
        <is>
          <t>Saplings: 0; Seeds kg: 246</t>
        </is>
      </c>
      <c r="N11" s="44" t="inlineStr">
        <is>
          <t>World Bank (WBK/AF-2)</t>
        </is>
      </c>
      <c r="O11" s="44" t="inlineStr">
        <is>
          <t>Not awarded</t>
        </is>
      </c>
      <c r="P11" s="44" t="inlineStr">
        <is>
          <t>7. Agroforestry Saplings-seeds</t>
        </is>
      </c>
      <c r="Q11" s="44" t="inlineStr"/>
      <c r="R11" s="44" t="inlineStr"/>
      <c r="S11" s="45" t="n"/>
      <c r="T11" s="46" t="inlineStr">
        <is>
          <t>IF(AQ11="","",AQ11)</t>
        </is>
      </c>
      <c r="U11" s="47" t="n">
        <v>46142</v>
      </c>
      <c r="V11" s="48" t="n">
        <v>12</v>
      </c>
      <c r="W11" s="47" t="n">
        <v>46478</v>
      </c>
      <c r="X11" s="46" t="inlineStr">
        <is>
          <t>IF(W11&lt;&gt;"",W11,IF(OR(T11="",V11=""),"",EDATE(T11,V11)))</t>
        </is>
      </c>
      <c r="Y11" s="47" t="n"/>
      <c r="Z11" s="48" t="n"/>
      <c r="AA11" s="44" t="inlineStr">
        <is>
          <t>Under Awarding</t>
        </is>
      </c>
      <c r="AB11" s="44" t="inlineStr">
        <is>
          <t>The saplings PO has already been issued and PO for seeds is expected to be issued in November 2026</t>
        </is>
      </c>
      <c r="AC11" s="42" t="inlineStr">
        <is>
          <t>IF(F11="","",IF(COUNT(AI11:AV11)=0,IF(AA11="","Not started",AA11),SUBSTITUTE(LOOKUP(2,1/(AI11:AV11&lt;&gt;""),$AI$3:$AV$3),"Date: ","")))</t>
        </is>
      </c>
      <c r="AD11" s="49" t="inlineStr">
        <is>
          <t>IF(OR(F11="",COUNT(AI11:AV11)=0),"",TODAY()-LOOKUP(2,1/(AI11:AV11&lt;&gt;""),AI11:AV11))</t>
        </is>
      </c>
      <c r="AE11" s="49" t="inlineStr">
        <is>
          <t>IF(OR(F11="",COUNT(AI11:AV11)&lt;2),"",LOOKUP(2,1/(AI11:AV11&lt;&gt;""),AI11:AV11)-MIN(AI11:AV11))</t>
        </is>
      </c>
      <c r="AF11" s="49" t="inlineStr">
        <is>
          <t>IF(OR(AD11="",AC11="Not started",AC11=""),"",IFERROR(AD11-IF(VLOOKUP(AC11,'06_Status_Pipeline'!$B$3:$E$20,4,FALSE)="",0,VLOOKUP(AC11,'06_Status_Pipeline'!$B$3:$E$20,4,FALSE)),""))</t>
        </is>
      </c>
      <c r="AG11" s="42" t="inlineStr">
        <is>
          <t>IF(F11="","",IF(OR(AA11="Cancelled",AC11="Cancelled"),"Cancelled",IF(OR(AC11="Completed / Handover",Y11&lt;&gt;"",Z11&gt;=100),"Completed — on track",IF(O11="Not awarded",IF(U11="",IF(X11="","No planned date",IF(TODAY()&gt;X11,"Behind — past planned date",IF(X11-TODAY()&lt;=30,"At risk — close to off track","On track"))),IF(TODAY()&gt;U11,"Behind — award date passed",IF(U11-TODAY()&lt;=30,"At risk — close to off track","On track"))),IF(X11="","No planned date",IF(AND(TODAY()&gt;X11,OR(Z11="",Z11&lt;100)),"Behind — past end date",IF(AND(T11&lt;&gt;"",X11&lt;&gt;"",Z11&lt;&gt;"",(Z11&lt;100),((TODAY()-T11)/MAX(X11-T11,1)*100)-Z11&gt;15),"Behind — progress lag",IF(AND(X11-TODAY()&lt;=30,X11-TODAY()&gt;=0,OR(Z11="",Z11&lt;90)),"At risk — close to off track","On track"))))))))</t>
        </is>
      </c>
      <c r="AH11" s="49" t="inlineStr">
        <is>
          <t>IF(OR(F11="",AC11="Completed / Handover",AC11="Cancelled"),"",IF(O11="Not awarded",IF(U11&lt;&gt;"",U11-TODAY(),IF(X11="","",X11-TODAY())),IF(X11="","",X11-TODAY())))</t>
        </is>
      </c>
      <c r="AI11" s="47" t="n"/>
      <c r="AJ11" s="47" t="n"/>
      <c r="AK11" s="47" t="n"/>
      <c r="AL11" s="47" t="n"/>
      <c r="AM11" s="47" t="n"/>
      <c r="AN11" s="47" t="n"/>
      <c r="AO11" s="47" t="n"/>
      <c r="AP11" s="47" t="n"/>
      <c r="AQ11" s="47" t="n"/>
      <c r="AR11" s="47" t="n"/>
      <c r="AS11" s="47" t="n"/>
      <c r="AT11" s="50" t="n"/>
      <c r="AU11" s="50" t="n"/>
      <c r="AV11" s="50" t="n"/>
      <c r="AW11" s="49" t="inlineStr">
        <is>
          <t>IF(OR(F11="",AJ11=""),"",IF(COUNT(AI11:AI11)=0,"",AJ11-LOOKUP(2,1/(AI11:AI11&lt;&gt;""),AI11:AI11)))</t>
        </is>
      </c>
      <c r="AX11" s="49" t="inlineStr">
        <is>
          <t>IF(OR(F11="",AK11=""),"",IF(COUNT(AI11:AJ11)=0,"",AK11-LOOKUP(2,1/(AI11:AJ11&lt;&gt;""),AI11:AJ11)))</t>
        </is>
      </c>
      <c r="AY11" s="49" t="inlineStr">
        <is>
          <t>IF(OR(F11="",AL11=""),"",IF(COUNT(AI11:AK11)=0,"",AL11-LOOKUP(2,1/(AI11:AK11&lt;&gt;""),AI11:AK11)))</t>
        </is>
      </c>
      <c r="AZ11" s="49" t="inlineStr">
        <is>
          <t>IF(OR(F11="",AM11=""),"",IF(COUNT(AI11:AL11)=0,"",AM11-LOOKUP(2,1/(AI11:AL11&lt;&gt;""),AI11:AL11)))</t>
        </is>
      </c>
      <c r="BA11" s="49" t="inlineStr">
        <is>
          <t>IF(OR(F11="",AN11=""),"",IF(COUNT(AI11:AM11)=0,"",AN11-LOOKUP(2,1/(AI11:AM11&lt;&gt;""),AI11:AM11)))</t>
        </is>
      </c>
      <c r="BB11" s="49" t="inlineStr">
        <is>
          <t>IF(OR(F11="",AO11=""),"",IF(COUNT(AI11:AN11)=0,"",AO11-LOOKUP(2,1/(AI11:AN11&lt;&gt;""),AI11:AN11)))</t>
        </is>
      </c>
      <c r="BC11" s="49" t="inlineStr">
        <is>
          <t>IF(OR(F11="",AP11=""),"",IF(COUNT(AI11:AO11)=0,"",AP11-LOOKUP(2,1/(AI11:AO11&lt;&gt;""),AI11:AO11)))</t>
        </is>
      </c>
      <c r="BD11" s="49" t="inlineStr">
        <is>
          <t>IF(OR(F11="",AQ11=""),"",IF(COUNT(AI11:AP11)=0,"",AQ11-LOOKUP(2,1/(AI11:AP11&lt;&gt;""),AI11:AP11)))</t>
        </is>
      </c>
      <c r="BE11" s="49" t="inlineStr">
        <is>
          <t>IF(OR(F11="",AR11=""),"",IF(COUNT(AI11:AQ11)=0,"",AR11-LOOKUP(2,1/(AI11:AQ11&lt;&gt;""),AI11:AQ11)))</t>
        </is>
      </c>
      <c r="BF11" s="49" t="inlineStr">
        <is>
          <t>IF(OR(F11="",AS11=""),"",IF(COUNT(AI11:AR11)=0,"",AS11-LOOKUP(2,1/(AI11:AR11&lt;&gt;""),AI11:AR11)))</t>
        </is>
      </c>
      <c r="BG11" s="49" t="inlineStr">
        <is>
          <t>IF(OR(F11="",AT11=""),"",IF(COUNT(AI11:AS11)=0,"",AT11-LOOKUP(2,1/(AI11:AS11&lt;&gt;""),AI11:AS11)))</t>
        </is>
      </c>
      <c r="BH11" s="49" t="inlineStr">
        <is>
          <t>IF(OR(F11="",AU11=""),"",IF(COUNT(AI11:AT11)=0,"",AU11-LOOKUP(2,1/(AI11:AT11&lt;&gt;""),AI11:AT11)))</t>
        </is>
      </c>
      <c r="BI11" s="49" t="inlineStr">
        <is>
          <t>IF(OR(F11="",AV11=""),"",IF(COUNT(AI11:AU11)=0,"",AV11-LOOKUP(2,1/(AI11:AU11&lt;&gt;""),AI11:AU11)))</t>
        </is>
      </c>
      <c r="BJ11" s="51" t="inlineStr">
        <is>
          <t>IF(J11="","All_Provinces",IFERROR(VLOOKUP(J11,'09_Lookups'!$A$4:$B$20,2,FALSE),"All_Provinces"))</t>
        </is>
      </c>
      <c r="BK11" s="51" t="inlineStr">
        <is>
          <t>IF(K11="","All_Districts",IFERROR(VLOOKUP(K11,'09_Lookups'!$E$4:$F$42,2,FALSE),"All_Districts"))</t>
        </is>
      </c>
    </row>
    <row r="12" outlineLevel="1" ht="18" customHeight="1">
      <c r="A12" s="42" t="inlineStr">
        <is>
          <t>IF(F12="","",ROW()-3)</t>
        </is>
      </c>
      <c r="B12" s="43" t="inlineStr">
        <is>
          <t>AF2-AGF-ALL</t>
        </is>
      </c>
      <c r="C12" s="43" t="inlineStr">
        <is>
          <t>Agroforestry saplings and seeds 2026/27</t>
        </is>
      </c>
      <c r="D12" s="43" t="inlineStr">
        <is>
          <t>9 of 39</t>
        </is>
      </c>
      <c r="E12" s="52" t="inlineStr">
        <is>
          <t>AF2-AGF-N-009</t>
        </is>
      </c>
      <c r="F12" s="52" t="inlineStr">
        <is>
          <t>Agroforestry — Daikundi / Khedir</t>
        </is>
      </c>
      <c r="G12" s="52" t="inlineStr">
        <is>
          <t>Agroforestry saplings / seeds</t>
        </is>
      </c>
      <c r="H12" s="52" t="inlineStr">
        <is>
          <t>Saplings and seeds</t>
        </is>
      </c>
      <c r="I12" s="52" t="inlineStr">
        <is>
          <t>Emergency Food Security Project (EFSP) – WBK/AF-2</t>
        </is>
      </c>
      <c r="J12" s="52" t="inlineStr">
        <is>
          <t>Central Highland / Bamyan</t>
        </is>
      </c>
      <c r="K12" s="52" t="inlineStr">
        <is>
          <t>Daikundi</t>
        </is>
      </c>
      <c r="L12" s="52" t="inlineStr">
        <is>
          <t>Khedir</t>
        </is>
      </c>
      <c r="M12" s="52" t="inlineStr">
        <is>
          <t>Saplings: 6000; Seeds kg: 477</t>
        </is>
      </c>
      <c r="N12" s="52" t="inlineStr">
        <is>
          <t>World Bank (WBK/AF-2)</t>
        </is>
      </c>
      <c r="O12" s="52" t="inlineStr">
        <is>
          <t>Not awarded</t>
        </is>
      </c>
      <c r="P12" s="52" t="inlineStr">
        <is>
          <t>7. Agroforestry Saplings-seeds</t>
        </is>
      </c>
      <c r="Q12" s="52" t="inlineStr"/>
      <c r="R12" s="52" t="inlineStr"/>
      <c r="S12" s="53" t="n"/>
      <c r="T12" s="46" t="inlineStr">
        <is>
          <t>IF(AQ12="","",AQ12)</t>
        </is>
      </c>
      <c r="U12" s="54" t="n">
        <v>46142</v>
      </c>
      <c r="V12" s="55" t="n">
        <v>12</v>
      </c>
      <c r="W12" s="54" t="n">
        <v>46478</v>
      </c>
      <c r="X12" s="46" t="inlineStr">
        <is>
          <t>IF(W12&lt;&gt;"",W12,IF(OR(T12="",V12=""),"",EDATE(T12,V12)))</t>
        </is>
      </c>
      <c r="Y12" s="54" t="n"/>
      <c r="Z12" s="55" t="n"/>
      <c r="AA12" s="52" t="inlineStr">
        <is>
          <t>Under Awarding</t>
        </is>
      </c>
      <c r="AB12" s="52" t="inlineStr">
        <is>
          <t>The saplings PO has already been issued and PO for seeds is expected to be issued in November 2026</t>
        </is>
      </c>
      <c r="AC12" s="42" t="inlineStr">
        <is>
          <t>IF(F12="","",IF(COUNT(AI12:AV12)=0,IF(AA12="","Not started",AA12),SUBSTITUTE(LOOKUP(2,1/(AI12:AV12&lt;&gt;""),$AI$3:$AV$3),"Date: ","")))</t>
        </is>
      </c>
      <c r="AD12" s="49" t="inlineStr">
        <is>
          <t>IF(OR(F12="",COUNT(AI12:AV12)=0),"",TODAY()-LOOKUP(2,1/(AI12:AV12&lt;&gt;""),AI12:AV12))</t>
        </is>
      </c>
      <c r="AE12" s="49" t="inlineStr">
        <is>
          <t>IF(OR(F12="",COUNT(AI12:AV12)&lt;2),"",LOOKUP(2,1/(AI12:AV12&lt;&gt;""),AI12:AV12)-MIN(AI12:AV12))</t>
        </is>
      </c>
      <c r="AF12" s="49" t="inlineStr">
        <is>
          <t>IF(OR(AD12="",AC12="Not started",AC12=""),"",IFERROR(AD12-IF(VLOOKUP(AC12,'06_Status_Pipeline'!$B$3:$E$20,4,FALSE)="",0,VLOOKUP(AC12,'06_Status_Pipeline'!$B$3:$E$20,4,FALSE)),""))</t>
        </is>
      </c>
      <c r="AG12" s="42" t="inlineStr">
        <is>
          <t>IF(F12="","",IF(OR(AA12="Cancelled",AC12="Cancelled"),"Cancelled",IF(OR(AC12="Completed / Handover",Y12&lt;&gt;"",Z12&gt;=100),"Completed — on track",IF(O12="Not awarded",IF(U12="",IF(X12="","No planned date",IF(TODAY()&gt;X12,"Behind — past planned date",IF(X12-TODAY()&lt;=30,"At risk — close to off track","On track"))),IF(TODAY()&gt;U12,"Behind — award date passed",IF(U12-TODAY()&lt;=30,"At risk — close to off track","On track"))),IF(X12="","No planned date",IF(AND(TODAY()&gt;X12,OR(Z12="",Z12&lt;100)),"Behind — past end date",IF(AND(T12&lt;&gt;"",X12&lt;&gt;"",Z12&lt;&gt;"",(Z12&lt;100),((TODAY()-T12)/MAX(X12-T12,1)*100)-Z12&gt;15),"Behind — progress lag",IF(AND(X12-TODAY()&lt;=30,X12-TODAY()&gt;=0,OR(Z12="",Z12&lt;90)),"At risk — close to off track","On track"))))))))</t>
        </is>
      </c>
      <c r="AH12" s="49" t="inlineStr">
        <is>
          <t>IF(OR(F12="",AC12="Completed / Handover",AC12="Cancelled"),"",IF(O12="Not awarded",IF(U12&lt;&gt;"",U12-TODAY(),IF(X12="","",X12-TODAY())),IF(X12="","",X12-TODAY())))</t>
        </is>
      </c>
      <c r="AI12" s="54" t="n"/>
      <c r="AJ12" s="54" t="n"/>
      <c r="AK12" s="54" t="n"/>
      <c r="AL12" s="54" t="n"/>
      <c r="AM12" s="54" t="n"/>
      <c r="AN12" s="54" t="n"/>
      <c r="AO12" s="54" t="n"/>
      <c r="AP12" s="54" t="n"/>
      <c r="AQ12" s="54" t="n"/>
      <c r="AR12" s="54" t="n"/>
      <c r="AS12" s="54" t="n"/>
      <c r="AT12" s="50" t="n"/>
      <c r="AU12" s="50" t="n"/>
      <c r="AV12" s="50" t="n"/>
      <c r="AW12" s="49" t="inlineStr">
        <is>
          <t>IF(OR(F12="",AJ12=""),"",IF(COUNT(AI12:AI12)=0,"",AJ12-LOOKUP(2,1/(AI12:AI12&lt;&gt;""),AI12:AI12)))</t>
        </is>
      </c>
      <c r="AX12" s="49" t="inlineStr">
        <is>
          <t>IF(OR(F12="",AK12=""),"",IF(COUNT(AI12:AJ12)=0,"",AK12-LOOKUP(2,1/(AI12:AJ12&lt;&gt;""),AI12:AJ12)))</t>
        </is>
      </c>
      <c r="AY12" s="49" t="inlineStr">
        <is>
          <t>IF(OR(F12="",AL12=""),"",IF(COUNT(AI12:AK12)=0,"",AL12-LOOKUP(2,1/(AI12:AK12&lt;&gt;""),AI12:AK12)))</t>
        </is>
      </c>
      <c r="AZ12" s="49" t="inlineStr">
        <is>
          <t>IF(OR(F12="",AM12=""),"",IF(COUNT(AI12:AL12)=0,"",AM12-LOOKUP(2,1/(AI12:AL12&lt;&gt;""),AI12:AL12)))</t>
        </is>
      </c>
      <c r="BA12" s="49" t="inlineStr">
        <is>
          <t>IF(OR(F12="",AN12=""),"",IF(COUNT(AI12:AM12)=0,"",AN12-LOOKUP(2,1/(AI12:AM12&lt;&gt;""),AI12:AM12)))</t>
        </is>
      </c>
      <c r="BB12" s="49" t="inlineStr">
        <is>
          <t>IF(OR(F12="",AO12=""),"",IF(COUNT(AI12:AN12)=0,"",AO12-LOOKUP(2,1/(AI12:AN12&lt;&gt;""),AI12:AN12)))</t>
        </is>
      </c>
      <c r="BC12" s="49" t="inlineStr">
        <is>
          <t>IF(OR(F12="",AP12=""),"",IF(COUNT(AI12:AO12)=0,"",AP12-LOOKUP(2,1/(AI12:AO12&lt;&gt;""),AI12:AO12)))</t>
        </is>
      </c>
      <c r="BD12" s="49" t="inlineStr">
        <is>
          <t>IF(OR(F12="",AQ12=""),"",IF(COUNT(AI12:AP12)=0,"",AQ12-LOOKUP(2,1/(AI12:AP12&lt;&gt;""),AI12:AP12)))</t>
        </is>
      </c>
      <c r="BE12" s="49" t="inlineStr">
        <is>
          <t>IF(OR(F12="",AR12=""),"",IF(COUNT(AI12:AQ12)=0,"",AR12-LOOKUP(2,1/(AI12:AQ12&lt;&gt;""),AI12:AQ12)))</t>
        </is>
      </c>
      <c r="BF12" s="49" t="inlineStr">
        <is>
          <t>IF(OR(F12="",AS12=""),"",IF(COUNT(AI12:AR12)=0,"",AS12-LOOKUP(2,1/(AI12:AR12&lt;&gt;""),AI12:AR12)))</t>
        </is>
      </c>
      <c r="BG12" s="49" t="inlineStr">
        <is>
          <t>IF(OR(F12="",AT12=""),"",IF(COUNT(AI12:AS12)=0,"",AT12-LOOKUP(2,1/(AI12:AS12&lt;&gt;""),AI12:AS12)))</t>
        </is>
      </c>
      <c r="BH12" s="49" t="inlineStr">
        <is>
          <t>IF(OR(F12="",AU12=""),"",IF(COUNT(AI12:AT12)=0,"",AU12-LOOKUP(2,1/(AI12:AT12&lt;&gt;""),AI12:AT12)))</t>
        </is>
      </c>
      <c r="BI12" s="49" t="inlineStr">
        <is>
          <t>IF(OR(F12="",AV12=""),"",IF(COUNT(AI12:AU12)=0,"",AV12-LOOKUP(2,1/(AI12:AU12&lt;&gt;""),AI12:AU12)))</t>
        </is>
      </c>
      <c r="BJ12" s="51" t="inlineStr">
        <is>
          <t>IF(J12="","All_Provinces",IFERROR(VLOOKUP(J12,'09_Lookups'!$A$4:$B$20,2,FALSE),"All_Provinces"))</t>
        </is>
      </c>
      <c r="BK12" s="51" t="inlineStr">
        <is>
          <t>IF(K12="","All_Districts",IFERROR(VLOOKUP(K12,'09_Lookups'!$E$4:$F$42,2,FALSE),"All_Districts"))</t>
        </is>
      </c>
    </row>
    <row r="13" outlineLevel="1" ht="18" customHeight="1">
      <c r="A13" s="42" t="inlineStr">
        <is>
          <t>IF(F13="","",ROW()-3)</t>
        </is>
      </c>
      <c r="B13" s="43" t="inlineStr">
        <is>
          <t>AF2-AGF-ALL</t>
        </is>
      </c>
      <c r="C13" s="43" t="inlineStr">
        <is>
          <t>Agroforestry saplings and seeds 2026/27</t>
        </is>
      </c>
      <c r="D13" s="43" t="inlineStr">
        <is>
          <t>10 of 39</t>
        </is>
      </c>
      <c r="E13" s="44" t="inlineStr">
        <is>
          <t>AF2-AGF-N-010</t>
        </is>
      </c>
      <c r="F13" s="44" t="inlineStr">
        <is>
          <t>Agroforestry — Daikundi / Meramour</t>
        </is>
      </c>
      <c r="G13" s="44" t="inlineStr">
        <is>
          <t>Agroforestry saplings / seeds</t>
        </is>
      </c>
      <c r="H13" s="44" t="inlineStr">
        <is>
          <t>Saplings and seeds</t>
        </is>
      </c>
      <c r="I13" s="44" t="inlineStr">
        <is>
          <t>Emergency Food Security Project (EFSP) – WBK/AF-2</t>
        </is>
      </c>
      <c r="J13" s="44" t="inlineStr">
        <is>
          <t>Central Highland / Bamyan</t>
        </is>
      </c>
      <c r="K13" s="44" t="inlineStr">
        <is>
          <t>Daikundi</t>
        </is>
      </c>
      <c r="L13" s="44" t="inlineStr">
        <is>
          <t>Meramour</t>
        </is>
      </c>
      <c r="M13" s="44" t="inlineStr">
        <is>
          <t>Saplings: 7000; Seeds kg: 197.5</t>
        </is>
      </c>
      <c r="N13" s="44" t="inlineStr">
        <is>
          <t>World Bank (WBK/AF-2)</t>
        </is>
      </c>
      <c r="O13" s="44" t="inlineStr">
        <is>
          <t>Not awarded</t>
        </is>
      </c>
      <c r="P13" s="44" t="inlineStr">
        <is>
          <t>7. Agroforestry Saplings-seeds</t>
        </is>
      </c>
      <c r="Q13" s="44" t="inlineStr"/>
      <c r="R13" s="44" t="inlineStr"/>
      <c r="S13" s="45" t="n"/>
      <c r="T13" s="46" t="inlineStr">
        <is>
          <t>IF(AQ13="","",AQ13)</t>
        </is>
      </c>
      <c r="U13" s="47" t="n">
        <v>46142</v>
      </c>
      <c r="V13" s="48" t="n">
        <v>12</v>
      </c>
      <c r="W13" s="47" t="n">
        <v>46478</v>
      </c>
      <c r="X13" s="46" t="inlineStr">
        <is>
          <t>IF(W13&lt;&gt;"",W13,IF(OR(T13="",V13=""),"",EDATE(T13,V13)))</t>
        </is>
      </c>
      <c r="Y13" s="47" t="n"/>
      <c r="Z13" s="48" t="n"/>
      <c r="AA13" s="44" t="inlineStr">
        <is>
          <t>Under Awarding</t>
        </is>
      </c>
      <c r="AB13" s="44" t="inlineStr">
        <is>
          <t>The saplings PO has already been issued and PO for seeds is expected to be issued in November 2026</t>
        </is>
      </c>
      <c r="AC13" s="42" t="inlineStr">
        <is>
          <t>IF(F13="","",IF(COUNT(AI13:AV13)=0,IF(AA13="","Not started",AA13),SUBSTITUTE(LOOKUP(2,1/(AI13:AV13&lt;&gt;""),$AI$3:$AV$3),"Date: ","")))</t>
        </is>
      </c>
      <c r="AD13" s="49" t="inlineStr">
        <is>
          <t>IF(OR(F13="",COUNT(AI13:AV13)=0),"",TODAY()-LOOKUP(2,1/(AI13:AV13&lt;&gt;""),AI13:AV13))</t>
        </is>
      </c>
      <c r="AE13" s="49" t="inlineStr">
        <is>
          <t>IF(OR(F13="",COUNT(AI13:AV13)&lt;2),"",LOOKUP(2,1/(AI13:AV13&lt;&gt;""),AI13:AV13)-MIN(AI13:AV13))</t>
        </is>
      </c>
      <c r="AF13" s="49" t="inlineStr">
        <is>
          <t>IF(OR(AD13="",AC13="Not started",AC13=""),"",IFERROR(AD13-IF(VLOOKUP(AC13,'06_Status_Pipeline'!$B$3:$E$20,4,FALSE)="",0,VLOOKUP(AC13,'06_Status_Pipeline'!$B$3:$E$20,4,FALSE)),""))</t>
        </is>
      </c>
      <c r="AG13" s="42" t="inlineStr">
        <is>
          <t>IF(F13="","",IF(OR(AA13="Cancelled",AC13="Cancelled"),"Cancelled",IF(OR(AC13="Completed / Handover",Y13&lt;&gt;"",Z13&gt;=100),"Completed — on track",IF(O13="Not awarded",IF(U13="",IF(X13="","No planned date",IF(TODAY()&gt;X13,"Behind — past planned date",IF(X13-TODAY()&lt;=30,"At risk — close to off track","On track"))),IF(TODAY()&gt;U13,"Behind — award date passed",IF(U13-TODAY()&lt;=30,"At risk — close to off track","On track"))),IF(X13="","No planned date",IF(AND(TODAY()&gt;X13,OR(Z13="",Z13&lt;100)),"Behind — past end date",IF(AND(T13&lt;&gt;"",X13&lt;&gt;"",Z13&lt;&gt;"",(Z13&lt;100),((TODAY()-T13)/MAX(X13-T13,1)*100)-Z13&gt;15),"Behind — progress lag",IF(AND(X13-TODAY()&lt;=30,X13-TODAY()&gt;=0,OR(Z13="",Z13&lt;90)),"At risk — close to off track","On track"))))))))</t>
        </is>
      </c>
      <c r="AH13" s="49" t="inlineStr">
        <is>
          <t>IF(OR(F13="",AC13="Completed / Handover",AC13="Cancelled"),"",IF(O13="Not awarded",IF(U13&lt;&gt;"",U13-TODAY(),IF(X13="","",X13-TODAY())),IF(X13="","",X13-TODAY())))</t>
        </is>
      </c>
      <c r="AI13" s="47" t="n"/>
      <c r="AJ13" s="47" t="n"/>
      <c r="AK13" s="47" t="n"/>
      <c r="AL13" s="47" t="n"/>
      <c r="AM13" s="47" t="n"/>
      <c r="AN13" s="47" t="n"/>
      <c r="AO13" s="47" t="n"/>
      <c r="AP13" s="47" t="n"/>
      <c r="AQ13" s="47" t="n"/>
      <c r="AR13" s="47" t="n"/>
      <c r="AS13" s="47" t="n"/>
      <c r="AT13" s="50" t="n"/>
      <c r="AU13" s="50" t="n"/>
      <c r="AV13" s="50" t="n"/>
      <c r="AW13" s="49" t="inlineStr">
        <is>
          <t>IF(OR(F13="",AJ13=""),"",IF(COUNT(AI13:AI13)=0,"",AJ13-LOOKUP(2,1/(AI13:AI13&lt;&gt;""),AI13:AI13)))</t>
        </is>
      </c>
      <c r="AX13" s="49" t="inlineStr">
        <is>
          <t>IF(OR(F13="",AK13=""),"",IF(COUNT(AI13:AJ13)=0,"",AK13-LOOKUP(2,1/(AI13:AJ13&lt;&gt;""),AI13:AJ13)))</t>
        </is>
      </c>
      <c r="AY13" s="49" t="inlineStr">
        <is>
          <t>IF(OR(F13="",AL13=""),"",IF(COUNT(AI13:AK13)=0,"",AL13-LOOKUP(2,1/(AI13:AK13&lt;&gt;""),AI13:AK13)))</t>
        </is>
      </c>
      <c r="AZ13" s="49" t="inlineStr">
        <is>
          <t>IF(OR(F13="",AM13=""),"",IF(COUNT(AI13:AL13)=0,"",AM13-LOOKUP(2,1/(AI13:AL13&lt;&gt;""),AI13:AL13)))</t>
        </is>
      </c>
      <c r="BA13" s="49" t="inlineStr">
        <is>
          <t>IF(OR(F13="",AN13=""),"",IF(COUNT(AI13:AM13)=0,"",AN13-LOOKUP(2,1/(AI13:AM13&lt;&gt;""),AI13:AM13)))</t>
        </is>
      </c>
      <c r="BB13" s="49" t="inlineStr">
        <is>
          <t>IF(OR(F13="",AO13=""),"",IF(COUNT(AI13:AN13)=0,"",AO13-LOOKUP(2,1/(AI13:AN13&lt;&gt;""),AI13:AN13)))</t>
        </is>
      </c>
      <c r="BC13" s="49" t="inlineStr">
        <is>
          <t>IF(OR(F13="",AP13=""),"",IF(COUNT(AI13:AO13)=0,"",AP13-LOOKUP(2,1/(AI13:AO13&lt;&gt;""),AI13:AO13)))</t>
        </is>
      </c>
      <c r="BD13" s="49" t="inlineStr">
        <is>
          <t>IF(OR(F13="",AQ13=""),"",IF(COUNT(AI13:AP13)=0,"",AQ13-LOOKUP(2,1/(AI13:AP13&lt;&gt;""),AI13:AP13)))</t>
        </is>
      </c>
      <c r="BE13" s="49" t="inlineStr">
        <is>
          <t>IF(OR(F13="",AR13=""),"",IF(COUNT(AI13:AQ13)=0,"",AR13-LOOKUP(2,1/(AI13:AQ13&lt;&gt;""),AI13:AQ13)))</t>
        </is>
      </c>
      <c r="BF13" s="49" t="inlineStr">
        <is>
          <t>IF(OR(F13="",AS13=""),"",IF(COUNT(AI13:AR13)=0,"",AS13-LOOKUP(2,1/(AI13:AR13&lt;&gt;""),AI13:AR13)))</t>
        </is>
      </c>
      <c r="BG13" s="49" t="inlineStr">
        <is>
          <t>IF(OR(F13="",AT13=""),"",IF(COUNT(AI13:AS13)=0,"",AT13-LOOKUP(2,1/(AI13:AS13&lt;&gt;""),AI13:AS13)))</t>
        </is>
      </c>
      <c r="BH13" s="49" t="inlineStr">
        <is>
          <t>IF(OR(F13="",AU13=""),"",IF(COUNT(AI13:AT13)=0,"",AU13-LOOKUP(2,1/(AI13:AT13&lt;&gt;""),AI13:AT13)))</t>
        </is>
      </c>
      <c r="BI13" s="49" t="inlineStr">
        <is>
          <t>IF(OR(F13="",AV13=""),"",IF(COUNT(AI13:AU13)=0,"",AV13-LOOKUP(2,1/(AI13:AU13&lt;&gt;""),AI13:AU13)))</t>
        </is>
      </c>
      <c r="BJ13" s="51" t="inlineStr">
        <is>
          <t>IF(J13="","All_Provinces",IFERROR(VLOOKUP(J13,'09_Lookups'!$A$4:$B$20,2,FALSE),"All_Provinces"))</t>
        </is>
      </c>
      <c r="BK13" s="51" t="inlineStr">
        <is>
          <t>IF(K13="","All_Districts",IFERROR(VLOOKUP(K13,'09_Lookups'!$E$4:$F$42,2,FALSE),"All_Districts"))</t>
        </is>
      </c>
    </row>
    <row r="14" outlineLevel="1" ht="18" customHeight="1">
      <c r="A14" s="42" t="inlineStr">
        <is>
          <t>IF(F14="","",ROW()-3)</t>
        </is>
      </c>
      <c r="B14" s="43" t="inlineStr">
        <is>
          <t>AF2-AGF-ALL</t>
        </is>
      </c>
      <c r="C14" s="43" t="inlineStr">
        <is>
          <t>Agroforestry saplings and seeds 2026/27</t>
        </is>
      </c>
      <c r="D14" s="43" t="inlineStr">
        <is>
          <t>11 of 39</t>
        </is>
      </c>
      <c r="E14" s="52" t="inlineStr">
        <is>
          <t>AF2-AGF-N-011</t>
        </is>
      </c>
      <c r="F14" s="52" t="inlineStr">
        <is>
          <t>Agroforestry — Daikundi / Sharistan</t>
        </is>
      </c>
      <c r="G14" s="52" t="inlineStr">
        <is>
          <t>Agroforestry saplings / seeds</t>
        </is>
      </c>
      <c r="H14" s="52" t="inlineStr">
        <is>
          <t>Saplings and seeds</t>
        </is>
      </c>
      <c r="I14" s="52" t="inlineStr">
        <is>
          <t>Emergency Food Security Project (EFSP) – WBK/AF-2</t>
        </is>
      </c>
      <c r="J14" s="52" t="inlineStr">
        <is>
          <t>Central Highland / Bamyan</t>
        </is>
      </c>
      <c r="K14" s="52" t="inlineStr">
        <is>
          <t>Daikundi</t>
        </is>
      </c>
      <c r="L14" s="52" t="inlineStr">
        <is>
          <t>Sharistan</t>
        </is>
      </c>
      <c r="M14" s="52" t="inlineStr">
        <is>
          <t>Saplings: 7000; Seeds kg: 195.5</t>
        </is>
      </c>
      <c r="N14" s="52" t="inlineStr">
        <is>
          <t>World Bank (WBK/AF-2)</t>
        </is>
      </c>
      <c r="O14" s="52" t="inlineStr">
        <is>
          <t>Not awarded</t>
        </is>
      </c>
      <c r="P14" s="52" t="inlineStr">
        <is>
          <t>7. Agroforestry Saplings-seeds</t>
        </is>
      </c>
      <c r="Q14" s="52" t="inlineStr"/>
      <c r="R14" s="52" t="inlineStr"/>
      <c r="S14" s="53" t="n"/>
      <c r="T14" s="46" t="inlineStr">
        <is>
          <t>IF(AQ14="","",AQ14)</t>
        </is>
      </c>
      <c r="U14" s="54" t="n">
        <v>46142</v>
      </c>
      <c r="V14" s="55" t="n">
        <v>12</v>
      </c>
      <c r="W14" s="54" t="n">
        <v>46478</v>
      </c>
      <c r="X14" s="46" t="inlineStr">
        <is>
          <t>IF(W14&lt;&gt;"",W14,IF(OR(T14="",V14=""),"",EDATE(T14,V14)))</t>
        </is>
      </c>
      <c r="Y14" s="54" t="n"/>
      <c r="Z14" s="55" t="n"/>
      <c r="AA14" s="52" t="inlineStr">
        <is>
          <t>Under Awarding</t>
        </is>
      </c>
      <c r="AB14" s="52" t="inlineStr">
        <is>
          <t>The saplings PO has already been issued and PO for seeds is expected to be issued in November 2026</t>
        </is>
      </c>
      <c r="AC14" s="42" t="inlineStr">
        <is>
          <t>IF(F14="","",IF(COUNT(AI14:AV14)=0,IF(AA14="","Not started",AA14),SUBSTITUTE(LOOKUP(2,1/(AI14:AV14&lt;&gt;""),$AI$3:$AV$3),"Date: ","")))</t>
        </is>
      </c>
      <c r="AD14" s="49" t="inlineStr">
        <is>
          <t>IF(OR(F14="",COUNT(AI14:AV14)=0),"",TODAY()-LOOKUP(2,1/(AI14:AV14&lt;&gt;""),AI14:AV14))</t>
        </is>
      </c>
      <c r="AE14" s="49" t="inlineStr">
        <is>
          <t>IF(OR(F14="",COUNT(AI14:AV14)&lt;2),"",LOOKUP(2,1/(AI14:AV14&lt;&gt;""),AI14:AV14)-MIN(AI14:AV14))</t>
        </is>
      </c>
      <c r="AF14" s="49" t="inlineStr">
        <is>
          <t>IF(OR(AD14="",AC14="Not started",AC14=""),"",IFERROR(AD14-IF(VLOOKUP(AC14,'06_Status_Pipeline'!$B$3:$E$20,4,FALSE)="",0,VLOOKUP(AC14,'06_Status_Pipeline'!$B$3:$E$20,4,FALSE)),""))</t>
        </is>
      </c>
      <c r="AG14" s="42" t="inlineStr">
        <is>
          <t>IF(F14="","",IF(OR(AA14="Cancelled",AC14="Cancelled"),"Cancelled",IF(OR(AC14="Completed / Handover",Y14&lt;&gt;"",Z14&gt;=100),"Completed — on track",IF(O14="Not awarded",IF(U14="",IF(X14="","No planned date",IF(TODAY()&gt;X14,"Behind — past planned date",IF(X14-TODAY()&lt;=30,"At risk — close to off track","On track"))),IF(TODAY()&gt;U14,"Behind — award date passed",IF(U14-TODAY()&lt;=30,"At risk — close to off track","On track"))),IF(X14="","No planned date",IF(AND(TODAY()&gt;X14,OR(Z14="",Z14&lt;100)),"Behind — past end date",IF(AND(T14&lt;&gt;"",X14&lt;&gt;"",Z14&lt;&gt;"",(Z14&lt;100),((TODAY()-T14)/MAX(X14-T14,1)*100)-Z14&gt;15),"Behind — progress lag",IF(AND(X14-TODAY()&lt;=30,X14-TODAY()&gt;=0,OR(Z14="",Z14&lt;90)),"At risk — close to off track","On track"))))))))</t>
        </is>
      </c>
      <c r="AH14" s="49" t="inlineStr">
        <is>
          <t>IF(OR(F14="",AC14="Completed / Handover",AC14="Cancelled"),"",IF(O14="Not awarded",IF(U14&lt;&gt;"",U14-TODAY(),IF(X14="","",X14-TODAY())),IF(X14="","",X14-TODAY())))</t>
        </is>
      </c>
      <c r="AI14" s="54" t="n"/>
      <c r="AJ14" s="54" t="n"/>
      <c r="AK14" s="54" t="n"/>
      <c r="AL14" s="54" t="n"/>
      <c r="AM14" s="54" t="n"/>
      <c r="AN14" s="54" t="n"/>
      <c r="AO14" s="54" t="n"/>
      <c r="AP14" s="54" t="n"/>
      <c r="AQ14" s="54" t="n"/>
      <c r="AR14" s="54" t="n"/>
      <c r="AS14" s="54" t="n"/>
      <c r="AT14" s="50" t="n"/>
      <c r="AU14" s="50" t="n"/>
      <c r="AV14" s="50" t="n"/>
      <c r="AW14" s="49" t="inlineStr">
        <is>
          <t>IF(OR(F14="",AJ14=""),"",IF(COUNT(AI14:AI14)=0,"",AJ14-LOOKUP(2,1/(AI14:AI14&lt;&gt;""),AI14:AI14)))</t>
        </is>
      </c>
      <c r="AX14" s="49" t="inlineStr">
        <is>
          <t>IF(OR(F14="",AK14=""),"",IF(COUNT(AI14:AJ14)=0,"",AK14-LOOKUP(2,1/(AI14:AJ14&lt;&gt;""),AI14:AJ14)))</t>
        </is>
      </c>
      <c r="AY14" s="49" t="inlineStr">
        <is>
          <t>IF(OR(F14="",AL14=""),"",IF(COUNT(AI14:AK14)=0,"",AL14-LOOKUP(2,1/(AI14:AK14&lt;&gt;""),AI14:AK14)))</t>
        </is>
      </c>
      <c r="AZ14" s="49" t="inlineStr">
        <is>
          <t>IF(OR(F14="",AM14=""),"",IF(COUNT(AI14:AL14)=0,"",AM14-LOOKUP(2,1/(AI14:AL14&lt;&gt;""),AI14:AL14)))</t>
        </is>
      </c>
      <c r="BA14" s="49" t="inlineStr">
        <is>
          <t>IF(OR(F14="",AN14=""),"",IF(COUNT(AI14:AM14)=0,"",AN14-LOOKUP(2,1/(AI14:AM14&lt;&gt;""),AI14:AM14)))</t>
        </is>
      </c>
      <c r="BB14" s="49" t="inlineStr">
        <is>
          <t>IF(OR(F14="",AO14=""),"",IF(COUNT(AI14:AN14)=0,"",AO14-LOOKUP(2,1/(AI14:AN14&lt;&gt;""),AI14:AN14)))</t>
        </is>
      </c>
      <c r="BC14" s="49" t="inlineStr">
        <is>
          <t>IF(OR(F14="",AP14=""),"",IF(COUNT(AI14:AO14)=0,"",AP14-LOOKUP(2,1/(AI14:AO14&lt;&gt;""),AI14:AO14)))</t>
        </is>
      </c>
      <c r="BD14" s="49" t="inlineStr">
        <is>
          <t>IF(OR(F14="",AQ14=""),"",IF(COUNT(AI14:AP14)=0,"",AQ14-LOOKUP(2,1/(AI14:AP14&lt;&gt;""),AI14:AP14)))</t>
        </is>
      </c>
      <c r="BE14" s="49" t="inlineStr">
        <is>
          <t>IF(OR(F14="",AR14=""),"",IF(COUNT(AI14:AQ14)=0,"",AR14-LOOKUP(2,1/(AI14:AQ14&lt;&gt;""),AI14:AQ14)))</t>
        </is>
      </c>
      <c r="BF14" s="49" t="inlineStr">
        <is>
          <t>IF(OR(F14="",AS14=""),"",IF(COUNT(AI14:AR14)=0,"",AS14-LOOKUP(2,1/(AI14:AR14&lt;&gt;""),AI14:AR14)))</t>
        </is>
      </c>
      <c r="BG14" s="49" t="inlineStr">
        <is>
          <t>IF(OR(F14="",AT14=""),"",IF(COUNT(AI14:AS14)=0,"",AT14-LOOKUP(2,1/(AI14:AS14&lt;&gt;""),AI14:AS14)))</t>
        </is>
      </c>
      <c r="BH14" s="49" t="inlineStr">
        <is>
          <t>IF(OR(F14="",AU14=""),"",IF(COUNT(AI14:AT14)=0,"",AU14-LOOKUP(2,1/(AI14:AT14&lt;&gt;""),AI14:AT14)))</t>
        </is>
      </c>
      <c r="BI14" s="49" t="inlineStr">
        <is>
          <t>IF(OR(F14="",AV14=""),"",IF(COUNT(AI14:AU14)=0,"",AV14-LOOKUP(2,1/(AI14:AU14&lt;&gt;""),AI14:AU14)))</t>
        </is>
      </c>
      <c r="BJ14" s="51" t="inlineStr">
        <is>
          <t>IF(J14="","All_Provinces",IFERROR(VLOOKUP(J14,'09_Lookups'!$A$4:$B$20,2,FALSE),"All_Provinces"))</t>
        </is>
      </c>
      <c r="BK14" s="51" t="inlineStr">
        <is>
          <t>IF(K14="","All_Districts",IFERROR(VLOOKUP(K14,'09_Lookups'!$E$4:$F$42,2,FALSE),"All_Districts"))</t>
        </is>
      </c>
    </row>
    <row r="15" outlineLevel="1" ht="18" customHeight="1">
      <c r="A15" s="42" t="inlineStr">
        <is>
          <t>IF(F15="","",ROW()-3)</t>
        </is>
      </c>
      <c r="B15" s="43" t="inlineStr">
        <is>
          <t>AF2-AGF-ALL</t>
        </is>
      </c>
      <c r="C15" s="43" t="inlineStr">
        <is>
          <t>Agroforestry saplings and seeds 2026/27</t>
        </is>
      </c>
      <c r="D15" s="43" t="inlineStr">
        <is>
          <t>12 of 39</t>
        </is>
      </c>
      <c r="E15" s="44" t="inlineStr">
        <is>
          <t>AF2-AGF-N-012</t>
        </is>
      </c>
      <c r="F15" s="44" t="inlineStr">
        <is>
          <t>Agroforestry — Faryab / Almar</t>
        </is>
      </c>
      <c r="G15" s="44" t="inlineStr">
        <is>
          <t>Agroforestry saplings / seeds</t>
        </is>
      </c>
      <c r="H15" s="44" t="inlineStr">
        <is>
          <t>Saplings and seeds</t>
        </is>
      </c>
      <c r="I15" s="44" t="inlineStr">
        <is>
          <t>Emergency Food Security Project (EFSP) – WBK/AF-2</t>
        </is>
      </c>
      <c r="J15" s="44" t="inlineStr">
        <is>
          <t>North / Mazar</t>
        </is>
      </c>
      <c r="K15" s="44" t="inlineStr">
        <is>
          <t>Faryab</t>
        </is>
      </c>
      <c r="L15" s="44" t="inlineStr">
        <is>
          <t>Almar</t>
        </is>
      </c>
      <c r="M15" s="44" t="inlineStr">
        <is>
          <t>Saplings: 0; Seeds kg: 154</t>
        </is>
      </c>
      <c r="N15" s="44" t="inlineStr">
        <is>
          <t>World Bank (WBK/AF-2)</t>
        </is>
      </c>
      <c r="O15" s="44" t="inlineStr">
        <is>
          <t>Not awarded</t>
        </is>
      </c>
      <c r="P15" s="44" t="inlineStr">
        <is>
          <t>7. Agroforestry Saplings-seeds</t>
        </is>
      </c>
      <c r="Q15" s="44" t="inlineStr"/>
      <c r="R15" s="44" t="inlineStr"/>
      <c r="S15" s="45" t="n"/>
      <c r="T15" s="46" t="inlineStr">
        <is>
          <t>IF(AQ15="","",AQ15)</t>
        </is>
      </c>
      <c r="U15" s="47" t="n">
        <v>46142</v>
      </c>
      <c r="V15" s="48" t="n">
        <v>12</v>
      </c>
      <c r="W15" s="47" t="n">
        <v>46478</v>
      </c>
      <c r="X15" s="46" t="inlineStr">
        <is>
          <t>IF(W15&lt;&gt;"",W15,IF(OR(T15="",V15=""),"",EDATE(T15,V15)))</t>
        </is>
      </c>
      <c r="Y15" s="47" t="n"/>
      <c r="Z15" s="48" t="n"/>
      <c r="AA15" s="44" t="inlineStr">
        <is>
          <t>Under Awarding</t>
        </is>
      </c>
      <c r="AB15" s="44" t="inlineStr">
        <is>
          <t>The saplings PO has already been issued and PO for seeds is expected to be issued in November 2026</t>
        </is>
      </c>
      <c r="AC15" s="42" t="inlineStr">
        <is>
          <t>IF(F15="","",IF(COUNT(AI15:AV15)=0,IF(AA15="","Not started",AA15),SUBSTITUTE(LOOKUP(2,1/(AI15:AV15&lt;&gt;""),$AI$3:$AV$3),"Date: ","")))</t>
        </is>
      </c>
      <c r="AD15" s="49" t="inlineStr">
        <is>
          <t>IF(OR(F15="",COUNT(AI15:AV15)=0),"",TODAY()-LOOKUP(2,1/(AI15:AV15&lt;&gt;""),AI15:AV15))</t>
        </is>
      </c>
      <c r="AE15" s="49" t="inlineStr">
        <is>
          <t>IF(OR(F15="",COUNT(AI15:AV15)&lt;2),"",LOOKUP(2,1/(AI15:AV15&lt;&gt;""),AI15:AV15)-MIN(AI15:AV15))</t>
        </is>
      </c>
      <c r="AF15" s="49" t="inlineStr">
        <is>
          <t>IF(OR(AD15="",AC15="Not started",AC15=""),"",IFERROR(AD15-IF(VLOOKUP(AC15,'06_Status_Pipeline'!$B$3:$E$20,4,FALSE)="",0,VLOOKUP(AC15,'06_Status_Pipeline'!$B$3:$E$20,4,FALSE)),""))</t>
        </is>
      </c>
      <c r="AG15" s="42" t="inlineStr">
        <is>
          <t>IF(F15="","",IF(OR(AA15="Cancelled",AC15="Cancelled"),"Cancelled",IF(OR(AC15="Completed / Handover",Y15&lt;&gt;"",Z15&gt;=100),"Completed — on track",IF(O15="Not awarded",IF(U15="",IF(X15="","No planned date",IF(TODAY()&gt;X15,"Behind — past planned date",IF(X15-TODAY()&lt;=30,"At risk — close to off track","On track"))),IF(TODAY()&gt;U15,"Behind — award date passed",IF(U15-TODAY()&lt;=30,"At risk — close to off track","On track"))),IF(X15="","No planned date",IF(AND(TODAY()&gt;X15,OR(Z15="",Z15&lt;100)),"Behind — past end date",IF(AND(T15&lt;&gt;"",X15&lt;&gt;"",Z15&lt;&gt;"",(Z15&lt;100),((TODAY()-T15)/MAX(X15-T15,1)*100)-Z15&gt;15),"Behind — progress lag",IF(AND(X15-TODAY()&lt;=30,X15-TODAY()&gt;=0,OR(Z15="",Z15&lt;90)),"At risk — close to off track","On track"))))))))</t>
        </is>
      </c>
      <c r="AH15" s="49" t="inlineStr">
        <is>
          <t>IF(OR(F15="",AC15="Completed / Handover",AC15="Cancelled"),"",IF(O15="Not awarded",IF(U15&lt;&gt;"",U15-TODAY(),IF(X15="","",X15-TODAY())),IF(X15="","",X15-TODAY())))</t>
        </is>
      </c>
      <c r="AI15" s="47" t="n"/>
      <c r="AJ15" s="47" t="n"/>
      <c r="AK15" s="47" t="n"/>
      <c r="AL15" s="47" t="n"/>
      <c r="AM15" s="47" t="n"/>
      <c r="AN15" s="47" t="n"/>
      <c r="AO15" s="47" t="n"/>
      <c r="AP15" s="47" t="n"/>
      <c r="AQ15" s="47" t="n"/>
      <c r="AR15" s="47" t="n"/>
      <c r="AS15" s="47" t="n"/>
      <c r="AT15" s="50" t="n"/>
      <c r="AU15" s="50" t="n"/>
      <c r="AV15" s="50" t="n"/>
      <c r="AW15" s="49" t="inlineStr">
        <is>
          <t>IF(OR(F15="",AJ15=""),"",IF(COUNT(AI15:AI15)=0,"",AJ15-LOOKUP(2,1/(AI15:AI15&lt;&gt;""),AI15:AI15)))</t>
        </is>
      </c>
      <c r="AX15" s="49" t="inlineStr">
        <is>
          <t>IF(OR(F15="",AK15=""),"",IF(COUNT(AI15:AJ15)=0,"",AK15-LOOKUP(2,1/(AI15:AJ15&lt;&gt;""),AI15:AJ15)))</t>
        </is>
      </c>
      <c r="AY15" s="49" t="inlineStr">
        <is>
          <t>IF(OR(F15="",AL15=""),"",IF(COUNT(AI15:AK15)=0,"",AL15-LOOKUP(2,1/(AI15:AK15&lt;&gt;""),AI15:AK15)))</t>
        </is>
      </c>
      <c r="AZ15" s="49" t="inlineStr">
        <is>
          <t>IF(OR(F15="",AM15=""),"",IF(COUNT(AI15:AL15)=0,"",AM15-LOOKUP(2,1/(AI15:AL15&lt;&gt;""),AI15:AL15)))</t>
        </is>
      </c>
      <c r="BA15" s="49" t="inlineStr">
        <is>
          <t>IF(OR(F15="",AN15=""),"",IF(COUNT(AI15:AM15)=0,"",AN15-LOOKUP(2,1/(AI15:AM15&lt;&gt;""),AI15:AM15)))</t>
        </is>
      </c>
      <c r="BB15" s="49" t="inlineStr">
        <is>
          <t>IF(OR(F15="",AO15=""),"",IF(COUNT(AI15:AN15)=0,"",AO15-LOOKUP(2,1/(AI15:AN15&lt;&gt;""),AI15:AN15)))</t>
        </is>
      </c>
      <c r="BC15" s="49" t="inlineStr">
        <is>
          <t>IF(OR(F15="",AP15=""),"",IF(COUNT(AI15:AO15)=0,"",AP15-LOOKUP(2,1/(AI15:AO15&lt;&gt;""),AI15:AO15)))</t>
        </is>
      </c>
      <c r="BD15" s="49" t="inlineStr">
        <is>
          <t>IF(OR(F15="",AQ15=""),"",IF(COUNT(AI15:AP15)=0,"",AQ15-LOOKUP(2,1/(AI15:AP15&lt;&gt;""),AI15:AP15)))</t>
        </is>
      </c>
      <c r="BE15" s="49" t="inlineStr">
        <is>
          <t>IF(OR(F15="",AR15=""),"",IF(COUNT(AI15:AQ15)=0,"",AR15-LOOKUP(2,1/(AI15:AQ15&lt;&gt;""),AI15:AQ15)))</t>
        </is>
      </c>
      <c r="BF15" s="49" t="inlineStr">
        <is>
          <t>IF(OR(F15="",AS15=""),"",IF(COUNT(AI15:AR15)=0,"",AS15-LOOKUP(2,1/(AI15:AR15&lt;&gt;""),AI15:AR15)))</t>
        </is>
      </c>
      <c r="BG15" s="49" t="inlineStr">
        <is>
          <t>IF(OR(F15="",AT15=""),"",IF(COUNT(AI15:AS15)=0,"",AT15-LOOKUP(2,1/(AI15:AS15&lt;&gt;""),AI15:AS15)))</t>
        </is>
      </c>
      <c r="BH15" s="49" t="inlineStr">
        <is>
          <t>IF(OR(F15="",AU15=""),"",IF(COUNT(AI15:AT15)=0,"",AU15-LOOKUP(2,1/(AI15:AT15&lt;&gt;""),AI15:AT15)))</t>
        </is>
      </c>
      <c r="BI15" s="49" t="inlineStr">
        <is>
          <t>IF(OR(F15="",AV15=""),"",IF(COUNT(AI15:AU15)=0,"",AV15-LOOKUP(2,1/(AI15:AU15&lt;&gt;""),AI15:AU15)))</t>
        </is>
      </c>
      <c r="BJ15" s="51" t="inlineStr">
        <is>
          <t>IF(J15="","All_Provinces",IFERROR(VLOOKUP(J15,'09_Lookups'!$A$4:$B$20,2,FALSE),"All_Provinces"))</t>
        </is>
      </c>
      <c r="BK15" s="51" t="inlineStr">
        <is>
          <t>IF(K15="","All_Districts",IFERROR(VLOOKUP(K15,'09_Lookups'!$E$4:$F$42,2,FALSE),"All_Districts"))</t>
        </is>
      </c>
    </row>
    <row r="16" outlineLevel="1" ht="18" customHeight="1">
      <c r="A16" s="42" t="inlineStr">
        <is>
          <t>IF(F16="","",ROW()-3)</t>
        </is>
      </c>
      <c r="B16" s="43" t="inlineStr">
        <is>
          <t>AF2-AGF-ALL</t>
        </is>
      </c>
      <c r="C16" s="43" t="inlineStr">
        <is>
          <t>Agroforestry saplings and seeds 2026/27</t>
        </is>
      </c>
      <c r="D16" s="43" t="inlineStr">
        <is>
          <t>13 of 39</t>
        </is>
      </c>
      <c r="E16" s="52" t="inlineStr">
        <is>
          <t>AF2-AGF-N-013</t>
        </is>
      </c>
      <c r="F16" s="52" t="inlineStr">
        <is>
          <t>Agroforestry — Faryab / Khoja Sabz Posh</t>
        </is>
      </c>
      <c r="G16" s="52" t="inlineStr">
        <is>
          <t>Agroforestry saplings / seeds</t>
        </is>
      </c>
      <c r="H16" s="52" t="inlineStr">
        <is>
          <t>Saplings and seeds</t>
        </is>
      </c>
      <c r="I16" s="52" t="inlineStr">
        <is>
          <t>Emergency Food Security Project (EFSP) – WBK/AF-2</t>
        </is>
      </c>
      <c r="J16" s="52" t="inlineStr">
        <is>
          <t>North / Mazar</t>
        </is>
      </c>
      <c r="K16" s="52" t="inlineStr">
        <is>
          <t>Faryab</t>
        </is>
      </c>
      <c r="L16" s="52" t="inlineStr">
        <is>
          <t>Khoja Sabz Posh</t>
        </is>
      </c>
      <c r="M16" s="52" t="inlineStr">
        <is>
          <t>Saplings: 3250; Seeds kg: 154</t>
        </is>
      </c>
      <c r="N16" s="52" t="inlineStr">
        <is>
          <t>World Bank (WBK/AF-2)</t>
        </is>
      </c>
      <c r="O16" s="52" t="inlineStr">
        <is>
          <t>Not awarded</t>
        </is>
      </c>
      <c r="P16" s="52" t="inlineStr">
        <is>
          <t>7. Agroforestry Saplings-seeds</t>
        </is>
      </c>
      <c r="Q16" s="52" t="inlineStr"/>
      <c r="R16" s="52" t="inlineStr"/>
      <c r="S16" s="53" t="n"/>
      <c r="T16" s="46" t="inlineStr">
        <is>
          <t>IF(AQ16="","",AQ16)</t>
        </is>
      </c>
      <c r="U16" s="54" t="n">
        <v>46142</v>
      </c>
      <c r="V16" s="55" t="n">
        <v>12</v>
      </c>
      <c r="W16" s="54" t="n">
        <v>46478</v>
      </c>
      <c r="X16" s="46" t="inlineStr">
        <is>
          <t>IF(W16&lt;&gt;"",W16,IF(OR(T16="",V16=""),"",EDATE(T16,V16)))</t>
        </is>
      </c>
      <c r="Y16" s="54" t="n"/>
      <c r="Z16" s="55" t="n"/>
      <c r="AA16" s="52" t="inlineStr">
        <is>
          <t>Under Awarding</t>
        </is>
      </c>
      <c r="AB16" s="52" t="inlineStr">
        <is>
          <t>The saplings PO has already been issued and PO for seeds is expected to be issued in November 2026</t>
        </is>
      </c>
      <c r="AC16" s="42" t="inlineStr">
        <is>
          <t>IF(F16="","",IF(COUNT(AI16:AV16)=0,IF(AA16="","Not started",AA16),SUBSTITUTE(LOOKUP(2,1/(AI16:AV16&lt;&gt;""),$AI$3:$AV$3),"Date: ","")))</t>
        </is>
      </c>
      <c r="AD16" s="49" t="inlineStr">
        <is>
          <t>IF(OR(F16="",COUNT(AI16:AV16)=0),"",TODAY()-LOOKUP(2,1/(AI16:AV16&lt;&gt;""),AI16:AV16))</t>
        </is>
      </c>
      <c r="AE16" s="49" t="inlineStr">
        <is>
          <t>IF(OR(F16="",COUNT(AI16:AV16)&lt;2),"",LOOKUP(2,1/(AI16:AV16&lt;&gt;""),AI16:AV16)-MIN(AI16:AV16))</t>
        </is>
      </c>
      <c r="AF16" s="49" t="inlineStr">
        <is>
          <t>IF(OR(AD16="",AC16="Not started",AC16=""),"",IFERROR(AD16-IF(VLOOKUP(AC16,'06_Status_Pipeline'!$B$3:$E$20,4,FALSE)="",0,VLOOKUP(AC16,'06_Status_Pipeline'!$B$3:$E$20,4,FALSE)),""))</t>
        </is>
      </c>
      <c r="AG16" s="42" t="inlineStr">
        <is>
          <t>IF(F16="","",IF(OR(AA16="Cancelled",AC16="Cancelled"),"Cancelled",IF(OR(AC16="Completed / Handover",Y16&lt;&gt;"",Z16&gt;=100),"Completed — on track",IF(O16="Not awarded",IF(U16="",IF(X16="","No planned date",IF(TODAY()&gt;X16,"Behind — past planned date",IF(X16-TODAY()&lt;=30,"At risk — close to off track","On track"))),IF(TODAY()&gt;U16,"Behind — award date passed",IF(U16-TODAY()&lt;=30,"At risk — close to off track","On track"))),IF(X16="","No planned date",IF(AND(TODAY()&gt;X16,OR(Z16="",Z16&lt;100)),"Behind — past end date",IF(AND(T16&lt;&gt;"",X16&lt;&gt;"",Z16&lt;&gt;"",(Z16&lt;100),((TODAY()-T16)/MAX(X16-T16,1)*100)-Z16&gt;15),"Behind — progress lag",IF(AND(X16-TODAY()&lt;=30,X16-TODAY()&gt;=0,OR(Z16="",Z16&lt;90)),"At risk — close to off track","On track"))))))))</t>
        </is>
      </c>
      <c r="AH16" s="49" t="inlineStr">
        <is>
          <t>IF(OR(F16="",AC16="Completed / Handover",AC16="Cancelled"),"",IF(O16="Not awarded",IF(U16&lt;&gt;"",U16-TODAY(),IF(X16="","",X16-TODAY())),IF(X16="","",X16-TODAY())))</t>
        </is>
      </c>
      <c r="AI16" s="54" t="n"/>
      <c r="AJ16" s="54" t="n"/>
      <c r="AK16" s="54" t="n"/>
      <c r="AL16" s="54" t="n"/>
      <c r="AM16" s="54" t="n"/>
      <c r="AN16" s="54" t="n"/>
      <c r="AO16" s="54" t="n"/>
      <c r="AP16" s="54" t="n"/>
      <c r="AQ16" s="54" t="n"/>
      <c r="AR16" s="54" t="n"/>
      <c r="AS16" s="54" t="n"/>
      <c r="AT16" s="50" t="n"/>
      <c r="AU16" s="50" t="n"/>
      <c r="AV16" s="50" t="n"/>
      <c r="AW16" s="49" t="inlineStr">
        <is>
          <t>IF(OR(F16="",AJ16=""),"",IF(COUNT(AI16:AI16)=0,"",AJ16-LOOKUP(2,1/(AI16:AI16&lt;&gt;""),AI16:AI16)))</t>
        </is>
      </c>
      <c r="AX16" s="49" t="inlineStr">
        <is>
          <t>IF(OR(F16="",AK16=""),"",IF(COUNT(AI16:AJ16)=0,"",AK16-LOOKUP(2,1/(AI16:AJ16&lt;&gt;""),AI16:AJ16)))</t>
        </is>
      </c>
      <c r="AY16" s="49" t="inlineStr">
        <is>
          <t>IF(OR(F16="",AL16=""),"",IF(COUNT(AI16:AK16)=0,"",AL16-LOOKUP(2,1/(AI16:AK16&lt;&gt;""),AI16:AK16)))</t>
        </is>
      </c>
      <c r="AZ16" s="49" t="inlineStr">
        <is>
          <t>IF(OR(F16="",AM16=""),"",IF(COUNT(AI16:AL16)=0,"",AM16-LOOKUP(2,1/(AI16:AL16&lt;&gt;""),AI16:AL16)))</t>
        </is>
      </c>
      <c r="BA16" s="49" t="inlineStr">
        <is>
          <t>IF(OR(F16="",AN16=""),"",IF(COUNT(AI16:AM16)=0,"",AN16-LOOKUP(2,1/(AI16:AM16&lt;&gt;""),AI16:AM16)))</t>
        </is>
      </c>
      <c r="BB16" s="49" t="inlineStr">
        <is>
          <t>IF(OR(F16="",AO16=""),"",IF(COUNT(AI16:AN16)=0,"",AO16-LOOKUP(2,1/(AI16:AN16&lt;&gt;""),AI16:AN16)))</t>
        </is>
      </c>
      <c r="BC16" s="49" t="inlineStr">
        <is>
          <t>IF(OR(F16="",AP16=""),"",IF(COUNT(AI16:AO16)=0,"",AP16-LOOKUP(2,1/(AI16:AO16&lt;&gt;""),AI16:AO16)))</t>
        </is>
      </c>
      <c r="BD16" s="49" t="inlineStr">
        <is>
          <t>IF(OR(F16="",AQ16=""),"",IF(COUNT(AI16:AP16)=0,"",AQ16-LOOKUP(2,1/(AI16:AP16&lt;&gt;""),AI16:AP16)))</t>
        </is>
      </c>
      <c r="BE16" s="49" t="inlineStr">
        <is>
          <t>IF(OR(F16="",AR16=""),"",IF(COUNT(AI16:AQ16)=0,"",AR16-LOOKUP(2,1/(AI16:AQ16&lt;&gt;""),AI16:AQ16)))</t>
        </is>
      </c>
      <c r="BF16" s="49" t="inlineStr">
        <is>
          <t>IF(OR(F16="",AS16=""),"",IF(COUNT(AI16:AR16)=0,"",AS16-LOOKUP(2,1/(AI16:AR16&lt;&gt;""),AI16:AR16)))</t>
        </is>
      </c>
      <c r="BG16" s="49" t="inlineStr">
        <is>
          <t>IF(OR(F16="",AT16=""),"",IF(COUNT(AI16:AS16)=0,"",AT16-LOOKUP(2,1/(AI16:AS16&lt;&gt;""),AI16:AS16)))</t>
        </is>
      </c>
      <c r="BH16" s="49" t="inlineStr">
        <is>
          <t>IF(OR(F16="",AU16=""),"",IF(COUNT(AI16:AT16)=0,"",AU16-LOOKUP(2,1/(AI16:AT16&lt;&gt;""),AI16:AT16)))</t>
        </is>
      </c>
      <c r="BI16" s="49" t="inlineStr">
        <is>
          <t>IF(OR(F16="",AV16=""),"",IF(COUNT(AI16:AU16)=0,"",AV16-LOOKUP(2,1/(AI16:AU16&lt;&gt;""),AI16:AU16)))</t>
        </is>
      </c>
      <c r="BJ16" s="51" t="inlineStr">
        <is>
          <t>IF(J16="","All_Provinces",IFERROR(VLOOKUP(J16,'09_Lookups'!$A$4:$B$20,2,FALSE),"All_Provinces"))</t>
        </is>
      </c>
      <c r="BK16" s="51" t="inlineStr">
        <is>
          <t>IF(K16="","All_Districts",IFERROR(VLOOKUP(K16,'09_Lookups'!$E$4:$F$42,2,FALSE),"All_Districts"))</t>
        </is>
      </c>
    </row>
    <row r="17" outlineLevel="1" ht="18" customHeight="1">
      <c r="A17" s="42" t="inlineStr">
        <is>
          <t>IF(F17="","",ROW()-3)</t>
        </is>
      </c>
      <c r="B17" s="43" t="inlineStr">
        <is>
          <t>AF2-AGF-ALL</t>
        </is>
      </c>
      <c r="C17" s="43" t="inlineStr">
        <is>
          <t>Agroforestry saplings and seeds 2026/27</t>
        </is>
      </c>
      <c r="D17" s="43" t="inlineStr">
        <is>
          <t>14 of 39</t>
        </is>
      </c>
      <c r="E17" s="44" t="inlineStr">
        <is>
          <t>AF2-AGF-N-014</t>
        </is>
      </c>
      <c r="F17" s="44" t="inlineStr">
        <is>
          <t>Agroforestry — Ghor / Allahyar</t>
        </is>
      </c>
      <c r="G17" s="44" t="inlineStr">
        <is>
          <t>Agroforestry saplings / seeds</t>
        </is>
      </c>
      <c r="H17" s="44" t="inlineStr">
        <is>
          <t>Saplings and seeds</t>
        </is>
      </c>
      <c r="I17" s="44" t="inlineStr">
        <is>
          <t>Emergency Food Security Project (EFSP) – WBK/AF-2</t>
        </is>
      </c>
      <c r="J17" s="44" t="inlineStr">
        <is>
          <t>West / Herat</t>
        </is>
      </c>
      <c r="K17" s="44" t="inlineStr">
        <is>
          <t>Ghor</t>
        </is>
      </c>
      <c r="L17" s="44" t="inlineStr">
        <is>
          <t>Allahyar</t>
        </is>
      </c>
      <c r="M17" s="44" t="inlineStr">
        <is>
          <t>Saplings: 5000; Seeds kg: 363</t>
        </is>
      </c>
      <c r="N17" s="44" t="inlineStr">
        <is>
          <t>World Bank (WBK/AF-2)</t>
        </is>
      </c>
      <c r="O17" s="44" t="inlineStr">
        <is>
          <t>Not awarded</t>
        </is>
      </c>
      <c r="P17" s="44" t="inlineStr">
        <is>
          <t>7. Agroforestry Saplings-seeds</t>
        </is>
      </c>
      <c r="Q17" s="44" t="inlineStr"/>
      <c r="R17" s="44" t="inlineStr"/>
      <c r="S17" s="45" t="n"/>
      <c r="T17" s="46" t="inlineStr">
        <is>
          <t>IF(AQ17="","",AQ17)</t>
        </is>
      </c>
      <c r="U17" s="47" t="n">
        <v>46142</v>
      </c>
      <c r="V17" s="48" t="n">
        <v>12</v>
      </c>
      <c r="W17" s="47" t="n">
        <v>46478</v>
      </c>
      <c r="X17" s="46" t="inlineStr">
        <is>
          <t>IF(W17&lt;&gt;"",W17,IF(OR(T17="",V17=""),"",EDATE(T17,V17)))</t>
        </is>
      </c>
      <c r="Y17" s="47" t="n"/>
      <c r="Z17" s="48" t="n"/>
      <c r="AA17" s="44" t="inlineStr">
        <is>
          <t>Under Awarding</t>
        </is>
      </c>
      <c r="AB17" s="44" t="inlineStr">
        <is>
          <t>The saplings PO has already been issued and PO for seeds is expected to be issued in November 2026</t>
        </is>
      </c>
      <c r="AC17" s="42" t="inlineStr">
        <is>
          <t>IF(F17="","",IF(COUNT(AI17:AV17)=0,IF(AA17="","Not started",AA17),SUBSTITUTE(LOOKUP(2,1/(AI17:AV17&lt;&gt;""),$AI$3:$AV$3),"Date: ","")))</t>
        </is>
      </c>
      <c r="AD17" s="49" t="inlineStr">
        <is>
          <t>IF(OR(F17="",COUNT(AI17:AV17)=0),"",TODAY()-LOOKUP(2,1/(AI17:AV17&lt;&gt;""),AI17:AV17))</t>
        </is>
      </c>
      <c r="AE17" s="49" t="inlineStr">
        <is>
          <t>IF(OR(F17="",COUNT(AI17:AV17)&lt;2),"",LOOKUP(2,1/(AI17:AV17&lt;&gt;""),AI17:AV17)-MIN(AI17:AV17))</t>
        </is>
      </c>
      <c r="AF17" s="49" t="inlineStr">
        <is>
          <t>IF(OR(AD17="",AC17="Not started",AC17=""),"",IFERROR(AD17-IF(VLOOKUP(AC17,'06_Status_Pipeline'!$B$3:$E$20,4,FALSE)="",0,VLOOKUP(AC17,'06_Status_Pipeline'!$B$3:$E$20,4,FALSE)),""))</t>
        </is>
      </c>
      <c r="AG17" s="42" t="inlineStr">
        <is>
          <t>IF(F17="","",IF(OR(AA17="Cancelled",AC17="Cancelled"),"Cancelled",IF(OR(AC17="Completed / Handover",Y17&lt;&gt;"",Z17&gt;=100),"Completed — on track",IF(O17="Not awarded",IF(U17="",IF(X17="","No planned date",IF(TODAY()&gt;X17,"Behind — past planned date",IF(X17-TODAY()&lt;=30,"At risk — close to off track","On track"))),IF(TODAY()&gt;U17,"Behind — award date passed",IF(U17-TODAY()&lt;=30,"At risk — close to off track","On track"))),IF(X17="","No planned date",IF(AND(TODAY()&gt;X17,OR(Z17="",Z17&lt;100)),"Behind — past end date",IF(AND(T17&lt;&gt;"",X17&lt;&gt;"",Z17&lt;&gt;"",(Z17&lt;100),((TODAY()-T17)/MAX(X17-T17,1)*100)-Z17&gt;15),"Behind — progress lag",IF(AND(X17-TODAY()&lt;=30,X17-TODAY()&gt;=0,OR(Z17="",Z17&lt;90)),"At risk — close to off track","On track"))))))))</t>
        </is>
      </c>
      <c r="AH17" s="49" t="inlineStr">
        <is>
          <t>IF(OR(F17="",AC17="Completed / Handover",AC17="Cancelled"),"",IF(O17="Not awarded",IF(U17&lt;&gt;"",U17-TODAY(),IF(X17="","",X17-TODAY())),IF(X17="","",X17-TODAY())))</t>
        </is>
      </c>
      <c r="AI17" s="47" t="n"/>
      <c r="AJ17" s="47" t="n"/>
      <c r="AK17" s="47" t="n"/>
      <c r="AL17" s="47" t="n"/>
      <c r="AM17" s="47" t="n"/>
      <c r="AN17" s="47" t="n"/>
      <c r="AO17" s="47" t="n"/>
      <c r="AP17" s="47" t="n"/>
      <c r="AQ17" s="47" t="n"/>
      <c r="AR17" s="47" t="n"/>
      <c r="AS17" s="47" t="n"/>
      <c r="AT17" s="50" t="n"/>
      <c r="AU17" s="50" t="n"/>
      <c r="AV17" s="50" t="n"/>
      <c r="AW17" s="49" t="inlineStr">
        <is>
          <t>IF(OR(F17="",AJ17=""),"",IF(COUNT(AI17:AI17)=0,"",AJ17-LOOKUP(2,1/(AI17:AI17&lt;&gt;""),AI17:AI17)))</t>
        </is>
      </c>
      <c r="AX17" s="49" t="inlineStr">
        <is>
          <t>IF(OR(F17="",AK17=""),"",IF(COUNT(AI17:AJ17)=0,"",AK17-LOOKUP(2,1/(AI17:AJ17&lt;&gt;""),AI17:AJ17)))</t>
        </is>
      </c>
      <c r="AY17" s="49" t="inlineStr">
        <is>
          <t>IF(OR(F17="",AL17=""),"",IF(COUNT(AI17:AK17)=0,"",AL17-LOOKUP(2,1/(AI17:AK17&lt;&gt;""),AI17:AK17)))</t>
        </is>
      </c>
      <c r="AZ17" s="49" t="inlineStr">
        <is>
          <t>IF(OR(F17="",AM17=""),"",IF(COUNT(AI17:AL17)=0,"",AM17-LOOKUP(2,1/(AI17:AL17&lt;&gt;""),AI17:AL17)))</t>
        </is>
      </c>
      <c r="BA17" s="49" t="inlineStr">
        <is>
          <t>IF(OR(F17="",AN17=""),"",IF(COUNT(AI17:AM17)=0,"",AN17-LOOKUP(2,1/(AI17:AM17&lt;&gt;""),AI17:AM17)))</t>
        </is>
      </c>
      <c r="BB17" s="49" t="inlineStr">
        <is>
          <t>IF(OR(F17="",AO17=""),"",IF(COUNT(AI17:AN17)=0,"",AO17-LOOKUP(2,1/(AI17:AN17&lt;&gt;""),AI17:AN17)))</t>
        </is>
      </c>
      <c r="BC17" s="49" t="inlineStr">
        <is>
          <t>IF(OR(F17="",AP17=""),"",IF(COUNT(AI17:AO17)=0,"",AP17-LOOKUP(2,1/(AI17:AO17&lt;&gt;""),AI17:AO17)))</t>
        </is>
      </c>
      <c r="BD17" s="49" t="inlineStr">
        <is>
          <t>IF(OR(F17="",AQ17=""),"",IF(COUNT(AI17:AP17)=0,"",AQ17-LOOKUP(2,1/(AI17:AP17&lt;&gt;""),AI17:AP17)))</t>
        </is>
      </c>
      <c r="BE17" s="49" t="inlineStr">
        <is>
          <t>IF(OR(F17="",AR17=""),"",IF(COUNT(AI17:AQ17)=0,"",AR17-LOOKUP(2,1/(AI17:AQ17&lt;&gt;""),AI17:AQ17)))</t>
        </is>
      </c>
      <c r="BF17" s="49" t="inlineStr">
        <is>
          <t>IF(OR(F17="",AS17=""),"",IF(COUNT(AI17:AR17)=0,"",AS17-LOOKUP(2,1/(AI17:AR17&lt;&gt;""),AI17:AR17)))</t>
        </is>
      </c>
      <c r="BG17" s="49" t="inlineStr">
        <is>
          <t>IF(OR(F17="",AT17=""),"",IF(COUNT(AI17:AS17)=0,"",AT17-LOOKUP(2,1/(AI17:AS17&lt;&gt;""),AI17:AS17)))</t>
        </is>
      </c>
      <c r="BH17" s="49" t="inlineStr">
        <is>
          <t>IF(OR(F17="",AU17=""),"",IF(COUNT(AI17:AT17)=0,"",AU17-LOOKUP(2,1/(AI17:AT17&lt;&gt;""),AI17:AT17)))</t>
        </is>
      </c>
      <c r="BI17" s="49" t="inlineStr">
        <is>
          <t>IF(OR(F17="",AV17=""),"",IF(COUNT(AI17:AU17)=0,"",AV17-LOOKUP(2,1/(AI17:AU17&lt;&gt;""),AI17:AU17)))</t>
        </is>
      </c>
      <c r="BJ17" s="51" t="inlineStr">
        <is>
          <t>IF(J17="","All_Provinces",IFERROR(VLOOKUP(J17,'09_Lookups'!$A$4:$B$20,2,FALSE),"All_Provinces"))</t>
        </is>
      </c>
      <c r="BK17" s="51" t="inlineStr">
        <is>
          <t>IF(K17="","All_Districts",IFERROR(VLOOKUP(K17,'09_Lookups'!$E$4:$F$42,2,FALSE),"All_Districts"))</t>
        </is>
      </c>
    </row>
    <row r="18" outlineLevel="1" ht="18" customHeight="1">
      <c r="A18" s="42" t="inlineStr">
        <is>
          <t>IF(F18="","",ROW()-3)</t>
        </is>
      </c>
      <c r="B18" s="43" t="inlineStr">
        <is>
          <t>AF2-AGF-ALL</t>
        </is>
      </c>
      <c r="C18" s="43" t="inlineStr">
        <is>
          <t>Agroforestry saplings and seeds 2026/27</t>
        </is>
      </c>
      <c r="D18" s="43" t="inlineStr">
        <is>
          <t>15 of 39</t>
        </is>
      </c>
      <c r="E18" s="52" t="inlineStr">
        <is>
          <t>AF2-AGF-N-015</t>
        </is>
      </c>
      <c r="F18" s="52" t="inlineStr">
        <is>
          <t>Agroforestry — Ghor / Shahrak</t>
        </is>
      </c>
      <c r="G18" s="52" t="inlineStr">
        <is>
          <t>Agroforestry saplings / seeds</t>
        </is>
      </c>
      <c r="H18" s="52" t="inlineStr">
        <is>
          <t>Saplings and seeds</t>
        </is>
      </c>
      <c r="I18" s="52" t="inlineStr">
        <is>
          <t>Emergency Food Security Project (EFSP) – WBK/AF-2</t>
        </is>
      </c>
      <c r="J18" s="52" t="inlineStr">
        <is>
          <t>West / Herat</t>
        </is>
      </c>
      <c r="K18" s="52" t="inlineStr">
        <is>
          <t>Ghor</t>
        </is>
      </c>
      <c r="L18" s="52" t="inlineStr">
        <is>
          <t>Shahrak</t>
        </is>
      </c>
      <c r="M18" s="52" t="inlineStr">
        <is>
          <t>Saplings: 10000; Seeds kg: 487</t>
        </is>
      </c>
      <c r="N18" s="52" t="inlineStr">
        <is>
          <t>World Bank (WBK/AF-2)</t>
        </is>
      </c>
      <c r="O18" s="52" t="inlineStr">
        <is>
          <t>Not awarded</t>
        </is>
      </c>
      <c r="P18" s="52" t="inlineStr">
        <is>
          <t>7. Agroforestry Saplings-seeds</t>
        </is>
      </c>
      <c r="Q18" s="52" t="inlineStr"/>
      <c r="R18" s="52" t="inlineStr"/>
      <c r="S18" s="53" t="n"/>
      <c r="T18" s="46" t="inlineStr">
        <is>
          <t>IF(AQ18="","",AQ18)</t>
        </is>
      </c>
      <c r="U18" s="54" t="n">
        <v>46142</v>
      </c>
      <c r="V18" s="55" t="n">
        <v>12</v>
      </c>
      <c r="W18" s="54" t="n">
        <v>46478</v>
      </c>
      <c r="X18" s="46" t="inlineStr">
        <is>
          <t>IF(W18&lt;&gt;"",W18,IF(OR(T18="",V18=""),"",EDATE(T18,V18)))</t>
        </is>
      </c>
      <c r="Y18" s="54" t="n"/>
      <c r="Z18" s="55" t="n"/>
      <c r="AA18" s="52" t="inlineStr">
        <is>
          <t>Under Awarding</t>
        </is>
      </c>
      <c r="AB18" s="52" t="inlineStr">
        <is>
          <t>The saplings PO has already been issued and PO for seeds is expected to be issued in November 2026</t>
        </is>
      </c>
      <c r="AC18" s="42" t="inlineStr">
        <is>
          <t>IF(F18="","",IF(COUNT(AI18:AV18)=0,IF(AA18="","Not started",AA18),SUBSTITUTE(LOOKUP(2,1/(AI18:AV18&lt;&gt;""),$AI$3:$AV$3),"Date: ","")))</t>
        </is>
      </c>
      <c r="AD18" s="49" t="inlineStr">
        <is>
          <t>IF(OR(F18="",COUNT(AI18:AV18)=0),"",TODAY()-LOOKUP(2,1/(AI18:AV18&lt;&gt;""),AI18:AV18))</t>
        </is>
      </c>
      <c r="AE18" s="49" t="inlineStr">
        <is>
          <t>IF(OR(F18="",COUNT(AI18:AV18)&lt;2),"",LOOKUP(2,1/(AI18:AV18&lt;&gt;""),AI18:AV18)-MIN(AI18:AV18))</t>
        </is>
      </c>
      <c r="AF18" s="49" t="inlineStr">
        <is>
          <t>IF(OR(AD18="",AC18="Not started",AC18=""),"",IFERROR(AD18-IF(VLOOKUP(AC18,'06_Status_Pipeline'!$B$3:$E$20,4,FALSE)="",0,VLOOKUP(AC18,'06_Status_Pipeline'!$B$3:$E$20,4,FALSE)),""))</t>
        </is>
      </c>
      <c r="AG18" s="42" t="inlineStr">
        <is>
          <t>IF(F18="","",IF(OR(AA18="Cancelled",AC18="Cancelled"),"Cancelled",IF(OR(AC18="Completed / Handover",Y18&lt;&gt;"",Z18&gt;=100),"Completed — on track",IF(O18="Not awarded",IF(U18="",IF(X18="","No planned date",IF(TODAY()&gt;X18,"Behind — past planned date",IF(X18-TODAY()&lt;=30,"At risk — close to off track","On track"))),IF(TODAY()&gt;U18,"Behind — award date passed",IF(U18-TODAY()&lt;=30,"At risk — close to off track","On track"))),IF(X18="","No planned date",IF(AND(TODAY()&gt;X18,OR(Z18="",Z18&lt;100)),"Behind — past end date",IF(AND(T18&lt;&gt;"",X18&lt;&gt;"",Z18&lt;&gt;"",(Z18&lt;100),((TODAY()-T18)/MAX(X18-T18,1)*100)-Z18&gt;15),"Behind — progress lag",IF(AND(X18-TODAY()&lt;=30,X18-TODAY()&gt;=0,OR(Z18="",Z18&lt;90)),"At risk — close to off track","On track"))))))))</t>
        </is>
      </c>
      <c r="AH18" s="49" t="inlineStr">
        <is>
          <t>IF(OR(F18="",AC18="Completed / Handover",AC18="Cancelled"),"",IF(O18="Not awarded",IF(U18&lt;&gt;"",U18-TODAY(),IF(X18="","",X18-TODAY())),IF(X18="","",X18-TODAY())))</t>
        </is>
      </c>
      <c r="AI18" s="54" t="n"/>
      <c r="AJ18" s="54" t="n"/>
      <c r="AK18" s="54" t="n"/>
      <c r="AL18" s="54" t="n"/>
      <c r="AM18" s="54" t="n"/>
      <c r="AN18" s="54" t="n"/>
      <c r="AO18" s="54" t="n"/>
      <c r="AP18" s="54" t="n"/>
      <c r="AQ18" s="54" t="n"/>
      <c r="AR18" s="54" t="n"/>
      <c r="AS18" s="54" t="n"/>
      <c r="AT18" s="50" t="n"/>
      <c r="AU18" s="50" t="n"/>
      <c r="AV18" s="50" t="n"/>
      <c r="AW18" s="49" t="inlineStr">
        <is>
          <t>IF(OR(F18="",AJ18=""),"",IF(COUNT(AI18:AI18)=0,"",AJ18-LOOKUP(2,1/(AI18:AI18&lt;&gt;""),AI18:AI18)))</t>
        </is>
      </c>
      <c r="AX18" s="49" t="inlineStr">
        <is>
          <t>IF(OR(F18="",AK18=""),"",IF(COUNT(AI18:AJ18)=0,"",AK18-LOOKUP(2,1/(AI18:AJ18&lt;&gt;""),AI18:AJ18)))</t>
        </is>
      </c>
      <c r="AY18" s="49" t="inlineStr">
        <is>
          <t>IF(OR(F18="",AL18=""),"",IF(COUNT(AI18:AK18)=0,"",AL18-LOOKUP(2,1/(AI18:AK18&lt;&gt;""),AI18:AK18)))</t>
        </is>
      </c>
      <c r="AZ18" s="49" t="inlineStr">
        <is>
          <t>IF(OR(F18="",AM18=""),"",IF(COUNT(AI18:AL18)=0,"",AM18-LOOKUP(2,1/(AI18:AL18&lt;&gt;""),AI18:AL18)))</t>
        </is>
      </c>
      <c r="BA18" s="49" t="inlineStr">
        <is>
          <t>IF(OR(F18="",AN18=""),"",IF(COUNT(AI18:AM18)=0,"",AN18-LOOKUP(2,1/(AI18:AM18&lt;&gt;""),AI18:AM18)))</t>
        </is>
      </c>
      <c r="BB18" s="49" t="inlineStr">
        <is>
          <t>IF(OR(F18="",AO18=""),"",IF(COUNT(AI18:AN18)=0,"",AO18-LOOKUP(2,1/(AI18:AN18&lt;&gt;""),AI18:AN18)))</t>
        </is>
      </c>
      <c r="BC18" s="49" t="inlineStr">
        <is>
          <t>IF(OR(F18="",AP18=""),"",IF(COUNT(AI18:AO18)=0,"",AP18-LOOKUP(2,1/(AI18:AO18&lt;&gt;""),AI18:AO18)))</t>
        </is>
      </c>
      <c r="BD18" s="49" t="inlineStr">
        <is>
          <t>IF(OR(F18="",AQ18=""),"",IF(COUNT(AI18:AP18)=0,"",AQ18-LOOKUP(2,1/(AI18:AP18&lt;&gt;""),AI18:AP18)))</t>
        </is>
      </c>
      <c r="BE18" s="49" t="inlineStr">
        <is>
          <t>IF(OR(F18="",AR18=""),"",IF(COUNT(AI18:AQ18)=0,"",AR18-LOOKUP(2,1/(AI18:AQ18&lt;&gt;""),AI18:AQ18)))</t>
        </is>
      </c>
      <c r="BF18" s="49" t="inlineStr">
        <is>
          <t>IF(OR(F18="",AS18=""),"",IF(COUNT(AI18:AR18)=0,"",AS18-LOOKUP(2,1/(AI18:AR18&lt;&gt;""),AI18:AR18)))</t>
        </is>
      </c>
      <c r="BG18" s="49" t="inlineStr">
        <is>
          <t>IF(OR(F18="",AT18=""),"",IF(COUNT(AI18:AS18)=0,"",AT18-LOOKUP(2,1/(AI18:AS18&lt;&gt;""),AI18:AS18)))</t>
        </is>
      </c>
      <c r="BH18" s="49" t="inlineStr">
        <is>
          <t>IF(OR(F18="",AU18=""),"",IF(COUNT(AI18:AT18)=0,"",AU18-LOOKUP(2,1/(AI18:AT18&lt;&gt;""),AI18:AT18)))</t>
        </is>
      </c>
      <c r="BI18" s="49" t="inlineStr">
        <is>
          <t>IF(OR(F18="",AV18=""),"",IF(COUNT(AI18:AU18)=0,"",AV18-LOOKUP(2,1/(AI18:AU18&lt;&gt;""),AI18:AU18)))</t>
        </is>
      </c>
      <c r="BJ18" s="51" t="inlineStr">
        <is>
          <t>IF(J18="","All_Provinces",IFERROR(VLOOKUP(J18,'09_Lookups'!$A$4:$B$20,2,FALSE),"All_Provinces"))</t>
        </is>
      </c>
      <c r="BK18" s="51" t="inlineStr">
        <is>
          <t>IF(K18="","All_Districts",IFERROR(VLOOKUP(K18,'09_Lookups'!$E$4:$F$42,2,FALSE),"All_Districts"))</t>
        </is>
      </c>
    </row>
    <row r="19" outlineLevel="1" ht="18" customHeight="1">
      <c r="A19" s="42" t="inlineStr">
        <is>
          <t>IF(F19="","",ROW()-3)</t>
        </is>
      </c>
      <c r="B19" s="43" t="inlineStr">
        <is>
          <t>AF2-AGF-ALL</t>
        </is>
      </c>
      <c r="C19" s="43" t="inlineStr">
        <is>
          <t>Agroforestry saplings and seeds 2026/27</t>
        </is>
      </c>
      <c r="D19" s="43" t="inlineStr">
        <is>
          <t>16 of 39</t>
        </is>
      </c>
      <c r="E19" s="44" t="inlineStr">
        <is>
          <t>AF2-AGF-N-016</t>
        </is>
      </c>
      <c r="F19" s="44" t="inlineStr">
        <is>
          <t>Agroforestry — Helmand / Nawzad</t>
        </is>
      </c>
      <c r="G19" s="44" t="inlineStr">
        <is>
          <t>Agroforestry saplings / seeds</t>
        </is>
      </c>
      <c r="H19" s="44" t="inlineStr">
        <is>
          <t>Saplings and seeds</t>
        </is>
      </c>
      <c r="I19" s="44" t="inlineStr">
        <is>
          <t>Emergency Food Security Project (EFSP) – WBK/AF-2</t>
        </is>
      </c>
      <c r="J19" s="44" t="inlineStr">
        <is>
          <t>South / Kandahar</t>
        </is>
      </c>
      <c r="K19" s="44" t="inlineStr">
        <is>
          <t>Helmand</t>
        </is>
      </c>
      <c r="L19" s="44" t="inlineStr">
        <is>
          <t>Nawzad</t>
        </is>
      </c>
      <c r="M19" s="44" t="inlineStr">
        <is>
          <t>Saplings: 10032; Seeds kg: 462</t>
        </is>
      </c>
      <c r="N19" s="44" t="inlineStr">
        <is>
          <t>World Bank (WBK/AF-2)</t>
        </is>
      </c>
      <c r="O19" s="44" t="inlineStr">
        <is>
          <t>Not awarded</t>
        </is>
      </c>
      <c r="P19" s="44" t="inlineStr">
        <is>
          <t>7. Agroforestry Saplings-seeds</t>
        </is>
      </c>
      <c r="Q19" s="44" t="inlineStr"/>
      <c r="R19" s="44" t="inlineStr"/>
      <c r="S19" s="45" t="n"/>
      <c r="T19" s="46" t="inlineStr">
        <is>
          <t>IF(AQ19="","",AQ19)</t>
        </is>
      </c>
      <c r="U19" s="47" t="n">
        <v>46142</v>
      </c>
      <c r="V19" s="48" t="n">
        <v>12</v>
      </c>
      <c r="W19" s="47" t="n">
        <v>46478</v>
      </c>
      <c r="X19" s="46" t="inlineStr">
        <is>
          <t>IF(W19&lt;&gt;"",W19,IF(OR(T19="",V19=""),"",EDATE(T19,V19)))</t>
        </is>
      </c>
      <c r="Y19" s="47" t="n"/>
      <c r="Z19" s="48" t="n"/>
      <c r="AA19" s="44" t="inlineStr">
        <is>
          <t>Under Awarding</t>
        </is>
      </c>
      <c r="AB19" s="44" t="inlineStr">
        <is>
          <t>The saplings PO has already been issued and PO for seeds is expected to be issued in November 2026</t>
        </is>
      </c>
      <c r="AC19" s="42" t="inlineStr">
        <is>
          <t>IF(F19="","",IF(COUNT(AI19:AV19)=0,IF(AA19="","Not started",AA19),SUBSTITUTE(LOOKUP(2,1/(AI19:AV19&lt;&gt;""),$AI$3:$AV$3),"Date: ","")))</t>
        </is>
      </c>
      <c r="AD19" s="49" t="inlineStr">
        <is>
          <t>IF(OR(F19="",COUNT(AI19:AV19)=0),"",TODAY()-LOOKUP(2,1/(AI19:AV19&lt;&gt;""),AI19:AV19))</t>
        </is>
      </c>
      <c r="AE19" s="49" t="inlineStr">
        <is>
          <t>IF(OR(F19="",COUNT(AI19:AV19)&lt;2),"",LOOKUP(2,1/(AI19:AV19&lt;&gt;""),AI19:AV19)-MIN(AI19:AV19))</t>
        </is>
      </c>
      <c r="AF19" s="49" t="inlineStr">
        <is>
          <t>IF(OR(AD19="",AC19="Not started",AC19=""),"",IFERROR(AD19-IF(VLOOKUP(AC19,'06_Status_Pipeline'!$B$3:$E$20,4,FALSE)="",0,VLOOKUP(AC19,'06_Status_Pipeline'!$B$3:$E$20,4,FALSE)),""))</t>
        </is>
      </c>
      <c r="AG19" s="42" t="inlineStr">
        <is>
          <t>IF(F19="","",IF(OR(AA19="Cancelled",AC19="Cancelled"),"Cancelled",IF(OR(AC19="Completed / Handover",Y19&lt;&gt;"",Z19&gt;=100),"Completed — on track",IF(O19="Not awarded",IF(U19="",IF(X19="","No planned date",IF(TODAY()&gt;X19,"Behind — past planned date",IF(X19-TODAY()&lt;=30,"At risk — close to off track","On track"))),IF(TODAY()&gt;U19,"Behind — award date passed",IF(U19-TODAY()&lt;=30,"At risk — close to off track","On track"))),IF(X19="","No planned date",IF(AND(TODAY()&gt;X19,OR(Z19="",Z19&lt;100)),"Behind — past end date",IF(AND(T19&lt;&gt;"",X19&lt;&gt;"",Z19&lt;&gt;"",(Z19&lt;100),((TODAY()-T19)/MAX(X19-T19,1)*100)-Z19&gt;15),"Behind — progress lag",IF(AND(X19-TODAY()&lt;=30,X19-TODAY()&gt;=0,OR(Z19="",Z19&lt;90)),"At risk — close to off track","On track"))))))))</t>
        </is>
      </c>
      <c r="AH19" s="49" t="inlineStr">
        <is>
          <t>IF(OR(F19="",AC19="Completed / Handover",AC19="Cancelled"),"",IF(O19="Not awarded",IF(U19&lt;&gt;"",U19-TODAY(),IF(X19="","",X19-TODAY())),IF(X19="","",X19-TODAY())))</t>
        </is>
      </c>
      <c r="AI19" s="47" t="n"/>
      <c r="AJ19" s="47" t="n"/>
      <c r="AK19" s="47" t="n"/>
      <c r="AL19" s="47" t="n"/>
      <c r="AM19" s="47" t="n"/>
      <c r="AN19" s="47" t="n"/>
      <c r="AO19" s="47" t="n"/>
      <c r="AP19" s="47" t="n"/>
      <c r="AQ19" s="47" t="n"/>
      <c r="AR19" s="47" t="n"/>
      <c r="AS19" s="47" t="n"/>
      <c r="AT19" s="50" t="n"/>
      <c r="AU19" s="50" t="n"/>
      <c r="AV19" s="50" t="n"/>
      <c r="AW19" s="49" t="inlineStr">
        <is>
          <t>IF(OR(F19="",AJ19=""),"",IF(COUNT(AI19:AI19)=0,"",AJ19-LOOKUP(2,1/(AI19:AI19&lt;&gt;""),AI19:AI19)))</t>
        </is>
      </c>
      <c r="AX19" s="49" t="inlineStr">
        <is>
          <t>IF(OR(F19="",AK19=""),"",IF(COUNT(AI19:AJ19)=0,"",AK19-LOOKUP(2,1/(AI19:AJ19&lt;&gt;""),AI19:AJ19)))</t>
        </is>
      </c>
      <c r="AY19" s="49" t="inlineStr">
        <is>
          <t>IF(OR(F19="",AL19=""),"",IF(COUNT(AI19:AK19)=0,"",AL19-LOOKUP(2,1/(AI19:AK19&lt;&gt;""),AI19:AK19)))</t>
        </is>
      </c>
      <c r="AZ19" s="49" t="inlineStr">
        <is>
          <t>IF(OR(F19="",AM19=""),"",IF(COUNT(AI19:AL19)=0,"",AM19-LOOKUP(2,1/(AI19:AL19&lt;&gt;""),AI19:AL19)))</t>
        </is>
      </c>
      <c r="BA19" s="49" t="inlineStr">
        <is>
          <t>IF(OR(F19="",AN19=""),"",IF(COUNT(AI19:AM19)=0,"",AN19-LOOKUP(2,1/(AI19:AM19&lt;&gt;""),AI19:AM19)))</t>
        </is>
      </c>
      <c r="BB19" s="49" t="inlineStr">
        <is>
          <t>IF(OR(F19="",AO19=""),"",IF(COUNT(AI19:AN19)=0,"",AO19-LOOKUP(2,1/(AI19:AN19&lt;&gt;""),AI19:AN19)))</t>
        </is>
      </c>
      <c r="BC19" s="49" t="inlineStr">
        <is>
          <t>IF(OR(F19="",AP19=""),"",IF(COUNT(AI19:AO19)=0,"",AP19-LOOKUP(2,1/(AI19:AO19&lt;&gt;""),AI19:AO19)))</t>
        </is>
      </c>
      <c r="BD19" s="49" t="inlineStr">
        <is>
          <t>IF(OR(F19="",AQ19=""),"",IF(COUNT(AI19:AP19)=0,"",AQ19-LOOKUP(2,1/(AI19:AP19&lt;&gt;""),AI19:AP19)))</t>
        </is>
      </c>
      <c r="BE19" s="49" t="inlineStr">
        <is>
          <t>IF(OR(F19="",AR19=""),"",IF(COUNT(AI19:AQ19)=0,"",AR19-LOOKUP(2,1/(AI19:AQ19&lt;&gt;""),AI19:AQ19)))</t>
        </is>
      </c>
      <c r="BF19" s="49" t="inlineStr">
        <is>
          <t>IF(OR(F19="",AS19=""),"",IF(COUNT(AI19:AR19)=0,"",AS19-LOOKUP(2,1/(AI19:AR19&lt;&gt;""),AI19:AR19)))</t>
        </is>
      </c>
      <c r="BG19" s="49" t="inlineStr">
        <is>
          <t>IF(OR(F19="",AT19=""),"",IF(COUNT(AI19:AS19)=0,"",AT19-LOOKUP(2,1/(AI19:AS19&lt;&gt;""),AI19:AS19)))</t>
        </is>
      </c>
      <c r="BH19" s="49" t="inlineStr">
        <is>
          <t>IF(OR(F19="",AU19=""),"",IF(COUNT(AI19:AT19)=0,"",AU19-LOOKUP(2,1/(AI19:AT19&lt;&gt;""),AI19:AT19)))</t>
        </is>
      </c>
      <c r="BI19" s="49" t="inlineStr">
        <is>
          <t>IF(OR(F19="",AV19=""),"",IF(COUNT(AI19:AU19)=0,"",AV19-LOOKUP(2,1/(AI19:AU19&lt;&gt;""),AI19:AU19)))</t>
        </is>
      </c>
      <c r="BJ19" s="51" t="inlineStr">
        <is>
          <t>IF(J19="","All_Provinces",IFERROR(VLOOKUP(J19,'09_Lookups'!$A$4:$B$20,2,FALSE),"All_Provinces"))</t>
        </is>
      </c>
      <c r="BK19" s="51" t="inlineStr">
        <is>
          <t>IF(K19="","All_Districts",IFERROR(VLOOKUP(K19,'09_Lookups'!$E$4:$F$42,2,FALSE),"All_Districts"))</t>
        </is>
      </c>
    </row>
    <row r="20" outlineLevel="1" ht="18" customHeight="1">
      <c r="A20" s="42" t="inlineStr">
        <is>
          <t>IF(F20="","",ROW()-3)</t>
        </is>
      </c>
      <c r="B20" s="43" t="inlineStr">
        <is>
          <t>AF2-AGF-ALL</t>
        </is>
      </c>
      <c r="C20" s="43" t="inlineStr">
        <is>
          <t>Agroforestry saplings and seeds 2026/27</t>
        </is>
      </c>
      <c r="D20" s="43" t="inlineStr">
        <is>
          <t>17 of 39</t>
        </is>
      </c>
      <c r="E20" s="52" t="inlineStr">
        <is>
          <t>AF2-AGF-N-017</t>
        </is>
      </c>
      <c r="F20" s="52" t="inlineStr">
        <is>
          <t>Agroforestry — Herat / Koshk-e-kohna</t>
        </is>
      </c>
      <c r="G20" s="52" t="inlineStr">
        <is>
          <t>Agroforestry saplings / seeds</t>
        </is>
      </c>
      <c r="H20" s="52" t="inlineStr">
        <is>
          <t>Saplings and seeds</t>
        </is>
      </c>
      <c r="I20" s="52" t="inlineStr">
        <is>
          <t>Emergency Food Security Project (EFSP) – WBK/AF-2</t>
        </is>
      </c>
      <c r="J20" s="52" t="inlineStr">
        <is>
          <t>West / Herat</t>
        </is>
      </c>
      <c r="K20" s="52" t="inlineStr">
        <is>
          <t>Herat</t>
        </is>
      </c>
      <c r="L20" s="52" t="inlineStr">
        <is>
          <t>Koshk-e-kohna</t>
        </is>
      </c>
      <c r="M20" s="52" t="inlineStr">
        <is>
          <t>Saplings: 0; Seeds kg: 40</t>
        </is>
      </c>
      <c r="N20" s="52" t="inlineStr">
        <is>
          <t>World Bank (WBK/AF-2)</t>
        </is>
      </c>
      <c r="O20" s="52" t="inlineStr">
        <is>
          <t>Not awarded</t>
        </is>
      </c>
      <c r="P20" s="52" t="inlineStr">
        <is>
          <t>7. Agroforestry Saplings-seeds</t>
        </is>
      </c>
      <c r="Q20" s="52" t="inlineStr"/>
      <c r="R20" s="52" t="inlineStr"/>
      <c r="S20" s="53" t="n"/>
      <c r="T20" s="46" t="inlineStr">
        <is>
          <t>IF(AQ20="","",AQ20)</t>
        </is>
      </c>
      <c r="U20" s="54" t="n">
        <v>46142</v>
      </c>
      <c r="V20" s="55" t="n">
        <v>12</v>
      </c>
      <c r="W20" s="54" t="n">
        <v>46478</v>
      </c>
      <c r="X20" s="46" t="inlineStr">
        <is>
          <t>IF(W20&lt;&gt;"",W20,IF(OR(T20="",V20=""),"",EDATE(T20,V20)))</t>
        </is>
      </c>
      <c r="Y20" s="54" t="n"/>
      <c r="Z20" s="55" t="n"/>
      <c r="AA20" s="52" t="inlineStr">
        <is>
          <t>Under Awarding</t>
        </is>
      </c>
      <c r="AB20" s="52" t="inlineStr">
        <is>
          <t>The saplings PO has already been issued and PO for seeds is expected to be issued in November 2026</t>
        </is>
      </c>
      <c r="AC20" s="42" t="inlineStr">
        <is>
          <t>IF(F20="","",IF(COUNT(AI20:AV20)=0,IF(AA20="","Not started",AA20),SUBSTITUTE(LOOKUP(2,1/(AI20:AV20&lt;&gt;""),$AI$3:$AV$3),"Date: ","")))</t>
        </is>
      </c>
      <c r="AD20" s="49" t="inlineStr">
        <is>
          <t>IF(OR(F20="",COUNT(AI20:AV20)=0),"",TODAY()-LOOKUP(2,1/(AI20:AV20&lt;&gt;""),AI20:AV20))</t>
        </is>
      </c>
      <c r="AE20" s="49" t="inlineStr">
        <is>
          <t>IF(OR(F20="",COUNT(AI20:AV20)&lt;2),"",LOOKUP(2,1/(AI20:AV20&lt;&gt;""),AI20:AV20)-MIN(AI20:AV20))</t>
        </is>
      </c>
      <c r="AF20" s="49" t="inlineStr">
        <is>
          <t>IF(OR(AD20="",AC20="Not started",AC20=""),"",IFERROR(AD20-IF(VLOOKUP(AC20,'06_Status_Pipeline'!$B$3:$E$20,4,FALSE)="",0,VLOOKUP(AC20,'06_Status_Pipeline'!$B$3:$E$20,4,FALSE)),""))</t>
        </is>
      </c>
      <c r="AG20" s="42" t="inlineStr">
        <is>
          <t>IF(F20="","",IF(OR(AA20="Cancelled",AC20="Cancelled"),"Cancelled",IF(OR(AC20="Completed / Handover",Y20&lt;&gt;"",Z20&gt;=100),"Completed — on track",IF(O20="Not awarded",IF(U20="",IF(X20="","No planned date",IF(TODAY()&gt;X20,"Behind — past planned date",IF(X20-TODAY()&lt;=30,"At risk — close to off track","On track"))),IF(TODAY()&gt;U20,"Behind — award date passed",IF(U20-TODAY()&lt;=30,"At risk — close to off track","On track"))),IF(X20="","No planned date",IF(AND(TODAY()&gt;X20,OR(Z20="",Z20&lt;100)),"Behind — past end date",IF(AND(T20&lt;&gt;"",X20&lt;&gt;"",Z20&lt;&gt;"",(Z20&lt;100),((TODAY()-T20)/MAX(X20-T20,1)*100)-Z20&gt;15),"Behind — progress lag",IF(AND(X20-TODAY()&lt;=30,X20-TODAY()&gt;=0,OR(Z20="",Z20&lt;90)),"At risk — close to off track","On track"))))))))</t>
        </is>
      </c>
      <c r="AH20" s="49" t="inlineStr">
        <is>
          <t>IF(OR(F20="",AC20="Completed / Handover",AC20="Cancelled"),"",IF(O20="Not awarded",IF(U20&lt;&gt;"",U20-TODAY(),IF(X20="","",X20-TODAY())),IF(X20="","",X20-TODAY())))</t>
        </is>
      </c>
      <c r="AI20" s="54" t="n"/>
      <c r="AJ20" s="54" t="n"/>
      <c r="AK20" s="54" t="n"/>
      <c r="AL20" s="54" t="n"/>
      <c r="AM20" s="54" t="n"/>
      <c r="AN20" s="54" t="n"/>
      <c r="AO20" s="54" t="n"/>
      <c r="AP20" s="54" t="n"/>
      <c r="AQ20" s="54" t="n"/>
      <c r="AR20" s="54" t="n"/>
      <c r="AS20" s="54" t="n"/>
      <c r="AT20" s="50" t="n"/>
      <c r="AU20" s="50" t="n"/>
      <c r="AV20" s="50" t="n"/>
      <c r="AW20" s="49" t="inlineStr">
        <is>
          <t>IF(OR(F20="",AJ20=""),"",IF(COUNT(AI20:AI20)=0,"",AJ20-LOOKUP(2,1/(AI20:AI20&lt;&gt;""),AI20:AI20)))</t>
        </is>
      </c>
      <c r="AX20" s="49" t="inlineStr">
        <is>
          <t>IF(OR(F20="",AK20=""),"",IF(COUNT(AI20:AJ20)=0,"",AK20-LOOKUP(2,1/(AI20:AJ20&lt;&gt;""),AI20:AJ20)))</t>
        </is>
      </c>
      <c r="AY20" s="49" t="inlineStr">
        <is>
          <t>IF(OR(F20="",AL20=""),"",IF(COUNT(AI20:AK20)=0,"",AL20-LOOKUP(2,1/(AI20:AK20&lt;&gt;""),AI20:AK20)))</t>
        </is>
      </c>
      <c r="AZ20" s="49" t="inlineStr">
        <is>
          <t>IF(OR(F20="",AM20=""),"",IF(COUNT(AI20:AL20)=0,"",AM20-LOOKUP(2,1/(AI20:AL20&lt;&gt;""),AI20:AL20)))</t>
        </is>
      </c>
      <c r="BA20" s="49" t="inlineStr">
        <is>
          <t>IF(OR(F20="",AN20=""),"",IF(COUNT(AI20:AM20)=0,"",AN20-LOOKUP(2,1/(AI20:AM20&lt;&gt;""),AI20:AM20)))</t>
        </is>
      </c>
      <c r="BB20" s="49" t="inlineStr">
        <is>
          <t>IF(OR(F20="",AO20=""),"",IF(COUNT(AI20:AN20)=0,"",AO20-LOOKUP(2,1/(AI20:AN20&lt;&gt;""),AI20:AN20)))</t>
        </is>
      </c>
      <c r="BC20" s="49" t="inlineStr">
        <is>
          <t>IF(OR(F20="",AP20=""),"",IF(COUNT(AI20:AO20)=0,"",AP20-LOOKUP(2,1/(AI20:AO20&lt;&gt;""),AI20:AO20)))</t>
        </is>
      </c>
      <c r="BD20" s="49" t="inlineStr">
        <is>
          <t>IF(OR(F20="",AQ20=""),"",IF(COUNT(AI20:AP20)=0,"",AQ20-LOOKUP(2,1/(AI20:AP20&lt;&gt;""),AI20:AP20)))</t>
        </is>
      </c>
      <c r="BE20" s="49" t="inlineStr">
        <is>
          <t>IF(OR(F20="",AR20=""),"",IF(COUNT(AI20:AQ20)=0,"",AR20-LOOKUP(2,1/(AI20:AQ20&lt;&gt;""),AI20:AQ20)))</t>
        </is>
      </c>
      <c r="BF20" s="49" t="inlineStr">
        <is>
          <t>IF(OR(F20="",AS20=""),"",IF(COUNT(AI20:AR20)=0,"",AS20-LOOKUP(2,1/(AI20:AR20&lt;&gt;""),AI20:AR20)))</t>
        </is>
      </c>
      <c r="BG20" s="49" t="inlineStr">
        <is>
          <t>IF(OR(F20="",AT20=""),"",IF(COUNT(AI20:AS20)=0,"",AT20-LOOKUP(2,1/(AI20:AS20&lt;&gt;""),AI20:AS20)))</t>
        </is>
      </c>
      <c r="BH20" s="49" t="inlineStr">
        <is>
          <t>IF(OR(F20="",AU20=""),"",IF(COUNT(AI20:AT20)=0,"",AU20-LOOKUP(2,1/(AI20:AT20&lt;&gt;""),AI20:AT20)))</t>
        </is>
      </c>
      <c r="BI20" s="49" t="inlineStr">
        <is>
          <t>IF(OR(F20="",AV20=""),"",IF(COUNT(AI20:AU20)=0,"",AV20-LOOKUP(2,1/(AI20:AU20&lt;&gt;""),AI20:AU20)))</t>
        </is>
      </c>
      <c r="BJ20" s="51" t="inlineStr">
        <is>
          <t>IF(J20="","All_Provinces",IFERROR(VLOOKUP(J20,'09_Lookups'!$A$4:$B$20,2,FALSE),"All_Provinces"))</t>
        </is>
      </c>
      <c r="BK20" s="51" t="inlineStr">
        <is>
          <t>IF(K20="","All_Districts",IFERROR(VLOOKUP(K20,'09_Lookups'!$E$4:$F$42,2,FALSE),"All_Districts"))</t>
        </is>
      </c>
    </row>
    <row r="21" outlineLevel="1" ht="18" customHeight="1">
      <c r="A21" s="42" t="inlineStr">
        <is>
          <t>IF(F21="","",ROW()-3)</t>
        </is>
      </c>
      <c r="B21" s="43" t="inlineStr">
        <is>
          <t>AF2-AGF-ALL</t>
        </is>
      </c>
      <c r="C21" s="43" t="inlineStr">
        <is>
          <t>Agroforestry saplings and seeds 2026/27</t>
        </is>
      </c>
      <c r="D21" s="43" t="inlineStr">
        <is>
          <t>18 of 39</t>
        </is>
      </c>
      <c r="E21" s="44" t="inlineStr">
        <is>
          <t>AF2-AGF-N-018</t>
        </is>
      </c>
      <c r="F21" s="44" t="inlineStr">
        <is>
          <t>Agroforestry — Herat / Rabat Sangi</t>
        </is>
      </c>
      <c r="G21" s="44" t="inlineStr">
        <is>
          <t>Agroforestry saplings / seeds</t>
        </is>
      </c>
      <c r="H21" s="44" t="inlineStr">
        <is>
          <t>Saplings and seeds</t>
        </is>
      </c>
      <c r="I21" s="44" t="inlineStr">
        <is>
          <t>Emergency Food Security Project (EFSP) – WBK/AF-2</t>
        </is>
      </c>
      <c r="J21" s="44" t="inlineStr">
        <is>
          <t>West / Herat</t>
        </is>
      </c>
      <c r="K21" s="44" t="inlineStr">
        <is>
          <t>Herat</t>
        </is>
      </c>
      <c r="L21" s="44" t="inlineStr">
        <is>
          <t>Rabat Sangi</t>
        </is>
      </c>
      <c r="M21" s="44" t="inlineStr">
        <is>
          <t>Saplings: 0; Seeds kg: 30</t>
        </is>
      </c>
      <c r="N21" s="44" t="inlineStr">
        <is>
          <t>World Bank (WBK/AF-2)</t>
        </is>
      </c>
      <c r="O21" s="44" t="inlineStr">
        <is>
          <t>Not awarded</t>
        </is>
      </c>
      <c r="P21" s="44" t="inlineStr">
        <is>
          <t>7. Agroforestry Saplings-seeds</t>
        </is>
      </c>
      <c r="Q21" s="44" t="inlineStr"/>
      <c r="R21" s="44" t="inlineStr"/>
      <c r="S21" s="45" t="n"/>
      <c r="T21" s="46" t="inlineStr">
        <is>
          <t>IF(AQ21="","",AQ21)</t>
        </is>
      </c>
      <c r="U21" s="47" t="n">
        <v>46142</v>
      </c>
      <c r="V21" s="48" t="n">
        <v>12</v>
      </c>
      <c r="W21" s="47" t="n">
        <v>46478</v>
      </c>
      <c r="X21" s="46" t="inlineStr">
        <is>
          <t>IF(W21&lt;&gt;"",W21,IF(OR(T21="",V21=""),"",EDATE(T21,V21)))</t>
        </is>
      </c>
      <c r="Y21" s="47" t="n"/>
      <c r="Z21" s="48" t="n"/>
      <c r="AA21" s="44" t="inlineStr">
        <is>
          <t>Under Awarding</t>
        </is>
      </c>
      <c r="AB21" s="44" t="inlineStr">
        <is>
          <t>The saplings PO has already been issued and PO for seeds is expected to be issued in November 2026</t>
        </is>
      </c>
      <c r="AC21" s="42" t="inlineStr">
        <is>
          <t>IF(F21="","",IF(COUNT(AI21:AV21)=0,IF(AA21="","Not started",AA21),SUBSTITUTE(LOOKUP(2,1/(AI21:AV21&lt;&gt;""),$AI$3:$AV$3),"Date: ","")))</t>
        </is>
      </c>
      <c r="AD21" s="49" t="inlineStr">
        <is>
          <t>IF(OR(F21="",COUNT(AI21:AV21)=0),"",TODAY()-LOOKUP(2,1/(AI21:AV21&lt;&gt;""),AI21:AV21))</t>
        </is>
      </c>
      <c r="AE21" s="49" t="inlineStr">
        <is>
          <t>IF(OR(F21="",COUNT(AI21:AV21)&lt;2),"",LOOKUP(2,1/(AI21:AV21&lt;&gt;""),AI21:AV21)-MIN(AI21:AV21))</t>
        </is>
      </c>
      <c r="AF21" s="49" t="inlineStr">
        <is>
          <t>IF(OR(AD21="",AC21="Not started",AC21=""),"",IFERROR(AD21-IF(VLOOKUP(AC21,'06_Status_Pipeline'!$B$3:$E$20,4,FALSE)="",0,VLOOKUP(AC21,'06_Status_Pipeline'!$B$3:$E$20,4,FALSE)),""))</t>
        </is>
      </c>
      <c r="AG21" s="42" t="inlineStr">
        <is>
          <t>IF(F21="","",IF(OR(AA21="Cancelled",AC21="Cancelled"),"Cancelled",IF(OR(AC21="Completed / Handover",Y21&lt;&gt;"",Z21&gt;=100),"Completed — on track",IF(O21="Not awarded",IF(U21="",IF(X21="","No planned date",IF(TODAY()&gt;X21,"Behind — past planned date",IF(X21-TODAY()&lt;=30,"At risk — close to off track","On track"))),IF(TODAY()&gt;U21,"Behind — award date passed",IF(U21-TODAY()&lt;=30,"At risk — close to off track","On track"))),IF(X21="","No planned date",IF(AND(TODAY()&gt;X21,OR(Z21="",Z21&lt;100)),"Behind — past end date",IF(AND(T21&lt;&gt;"",X21&lt;&gt;"",Z21&lt;&gt;"",(Z21&lt;100),((TODAY()-T21)/MAX(X21-T21,1)*100)-Z21&gt;15),"Behind — progress lag",IF(AND(X21-TODAY()&lt;=30,X21-TODAY()&gt;=0,OR(Z21="",Z21&lt;90)),"At risk — close to off track","On track"))))))))</t>
        </is>
      </c>
      <c r="AH21" s="49" t="inlineStr">
        <is>
          <t>IF(OR(F21="",AC21="Completed / Handover",AC21="Cancelled"),"",IF(O21="Not awarded",IF(U21&lt;&gt;"",U21-TODAY(),IF(X21="","",X21-TODAY())),IF(X21="","",X21-TODAY())))</t>
        </is>
      </c>
      <c r="AI21" s="47" t="n"/>
      <c r="AJ21" s="47" t="n"/>
      <c r="AK21" s="47" t="n"/>
      <c r="AL21" s="47" t="n"/>
      <c r="AM21" s="47" t="n"/>
      <c r="AN21" s="47" t="n"/>
      <c r="AO21" s="47" t="n"/>
      <c r="AP21" s="47" t="n"/>
      <c r="AQ21" s="47" t="n"/>
      <c r="AR21" s="47" t="n"/>
      <c r="AS21" s="47" t="n"/>
      <c r="AT21" s="50" t="n"/>
      <c r="AU21" s="50" t="n"/>
      <c r="AV21" s="50" t="n"/>
      <c r="AW21" s="49" t="inlineStr">
        <is>
          <t>IF(OR(F21="",AJ21=""),"",IF(COUNT(AI21:AI21)=0,"",AJ21-LOOKUP(2,1/(AI21:AI21&lt;&gt;""),AI21:AI21)))</t>
        </is>
      </c>
      <c r="AX21" s="49" t="inlineStr">
        <is>
          <t>IF(OR(F21="",AK21=""),"",IF(COUNT(AI21:AJ21)=0,"",AK21-LOOKUP(2,1/(AI21:AJ21&lt;&gt;""),AI21:AJ21)))</t>
        </is>
      </c>
      <c r="AY21" s="49" t="inlineStr">
        <is>
          <t>IF(OR(F21="",AL21=""),"",IF(COUNT(AI21:AK21)=0,"",AL21-LOOKUP(2,1/(AI21:AK21&lt;&gt;""),AI21:AK21)))</t>
        </is>
      </c>
      <c r="AZ21" s="49" t="inlineStr">
        <is>
          <t>IF(OR(F21="",AM21=""),"",IF(COUNT(AI21:AL21)=0,"",AM21-LOOKUP(2,1/(AI21:AL21&lt;&gt;""),AI21:AL21)))</t>
        </is>
      </c>
      <c r="BA21" s="49" t="inlineStr">
        <is>
          <t>IF(OR(F21="",AN21=""),"",IF(COUNT(AI21:AM21)=0,"",AN21-LOOKUP(2,1/(AI21:AM21&lt;&gt;""),AI21:AM21)))</t>
        </is>
      </c>
      <c r="BB21" s="49" t="inlineStr">
        <is>
          <t>IF(OR(F21="",AO21=""),"",IF(COUNT(AI21:AN21)=0,"",AO21-LOOKUP(2,1/(AI21:AN21&lt;&gt;""),AI21:AN21)))</t>
        </is>
      </c>
      <c r="BC21" s="49" t="inlineStr">
        <is>
          <t>IF(OR(F21="",AP21=""),"",IF(COUNT(AI21:AO21)=0,"",AP21-LOOKUP(2,1/(AI21:AO21&lt;&gt;""),AI21:AO21)))</t>
        </is>
      </c>
      <c r="BD21" s="49" t="inlineStr">
        <is>
          <t>IF(OR(F21="",AQ21=""),"",IF(COUNT(AI21:AP21)=0,"",AQ21-LOOKUP(2,1/(AI21:AP21&lt;&gt;""),AI21:AP21)))</t>
        </is>
      </c>
      <c r="BE21" s="49" t="inlineStr">
        <is>
          <t>IF(OR(F21="",AR21=""),"",IF(COUNT(AI21:AQ21)=0,"",AR21-LOOKUP(2,1/(AI21:AQ21&lt;&gt;""),AI21:AQ21)))</t>
        </is>
      </c>
      <c r="BF21" s="49" t="inlineStr">
        <is>
          <t>IF(OR(F21="",AS21=""),"",IF(COUNT(AI21:AR21)=0,"",AS21-LOOKUP(2,1/(AI21:AR21&lt;&gt;""),AI21:AR21)))</t>
        </is>
      </c>
      <c r="BG21" s="49" t="inlineStr">
        <is>
          <t>IF(OR(F21="",AT21=""),"",IF(COUNT(AI21:AS21)=0,"",AT21-LOOKUP(2,1/(AI21:AS21&lt;&gt;""),AI21:AS21)))</t>
        </is>
      </c>
      <c r="BH21" s="49" t="inlineStr">
        <is>
          <t>IF(OR(F21="",AU21=""),"",IF(COUNT(AI21:AT21)=0,"",AU21-LOOKUP(2,1/(AI21:AT21&lt;&gt;""),AI21:AT21)))</t>
        </is>
      </c>
      <c r="BI21" s="49" t="inlineStr">
        <is>
          <t>IF(OR(F21="",AV21=""),"",IF(COUNT(AI21:AU21)=0,"",AV21-LOOKUP(2,1/(AI21:AU21&lt;&gt;""),AI21:AU21)))</t>
        </is>
      </c>
      <c r="BJ21" s="51" t="inlineStr">
        <is>
          <t>IF(J21="","All_Provinces",IFERROR(VLOOKUP(J21,'09_Lookups'!$A$4:$B$20,2,FALSE),"All_Provinces"))</t>
        </is>
      </c>
      <c r="BK21" s="51" t="inlineStr">
        <is>
          <t>IF(K21="","All_Districts",IFERROR(VLOOKUP(K21,'09_Lookups'!$E$4:$F$42,2,FALSE),"All_Districts"))</t>
        </is>
      </c>
    </row>
    <row r="22" outlineLevel="1" ht="18" customHeight="1">
      <c r="A22" s="42" t="inlineStr">
        <is>
          <t>IF(F22="","",ROW()-3)</t>
        </is>
      </c>
      <c r="B22" s="43" t="inlineStr">
        <is>
          <t>AF2-AGF-ALL</t>
        </is>
      </c>
      <c r="C22" s="43" t="inlineStr">
        <is>
          <t>Agroforestry saplings and seeds 2026/27</t>
        </is>
      </c>
      <c r="D22" s="43" t="inlineStr">
        <is>
          <t>19 of 39</t>
        </is>
      </c>
      <c r="E22" s="52" t="inlineStr">
        <is>
          <t>AF2-AGF-N-019</t>
        </is>
      </c>
      <c r="F22" s="52" t="inlineStr">
        <is>
          <t>Agroforestry — Jawzgan / Sheberghan</t>
        </is>
      </c>
      <c r="G22" s="52" t="inlineStr">
        <is>
          <t>Agroforestry saplings / seeds</t>
        </is>
      </c>
      <c r="H22" s="52" t="inlineStr">
        <is>
          <t>Saplings and seeds</t>
        </is>
      </c>
      <c r="I22" s="52" t="inlineStr">
        <is>
          <t>Emergency Food Security Project (EFSP) – WBK/AF-2</t>
        </is>
      </c>
      <c r="J22" s="52" t="inlineStr">
        <is>
          <t>North / Mazar</t>
        </is>
      </c>
      <c r="K22" s="52" t="inlineStr">
        <is>
          <t>Jawzgan</t>
        </is>
      </c>
      <c r="L22" s="52" t="inlineStr">
        <is>
          <t>Sheberghan</t>
        </is>
      </c>
      <c r="M22" s="52" t="inlineStr">
        <is>
          <t>Saplings: 3250; Seeds kg: 0</t>
        </is>
      </c>
      <c r="N22" s="52" t="inlineStr">
        <is>
          <t>World Bank (WBK/AF-2)</t>
        </is>
      </c>
      <c r="O22" s="52" t="inlineStr">
        <is>
          <t>Not awarded</t>
        </is>
      </c>
      <c r="P22" s="52" t="inlineStr">
        <is>
          <t>7. Agroforestry Saplings-seeds</t>
        </is>
      </c>
      <c r="Q22" s="52" t="inlineStr"/>
      <c r="R22" s="52" t="inlineStr"/>
      <c r="S22" s="53" t="n"/>
      <c r="T22" s="46" t="inlineStr">
        <is>
          <t>IF(AQ22="","",AQ22)</t>
        </is>
      </c>
      <c r="U22" s="54" t="n">
        <v>46142</v>
      </c>
      <c r="V22" s="55" t="n">
        <v>12</v>
      </c>
      <c r="W22" s="54" t="n">
        <v>46478</v>
      </c>
      <c r="X22" s="46" t="inlineStr">
        <is>
          <t>IF(W22&lt;&gt;"",W22,IF(OR(T22="",V22=""),"",EDATE(T22,V22)))</t>
        </is>
      </c>
      <c r="Y22" s="54" t="n"/>
      <c r="Z22" s="55" t="n"/>
      <c r="AA22" s="52" t="inlineStr">
        <is>
          <t>Under Awarding</t>
        </is>
      </c>
      <c r="AB22" s="52" t="inlineStr">
        <is>
          <t>The saplings PO has already been issued and PO for seeds is expected to be issued in November 2026</t>
        </is>
      </c>
      <c r="AC22" s="42" t="inlineStr">
        <is>
          <t>IF(F22="","",IF(COUNT(AI22:AV22)=0,IF(AA22="","Not started",AA22),SUBSTITUTE(LOOKUP(2,1/(AI22:AV22&lt;&gt;""),$AI$3:$AV$3),"Date: ","")))</t>
        </is>
      </c>
      <c r="AD22" s="49" t="inlineStr">
        <is>
          <t>IF(OR(F22="",COUNT(AI22:AV22)=0),"",TODAY()-LOOKUP(2,1/(AI22:AV22&lt;&gt;""),AI22:AV22))</t>
        </is>
      </c>
      <c r="AE22" s="49" t="inlineStr">
        <is>
          <t>IF(OR(F22="",COUNT(AI22:AV22)&lt;2),"",LOOKUP(2,1/(AI22:AV22&lt;&gt;""),AI22:AV22)-MIN(AI22:AV22))</t>
        </is>
      </c>
      <c r="AF22" s="49" t="inlineStr">
        <is>
          <t>IF(OR(AD22="",AC22="Not started",AC22=""),"",IFERROR(AD22-IF(VLOOKUP(AC22,'06_Status_Pipeline'!$B$3:$E$20,4,FALSE)="",0,VLOOKUP(AC22,'06_Status_Pipeline'!$B$3:$E$20,4,FALSE)),""))</t>
        </is>
      </c>
      <c r="AG22" s="42" t="inlineStr">
        <is>
          <t>IF(F22="","",IF(OR(AA22="Cancelled",AC22="Cancelled"),"Cancelled",IF(OR(AC22="Completed / Handover",Y22&lt;&gt;"",Z22&gt;=100),"Completed — on track",IF(O22="Not awarded",IF(U22="",IF(X22="","No planned date",IF(TODAY()&gt;X22,"Behind — past planned date",IF(X22-TODAY()&lt;=30,"At risk — close to off track","On track"))),IF(TODAY()&gt;U22,"Behind — award date passed",IF(U22-TODAY()&lt;=30,"At risk — close to off track","On track"))),IF(X22="","No planned date",IF(AND(TODAY()&gt;X22,OR(Z22="",Z22&lt;100)),"Behind — past end date",IF(AND(T22&lt;&gt;"",X22&lt;&gt;"",Z22&lt;&gt;"",(Z22&lt;100),((TODAY()-T22)/MAX(X22-T22,1)*100)-Z22&gt;15),"Behind — progress lag",IF(AND(X22-TODAY()&lt;=30,X22-TODAY()&gt;=0,OR(Z22="",Z22&lt;90)),"At risk — close to off track","On track"))))))))</t>
        </is>
      </c>
      <c r="AH22" s="49" t="inlineStr">
        <is>
          <t>IF(OR(F22="",AC22="Completed / Handover",AC22="Cancelled"),"",IF(O22="Not awarded",IF(U22&lt;&gt;"",U22-TODAY(),IF(X22="","",X22-TODAY())),IF(X22="","",X22-TODAY())))</t>
        </is>
      </c>
      <c r="AI22" s="54" t="n"/>
      <c r="AJ22" s="54" t="n"/>
      <c r="AK22" s="54" t="n"/>
      <c r="AL22" s="54" t="n"/>
      <c r="AM22" s="54" t="n"/>
      <c r="AN22" s="54" t="n"/>
      <c r="AO22" s="54" t="n"/>
      <c r="AP22" s="54" t="n"/>
      <c r="AQ22" s="54" t="n"/>
      <c r="AR22" s="54" t="n"/>
      <c r="AS22" s="54" t="n"/>
      <c r="AT22" s="50" t="n"/>
      <c r="AU22" s="50" t="n"/>
      <c r="AV22" s="50" t="n"/>
      <c r="AW22" s="49" t="inlineStr">
        <is>
          <t>IF(OR(F22="",AJ22=""),"",IF(COUNT(AI22:AI22)=0,"",AJ22-LOOKUP(2,1/(AI22:AI22&lt;&gt;""),AI22:AI22)))</t>
        </is>
      </c>
      <c r="AX22" s="49" t="inlineStr">
        <is>
          <t>IF(OR(F22="",AK22=""),"",IF(COUNT(AI22:AJ22)=0,"",AK22-LOOKUP(2,1/(AI22:AJ22&lt;&gt;""),AI22:AJ22)))</t>
        </is>
      </c>
      <c r="AY22" s="49" t="inlineStr">
        <is>
          <t>IF(OR(F22="",AL22=""),"",IF(COUNT(AI22:AK22)=0,"",AL22-LOOKUP(2,1/(AI22:AK22&lt;&gt;""),AI22:AK22)))</t>
        </is>
      </c>
      <c r="AZ22" s="49" t="inlineStr">
        <is>
          <t>IF(OR(F22="",AM22=""),"",IF(COUNT(AI22:AL22)=0,"",AM22-LOOKUP(2,1/(AI22:AL22&lt;&gt;""),AI22:AL22)))</t>
        </is>
      </c>
      <c r="BA22" s="49" t="inlineStr">
        <is>
          <t>IF(OR(F22="",AN22=""),"",IF(COUNT(AI22:AM22)=0,"",AN22-LOOKUP(2,1/(AI22:AM22&lt;&gt;""),AI22:AM22)))</t>
        </is>
      </c>
      <c r="BB22" s="49" t="inlineStr">
        <is>
          <t>IF(OR(F22="",AO22=""),"",IF(COUNT(AI22:AN22)=0,"",AO22-LOOKUP(2,1/(AI22:AN22&lt;&gt;""),AI22:AN22)))</t>
        </is>
      </c>
      <c r="BC22" s="49" t="inlineStr">
        <is>
          <t>IF(OR(F22="",AP22=""),"",IF(COUNT(AI22:AO22)=0,"",AP22-LOOKUP(2,1/(AI22:AO22&lt;&gt;""),AI22:AO22)))</t>
        </is>
      </c>
      <c r="BD22" s="49" t="inlineStr">
        <is>
          <t>IF(OR(F22="",AQ22=""),"",IF(COUNT(AI22:AP22)=0,"",AQ22-LOOKUP(2,1/(AI22:AP22&lt;&gt;""),AI22:AP22)))</t>
        </is>
      </c>
      <c r="BE22" s="49" t="inlineStr">
        <is>
          <t>IF(OR(F22="",AR22=""),"",IF(COUNT(AI22:AQ22)=0,"",AR22-LOOKUP(2,1/(AI22:AQ22&lt;&gt;""),AI22:AQ22)))</t>
        </is>
      </c>
      <c r="BF22" s="49" t="inlineStr">
        <is>
          <t>IF(OR(F22="",AS22=""),"",IF(COUNT(AI22:AR22)=0,"",AS22-LOOKUP(2,1/(AI22:AR22&lt;&gt;""),AI22:AR22)))</t>
        </is>
      </c>
      <c r="BG22" s="49" t="inlineStr">
        <is>
          <t>IF(OR(F22="",AT22=""),"",IF(COUNT(AI22:AS22)=0,"",AT22-LOOKUP(2,1/(AI22:AS22&lt;&gt;""),AI22:AS22)))</t>
        </is>
      </c>
      <c r="BH22" s="49" t="inlineStr">
        <is>
          <t>IF(OR(F22="",AU22=""),"",IF(COUNT(AI22:AT22)=0,"",AU22-LOOKUP(2,1/(AI22:AT22&lt;&gt;""),AI22:AT22)))</t>
        </is>
      </c>
      <c r="BI22" s="49" t="inlineStr">
        <is>
          <t>IF(OR(F22="",AV22=""),"",IF(COUNT(AI22:AU22)=0,"",AV22-LOOKUP(2,1/(AI22:AU22&lt;&gt;""),AI22:AU22)))</t>
        </is>
      </c>
      <c r="BJ22" s="51" t="inlineStr">
        <is>
          <t>IF(J22="","All_Provinces",IFERROR(VLOOKUP(J22,'09_Lookups'!$A$4:$B$20,2,FALSE),"All_Provinces"))</t>
        </is>
      </c>
      <c r="BK22" s="51" t="inlineStr">
        <is>
          <t>IF(K22="","All_Districts",IFERROR(VLOOKUP(K22,'09_Lookups'!$E$4:$F$42,2,FALSE),"All_Districts"))</t>
        </is>
      </c>
    </row>
    <row r="23" outlineLevel="1" ht="18" customHeight="1">
      <c r="A23" s="42" t="inlineStr">
        <is>
          <t>IF(F23="","",ROW()-3)</t>
        </is>
      </c>
      <c r="B23" s="43" t="inlineStr">
        <is>
          <t>AF2-AGF-ALL</t>
        </is>
      </c>
      <c r="C23" s="43" t="inlineStr">
        <is>
          <t>Agroforestry saplings and seeds 2026/27</t>
        </is>
      </c>
      <c r="D23" s="43" t="inlineStr">
        <is>
          <t>20 of 39</t>
        </is>
      </c>
      <c r="E23" s="44" t="inlineStr">
        <is>
          <t>AF2-AGF-N-020</t>
        </is>
      </c>
      <c r="F23" s="44" t="inlineStr">
        <is>
          <t>Agroforestry — Kabul / Surubi</t>
        </is>
      </c>
      <c r="G23" s="44" t="inlineStr">
        <is>
          <t>Agroforestry saplings / seeds</t>
        </is>
      </c>
      <c r="H23" s="44" t="inlineStr">
        <is>
          <t>Saplings and seeds</t>
        </is>
      </c>
      <c r="I23" s="44" t="inlineStr">
        <is>
          <t>Emergency Food Security Project (EFSP) – WBK/AF-2</t>
        </is>
      </c>
      <c r="J23" s="44" t="inlineStr">
        <is>
          <t>Central / Kabul</t>
        </is>
      </c>
      <c r="K23" s="44" t="inlineStr">
        <is>
          <t>Kabul</t>
        </is>
      </c>
      <c r="L23" s="44" t="inlineStr">
        <is>
          <t>Surubi</t>
        </is>
      </c>
      <c r="M23" s="44" t="inlineStr">
        <is>
          <t>Saplings: 10000; Seeds kg: 250</t>
        </is>
      </c>
      <c r="N23" s="44" t="inlineStr">
        <is>
          <t>World Bank (WBK/AF-2)</t>
        </is>
      </c>
      <c r="O23" s="44" t="inlineStr">
        <is>
          <t>Not awarded</t>
        </is>
      </c>
      <c r="P23" s="44" t="inlineStr">
        <is>
          <t>7. Agroforestry Saplings-seeds</t>
        </is>
      </c>
      <c r="Q23" s="44" t="inlineStr"/>
      <c r="R23" s="44" t="inlineStr"/>
      <c r="S23" s="45" t="n"/>
      <c r="T23" s="46" t="inlineStr">
        <is>
          <t>IF(AQ23="","",AQ23)</t>
        </is>
      </c>
      <c r="U23" s="47" t="n">
        <v>46142</v>
      </c>
      <c r="V23" s="48" t="n">
        <v>12</v>
      </c>
      <c r="W23" s="47" t="n">
        <v>46478</v>
      </c>
      <c r="X23" s="46" t="inlineStr">
        <is>
          <t>IF(W23&lt;&gt;"",W23,IF(OR(T23="",V23=""),"",EDATE(T23,V23)))</t>
        </is>
      </c>
      <c r="Y23" s="47" t="n"/>
      <c r="Z23" s="48" t="n"/>
      <c r="AA23" s="44" t="inlineStr">
        <is>
          <t>Under Awarding</t>
        </is>
      </c>
      <c r="AB23" s="44" t="inlineStr">
        <is>
          <t>The saplings PO has already been issued and PO for seeds is expected to be issued in November 2026</t>
        </is>
      </c>
      <c r="AC23" s="42" t="inlineStr">
        <is>
          <t>IF(F23="","",IF(COUNT(AI23:AV23)=0,IF(AA23="","Not started",AA23),SUBSTITUTE(LOOKUP(2,1/(AI23:AV23&lt;&gt;""),$AI$3:$AV$3),"Date: ","")))</t>
        </is>
      </c>
      <c r="AD23" s="49" t="inlineStr">
        <is>
          <t>IF(OR(F23="",COUNT(AI23:AV23)=0),"",TODAY()-LOOKUP(2,1/(AI23:AV23&lt;&gt;""),AI23:AV23))</t>
        </is>
      </c>
      <c r="AE23" s="49" t="inlineStr">
        <is>
          <t>IF(OR(F23="",COUNT(AI23:AV23)&lt;2),"",LOOKUP(2,1/(AI23:AV23&lt;&gt;""),AI23:AV23)-MIN(AI23:AV23))</t>
        </is>
      </c>
      <c r="AF23" s="49" t="inlineStr">
        <is>
          <t>IF(OR(AD23="",AC23="Not started",AC23=""),"",IFERROR(AD23-IF(VLOOKUP(AC23,'06_Status_Pipeline'!$B$3:$E$20,4,FALSE)="",0,VLOOKUP(AC23,'06_Status_Pipeline'!$B$3:$E$20,4,FALSE)),""))</t>
        </is>
      </c>
      <c r="AG23" s="42" t="inlineStr">
        <is>
          <t>IF(F23="","",IF(OR(AA23="Cancelled",AC23="Cancelled"),"Cancelled",IF(OR(AC23="Completed / Handover",Y23&lt;&gt;"",Z23&gt;=100),"Completed — on track",IF(O23="Not awarded",IF(U23="",IF(X23="","No planned date",IF(TODAY()&gt;X23,"Behind — past planned date",IF(X23-TODAY()&lt;=30,"At risk — close to off track","On track"))),IF(TODAY()&gt;U23,"Behind — award date passed",IF(U23-TODAY()&lt;=30,"At risk — close to off track","On track"))),IF(X23="","No planned date",IF(AND(TODAY()&gt;X23,OR(Z23="",Z23&lt;100)),"Behind — past end date",IF(AND(T23&lt;&gt;"",X23&lt;&gt;"",Z23&lt;&gt;"",(Z23&lt;100),((TODAY()-T23)/MAX(X23-T23,1)*100)-Z23&gt;15),"Behind — progress lag",IF(AND(X23-TODAY()&lt;=30,X23-TODAY()&gt;=0,OR(Z23="",Z23&lt;90)),"At risk — close to off track","On track"))))))))</t>
        </is>
      </c>
      <c r="AH23" s="49" t="inlineStr">
        <is>
          <t>IF(OR(F23="",AC23="Completed / Handover",AC23="Cancelled"),"",IF(O23="Not awarded",IF(U23&lt;&gt;"",U23-TODAY(),IF(X23="","",X23-TODAY())),IF(X23="","",X23-TODAY())))</t>
        </is>
      </c>
      <c r="AI23" s="47" t="n"/>
      <c r="AJ23" s="47" t="n"/>
      <c r="AK23" s="47" t="n"/>
      <c r="AL23" s="47" t="n"/>
      <c r="AM23" s="47" t="n"/>
      <c r="AN23" s="47" t="n"/>
      <c r="AO23" s="47" t="n"/>
      <c r="AP23" s="47" t="n"/>
      <c r="AQ23" s="47" t="n"/>
      <c r="AR23" s="47" t="n"/>
      <c r="AS23" s="47" t="n"/>
      <c r="AT23" s="50" t="n"/>
      <c r="AU23" s="50" t="n"/>
      <c r="AV23" s="50" t="n"/>
      <c r="AW23" s="49" t="inlineStr">
        <is>
          <t>IF(OR(F23="",AJ23=""),"",IF(COUNT(AI23:AI23)=0,"",AJ23-LOOKUP(2,1/(AI23:AI23&lt;&gt;""),AI23:AI23)))</t>
        </is>
      </c>
      <c r="AX23" s="49" t="inlineStr">
        <is>
          <t>IF(OR(F23="",AK23=""),"",IF(COUNT(AI23:AJ23)=0,"",AK23-LOOKUP(2,1/(AI23:AJ23&lt;&gt;""),AI23:AJ23)))</t>
        </is>
      </c>
      <c r="AY23" s="49" t="inlineStr">
        <is>
          <t>IF(OR(F23="",AL23=""),"",IF(COUNT(AI23:AK23)=0,"",AL23-LOOKUP(2,1/(AI23:AK23&lt;&gt;""),AI23:AK23)))</t>
        </is>
      </c>
      <c r="AZ23" s="49" t="inlineStr">
        <is>
          <t>IF(OR(F23="",AM23=""),"",IF(COUNT(AI23:AL23)=0,"",AM23-LOOKUP(2,1/(AI23:AL23&lt;&gt;""),AI23:AL23)))</t>
        </is>
      </c>
      <c r="BA23" s="49" t="inlineStr">
        <is>
          <t>IF(OR(F23="",AN23=""),"",IF(COUNT(AI23:AM23)=0,"",AN23-LOOKUP(2,1/(AI23:AM23&lt;&gt;""),AI23:AM23)))</t>
        </is>
      </c>
      <c r="BB23" s="49" t="inlineStr">
        <is>
          <t>IF(OR(F23="",AO23=""),"",IF(COUNT(AI23:AN23)=0,"",AO23-LOOKUP(2,1/(AI23:AN23&lt;&gt;""),AI23:AN23)))</t>
        </is>
      </c>
      <c r="BC23" s="49" t="inlineStr">
        <is>
          <t>IF(OR(F23="",AP23=""),"",IF(COUNT(AI23:AO23)=0,"",AP23-LOOKUP(2,1/(AI23:AO23&lt;&gt;""),AI23:AO23)))</t>
        </is>
      </c>
      <c r="BD23" s="49" t="inlineStr">
        <is>
          <t>IF(OR(F23="",AQ23=""),"",IF(COUNT(AI23:AP23)=0,"",AQ23-LOOKUP(2,1/(AI23:AP23&lt;&gt;""),AI23:AP23)))</t>
        </is>
      </c>
      <c r="BE23" s="49" t="inlineStr">
        <is>
          <t>IF(OR(F23="",AR23=""),"",IF(COUNT(AI23:AQ23)=0,"",AR23-LOOKUP(2,1/(AI23:AQ23&lt;&gt;""),AI23:AQ23)))</t>
        </is>
      </c>
      <c r="BF23" s="49" t="inlineStr">
        <is>
          <t>IF(OR(F23="",AS23=""),"",IF(COUNT(AI23:AR23)=0,"",AS23-LOOKUP(2,1/(AI23:AR23&lt;&gt;""),AI23:AR23)))</t>
        </is>
      </c>
      <c r="BG23" s="49" t="inlineStr">
        <is>
          <t>IF(OR(F23="",AT23=""),"",IF(COUNT(AI23:AS23)=0,"",AT23-LOOKUP(2,1/(AI23:AS23&lt;&gt;""),AI23:AS23)))</t>
        </is>
      </c>
      <c r="BH23" s="49" t="inlineStr">
        <is>
          <t>IF(OR(F23="",AU23=""),"",IF(COUNT(AI23:AT23)=0,"",AU23-LOOKUP(2,1/(AI23:AT23&lt;&gt;""),AI23:AT23)))</t>
        </is>
      </c>
      <c r="BI23" s="49" t="inlineStr">
        <is>
          <t>IF(OR(F23="",AV23=""),"",IF(COUNT(AI23:AU23)=0,"",AV23-LOOKUP(2,1/(AI23:AU23&lt;&gt;""),AI23:AU23)))</t>
        </is>
      </c>
      <c r="BJ23" s="51" t="inlineStr">
        <is>
          <t>IF(J23="","All_Provinces",IFERROR(VLOOKUP(J23,'09_Lookups'!$A$4:$B$20,2,FALSE),"All_Provinces"))</t>
        </is>
      </c>
      <c r="BK23" s="51" t="inlineStr">
        <is>
          <t>IF(K23="","All_Districts",IFERROR(VLOOKUP(K23,'09_Lookups'!$E$4:$F$42,2,FALSE),"All_Districts"))</t>
        </is>
      </c>
    </row>
    <row r="24" outlineLevel="1" ht="18" customHeight="1">
      <c r="A24" s="42" t="inlineStr">
        <is>
          <t>IF(F24="","",ROW()-3)</t>
        </is>
      </c>
      <c r="B24" s="43" t="inlineStr">
        <is>
          <t>AF2-AGF-ALL</t>
        </is>
      </c>
      <c r="C24" s="43" t="inlineStr">
        <is>
          <t>Agroforestry saplings and seeds 2026/27</t>
        </is>
      </c>
      <c r="D24" s="43" t="inlineStr">
        <is>
          <t>21 of 39</t>
        </is>
      </c>
      <c r="E24" s="52" t="inlineStr">
        <is>
          <t>AF2-AGF-N-021</t>
        </is>
      </c>
      <c r="F24" s="52" t="inlineStr">
        <is>
          <t>Agroforestry — Khost / Musa Khil</t>
        </is>
      </c>
      <c r="G24" s="52" t="inlineStr">
        <is>
          <t>Agroforestry saplings / seeds</t>
        </is>
      </c>
      <c r="H24" s="52" t="inlineStr">
        <is>
          <t>Saplings and seeds</t>
        </is>
      </c>
      <c r="I24" s="52" t="inlineStr">
        <is>
          <t>Emergency Food Security Project (EFSP) – WBK/AF-2</t>
        </is>
      </c>
      <c r="J24" s="52" t="inlineStr">
        <is>
          <t>Southeast / Gardez</t>
        </is>
      </c>
      <c r="K24" s="52" t="inlineStr">
        <is>
          <t>Khost</t>
        </is>
      </c>
      <c r="L24" s="52" t="inlineStr">
        <is>
          <t>Musa Khil</t>
        </is>
      </c>
      <c r="M24" s="52" t="inlineStr">
        <is>
          <t>Saplings: 7080; Seeds kg: 82</t>
        </is>
      </c>
      <c r="N24" s="52" t="inlineStr">
        <is>
          <t>World Bank (WBK/AF-2)</t>
        </is>
      </c>
      <c r="O24" s="52" t="inlineStr">
        <is>
          <t>Not awarded</t>
        </is>
      </c>
      <c r="P24" s="52" t="inlineStr">
        <is>
          <t>7. Agroforestry Saplings-seeds</t>
        </is>
      </c>
      <c r="Q24" s="52" t="inlineStr"/>
      <c r="R24" s="52" t="inlineStr"/>
      <c r="S24" s="53" t="n"/>
      <c r="T24" s="46" t="inlineStr">
        <is>
          <t>IF(AQ24="","",AQ24)</t>
        </is>
      </c>
      <c r="U24" s="54" t="n">
        <v>46142</v>
      </c>
      <c r="V24" s="55" t="n">
        <v>12</v>
      </c>
      <c r="W24" s="54" t="n">
        <v>46478</v>
      </c>
      <c r="X24" s="46" t="inlineStr">
        <is>
          <t>IF(W24&lt;&gt;"",W24,IF(OR(T24="",V24=""),"",EDATE(T24,V24)))</t>
        </is>
      </c>
      <c r="Y24" s="54" t="n"/>
      <c r="Z24" s="55" t="n"/>
      <c r="AA24" s="52" t="inlineStr">
        <is>
          <t>Under Awarding</t>
        </is>
      </c>
      <c r="AB24" s="52" t="inlineStr">
        <is>
          <t>The saplings PO has already been issued and PO for seeds is expected to be issued in November 2026</t>
        </is>
      </c>
      <c r="AC24" s="42" t="inlineStr">
        <is>
          <t>IF(F24="","",IF(COUNT(AI24:AV24)=0,IF(AA24="","Not started",AA24),SUBSTITUTE(LOOKUP(2,1/(AI24:AV24&lt;&gt;""),$AI$3:$AV$3),"Date: ","")))</t>
        </is>
      </c>
      <c r="AD24" s="49" t="inlineStr">
        <is>
          <t>IF(OR(F24="",COUNT(AI24:AV24)=0),"",TODAY()-LOOKUP(2,1/(AI24:AV24&lt;&gt;""),AI24:AV24))</t>
        </is>
      </c>
      <c r="AE24" s="49" t="inlineStr">
        <is>
          <t>IF(OR(F24="",COUNT(AI24:AV24)&lt;2),"",LOOKUP(2,1/(AI24:AV24&lt;&gt;""),AI24:AV24)-MIN(AI24:AV24))</t>
        </is>
      </c>
      <c r="AF24" s="49" t="inlineStr">
        <is>
          <t>IF(OR(AD24="",AC24="Not started",AC24=""),"",IFERROR(AD24-IF(VLOOKUP(AC24,'06_Status_Pipeline'!$B$3:$E$20,4,FALSE)="",0,VLOOKUP(AC24,'06_Status_Pipeline'!$B$3:$E$20,4,FALSE)),""))</t>
        </is>
      </c>
      <c r="AG24" s="42" t="inlineStr">
        <is>
          <t>IF(F24="","",IF(OR(AA24="Cancelled",AC24="Cancelled"),"Cancelled",IF(OR(AC24="Completed / Handover",Y24&lt;&gt;"",Z24&gt;=100),"Completed — on track",IF(O24="Not awarded",IF(U24="",IF(X24="","No planned date",IF(TODAY()&gt;X24,"Behind — past planned date",IF(X24-TODAY()&lt;=30,"At risk — close to off track","On track"))),IF(TODAY()&gt;U24,"Behind — award date passed",IF(U24-TODAY()&lt;=30,"At risk — close to off track","On track"))),IF(X24="","No planned date",IF(AND(TODAY()&gt;X24,OR(Z24="",Z24&lt;100)),"Behind — past end date",IF(AND(T24&lt;&gt;"",X24&lt;&gt;"",Z24&lt;&gt;"",(Z24&lt;100),((TODAY()-T24)/MAX(X24-T24,1)*100)-Z24&gt;15),"Behind — progress lag",IF(AND(X24-TODAY()&lt;=30,X24-TODAY()&gt;=0,OR(Z24="",Z24&lt;90)),"At risk — close to off track","On track"))))))))</t>
        </is>
      </c>
      <c r="AH24" s="49" t="inlineStr">
        <is>
          <t>IF(OR(F24="",AC24="Completed / Handover",AC24="Cancelled"),"",IF(O24="Not awarded",IF(U24&lt;&gt;"",U24-TODAY(),IF(X24="","",X24-TODAY())),IF(X24="","",X24-TODAY())))</t>
        </is>
      </c>
      <c r="AI24" s="54" t="n"/>
      <c r="AJ24" s="54" t="n"/>
      <c r="AK24" s="54" t="n"/>
      <c r="AL24" s="54" t="n"/>
      <c r="AM24" s="54" t="n"/>
      <c r="AN24" s="54" t="n"/>
      <c r="AO24" s="54" t="n"/>
      <c r="AP24" s="54" t="n"/>
      <c r="AQ24" s="54" t="n"/>
      <c r="AR24" s="54" t="n"/>
      <c r="AS24" s="54" t="n"/>
      <c r="AT24" s="50" t="n"/>
      <c r="AU24" s="50" t="n"/>
      <c r="AV24" s="50" t="n"/>
      <c r="AW24" s="49" t="inlineStr">
        <is>
          <t>IF(OR(F24="",AJ24=""),"",IF(COUNT(AI24:AI24)=0,"",AJ24-LOOKUP(2,1/(AI24:AI24&lt;&gt;""),AI24:AI24)))</t>
        </is>
      </c>
      <c r="AX24" s="49" t="inlineStr">
        <is>
          <t>IF(OR(F24="",AK24=""),"",IF(COUNT(AI24:AJ24)=0,"",AK24-LOOKUP(2,1/(AI24:AJ24&lt;&gt;""),AI24:AJ24)))</t>
        </is>
      </c>
      <c r="AY24" s="49" t="inlineStr">
        <is>
          <t>IF(OR(F24="",AL24=""),"",IF(COUNT(AI24:AK24)=0,"",AL24-LOOKUP(2,1/(AI24:AK24&lt;&gt;""),AI24:AK24)))</t>
        </is>
      </c>
      <c r="AZ24" s="49" t="inlineStr">
        <is>
          <t>IF(OR(F24="",AM24=""),"",IF(COUNT(AI24:AL24)=0,"",AM24-LOOKUP(2,1/(AI24:AL24&lt;&gt;""),AI24:AL24)))</t>
        </is>
      </c>
      <c r="BA24" s="49" t="inlineStr">
        <is>
          <t>IF(OR(F24="",AN24=""),"",IF(COUNT(AI24:AM24)=0,"",AN24-LOOKUP(2,1/(AI24:AM24&lt;&gt;""),AI24:AM24)))</t>
        </is>
      </c>
      <c r="BB24" s="49" t="inlineStr">
        <is>
          <t>IF(OR(F24="",AO24=""),"",IF(COUNT(AI24:AN24)=0,"",AO24-LOOKUP(2,1/(AI24:AN24&lt;&gt;""),AI24:AN24)))</t>
        </is>
      </c>
      <c r="BC24" s="49" t="inlineStr">
        <is>
          <t>IF(OR(F24="",AP24=""),"",IF(COUNT(AI24:AO24)=0,"",AP24-LOOKUP(2,1/(AI24:AO24&lt;&gt;""),AI24:AO24)))</t>
        </is>
      </c>
      <c r="BD24" s="49" t="inlineStr">
        <is>
          <t>IF(OR(F24="",AQ24=""),"",IF(COUNT(AI24:AP24)=0,"",AQ24-LOOKUP(2,1/(AI24:AP24&lt;&gt;""),AI24:AP24)))</t>
        </is>
      </c>
      <c r="BE24" s="49" t="inlineStr">
        <is>
          <t>IF(OR(F24="",AR24=""),"",IF(COUNT(AI24:AQ24)=0,"",AR24-LOOKUP(2,1/(AI24:AQ24&lt;&gt;""),AI24:AQ24)))</t>
        </is>
      </c>
      <c r="BF24" s="49" t="inlineStr">
        <is>
          <t>IF(OR(F24="",AS24=""),"",IF(COUNT(AI24:AR24)=0,"",AS24-LOOKUP(2,1/(AI24:AR24&lt;&gt;""),AI24:AR24)))</t>
        </is>
      </c>
      <c r="BG24" s="49" t="inlineStr">
        <is>
          <t>IF(OR(F24="",AT24=""),"",IF(COUNT(AI24:AS24)=0,"",AT24-LOOKUP(2,1/(AI24:AS24&lt;&gt;""),AI24:AS24)))</t>
        </is>
      </c>
      <c r="BH24" s="49" t="inlineStr">
        <is>
          <t>IF(OR(F24="",AU24=""),"",IF(COUNT(AI24:AT24)=0,"",AU24-LOOKUP(2,1/(AI24:AT24&lt;&gt;""),AI24:AT24)))</t>
        </is>
      </c>
      <c r="BI24" s="49" t="inlineStr">
        <is>
          <t>IF(OR(F24="",AV24=""),"",IF(COUNT(AI24:AU24)=0,"",AV24-LOOKUP(2,1/(AI24:AU24&lt;&gt;""),AI24:AU24)))</t>
        </is>
      </c>
      <c r="BJ24" s="51" t="inlineStr">
        <is>
          <t>IF(J24="","All_Provinces",IFERROR(VLOOKUP(J24,'09_Lookups'!$A$4:$B$20,2,FALSE),"All_Provinces"))</t>
        </is>
      </c>
      <c r="BK24" s="51" t="inlineStr">
        <is>
          <t>IF(K24="","All_Districts",IFERROR(VLOOKUP(K24,'09_Lookups'!$E$4:$F$42,2,FALSE),"All_Districts"))</t>
        </is>
      </c>
    </row>
    <row r="25" outlineLevel="1" ht="18" customHeight="1">
      <c r="A25" s="42" t="inlineStr">
        <is>
          <t>IF(F25="","",ROW()-3)</t>
        </is>
      </c>
      <c r="B25" s="43" t="inlineStr">
        <is>
          <t>AF2-AGF-ALL</t>
        </is>
      </c>
      <c r="C25" s="43" t="inlineStr">
        <is>
          <t>Agroforestry saplings and seeds 2026/27</t>
        </is>
      </c>
      <c r="D25" s="43" t="inlineStr">
        <is>
          <t>22 of 39</t>
        </is>
      </c>
      <c r="E25" s="44" t="inlineStr">
        <is>
          <t>AF2-AGF-N-022</t>
        </is>
      </c>
      <c r="F25" s="44" t="inlineStr">
        <is>
          <t>Agroforestry — Khost / Qalander</t>
        </is>
      </c>
      <c r="G25" s="44" t="inlineStr">
        <is>
          <t>Agroforestry saplings / seeds</t>
        </is>
      </c>
      <c r="H25" s="44" t="inlineStr">
        <is>
          <t>Saplings and seeds</t>
        </is>
      </c>
      <c r="I25" s="44" t="inlineStr">
        <is>
          <t>Emergency Food Security Project (EFSP) – WBK/AF-2</t>
        </is>
      </c>
      <c r="J25" s="44" t="inlineStr">
        <is>
          <t>Southeast / Gardez</t>
        </is>
      </c>
      <c r="K25" s="44" t="inlineStr">
        <is>
          <t>Khost</t>
        </is>
      </c>
      <c r="L25" s="44" t="inlineStr">
        <is>
          <t>Qalander</t>
        </is>
      </c>
      <c r="M25" s="44" t="inlineStr">
        <is>
          <t>Saplings: 7920; Seeds kg: 44</t>
        </is>
      </c>
      <c r="N25" s="44" t="inlineStr">
        <is>
          <t>World Bank (WBK/AF-2)</t>
        </is>
      </c>
      <c r="O25" s="44" t="inlineStr">
        <is>
          <t>Not awarded</t>
        </is>
      </c>
      <c r="P25" s="44" t="inlineStr">
        <is>
          <t>7. Agroforestry Saplings-seeds</t>
        </is>
      </c>
      <c r="Q25" s="44" t="inlineStr"/>
      <c r="R25" s="44" t="inlineStr"/>
      <c r="S25" s="45" t="n"/>
      <c r="T25" s="46" t="inlineStr">
        <is>
          <t>IF(AQ25="","",AQ25)</t>
        </is>
      </c>
      <c r="U25" s="47" t="n">
        <v>46142</v>
      </c>
      <c r="V25" s="48" t="n">
        <v>12</v>
      </c>
      <c r="W25" s="47" t="n">
        <v>46478</v>
      </c>
      <c r="X25" s="46" t="inlineStr">
        <is>
          <t>IF(W25&lt;&gt;"",W25,IF(OR(T25="",V25=""),"",EDATE(T25,V25)))</t>
        </is>
      </c>
      <c r="Y25" s="47" t="n"/>
      <c r="Z25" s="48" t="n"/>
      <c r="AA25" s="44" t="inlineStr">
        <is>
          <t>Under Awarding</t>
        </is>
      </c>
      <c r="AB25" s="44" t="inlineStr">
        <is>
          <t>The saplings PO has already been issued and PO for seeds is expected to be issued in November 2026</t>
        </is>
      </c>
      <c r="AC25" s="42" t="inlineStr">
        <is>
          <t>IF(F25="","",IF(COUNT(AI25:AV25)=0,IF(AA25="","Not started",AA25),SUBSTITUTE(LOOKUP(2,1/(AI25:AV25&lt;&gt;""),$AI$3:$AV$3),"Date: ","")))</t>
        </is>
      </c>
      <c r="AD25" s="49" t="inlineStr">
        <is>
          <t>IF(OR(F25="",COUNT(AI25:AV25)=0),"",TODAY()-LOOKUP(2,1/(AI25:AV25&lt;&gt;""),AI25:AV25))</t>
        </is>
      </c>
      <c r="AE25" s="49" t="inlineStr">
        <is>
          <t>IF(OR(F25="",COUNT(AI25:AV25)&lt;2),"",LOOKUP(2,1/(AI25:AV25&lt;&gt;""),AI25:AV25)-MIN(AI25:AV25))</t>
        </is>
      </c>
      <c r="AF25" s="49" t="inlineStr">
        <is>
          <t>IF(OR(AD25="",AC25="Not started",AC25=""),"",IFERROR(AD25-IF(VLOOKUP(AC25,'06_Status_Pipeline'!$B$3:$E$20,4,FALSE)="",0,VLOOKUP(AC25,'06_Status_Pipeline'!$B$3:$E$20,4,FALSE)),""))</t>
        </is>
      </c>
      <c r="AG25" s="42" t="inlineStr">
        <is>
          <t>IF(F25="","",IF(OR(AA25="Cancelled",AC25="Cancelled"),"Cancelled",IF(OR(AC25="Completed / Handover",Y25&lt;&gt;"",Z25&gt;=100),"Completed — on track",IF(O25="Not awarded",IF(U25="",IF(X25="","No planned date",IF(TODAY()&gt;X25,"Behind — past planned date",IF(X25-TODAY()&lt;=30,"At risk — close to off track","On track"))),IF(TODAY()&gt;U25,"Behind — award date passed",IF(U25-TODAY()&lt;=30,"At risk — close to off track","On track"))),IF(X25="","No planned date",IF(AND(TODAY()&gt;X25,OR(Z25="",Z25&lt;100)),"Behind — past end date",IF(AND(T25&lt;&gt;"",X25&lt;&gt;"",Z25&lt;&gt;"",(Z25&lt;100),((TODAY()-T25)/MAX(X25-T25,1)*100)-Z25&gt;15),"Behind — progress lag",IF(AND(X25-TODAY()&lt;=30,X25-TODAY()&gt;=0,OR(Z25="",Z25&lt;90)),"At risk — close to off track","On track"))))))))</t>
        </is>
      </c>
      <c r="AH25" s="49" t="inlineStr">
        <is>
          <t>IF(OR(F25="",AC25="Completed / Handover",AC25="Cancelled"),"",IF(O25="Not awarded",IF(U25&lt;&gt;"",U25-TODAY(),IF(X25="","",X25-TODAY())),IF(X25="","",X25-TODAY())))</t>
        </is>
      </c>
      <c r="AI25" s="47" t="n"/>
      <c r="AJ25" s="47" t="n"/>
      <c r="AK25" s="47" t="n"/>
      <c r="AL25" s="47" t="n"/>
      <c r="AM25" s="47" t="n"/>
      <c r="AN25" s="47" t="n"/>
      <c r="AO25" s="47" t="n"/>
      <c r="AP25" s="47" t="n"/>
      <c r="AQ25" s="47" t="n"/>
      <c r="AR25" s="47" t="n"/>
      <c r="AS25" s="47" t="n"/>
      <c r="AT25" s="50" t="n"/>
      <c r="AU25" s="50" t="n"/>
      <c r="AV25" s="50" t="n"/>
      <c r="AW25" s="49" t="inlineStr">
        <is>
          <t>IF(OR(F25="",AJ25=""),"",IF(COUNT(AI25:AI25)=0,"",AJ25-LOOKUP(2,1/(AI25:AI25&lt;&gt;""),AI25:AI25)))</t>
        </is>
      </c>
      <c r="AX25" s="49" t="inlineStr">
        <is>
          <t>IF(OR(F25="",AK25=""),"",IF(COUNT(AI25:AJ25)=0,"",AK25-LOOKUP(2,1/(AI25:AJ25&lt;&gt;""),AI25:AJ25)))</t>
        </is>
      </c>
      <c r="AY25" s="49" t="inlineStr">
        <is>
          <t>IF(OR(F25="",AL25=""),"",IF(COUNT(AI25:AK25)=0,"",AL25-LOOKUP(2,1/(AI25:AK25&lt;&gt;""),AI25:AK25)))</t>
        </is>
      </c>
      <c r="AZ25" s="49" t="inlineStr">
        <is>
          <t>IF(OR(F25="",AM25=""),"",IF(COUNT(AI25:AL25)=0,"",AM25-LOOKUP(2,1/(AI25:AL25&lt;&gt;""),AI25:AL25)))</t>
        </is>
      </c>
      <c r="BA25" s="49" t="inlineStr">
        <is>
          <t>IF(OR(F25="",AN25=""),"",IF(COUNT(AI25:AM25)=0,"",AN25-LOOKUP(2,1/(AI25:AM25&lt;&gt;""),AI25:AM25)))</t>
        </is>
      </c>
      <c r="BB25" s="49" t="inlineStr">
        <is>
          <t>IF(OR(F25="",AO25=""),"",IF(COUNT(AI25:AN25)=0,"",AO25-LOOKUP(2,1/(AI25:AN25&lt;&gt;""),AI25:AN25)))</t>
        </is>
      </c>
      <c r="BC25" s="49" t="inlineStr">
        <is>
          <t>IF(OR(F25="",AP25=""),"",IF(COUNT(AI25:AO25)=0,"",AP25-LOOKUP(2,1/(AI25:AO25&lt;&gt;""),AI25:AO25)))</t>
        </is>
      </c>
      <c r="BD25" s="49" t="inlineStr">
        <is>
          <t>IF(OR(F25="",AQ25=""),"",IF(COUNT(AI25:AP25)=0,"",AQ25-LOOKUP(2,1/(AI25:AP25&lt;&gt;""),AI25:AP25)))</t>
        </is>
      </c>
      <c r="BE25" s="49" t="inlineStr">
        <is>
          <t>IF(OR(F25="",AR25=""),"",IF(COUNT(AI25:AQ25)=0,"",AR25-LOOKUP(2,1/(AI25:AQ25&lt;&gt;""),AI25:AQ25)))</t>
        </is>
      </c>
      <c r="BF25" s="49" t="inlineStr">
        <is>
          <t>IF(OR(F25="",AS25=""),"",IF(COUNT(AI25:AR25)=0,"",AS25-LOOKUP(2,1/(AI25:AR25&lt;&gt;""),AI25:AR25)))</t>
        </is>
      </c>
      <c r="BG25" s="49" t="inlineStr">
        <is>
          <t>IF(OR(F25="",AT25=""),"",IF(COUNT(AI25:AS25)=0,"",AT25-LOOKUP(2,1/(AI25:AS25&lt;&gt;""),AI25:AS25)))</t>
        </is>
      </c>
      <c r="BH25" s="49" t="inlineStr">
        <is>
          <t>IF(OR(F25="",AU25=""),"",IF(COUNT(AI25:AT25)=0,"",AU25-LOOKUP(2,1/(AI25:AT25&lt;&gt;""),AI25:AT25)))</t>
        </is>
      </c>
      <c r="BI25" s="49" t="inlineStr">
        <is>
          <t>IF(OR(F25="",AV25=""),"",IF(COUNT(AI25:AU25)=0,"",AV25-LOOKUP(2,1/(AI25:AU25&lt;&gt;""),AI25:AU25)))</t>
        </is>
      </c>
      <c r="BJ25" s="51" t="inlineStr">
        <is>
          <t>IF(J25="","All_Provinces",IFERROR(VLOOKUP(J25,'09_Lookups'!$A$4:$B$20,2,FALSE),"All_Provinces"))</t>
        </is>
      </c>
      <c r="BK25" s="51" t="inlineStr">
        <is>
          <t>IF(K25="","All_Districts",IFERROR(VLOOKUP(K25,'09_Lookups'!$E$4:$F$42,2,FALSE),"All_Districts"))</t>
        </is>
      </c>
    </row>
    <row r="26" outlineLevel="1" ht="18" customHeight="1">
      <c r="A26" s="42" t="inlineStr">
        <is>
          <t>IF(F26="","",ROW()-3)</t>
        </is>
      </c>
      <c r="B26" s="43" t="inlineStr">
        <is>
          <t>AF2-AGF-ALL</t>
        </is>
      </c>
      <c r="C26" s="43" t="inlineStr">
        <is>
          <t>Agroforestry saplings and seeds 2026/27</t>
        </is>
      </c>
      <c r="D26" s="43" t="inlineStr">
        <is>
          <t>23 of 39</t>
        </is>
      </c>
      <c r="E26" s="52" t="inlineStr">
        <is>
          <t>AF2-AGF-N-023</t>
        </is>
      </c>
      <c r="F26" s="52" t="inlineStr">
        <is>
          <t>Agroforestry — Laghman / Alishing</t>
        </is>
      </c>
      <c r="G26" s="52" t="inlineStr">
        <is>
          <t>Agroforestry saplings / seeds</t>
        </is>
      </c>
      <c r="H26" s="52" t="inlineStr">
        <is>
          <t>Saplings and seeds</t>
        </is>
      </c>
      <c r="I26" s="52" t="inlineStr">
        <is>
          <t>Emergency Food Security Project (EFSP) – WBK/AF-2</t>
        </is>
      </c>
      <c r="J26" s="52" t="inlineStr">
        <is>
          <t>East / Jalalabad</t>
        </is>
      </c>
      <c r="K26" s="52" t="inlineStr">
        <is>
          <t>Laghman</t>
        </is>
      </c>
      <c r="L26" s="52" t="inlineStr">
        <is>
          <t>Alishing</t>
        </is>
      </c>
      <c r="M26" s="52" t="inlineStr">
        <is>
          <t>Saplings: 12056; Seeds kg: 174</t>
        </is>
      </c>
      <c r="N26" s="52" t="inlineStr">
        <is>
          <t>World Bank (WBK/AF-2)</t>
        </is>
      </c>
      <c r="O26" s="52" t="inlineStr">
        <is>
          <t>Not awarded</t>
        </is>
      </c>
      <c r="P26" s="52" t="inlineStr">
        <is>
          <t>7. Agroforestry Saplings-seeds</t>
        </is>
      </c>
      <c r="Q26" s="52" t="inlineStr"/>
      <c r="R26" s="52" t="inlineStr"/>
      <c r="S26" s="53" t="n"/>
      <c r="T26" s="46" t="inlineStr">
        <is>
          <t>IF(AQ26="","",AQ26)</t>
        </is>
      </c>
      <c r="U26" s="54" t="n">
        <v>46142</v>
      </c>
      <c r="V26" s="55" t="n">
        <v>12</v>
      </c>
      <c r="W26" s="54" t="n">
        <v>46478</v>
      </c>
      <c r="X26" s="46" t="inlineStr">
        <is>
          <t>IF(W26&lt;&gt;"",W26,IF(OR(T26="",V26=""),"",EDATE(T26,V26)))</t>
        </is>
      </c>
      <c r="Y26" s="54" t="n"/>
      <c r="Z26" s="55" t="n"/>
      <c r="AA26" s="52" t="inlineStr">
        <is>
          <t>Under Awarding</t>
        </is>
      </c>
      <c r="AB26" s="52" t="inlineStr">
        <is>
          <t>The saplings PO has already been issued and PO for seeds is expected to be issued in November 2026</t>
        </is>
      </c>
      <c r="AC26" s="42" t="inlineStr">
        <is>
          <t>IF(F26="","",IF(COUNT(AI26:AV26)=0,IF(AA26="","Not started",AA26),SUBSTITUTE(LOOKUP(2,1/(AI26:AV26&lt;&gt;""),$AI$3:$AV$3),"Date: ","")))</t>
        </is>
      </c>
      <c r="AD26" s="49" t="inlineStr">
        <is>
          <t>IF(OR(F26="",COUNT(AI26:AV26)=0),"",TODAY()-LOOKUP(2,1/(AI26:AV26&lt;&gt;""),AI26:AV26))</t>
        </is>
      </c>
      <c r="AE26" s="49" t="inlineStr">
        <is>
          <t>IF(OR(F26="",COUNT(AI26:AV26)&lt;2),"",LOOKUP(2,1/(AI26:AV26&lt;&gt;""),AI26:AV26)-MIN(AI26:AV26))</t>
        </is>
      </c>
      <c r="AF26" s="49" t="inlineStr">
        <is>
          <t>IF(OR(AD26="",AC26="Not started",AC26=""),"",IFERROR(AD26-IF(VLOOKUP(AC26,'06_Status_Pipeline'!$B$3:$E$20,4,FALSE)="",0,VLOOKUP(AC26,'06_Status_Pipeline'!$B$3:$E$20,4,FALSE)),""))</t>
        </is>
      </c>
      <c r="AG26" s="42" t="inlineStr">
        <is>
          <t>IF(F26="","",IF(OR(AA26="Cancelled",AC26="Cancelled"),"Cancelled",IF(OR(AC26="Completed / Handover",Y26&lt;&gt;"",Z26&gt;=100),"Completed — on track",IF(O26="Not awarded",IF(U26="",IF(X26="","No planned date",IF(TODAY()&gt;X26,"Behind — past planned date",IF(X26-TODAY()&lt;=30,"At risk — close to off track","On track"))),IF(TODAY()&gt;U26,"Behind — award date passed",IF(U26-TODAY()&lt;=30,"At risk — close to off track","On track"))),IF(X26="","No planned date",IF(AND(TODAY()&gt;X26,OR(Z26="",Z26&lt;100)),"Behind — past end date",IF(AND(T26&lt;&gt;"",X26&lt;&gt;"",Z26&lt;&gt;"",(Z26&lt;100),((TODAY()-T26)/MAX(X26-T26,1)*100)-Z26&gt;15),"Behind — progress lag",IF(AND(X26-TODAY()&lt;=30,X26-TODAY()&gt;=0,OR(Z26="",Z26&lt;90)),"At risk — close to off track","On track"))))))))</t>
        </is>
      </c>
      <c r="AH26" s="49" t="inlineStr">
        <is>
          <t>IF(OR(F26="",AC26="Completed / Handover",AC26="Cancelled"),"",IF(O26="Not awarded",IF(U26&lt;&gt;"",U26-TODAY(),IF(X26="","",X26-TODAY())),IF(X26="","",X26-TODAY())))</t>
        </is>
      </c>
      <c r="AI26" s="54" t="n"/>
      <c r="AJ26" s="54" t="n"/>
      <c r="AK26" s="54" t="n"/>
      <c r="AL26" s="54" t="n"/>
      <c r="AM26" s="54" t="n"/>
      <c r="AN26" s="54" t="n"/>
      <c r="AO26" s="54" t="n"/>
      <c r="AP26" s="54" t="n"/>
      <c r="AQ26" s="54" t="n"/>
      <c r="AR26" s="54" t="n"/>
      <c r="AS26" s="54" t="n"/>
      <c r="AT26" s="50" t="n"/>
      <c r="AU26" s="50" t="n"/>
      <c r="AV26" s="50" t="n"/>
      <c r="AW26" s="49" t="inlineStr">
        <is>
          <t>IF(OR(F26="",AJ26=""),"",IF(COUNT(AI26:AI26)=0,"",AJ26-LOOKUP(2,1/(AI26:AI26&lt;&gt;""),AI26:AI26)))</t>
        </is>
      </c>
      <c r="AX26" s="49" t="inlineStr">
        <is>
          <t>IF(OR(F26="",AK26=""),"",IF(COUNT(AI26:AJ26)=0,"",AK26-LOOKUP(2,1/(AI26:AJ26&lt;&gt;""),AI26:AJ26)))</t>
        </is>
      </c>
      <c r="AY26" s="49" t="inlineStr">
        <is>
          <t>IF(OR(F26="",AL26=""),"",IF(COUNT(AI26:AK26)=0,"",AL26-LOOKUP(2,1/(AI26:AK26&lt;&gt;""),AI26:AK26)))</t>
        </is>
      </c>
      <c r="AZ26" s="49" t="inlineStr">
        <is>
          <t>IF(OR(F26="",AM26=""),"",IF(COUNT(AI26:AL26)=0,"",AM26-LOOKUP(2,1/(AI26:AL26&lt;&gt;""),AI26:AL26)))</t>
        </is>
      </c>
      <c r="BA26" s="49" t="inlineStr">
        <is>
          <t>IF(OR(F26="",AN26=""),"",IF(COUNT(AI26:AM26)=0,"",AN26-LOOKUP(2,1/(AI26:AM26&lt;&gt;""),AI26:AM26)))</t>
        </is>
      </c>
      <c r="BB26" s="49" t="inlineStr">
        <is>
          <t>IF(OR(F26="",AO26=""),"",IF(COUNT(AI26:AN26)=0,"",AO26-LOOKUP(2,1/(AI26:AN26&lt;&gt;""),AI26:AN26)))</t>
        </is>
      </c>
      <c r="BC26" s="49" t="inlineStr">
        <is>
          <t>IF(OR(F26="",AP26=""),"",IF(COUNT(AI26:AO26)=0,"",AP26-LOOKUP(2,1/(AI26:AO26&lt;&gt;""),AI26:AO26)))</t>
        </is>
      </c>
      <c r="BD26" s="49" t="inlineStr">
        <is>
          <t>IF(OR(F26="",AQ26=""),"",IF(COUNT(AI26:AP26)=0,"",AQ26-LOOKUP(2,1/(AI26:AP26&lt;&gt;""),AI26:AP26)))</t>
        </is>
      </c>
      <c r="BE26" s="49" t="inlineStr">
        <is>
          <t>IF(OR(F26="",AR26=""),"",IF(COUNT(AI26:AQ26)=0,"",AR26-LOOKUP(2,1/(AI26:AQ26&lt;&gt;""),AI26:AQ26)))</t>
        </is>
      </c>
      <c r="BF26" s="49" t="inlineStr">
        <is>
          <t>IF(OR(F26="",AS26=""),"",IF(COUNT(AI26:AR26)=0,"",AS26-LOOKUP(2,1/(AI26:AR26&lt;&gt;""),AI26:AR26)))</t>
        </is>
      </c>
      <c r="BG26" s="49" t="inlineStr">
        <is>
          <t>IF(OR(F26="",AT26=""),"",IF(COUNT(AI26:AS26)=0,"",AT26-LOOKUP(2,1/(AI26:AS26&lt;&gt;""),AI26:AS26)))</t>
        </is>
      </c>
      <c r="BH26" s="49" t="inlineStr">
        <is>
          <t>IF(OR(F26="",AU26=""),"",IF(COUNT(AI26:AT26)=0,"",AU26-LOOKUP(2,1/(AI26:AT26&lt;&gt;""),AI26:AT26)))</t>
        </is>
      </c>
      <c r="BI26" s="49" t="inlineStr">
        <is>
          <t>IF(OR(F26="",AV26=""),"",IF(COUNT(AI26:AU26)=0,"",AV26-LOOKUP(2,1/(AI26:AU26&lt;&gt;""),AI26:AU26)))</t>
        </is>
      </c>
      <c r="BJ26" s="51" t="inlineStr">
        <is>
          <t>IF(J26="","All_Provinces",IFERROR(VLOOKUP(J26,'09_Lookups'!$A$4:$B$20,2,FALSE),"All_Provinces"))</t>
        </is>
      </c>
      <c r="BK26" s="51" t="inlineStr">
        <is>
          <t>IF(K26="","All_Districts",IFERROR(VLOOKUP(K26,'09_Lookups'!$E$4:$F$42,2,FALSE),"All_Districts"))</t>
        </is>
      </c>
    </row>
    <row r="27" outlineLevel="1" ht="18" customHeight="1">
      <c r="A27" s="42" t="inlineStr">
        <is>
          <t>IF(F27="","",ROW()-3)</t>
        </is>
      </c>
      <c r="B27" s="43" t="inlineStr">
        <is>
          <t>AF2-AGF-ALL</t>
        </is>
      </c>
      <c r="C27" s="43" t="inlineStr">
        <is>
          <t>Agroforestry saplings and seeds 2026/27</t>
        </is>
      </c>
      <c r="D27" s="43" t="inlineStr">
        <is>
          <t>24 of 39</t>
        </is>
      </c>
      <c r="E27" s="44" t="inlineStr">
        <is>
          <t>AF2-AGF-N-024</t>
        </is>
      </c>
      <c r="F27" s="44" t="inlineStr">
        <is>
          <t>Agroforestry — Logar / Azra</t>
        </is>
      </c>
      <c r="G27" s="44" t="inlineStr">
        <is>
          <t>Agroforestry saplings / seeds</t>
        </is>
      </c>
      <c r="H27" s="44" t="inlineStr">
        <is>
          <t>Saplings and seeds</t>
        </is>
      </c>
      <c r="I27" s="44" t="inlineStr">
        <is>
          <t>Emergency Food Security Project (EFSP) – WBK/AF-2</t>
        </is>
      </c>
      <c r="J27" s="44" t="inlineStr">
        <is>
          <t>Southeast / Gardez</t>
        </is>
      </c>
      <c r="K27" s="44" t="inlineStr">
        <is>
          <t>Logar</t>
        </is>
      </c>
      <c r="L27" s="44" t="inlineStr">
        <is>
          <t>Azra</t>
        </is>
      </c>
      <c r="M27" s="44" t="inlineStr">
        <is>
          <t>Saplings: 15000; Seeds kg: 242</t>
        </is>
      </c>
      <c r="N27" s="44" t="inlineStr">
        <is>
          <t>World Bank (WBK/AF-2)</t>
        </is>
      </c>
      <c r="O27" s="44" t="inlineStr">
        <is>
          <t>Not awarded</t>
        </is>
      </c>
      <c r="P27" s="44" t="inlineStr">
        <is>
          <t>7. Agroforestry Saplings-seeds</t>
        </is>
      </c>
      <c r="Q27" s="44" t="inlineStr"/>
      <c r="R27" s="44" t="inlineStr"/>
      <c r="S27" s="45" t="n"/>
      <c r="T27" s="46" t="inlineStr">
        <is>
          <t>IF(AQ27="","",AQ27)</t>
        </is>
      </c>
      <c r="U27" s="47" t="n">
        <v>46142</v>
      </c>
      <c r="V27" s="48" t="n">
        <v>12</v>
      </c>
      <c r="W27" s="47" t="n">
        <v>46478</v>
      </c>
      <c r="X27" s="46" t="inlineStr">
        <is>
          <t>IF(W27&lt;&gt;"",W27,IF(OR(T27="",V27=""),"",EDATE(T27,V27)))</t>
        </is>
      </c>
      <c r="Y27" s="47" t="n"/>
      <c r="Z27" s="48" t="n"/>
      <c r="AA27" s="44" t="inlineStr">
        <is>
          <t>Under Awarding</t>
        </is>
      </c>
      <c r="AB27" s="44" t="inlineStr">
        <is>
          <t>The saplings PO has already been issued and PO for seeds is expected to be issued in November 2026</t>
        </is>
      </c>
      <c r="AC27" s="42" t="inlineStr">
        <is>
          <t>IF(F27="","",IF(COUNT(AI27:AV27)=0,IF(AA27="","Not started",AA27),SUBSTITUTE(LOOKUP(2,1/(AI27:AV27&lt;&gt;""),$AI$3:$AV$3),"Date: ","")))</t>
        </is>
      </c>
      <c r="AD27" s="49" t="inlineStr">
        <is>
          <t>IF(OR(F27="",COUNT(AI27:AV27)=0),"",TODAY()-LOOKUP(2,1/(AI27:AV27&lt;&gt;""),AI27:AV27))</t>
        </is>
      </c>
      <c r="AE27" s="49" t="inlineStr">
        <is>
          <t>IF(OR(F27="",COUNT(AI27:AV27)&lt;2),"",LOOKUP(2,1/(AI27:AV27&lt;&gt;""),AI27:AV27)-MIN(AI27:AV27))</t>
        </is>
      </c>
      <c r="AF27" s="49" t="inlineStr">
        <is>
          <t>IF(OR(AD27="",AC27="Not started",AC27=""),"",IFERROR(AD27-IF(VLOOKUP(AC27,'06_Status_Pipeline'!$B$3:$E$20,4,FALSE)="",0,VLOOKUP(AC27,'06_Status_Pipeline'!$B$3:$E$20,4,FALSE)),""))</t>
        </is>
      </c>
      <c r="AG27" s="42" t="inlineStr">
        <is>
          <t>IF(F27="","",IF(OR(AA27="Cancelled",AC27="Cancelled"),"Cancelled",IF(OR(AC27="Completed / Handover",Y27&lt;&gt;"",Z27&gt;=100),"Completed — on track",IF(O27="Not awarded",IF(U27="",IF(X27="","No planned date",IF(TODAY()&gt;X27,"Behind — past planned date",IF(X27-TODAY()&lt;=30,"At risk — close to off track","On track"))),IF(TODAY()&gt;U27,"Behind — award date passed",IF(U27-TODAY()&lt;=30,"At risk — close to off track","On track"))),IF(X27="","No planned date",IF(AND(TODAY()&gt;X27,OR(Z27="",Z27&lt;100)),"Behind — past end date",IF(AND(T27&lt;&gt;"",X27&lt;&gt;"",Z27&lt;&gt;"",(Z27&lt;100),((TODAY()-T27)/MAX(X27-T27,1)*100)-Z27&gt;15),"Behind — progress lag",IF(AND(X27-TODAY()&lt;=30,X27-TODAY()&gt;=0,OR(Z27="",Z27&lt;90)),"At risk — close to off track","On track"))))))))</t>
        </is>
      </c>
      <c r="AH27" s="49" t="inlineStr">
        <is>
          <t>IF(OR(F27="",AC27="Completed / Handover",AC27="Cancelled"),"",IF(O27="Not awarded",IF(U27&lt;&gt;"",U27-TODAY(),IF(X27="","",X27-TODAY())),IF(X27="","",X27-TODAY())))</t>
        </is>
      </c>
      <c r="AI27" s="47" t="n"/>
      <c r="AJ27" s="47" t="n"/>
      <c r="AK27" s="47" t="n"/>
      <c r="AL27" s="47" t="n"/>
      <c r="AM27" s="47" t="n"/>
      <c r="AN27" s="47" t="n"/>
      <c r="AO27" s="47" t="n"/>
      <c r="AP27" s="47" t="n"/>
      <c r="AQ27" s="47" t="n"/>
      <c r="AR27" s="47" t="n"/>
      <c r="AS27" s="47" t="n"/>
      <c r="AT27" s="50" t="n"/>
      <c r="AU27" s="50" t="n"/>
      <c r="AV27" s="50" t="n"/>
      <c r="AW27" s="49" t="inlineStr">
        <is>
          <t>IF(OR(F27="",AJ27=""),"",IF(COUNT(AI27:AI27)=0,"",AJ27-LOOKUP(2,1/(AI27:AI27&lt;&gt;""),AI27:AI27)))</t>
        </is>
      </c>
      <c r="AX27" s="49" t="inlineStr">
        <is>
          <t>IF(OR(F27="",AK27=""),"",IF(COUNT(AI27:AJ27)=0,"",AK27-LOOKUP(2,1/(AI27:AJ27&lt;&gt;""),AI27:AJ27)))</t>
        </is>
      </c>
      <c r="AY27" s="49" t="inlineStr">
        <is>
          <t>IF(OR(F27="",AL27=""),"",IF(COUNT(AI27:AK27)=0,"",AL27-LOOKUP(2,1/(AI27:AK27&lt;&gt;""),AI27:AK27)))</t>
        </is>
      </c>
      <c r="AZ27" s="49" t="inlineStr">
        <is>
          <t>IF(OR(F27="",AM27=""),"",IF(COUNT(AI27:AL27)=0,"",AM27-LOOKUP(2,1/(AI27:AL27&lt;&gt;""),AI27:AL27)))</t>
        </is>
      </c>
      <c r="BA27" s="49" t="inlineStr">
        <is>
          <t>IF(OR(F27="",AN27=""),"",IF(COUNT(AI27:AM27)=0,"",AN27-LOOKUP(2,1/(AI27:AM27&lt;&gt;""),AI27:AM27)))</t>
        </is>
      </c>
      <c r="BB27" s="49" t="inlineStr">
        <is>
          <t>IF(OR(F27="",AO27=""),"",IF(COUNT(AI27:AN27)=0,"",AO27-LOOKUP(2,1/(AI27:AN27&lt;&gt;""),AI27:AN27)))</t>
        </is>
      </c>
      <c r="BC27" s="49" t="inlineStr">
        <is>
          <t>IF(OR(F27="",AP27=""),"",IF(COUNT(AI27:AO27)=0,"",AP27-LOOKUP(2,1/(AI27:AO27&lt;&gt;""),AI27:AO27)))</t>
        </is>
      </c>
      <c r="BD27" s="49" t="inlineStr">
        <is>
          <t>IF(OR(F27="",AQ27=""),"",IF(COUNT(AI27:AP27)=0,"",AQ27-LOOKUP(2,1/(AI27:AP27&lt;&gt;""),AI27:AP27)))</t>
        </is>
      </c>
      <c r="BE27" s="49" t="inlineStr">
        <is>
          <t>IF(OR(F27="",AR27=""),"",IF(COUNT(AI27:AQ27)=0,"",AR27-LOOKUP(2,1/(AI27:AQ27&lt;&gt;""),AI27:AQ27)))</t>
        </is>
      </c>
      <c r="BF27" s="49" t="inlineStr">
        <is>
          <t>IF(OR(F27="",AS27=""),"",IF(COUNT(AI27:AR27)=0,"",AS27-LOOKUP(2,1/(AI27:AR27&lt;&gt;""),AI27:AR27)))</t>
        </is>
      </c>
      <c r="BG27" s="49" t="inlineStr">
        <is>
          <t>IF(OR(F27="",AT27=""),"",IF(COUNT(AI27:AS27)=0,"",AT27-LOOKUP(2,1/(AI27:AS27&lt;&gt;""),AI27:AS27)))</t>
        </is>
      </c>
      <c r="BH27" s="49" t="inlineStr">
        <is>
          <t>IF(OR(F27="",AU27=""),"",IF(COUNT(AI27:AT27)=0,"",AU27-LOOKUP(2,1/(AI27:AT27&lt;&gt;""),AI27:AT27)))</t>
        </is>
      </c>
      <c r="BI27" s="49" t="inlineStr">
        <is>
          <t>IF(OR(F27="",AV27=""),"",IF(COUNT(AI27:AU27)=0,"",AV27-LOOKUP(2,1/(AI27:AU27&lt;&gt;""),AI27:AU27)))</t>
        </is>
      </c>
      <c r="BJ27" s="51" t="inlineStr">
        <is>
          <t>IF(J27="","All_Provinces",IFERROR(VLOOKUP(J27,'09_Lookups'!$A$4:$B$20,2,FALSE),"All_Provinces"))</t>
        </is>
      </c>
      <c r="BK27" s="51" t="inlineStr">
        <is>
          <t>IF(K27="","All_Districts",IFERROR(VLOOKUP(K27,'09_Lookups'!$E$4:$F$42,2,FALSE),"All_Districts"))</t>
        </is>
      </c>
    </row>
    <row r="28" outlineLevel="1" ht="18" customHeight="1">
      <c r="A28" s="42" t="inlineStr">
        <is>
          <t>IF(F28="","",ROW()-3)</t>
        </is>
      </c>
      <c r="B28" s="43" t="inlineStr">
        <is>
          <t>AF2-AGF-ALL</t>
        </is>
      </c>
      <c r="C28" s="43" t="inlineStr">
        <is>
          <t>Agroforestry saplings and seeds 2026/27</t>
        </is>
      </c>
      <c r="D28" s="43" t="inlineStr">
        <is>
          <t>25 of 39</t>
        </is>
      </c>
      <c r="E28" s="52" t="inlineStr">
        <is>
          <t>AF2-AGF-N-025</t>
        </is>
      </c>
      <c r="F28" s="52" t="inlineStr">
        <is>
          <t>Agroforestry — Nangarhar / Pachiragam</t>
        </is>
      </c>
      <c r="G28" s="52" t="inlineStr">
        <is>
          <t>Agroforestry saplings / seeds</t>
        </is>
      </c>
      <c r="H28" s="52" t="inlineStr">
        <is>
          <t>Saplings and seeds</t>
        </is>
      </c>
      <c r="I28" s="52" t="inlineStr">
        <is>
          <t>Emergency Food Security Project (EFSP) – WBK/AF-2</t>
        </is>
      </c>
      <c r="J28" s="52" t="inlineStr">
        <is>
          <t>East / Jalalabad</t>
        </is>
      </c>
      <c r="K28" s="52" t="inlineStr">
        <is>
          <t>Nangarhar</t>
        </is>
      </c>
      <c r="L28" s="52" t="inlineStr">
        <is>
          <t>Pachiragam</t>
        </is>
      </c>
      <c r="M28" s="52" t="inlineStr">
        <is>
          <t>Saplings: 11792; Seeds kg: 442</t>
        </is>
      </c>
      <c r="N28" s="52" t="inlineStr">
        <is>
          <t>World Bank (WBK/AF-2)</t>
        </is>
      </c>
      <c r="O28" s="52" t="inlineStr">
        <is>
          <t>Not awarded</t>
        </is>
      </c>
      <c r="P28" s="52" t="inlineStr">
        <is>
          <t>7. Agroforestry Saplings-seeds</t>
        </is>
      </c>
      <c r="Q28" s="52" t="inlineStr"/>
      <c r="R28" s="52" t="inlineStr"/>
      <c r="S28" s="53" t="n"/>
      <c r="T28" s="46" t="inlineStr">
        <is>
          <t>IF(AQ28="","",AQ28)</t>
        </is>
      </c>
      <c r="U28" s="54" t="n">
        <v>46142</v>
      </c>
      <c r="V28" s="55" t="n">
        <v>12</v>
      </c>
      <c r="W28" s="54" t="n">
        <v>46478</v>
      </c>
      <c r="X28" s="46" t="inlineStr">
        <is>
          <t>IF(W28&lt;&gt;"",W28,IF(OR(T28="",V28=""),"",EDATE(T28,V28)))</t>
        </is>
      </c>
      <c r="Y28" s="54" t="n"/>
      <c r="Z28" s="55" t="n"/>
      <c r="AA28" s="52" t="inlineStr">
        <is>
          <t>Under Awarding</t>
        </is>
      </c>
      <c r="AB28" s="52" t="inlineStr">
        <is>
          <t>The saplings PO has already been issued and PO for seeds is expected to be issued in November 2026</t>
        </is>
      </c>
      <c r="AC28" s="42" t="inlineStr">
        <is>
          <t>IF(F28="","",IF(COUNT(AI28:AV28)=0,IF(AA28="","Not started",AA28),SUBSTITUTE(LOOKUP(2,1/(AI28:AV28&lt;&gt;""),$AI$3:$AV$3),"Date: ","")))</t>
        </is>
      </c>
      <c r="AD28" s="49" t="inlineStr">
        <is>
          <t>IF(OR(F28="",COUNT(AI28:AV28)=0),"",TODAY()-LOOKUP(2,1/(AI28:AV28&lt;&gt;""),AI28:AV28))</t>
        </is>
      </c>
      <c r="AE28" s="49" t="inlineStr">
        <is>
          <t>IF(OR(F28="",COUNT(AI28:AV28)&lt;2),"",LOOKUP(2,1/(AI28:AV28&lt;&gt;""),AI28:AV28)-MIN(AI28:AV28))</t>
        </is>
      </c>
      <c r="AF28" s="49" t="inlineStr">
        <is>
          <t>IF(OR(AD28="",AC28="Not started",AC28=""),"",IFERROR(AD28-IF(VLOOKUP(AC28,'06_Status_Pipeline'!$B$3:$E$20,4,FALSE)="",0,VLOOKUP(AC28,'06_Status_Pipeline'!$B$3:$E$20,4,FALSE)),""))</t>
        </is>
      </c>
      <c r="AG28" s="42" t="inlineStr">
        <is>
          <t>IF(F28="","",IF(OR(AA28="Cancelled",AC28="Cancelled"),"Cancelled",IF(OR(AC28="Completed / Handover",Y28&lt;&gt;"",Z28&gt;=100),"Completed — on track",IF(O28="Not awarded",IF(U28="",IF(X28="","No planned date",IF(TODAY()&gt;X28,"Behind — past planned date",IF(X28-TODAY()&lt;=30,"At risk — close to off track","On track"))),IF(TODAY()&gt;U28,"Behind — award date passed",IF(U28-TODAY()&lt;=30,"At risk — close to off track","On track"))),IF(X28="","No planned date",IF(AND(TODAY()&gt;X28,OR(Z28="",Z28&lt;100)),"Behind — past end date",IF(AND(T28&lt;&gt;"",X28&lt;&gt;"",Z28&lt;&gt;"",(Z28&lt;100),((TODAY()-T28)/MAX(X28-T28,1)*100)-Z28&gt;15),"Behind — progress lag",IF(AND(X28-TODAY()&lt;=30,X28-TODAY()&gt;=0,OR(Z28="",Z28&lt;90)),"At risk — close to off track","On track"))))))))</t>
        </is>
      </c>
      <c r="AH28" s="49" t="inlineStr">
        <is>
          <t>IF(OR(F28="",AC28="Completed / Handover",AC28="Cancelled"),"",IF(O28="Not awarded",IF(U28&lt;&gt;"",U28-TODAY(),IF(X28="","",X28-TODAY())),IF(X28="","",X28-TODAY())))</t>
        </is>
      </c>
      <c r="AI28" s="54" t="n"/>
      <c r="AJ28" s="54" t="n"/>
      <c r="AK28" s="54" t="n"/>
      <c r="AL28" s="54" t="n"/>
      <c r="AM28" s="54" t="n"/>
      <c r="AN28" s="54" t="n"/>
      <c r="AO28" s="54" t="n"/>
      <c r="AP28" s="54" t="n"/>
      <c r="AQ28" s="54" t="n"/>
      <c r="AR28" s="54" t="n"/>
      <c r="AS28" s="54" t="n"/>
      <c r="AT28" s="50" t="n"/>
      <c r="AU28" s="50" t="n"/>
      <c r="AV28" s="50" t="n"/>
      <c r="AW28" s="49" t="inlineStr">
        <is>
          <t>IF(OR(F28="",AJ28=""),"",IF(COUNT(AI28:AI28)=0,"",AJ28-LOOKUP(2,1/(AI28:AI28&lt;&gt;""),AI28:AI28)))</t>
        </is>
      </c>
      <c r="AX28" s="49" t="inlineStr">
        <is>
          <t>IF(OR(F28="",AK28=""),"",IF(COUNT(AI28:AJ28)=0,"",AK28-LOOKUP(2,1/(AI28:AJ28&lt;&gt;""),AI28:AJ28)))</t>
        </is>
      </c>
      <c r="AY28" s="49" t="inlineStr">
        <is>
          <t>IF(OR(F28="",AL28=""),"",IF(COUNT(AI28:AK28)=0,"",AL28-LOOKUP(2,1/(AI28:AK28&lt;&gt;""),AI28:AK28)))</t>
        </is>
      </c>
      <c r="AZ28" s="49" t="inlineStr">
        <is>
          <t>IF(OR(F28="",AM28=""),"",IF(COUNT(AI28:AL28)=0,"",AM28-LOOKUP(2,1/(AI28:AL28&lt;&gt;""),AI28:AL28)))</t>
        </is>
      </c>
      <c r="BA28" s="49" t="inlineStr">
        <is>
          <t>IF(OR(F28="",AN28=""),"",IF(COUNT(AI28:AM28)=0,"",AN28-LOOKUP(2,1/(AI28:AM28&lt;&gt;""),AI28:AM28)))</t>
        </is>
      </c>
      <c r="BB28" s="49" t="inlineStr">
        <is>
          <t>IF(OR(F28="",AO28=""),"",IF(COUNT(AI28:AN28)=0,"",AO28-LOOKUP(2,1/(AI28:AN28&lt;&gt;""),AI28:AN28)))</t>
        </is>
      </c>
      <c r="BC28" s="49" t="inlineStr">
        <is>
          <t>IF(OR(F28="",AP28=""),"",IF(COUNT(AI28:AO28)=0,"",AP28-LOOKUP(2,1/(AI28:AO28&lt;&gt;""),AI28:AO28)))</t>
        </is>
      </c>
      <c r="BD28" s="49" t="inlineStr">
        <is>
          <t>IF(OR(F28="",AQ28=""),"",IF(COUNT(AI28:AP28)=0,"",AQ28-LOOKUP(2,1/(AI28:AP28&lt;&gt;""),AI28:AP28)))</t>
        </is>
      </c>
      <c r="BE28" s="49" t="inlineStr">
        <is>
          <t>IF(OR(F28="",AR28=""),"",IF(COUNT(AI28:AQ28)=0,"",AR28-LOOKUP(2,1/(AI28:AQ28&lt;&gt;""),AI28:AQ28)))</t>
        </is>
      </c>
      <c r="BF28" s="49" t="inlineStr">
        <is>
          <t>IF(OR(F28="",AS28=""),"",IF(COUNT(AI28:AR28)=0,"",AS28-LOOKUP(2,1/(AI28:AR28&lt;&gt;""),AI28:AR28)))</t>
        </is>
      </c>
      <c r="BG28" s="49" t="inlineStr">
        <is>
          <t>IF(OR(F28="",AT28=""),"",IF(COUNT(AI28:AS28)=0,"",AT28-LOOKUP(2,1/(AI28:AS28&lt;&gt;""),AI28:AS28)))</t>
        </is>
      </c>
      <c r="BH28" s="49" t="inlineStr">
        <is>
          <t>IF(OR(F28="",AU28=""),"",IF(COUNT(AI28:AT28)=0,"",AU28-LOOKUP(2,1/(AI28:AT28&lt;&gt;""),AI28:AT28)))</t>
        </is>
      </c>
      <c r="BI28" s="49" t="inlineStr">
        <is>
          <t>IF(OR(F28="",AV28=""),"",IF(COUNT(AI28:AU28)=0,"",AV28-LOOKUP(2,1/(AI28:AU28&lt;&gt;""),AI28:AU28)))</t>
        </is>
      </c>
      <c r="BJ28" s="51" t="inlineStr">
        <is>
          <t>IF(J28="","All_Provinces",IFERROR(VLOOKUP(J28,'09_Lookups'!$A$4:$B$20,2,FALSE),"All_Provinces"))</t>
        </is>
      </c>
      <c r="BK28" s="51" t="inlineStr">
        <is>
          <t>IF(K28="","All_Districts",IFERROR(VLOOKUP(K28,'09_Lookups'!$E$4:$F$42,2,FALSE),"All_Districts"))</t>
        </is>
      </c>
    </row>
    <row r="29" outlineLevel="1" ht="18" customHeight="1">
      <c r="A29" s="42" t="inlineStr">
        <is>
          <t>IF(F29="","",ROW()-3)</t>
        </is>
      </c>
      <c r="B29" s="43" t="inlineStr">
        <is>
          <t>AF2-AGF-ALL</t>
        </is>
      </c>
      <c r="C29" s="43" t="inlineStr">
        <is>
          <t>Agroforestry saplings and seeds 2026/27</t>
        </is>
      </c>
      <c r="D29" s="43" t="inlineStr">
        <is>
          <t>26 of 39</t>
        </is>
      </c>
      <c r="E29" s="44" t="inlineStr">
        <is>
          <t>AF2-AGF-N-026</t>
        </is>
      </c>
      <c r="F29" s="44" t="inlineStr">
        <is>
          <t>Agroforestry — Nuristan / Kamdish</t>
        </is>
      </c>
      <c r="G29" s="44" t="inlineStr">
        <is>
          <t>Agroforestry saplings / seeds</t>
        </is>
      </c>
      <c r="H29" s="44" t="inlineStr">
        <is>
          <t>Saplings and seeds</t>
        </is>
      </c>
      <c r="I29" s="44" t="inlineStr">
        <is>
          <t>Emergency Food Security Project (EFSP) – WBK/AF-2</t>
        </is>
      </c>
      <c r="J29" s="44" t="inlineStr">
        <is>
          <t>East / Jalalabad</t>
        </is>
      </c>
      <c r="K29" s="44" t="inlineStr">
        <is>
          <t>Nuristan</t>
        </is>
      </c>
      <c r="L29" s="44" t="inlineStr">
        <is>
          <t>Kamdish</t>
        </is>
      </c>
      <c r="M29" s="44" t="inlineStr">
        <is>
          <t>Saplings: 24152; Seeds kg: 234</t>
        </is>
      </c>
      <c r="N29" s="44" t="inlineStr">
        <is>
          <t>World Bank (WBK/AF-2)</t>
        </is>
      </c>
      <c r="O29" s="44" t="inlineStr">
        <is>
          <t>Not awarded</t>
        </is>
      </c>
      <c r="P29" s="44" t="inlineStr">
        <is>
          <t>7. Agroforestry Saplings-seeds</t>
        </is>
      </c>
      <c r="Q29" s="44" t="inlineStr"/>
      <c r="R29" s="44" t="inlineStr"/>
      <c r="S29" s="45" t="n"/>
      <c r="T29" s="46" t="inlineStr">
        <is>
          <t>IF(AQ29="","",AQ29)</t>
        </is>
      </c>
      <c r="U29" s="47" t="n">
        <v>46142</v>
      </c>
      <c r="V29" s="48" t="n">
        <v>12</v>
      </c>
      <c r="W29" s="47" t="n">
        <v>46478</v>
      </c>
      <c r="X29" s="46" t="inlineStr">
        <is>
          <t>IF(W29&lt;&gt;"",W29,IF(OR(T29="",V29=""),"",EDATE(T29,V29)))</t>
        </is>
      </c>
      <c r="Y29" s="47" t="n"/>
      <c r="Z29" s="48" t="n"/>
      <c r="AA29" s="44" t="inlineStr">
        <is>
          <t>Under Awarding</t>
        </is>
      </c>
      <c r="AB29" s="44" t="inlineStr">
        <is>
          <t>The saplings PO has already been issued and PO for seeds is expected to be issued in November 2026</t>
        </is>
      </c>
      <c r="AC29" s="42" t="inlineStr">
        <is>
          <t>IF(F29="","",IF(COUNT(AI29:AV29)=0,IF(AA29="","Not started",AA29),SUBSTITUTE(LOOKUP(2,1/(AI29:AV29&lt;&gt;""),$AI$3:$AV$3),"Date: ","")))</t>
        </is>
      </c>
      <c r="AD29" s="49" t="inlineStr">
        <is>
          <t>IF(OR(F29="",COUNT(AI29:AV29)=0),"",TODAY()-LOOKUP(2,1/(AI29:AV29&lt;&gt;""),AI29:AV29))</t>
        </is>
      </c>
      <c r="AE29" s="49" t="inlineStr">
        <is>
          <t>IF(OR(F29="",COUNT(AI29:AV29)&lt;2),"",LOOKUP(2,1/(AI29:AV29&lt;&gt;""),AI29:AV29)-MIN(AI29:AV29))</t>
        </is>
      </c>
      <c r="AF29" s="49" t="inlineStr">
        <is>
          <t>IF(OR(AD29="",AC29="Not started",AC29=""),"",IFERROR(AD29-IF(VLOOKUP(AC29,'06_Status_Pipeline'!$B$3:$E$20,4,FALSE)="",0,VLOOKUP(AC29,'06_Status_Pipeline'!$B$3:$E$20,4,FALSE)),""))</t>
        </is>
      </c>
      <c r="AG29" s="42" t="inlineStr">
        <is>
          <t>IF(F29="","",IF(OR(AA29="Cancelled",AC29="Cancelled"),"Cancelled",IF(OR(AC29="Completed / Handover",Y29&lt;&gt;"",Z29&gt;=100),"Completed — on track",IF(O29="Not awarded",IF(U29="",IF(X29="","No planned date",IF(TODAY()&gt;X29,"Behind — past planned date",IF(X29-TODAY()&lt;=30,"At risk — close to off track","On track"))),IF(TODAY()&gt;U29,"Behind — award date passed",IF(U29-TODAY()&lt;=30,"At risk — close to off track","On track"))),IF(X29="","No planned date",IF(AND(TODAY()&gt;X29,OR(Z29="",Z29&lt;100)),"Behind — past end date",IF(AND(T29&lt;&gt;"",X29&lt;&gt;"",Z29&lt;&gt;"",(Z29&lt;100),((TODAY()-T29)/MAX(X29-T29,1)*100)-Z29&gt;15),"Behind — progress lag",IF(AND(X29-TODAY()&lt;=30,X29-TODAY()&gt;=0,OR(Z29="",Z29&lt;90)),"At risk — close to off track","On track"))))))))</t>
        </is>
      </c>
      <c r="AH29" s="49" t="inlineStr">
        <is>
          <t>IF(OR(F29="",AC29="Completed / Handover",AC29="Cancelled"),"",IF(O29="Not awarded",IF(U29&lt;&gt;"",U29-TODAY(),IF(X29="","",X29-TODAY())),IF(X29="","",X29-TODAY())))</t>
        </is>
      </c>
      <c r="AI29" s="47" t="n"/>
      <c r="AJ29" s="47" t="n"/>
      <c r="AK29" s="47" t="n"/>
      <c r="AL29" s="47" t="n"/>
      <c r="AM29" s="47" t="n"/>
      <c r="AN29" s="47" t="n"/>
      <c r="AO29" s="47" t="n"/>
      <c r="AP29" s="47" t="n"/>
      <c r="AQ29" s="47" t="n"/>
      <c r="AR29" s="47" t="n"/>
      <c r="AS29" s="47" t="n"/>
      <c r="AT29" s="50" t="n"/>
      <c r="AU29" s="50" t="n"/>
      <c r="AV29" s="50" t="n"/>
      <c r="AW29" s="49" t="inlineStr">
        <is>
          <t>IF(OR(F29="",AJ29=""),"",IF(COUNT(AI29:AI29)=0,"",AJ29-LOOKUP(2,1/(AI29:AI29&lt;&gt;""),AI29:AI29)))</t>
        </is>
      </c>
      <c r="AX29" s="49" t="inlineStr">
        <is>
          <t>IF(OR(F29="",AK29=""),"",IF(COUNT(AI29:AJ29)=0,"",AK29-LOOKUP(2,1/(AI29:AJ29&lt;&gt;""),AI29:AJ29)))</t>
        </is>
      </c>
      <c r="AY29" s="49" t="inlineStr">
        <is>
          <t>IF(OR(F29="",AL29=""),"",IF(COUNT(AI29:AK29)=0,"",AL29-LOOKUP(2,1/(AI29:AK29&lt;&gt;""),AI29:AK29)))</t>
        </is>
      </c>
      <c r="AZ29" s="49" t="inlineStr">
        <is>
          <t>IF(OR(F29="",AM29=""),"",IF(COUNT(AI29:AL29)=0,"",AM29-LOOKUP(2,1/(AI29:AL29&lt;&gt;""),AI29:AL29)))</t>
        </is>
      </c>
      <c r="BA29" s="49" t="inlineStr">
        <is>
          <t>IF(OR(F29="",AN29=""),"",IF(COUNT(AI29:AM29)=0,"",AN29-LOOKUP(2,1/(AI29:AM29&lt;&gt;""),AI29:AM29)))</t>
        </is>
      </c>
      <c r="BB29" s="49" t="inlineStr">
        <is>
          <t>IF(OR(F29="",AO29=""),"",IF(COUNT(AI29:AN29)=0,"",AO29-LOOKUP(2,1/(AI29:AN29&lt;&gt;""),AI29:AN29)))</t>
        </is>
      </c>
      <c r="BC29" s="49" t="inlineStr">
        <is>
          <t>IF(OR(F29="",AP29=""),"",IF(COUNT(AI29:AO29)=0,"",AP29-LOOKUP(2,1/(AI29:AO29&lt;&gt;""),AI29:AO29)))</t>
        </is>
      </c>
      <c r="BD29" s="49" t="inlineStr">
        <is>
          <t>IF(OR(F29="",AQ29=""),"",IF(COUNT(AI29:AP29)=0,"",AQ29-LOOKUP(2,1/(AI29:AP29&lt;&gt;""),AI29:AP29)))</t>
        </is>
      </c>
      <c r="BE29" s="49" t="inlineStr">
        <is>
          <t>IF(OR(F29="",AR29=""),"",IF(COUNT(AI29:AQ29)=0,"",AR29-LOOKUP(2,1/(AI29:AQ29&lt;&gt;""),AI29:AQ29)))</t>
        </is>
      </c>
      <c r="BF29" s="49" t="inlineStr">
        <is>
          <t>IF(OR(F29="",AS29=""),"",IF(COUNT(AI29:AR29)=0,"",AS29-LOOKUP(2,1/(AI29:AR29&lt;&gt;""),AI29:AR29)))</t>
        </is>
      </c>
      <c r="BG29" s="49" t="inlineStr">
        <is>
          <t>IF(OR(F29="",AT29=""),"",IF(COUNT(AI29:AS29)=0,"",AT29-LOOKUP(2,1/(AI29:AS29&lt;&gt;""),AI29:AS29)))</t>
        </is>
      </c>
      <c r="BH29" s="49" t="inlineStr">
        <is>
          <t>IF(OR(F29="",AU29=""),"",IF(COUNT(AI29:AT29)=0,"",AU29-LOOKUP(2,1/(AI29:AT29&lt;&gt;""),AI29:AT29)))</t>
        </is>
      </c>
      <c r="BI29" s="49" t="inlineStr">
        <is>
          <t>IF(OR(F29="",AV29=""),"",IF(COUNT(AI29:AU29)=0,"",AV29-LOOKUP(2,1/(AI29:AU29&lt;&gt;""),AI29:AU29)))</t>
        </is>
      </c>
      <c r="BJ29" s="51" t="inlineStr">
        <is>
          <t>IF(J29="","All_Provinces",IFERROR(VLOOKUP(J29,'09_Lookups'!$A$4:$B$20,2,FALSE),"All_Provinces"))</t>
        </is>
      </c>
      <c r="BK29" s="51" t="inlineStr">
        <is>
          <t>IF(K29="","All_Districts",IFERROR(VLOOKUP(K29,'09_Lookups'!$E$4:$F$42,2,FALSE),"All_Districts"))</t>
        </is>
      </c>
    </row>
    <row r="30" outlineLevel="1" ht="18" customHeight="1">
      <c r="A30" s="42" t="inlineStr">
        <is>
          <t>IF(F30="","",ROW()-3)</t>
        </is>
      </c>
      <c r="B30" s="43" t="inlineStr">
        <is>
          <t>AF2-AGF-ALL</t>
        </is>
      </c>
      <c r="C30" s="43" t="inlineStr">
        <is>
          <t>Agroforestry saplings and seeds 2026/27</t>
        </is>
      </c>
      <c r="D30" s="43" t="inlineStr">
        <is>
          <t>27 of 39</t>
        </is>
      </c>
      <c r="E30" s="52" t="inlineStr">
        <is>
          <t>AF2-AGF-N-027</t>
        </is>
      </c>
      <c r="F30" s="52" t="inlineStr">
        <is>
          <t>Agroforestry — Oruzgan / Tarinkot</t>
        </is>
      </c>
      <c r="G30" s="52" t="inlineStr">
        <is>
          <t>Agroforestry saplings / seeds</t>
        </is>
      </c>
      <c r="H30" s="52" t="inlineStr">
        <is>
          <t>Saplings and seeds</t>
        </is>
      </c>
      <c r="I30" s="52" t="inlineStr">
        <is>
          <t>Emergency Food Security Project (EFSP) – WBK/AF-2</t>
        </is>
      </c>
      <c r="J30" s="52" t="inlineStr">
        <is>
          <t>South / Kandahar</t>
        </is>
      </c>
      <c r="K30" s="52" t="inlineStr">
        <is>
          <t>Oruzgan</t>
        </is>
      </c>
      <c r="L30" s="52" t="inlineStr">
        <is>
          <t>Tarinkot</t>
        </is>
      </c>
      <c r="M30" s="52" t="inlineStr">
        <is>
          <t>Saplings: 9968; Seeds kg: 388</t>
        </is>
      </c>
      <c r="N30" s="52" t="inlineStr">
        <is>
          <t>World Bank (WBK/AF-2)</t>
        </is>
      </c>
      <c r="O30" s="52" t="inlineStr">
        <is>
          <t>Not awarded</t>
        </is>
      </c>
      <c r="P30" s="52" t="inlineStr">
        <is>
          <t>7. Agroforestry Saplings-seeds</t>
        </is>
      </c>
      <c r="Q30" s="52" t="inlineStr"/>
      <c r="R30" s="52" t="inlineStr"/>
      <c r="S30" s="53" t="n"/>
      <c r="T30" s="46" t="inlineStr">
        <is>
          <t>IF(AQ30="","",AQ30)</t>
        </is>
      </c>
      <c r="U30" s="54" t="n">
        <v>46142</v>
      </c>
      <c r="V30" s="55" t="n">
        <v>12</v>
      </c>
      <c r="W30" s="54" t="n">
        <v>46478</v>
      </c>
      <c r="X30" s="46" t="inlineStr">
        <is>
          <t>IF(W30&lt;&gt;"",W30,IF(OR(T30="",V30=""),"",EDATE(T30,V30)))</t>
        </is>
      </c>
      <c r="Y30" s="54" t="n"/>
      <c r="Z30" s="55" t="n"/>
      <c r="AA30" s="52" t="inlineStr">
        <is>
          <t>Under Awarding</t>
        </is>
      </c>
      <c r="AB30" s="52" t="inlineStr">
        <is>
          <t>The saplings PO has already been issued and PO for seeds is expected to be issued in November 2026</t>
        </is>
      </c>
      <c r="AC30" s="42" t="inlineStr">
        <is>
          <t>IF(F30="","",IF(COUNT(AI30:AV30)=0,IF(AA30="","Not started",AA30),SUBSTITUTE(LOOKUP(2,1/(AI30:AV30&lt;&gt;""),$AI$3:$AV$3),"Date: ","")))</t>
        </is>
      </c>
      <c r="AD30" s="49" t="inlineStr">
        <is>
          <t>IF(OR(F30="",COUNT(AI30:AV30)=0),"",TODAY()-LOOKUP(2,1/(AI30:AV30&lt;&gt;""),AI30:AV30))</t>
        </is>
      </c>
      <c r="AE30" s="49" t="inlineStr">
        <is>
          <t>IF(OR(F30="",COUNT(AI30:AV30)&lt;2),"",LOOKUP(2,1/(AI30:AV30&lt;&gt;""),AI30:AV30)-MIN(AI30:AV30))</t>
        </is>
      </c>
      <c r="AF30" s="49" t="inlineStr">
        <is>
          <t>IF(OR(AD30="",AC30="Not started",AC30=""),"",IFERROR(AD30-IF(VLOOKUP(AC30,'06_Status_Pipeline'!$B$3:$E$20,4,FALSE)="",0,VLOOKUP(AC30,'06_Status_Pipeline'!$B$3:$E$20,4,FALSE)),""))</t>
        </is>
      </c>
      <c r="AG30" s="42" t="inlineStr">
        <is>
          <t>IF(F30="","",IF(OR(AA30="Cancelled",AC30="Cancelled"),"Cancelled",IF(OR(AC30="Completed / Handover",Y30&lt;&gt;"",Z30&gt;=100),"Completed — on track",IF(O30="Not awarded",IF(U30="",IF(X30="","No planned date",IF(TODAY()&gt;X30,"Behind — past planned date",IF(X30-TODAY()&lt;=30,"At risk — close to off track","On track"))),IF(TODAY()&gt;U30,"Behind — award date passed",IF(U30-TODAY()&lt;=30,"At risk — close to off track","On track"))),IF(X30="","No planned date",IF(AND(TODAY()&gt;X30,OR(Z30="",Z30&lt;100)),"Behind — past end date",IF(AND(T30&lt;&gt;"",X30&lt;&gt;"",Z30&lt;&gt;"",(Z30&lt;100),((TODAY()-T30)/MAX(X30-T30,1)*100)-Z30&gt;15),"Behind — progress lag",IF(AND(X30-TODAY()&lt;=30,X30-TODAY()&gt;=0,OR(Z30="",Z30&lt;90)),"At risk — close to off track","On track"))))))))</t>
        </is>
      </c>
      <c r="AH30" s="49" t="inlineStr">
        <is>
          <t>IF(OR(F30="",AC30="Completed / Handover",AC30="Cancelled"),"",IF(O30="Not awarded",IF(U30&lt;&gt;"",U30-TODAY(),IF(X30="","",X30-TODAY())),IF(X30="","",X30-TODAY())))</t>
        </is>
      </c>
      <c r="AI30" s="54" t="n"/>
      <c r="AJ30" s="54" t="n"/>
      <c r="AK30" s="54" t="n"/>
      <c r="AL30" s="54" t="n"/>
      <c r="AM30" s="54" t="n"/>
      <c r="AN30" s="54" t="n"/>
      <c r="AO30" s="54" t="n"/>
      <c r="AP30" s="54" t="n"/>
      <c r="AQ30" s="54" t="n"/>
      <c r="AR30" s="54" t="n"/>
      <c r="AS30" s="54" t="n"/>
      <c r="AT30" s="50" t="n"/>
      <c r="AU30" s="50" t="n"/>
      <c r="AV30" s="50" t="n"/>
      <c r="AW30" s="49" t="inlineStr">
        <is>
          <t>IF(OR(F30="",AJ30=""),"",IF(COUNT(AI30:AI30)=0,"",AJ30-LOOKUP(2,1/(AI30:AI30&lt;&gt;""),AI30:AI30)))</t>
        </is>
      </c>
      <c r="AX30" s="49" t="inlineStr">
        <is>
          <t>IF(OR(F30="",AK30=""),"",IF(COUNT(AI30:AJ30)=0,"",AK30-LOOKUP(2,1/(AI30:AJ30&lt;&gt;""),AI30:AJ30)))</t>
        </is>
      </c>
      <c r="AY30" s="49" t="inlineStr">
        <is>
          <t>IF(OR(F30="",AL30=""),"",IF(COUNT(AI30:AK30)=0,"",AL30-LOOKUP(2,1/(AI30:AK30&lt;&gt;""),AI30:AK30)))</t>
        </is>
      </c>
      <c r="AZ30" s="49" t="inlineStr">
        <is>
          <t>IF(OR(F30="",AM30=""),"",IF(COUNT(AI30:AL30)=0,"",AM30-LOOKUP(2,1/(AI30:AL30&lt;&gt;""),AI30:AL30)))</t>
        </is>
      </c>
      <c r="BA30" s="49" t="inlineStr">
        <is>
          <t>IF(OR(F30="",AN30=""),"",IF(COUNT(AI30:AM30)=0,"",AN30-LOOKUP(2,1/(AI30:AM30&lt;&gt;""),AI30:AM30)))</t>
        </is>
      </c>
      <c r="BB30" s="49" t="inlineStr">
        <is>
          <t>IF(OR(F30="",AO30=""),"",IF(COUNT(AI30:AN30)=0,"",AO30-LOOKUP(2,1/(AI30:AN30&lt;&gt;""),AI30:AN30)))</t>
        </is>
      </c>
      <c r="BC30" s="49" t="inlineStr">
        <is>
          <t>IF(OR(F30="",AP30=""),"",IF(COUNT(AI30:AO30)=0,"",AP30-LOOKUP(2,1/(AI30:AO30&lt;&gt;""),AI30:AO30)))</t>
        </is>
      </c>
      <c r="BD30" s="49" t="inlineStr">
        <is>
          <t>IF(OR(F30="",AQ30=""),"",IF(COUNT(AI30:AP30)=0,"",AQ30-LOOKUP(2,1/(AI30:AP30&lt;&gt;""),AI30:AP30)))</t>
        </is>
      </c>
      <c r="BE30" s="49" t="inlineStr">
        <is>
          <t>IF(OR(F30="",AR30=""),"",IF(COUNT(AI30:AQ30)=0,"",AR30-LOOKUP(2,1/(AI30:AQ30&lt;&gt;""),AI30:AQ30)))</t>
        </is>
      </c>
      <c r="BF30" s="49" t="inlineStr">
        <is>
          <t>IF(OR(F30="",AS30=""),"",IF(COUNT(AI30:AR30)=0,"",AS30-LOOKUP(2,1/(AI30:AR30&lt;&gt;""),AI30:AR30)))</t>
        </is>
      </c>
      <c r="BG30" s="49" t="inlineStr">
        <is>
          <t>IF(OR(F30="",AT30=""),"",IF(COUNT(AI30:AS30)=0,"",AT30-LOOKUP(2,1/(AI30:AS30&lt;&gt;""),AI30:AS30)))</t>
        </is>
      </c>
      <c r="BH30" s="49" t="inlineStr">
        <is>
          <t>IF(OR(F30="",AU30=""),"",IF(COUNT(AI30:AT30)=0,"",AU30-LOOKUP(2,1/(AI30:AT30&lt;&gt;""),AI30:AT30)))</t>
        </is>
      </c>
      <c r="BI30" s="49" t="inlineStr">
        <is>
          <t>IF(OR(F30="",AV30=""),"",IF(COUNT(AI30:AU30)=0,"",AV30-LOOKUP(2,1/(AI30:AU30&lt;&gt;""),AI30:AU30)))</t>
        </is>
      </c>
      <c r="BJ30" s="51" t="inlineStr">
        <is>
          <t>IF(J30="","All_Provinces",IFERROR(VLOOKUP(J30,'09_Lookups'!$A$4:$B$20,2,FALSE),"All_Provinces"))</t>
        </is>
      </c>
      <c r="BK30" s="51" t="inlineStr">
        <is>
          <t>IF(K30="","All_Districts",IFERROR(VLOOKUP(K30,'09_Lookups'!$E$4:$F$42,2,FALSE),"All_Districts"))</t>
        </is>
      </c>
    </row>
    <row r="31" outlineLevel="1" ht="18" customHeight="1">
      <c r="A31" s="42" t="inlineStr">
        <is>
          <t>IF(F31="","",ROW()-3)</t>
        </is>
      </c>
      <c r="B31" s="43" t="inlineStr">
        <is>
          <t>AF2-AGF-ALL</t>
        </is>
      </c>
      <c r="C31" s="43" t="inlineStr">
        <is>
          <t>Agroforestry saplings and seeds 2026/27</t>
        </is>
      </c>
      <c r="D31" s="43" t="inlineStr">
        <is>
          <t>28 of 39</t>
        </is>
      </c>
      <c r="E31" s="44" t="inlineStr">
        <is>
          <t>AF2-AGF-N-028</t>
        </is>
      </c>
      <c r="F31" s="44" t="inlineStr">
        <is>
          <t>Agroforestry — Paktia / Zazi Aryoub</t>
        </is>
      </c>
      <c r="G31" s="44" t="inlineStr">
        <is>
          <t>Agroforestry saplings / seeds</t>
        </is>
      </c>
      <c r="H31" s="44" t="inlineStr">
        <is>
          <t>Saplings and seeds</t>
        </is>
      </c>
      <c r="I31" s="44" t="inlineStr">
        <is>
          <t>Emergency Food Security Project (EFSP) – WBK/AF-2</t>
        </is>
      </c>
      <c r="J31" s="44" t="inlineStr">
        <is>
          <t>Southeast / Gardez</t>
        </is>
      </c>
      <c r="K31" s="44" t="inlineStr">
        <is>
          <t>Paktia</t>
        </is>
      </c>
      <c r="L31" s="44" t="inlineStr">
        <is>
          <t>Zazi Aryoub</t>
        </is>
      </c>
      <c r="M31" s="44" t="inlineStr">
        <is>
          <t>Saplings: 9919; Seeds kg: 132</t>
        </is>
      </c>
      <c r="N31" s="44" t="inlineStr">
        <is>
          <t>World Bank (WBK/AF-2)</t>
        </is>
      </c>
      <c r="O31" s="44" t="inlineStr">
        <is>
          <t>Not awarded</t>
        </is>
      </c>
      <c r="P31" s="44" t="inlineStr">
        <is>
          <t>7. Agroforestry Saplings-seeds</t>
        </is>
      </c>
      <c r="Q31" s="44" t="inlineStr"/>
      <c r="R31" s="44" t="inlineStr"/>
      <c r="S31" s="45" t="n"/>
      <c r="T31" s="46" t="inlineStr">
        <is>
          <t>IF(AQ31="","",AQ31)</t>
        </is>
      </c>
      <c r="U31" s="47" t="n">
        <v>46142</v>
      </c>
      <c r="V31" s="48" t="n">
        <v>12</v>
      </c>
      <c r="W31" s="47" t="n">
        <v>46478</v>
      </c>
      <c r="X31" s="46" t="inlineStr">
        <is>
          <t>IF(W31&lt;&gt;"",W31,IF(OR(T31="",V31=""),"",EDATE(T31,V31)))</t>
        </is>
      </c>
      <c r="Y31" s="47" t="n"/>
      <c r="Z31" s="48" t="n"/>
      <c r="AA31" s="44" t="inlineStr">
        <is>
          <t>Under Awarding</t>
        </is>
      </c>
      <c r="AB31" s="44" t="inlineStr">
        <is>
          <t>The saplings PO has already been issued and PO for seeds is expected to be issued in November 2026</t>
        </is>
      </c>
      <c r="AC31" s="42" t="inlineStr">
        <is>
          <t>IF(F31="","",IF(COUNT(AI31:AV31)=0,IF(AA31="","Not started",AA31),SUBSTITUTE(LOOKUP(2,1/(AI31:AV31&lt;&gt;""),$AI$3:$AV$3),"Date: ","")))</t>
        </is>
      </c>
      <c r="AD31" s="49" t="inlineStr">
        <is>
          <t>IF(OR(F31="",COUNT(AI31:AV31)=0),"",TODAY()-LOOKUP(2,1/(AI31:AV31&lt;&gt;""),AI31:AV31))</t>
        </is>
      </c>
      <c r="AE31" s="49" t="inlineStr">
        <is>
          <t>IF(OR(F31="",COUNT(AI31:AV31)&lt;2),"",LOOKUP(2,1/(AI31:AV31&lt;&gt;""),AI31:AV31)-MIN(AI31:AV31))</t>
        </is>
      </c>
      <c r="AF31" s="49" t="inlineStr">
        <is>
          <t>IF(OR(AD31="",AC31="Not started",AC31=""),"",IFERROR(AD31-IF(VLOOKUP(AC31,'06_Status_Pipeline'!$B$3:$E$20,4,FALSE)="",0,VLOOKUP(AC31,'06_Status_Pipeline'!$B$3:$E$20,4,FALSE)),""))</t>
        </is>
      </c>
      <c r="AG31" s="42" t="inlineStr">
        <is>
          <t>IF(F31="","",IF(OR(AA31="Cancelled",AC31="Cancelled"),"Cancelled",IF(OR(AC31="Completed / Handover",Y31&lt;&gt;"",Z31&gt;=100),"Completed — on track",IF(O31="Not awarded",IF(U31="",IF(X31="","No planned date",IF(TODAY()&gt;X31,"Behind — past planned date",IF(X31-TODAY()&lt;=30,"At risk — close to off track","On track"))),IF(TODAY()&gt;U31,"Behind — award date passed",IF(U31-TODAY()&lt;=30,"At risk — close to off track","On track"))),IF(X31="","No planned date",IF(AND(TODAY()&gt;X31,OR(Z31="",Z31&lt;100)),"Behind — past end date",IF(AND(T31&lt;&gt;"",X31&lt;&gt;"",Z31&lt;&gt;"",(Z31&lt;100),((TODAY()-T31)/MAX(X31-T31,1)*100)-Z31&gt;15),"Behind — progress lag",IF(AND(X31-TODAY()&lt;=30,X31-TODAY()&gt;=0,OR(Z31="",Z31&lt;90)),"At risk — close to off track","On track"))))))))</t>
        </is>
      </c>
      <c r="AH31" s="49" t="inlineStr">
        <is>
          <t>IF(OR(F31="",AC31="Completed / Handover",AC31="Cancelled"),"",IF(O31="Not awarded",IF(U31&lt;&gt;"",U31-TODAY(),IF(X31="","",X31-TODAY())),IF(X31="","",X31-TODAY())))</t>
        </is>
      </c>
      <c r="AI31" s="47" t="n"/>
      <c r="AJ31" s="47" t="n"/>
      <c r="AK31" s="47" t="n"/>
      <c r="AL31" s="47" t="n"/>
      <c r="AM31" s="47" t="n"/>
      <c r="AN31" s="47" t="n"/>
      <c r="AO31" s="47" t="n"/>
      <c r="AP31" s="47" t="n"/>
      <c r="AQ31" s="47" t="n"/>
      <c r="AR31" s="47" t="n"/>
      <c r="AS31" s="47" t="n"/>
      <c r="AT31" s="50" t="n"/>
      <c r="AU31" s="50" t="n"/>
      <c r="AV31" s="50" t="n"/>
      <c r="AW31" s="49" t="inlineStr">
        <is>
          <t>IF(OR(F31="",AJ31=""),"",IF(COUNT(AI31:AI31)=0,"",AJ31-LOOKUP(2,1/(AI31:AI31&lt;&gt;""),AI31:AI31)))</t>
        </is>
      </c>
      <c r="AX31" s="49" t="inlineStr">
        <is>
          <t>IF(OR(F31="",AK31=""),"",IF(COUNT(AI31:AJ31)=0,"",AK31-LOOKUP(2,1/(AI31:AJ31&lt;&gt;""),AI31:AJ31)))</t>
        </is>
      </c>
      <c r="AY31" s="49" t="inlineStr">
        <is>
          <t>IF(OR(F31="",AL31=""),"",IF(COUNT(AI31:AK31)=0,"",AL31-LOOKUP(2,1/(AI31:AK31&lt;&gt;""),AI31:AK31)))</t>
        </is>
      </c>
      <c r="AZ31" s="49" t="inlineStr">
        <is>
          <t>IF(OR(F31="",AM31=""),"",IF(COUNT(AI31:AL31)=0,"",AM31-LOOKUP(2,1/(AI31:AL31&lt;&gt;""),AI31:AL31)))</t>
        </is>
      </c>
      <c r="BA31" s="49" t="inlineStr">
        <is>
          <t>IF(OR(F31="",AN31=""),"",IF(COUNT(AI31:AM31)=0,"",AN31-LOOKUP(2,1/(AI31:AM31&lt;&gt;""),AI31:AM31)))</t>
        </is>
      </c>
      <c r="BB31" s="49" t="inlineStr">
        <is>
          <t>IF(OR(F31="",AO31=""),"",IF(COUNT(AI31:AN31)=0,"",AO31-LOOKUP(2,1/(AI31:AN31&lt;&gt;""),AI31:AN31)))</t>
        </is>
      </c>
      <c r="BC31" s="49" t="inlineStr">
        <is>
          <t>IF(OR(F31="",AP31=""),"",IF(COUNT(AI31:AO31)=0,"",AP31-LOOKUP(2,1/(AI31:AO31&lt;&gt;""),AI31:AO31)))</t>
        </is>
      </c>
      <c r="BD31" s="49" t="inlineStr">
        <is>
          <t>IF(OR(F31="",AQ31=""),"",IF(COUNT(AI31:AP31)=0,"",AQ31-LOOKUP(2,1/(AI31:AP31&lt;&gt;""),AI31:AP31)))</t>
        </is>
      </c>
      <c r="BE31" s="49" t="inlineStr">
        <is>
          <t>IF(OR(F31="",AR31=""),"",IF(COUNT(AI31:AQ31)=0,"",AR31-LOOKUP(2,1/(AI31:AQ31&lt;&gt;""),AI31:AQ31)))</t>
        </is>
      </c>
      <c r="BF31" s="49" t="inlineStr">
        <is>
          <t>IF(OR(F31="",AS31=""),"",IF(COUNT(AI31:AR31)=0,"",AS31-LOOKUP(2,1/(AI31:AR31&lt;&gt;""),AI31:AR31)))</t>
        </is>
      </c>
      <c r="BG31" s="49" t="inlineStr">
        <is>
          <t>IF(OR(F31="",AT31=""),"",IF(COUNT(AI31:AS31)=0,"",AT31-LOOKUP(2,1/(AI31:AS31&lt;&gt;""),AI31:AS31)))</t>
        </is>
      </c>
      <c r="BH31" s="49" t="inlineStr">
        <is>
          <t>IF(OR(F31="",AU31=""),"",IF(COUNT(AI31:AT31)=0,"",AU31-LOOKUP(2,1/(AI31:AT31&lt;&gt;""),AI31:AT31)))</t>
        </is>
      </c>
      <c r="BI31" s="49" t="inlineStr">
        <is>
          <t>IF(OR(F31="",AV31=""),"",IF(COUNT(AI31:AU31)=0,"",AV31-LOOKUP(2,1/(AI31:AU31&lt;&gt;""),AI31:AU31)))</t>
        </is>
      </c>
      <c r="BJ31" s="51" t="inlineStr">
        <is>
          <t>IF(J31="","All_Provinces",IFERROR(VLOOKUP(J31,'09_Lookups'!$A$4:$B$20,2,FALSE),"All_Provinces"))</t>
        </is>
      </c>
      <c r="BK31" s="51" t="inlineStr">
        <is>
          <t>IF(K31="","All_Districts",IFERROR(VLOOKUP(K31,'09_Lookups'!$E$4:$F$42,2,FALSE),"All_Districts"))</t>
        </is>
      </c>
    </row>
    <row r="32" outlineLevel="1" ht="18" customHeight="1">
      <c r="A32" s="42" t="inlineStr">
        <is>
          <t>IF(F32="","",ROW()-3)</t>
        </is>
      </c>
      <c r="B32" s="43" t="inlineStr">
        <is>
          <t>AF2-AGF-ALL</t>
        </is>
      </c>
      <c r="C32" s="43" t="inlineStr">
        <is>
          <t>Agroforestry saplings and seeds 2026/27</t>
        </is>
      </c>
      <c r="D32" s="43" t="inlineStr">
        <is>
          <t>29 of 39</t>
        </is>
      </c>
      <c r="E32" s="52" t="inlineStr">
        <is>
          <t>AF2-AGF-N-029</t>
        </is>
      </c>
      <c r="F32" s="52" t="inlineStr">
        <is>
          <t>Agroforestry — Paktia / Zurmat</t>
        </is>
      </c>
      <c r="G32" s="52" t="inlineStr">
        <is>
          <t>Agroforestry saplings / seeds</t>
        </is>
      </c>
      <c r="H32" s="52" t="inlineStr">
        <is>
          <t>Saplings and seeds</t>
        </is>
      </c>
      <c r="I32" s="52" t="inlineStr">
        <is>
          <t>Emergency Food Security Project (EFSP) – WBK/AF-2</t>
        </is>
      </c>
      <c r="J32" s="52" t="inlineStr">
        <is>
          <t>Southeast / Gardez</t>
        </is>
      </c>
      <c r="K32" s="52" t="inlineStr">
        <is>
          <t>Paktia</t>
        </is>
      </c>
      <c r="L32" s="52" t="inlineStr">
        <is>
          <t>Zurmat</t>
        </is>
      </c>
      <c r="M32" s="52" t="inlineStr">
        <is>
          <t>Saplings: 8581; Seeds kg: 66</t>
        </is>
      </c>
      <c r="N32" s="52" t="inlineStr">
        <is>
          <t>World Bank (WBK/AF-2)</t>
        </is>
      </c>
      <c r="O32" s="52" t="inlineStr">
        <is>
          <t>Not awarded</t>
        </is>
      </c>
      <c r="P32" s="52" t="inlineStr">
        <is>
          <t>7. Agroforestry Saplings-seeds</t>
        </is>
      </c>
      <c r="Q32" s="52" t="inlineStr"/>
      <c r="R32" s="52" t="inlineStr"/>
      <c r="S32" s="53" t="n"/>
      <c r="T32" s="46" t="inlineStr">
        <is>
          <t>IF(AQ32="","",AQ32)</t>
        </is>
      </c>
      <c r="U32" s="54" t="n">
        <v>46142</v>
      </c>
      <c r="V32" s="55" t="n">
        <v>12</v>
      </c>
      <c r="W32" s="54" t="n">
        <v>46478</v>
      </c>
      <c r="X32" s="46" t="inlineStr">
        <is>
          <t>IF(W32&lt;&gt;"",W32,IF(OR(T32="",V32=""),"",EDATE(T32,V32)))</t>
        </is>
      </c>
      <c r="Y32" s="54" t="n"/>
      <c r="Z32" s="55" t="n"/>
      <c r="AA32" s="52" t="inlineStr">
        <is>
          <t>Under Awarding</t>
        </is>
      </c>
      <c r="AB32" s="52" t="inlineStr">
        <is>
          <t>The saplings PO has already been issued and PO for seeds is expected to be issued in November 2026</t>
        </is>
      </c>
      <c r="AC32" s="42" t="inlineStr">
        <is>
          <t>IF(F32="","",IF(COUNT(AI32:AV32)=0,IF(AA32="","Not started",AA32),SUBSTITUTE(LOOKUP(2,1/(AI32:AV32&lt;&gt;""),$AI$3:$AV$3),"Date: ","")))</t>
        </is>
      </c>
      <c r="AD32" s="49" t="inlineStr">
        <is>
          <t>IF(OR(F32="",COUNT(AI32:AV32)=0),"",TODAY()-LOOKUP(2,1/(AI32:AV32&lt;&gt;""),AI32:AV32))</t>
        </is>
      </c>
      <c r="AE32" s="49" t="inlineStr">
        <is>
          <t>IF(OR(F32="",COUNT(AI32:AV32)&lt;2),"",LOOKUP(2,1/(AI32:AV32&lt;&gt;""),AI32:AV32)-MIN(AI32:AV32))</t>
        </is>
      </c>
      <c r="AF32" s="49" t="inlineStr">
        <is>
          <t>IF(OR(AD32="",AC32="Not started",AC32=""),"",IFERROR(AD32-IF(VLOOKUP(AC32,'06_Status_Pipeline'!$B$3:$E$20,4,FALSE)="",0,VLOOKUP(AC32,'06_Status_Pipeline'!$B$3:$E$20,4,FALSE)),""))</t>
        </is>
      </c>
      <c r="AG32" s="42" t="inlineStr">
        <is>
          <t>IF(F32="","",IF(OR(AA32="Cancelled",AC32="Cancelled"),"Cancelled",IF(OR(AC32="Completed / Handover",Y32&lt;&gt;"",Z32&gt;=100),"Completed — on track",IF(O32="Not awarded",IF(U32="",IF(X32="","No planned date",IF(TODAY()&gt;X32,"Behind — past planned date",IF(X32-TODAY()&lt;=30,"At risk — close to off track","On track"))),IF(TODAY()&gt;U32,"Behind — award date passed",IF(U32-TODAY()&lt;=30,"At risk — close to off track","On track"))),IF(X32="","No planned date",IF(AND(TODAY()&gt;X32,OR(Z32="",Z32&lt;100)),"Behind — past end date",IF(AND(T32&lt;&gt;"",X32&lt;&gt;"",Z32&lt;&gt;"",(Z32&lt;100),((TODAY()-T32)/MAX(X32-T32,1)*100)-Z32&gt;15),"Behind — progress lag",IF(AND(X32-TODAY()&lt;=30,X32-TODAY()&gt;=0,OR(Z32="",Z32&lt;90)),"At risk — close to off track","On track"))))))))</t>
        </is>
      </c>
      <c r="AH32" s="49" t="inlineStr">
        <is>
          <t>IF(OR(F32="",AC32="Completed / Handover",AC32="Cancelled"),"",IF(O32="Not awarded",IF(U32&lt;&gt;"",U32-TODAY(),IF(X32="","",X32-TODAY())),IF(X32="","",X32-TODAY())))</t>
        </is>
      </c>
      <c r="AI32" s="54" t="n"/>
      <c r="AJ32" s="54" t="n"/>
      <c r="AK32" s="54" t="n"/>
      <c r="AL32" s="54" t="n"/>
      <c r="AM32" s="54" t="n"/>
      <c r="AN32" s="54" t="n"/>
      <c r="AO32" s="54" t="n"/>
      <c r="AP32" s="54" t="n"/>
      <c r="AQ32" s="54" t="n"/>
      <c r="AR32" s="54" t="n"/>
      <c r="AS32" s="54" t="n"/>
      <c r="AT32" s="50" t="n"/>
      <c r="AU32" s="50" t="n"/>
      <c r="AV32" s="50" t="n"/>
      <c r="AW32" s="49" t="inlineStr">
        <is>
          <t>IF(OR(F32="",AJ32=""),"",IF(COUNT(AI32:AI32)=0,"",AJ32-LOOKUP(2,1/(AI32:AI32&lt;&gt;""),AI32:AI32)))</t>
        </is>
      </c>
      <c r="AX32" s="49" t="inlineStr">
        <is>
          <t>IF(OR(F32="",AK32=""),"",IF(COUNT(AI32:AJ32)=0,"",AK32-LOOKUP(2,1/(AI32:AJ32&lt;&gt;""),AI32:AJ32)))</t>
        </is>
      </c>
      <c r="AY32" s="49" t="inlineStr">
        <is>
          <t>IF(OR(F32="",AL32=""),"",IF(COUNT(AI32:AK32)=0,"",AL32-LOOKUP(2,1/(AI32:AK32&lt;&gt;""),AI32:AK32)))</t>
        </is>
      </c>
      <c r="AZ32" s="49" t="inlineStr">
        <is>
          <t>IF(OR(F32="",AM32=""),"",IF(COUNT(AI32:AL32)=0,"",AM32-LOOKUP(2,1/(AI32:AL32&lt;&gt;""),AI32:AL32)))</t>
        </is>
      </c>
      <c r="BA32" s="49" t="inlineStr">
        <is>
          <t>IF(OR(F32="",AN32=""),"",IF(COUNT(AI32:AM32)=0,"",AN32-LOOKUP(2,1/(AI32:AM32&lt;&gt;""),AI32:AM32)))</t>
        </is>
      </c>
      <c r="BB32" s="49" t="inlineStr">
        <is>
          <t>IF(OR(F32="",AO32=""),"",IF(COUNT(AI32:AN32)=0,"",AO32-LOOKUP(2,1/(AI32:AN32&lt;&gt;""),AI32:AN32)))</t>
        </is>
      </c>
      <c r="BC32" s="49" t="inlineStr">
        <is>
          <t>IF(OR(F32="",AP32=""),"",IF(COUNT(AI32:AO32)=0,"",AP32-LOOKUP(2,1/(AI32:AO32&lt;&gt;""),AI32:AO32)))</t>
        </is>
      </c>
      <c r="BD32" s="49" t="inlineStr">
        <is>
          <t>IF(OR(F32="",AQ32=""),"",IF(COUNT(AI32:AP32)=0,"",AQ32-LOOKUP(2,1/(AI32:AP32&lt;&gt;""),AI32:AP32)))</t>
        </is>
      </c>
      <c r="BE32" s="49" t="inlineStr">
        <is>
          <t>IF(OR(F32="",AR32=""),"",IF(COUNT(AI32:AQ32)=0,"",AR32-LOOKUP(2,1/(AI32:AQ32&lt;&gt;""),AI32:AQ32)))</t>
        </is>
      </c>
      <c r="BF32" s="49" t="inlineStr">
        <is>
          <t>IF(OR(F32="",AS32=""),"",IF(COUNT(AI32:AR32)=0,"",AS32-LOOKUP(2,1/(AI32:AR32&lt;&gt;""),AI32:AR32)))</t>
        </is>
      </c>
      <c r="BG32" s="49" t="inlineStr">
        <is>
          <t>IF(OR(F32="",AT32=""),"",IF(COUNT(AI32:AS32)=0,"",AT32-LOOKUP(2,1/(AI32:AS32&lt;&gt;""),AI32:AS32)))</t>
        </is>
      </c>
      <c r="BH32" s="49" t="inlineStr">
        <is>
          <t>IF(OR(F32="",AU32=""),"",IF(COUNT(AI32:AT32)=0,"",AU32-LOOKUP(2,1/(AI32:AT32&lt;&gt;""),AI32:AT32)))</t>
        </is>
      </c>
      <c r="BI32" s="49" t="inlineStr">
        <is>
          <t>IF(OR(F32="",AV32=""),"",IF(COUNT(AI32:AU32)=0,"",AV32-LOOKUP(2,1/(AI32:AU32&lt;&gt;""),AI32:AU32)))</t>
        </is>
      </c>
      <c r="BJ32" s="51" t="inlineStr">
        <is>
          <t>IF(J32="","All_Provinces",IFERROR(VLOOKUP(J32,'09_Lookups'!$A$4:$B$20,2,FALSE),"All_Provinces"))</t>
        </is>
      </c>
      <c r="BK32" s="51" t="inlineStr">
        <is>
          <t>IF(K32="","All_Districts",IFERROR(VLOOKUP(K32,'09_Lookups'!$E$4:$F$42,2,FALSE),"All_Districts"))</t>
        </is>
      </c>
    </row>
    <row r="33" outlineLevel="1" ht="18" customHeight="1">
      <c r="A33" s="42" t="inlineStr">
        <is>
          <t>IF(F33="","",ROW()-3)</t>
        </is>
      </c>
      <c r="B33" s="43" t="inlineStr">
        <is>
          <t>AF2-AGF-ALL</t>
        </is>
      </c>
      <c r="C33" s="43" t="inlineStr">
        <is>
          <t>Agroforestry saplings and seeds 2026/27</t>
        </is>
      </c>
      <c r="D33" s="43" t="inlineStr">
        <is>
          <t>30 of 39</t>
        </is>
      </c>
      <c r="E33" s="44" t="inlineStr">
        <is>
          <t>AF2-AGF-N-030</t>
        </is>
      </c>
      <c r="F33" s="44" t="inlineStr">
        <is>
          <t>Agroforestry — Paktika / Surobi</t>
        </is>
      </c>
      <c r="G33" s="44" t="inlineStr">
        <is>
          <t>Agroforestry saplings / seeds</t>
        </is>
      </c>
      <c r="H33" s="44" t="inlineStr">
        <is>
          <t>Saplings and seeds</t>
        </is>
      </c>
      <c r="I33" s="44" t="inlineStr">
        <is>
          <t>Emergency Food Security Project (EFSP) – WBK/AF-2</t>
        </is>
      </c>
      <c r="J33" s="44" t="inlineStr">
        <is>
          <t>Southeast / Gardez</t>
        </is>
      </c>
      <c r="K33" s="44" t="inlineStr">
        <is>
          <t>Paktika</t>
        </is>
      </c>
      <c r="L33" s="44" t="inlineStr">
        <is>
          <t>Surobi</t>
        </is>
      </c>
      <c r="M33" s="44" t="inlineStr">
        <is>
          <t>Saplings: 3500; Seeds kg: 44</t>
        </is>
      </c>
      <c r="N33" s="44" t="inlineStr">
        <is>
          <t>World Bank (WBK/AF-2)</t>
        </is>
      </c>
      <c r="O33" s="44" t="inlineStr">
        <is>
          <t>Not awarded</t>
        </is>
      </c>
      <c r="P33" s="44" t="inlineStr">
        <is>
          <t>7. Agroforestry Saplings-seeds</t>
        </is>
      </c>
      <c r="Q33" s="44" t="inlineStr"/>
      <c r="R33" s="44" t="inlineStr"/>
      <c r="S33" s="45" t="n"/>
      <c r="T33" s="46" t="inlineStr">
        <is>
          <t>IF(AQ33="","",AQ33)</t>
        </is>
      </c>
      <c r="U33" s="47" t="n">
        <v>46142</v>
      </c>
      <c r="V33" s="48" t="n">
        <v>12</v>
      </c>
      <c r="W33" s="47" t="n">
        <v>46478</v>
      </c>
      <c r="X33" s="46" t="inlineStr">
        <is>
          <t>IF(W33&lt;&gt;"",W33,IF(OR(T33="",V33=""),"",EDATE(T33,V33)))</t>
        </is>
      </c>
      <c r="Y33" s="47" t="n"/>
      <c r="Z33" s="48" t="n"/>
      <c r="AA33" s="44" t="inlineStr">
        <is>
          <t>Under Awarding</t>
        </is>
      </c>
      <c r="AB33" s="44" t="inlineStr">
        <is>
          <t>The saplings PO has already been issued and PO for seeds is expected to be issued in November 2026</t>
        </is>
      </c>
      <c r="AC33" s="42" t="inlineStr">
        <is>
          <t>IF(F33="","",IF(COUNT(AI33:AV33)=0,IF(AA33="","Not started",AA33),SUBSTITUTE(LOOKUP(2,1/(AI33:AV33&lt;&gt;""),$AI$3:$AV$3),"Date: ","")))</t>
        </is>
      </c>
      <c r="AD33" s="49" t="inlineStr">
        <is>
          <t>IF(OR(F33="",COUNT(AI33:AV33)=0),"",TODAY()-LOOKUP(2,1/(AI33:AV33&lt;&gt;""),AI33:AV33))</t>
        </is>
      </c>
      <c r="AE33" s="49" t="inlineStr">
        <is>
          <t>IF(OR(F33="",COUNT(AI33:AV33)&lt;2),"",LOOKUP(2,1/(AI33:AV33&lt;&gt;""),AI33:AV33)-MIN(AI33:AV33))</t>
        </is>
      </c>
      <c r="AF33" s="49" t="inlineStr">
        <is>
          <t>IF(OR(AD33="",AC33="Not started",AC33=""),"",IFERROR(AD33-IF(VLOOKUP(AC33,'06_Status_Pipeline'!$B$3:$E$20,4,FALSE)="",0,VLOOKUP(AC33,'06_Status_Pipeline'!$B$3:$E$20,4,FALSE)),""))</t>
        </is>
      </c>
      <c r="AG33" s="42" t="inlineStr">
        <is>
          <t>IF(F33="","",IF(OR(AA33="Cancelled",AC33="Cancelled"),"Cancelled",IF(OR(AC33="Completed / Handover",Y33&lt;&gt;"",Z33&gt;=100),"Completed — on track",IF(O33="Not awarded",IF(U33="",IF(X33="","No planned date",IF(TODAY()&gt;X33,"Behind — past planned date",IF(X33-TODAY()&lt;=30,"At risk — close to off track","On track"))),IF(TODAY()&gt;U33,"Behind — award date passed",IF(U33-TODAY()&lt;=30,"At risk — close to off track","On track"))),IF(X33="","No planned date",IF(AND(TODAY()&gt;X33,OR(Z33="",Z33&lt;100)),"Behind — past end date",IF(AND(T33&lt;&gt;"",X33&lt;&gt;"",Z33&lt;&gt;"",(Z33&lt;100),((TODAY()-T33)/MAX(X33-T33,1)*100)-Z33&gt;15),"Behind — progress lag",IF(AND(X33-TODAY()&lt;=30,X33-TODAY()&gt;=0,OR(Z33="",Z33&lt;90)),"At risk — close to off track","On track"))))))))</t>
        </is>
      </c>
      <c r="AH33" s="49" t="inlineStr">
        <is>
          <t>IF(OR(F33="",AC33="Completed / Handover",AC33="Cancelled"),"",IF(O33="Not awarded",IF(U33&lt;&gt;"",U33-TODAY(),IF(X33="","",X33-TODAY())),IF(X33="","",X33-TODAY())))</t>
        </is>
      </c>
      <c r="AI33" s="47" t="n"/>
      <c r="AJ33" s="47" t="n"/>
      <c r="AK33" s="47" t="n"/>
      <c r="AL33" s="47" t="n"/>
      <c r="AM33" s="47" t="n"/>
      <c r="AN33" s="47" t="n"/>
      <c r="AO33" s="47" t="n"/>
      <c r="AP33" s="47" t="n"/>
      <c r="AQ33" s="47" t="n"/>
      <c r="AR33" s="47" t="n"/>
      <c r="AS33" s="47" t="n"/>
      <c r="AT33" s="50" t="n"/>
      <c r="AU33" s="50" t="n"/>
      <c r="AV33" s="50" t="n"/>
      <c r="AW33" s="49" t="inlineStr">
        <is>
          <t>IF(OR(F33="",AJ33=""),"",IF(COUNT(AI33:AI33)=0,"",AJ33-LOOKUP(2,1/(AI33:AI33&lt;&gt;""),AI33:AI33)))</t>
        </is>
      </c>
      <c r="AX33" s="49" t="inlineStr">
        <is>
          <t>IF(OR(F33="",AK33=""),"",IF(COUNT(AI33:AJ33)=0,"",AK33-LOOKUP(2,1/(AI33:AJ33&lt;&gt;""),AI33:AJ33)))</t>
        </is>
      </c>
      <c r="AY33" s="49" t="inlineStr">
        <is>
          <t>IF(OR(F33="",AL33=""),"",IF(COUNT(AI33:AK33)=0,"",AL33-LOOKUP(2,1/(AI33:AK33&lt;&gt;""),AI33:AK33)))</t>
        </is>
      </c>
      <c r="AZ33" s="49" t="inlineStr">
        <is>
          <t>IF(OR(F33="",AM33=""),"",IF(COUNT(AI33:AL33)=0,"",AM33-LOOKUP(2,1/(AI33:AL33&lt;&gt;""),AI33:AL33)))</t>
        </is>
      </c>
      <c r="BA33" s="49" t="inlineStr">
        <is>
          <t>IF(OR(F33="",AN33=""),"",IF(COUNT(AI33:AM33)=0,"",AN33-LOOKUP(2,1/(AI33:AM33&lt;&gt;""),AI33:AM33)))</t>
        </is>
      </c>
      <c r="BB33" s="49" t="inlineStr">
        <is>
          <t>IF(OR(F33="",AO33=""),"",IF(COUNT(AI33:AN33)=0,"",AO33-LOOKUP(2,1/(AI33:AN33&lt;&gt;""),AI33:AN33)))</t>
        </is>
      </c>
      <c r="BC33" s="49" t="inlineStr">
        <is>
          <t>IF(OR(F33="",AP33=""),"",IF(COUNT(AI33:AO33)=0,"",AP33-LOOKUP(2,1/(AI33:AO33&lt;&gt;""),AI33:AO33)))</t>
        </is>
      </c>
      <c r="BD33" s="49" t="inlineStr">
        <is>
          <t>IF(OR(F33="",AQ33=""),"",IF(COUNT(AI33:AP33)=0,"",AQ33-LOOKUP(2,1/(AI33:AP33&lt;&gt;""),AI33:AP33)))</t>
        </is>
      </c>
      <c r="BE33" s="49" t="inlineStr">
        <is>
          <t>IF(OR(F33="",AR33=""),"",IF(COUNT(AI33:AQ33)=0,"",AR33-LOOKUP(2,1/(AI33:AQ33&lt;&gt;""),AI33:AQ33)))</t>
        </is>
      </c>
      <c r="BF33" s="49" t="inlineStr">
        <is>
          <t>IF(OR(F33="",AS33=""),"",IF(COUNT(AI33:AR33)=0,"",AS33-LOOKUP(2,1/(AI33:AR33&lt;&gt;""),AI33:AR33)))</t>
        </is>
      </c>
      <c r="BG33" s="49" t="inlineStr">
        <is>
          <t>IF(OR(F33="",AT33=""),"",IF(COUNT(AI33:AS33)=0,"",AT33-LOOKUP(2,1/(AI33:AS33&lt;&gt;""),AI33:AS33)))</t>
        </is>
      </c>
      <c r="BH33" s="49" t="inlineStr">
        <is>
          <t>IF(OR(F33="",AU33=""),"",IF(COUNT(AI33:AT33)=0,"",AU33-LOOKUP(2,1/(AI33:AT33&lt;&gt;""),AI33:AT33)))</t>
        </is>
      </c>
      <c r="BI33" s="49" t="inlineStr">
        <is>
          <t>IF(OR(F33="",AV33=""),"",IF(COUNT(AI33:AU33)=0,"",AV33-LOOKUP(2,1/(AI33:AU33&lt;&gt;""),AI33:AU33)))</t>
        </is>
      </c>
      <c r="BJ33" s="51" t="inlineStr">
        <is>
          <t>IF(J33="","All_Provinces",IFERROR(VLOOKUP(J33,'09_Lookups'!$A$4:$B$20,2,FALSE),"All_Provinces"))</t>
        </is>
      </c>
      <c r="BK33" s="51" t="inlineStr">
        <is>
          <t>IF(K33="","All_Districts",IFERROR(VLOOKUP(K33,'09_Lookups'!$E$4:$F$42,2,FALSE),"All_Districts"))</t>
        </is>
      </c>
    </row>
    <row r="34" outlineLevel="1" ht="18" customHeight="1">
      <c r="A34" s="42" t="inlineStr">
        <is>
          <t>IF(F34="","",ROW()-3)</t>
        </is>
      </c>
      <c r="B34" s="43" t="inlineStr">
        <is>
          <t>AF2-AGF-ALL</t>
        </is>
      </c>
      <c r="C34" s="43" t="inlineStr">
        <is>
          <t>Agroforestry saplings and seeds 2026/27</t>
        </is>
      </c>
      <c r="D34" s="43" t="inlineStr">
        <is>
          <t>31 of 39</t>
        </is>
      </c>
      <c r="E34" s="52" t="inlineStr">
        <is>
          <t>AF2-AGF-N-031</t>
        </is>
      </c>
      <c r="F34" s="52" t="inlineStr">
        <is>
          <t>Agroforestry — Panjsher / Khinj</t>
        </is>
      </c>
      <c r="G34" s="52" t="inlineStr">
        <is>
          <t>Agroforestry saplings / seeds</t>
        </is>
      </c>
      <c r="H34" s="52" t="inlineStr">
        <is>
          <t>Saplings and seeds</t>
        </is>
      </c>
      <c r="I34" s="52" t="inlineStr">
        <is>
          <t>Emergency Food Security Project (EFSP) – WBK/AF-2</t>
        </is>
      </c>
      <c r="J34" s="52" t="inlineStr">
        <is>
          <t>Central / Kabul</t>
        </is>
      </c>
      <c r="K34" s="52" t="inlineStr">
        <is>
          <t>Panjsher</t>
        </is>
      </c>
      <c r="L34" s="52" t="inlineStr">
        <is>
          <t>Khinj</t>
        </is>
      </c>
      <c r="M34" s="52" t="inlineStr">
        <is>
          <t>Saplings: 3000; Seeds kg: 150</t>
        </is>
      </c>
      <c r="N34" s="52" t="inlineStr">
        <is>
          <t>World Bank (WBK/AF-2)</t>
        </is>
      </c>
      <c r="O34" s="52" t="inlineStr">
        <is>
          <t>Not awarded</t>
        </is>
      </c>
      <c r="P34" s="52" t="inlineStr">
        <is>
          <t>7. Agroforestry Saplings-seeds</t>
        </is>
      </c>
      <c r="Q34" s="52" t="inlineStr"/>
      <c r="R34" s="52" t="inlineStr"/>
      <c r="S34" s="53" t="n"/>
      <c r="T34" s="46" t="inlineStr">
        <is>
          <t>IF(AQ34="","",AQ34)</t>
        </is>
      </c>
      <c r="U34" s="54" t="n">
        <v>46142</v>
      </c>
      <c r="V34" s="55" t="n">
        <v>12</v>
      </c>
      <c r="W34" s="54" t="n">
        <v>46478</v>
      </c>
      <c r="X34" s="46" t="inlineStr">
        <is>
          <t>IF(W34&lt;&gt;"",W34,IF(OR(T34="",V34=""),"",EDATE(T34,V34)))</t>
        </is>
      </c>
      <c r="Y34" s="54" t="n"/>
      <c r="Z34" s="55" t="n"/>
      <c r="AA34" s="52" t="inlineStr">
        <is>
          <t>Under Awarding</t>
        </is>
      </c>
      <c r="AB34" s="52" t="inlineStr">
        <is>
          <t>The saplings PO has already been issued and PO for seeds is expected to be issued in November 2026</t>
        </is>
      </c>
      <c r="AC34" s="42" t="inlineStr">
        <is>
          <t>IF(F34="","",IF(COUNT(AI34:AV34)=0,IF(AA34="","Not started",AA34),SUBSTITUTE(LOOKUP(2,1/(AI34:AV34&lt;&gt;""),$AI$3:$AV$3),"Date: ","")))</t>
        </is>
      </c>
      <c r="AD34" s="49" t="inlineStr">
        <is>
          <t>IF(OR(F34="",COUNT(AI34:AV34)=0),"",TODAY()-LOOKUP(2,1/(AI34:AV34&lt;&gt;""),AI34:AV34))</t>
        </is>
      </c>
      <c r="AE34" s="49" t="inlineStr">
        <is>
          <t>IF(OR(F34="",COUNT(AI34:AV34)&lt;2),"",LOOKUP(2,1/(AI34:AV34&lt;&gt;""),AI34:AV34)-MIN(AI34:AV34))</t>
        </is>
      </c>
      <c r="AF34" s="49" t="inlineStr">
        <is>
          <t>IF(OR(AD34="",AC34="Not started",AC34=""),"",IFERROR(AD34-IF(VLOOKUP(AC34,'06_Status_Pipeline'!$B$3:$E$20,4,FALSE)="",0,VLOOKUP(AC34,'06_Status_Pipeline'!$B$3:$E$20,4,FALSE)),""))</t>
        </is>
      </c>
      <c r="AG34" s="42" t="inlineStr">
        <is>
          <t>IF(F34="","",IF(OR(AA34="Cancelled",AC34="Cancelled"),"Cancelled",IF(OR(AC34="Completed / Handover",Y34&lt;&gt;"",Z34&gt;=100),"Completed — on track",IF(O34="Not awarded",IF(U34="",IF(X34="","No planned date",IF(TODAY()&gt;X34,"Behind — past planned date",IF(X34-TODAY()&lt;=30,"At risk — close to off track","On track"))),IF(TODAY()&gt;U34,"Behind — award date passed",IF(U34-TODAY()&lt;=30,"At risk — close to off track","On track"))),IF(X34="","No planned date",IF(AND(TODAY()&gt;X34,OR(Z34="",Z34&lt;100)),"Behind — past end date",IF(AND(T34&lt;&gt;"",X34&lt;&gt;"",Z34&lt;&gt;"",(Z34&lt;100),((TODAY()-T34)/MAX(X34-T34,1)*100)-Z34&gt;15),"Behind — progress lag",IF(AND(X34-TODAY()&lt;=30,X34-TODAY()&gt;=0,OR(Z34="",Z34&lt;90)),"At risk — close to off track","On track"))))))))</t>
        </is>
      </c>
      <c r="AH34" s="49" t="inlineStr">
        <is>
          <t>IF(OR(F34="",AC34="Completed / Handover",AC34="Cancelled"),"",IF(O34="Not awarded",IF(U34&lt;&gt;"",U34-TODAY(),IF(X34="","",X34-TODAY())),IF(X34="","",X34-TODAY())))</t>
        </is>
      </c>
      <c r="AI34" s="54" t="n"/>
      <c r="AJ34" s="54" t="n"/>
      <c r="AK34" s="54" t="n"/>
      <c r="AL34" s="54" t="n"/>
      <c r="AM34" s="54" t="n"/>
      <c r="AN34" s="54" t="n"/>
      <c r="AO34" s="54" t="n"/>
      <c r="AP34" s="54" t="n"/>
      <c r="AQ34" s="54" t="n"/>
      <c r="AR34" s="54" t="n"/>
      <c r="AS34" s="54" t="n"/>
      <c r="AT34" s="50" t="n"/>
      <c r="AU34" s="50" t="n"/>
      <c r="AV34" s="50" t="n"/>
      <c r="AW34" s="49" t="inlineStr">
        <is>
          <t>IF(OR(F34="",AJ34=""),"",IF(COUNT(AI34:AI34)=0,"",AJ34-LOOKUP(2,1/(AI34:AI34&lt;&gt;""),AI34:AI34)))</t>
        </is>
      </c>
      <c r="AX34" s="49" t="inlineStr">
        <is>
          <t>IF(OR(F34="",AK34=""),"",IF(COUNT(AI34:AJ34)=0,"",AK34-LOOKUP(2,1/(AI34:AJ34&lt;&gt;""),AI34:AJ34)))</t>
        </is>
      </c>
      <c r="AY34" s="49" t="inlineStr">
        <is>
          <t>IF(OR(F34="",AL34=""),"",IF(COUNT(AI34:AK34)=0,"",AL34-LOOKUP(2,1/(AI34:AK34&lt;&gt;""),AI34:AK34)))</t>
        </is>
      </c>
      <c r="AZ34" s="49" t="inlineStr">
        <is>
          <t>IF(OR(F34="",AM34=""),"",IF(COUNT(AI34:AL34)=0,"",AM34-LOOKUP(2,1/(AI34:AL34&lt;&gt;""),AI34:AL34)))</t>
        </is>
      </c>
      <c r="BA34" s="49" t="inlineStr">
        <is>
          <t>IF(OR(F34="",AN34=""),"",IF(COUNT(AI34:AM34)=0,"",AN34-LOOKUP(2,1/(AI34:AM34&lt;&gt;""),AI34:AM34)))</t>
        </is>
      </c>
      <c r="BB34" s="49" t="inlineStr">
        <is>
          <t>IF(OR(F34="",AO34=""),"",IF(COUNT(AI34:AN34)=0,"",AO34-LOOKUP(2,1/(AI34:AN34&lt;&gt;""),AI34:AN34)))</t>
        </is>
      </c>
      <c r="BC34" s="49" t="inlineStr">
        <is>
          <t>IF(OR(F34="",AP34=""),"",IF(COUNT(AI34:AO34)=0,"",AP34-LOOKUP(2,1/(AI34:AO34&lt;&gt;""),AI34:AO34)))</t>
        </is>
      </c>
      <c r="BD34" s="49" t="inlineStr">
        <is>
          <t>IF(OR(F34="",AQ34=""),"",IF(COUNT(AI34:AP34)=0,"",AQ34-LOOKUP(2,1/(AI34:AP34&lt;&gt;""),AI34:AP34)))</t>
        </is>
      </c>
      <c r="BE34" s="49" t="inlineStr">
        <is>
          <t>IF(OR(F34="",AR34=""),"",IF(COUNT(AI34:AQ34)=0,"",AR34-LOOKUP(2,1/(AI34:AQ34&lt;&gt;""),AI34:AQ34)))</t>
        </is>
      </c>
      <c r="BF34" s="49" t="inlineStr">
        <is>
          <t>IF(OR(F34="",AS34=""),"",IF(COUNT(AI34:AR34)=0,"",AS34-LOOKUP(2,1/(AI34:AR34&lt;&gt;""),AI34:AR34)))</t>
        </is>
      </c>
      <c r="BG34" s="49" t="inlineStr">
        <is>
          <t>IF(OR(F34="",AT34=""),"",IF(COUNT(AI34:AS34)=0,"",AT34-LOOKUP(2,1/(AI34:AS34&lt;&gt;""),AI34:AS34)))</t>
        </is>
      </c>
      <c r="BH34" s="49" t="inlineStr">
        <is>
          <t>IF(OR(F34="",AU34=""),"",IF(COUNT(AI34:AT34)=0,"",AU34-LOOKUP(2,1/(AI34:AT34&lt;&gt;""),AI34:AT34)))</t>
        </is>
      </c>
      <c r="BI34" s="49" t="inlineStr">
        <is>
          <t>IF(OR(F34="",AV34=""),"",IF(COUNT(AI34:AU34)=0,"",AV34-LOOKUP(2,1/(AI34:AU34&lt;&gt;""),AI34:AU34)))</t>
        </is>
      </c>
      <c r="BJ34" s="51" t="inlineStr">
        <is>
          <t>IF(J34="","All_Provinces",IFERROR(VLOOKUP(J34,'09_Lookups'!$A$4:$B$20,2,FALSE),"All_Provinces"))</t>
        </is>
      </c>
      <c r="BK34" s="51" t="inlineStr">
        <is>
          <t>IF(K34="","All_Districts",IFERROR(VLOOKUP(K34,'09_Lookups'!$E$4:$F$42,2,FALSE),"All_Districts"))</t>
        </is>
      </c>
    </row>
    <row r="35" outlineLevel="1" ht="18" customHeight="1">
      <c r="A35" s="42" t="inlineStr">
        <is>
          <t>IF(F35="","",ROW()-3)</t>
        </is>
      </c>
      <c r="B35" s="43" t="inlineStr">
        <is>
          <t>AF2-AGF-ALL</t>
        </is>
      </c>
      <c r="C35" s="43" t="inlineStr">
        <is>
          <t>Agroforestry saplings and seeds 2026/27</t>
        </is>
      </c>
      <c r="D35" s="43" t="inlineStr">
        <is>
          <t>32 of 39</t>
        </is>
      </c>
      <c r="E35" s="44" t="inlineStr">
        <is>
          <t>AF2-AGF-N-032</t>
        </is>
      </c>
      <c r="F35" s="44" t="inlineStr">
        <is>
          <t>Agroforestry — Panjsher / Paryan</t>
        </is>
      </c>
      <c r="G35" s="44" t="inlineStr">
        <is>
          <t>Agroforestry saplings / seeds</t>
        </is>
      </c>
      <c r="H35" s="44" t="inlineStr">
        <is>
          <t>Saplings and seeds</t>
        </is>
      </c>
      <c r="I35" s="44" t="inlineStr">
        <is>
          <t>Emergency Food Security Project (EFSP) – WBK/AF-2</t>
        </is>
      </c>
      <c r="J35" s="44" t="inlineStr">
        <is>
          <t>Central / Kabul</t>
        </is>
      </c>
      <c r="K35" s="44" t="inlineStr">
        <is>
          <t>Panjsher</t>
        </is>
      </c>
      <c r="L35" s="44" t="inlineStr">
        <is>
          <t>Paryan</t>
        </is>
      </c>
      <c r="M35" s="44" t="inlineStr">
        <is>
          <t>Saplings: 3000; Seeds kg: 200</t>
        </is>
      </c>
      <c r="N35" s="44" t="inlineStr">
        <is>
          <t>World Bank (WBK/AF-2)</t>
        </is>
      </c>
      <c r="O35" s="44" t="inlineStr">
        <is>
          <t>Not awarded</t>
        </is>
      </c>
      <c r="P35" s="44" t="inlineStr">
        <is>
          <t>7. Agroforestry Saplings-seeds</t>
        </is>
      </c>
      <c r="Q35" s="44" t="inlineStr"/>
      <c r="R35" s="44" t="inlineStr"/>
      <c r="S35" s="45" t="n"/>
      <c r="T35" s="46" t="inlineStr">
        <is>
          <t>IF(AQ35="","",AQ35)</t>
        </is>
      </c>
      <c r="U35" s="47" t="n">
        <v>46142</v>
      </c>
      <c r="V35" s="48" t="n">
        <v>12</v>
      </c>
      <c r="W35" s="47" t="n">
        <v>46478</v>
      </c>
      <c r="X35" s="46" t="inlineStr">
        <is>
          <t>IF(W35&lt;&gt;"",W35,IF(OR(T35="",V35=""),"",EDATE(T35,V35)))</t>
        </is>
      </c>
      <c r="Y35" s="47" t="n"/>
      <c r="Z35" s="48" t="n"/>
      <c r="AA35" s="44" t="inlineStr">
        <is>
          <t>Under Awarding</t>
        </is>
      </c>
      <c r="AB35" s="44" t="inlineStr">
        <is>
          <t>The saplings PO has already been issued and PO for seeds is expected to be issued in November 2026</t>
        </is>
      </c>
      <c r="AC35" s="42" t="inlineStr">
        <is>
          <t>IF(F35="","",IF(COUNT(AI35:AV35)=0,IF(AA35="","Not started",AA35),SUBSTITUTE(LOOKUP(2,1/(AI35:AV35&lt;&gt;""),$AI$3:$AV$3),"Date: ","")))</t>
        </is>
      </c>
      <c r="AD35" s="49" t="inlineStr">
        <is>
          <t>IF(OR(F35="",COUNT(AI35:AV35)=0),"",TODAY()-LOOKUP(2,1/(AI35:AV35&lt;&gt;""),AI35:AV35))</t>
        </is>
      </c>
      <c r="AE35" s="49" t="inlineStr">
        <is>
          <t>IF(OR(F35="",COUNT(AI35:AV35)&lt;2),"",LOOKUP(2,1/(AI35:AV35&lt;&gt;""),AI35:AV35)-MIN(AI35:AV35))</t>
        </is>
      </c>
      <c r="AF35" s="49" t="inlineStr">
        <is>
          <t>IF(OR(AD35="",AC35="Not started",AC35=""),"",IFERROR(AD35-IF(VLOOKUP(AC35,'06_Status_Pipeline'!$B$3:$E$20,4,FALSE)="",0,VLOOKUP(AC35,'06_Status_Pipeline'!$B$3:$E$20,4,FALSE)),""))</t>
        </is>
      </c>
      <c r="AG35" s="42" t="inlineStr">
        <is>
          <t>IF(F35="","",IF(OR(AA35="Cancelled",AC35="Cancelled"),"Cancelled",IF(OR(AC35="Completed / Handover",Y35&lt;&gt;"",Z35&gt;=100),"Completed — on track",IF(O35="Not awarded",IF(U35="",IF(X35="","No planned date",IF(TODAY()&gt;X35,"Behind — past planned date",IF(X35-TODAY()&lt;=30,"At risk — close to off track","On track"))),IF(TODAY()&gt;U35,"Behind — award date passed",IF(U35-TODAY()&lt;=30,"At risk — close to off track","On track"))),IF(X35="","No planned date",IF(AND(TODAY()&gt;X35,OR(Z35="",Z35&lt;100)),"Behind — past end date",IF(AND(T35&lt;&gt;"",X35&lt;&gt;"",Z35&lt;&gt;"",(Z35&lt;100),((TODAY()-T35)/MAX(X35-T35,1)*100)-Z35&gt;15),"Behind — progress lag",IF(AND(X35-TODAY()&lt;=30,X35-TODAY()&gt;=0,OR(Z35="",Z35&lt;90)),"At risk — close to off track","On track"))))))))</t>
        </is>
      </c>
      <c r="AH35" s="49" t="inlineStr">
        <is>
          <t>IF(OR(F35="",AC35="Completed / Handover",AC35="Cancelled"),"",IF(O35="Not awarded",IF(U35&lt;&gt;"",U35-TODAY(),IF(X35="","",X35-TODAY())),IF(X35="","",X35-TODAY())))</t>
        </is>
      </c>
      <c r="AI35" s="47" t="n"/>
      <c r="AJ35" s="47" t="n"/>
      <c r="AK35" s="47" t="n"/>
      <c r="AL35" s="47" t="n"/>
      <c r="AM35" s="47" t="n"/>
      <c r="AN35" s="47" t="n"/>
      <c r="AO35" s="47" t="n"/>
      <c r="AP35" s="47" t="n"/>
      <c r="AQ35" s="47" t="n"/>
      <c r="AR35" s="47" t="n"/>
      <c r="AS35" s="47" t="n"/>
      <c r="AT35" s="50" t="n"/>
      <c r="AU35" s="50" t="n"/>
      <c r="AV35" s="50" t="n"/>
      <c r="AW35" s="49" t="inlineStr">
        <is>
          <t>IF(OR(F35="",AJ35=""),"",IF(COUNT(AI35:AI35)=0,"",AJ35-LOOKUP(2,1/(AI35:AI35&lt;&gt;""),AI35:AI35)))</t>
        </is>
      </c>
      <c r="AX35" s="49" t="inlineStr">
        <is>
          <t>IF(OR(F35="",AK35=""),"",IF(COUNT(AI35:AJ35)=0,"",AK35-LOOKUP(2,1/(AI35:AJ35&lt;&gt;""),AI35:AJ35)))</t>
        </is>
      </c>
      <c r="AY35" s="49" t="inlineStr">
        <is>
          <t>IF(OR(F35="",AL35=""),"",IF(COUNT(AI35:AK35)=0,"",AL35-LOOKUP(2,1/(AI35:AK35&lt;&gt;""),AI35:AK35)))</t>
        </is>
      </c>
      <c r="AZ35" s="49" t="inlineStr">
        <is>
          <t>IF(OR(F35="",AM35=""),"",IF(COUNT(AI35:AL35)=0,"",AM35-LOOKUP(2,1/(AI35:AL35&lt;&gt;""),AI35:AL35)))</t>
        </is>
      </c>
      <c r="BA35" s="49" t="inlineStr">
        <is>
          <t>IF(OR(F35="",AN35=""),"",IF(COUNT(AI35:AM35)=0,"",AN35-LOOKUP(2,1/(AI35:AM35&lt;&gt;""),AI35:AM35)))</t>
        </is>
      </c>
      <c r="BB35" s="49" t="inlineStr">
        <is>
          <t>IF(OR(F35="",AO35=""),"",IF(COUNT(AI35:AN35)=0,"",AO35-LOOKUP(2,1/(AI35:AN35&lt;&gt;""),AI35:AN35)))</t>
        </is>
      </c>
      <c r="BC35" s="49" t="inlineStr">
        <is>
          <t>IF(OR(F35="",AP35=""),"",IF(COUNT(AI35:AO35)=0,"",AP35-LOOKUP(2,1/(AI35:AO35&lt;&gt;""),AI35:AO35)))</t>
        </is>
      </c>
      <c r="BD35" s="49" t="inlineStr">
        <is>
          <t>IF(OR(F35="",AQ35=""),"",IF(COUNT(AI35:AP35)=0,"",AQ35-LOOKUP(2,1/(AI35:AP35&lt;&gt;""),AI35:AP35)))</t>
        </is>
      </c>
      <c r="BE35" s="49" t="inlineStr">
        <is>
          <t>IF(OR(F35="",AR35=""),"",IF(COUNT(AI35:AQ35)=0,"",AR35-LOOKUP(2,1/(AI35:AQ35&lt;&gt;""),AI35:AQ35)))</t>
        </is>
      </c>
      <c r="BF35" s="49" t="inlineStr">
        <is>
          <t>IF(OR(F35="",AS35=""),"",IF(COUNT(AI35:AR35)=0,"",AS35-LOOKUP(2,1/(AI35:AR35&lt;&gt;""),AI35:AR35)))</t>
        </is>
      </c>
      <c r="BG35" s="49" t="inlineStr">
        <is>
          <t>IF(OR(F35="",AT35=""),"",IF(COUNT(AI35:AS35)=0,"",AT35-LOOKUP(2,1/(AI35:AS35&lt;&gt;""),AI35:AS35)))</t>
        </is>
      </c>
      <c r="BH35" s="49" t="inlineStr">
        <is>
          <t>IF(OR(F35="",AU35=""),"",IF(COUNT(AI35:AT35)=0,"",AU35-LOOKUP(2,1/(AI35:AT35&lt;&gt;""),AI35:AT35)))</t>
        </is>
      </c>
      <c r="BI35" s="49" t="inlineStr">
        <is>
          <t>IF(OR(F35="",AV35=""),"",IF(COUNT(AI35:AU35)=0,"",AV35-LOOKUP(2,1/(AI35:AU35&lt;&gt;""),AI35:AU35)))</t>
        </is>
      </c>
      <c r="BJ35" s="51" t="inlineStr">
        <is>
          <t>IF(J35="","All_Provinces",IFERROR(VLOOKUP(J35,'09_Lookups'!$A$4:$B$20,2,FALSE),"All_Provinces"))</t>
        </is>
      </c>
      <c r="BK35" s="51" t="inlineStr">
        <is>
          <t>IF(K35="","All_Districts",IFERROR(VLOOKUP(K35,'09_Lookups'!$E$4:$F$42,2,FALSE),"All_Districts"))</t>
        </is>
      </c>
    </row>
    <row r="36" outlineLevel="1" ht="18" customHeight="1">
      <c r="A36" s="42" t="inlineStr">
        <is>
          <t>IF(F36="","",ROW()-3)</t>
        </is>
      </c>
      <c r="B36" s="43" t="inlineStr">
        <is>
          <t>AF2-AGF-ALL</t>
        </is>
      </c>
      <c r="C36" s="43" t="inlineStr">
        <is>
          <t>Agroforestry saplings and seeds 2026/27</t>
        </is>
      </c>
      <c r="D36" s="43" t="inlineStr">
        <is>
          <t>33 of 39</t>
        </is>
      </c>
      <c r="E36" s="52" t="inlineStr">
        <is>
          <t>AF2-AGF-N-033</t>
        </is>
      </c>
      <c r="F36" s="52" t="inlineStr">
        <is>
          <t>Agroforestry — Panjsher / Unaba</t>
        </is>
      </c>
      <c r="G36" s="52" t="inlineStr">
        <is>
          <t>Agroforestry saplings / seeds</t>
        </is>
      </c>
      <c r="H36" s="52" t="inlineStr">
        <is>
          <t>Saplings and seeds</t>
        </is>
      </c>
      <c r="I36" s="52" t="inlineStr">
        <is>
          <t>Emergency Food Security Project (EFSP) – WBK/AF-2</t>
        </is>
      </c>
      <c r="J36" s="52" t="inlineStr">
        <is>
          <t>Central / Kabul</t>
        </is>
      </c>
      <c r="K36" s="52" t="inlineStr">
        <is>
          <t>Panjsher</t>
        </is>
      </c>
      <c r="L36" s="52" t="inlineStr">
        <is>
          <t>Unaba</t>
        </is>
      </c>
      <c r="M36" s="52" t="inlineStr">
        <is>
          <t>Saplings: 4000; Seeds kg: 250</t>
        </is>
      </c>
      <c r="N36" s="52" t="inlineStr">
        <is>
          <t>World Bank (WBK/AF-2)</t>
        </is>
      </c>
      <c r="O36" s="52" t="inlineStr">
        <is>
          <t>Not awarded</t>
        </is>
      </c>
      <c r="P36" s="52" t="inlineStr">
        <is>
          <t>7. Agroforestry Saplings-seeds</t>
        </is>
      </c>
      <c r="Q36" s="52" t="inlineStr"/>
      <c r="R36" s="52" t="inlineStr"/>
      <c r="S36" s="53" t="n"/>
      <c r="T36" s="46" t="inlineStr">
        <is>
          <t>IF(AQ36="","",AQ36)</t>
        </is>
      </c>
      <c r="U36" s="54" t="n">
        <v>46142</v>
      </c>
      <c r="V36" s="55" t="n">
        <v>12</v>
      </c>
      <c r="W36" s="54" t="n">
        <v>46478</v>
      </c>
      <c r="X36" s="46" t="inlineStr">
        <is>
          <t>IF(W36&lt;&gt;"",W36,IF(OR(T36="",V36=""),"",EDATE(T36,V36)))</t>
        </is>
      </c>
      <c r="Y36" s="54" t="n"/>
      <c r="Z36" s="55" t="n"/>
      <c r="AA36" s="52" t="inlineStr">
        <is>
          <t>Under Awarding</t>
        </is>
      </c>
      <c r="AB36" s="52" t="inlineStr">
        <is>
          <t>The saplings PO has already been issued and PO for seeds is expected to be issued in November 2026</t>
        </is>
      </c>
      <c r="AC36" s="42" t="inlineStr">
        <is>
          <t>IF(F36="","",IF(COUNT(AI36:AV36)=0,IF(AA36="","Not started",AA36),SUBSTITUTE(LOOKUP(2,1/(AI36:AV36&lt;&gt;""),$AI$3:$AV$3),"Date: ","")))</t>
        </is>
      </c>
      <c r="AD36" s="49" t="inlineStr">
        <is>
          <t>IF(OR(F36="",COUNT(AI36:AV36)=0),"",TODAY()-LOOKUP(2,1/(AI36:AV36&lt;&gt;""),AI36:AV36))</t>
        </is>
      </c>
      <c r="AE36" s="49" t="inlineStr">
        <is>
          <t>IF(OR(F36="",COUNT(AI36:AV36)&lt;2),"",LOOKUP(2,1/(AI36:AV36&lt;&gt;""),AI36:AV36)-MIN(AI36:AV36))</t>
        </is>
      </c>
      <c r="AF36" s="49" t="inlineStr">
        <is>
          <t>IF(OR(AD36="",AC36="Not started",AC36=""),"",IFERROR(AD36-IF(VLOOKUP(AC36,'06_Status_Pipeline'!$B$3:$E$20,4,FALSE)="",0,VLOOKUP(AC36,'06_Status_Pipeline'!$B$3:$E$20,4,FALSE)),""))</t>
        </is>
      </c>
      <c r="AG36" s="42" t="inlineStr">
        <is>
          <t>IF(F36="","",IF(OR(AA36="Cancelled",AC36="Cancelled"),"Cancelled",IF(OR(AC36="Completed / Handover",Y36&lt;&gt;"",Z36&gt;=100),"Completed — on track",IF(O36="Not awarded",IF(U36="",IF(X36="","No planned date",IF(TODAY()&gt;X36,"Behind — past planned date",IF(X36-TODAY()&lt;=30,"At risk — close to off track","On track"))),IF(TODAY()&gt;U36,"Behind — award date passed",IF(U36-TODAY()&lt;=30,"At risk — close to off track","On track"))),IF(X36="","No planned date",IF(AND(TODAY()&gt;X36,OR(Z36="",Z36&lt;100)),"Behind — past end date",IF(AND(T36&lt;&gt;"",X36&lt;&gt;"",Z36&lt;&gt;"",(Z36&lt;100),((TODAY()-T36)/MAX(X36-T36,1)*100)-Z36&gt;15),"Behind — progress lag",IF(AND(X36-TODAY()&lt;=30,X36-TODAY()&gt;=0,OR(Z36="",Z36&lt;90)),"At risk — close to off track","On track"))))))))</t>
        </is>
      </c>
      <c r="AH36" s="49" t="inlineStr">
        <is>
          <t>IF(OR(F36="",AC36="Completed / Handover",AC36="Cancelled"),"",IF(O36="Not awarded",IF(U36&lt;&gt;"",U36-TODAY(),IF(X36="","",X36-TODAY())),IF(X36="","",X36-TODAY())))</t>
        </is>
      </c>
      <c r="AI36" s="54" t="n"/>
      <c r="AJ36" s="54" t="n"/>
      <c r="AK36" s="54" t="n"/>
      <c r="AL36" s="54" t="n"/>
      <c r="AM36" s="54" t="n"/>
      <c r="AN36" s="54" t="n"/>
      <c r="AO36" s="54" t="n"/>
      <c r="AP36" s="54" t="n"/>
      <c r="AQ36" s="54" t="n"/>
      <c r="AR36" s="54" t="n"/>
      <c r="AS36" s="54" t="n"/>
      <c r="AT36" s="50" t="n"/>
      <c r="AU36" s="50" t="n"/>
      <c r="AV36" s="50" t="n"/>
      <c r="AW36" s="49" t="inlineStr">
        <is>
          <t>IF(OR(F36="",AJ36=""),"",IF(COUNT(AI36:AI36)=0,"",AJ36-LOOKUP(2,1/(AI36:AI36&lt;&gt;""),AI36:AI36)))</t>
        </is>
      </c>
      <c r="AX36" s="49" t="inlineStr">
        <is>
          <t>IF(OR(F36="",AK36=""),"",IF(COUNT(AI36:AJ36)=0,"",AK36-LOOKUP(2,1/(AI36:AJ36&lt;&gt;""),AI36:AJ36)))</t>
        </is>
      </c>
      <c r="AY36" s="49" t="inlineStr">
        <is>
          <t>IF(OR(F36="",AL36=""),"",IF(COUNT(AI36:AK36)=0,"",AL36-LOOKUP(2,1/(AI36:AK36&lt;&gt;""),AI36:AK36)))</t>
        </is>
      </c>
      <c r="AZ36" s="49" t="inlineStr">
        <is>
          <t>IF(OR(F36="",AM36=""),"",IF(COUNT(AI36:AL36)=0,"",AM36-LOOKUP(2,1/(AI36:AL36&lt;&gt;""),AI36:AL36)))</t>
        </is>
      </c>
      <c r="BA36" s="49" t="inlineStr">
        <is>
          <t>IF(OR(F36="",AN36=""),"",IF(COUNT(AI36:AM36)=0,"",AN36-LOOKUP(2,1/(AI36:AM36&lt;&gt;""),AI36:AM36)))</t>
        </is>
      </c>
      <c r="BB36" s="49" t="inlineStr">
        <is>
          <t>IF(OR(F36="",AO36=""),"",IF(COUNT(AI36:AN36)=0,"",AO36-LOOKUP(2,1/(AI36:AN36&lt;&gt;""),AI36:AN36)))</t>
        </is>
      </c>
      <c r="BC36" s="49" t="inlineStr">
        <is>
          <t>IF(OR(F36="",AP36=""),"",IF(COUNT(AI36:AO36)=0,"",AP36-LOOKUP(2,1/(AI36:AO36&lt;&gt;""),AI36:AO36)))</t>
        </is>
      </c>
      <c r="BD36" s="49" t="inlineStr">
        <is>
          <t>IF(OR(F36="",AQ36=""),"",IF(COUNT(AI36:AP36)=0,"",AQ36-LOOKUP(2,1/(AI36:AP36&lt;&gt;""),AI36:AP36)))</t>
        </is>
      </c>
      <c r="BE36" s="49" t="inlineStr">
        <is>
          <t>IF(OR(F36="",AR36=""),"",IF(COUNT(AI36:AQ36)=0,"",AR36-LOOKUP(2,1/(AI36:AQ36&lt;&gt;""),AI36:AQ36)))</t>
        </is>
      </c>
      <c r="BF36" s="49" t="inlineStr">
        <is>
          <t>IF(OR(F36="",AS36=""),"",IF(COUNT(AI36:AR36)=0,"",AS36-LOOKUP(2,1/(AI36:AR36&lt;&gt;""),AI36:AR36)))</t>
        </is>
      </c>
      <c r="BG36" s="49" t="inlineStr">
        <is>
          <t>IF(OR(F36="",AT36=""),"",IF(COUNT(AI36:AS36)=0,"",AT36-LOOKUP(2,1/(AI36:AS36&lt;&gt;""),AI36:AS36)))</t>
        </is>
      </c>
      <c r="BH36" s="49" t="inlineStr">
        <is>
          <t>IF(OR(F36="",AU36=""),"",IF(COUNT(AI36:AT36)=0,"",AU36-LOOKUP(2,1/(AI36:AT36&lt;&gt;""),AI36:AT36)))</t>
        </is>
      </c>
      <c r="BI36" s="49" t="inlineStr">
        <is>
          <t>IF(OR(F36="",AV36=""),"",IF(COUNT(AI36:AU36)=0,"",AV36-LOOKUP(2,1/(AI36:AU36&lt;&gt;""),AI36:AU36)))</t>
        </is>
      </c>
      <c r="BJ36" s="51" t="inlineStr">
        <is>
          <t>IF(J36="","All_Provinces",IFERROR(VLOOKUP(J36,'09_Lookups'!$A$4:$B$20,2,FALSE),"All_Provinces"))</t>
        </is>
      </c>
      <c r="BK36" s="51" t="inlineStr">
        <is>
          <t>IF(K36="","All_Districts",IFERROR(VLOOKUP(K36,'09_Lookups'!$E$4:$F$42,2,FALSE),"All_Districts"))</t>
        </is>
      </c>
    </row>
    <row r="37" outlineLevel="1" ht="18" customHeight="1">
      <c r="A37" s="42" t="inlineStr">
        <is>
          <t>IF(F37="","",ROW()-3)</t>
        </is>
      </c>
      <c r="B37" s="43" t="inlineStr">
        <is>
          <t>AF2-AGF-ALL</t>
        </is>
      </c>
      <c r="C37" s="43" t="inlineStr">
        <is>
          <t>Agroforestry saplings and seeds 2026/27</t>
        </is>
      </c>
      <c r="D37" s="43" t="inlineStr">
        <is>
          <t>34 of 39</t>
        </is>
      </c>
      <c r="E37" s="44" t="inlineStr">
        <is>
          <t>AF2-AGF-N-034</t>
        </is>
      </c>
      <c r="F37" s="44" t="inlineStr">
        <is>
          <t>Agroforestry — Samangan / Aybak</t>
        </is>
      </c>
      <c r="G37" s="44" t="inlineStr">
        <is>
          <t>Agroforestry saplings / seeds</t>
        </is>
      </c>
      <c r="H37" s="44" t="inlineStr">
        <is>
          <t>Saplings and seeds</t>
        </is>
      </c>
      <c r="I37" s="44" t="inlineStr">
        <is>
          <t>Emergency Food Security Project (EFSP) – WBK/AF-2</t>
        </is>
      </c>
      <c r="J37" s="44" t="inlineStr">
        <is>
          <t>North / Mazar</t>
        </is>
      </c>
      <c r="K37" s="44" t="inlineStr">
        <is>
          <t>Samangan</t>
        </is>
      </c>
      <c r="L37" s="44" t="inlineStr">
        <is>
          <t>Aybak</t>
        </is>
      </c>
      <c r="M37" s="44" t="inlineStr">
        <is>
          <t>Saplings: 0; Seeds kg: 173</t>
        </is>
      </c>
      <c r="N37" s="44" t="inlineStr">
        <is>
          <t>World Bank (WBK/AF-2)</t>
        </is>
      </c>
      <c r="O37" s="44" t="inlineStr">
        <is>
          <t>Not awarded</t>
        </is>
      </c>
      <c r="P37" s="44" t="inlineStr">
        <is>
          <t>7. Agroforestry Saplings-seeds</t>
        </is>
      </c>
      <c r="Q37" s="44" t="inlineStr"/>
      <c r="R37" s="44" t="inlineStr"/>
      <c r="S37" s="45" t="n"/>
      <c r="T37" s="46" t="inlineStr">
        <is>
          <t>IF(AQ37="","",AQ37)</t>
        </is>
      </c>
      <c r="U37" s="47" t="n">
        <v>46142</v>
      </c>
      <c r="V37" s="48" t="n">
        <v>12</v>
      </c>
      <c r="W37" s="47" t="n">
        <v>46478</v>
      </c>
      <c r="X37" s="46" t="inlineStr">
        <is>
          <t>IF(W37&lt;&gt;"",W37,IF(OR(T37="",V37=""),"",EDATE(T37,V37)))</t>
        </is>
      </c>
      <c r="Y37" s="47" t="n"/>
      <c r="Z37" s="48" t="n"/>
      <c r="AA37" s="44" t="inlineStr">
        <is>
          <t>Under Awarding</t>
        </is>
      </c>
      <c r="AB37" s="44" t="inlineStr">
        <is>
          <t>The saplings PO has already been issued and PO for seeds is expected to be issued in November 2026</t>
        </is>
      </c>
      <c r="AC37" s="42" t="inlineStr">
        <is>
          <t>IF(F37="","",IF(COUNT(AI37:AV37)=0,IF(AA37="","Not started",AA37),SUBSTITUTE(LOOKUP(2,1/(AI37:AV37&lt;&gt;""),$AI$3:$AV$3),"Date: ","")))</t>
        </is>
      </c>
      <c r="AD37" s="49" t="inlineStr">
        <is>
          <t>IF(OR(F37="",COUNT(AI37:AV37)=0),"",TODAY()-LOOKUP(2,1/(AI37:AV37&lt;&gt;""),AI37:AV37))</t>
        </is>
      </c>
      <c r="AE37" s="49" t="inlineStr">
        <is>
          <t>IF(OR(F37="",COUNT(AI37:AV37)&lt;2),"",LOOKUP(2,1/(AI37:AV37&lt;&gt;""),AI37:AV37)-MIN(AI37:AV37))</t>
        </is>
      </c>
      <c r="AF37" s="49" t="inlineStr">
        <is>
          <t>IF(OR(AD37="",AC37="Not started",AC37=""),"",IFERROR(AD37-IF(VLOOKUP(AC37,'06_Status_Pipeline'!$B$3:$E$20,4,FALSE)="",0,VLOOKUP(AC37,'06_Status_Pipeline'!$B$3:$E$20,4,FALSE)),""))</t>
        </is>
      </c>
      <c r="AG37" s="42" t="inlineStr">
        <is>
          <t>IF(F37="","",IF(OR(AA37="Cancelled",AC37="Cancelled"),"Cancelled",IF(OR(AC37="Completed / Handover",Y37&lt;&gt;"",Z37&gt;=100),"Completed — on track",IF(O37="Not awarded",IF(U37="",IF(X37="","No planned date",IF(TODAY()&gt;X37,"Behind — past planned date",IF(X37-TODAY()&lt;=30,"At risk — close to off track","On track"))),IF(TODAY()&gt;U37,"Behind — award date passed",IF(U37-TODAY()&lt;=30,"At risk — close to off track","On track"))),IF(X37="","No planned date",IF(AND(TODAY()&gt;X37,OR(Z37="",Z37&lt;100)),"Behind — past end date",IF(AND(T37&lt;&gt;"",X37&lt;&gt;"",Z37&lt;&gt;"",(Z37&lt;100),((TODAY()-T37)/MAX(X37-T37,1)*100)-Z37&gt;15),"Behind — progress lag",IF(AND(X37-TODAY()&lt;=30,X37-TODAY()&gt;=0,OR(Z37="",Z37&lt;90)),"At risk — close to off track","On track"))))))))</t>
        </is>
      </c>
      <c r="AH37" s="49" t="inlineStr">
        <is>
          <t>IF(OR(F37="",AC37="Completed / Handover",AC37="Cancelled"),"",IF(O37="Not awarded",IF(U37&lt;&gt;"",U37-TODAY(),IF(X37="","",X37-TODAY())),IF(X37="","",X37-TODAY())))</t>
        </is>
      </c>
      <c r="AI37" s="47" t="n"/>
      <c r="AJ37" s="47" t="n"/>
      <c r="AK37" s="47" t="n"/>
      <c r="AL37" s="47" t="n"/>
      <c r="AM37" s="47" t="n"/>
      <c r="AN37" s="47" t="n"/>
      <c r="AO37" s="47" t="n"/>
      <c r="AP37" s="47" t="n"/>
      <c r="AQ37" s="47" t="n"/>
      <c r="AR37" s="47" t="n"/>
      <c r="AS37" s="47" t="n"/>
      <c r="AT37" s="50" t="n"/>
      <c r="AU37" s="50" t="n"/>
      <c r="AV37" s="50" t="n"/>
      <c r="AW37" s="49" t="inlineStr">
        <is>
          <t>IF(OR(F37="",AJ37=""),"",IF(COUNT(AI37:AI37)=0,"",AJ37-LOOKUP(2,1/(AI37:AI37&lt;&gt;""),AI37:AI37)))</t>
        </is>
      </c>
      <c r="AX37" s="49" t="inlineStr">
        <is>
          <t>IF(OR(F37="",AK37=""),"",IF(COUNT(AI37:AJ37)=0,"",AK37-LOOKUP(2,1/(AI37:AJ37&lt;&gt;""),AI37:AJ37)))</t>
        </is>
      </c>
      <c r="AY37" s="49" t="inlineStr">
        <is>
          <t>IF(OR(F37="",AL37=""),"",IF(COUNT(AI37:AK37)=0,"",AL37-LOOKUP(2,1/(AI37:AK37&lt;&gt;""),AI37:AK37)))</t>
        </is>
      </c>
      <c r="AZ37" s="49" t="inlineStr">
        <is>
          <t>IF(OR(F37="",AM37=""),"",IF(COUNT(AI37:AL37)=0,"",AM37-LOOKUP(2,1/(AI37:AL37&lt;&gt;""),AI37:AL37)))</t>
        </is>
      </c>
      <c r="BA37" s="49" t="inlineStr">
        <is>
          <t>IF(OR(F37="",AN37=""),"",IF(COUNT(AI37:AM37)=0,"",AN37-LOOKUP(2,1/(AI37:AM37&lt;&gt;""),AI37:AM37)))</t>
        </is>
      </c>
      <c r="BB37" s="49" t="inlineStr">
        <is>
          <t>IF(OR(F37="",AO37=""),"",IF(COUNT(AI37:AN37)=0,"",AO37-LOOKUP(2,1/(AI37:AN37&lt;&gt;""),AI37:AN37)))</t>
        </is>
      </c>
      <c r="BC37" s="49" t="inlineStr">
        <is>
          <t>IF(OR(F37="",AP37=""),"",IF(COUNT(AI37:AO37)=0,"",AP37-LOOKUP(2,1/(AI37:AO37&lt;&gt;""),AI37:AO37)))</t>
        </is>
      </c>
      <c r="BD37" s="49" t="inlineStr">
        <is>
          <t>IF(OR(F37="",AQ37=""),"",IF(COUNT(AI37:AP37)=0,"",AQ37-LOOKUP(2,1/(AI37:AP37&lt;&gt;""),AI37:AP37)))</t>
        </is>
      </c>
      <c r="BE37" s="49" t="inlineStr">
        <is>
          <t>IF(OR(F37="",AR37=""),"",IF(COUNT(AI37:AQ37)=0,"",AR37-LOOKUP(2,1/(AI37:AQ37&lt;&gt;""),AI37:AQ37)))</t>
        </is>
      </c>
      <c r="BF37" s="49" t="inlineStr">
        <is>
          <t>IF(OR(F37="",AS37=""),"",IF(COUNT(AI37:AR37)=0,"",AS37-LOOKUP(2,1/(AI37:AR37&lt;&gt;""),AI37:AR37)))</t>
        </is>
      </c>
      <c r="BG37" s="49" t="inlineStr">
        <is>
          <t>IF(OR(F37="",AT37=""),"",IF(COUNT(AI37:AS37)=0,"",AT37-LOOKUP(2,1/(AI37:AS37&lt;&gt;""),AI37:AS37)))</t>
        </is>
      </c>
      <c r="BH37" s="49" t="inlineStr">
        <is>
          <t>IF(OR(F37="",AU37=""),"",IF(COUNT(AI37:AT37)=0,"",AU37-LOOKUP(2,1/(AI37:AT37&lt;&gt;""),AI37:AT37)))</t>
        </is>
      </c>
      <c r="BI37" s="49" t="inlineStr">
        <is>
          <t>IF(OR(F37="",AV37=""),"",IF(COUNT(AI37:AU37)=0,"",AV37-LOOKUP(2,1/(AI37:AU37&lt;&gt;""),AI37:AU37)))</t>
        </is>
      </c>
      <c r="BJ37" s="51" t="inlineStr">
        <is>
          <t>IF(J37="","All_Provinces",IFERROR(VLOOKUP(J37,'09_Lookups'!$A$4:$B$20,2,FALSE),"All_Provinces"))</t>
        </is>
      </c>
      <c r="BK37" s="51" t="inlineStr">
        <is>
          <t>IF(K37="","All_Districts",IFERROR(VLOOKUP(K37,'09_Lookups'!$E$4:$F$42,2,FALSE),"All_Districts"))</t>
        </is>
      </c>
    </row>
    <row r="38" outlineLevel="1" ht="18" customHeight="1">
      <c r="A38" s="42" t="inlineStr">
        <is>
          <t>IF(F38="","",ROW()-3)</t>
        </is>
      </c>
      <c r="B38" s="43" t="inlineStr">
        <is>
          <t>AF2-AGF-ALL</t>
        </is>
      </c>
      <c r="C38" s="43" t="inlineStr">
        <is>
          <t>Agroforestry saplings and seeds 2026/27</t>
        </is>
      </c>
      <c r="D38" s="43" t="inlineStr">
        <is>
          <t>35 of 39</t>
        </is>
      </c>
      <c r="E38" s="52" t="inlineStr">
        <is>
          <t>AF2-AGF-N-035</t>
        </is>
      </c>
      <c r="F38" s="52" t="inlineStr">
        <is>
          <t>Agroforestry — Samangan / Hazrat-e-Sultan</t>
        </is>
      </c>
      <c r="G38" s="52" t="inlineStr">
        <is>
          <t>Agroforestry saplings / seeds</t>
        </is>
      </c>
      <c r="H38" s="52" t="inlineStr">
        <is>
          <t>Saplings and seeds</t>
        </is>
      </c>
      <c r="I38" s="52" t="inlineStr">
        <is>
          <t>Emergency Food Security Project (EFSP) – WBK/AF-2</t>
        </is>
      </c>
      <c r="J38" s="52" t="inlineStr">
        <is>
          <t>North / Mazar</t>
        </is>
      </c>
      <c r="K38" s="52" t="inlineStr">
        <is>
          <t>Samangan</t>
        </is>
      </c>
      <c r="L38" s="52" t="inlineStr">
        <is>
          <t>Hazrat-e-Sultan</t>
        </is>
      </c>
      <c r="M38" s="52" t="inlineStr">
        <is>
          <t>Saplings: 1300; Seeds kg: 65</t>
        </is>
      </c>
      <c r="N38" s="52" t="inlineStr">
        <is>
          <t>World Bank (WBK/AF-2)</t>
        </is>
      </c>
      <c r="O38" s="52" t="inlineStr">
        <is>
          <t>Not awarded</t>
        </is>
      </c>
      <c r="P38" s="52" t="inlineStr">
        <is>
          <t>7. Agroforestry Saplings-seeds</t>
        </is>
      </c>
      <c r="Q38" s="52" t="inlineStr"/>
      <c r="R38" s="52" t="inlineStr"/>
      <c r="S38" s="53" t="n"/>
      <c r="T38" s="46" t="inlineStr">
        <is>
          <t>IF(AQ38="","",AQ38)</t>
        </is>
      </c>
      <c r="U38" s="54" t="n">
        <v>46142</v>
      </c>
      <c r="V38" s="55" t="n">
        <v>12</v>
      </c>
      <c r="W38" s="54" t="n">
        <v>46478</v>
      </c>
      <c r="X38" s="46" t="inlineStr">
        <is>
          <t>IF(W38&lt;&gt;"",W38,IF(OR(T38="",V38=""),"",EDATE(T38,V38)))</t>
        </is>
      </c>
      <c r="Y38" s="54" t="n"/>
      <c r="Z38" s="55" t="n"/>
      <c r="AA38" s="52" t="inlineStr">
        <is>
          <t>Under Awarding</t>
        </is>
      </c>
      <c r="AB38" s="52" t="inlineStr">
        <is>
          <t>The saplings PO has already been issued and PO for seeds is expected to be issued in November 2026</t>
        </is>
      </c>
      <c r="AC38" s="42" t="inlineStr">
        <is>
          <t>IF(F38="","",IF(COUNT(AI38:AV38)=0,IF(AA38="","Not started",AA38),SUBSTITUTE(LOOKUP(2,1/(AI38:AV38&lt;&gt;""),$AI$3:$AV$3),"Date: ","")))</t>
        </is>
      </c>
      <c r="AD38" s="49" t="inlineStr">
        <is>
          <t>IF(OR(F38="",COUNT(AI38:AV38)=0),"",TODAY()-LOOKUP(2,1/(AI38:AV38&lt;&gt;""),AI38:AV38))</t>
        </is>
      </c>
      <c r="AE38" s="49" t="inlineStr">
        <is>
          <t>IF(OR(F38="",COUNT(AI38:AV38)&lt;2),"",LOOKUP(2,1/(AI38:AV38&lt;&gt;""),AI38:AV38)-MIN(AI38:AV38))</t>
        </is>
      </c>
      <c r="AF38" s="49" t="inlineStr">
        <is>
          <t>IF(OR(AD38="",AC38="Not started",AC38=""),"",IFERROR(AD38-IF(VLOOKUP(AC38,'06_Status_Pipeline'!$B$3:$E$20,4,FALSE)="",0,VLOOKUP(AC38,'06_Status_Pipeline'!$B$3:$E$20,4,FALSE)),""))</t>
        </is>
      </c>
      <c r="AG38" s="42" t="inlineStr">
        <is>
          <t>IF(F38="","",IF(OR(AA38="Cancelled",AC38="Cancelled"),"Cancelled",IF(OR(AC38="Completed / Handover",Y38&lt;&gt;"",Z38&gt;=100),"Completed — on track",IF(O38="Not awarded",IF(U38="",IF(X38="","No planned date",IF(TODAY()&gt;X38,"Behind — past planned date",IF(X38-TODAY()&lt;=30,"At risk — close to off track","On track"))),IF(TODAY()&gt;U38,"Behind — award date passed",IF(U38-TODAY()&lt;=30,"At risk — close to off track","On track"))),IF(X38="","No planned date",IF(AND(TODAY()&gt;X38,OR(Z38="",Z38&lt;100)),"Behind — past end date",IF(AND(T38&lt;&gt;"",X38&lt;&gt;"",Z38&lt;&gt;"",(Z38&lt;100),((TODAY()-T38)/MAX(X38-T38,1)*100)-Z38&gt;15),"Behind — progress lag",IF(AND(X38-TODAY()&lt;=30,X38-TODAY()&gt;=0,OR(Z38="",Z38&lt;90)),"At risk — close to off track","On track"))))))))</t>
        </is>
      </c>
      <c r="AH38" s="49" t="inlineStr">
        <is>
          <t>IF(OR(F38="",AC38="Completed / Handover",AC38="Cancelled"),"",IF(O38="Not awarded",IF(U38&lt;&gt;"",U38-TODAY(),IF(X38="","",X38-TODAY())),IF(X38="","",X38-TODAY())))</t>
        </is>
      </c>
      <c r="AI38" s="54" t="n"/>
      <c r="AJ38" s="54" t="n"/>
      <c r="AK38" s="54" t="n"/>
      <c r="AL38" s="54" t="n"/>
      <c r="AM38" s="54" t="n"/>
      <c r="AN38" s="54" t="n"/>
      <c r="AO38" s="54" t="n"/>
      <c r="AP38" s="54" t="n"/>
      <c r="AQ38" s="54" t="n"/>
      <c r="AR38" s="54" t="n"/>
      <c r="AS38" s="54" t="n"/>
      <c r="AT38" s="50" t="n"/>
      <c r="AU38" s="50" t="n"/>
      <c r="AV38" s="50" t="n"/>
      <c r="AW38" s="49" t="inlineStr">
        <is>
          <t>IF(OR(F38="",AJ38=""),"",IF(COUNT(AI38:AI38)=0,"",AJ38-LOOKUP(2,1/(AI38:AI38&lt;&gt;""),AI38:AI38)))</t>
        </is>
      </c>
      <c r="AX38" s="49" t="inlineStr">
        <is>
          <t>IF(OR(F38="",AK38=""),"",IF(COUNT(AI38:AJ38)=0,"",AK38-LOOKUP(2,1/(AI38:AJ38&lt;&gt;""),AI38:AJ38)))</t>
        </is>
      </c>
      <c r="AY38" s="49" t="inlineStr">
        <is>
          <t>IF(OR(F38="",AL38=""),"",IF(COUNT(AI38:AK38)=0,"",AL38-LOOKUP(2,1/(AI38:AK38&lt;&gt;""),AI38:AK38)))</t>
        </is>
      </c>
      <c r="AZ38" s="49" t="inlineStr">
        <is>
          <t>IF(OR(F38="",AM38=""),"",IF(COUNT(AI38:AL38)=0,"",AM38-LOOKUP(2,1/(AI38:AL38&lt;&gt;""),AI38:AL38)))</t>
        </is>
      </c>
      <c r="BA38" s="49" t="inlineStr">
        <is>
          <t>IF(OR(F38="",AN38=""),"",IF(COUNT(AI38:AM38)=0,"",AN38-LOOKUP(2,1/(AI38:AM38&lt;&gt;""),AI38:AM38)))</t>
        </is>
      </c>
      <c r="BB38" s="49" t="inlineStr">
        <is>
          <t>IF(OR(F38="",AO38=""),"",IF(COUNT(AI38:AN38)=0,"",AO38-LOOKUP(2,1/(AI38:AN38&lt;&gt;""),AI38:AN38)))</t>
        </is>
      </c>
      <c r="BC38" s="49" t="inlineStr">
        <is>
          <t>IF(OR(F38="",AP38=""),"",IF(COUNT(AI38:AO38)=0,"",AP38-LOOKUP(2,1/(AI38:AO38&lt;&gt;""),AI38:AO38)))</t>
        </is>
      </c>
      <c r="BD38" s="49" t="inlineStr">
        <is>
          <t>IF(OR(F38="",AQ38=""),"",IF(COUNT(AI38:AP38)=0,"",AQ38-LOOKUP(2,1/(AI38:AP38&lt;&gt;""),AI38:AP38)))</t>
        </is>
      </c>
      <c r="BE38" s="49" t="inlineStr">
        <is>
          <t>IF(OR(F38="",AR38=""),"",IF(COUNT(AI38:AQ38)=0,"",AR38-LOOKUP(2,1/(AI38:AQ38&lt;&gt;""),AI38:AQ38)))</t>
        </is>
      </c>
      <c r="BF38" s="49" t="inlineStr">
        <is>
          <t>IF(OR(F38="",AS38=""),"",IF(COUNT(AI38:AR38)=0,"",AS38-LOOKUP(2,1/(AI38:AR38&lt;&gt;""),AI38:AR38)))</t>
        </is>
      </c>
      <c r="BG38" s="49" t="inlineStr">
        <is>
          <t>IF(OR(F38="",AT38=""),"",IF(COUNT(AI38:AS38)=0,"",AT38-LOOKUP(2,1/(AI38:AS38&lt;&gt;""),AI38:AS38)))</t>
        </is>
      </c>
      <c r="BH38" s="49" t="inlineStr">
        <is>
          <t>IF(OR(F38="",AU38=""),"",IF(COUNT(AI38:AT38)=0,"",AU38-LOOKUP(2,1/(AI38:AT38&lt;&gt;""),AI38:AT38)))</t>
        </is>
      </c>
      <c r="BI38" s="49" t="inlineStr">
        <is>
          <t>IF(OR(F38="",AV38=""),"",IF(COUNT(AI38:AU38)=0,"",AV38-LOOKUP(2,1/(AI38:AU38&lt;&gt;""),AI38:AU38)))</t>
        </is>
      </c>
      <c r="BJ38" s="51" t="inlineStr">
        <is>
          <t>IF(J38="","All_Provinces",IFERROR(VLOOKUP(J38,'09_Lookups'!$A$4:$B$20,2,FALSE),"All_Provinces"))</t>
        </is>
      </c>
      <c r="BK38" s="51" t="inlineStr">
        <is>
          <t>IF(K38="","All_Districts",IFERROR(VLOOKUP(K38,'09_Lookups'!$E$4:$F$42,2,FALSE),"All_Districts"))</t>
        </is>
      </c>
    </row>
    <row r="39" outlineLevel="1" ht="18" customHeight="1">
      <c r="A39" s="42" t="inlineStr">
        <is>
          <t>IF(F39="","",ROW()-3)</t>
        </is>
      </c>
      <c r="B39" s="43" t="inlineStr">
        <is>
          <t>AF2-AGF-ALL</t>
        </is>
      </c>
      <c r="C39" s="43" t="inlineStr">
        <is>
          <t>Agroforestry saplings and seeds 2026/27</t>
        </is>
      </c>
      <c r="D39" s="43" t="inlineStr">
        <is>
          <t>36 of 39</t>
        </is>
      </c>
      <c r="E39" s="44" t="inlineStr">
        <is>
          <t>AF2-AGF-N-036</t>
        </is>
      </c>
      <c r="F39" s="44" t="inlineStr">
        <is>
          <t>Agroforestry — Sari Pul / Balkhab</t>
        </is>
      </c>
      <c r="G39" s="44" t="inlineStr">
        <is>
          <t>Agroforestry saplings / seeds</t>
        </is>
      </c>
      <c r="H39" s="44" t="inlineStr">
        <is>
          <t>Saplings and seeds</t>
        </is>
      </c>
      <c r="I39" s="44" t="inlineStr">
        <is>
          <t>Emergency Food Security Project (EFSP) – WBK/AF-2</t>
        </is>
      </c>
      <c r="J39" s="44" t="inlineStr">
        <is>
          <t>North / Mazar</t>
        </is>
      </c>
      <c r="K39" s="44" t="inlineStr">
        <is>
          <t>Sari Pul</t>
        </is>
      </c>
      <c r="L39" s="44" t="inlineStr">
        <is>
          <t>Balkhab</t>
        </is>
      </c>
      <c r="M39" s="44" t="inlineStr">
        <is>
          <t>Saplings: 0; Seeds kg: 30</t>
        </is>
      </c>
      <c r="N39" s="44" t="inlineStr">
        <is>
          <t>World Bank (WBK/AF-2)</t>
        </is>
      </c>
      <c r="O39" s="44" t="inlineStr">
        <is>
          <t>Not awarded</t>
        </is>
      </c>
      <c r="P39" s="44" t="inlineStr">
        <is>
          <t>7. Agroforestry Saplings-seeds</t>
        </is>
      </c>
      <c r="Q39" s="44" t="inlineStr"/>
      <c r="R39" s="44" t="inlineStr"/>
      <c r="S39" s="45" t="n"/>
      <c r="T39" s="46" t="inlineStr">
        <is>
          <t>IF(AQ39="","",AQ39)</t>
        </is>
      </c>
      <c r="U39" s="47" t="n">
        <v>46142</v>
      </c>
      <c r="V39" s="48" t="n">
        <v>12</v>
      </c>
      <c r="W39" s="47" t="n">
        <v>46478</v>
      </c>
      <c r="X39" s="46" t="inlineStr">
        <is>
          <t>IF(W39&lt;&gt;"",W39,IF(OR(T39="",V39=""),"",EDATE(T39,V39)))</t>
        </is>
      </c>
      <c r="Y39" s="47" t="n"/>
      <c r="Z39" s="48" t="n"/>
      <c r="AA39" s="44" t="inlineStr">
        <is>
          <t>Under Awarding</t>
        </is>
      </c>
      <c r="AB39" s="44" t="inlineStr">
        <is>
          <t>The saplings PO has already been issued and PO for seeds is expected to be issued in November 2026</t>
        </is>
      </c>
      <c r="AC39" s="42" t="inlineStr">
        <is>
          <t>IF(F39="","",IF(COUNT(AI39:AV39)=0,IF(AA39="","Not started",AA39),SUBSTITUTE(LOOKUP(2,1/(AI39:AV39&lt;&gt;""),$AI$3:$AV$3),"Date: ","")))</t>
        </is>
      </c>
      <c r="AD39" s="49" t="inlineStr">
        <is>
          <t>IF(OR(F39="",COUNT(AI39:AV39)=0),"",TODAY()-LOOKUP(2,1/(AI39:AV39&lt;&gt;""),AI39:AV39))</t>
        </is>
      </c>
      <c r="AE39" s="49" t="inlineStr">
        <is>
          <t>IF(OR(F39="",COUNT(AI39:AV39)&lt;2),"",LOOKUP(2,1/(AI39:AV39&lt;&gt;""),AI39:AV39)-MIN(AI39:AV39))</t>
        </is>
      </c>
      <c r="AF39" s="49" t="inlineStr">
        <is>
          <t>IF(OR(AD39="",AC39="Not started",AC39=""),"",IFERROR(AD39-IF(VLOOKUP(AC39,'06_Status_Pipeline'!$B$3:$E$20,4,FALSE)="",0,VLOOKUP(AC39,'06_Status_Pipeline'!$B$3:$E$20,4,FALSE)),""))</t>
        </is>
      </c>
      <c r="AG39" s="42" t="inlineStr">
        <is>
          <t>IF(F39="","",IF(OR(AA39="Cancelled",AC39="Cancelled"),"Cancelled",IF(OR(AC39="Completed / Handover",Y39&lt;&gt;"",Z39&gt;=100),"Completed — on track",IF(O39="Not awarded",IF(U39="",IF(X39="","No planned date",IF(TODAY()&gt;X39,"Behind — past planned date",IF(X39-TODAY()&lt;=30,"At risk — close to off track","On track"))),IF(TODAY()&gt;U39,"Behind — award date passed",IF(U39-TODAY()&lt;=30,"At risk — close to off track","On track"))),IF(X39="","No planned date",IF(AND(TODAY()&gt;X39,OR(Z39="",Z39&lt;100)),"Behind — past end date",IF(AND(T39&lt;&gt;"",X39&lt;&gt;"",Z39&lt;&gt;"",(Z39&lt;100),((TODAY()-T39)/MAX(X39-T39,1)*100)-Z39&gt;15),"Behind — progress lag",IF(AND(X39-TODAY()&lt;=30,X39-TODAY()&gt;=0,OR(Z39="",Z39&lt;90)),"At risk — close to off track","On track"))))))))</t>
        </is>
      </c>
      <c r="AH39" s="49" t="inlineStr">
        <is>
          <t>IF(OR(F39="",AC39="Completed / Handover",AC39="Cancelled"),"",IF(O39="Not awarded",IF(U39&lt;&gt;"",U39-TODAY(),IF(X39="","",X39-TODAY())),IF(X39="","",X39-TODAY())))</t>
        </is>
      </c>
      <c r="AI39" s="47" t="n"/>
      <c r="AJ39" s="47" t="n"/>
      <c r="AK39" s="47" t="n"/>
      <c r="AL39" s="47" t="n"/>
      <c r="AM39" s="47" t="n"/>
      <c r="AN39" s="47" t="n"/>
      <c r="AO39" s="47" t="n"/>
      <c r="AP39" s="47" t="n"/>
      <c r="AQ39" s="47" t="n"/>
      <c r="AR39" s="47" t="n"/>
      <c r="AS39" s="47" t="n"/>
      <c r="AT39" s="50" t="n"/>
      <c r="AU39" s="50" t="n"/>
      <c r="AV39" s="50" t="n"/>
      <c r="AW39" s="49" t="inlineStr">
        <is>
          <t>IF(OR(F39="",AJ39=""),"",IF(COUNT(AI39:AI39)=0,"",AJ39-LOOKUP(2,1/(AI39:AI39&lt;&gt;""),AI39:AI39)))</t>
        </is>
      </c>
      <c r="AX39" s="49" t="inlineStr">
        <is>
          <t>IF(OR(F39="",AK39=""),"",IF(COUNT(AI39:AJ39)=0,"",AK39-LOOKUP(2,1/(AI39:AJ39&lt;&gt;""),AI39:AJ39)))</t>
        </is>
      </c>
      <c r="AY39" s="49" t="inlineStr">
        <is>
          <t>IF(OR(F39="",AL39=""),"",IF(COUNT(AI39:AK39)=0,"",AL39-LOOKUP(2,1/(AI39:AK39&lt;&gt;""),AI39:AK39)))</t>
        </is>
      </c>
      <c r="AZ39" s="49" t="inlineStr">
        <is>
          <t>IF(OR(F39="",AM39=""),"",IF(COUNT(AI39:AL39)=0,"",AM39-LOOKUP(2,1/(AI39:AL39&lt;&gt;""),AI39:AL39)))</t>
        </is>
      </c>
      <c r="BA39" s="49" t="inlineStr">
        <is>
          <t>IF(OR(F39="",AN39=""),"",IF(COUNT(AI39:AM39)=0,"",AN39-LOOKUP(2,1/(AI39:AM39&lt;&gt;""),AI39:AM39)))</t>
        </is>
      </c>
      <c r="BB39" s="49" t="inlineStr">
        <is>
          <t>IF(OR(F39="",AO39=""),"",IF(COUNT(AI39:AN39)=0,"",AO39-LOOKUP(2,1/(AI39:AN39&lt;&gt;""),AI39:AN39)))</t>
        </is>
      </c>
      <c r="BC39" s="49" t="inlineStr">
        <is>
          <t>IF(OR(F39="",AP39=""),"",IF(COUNT(AI39:AO39)=0,"",AP39-LOOKUP(2,1/(AI39:AO39&lt;&gt;""),AI39:AO39)))</t>
        </is>
      </c>
      <c r="BD39" s="49" t="inlineStr">
        <is>
          <t>IF(OR(F39="",AQ39=""),"",IF(COUNT(AI39:AP39)=0,"",AQ39-LOOKUP(2,1/(AI39:AP39&lt;&gt;""),AI39:AP39)))</t>
        </is>
      </c>
      <c r="BE39" s="49" t="inlineStr">
        <is>
          <t>IF(OR(F39="",AR39=""),"",IF(COUNT(AI39:AQ39)=0,"",AR39-LOOKUP(2,1/(AI39:AQ39&lt;&gt;""),AI39:AQ39)))</t>
        </is>
      </c>
      <c r="BF39" s="49" t="inlineStr">
        <is>
          <t>IF(OR(F39="",AS39=""),"",IF(COUNT(AI39:AR39)=0,"",AS39-LOOKUP(2,1/(AI39:AR39&lt;&gt;""),AI39:AR39)))</t>
        </is>
      </c>
      <c r="BG39" s="49" t="inlineStr">
        <is>
          <t>IF(OR(F39="",AT39=""),"",IF(COUNT(AI39:AS39)=0,"",AT39-LOOKUP(2,1/(AI39:AS39&lt;&gt;""),AI39:AS39)))</t>
        </is>
      </c>
      <c r="BH39" s="49" t="inlineStr">
        <is>
          <t>IF(OR(F39="",AU39=""),"",IF(COUNT(AI39:AT39)=0,"",AU39-LOOKUP(2,1/(AI39:AT39&lt;&gt;""),AI39:AT39)))</t>
        </is>
      </c>
      <c r="BI39" s="49" t="inlineStr">
        <is>
          <t>IF(OR(F39="",AV39=""),"",IF(COUNT(AI39:AU39)=0,"",AV39-LOOKUP(2,1/(AI39:AU39&lt;&gt;""),AI39:AU39)))</t>
        </is>
      </c>
      <c r="BJ39" s="51" t="inlineStr">
        <is>
          <t>IF(J39="","All_Provinces",IFERROR(VLOOKUP(J39,'09_Lookups'!$A$4:$B$20,2,FALSE),"All_Provinces"))</t>
        </is>
      </c>
      <c r="BK39" s="51" t="inlineStr">
        <is>
          <t>IF(K39="","All_Districts",IFERROR(VLOOKUP(K39,'09_Lookups'!$E$4:$F$42,2,FALSE),"All_Districts"))</t>
        </is>
      </c>
    </row>
    <row r="40" outlineLevel="1" ht="18" customHeight="1">
      <c r="A40" s="42" t="inlineStr">
        <is>
          <t>IF(F40="","",ROW()-3)</t>
        </is>
      </c>
      <c r="B40" s="43" t="inlineStr">
        <is>
          <t>AF2-AGF-ALL</t>
        </is>
      </c>
      <c r="C40" s="43" t="inlineStr">
        <is>
          <t>Agroforestry saplings and seeds 2026/27</t>
        </is>
      </c>
      <c r="D40" s="43" t="inlineStr">
        <is>
          <t>37 of 39</t>
        </is>
      </c>
      <c r="E40" s="52" t="inlineStr">
        <is>
          <t>AF2-AGF-N-037</t>
        </is>
      </c>
      <c r="F40" s="52" t="inlineStr">
        <is>
          <t>Agroforestry — Sari Pul / Center</t>
        </is>
      </c>
      <c r="G40" s="52" t="inlineStr">
        <is>
          <t>Agroforestry saplings / seeds</t>
        </is>
      </c>
      <c r="H40" s="52" t="inlineStr">
        <is>
          <t>Saplings and seeds</t>
        </is>
      </c>
      <c r="I40" s="52" t="inlineStr">
        <is>
          <t>Emergency Food Security Project (EFSP) – WBK/AF-2</t>
        </is>
      </c>
      <c r="J40" s="52" t="inlineStr">
        <is>
          <t>North / Mazar</t>
        </is>
      </c>
      <c r="K40" s="52" t="inlineStr">
        <is>
          <t>Sari Pul</t>
        </is>
      </c>
      <c r="L40" s="52" t="inlineStr">
        <is>
          <t>Center</t>
        </is>
      </c>
      <c r="M40" s="52" t="inlineStr">
        <is>
          <t>Saplings: 4800; Seeds kg: 259</t>
        </is>
      </c>
      <c r="N40" s="52" t="inlineStr">
        <is>
          <t>World Bank (WBK/AF-2)</t>
        </is>
      </c>
      <c r="O40" s="52" t="inlineStr">
        <is>
          <t>Not awarded</t>
        </is>
      </c>
      <c r="P40" s="52" t="inlineStr">
        <is>
          <t>7. Agroforestry Saplings-seeds</t>
        </is>
      </c>
      <c r="Q40" s="52" t="inlineStr"/>
      <c r="R40" s="52" t="inlineStr"/>
      <c r="S40" s="53" t="n"/>
      <c r="T40" s="46" t="inlineStr">
        <is>
          <t>IF(AQ40="","",AQ40)</t>
        </is>
      </c>
      <c r="U40" s="54" t="n">
        <v>46142</v>
      </c>
      <c r="V40" s="55" t="n">
        <v>12</v>
      </c>
      <c r="W40" s="54" t="n">
        <v>46478</v>
      </c>
      <c r="X40" s="46" t="inlineStr">
        <is>
          <t>IF(W40&lt;&gt;"",W40,IF(OR(T40="",V40=""),"",EDATE(T40,V40)))</t>
        </is>
      </c>
      <c r="Y40" s="54" t="n"/>
      <c r="Z40" s="55" t="n"/>
      <c r="AA40" s="52" t="inlineStr">
        <is>
          <t>Under Awarding</t>
        </is>
      </c>
      <c r="AB40" s="52" t="inlineStr">
        <is>
          <t>The saplings PO has already been issued and PO for seeds is expected to be issued in November 2026</t>
        </is>
      </c>
      <c r="AC40" s="42" t="inlineStr">
        <is>
          <t>IF(F40="","",IF(COUNT(AI40:AV40)=0,IF(AA40="","Not started",AA40),SUBSTITUTE(LOOKUP(2,1/(AI40:AV40&lt;&gt;""),$AI$3:$AV$3),"Date: ","")))</t>
        </is>
      </c>
      <c r="AD40" s="49" t="inlineStr">
        <is>
          <t>IF(OR(F40="",COUNT(AI40:AV40)=0),"",TODAY()-LOOKUP(2,1/(AI40:AV40&lt;&gt;""),AI40:AV40))</t>
        </is>
      </c>
      <c r="AE40" s="49" t="inlineStr">
        <is>
          <t>IF(OR(F40="",COUNT(AI40:AV40)&lt;2),"",LOOKUP(2,1/(AI40:AV40&lt;&gt;""),AI40:AV40)-MIN(AI40:AV40))</t>
        </is>
      </c>
      <c r="AF40" s="49" t="inlineStr">
        <is>
          <t>IF(OR(AD40="",AC40="Not started",AC40=""),"",IFERROR(AD40-IF(VLOOKUP(AC40,'06_Status_Pipeline'!$B$3:$E$20,4,FALSE)="",0,VLOOKUP(AC40,'06_Status_Pipeline'!$B$3:$E$20,4,FALSE)),""))</t>
        </is>
      </c>
      <c r="AG40" s="42" t="inlineStr">
        <is>
          <t>IF(F40="","",IF(OR(AA40="Cancelled",AC40="Cancelled"),"Cancelled",IF(OR(AC40="Completed / Handover",Y40&lt;&gt;"",Z40&gt;=100),"Completed — on track",IF(O40="Not awarded",IF(U40="",IF(X40="","No planned date",IF(TODAY()&gt;X40,"Behind — past planned date",IF(X40-TODAY()&lt;=30,"At risk — close to off track","On track"))),IF(TODAY()&gt;U40,"Behind — award date passed",IF(U40-TODAY()&lt;=30,"At risk — close to off track","On track"))),IF(X40="","No planned date",IF(AND(TODAY()&gt;X40,OR(Z40="",Z40&lt;100)),"Behind — past end date",IF(AND(T40&lt;&gt;"",X40&lt;&gt;"",Z40&lt;&gt;"",(Z40&lt;100),((TODAY()-T40)/MAX(X40-T40,1)*100)-Z40&gt;15),"Behind — progress lag",IF(AND(X40-TODAY()&lt;=30,X40-TODAY()&gt;=0,OR(Z40="",Z40&lt;90)),"At risk — close to off track","On track"))))))))</t>
        </is>
      </c>
      <c r="AH40" s="49" t="inlineStr">
        <is>
          <t>IF(OR(F40="",AC40="Completed / Handover",AC40="Cancelled"),"",IF(O40="Not awarded",IF(U40&lt;&gt;"",U40-TODAY(),IF(X40="","",X40-TODAY())),IF(X40="","",X40-TODAY())))</t>
        </is>
      </c>
      <c r="AI40" s="54" t="n"/>
      <c r="AJ40" s="54" t="n"/>
      <c r="AK40" s="54" t="n"/>
      <c r="AL40" s="54" t="n"/>
      <c r="AM40" s="54" t="n"/>
      <c r="AN40" s="54" t="n"/>
      <c r="AO40" s="54" t="n"/>
      <c r="AP40" s="54" t="n"/>
      <c r="AQ40" s="54" t="n"/>
      <c r="AR40" s="54" t="n"/>
      <c r="AS40" s="54" t="n"/>
      <c r="AT40" s="50" t="n"/>
      <c r="AU40" s="50" t="n"/>
      <c r="AV40" s="50" t="n"/>
      <c r="AW40" s="49" t="inlineStr">
        <is>
          <t>IF(OR(F40="",AJ40=""),"",IF(COUNT(AI40:AI40)=0,"",AJ40-LOOKUP(2,1/(AI40:AI40&lt;&gt;""),AI40:AI40)))</t>
        </is>
      </c>
      <c r="AX40" s="49" t="inlineStr">
        <is>
          <t>IF(OR(F40="",AK40=""),"",IF(COUNT(AI40:AJ40)=0,"",AK40-LOOKUP(2,1/(AI40:AJ40&lt;&gt;""),AI40:AJ40)))</t>
        </is>
      </c>
      <c r="AY40" s="49" t="inlineStr">
        <is>
          <t>IF(OR(F40="",AL40=""),"",IF(COUNT(AI40:AK40)=0,"",AL40-LOOKUP(2,1/(AI40:AK40&lt;&gt;""),AI40:AK40)))</t>
        </is>
      </c>
      <c r="AZ40" s="49" t="inlineStr">
        <is>
          <t>IF(OR(F40="",AM40=""),"",IF(COUNT(AI40:AL40)=0,"",AM40-LOOKUP(2,1/(AI40:AL40&lt;&gt;""),AI40:AL40)))</t>
        </is>
      </c>
      <c r="BA40" s="49" t="inlineStr">
        <is>
          <t>IF(OR(F40="",AN40=""),"",IF(COUNT(AI40:AM40)=0,"",AN40-LOOKUP(2,1/(AI40:AM40&lt;&gt;""),AI40:AM40)))</t>
        </is>
      </c>
      <c r="BB40" s="49" t="inlineStr">
        <is>
          <t>IF(OR(F40="",AO40=""),"",IF(COUNT(AI40:AN40)=0,"",AO40-LOOKUP(2,1/(AI40:AN40&lt;&gt;""),AI40:AN40)))</t>
        </is>
      </c>
      <c r="BC40" s="49" t="inlineStr">
        <is>
          <t>IF(OR(F40="",AP40=""),"",IF(COUNT(AI40:AO40)=0,"",AP40-LOOKUP(2,1/(AI40:AO40&lt;&gt;""),AI40:AO40)))</t>
        </is>
      </c>
      <c r="BD40" s="49" t="inlineStr">
        <is>
          <t>IF(OR(F40="",AQ40=""),"",IF(COUNT(AI40:AP40)=0,"",AQ40-LOOKUP(2,1/(AI40:AP40&lt;&gt;""),AI40:AP40)))</t>
        </is>
      </c>
      <c r="BE40" s="49" t="inlineStr">
        <is>
          <t>IF(OR(F40="",AR40=""),"",IF(COUNT(AI40:AQ40)=0,"",AR40-LOOKUP(2,1/(AI40:AQ40&lt;&gt;""),AI40:AQ40)))</t>
        </is>
      </c>
      <c r="BF40" s="49" t="inlineStr">
        <is>
          <t>IF(OR(F40="",AS40=""),"",IF(COUNT(AI40:AR40)=0,"",AS40-LOOKUP(2,1/(AI40:AR40&lt;&gt;""),AI40:AR40)))</t>
        </is>
      </c>
      <c r="BG40" s="49" t="inlineStr">
        <is>
          <t>IF(OR(F40="",AT40=""),"",IF(COUNT(AI40:AS40)=0,"",AT40-LOOKUP(2,1/(AI40:AS40&lt;&gt;""),AI40:AS40)))</t>
        </is>
      </c>
      <c r="BH40" s="49" t="inlineStr">
        <is>
          <t>IF(OR(F40="",AU40=""),"",IF(COUNT(AI40:AT40)=0,"",AU40-LOOKUP(2,1/(AI40:AT40&lt;&gt;""),AI40:AT40)))</t>
        </is>
      </c>
      <c r="BI40" s="49" t="inlineStr">
        <is>
          <t>IF(OR(F40="",AV40=""),"",IF(COUNT(AI40:AU40)=0,"",AV40-LOOKUP(2,1/(AI40:AU40&lt;&gt;""),AI40:AU40)))</t>
        </is>
      </c>
      <c r="BJ40" s="51" t="inlineStr">
        <is>
          <t>IF(J40="","All_Provinces",IFERROR(VLOOKUP(J40,'09_Lookups'!$A$4:$B$20,2,FALSE),"All_Provinces"))</t>
        </is>
      </c>
      <c r="BK40" s="51" t="inlineStr">
        <is>
          <t>IF(K40="","All_Districts",IFERROR(VLOOKUP(K40,'09_Lookups'!$E$4:$F$42,2,FALSE),"All_Districts"))</t>
        </is>
      </c>
    </row>
    <row r="41" outlineLevel="1" ht="18" customHeight="1">
      <c r="A41" s="42" t="inlineStr">
        <is>
          <t>IF(F41="","",ROW()-3)</t>
        </is>
      </c>
      <c r="B41" s="43" t="inlineStr">
        <is>
          <t>AF2-AGF-ALL</t>
        </is>
      </c>
      <c r="C41" s="43" t="inlineStr">
        <is>
          <t>Agroforestry saplings and seeds 2026/27</t>
        </is>
      </c>
      <c r="D41" s="43" t="inlineStr">
        <is>
          <t>38 of 39</t>
        </is>
      </c>
      <c r="E41" s="44" t="inlineStr">
        <is>
          <t>AF2-AGF-N-038</t>
        </is>
      </c>
      <c r="F41" s="44" t="inlineStr">
        <is>
          <t>Agroforestry — Sari Pul / Kohistanat</t>
        </is>
      </c>
      <c r="G41" s="44" t="inlineStr">
        <is>
          <t>Agroforestry saplings / seeds</t>
        </is>
      </c>
      <c r="H41" s="44" t="inlineStr">
        <is>
          <t>Saplings and seeds</t>
        </is>
      </c>
      <c r="I41" s="44" t="inlineStr">
        <is>
          <t>Emergency Food Security Project (EFSP) – WBK/AF-2</t>
        </is>
      </c>
      <c r="J41" s="44" t="inlineStr">
        <is>
          <t>North / Mazar</t>
        </is>
      </c>
      <c r="K41" s="44" t="inlineStr">
        <is>
          <t>Sari Pul</t>
        </is>
      </c>
      <c r="L41" s="44" t="inlineStr">
        <is>
          <t>Kohistanat</t>
        </is>
      </c>
      <c r="M41" s="44" t="inlineStr">
        <is>
          <t>Saplings: 0; Seeds kg: 30</t>
        </is>
      </c>
      <c r="N41" s="44" t="inlineStr">
        <is>
          <t>World Bank (WBK/AF-2)</t>
        </is>
      </c>
      <c r="O41" s="44" t="inlineStr">
        <is>
          <t>Not awarded</t>
        </is>
      </c>
      <c r="P41" s="44" t="inlineStr">
        <is>
          <t>7. Agroforestry Saplings-seeds</t>
        </is>
      </c>
      <c r="Q41" s="44" t="inlineStr"/>
      <c r="R41" s="44" t="inlineStr"/>
      <c r="S41" s="45" t="n"/>
      <c r="T41" s="46" t="inlineStr">
        <is>
          <t>IF(AQ41="","",AQ41)</t>
        </is>
      </c>
      <c r="U41" s="47" t="n">
        <v>46142</v>
      </c>
      <c r="V41" s="48" t="n">
        <v>12</v>
      </c>
      <c r="W41" s="47" t="n">
        <v>46478</v>
      </c>
      <c r="X41" s="46" t="inlineStr">
        <is>
          <t>IF(W41&lt;&gt;"",W41,IF(OR(T41="",V41=""),"",EDATE(T41,V41)))</t>
        </is>
      </c>
      <c r="Y41" s="47" t="n"/>
      <c r="Z41" s="48" t="n"/>
      <c r="AA41" s="44" t="inlineStr">
        <is>
          <t>Under Awarding</t>
        </is>
      </c>
      <c r="AB41" s="44" t="inlineStr">
        <is>
          <t>The saplings PO has already been issued and PO for seeds is expected to be issued in November 2026</t>
        </is>
      </c>
      <c r="AC41" s="42" t="inlineStr">
        <is>
          <t>IF(F41="","",IF(COUNT(AI41:AV41)=0,IF(AA41="","Not started",AA41),SUBSTITUTE(LOOKUP(2,1/(AI41:AV41&lt;&gt;""),$AI$3:$AV$3),"Date: ","")))</t>
        </is>
      </c>
      <c r="AD41" s="49" t="inlineStr">
        <is>
          <t>IF(OR(F41="",COUNT(AI41:AV41)=0),"",TODAY()-LOOKUP(2,1/(AI41:AV41&lt;&gt;""),AI41:AV41))</t>
        </is>
      </c>
      <c r="AE41" s="49" t="inlineStr">
        <is>
          <t>IF(OR(F41="",COUNT(AI41:AV41)&lt;2),"",LOOKUP(2,1/(AI41:AV41&lt;&gt;""),AI41:AV41)-MIN(AI41:AV41))</t>
        </is>
      </c>
      <c r="AF41" s="49" t="inlineStr">
        <is>
          <t>IF(OR(AD41="",AC41="Not started",AC41=""),"",IFERROR(AD41-IF(VLOOKUP(AC41,'06_Status_Pipeline'!$B$3:$E$20,4,FALSE)="",0,VLOOKUP(AC41,'06_Status_Pipeline'!$B$3:$E$20,4,FALSE)),""))</t>
        </is>
      </c>
      <c r="AG41" s="42" t="inlineStr">
        <is>
          <t>IF(F41="","",IF(OR(AA41="Cancelled",AC41="Cancelled"),"Cancelled",IF(OR(AC41="Completed / Handover",Y41&lt;&gt;"",Z41&gt;=100),"Completed — on track",IF(O41="Not awarded",IF(U41="",IF(X41="","No planned date",IF(TODAY()&gt;X41,"Behind — past planned date",IF(X41-TODAY()&lt;=30,"At risk — close to off track","On track"))),IF(TODAY()&gt;U41,"Behind — award date passed",IF(U41-TODAY()&lt;=30,"At risk — close to off track","On track"))),IF(X41="","No planned date",IF(AND(TODAY()&gt;X41,OR(Z41="",Z41&lt;100)),"Behind — past end date",IF(AND(T41&lt;&gt;"",X41&lt;&gt;"",Z41&lt;&gt;"",(Z41&lt;100),((TODAY()-T41)/MAX(X41-T41,1)*100)-Z41&gt;15),"Behind — progress lag",IF(AND(X41-TODAY()&lt;=30,X41-TODAY()&gt;=0,OR(Z41="",Z41&lt;90)),"At risk — close to off track","On track"))))))))</t>
        </is>
      </c>
      <c r="AH41" s="49" t="inlineStr">
        <is>
          <t>IF(OR(F41="",AC41="Completed / Handover",AC41="Cancelled"),"",IF(O41="Not awarded",IF(U41&lt;&gt;"",U41-TODAY(),IF(X41="","",X41-TODAY())),IF(X41="","",X41-TODAY())))</t>
        </is>
      </c>
      <c r="AI41" s="47" t="n"/>
      <c r="AJ41" s="47" t="n"/>
      <c r="AK41" s="47" t="n"/>
      <c r="AL41" s="47" t="n"/>
      <c r="AM41" s="47" t="n"/>
      <c r="AN41" s="47" t="n"/>
      <c r="AO41" s="47" t="n"/>
      <c r="AP41" s="47" t="n"/>
      <c r="AQ41" s="47" t="n"/>
      <c r="AR41" s="47" t="n"/>
      <c r="AS41" s="47" t="n"/>
      <c r="AT41" s="50" t="n"/>
      <c r="AU41" s="50" t="n"/>
      <c r="AV41" s="50" t="n"/>
      <c r="AW41" s="49" t="inlineStr">
        <is>
          <t>IF(OR(F41="",AJ41=""),"",IF(COUNT(AI41:AI41)=0,"",AJ41-LOOKUP(2,1/(AI41:AI41&lt;&gt;""),AI41:AI41)))</t>
        </is>
      </c>
      <c r="AX41" s="49" t="inlineStr">
        <is>
          <t>IF(OR(F41="",AK41=""),"",IF(COUNT(AI41:AJ41)=0,"",AK41-LOOKUP(2,1/(AI41:AJ41&lt;&gt;""),AI41:AJ41)))</t>
        </is>
      </c>
      <c r="AY41" s="49" t="inlineStr">
        <is>
          <t>IF(OR(F41="",AL41=""),"",IF(COUNT(AI41:AK41)=0,"",AL41-LOOKUP(2,1/(AI41:AK41&lt;&gt;""),AI41:AK41)))</t>
        </is>
      </c>
      <c r="AZ41" s="49" t="inlineStr">
        <is>
          <t>IF(OR(F41="",AM41=""),"",IF(COUNT(AI41:AL41)=0,"",AM41-LOOKUP(2,1/(AI41:AL41&lt;&gt;""),AI41:AL41)))</t>
        </is>
      </c>
      <c r="BA41" s="49" t="inlineStr">
        <is>
          <t>IF(OR(F41="",AN41=""),"",IF(COUNT(AI41:AM41)=0,"",AN41-LOOKUP(2,1/(AI41:AM41&lt;&gt;""),AI41:AM41)))</t>
        </is>
      </c>
      <c r="BB41" s="49" t="inlineStr">
        <is>
          <t>IF(OR(F41="",AO41=""),"",IF(COUNT(AI41:AN41)=0,"",AO41-LOOKUP(2,1/(AI41:AN41&lt;&gt;""),AI41:AN41)))</t>
        </is>
      </c>
      <c r="BC41" s="49" t="inlineStr">
        <is>
          <t>IF(OR(F41="",AP41=""),"",IF(COUNT(AI41:AO41)=0,"",AP41-LOOKUP(2,1/(AI41:AO41&lt;&gt;""),AI41:AO41)))</t>
        </is>
      </c>
      <c r="BD41" s="49" t="inlineStr">
        <is>
          <t>IF(OR(F41="",AQ41=""),"",IF(COUNT(AI41:AP41)=0,"",AQ41-LOOKUP(2,1/(AI41:AP41&lt;&gt;""),AI41:AP41)))</t>
        </is>
      </c>
      <c r="BE41" s="49" t="inlineStr">
        <is>
          <t>IF(OR(F41="",AR41=""),"",IF(COUNT(AI41:AQ41)=0,"",AR41-LOOKUP(2,1/(AI41:AQ41&lt;&gt;""),AI41:AQ41)))</t>
        </is>
      </c>
      <c r="BF41" s="49" t="inlineStr">
        <is>
          <t>IF(OR(F41="",AS41=""),"",IF(COUNT(AI41:AR41)=0,"",AS41-LOOKUP(2,1/(AI41:AR41&lt;&gt;""),AI41:AR41)))</t>
        </is>
      </c>
      <c r="BG41" s="49" t="inlineStr">
        <is>
          <t>IF(OR(F41="",AT41=""),"",IF(COUNT(AI41:AS41)=0,"",AT41-LOOKUP(2,1/(AI41:AS41&lt;&gt;""),AI41:AS41)))</t>
        </is>
      </c>
      <c r="BH41" s="49" t="inlineStr">
        <is>
          <t>IF(OR(F41="",AU41=""),"",IF(COUNT(AI41:AT41)=0,"",AU41-LOOKUP(2,1/(AI41:AT41&lt;&gt;""),AI41:AT41)))</t>
        </is>
      </c>
      <c r="BI41" s="49" t="inlineStr">
        <is>
          <t>IF(OR(F41="",AV41=""),"",IF(COUNT(AI41:AU41)=0,"",AV41-LOOKUP(2,1/(AI41:AU41&lt;&gt;""),AI41:AU41)))</t>
        </is>
      </c>
      <c r="BJ41" s="51" t="inlineStr">
        <is>
          <t>IF(J41="","All_Provinces",IFERROR(VLOOKUP(J41,'09_Lookups'!$A$4:$B$20,2,FALSE),"All_Provinces"))</t>
        </is>
      </c>
      <c r="BK41" s="51" t="inlineStr">
        <is>
          <t>IF(K41="","All_Districts",IFERROR(VLOOKUP(K41,'09_Lookups'!$E$4:$F$42,2,FALSE),"All_Districts"))</t>
        </is>
      </c>
    </row>
    <row r="42" outlineLevel="1" ht="18" customHeight="1">
      <c r="A42" s="42" t="inlineStr">
        <is>
          <t>IF(F42="","",ROW()-3)</t>
        </is>
      </c>
      <c r="B42" s="43" t="inlineStr">
        <is>
          <t>AF2-AGF-ALL</t>
        </is>
      </c>
      <c r="C42" s="43" t="inlineStr">
        <is>
          <t>Agroforestry saplings and seeds 2026/27</t>
        </is>
      </c>
      <c r="D42" s="43" t="inlineStr">
        <is>
          <t>39 of 39</t>
        </is>
      </c>
      <c r="E42" s="52" t="inlineStr">
        <is>
          <t>AF2-AGF-N-039</t>
        </is>
      </c>
      <c r="F42" s="52" t="inlineStr">
        <is>
          <t>Agroforestry — Takhar / Bangi</t>
        </is>
      </c>
      <c r="G42" s="52" t="inlineStr">
        <is>
          <t>Agroforestry saplings / seeds</t>
        </is>
      </c>
      <c r="H42" s="52" t="inlineStr">
        <is>
          <t>Saplings and seeds</t>
        </is>
      </c>
      <c r="I42" s="52" t="inlineStr">
        <is>
          <t>Emergency Food Security Project (EFSP) – WBK/AF-2</t>
        </is>
      </c>
      <c r="J42" s="52" t="inlineStr">
        <is>
          <t>Northeast / Kunduz</t>
        </is>
      </c>
      <c r="K42" s="52" t="inlineStr">
        <is>
          <t>Takhar</t>
        </is>
      </c>
      <c r="L42" s="52" t="inlineStr">
        <is>
          <t>Bangi</t>
        </is>
      </c>
      <c r="M42" s="52" t="inlineStr">
        <is>
          <t>Saplings: 8500; Seeds kg: 234</t>
        </is>
      </c>
      <c r="N42" s="52" t="inlineStr">
        <is>
          <t>World Bank (WBK/AF-2)</t>
        </is>
      </c>
      <c r="O42" s="52" t="inlineStr">
        <is>
          <t>Not awarded</t>
        </is>
      </c>
      <c r="P42" s="52" t="inlineStr">
        <is>
          <t>7. Agroforestry Saplings-seeds</t>
        </is>
      </c>
      <c r="Q42" s="52" t="inlineStr"/>
      <c r="R42" s="52" t="inlineStr"/>
      <c r="S42" s="53" t="n"/>
      <c r="T42" s="46" t="inlineStr">
        <is>
          <t>IF(AQ42="","",AQ42)</t>
        </is>
      </c>
      <c r="U42" s="54" t="n">
        <v>46142</v>
      </c>
      <c r="V42" s="55" t="n">
        <v>12</v>
      </c>
      <c r="W42" s="54" t="n">
        <v>46478</v>
      </c>
      <c r="X42" s="46" t="inlineStr">
        <is>
          <t>IF(W42&lt;&gt;"",W42,IF(OR(T42="",V42=""),"",EDATE(T42,V42)))</t>
        </is>
      </c>
      <c r="Y42" s="54" t="n"/>
      <c r="Z42" s="55" t="n"/>
      <c r="AA42" s="52" t="inlineStr">
        <is>
          <t>Under Awarding</t>
        </is>
      </c>
      <c r="AB42" s="52" t="inlineStr">
        <is>
          <t>The saplings PO has already been issued and PO for seeds is expected to be issued in November 2026</t>
        </is>
      </c>
      <c r="AC42" s="42" t="inlineStr">
        <is>
          <t>IF(F42="","",IF(COUNT(AI42:AV42)=0,IF(AA42="","Not started",AA42),SUBSTITUTE(LOOKUP(2,1/(AI42:AV42&lt;&gt;""),$AI$3:$AV$3),"Date: ","")))</t>
        </is>
      </c>
      <c r="AD42" s="49" t="inlineStr">
        <is>
          <t>IF(OR(F42="",COUNT(AI42:AV42)=0),"",TODAY()-LOOKUP(2,1/(AI42:AV42&lt;&gt;""),AI42:AV42))</t>
        </is>
      </c>
      <c r="AE42" s="49" t="inlineStr">
        <is>
          <t>IF(OR(F42="",COUNT(AI42:AV42)&lt;2),"",LOOKUP(2,1/(AI42:AV42&lt;&gt;""),AI42:AV42)-MIN(AI42:AV42))</t>
        </is>
      </c>
      <c r="AF42" s="49" t="inlineStr">
        <is>
          <t>IF(OR(AD42="",AC42="Not started",AC42=""),"",IFERROR(AD42-IF(VLOOKUP(AC42,'06_Status_Pipeline'!$B$3:$E$20,4,FALSE)="",0,VLOOKUP(AC42,'06_Status_Pipeline'!$B$3:$E$20,4,FALSE)),""))</t>
        </is>
      </c>
      <c r="AG42" s="42" t="inlineStr">
        <is>
          <t>IF(F42="","",IF(OR(AA42="Cancelled",AC42="Cancelled"),"Cancelled",IF(OR(AC42="Completed / Handover",Y42&lt;&gt;"",Z42&gt;=100),"Completed — on track",IF(O42="Not awarded",IF(U42="",IF(X42="","No planned date",IF(TODAY()&gt;X42,"Behind — past planned date",IF(X42-TODAY()&lt;=30,"At risk — close to off track","On track"))),IF(TODAY()&gt;U42,"Behind — award date passed",IF(U42-TODAY()&lt;=30,"At risk — close to off track","On track"))),IF(X42="","No planned date",IF(AND(TODAY()&gt;X42,OR(Z42="",Z42&lt;100)),"Behind — past end date",IF(AND(T42&lt;&gt;"",X42&lt;&gt;"",Z42&lt;&gt;"",(Z42&lt;100),((TODAY()-T42)/MAX(X42-T42,1)*100)-Z42&gt;15),"Behind — progress lag",IF(AND(X42-TODAY()&lt;=30,X42-TODAY()&gt;=0,OR(Z42="",Z42&lt;90)),"At risk — close to off track","On track"))))))))</t>
        </is>
      </c>
      <c r="AH42" s="49" t="inlineStr">
        <is>
          <t>IF(OR(F42="",AC42="Completed / Handover",AC42="Cancelled"),"",IF(O42="Not awarded",IF(U42&lt;&gt;"",U42-TODAY(),IF(X42="","",X42-TODAY())),IF(X42="","",X42-TODAY())))</t>
        </is>
      </c>
      <c r="AI42" s="54" t="n"/>
      <c r="AJ42" s="54" t="n"/>
      <c r="AK42" s="54" t="n"/>
      <c r="AL42" s="54" t="n"/>
      <c r="AM42" s="54" t="n"/>
      <c r="AN42" s="54" t="n"/>
      <c r="AO42" s="54" t="n"/>
      <c r="AP42" s="54" t="n"/>
      <c r="AQ42" s="54" t="n"/>
      <c r="AR42" s="54" t="n"/>
      <c r="AS42" s="54" t="n"/>
      <c r="AT42" s="50" t="n"/>
      <c r="AU42" s="50" t="n"/>
      <c r="AV42" s="50" t="n"/>
      <c r="AW42" s="49" t="inlineStr">
        <is>
          <t>IF(OR(F42="",AJ42=""),"",IF(COUNT(AI42:AI42)=0,"",AJ42-LOOKUP(2,1/(AI42:AI42&lt;&gt;""),AI42:AI42)))</t>
        </is>
      </c>
      <c r="AX42" s="49" t="inlineStr">
        <is>
          <t>IF(OR(F42="",AK42=""),"",IF(COUNT(AI42:AJ42)=0,"",AK42-LOOKUP(2,1/(AI42:AJ42&lt;&gt;""),AI42:AJ42)))</t>
        </is>
      </c>
      <c r="AY42" s="49" t="inlineStr">
        <is>
          <t>IF(OR(F42="",AL42=""),"",IF(COUNT(AI42:AK42)=0,"",AL42-LOOKUP(2,1/(AI42:AK42&lt;&gt;""),AI42:AK42)))</t>
        </is>
      </c>
      <c r="AZ42" s="49" t="inlineStr">
        <is>
          <t>IF(OR(F42="",AM42=""),"",IF(COUNT(AI42:AL42)=0,"",AM42-LOOKUP(2,1/(AI42:AL42&lt;&gt;""),AI42:AL42)))</t>
        </is>
      </c>
      <c r="BA42" s="49" t="inlineStr">
        <is>
          <t>IF(OR(F42="",AN42=""),"",IF(COUNT(AI42:AM42)=0,"",AN42-LOOKUP(2,1/(AI42:AM42&lt;&gt;""),AI42:AM42)))</t>
        </is>
      </c>
      <c r="BB42" s="49" t="inlineStr">
        <is>
          <t>IF(OR(F42="",AO42=""),"",IF(COUNT(AI42:AN42)=0,"",AO42-LOOKUP(2,1/(AI42:AN42&lt;&gt;""),AI42:AN42)))</t>
        </is>
      </c>
      <c r="BC42" s="49" t="inlineStr">
        <is>
          <t>IF(OR(F42="",AP42=""),"",IF(COUNT(AI42:AO42)=0,"",AP42-LOOKUP(2,1/(AI42:AO42&lt;&gt;""),AI42:AO42)))</t>
        </is>
      </c>
      <c r="BD42" s="49" t="inlineStr">
        <is>
          <t>IF(OR(F42="",AQ42=""),"",IF(COUNT(AI42:AP42)=0,"",AQ42-LOOKUP(2,1/(AI42:AP42&lt;&gt;""),AI42:AP42)))</t>
        </is>
      </c>
      <c r="BE42" s="49" t="inlineStr">
        <is>
          <t>IF(OR(F42="",AR42=""),"",IF(COUNT(AI42:AQ42)=0,"",AR42-LOOKUP(2,1/(AI42:AQ42&lt;&gt;""),AI42:AQ42)))</t>
        </is>
      </c>
      <c r="BF42" s="49" t="inlineStr">
        <is>
          <t>IF(OR(F42="",AS42=""),"",IF(COUNT(AI42:AR42)=0,"",AS42-LOOKUP(2,1/(AI42:AR42&lt;&gt;""),AI42:AR42)))</t>
        </is>
      </c>
      <c r="BG42" s="49" t="inlineStr">
        <is>
          <t>IF(OR(F42="",AT42=""),"",IF(COUNT(AI42:AS42)=0,"",AT42-LOOKUP(2,1/(AI42:AS42&lt;&gt;""),AI42:AS42)))</t>
        </is>
      </c>
      <c r="BH42" s="49" t="inlineStr">
        <is>
          <t>IF(OR(F42="",AU42=""),"",IF(COUNT(AI42:AT42)=0,"",AU42-LOOKUP(2,1/(AI42:AT42&lt;&gt;""),AI42:AT42)))</t>
        </is>
      </c>
      <c r="BI42" s="49" t="inlineStr">
        <is>
          <t>IF(OR(F42="",AV42=""),"",IF(COUNT(AI42:AU42)=0,"",AV42-LOOKUP(2,1/(AI42:AU42&lt;&gt;""),AI42:AU42)))</t>
        </is>
      </c>
      <c r="BJ42" s="51" t="inlineStr">
        <is>
          <t>IF(J42="","All_Provinces",IFERROR(VLOOKUP(J42,'09_Lookups'!$A$4:$B$20,2,FALSE),"All_Provinces"))</t>
        </is>
      </c>
      <c r="BK42" s="51" t="inlineStr">
        <is>
          <t>IF(K42="","All_Districts",IFERROR(VLOOKUP(K42,'09_Lookups'!$E$4:$F$42,2,FALSE),"All_Districts"))</t>
        </is>
      </c>
    </row>
    <row r="43" ht="18" customHeight="1">
      <c r="A43" s="32" t="inlineStr">
        <is>
          <t>IF(F43="","",ROW()-3)</t>
        </is>
      </c>
      <c r="B43" s="56" t="inlineStr">
        <is>
          <t>AF2-DIS-01</t>
        </is>
      </c>
      <c r="C43" s="56" t="inlineStr">
        <is>
          <t>Package #1.B-WBK/AF2 DIS: Demonstration 7 Drip irrigation schemes of 1. Doormishi, 2. Khodrawan, 3. Karez Naw, 4.Koklam Olia, 5. Koklam Sofla, 6 Joi Sultani and 7. Kushk Kohna in Kushk Rabat Sangi and Kushk e Kohna Districts of Herat Province.</t>
        </is>
      </c>
      <c r="D43" s="56" t="inlineStr">
        <is>
          <t>1 of 7</t>
        </is>
      </c>
      <c r="E43" s="57" t="inlineStr">
        <is>
          <t>AF2-DIS-N-001</t>
        </is>
      </c>
      <c r="F43" s="57" t="inlineStr">
        <is>
          <t>Doormishi Drip Irrigation Scheme</t>
        </is>
      </c>
      <c r="G43" s="57" t="inlineStr">
        <is>
          <t>Drip Irrigation</t>
        </is>
      </c>
      <c r="H43" s="57" t="inlineStr">
        <is>
          <t>Drip Irrigation Plot</t>
        </is>
      </c>
      <c r="I43" s="57" t="inlineStr">
        <is>
          <t>Emergency Food Security Project (EFSP) – WBK/AF-2</t>
        </is>
      </c>
      <c r="J43" s="57" t="inlineStr">
        <is>
          <t>West / Herat</t>
        </is>
      </c>
      <c r="K43" s="57" t="inlineStr">
        <is>
          <t>Herat</t>
        </is>
      </c>
      <c r="L43" s="57" t="inlineStr">
        <is>
          <t>Kushk e Rabat Sangi</t>
        </is>
      </c>
      <c r="M43" s="57" t="inlineStr">
        <is>
          <t>Dormishi</t>
        </is>
      </c>
      <c r="N43" s="57" t="inlineStr">
        <is>
          <t>World Bank (WBK/AF-2)</t>
        </is>
      </c>
      <c r="O43" s="57" t="inlineStr">
        <is>
          <t>Not awarded</t>
        </is>
      </c>
      <c r="P43" s="57" t="inlineStr">
        <is>
          <t>5. Drip Irrigation systems</t>
        </is>
      </c>
      <c r="Q43" s="57" t="inlineStr">
        <is>
          <t>Abdul Qayum</t>
        </is>
      </c>
      <c r="R43" s="57" t="inlineStr"/>
      <c r="S43" s="58" t="n">
        <v>6771.4</v>
      </c>
      <c r="T43" s="36" t="inlineStr">
        <is>
          <t>IF(AQ43="","",AQ43)</t>
        </is>
      </c>
      <c r="U43" s="59" t="n">
        <v>46371</v>
      </c>
      <c r="V43" s="60" t="n">
        <v>4.4</v>
      </c>
      <c r="W43" s="59" t="n">
        <v>46506</v>
      </c>
      <c r="X43" s="36" t="inlineStr">
        <is>
          <t>IF(W43&lt;&gt;"",W43,IF(OR(T43="",V43=""),"",EDATE(T43,V43)))</t>
        </is>
      </c>
      <c r="Y43" s="59" t="n"/>
      <c r="Z43" s="60" t="n"/>
      <c r="AA43" s="57" t="inlineStr">
        <is>
          <t>Retendered (Re-ITB)</t>
        </is>
      </c>
      <c r="AB43" s="57" t="inlineStr">
        <is>
          <t>Work starting from March 2026. A total of 90 days for completion Slack period until end February 2026. | Farmer: Abdul Qayum</t>
        </is>
      </c>
      <c r="AC43" s="32" t="inlineStr">
        <is>
          <t>IF(F43="","",IF(COUNT(AI43:AV43)=0,IF(AA43="","Not started",AA43),SUBSTITUTE(LOOKUP(2,1/(AI43:AV43&lt;&gt;""),$AI$3:$AV$3),"Date: ","")))</t>
        </is>
      </c>
      <c r="AD43" s="39" t="inlineStr">
        <is>
          <t>IF(OR(F43="",COUNT(AI43:AV43)=0),"",TODAY()-LOOKUP(2,1/(AI43:AV43&lt;&gt;""),AI43:AV43))</t>
        </is>
      </c>
      <c r="AE43" s="39" t="inlineStr">
        <is>
          <t>IF(OR(F43="",COUNT(AI43:AV43)&lt;2),"",LOOKUP(2,1/(AI43:AV43&lt;&gt;""),AI43:AV43)-MIN(AI43:AV43))</t>
        </is>
      </c>
      <c r="AF43" s="39" t="inlineStr">
        <is>
          <t>IF(OR(AD43="",AC43="Not started",AC43=""),"",IFERROR(AD43-IF(VLOOKUP(AC43,'06_Status_Pipeline'!$B$3:$E$20,4,FALSE)="",0,VLOOKUP(AC43,'06_Status_Pipeline'!$B$3:$E$20,4,FALSE)),""))</t>
        </is>
      </c>
      <c r="AG43" s="32" t="inlineStr">
        <is>
          <t>IF(F43="","",IF(OR(AA43="Cancelled",AC43="Cancelled"),"Cancelled",IF(OR(AC43="Completed / Handover",Y43&lt;&gt;"",Z43&gt;=100),"Completed — on track",IF(O43="Not awarded",IF(U43="",IF(X43="","No planned date",IF(TODAY()&gt;X43,"Behind — past planned date",IF(X43-TODAY()&lt;=30,"At risk — close to off track","On track"))),IF(TODAY()&gt;U43,"Behind — award date passed",IF(U43-TODAY()&lt;=30,"At risk — close to off track","On track"))),IF(X43="","No planned date",IF(AND(TODAY()&gt;X43,OR(Z43="",Z43&lt;100)),"Behind — past end date",IF(AND(T43&lt;&gt;"",X43&lt;&gt;"",Z43&lt;&gt;"",(Z43&lt;100),((TODAY()-T43)/MAX(X43-T43,1)*100)-Z43&gt;15),"Behind — progress lag",IF(AND(X43-TODAY()&lt;=30,X43-TODAY()&gt;=0,OR(Z43="",Z43&lt;90)),"At risk — close to off track","On track"))))))))</t>
        </is>
      </c>
      <c r="AH43" s="39" t="inlineStr">
        <is>
          <t>IF(OR(F43="",AC43="Completed / Handover",AC43="Cancelled"),"",IF(O43="Not awarded",IF(U43&lt;&gt;"",U43-TODAY(),IF(X43="","",X43-TODAY())),IF(X43="","",X43-TODAY())))</t>
        </is>
      </c>
      <c r="AI43" s="59" t="n"/>
      <c r="AJ43" s="59" t="n"/>
      <c r="AK43" s="59" t="n"/>
      <c r="AL43" s="59" t="n"/>
      <c r="AM43" s="59" t="n"/>
      <c r="AN43" s="59" t="n"/>
      <c r="AO43" s="59" t="n"/>
      <c r="AP43" s="59" t="n"/>
      <c r="AQ43" s="59" t="n"/>
      <c r="AR43" s="59" t="n"/>
      <c r="AS43" s="59" t="n"/>
      <c r="AT43" s="40" t="n"/>
      <c r="AU43" s="40" t="n"/>
      <c r="AV43" s="40" t="n"/>
      <c r="AW43" s="39" t="inlineStr">
        <is>
          <t>IF(OR(F43="",AJ43=""),"",IF(COUNT(AI43:AI43)=0,"",AJ43-LOOKUP(2,1/(AI43:AI43&lt;&gt;""),AI43:AI43)))</t>
        </is>
      </c>
      <c r="AX43" s="39" t="inlineStr">
        <is>
          <t>IF(OR(F43="",AK43=""),"",IF(COUNT(AI43:AJ43)=0,"",AK43-LOOKUP(2,1/(AI43:AJ43&lt;&gt;""),AI43:AJ43)))</t>
        </is>
      </c>
      <c r="AY43" s="39" t="inlineStr">
        <is>
          <t>IF(OR(F43="",AL43=""),"",IF(COUNT(AI43:AK43)=0,"",AL43-LOOKUP(2,1/(AI43:AK43&lt;&gt;""),AI43:AK43)))</t>
        </is>
      </c>
      <c r="AZ43" s="39" t="inlineStr">
        <is>
          <t>IF(OR(F43="",AM43=""),"",IF(COUNT(AI43:AL43)=0,"",AM43-LOOKUP(2,1/(AI43:AL43&lt;&gt;""),AI43:AL43)))</t>
        </is>
      </c>
      <c r="BA43" s="39" t="inlineStr">
        <is>
          <t>IF(OR(F43="",AN43=""),"",IF(COUNT(AI43:AM43)=0,"",AN43-LOOKUP(2,1/(AI43:AM43&lt;&gt;""),AI43:AM43)))</t>
        </is>
      </c>
      <c r="BB43" s="39" t="inlineStr">
        <is>
          <t>IF(OR(F43="",AO43=""),"",IF(COUNT(AI43:AN43)=0,"",AO43-LOOKUP(2,1/(AI43:AN43&lt;&gt;""),AI43:AN43)))</t>
        </is>
      </c>
      <c r="BC43" s="39" t="inlineStr">
        <is>
          <t>IF(OR(F43="",AP43=""),"",IF(COUNT(AI43:AO43)=0,"",AP43-LOOKUP(2,1/(AI43:AO43&lt;&gt;""),AI43:AO43)))</t>
        </is>
      </c>
      <c r="BD43" s="39" t="inlineStr">
        <is>
          <t>IF(OR(F43="",AQ43=""),"",IF(COUNT(AI43:AP43)=0,"",AQ43-LOOKUP(2,1/(AI43:AP43&lt;&gt;""),AI43:AP43)))</t>
        </is>
      </c>
      <c r="BE43" s="39" t="inlineStr">
        <is>
          <t>IF(OR(F43="",AR43=""),"",IF(COUNT(AI43:AQ43)=0,"",AR43-LOOKUP(2,1/(AI43:AQ43&lt;&gt;""),AI43:AQ43)))</t>
        </is>
      </c>
      <c r="BF43" s="39" t="inlineStr">
        <is>
          <t>IF(OR(F43="",AS43=""),"",IF(COUNT(AI43:AR43)=0,"",AS43-LOOKUP(2,1/(AI43:AR43&lt;&gt;""),AI43:AR43)))</t>
        </is>
      </c>
      <c r="BG43" s="39" t="inlineStr">
        <is>
          <t>IF(OR(F43="",AT43=""),"",IF(COUNT(AI43:AS43)=0,"",AT43-LOOKUP(2,1/(AI43:AS43&lt;&gt;""),AI43:AS43)))</t>
        </is>
      </c>
      <c r="BH43" s="39" t="inlineStr">
        <is>
          <t>IF(OR(F43="",AU43=""),"",IF(COUNT(AI43:AT43)=0,"",AU43-LOOKUP(2,1/(AI43:AT43&lt;&gt;""),AI43:AT43)))</t>
        </is>
      </c>
      <c r="BI43" s="39" t="inlineStr">
        <is>
          <t>IF(OR(F43="",AV43=""),"",IF(COUNT(AI43:AU43)=0,"",AV43-LOOKUP(2,1/(AI43:AU43&lt;&gt;""),AI43:AU43)))</t>
        </is>
      </c>
      <c r="BJ43" s="41" t="inlineStr">
        <is>
          <t>IF(J43="","All_Provinces",IFERROR(VLOOKUP(J43,'09_Lookups'!$A$4:$B$20,2,FALSE),"All_Provinces"))</t>
        </is>
      </c>
      <c r="BK43" s="41" t="inlineStr">
        <is>
          <t>IF(K43="","All_Districts",IFERROR(VLOOKUP(K43,'09_Lookups'!$E$4:$F$42,2,FALSE),"All_Districts"))</t>
        </is>
      </c>
    </row>
    <row r="44" outlineLevel="1" ht="18" customHeight="1">
      <c r="A44" s="42" t="inlineStr">
        <is>
          <t>IF(F44="","",ROW()-3)</t>
        </is>
      </c>
      <c r="B44" s="61" t="inlineStr">
        <is>
          <t>AF2-DIS-01</t>
        </is>
      </c>
      <c r="C44" s="61" t="inlineStr">
        <is>
          <t>Package #1.B-WBK/AF2 DIS: Demonstration 7 Drip irrigation schemes of 1. Doormishi, 2. Khodrawan, 3. Karez Naw, 4.Koklam Olia, 5. Koklam Sofla, 6 Joi Sultani and 7. Kushk Kohna in Kushk Rabat Sangi and Kushk e Kohna Districts of Herat Province.</t>
        </is>
      </c>
      <c r="D44" s="61" t="inlineStr">
        <is>
          <t>2 of 7</t>
        </is>
      </c>
      <c r="E44" s="52" t="inlineStr">
        <is>
          <t>AF2-DIS-N-002</t>
        </is>
      </c>
      <c r="F44" s="52" t="inlineStr">
        <is>
          <t>Joi Sultani Drip Irrigation schemes</t>
        </is>
      </c>
      <c r="G44" s="52" t="inlineStr">
        <is>
          <t>Drip Irrigation</t>
        </is>
      </c>
      <c r="H44" s="52" t="inlineStr">
        <is>
          <t>Drip Irrigation Plot</t>
        </is>
      </c>
      <c r="I44" s="52" t="inlineStr">
        <is>
          <t>Emergency Food Security Project (EFSP) – WBK/AF-2</t>
        </is>
      </c>
      <c r="J44" s="52" t="inlineStr">
        <is>
          <t>West / Herat</t>
        </is>
      </c>
      <c r="K44" s="52" t="inlineStr">
        <is>
          <t>Herat</t>
        </is>
      </c>
      <c r="L44" s="52" t="inlineStr">
        <is>
          <t>Kushk e Kohna</t>
        </is>
      </c>
      <c r="M44" s="52" t="inlineStr">
        <is>
          <t>Joy sultany</t>
        </is>
      </c>
      <c r="N44" s="52" t="inlineStr">
        <is>
          <t>World Bank (WBK/AF-2)</t>
        </is>
      </c>
      <c r="O44" s="52" t="inlineStr">
        <is>
          <t>Not awarded</t>
        </is>
      </c>
      <c r="P44" s="52" t="inlineStr">
        <is>
          <t>5. Drip Irrigation systems</t>
        </is>
      </c>
      <c r="Q44" s="52" t="inlineStr">
        <is>
          <t>Habiburahman</t>
        </is>
      </c>
      <c r="R44" s="52" t="inlineStr"/>
      <c r="S44" s="53" t="n">
        <v>6417.22</v>
      </c>
      <c r="T44" s="46" t="inlineStr">
        <is>
          <t>IF(AQ44="","",AQ44)</t>
        </is>
      </c>
      <c r="U44" s="54" t="n">
        <v>46371</v>
      </c>
      <c r="V44" s="55" t="n">
        <v>4.4</v>
      </c>
      <c r="W44" s="54" t="n">
        <v>46506</v>
      </c>
      <c r="X44" s="46" t="inlineStr">
        <is>
          <t>IF(W44&lt;&gt;"",W44,IF(OR(T44="",V44=""),"",EDATE(T44,V44)))</t>
        </is>
      </c>
      <c r="Y44" s="54" t="n"/>
      <c r="Z44" s="55" t="n"/>
      <c r="AA44" s="52" t="inlineStr">
        <is>
          <t>Retendered (Re-ITB)</t>
        </is>
      </c>
      <c r="AB44" s="52" t="inlineStr">
        <is>
          <t>Work starting from March 2026. A total of 90 days for completion Slack period until end February 2026. | Farmer: Habiburahman</t>
        </is>
      </c>
      <c r="AC44" s="42" t="inlineStr">
        <is>
          <t>IF(F44="","",IF(COUNT(AI44:AV44)=0,IF(AA44="","Not started",AA44),SUBSTITUTE(LOOKUP(2,1/(AI44:AV44&lt;&gt;""),$AI$3:$AV$3),"Date: ","")))</t>
        </is>
      </c>
      <c r="AD44" s="49" t="inlineStr">
        <is>
          <t>IF(OR(F44="",COUNT(AI44:AV44)=0),"",TODAY()-LOOKUP(2,1/(AI44:AV44&lt;&gt;""),AI44:AV44))</t>
        </is>
      </c>
      <c r="AE44" s="49" t="inlineStr">
        <is>
          <t>IF(OR(F44="",COUNT(AI44:AV44)&lt;2),"",LOOKUP(2,1/(AI44:AV44&lt;&gt;""),AI44:AV44)-MIN(AI44:AV44))</t>
        </is>
      </c>
      <c r="AF44" s="49" t="inlineStr">
        <is>
          <t>IF(OR(AD44="",AC44="Not started",AC44=""),"",IFERROR(AD44-IF(VLOOKUP(AC44,'06_Status_Pipeline'!$B$3:$E$20,4,FALSE)="",0,VLOOKUP(AC44,'06_Status_Pipeline'!$B$3:$E$20,4,FALSE)),""))</t>
        </is>
      </c>
      <c r="AG44" s="42" t="inlineStr">
        <is>
          <t>IF(F44="","",IF(OR(AA44="Cancelled",AC44="Cancelled"),"Cancelled",IF(OR(AC44="Completed / Handover",Y44&lt;&gt;"",Z44&gt;=100),"Completed — on track",IF(O44="Not awarded",IF(U44="",IF(X44="","No planned date",IF(TODAY()&gt;X44,"Behind — past planned date",IF(X44-TODAY()&lt;=30,"At risk — close to off track","On track"))),IF(TODAY()&gt;U44,"Behind — award date passed",IF(U44-TODAY()&lt;=30,"At risk — close to off track","On track"))),IF(X44="","No planned date",IF(AND(TODAY()&gt;X44,OR(Z44="",Z44&lt;100)),"Behind — past end date",IF(AND(T44&lt;&gt;"",X44&lt;&gt;"",Z44&lt;&gt;"",(Z44&lt;100),((TODAY()-T44)/MAX(X44-T44,1)*100)-Z44&gt;15),"Behind — progress lag",IF(AND(X44-TODAY()&lt;=30,X44-TODAY()&gt;=0,OR(Z44="",Z44&lt;90)),"At risk — close to off track","On track"))))))))</t>
        </is>
      </c>
      <c r="AH44" s="49" t="inlineStr">
        <is>
          <t>IF(OR(F44="",AC44="Completed / Handover",AC44="Cancelled"),"",IF(O44="Not awarded",IF(U44&lt;&gt;"",U44-TODAY(),IF(X44="","",X44-TODAY())),IF(X44="","",X44-TODAY())))</t>
        </is>
      </c>
      <c r="AI44" s="54" t="n"/>
      <c r="AJ44" s="54" t="n"/>
      <c r="AK44" s="54" t="n"/>
      <c r="AL44" s="54" t="n"/>
      <c r="AM44" s="54" t="n"/>
      <c r="AN44" s="54" t="n"/>
      <c r="AO44" s="54" t="n"/>
      <c r="AP44" s="54" t="n"/>
      <c r="AQ44" s="54" t="n"/>
      <c r="AR44" s="54" t="n"/>
      <c r="AS44" s="54" t="n"/>
      <c r="AT44" s="50" t="n"/>
      <c r="AU44" s="50" t="n"/>
      <c r="AV44" s="50" t="n"/>
      <c r="AW44" s="49" t="inlineStr">
        <is>
          <t>IF(OR(F44="",AJ44=""),"",IF(COUNT(AI44:AI44)=0,"",AJ44-LOOKUP(2,1/(AI44:AI44&lt;&gt;""),AI44:AI44)))</t>
        </is>
      </c>
      <c r="AX44" s="49" t="inlineStr">
        <is>
          <t>IF(OR(F44="",AK44=""),"",IF(COUNT(AI44:AJ44)=0,"",AK44-LOOKUP(2,1/(AI44:AJ44&lt;&gt;""),AI44:AJ44)))</t>
        </is>
      </c>
      <c r="AY44" s="49" t="inlineStr">
        <is>
          <t>IF(OR(F44="",AL44=""),"",IF(COUNT(AI44:AK44)=0,"",AL44-LOOKUP(2,1/(AI44:AK44&lt;&gt;""),AI44:AK44)))</t>
        </is>
      </c>
      <c r="AZ44" s="49" t="inlineStr">
        <is>
          <t>IF(OR(F44="",AM44=""),"",IF(COUNT(AI44:AL44)=0,"",AM44-LOOKUP(2,1/(AI44:AL44&lt;&gt;""),AI44:AL44)))</t>
        </is>
      </c>
      <c r="BA44" s="49" t="inlineStr">
        <is>
          <t>IF(OR(F44="",AN44=""),"",IF(COUNT(AI44:AM44)=0,"",AN44-LOOKUP(2,1/(AI44:AM44&lt;&gt;""),AI44:AM44)))</t>
        </is>
      </c>
      <c r="BB44" s="49" t="inlineStr">
        <is>
          <t>IF(OR(F44="",AO44=""),"",IF(COUNT(AI44:AN44)=0,"",AO44-LOOKUP(2,1/(AI44:AN44&lt;&gt;""),AI44:AN44)))</t>
        </is>
      </c>
      <c r="BC44" s="49" t="inlineStr">
        <is>
          <t>IF(OR(F44="",AP44=""),"",IF(COUNT(AI44:AO44)=0,"",AP44-LOOKUP(2,1/(AI44:AO44&lt;&gt;""),AI44:AO44)))</t>
        </is>
      </c>
      <c r="BD44" s="49" t="inlineStr">
        <is>
          <t>IF(OR(F44="",AQ44=""),"",IF(COUNT(AI44:AP44)=0,"",AQ44-LOOKUP(2,1/(AI44:AP44&lt;&gt;""),AI44:AP44)))</t>
        </is>
      </c>
      <c r="BE44" s="49" t="inlineStr">
        <is>
          <t>IF(OR(F44="",AR44=""),"",IF(COUNT(AI44:AQ44)=0,"",AR44-LOOKUP(2,1/(AI44:AQ44&lt;&gt;""),AI44:AQ44)))</t>
        </is>
      </c>
      <c r="BF44" s="49" t="inlineStr">
        <is>
          <t>IF(OR(F44="",AS44=""),"",IF(COUNT(AI44:AR44)=0,"",AS44-LOOKUP(2,1/(AI44:AR44&lt;&gt;""),AI44:AR44)))</t>
        </is>
      </c>
      <c r="BG44" s="49" t="inlineStr">
        <is>
          <t>IF(OR(F44="",AT44=""),"",IF(COUNT(AI44:AS44)=0,"",AT44-LOOKUP(2,1/(AI44:AS44&lt;&gt;""),AI44:AS44)))</t>
        </is>
      </c>
      <c r="BH44" s="49" t="inlineStr">
        <is>
          <t>IF(OR(F44="",AU44=""),"",IF(COUNT(AI44:AT44)=0,"",AU44-LOOKUP(2,1/(AI44:AT44&lt;&gt;""),AI44:AT44)))</t>
        </is>
      </c>
      <c r="BI44" s="49" t="inlineStr">
        <is>
          <t>IF(OR(F44="",AV44=""),"",IF(COUNT(AI44:AU44)=0,"",AV44-LOOKUP(2,1/(AI44:AU44&lt;&gt;""),AI44:AU44)))</t>
        </is>
      </c>
      <c r="BJ44" s="51" t="inlineStr">
        <is>
          <t>IF(J44="","All_Provinces",IFERROR(VLOOKUP(J44,'09_Lookups'!$A$4:$B$20,2,FALSE),"All_Provinces"))</t>
        </is>
      </c>
      <c r="BK44" s="51" t="inlineStr">
        <is>
          <t>IF(K44="","All_Districts",IFERROR(VLOOKUP(K44,'09_Lookups'!$E$4:$F$42,2,FALSE),"All_Districts"))</t>
        </is>
      </c>
    </row>
    <row r="45" outlineLevel="1" ht="18" customHeight="1">
      <c r="A45" s="42" t="inlineStr">
        <is>
          <t>IF(F45="","",ROW()-3)</t>
        </is>
      </c>
      <c r="B45" s="61" t="inlineStr">
        <is>
          <t>AF2-DIS-01</t>
        </is>
      </c>
      <c r="C45" s="61" t="inlineStr">
        <is>
          <t>Package #1.B-WBK/AF2 DIS: Demonstration 7 Drip irrigation schemes of 1. Doormishi, 2. Khodrawan, 3. Karez Naw, 4.Koklam Olia, 5. Koklam Sofla, 6 Joi Sultani and 7. Kushk Kohna in Kushk Rabat Sangi and Kushk e Kohna Districts of Herat Province.</t>
        </is>
      </c>
      <c r="D45" s="61" t="inlineStr">
        <is>
          <t>3 of 7</t>
        </is>
      </c>
      <c r="E45" s="44" t="inlineStr">
        <is>
          <t>AF2-DIS-N-003</t>
        </is>
      </c>
      <c r="F45" s="44" t="inlineStr">
        <is>
          <t>Karez Naw Drip Irrigation schemes</t>
        </is>
      </c>
      <c r="G45" s="44" t="inlineStr">
        <is>
          <t>Drip Irrigation</t>
        </is>
      </c>
      <c r="H45" s="44" t="inlineStr">
        <is>
          <t>Drip Irrigation Plot</t>
        </is>
      </c>
      <c r="I45" s="44" t="inlineStr">
        <is>
          <t>Emergency Food Security Project (EFSP) – WBK/AF-2</t>
        </is>
      </c>
      <c r="J45" s="44" t="inlineStr">
        <is>
          <t>West / Herat</t>
        </is>
      </c>
      <c r="K45" s="44" t="inlineStr">
        <is>
          <t>Herat</t>
        </is>
      </c>
      <c r="L45" s="44" t="inlineStr">
        <is>
          <t>Kushk e Rabat Sangi</t>
        </is>
      </c>
      <c r="M45" s="44" t="inlineStr">
        <is>
          <t>Karez Naw</t>
        </is>
      </c>
      <c r="N45" s="44" t="inlineStr">
        <is>
          <t>World Bank (WBK/AF-2)</t>
        </is>
      </c>
      <c r="O45" s="44" t="inlineStr">
        <is>
          <t>Not awarded</t>
        </is>
      </c>
      <c r="P45" s="44" t="inlineStr">
        <is>
          <t>5. Drip Irrigation systems</t>
        </is>
      </c>
      <c r="Q45" s="44" t="inlineStr">
        <is>
          <t>Ghulam Mahboob</t>
        </is>
      </c>
      <c r="R45" s="44" t="inlineStr"/>
      <c r="S45" s="45" t="n">
        <v>8066.29</v>
      </c>
      <c r="T45" s="46" t="inlineStr">
        <is>
          <t>IF(AQ45="","",AQ45)</t>
        </is>
      </c>
      <c r="U45" s="47" t="n">
        <v>46371</v>
      </c>
      <c r="V45" s="48" t="n">
        <v>4.4</v>
      </c>
      <c r="W45" s="47" t="n">
        <v>46506</v>
      </c>
      <c r="X45" s="46" t="inlineStr">
        <is>
          <t>IF(W45&lt;&gt;"",W45,IF(OR(T45="",V45=""),"",EDATE(T45,V45)))</t>
        </is>
      </c>
      <c r="Y45" s="47" t="n"/>
      <c r="Z45" s="48" t="n"/>
      <c r="AA45" s="44" t="inlineStr">
        <is>
          <t>Retendered (Re-ITB)</t>
        </is>
      </c>
      <c r="AB45" s="44" t="inlineStr">
        <is>
          <t>Work starting from March 2026. A total of 90 days for completion Slack period until end February 2026. | Farmer: Ghulam Mahboob</t>
        </is>
      </c>
      <c r="AC45" s="42" t="inlineStr">
        <is>
          <t>IF(F45="","",IF(COUNT(AI45:AV45)=0,IF(AA45="","Not started",AA45),SUBSTITUTE(LOOKUP(2,1/(AI45:AV45&lt;&gt;""),$AI$3:$AV$3),"Date: ","")))</t>
        </is>
      </c>
      <c r="AD45" s="49" t="inlineStr">
        <is>
          <t>IF(OR(F45="",COUNT(AI45:AV45)=0),"",TODAY()-LOOKUP(2,1/(AI45:AV45&lt;&gt;""),AI45:AV45))</t>
        </is>
      </c>
      <c r="AE45" s="49" t="inlineStr">
        <is>
          <t>IF(OR(F45="",COUNT(AI45:AV45)&lt;2),"",LOOKUP(2,1/(AI45:AV45&lt;&gt;""),AI45:AV45)-MIN(AI45:AV45))</t>
        </is>
      </c>
      <c r="AF45" s="49" t="inlineStr">
        <is>
          <t>IF(OR(AD45="",AC45="Not started",AC45=""),"",IFERROR(AD45-IF(VLOOKUP(AC45,'06_Status_Pipeline'!$B$3:$E$20,4,FALSE)="",0,VLOOKUP(AC45,'06_Status_Pipeline'!$B$3:$E$20,4,FALSE)),""))</t>
        </is>
      </c>
      <c r="AG45" s="42" t="inlineStr">
        <is>
          <t>IF(F45="","",IF(OR(AA45="Cancelled",AC45="Cancelled"),"Cancelled",IF(OR(AC45="Completed / Handover",Y45&lt;&gt;"",Z45&gt;=100),"Completed — on track",IF(O45="Not awarded",IF(U45="",IF(X45="","No planned date",IF(TODAY()&gt;X45,"Behind — past planned date",IF(X45-TODAY()&lt;=30,"At risk — close to off track","On track"))),IF(TODAY()&gt;U45,"Behind — award date passed",IF(U45-TODAY()&lt;=30,"At risk — close to off track","On track"))),IF(X45="","No planned date",IF(AND(TODAY()&gt;X45,OR(Z45="",Z45&lt;100)),"Behind — past end date",IF(AND(T45&lt;&gt;"",X45&lt;&gt;"",Z45&lt;&gt;"",(Z45&lt;100),((TODAY()-T45)/MAX(X45-T45,1)*100)-Z45&gt;15),"Behind — progress lag",IF(AND(X45-TODAY()&lt;=30,X45-TODAY()&gt;=0,OR(Z45="",Z45&lt;90)),"At risk — close to off track","On track"))))))))</t>
        </is>
      </c>
      <c r="AH45" s="49" t="inlineStr">
        <is>
          <t>IF(OR(F45="",AC45="Completed / Handover",AC45="Cancelled"),"",IF(O45="Not awarded",IF(U45&lt;&gt;"",U45-TODAY(),IF(X45="","",X45-TODAY())),IF(X45="","",X45-TODAY())))</t>
        </is>
      </c>
      <c r="AI45" s="47" t="n"/>
      <c r="AJ45" s="47" t="n"/>
      <c r="AK45" s="47" t="n"/>
      <c r="AL45" s="47" t="n"/>
      <c r="AM45" s="47" t="n"/>
      <c r="AN45" s="47" t="n"/>
      <c r="AO45" s="47" t="n"/>
      <c r="AP45" s="47" t="n"/>
      <c r="AQ45" s="47" t="n"/>
      <c r="AR45" s="47" t="n"/>
      <c r="AS45" s="47" t="n"/>
      <c r="AT45" s="50" t="n"/>
      <c r="AU45" s="50" t="n"/>
      <c r="AV45" s="50" t="n"/>
      <c r="AW45" s="49" t="inlineStr">
        <is>
          <t>IF(OR(F45="",AJ45=""),"",IF(COUNT(AI45:AI45)=0,"",AJ45-LOOKUP(2,1/(AI45:AI45&lt;&gt;""),AI45:AI45)))</t>
        </is>
      </c>
      <c r="AX45" s="49" t="inlineStr">
        <is>
          <t>IF(OR(F45="",AK45=""),"",IF(COUNT(AI45:AJ45)=0,"",AK45-LOOKUP(2,1/(AI45:AJ45&lt;&gt;""),AI45:AJ45)))</t>
        </is>
      </c>
      <c r="AY45" s="49" t="inlineStr">
        <is>
          <t>IF(OR(F45="",AL45=""),"",IF(COUNT(AI45:AK45)=0,"",AL45-LOOKUP(2,1/(AI45:AK45&lt;&gt;""),AI45:AK45)))</t>
        </is>
      </c>
      <c r="AZ45" s="49" t="inlineStr">
        <is>
          <t>IF(OR(F45="",AM45=""),"",IF(COUNT(AI45:AL45)=0,"",AM45-LOOKUP(2,1/(AI45:AL45&lt;&gt;""),AI45:AL45)))</t>
        </is>
      </c>
      <c r="BA45" s="49" t="inlineStr">
        <is>
          <t>IF(OR(F45="",AN45=""),"",IF(COUNT(AI45:AM45)=0,"",AN45-LOOKUP(2,1/(AI45:AM45&lt;&gt;""),AI45:AM45)))</t>
        </is>
      </c>
      <c r="BB45" s="49" t="inlineStr">
        <is>
          <t>IF(OR(F45="",AO45=""),"",IF(COUNT(AI45:AN45)=0,"",AO45-LOOKUP(2,1/(AI45:AN45&lt;&gt;""),AI45:AN45)))</t>
        </is>
      </c>
      <c r="BC45" s="49" t="inlineStr">
        <is>
          <t>IF(OR(F45="",AP45=""),"",IF(COUNT(AI45:AO45)=0,"",AP45-LOOKUP(2,1/(AI45:AO45&lt;&gt;""),AI45:AO45)))</t>
        </is>
      </c>
      <c r="BD45" s="49" t="inlineStr">
        <is>
          <t>IF(OR(F45="",AQ45=""),"",IF(COUNT(AI45:AP45)=0,"",AQ45-LOOKUP(2,1/(AI45:AP45&lt;&gt;""),AI45:AP45)))</t>
        </is>
      </c>
      <c r="BE45" s="49" t="inlineStr">
        <is>
          <t>IF(OR(F45="",AR45=""),"",IF(COUNT(AI45:AQ45)=0,"",AR45-LOOKUP(2,1/(AI45:AQ45&lt;&gt;""),AI45:AQ45)))</t>
        </is>
      </c>
      <c r="BF45" s="49" t="inlineStr">
        <is>
          <t>IF(OR(F45="",AS45=""),"",IF(COUNT(AI45:AR45)=0,"",AS45-LOOKUP(2,1/(AI45:AR45&lt;&gt;""),AI45:AR45)))</t>
        </is>
      </c>
      <c r="BG45" s="49" t="inlineStr">
        <is>
          <t>IF(OR(F45="",AT45=""),"",IF(COUNT(AI45:AS45)=0,"",AT45-LOOKUP(2,1/(AI45:AS45&lt;&gt;""),AI45:AS45)))</t>
        </is>
      </c>
      <c r="BH45" s="49" t="inlineStr">
        <is>
          <t>IF(OR(F45="",AU45=""),"",IF(COUNT(AI45:AT45)=0,"",AU45-LOOKUP(2,1/(AI45:AT45&lt;&gt;""),AI45:AT45)))</t>
        </is>
      </c>
      <c r="BI45" s="49" t="inlineStr">
        <is>
          <t>IF(OR(F45="",AV45=""),"",IF(COUNT(AI45:AU45)=0,"",AV45-LOOKUP(2,1/(AI45:AU45&lt;&gt;""),AI45:AU45)))</t>
        </is>
      </c>
      <c r="BJ45" s="51" t="inlineStr">
        <is>
          <t>IF(J45="","All_Provinces",IFERROR(VLOOKUP(J45,'09_Lookups'!$A$4:$B$20,2,FALSE),"All_Provinces"))</t>
        </is>
      </c>
      <c r="BK45" s="51" t="inlineStr">
        <is>
          <t>IF(K45="","All_Districts",IFERROR(VLOOKUP(K45,'09_Lookups'!$E$4:$F$42,2,FALSE),"All_Districts"))</t>
        </is>
      </c>
    </row>
    <row r="46" outlineLevel="1" ht="18" customHeight="1">
      <c r="A46" s="42" t="inlineStr">
        <is>
          <t>IF(F46="","",ROW()-3)</t>
        </is>
      </c>
      <c r="B46" s="61" t="inlineStr">
        <is>
          <t>AF2-DIS-01</t>
        </is>
      </c>
      <c r="C46" s="61" t="inlineStr">
        <is>
          <t>Package #1.B-WBK/AF2 DIS: Demonstration 7 Drip irrigation schemes of 1. Doormishi, 2. Khodrawan, 3. Karez Naw, 4.Koklam Olia, 5. Koklam Sofla, 6 Joi Sultani and 7. Kushk Kohna in Kushk Rabat Sangi and Kushk e Kohna Districts of Herat Province.</t>
        </is>
      </c>
      <c r="D46" s="61" t="inlineStr">
        <is>
          <t>4 of 7</t>
        </is>
      </c>
      <c r="E46" s="52" t="inlineStr">
        <is>
          <t>AF2-DIS-N-004</t>
        </is>
      </c>
      <c r="F46" s="52" t="inlineStr">
        <is>
          <t>Khodrawan Drip Irrigation schemes</t>
        </is>
      </c>
      <c r="G46" s="52" t="inlineStr">
        <is>
          <t>Drip Irrigation</t>
        </is>
      </c>
      <c r="H46" s="52" t="inlineStr">
        <is>
          <t>Drip Irrigation Plot</t>
        </is>
      </c>
      <c r="I46" s="52" t="inlineStr">
        <is>
          <t>Emergency Food Security Project (EFSP) – WBK/AF-2</t>
        </is>
      </c>
      <c r="J46" s="52" t="inlineStr">
        <is>
          <t>West / Herat</t>
        </is>
      </c>
      <c r="K46" s="52" t="inlineStr">
        <is>
          <t>Herat</t>
        </is>
      </c>
      <c r="L46" s="52" t="inlineStr">
        <is>
          <t>Kushk e Rabat Sangi</t>
        </is>
      </c>
      <c r="M46" s="52" t="inlineStr">
        <is>
          <t>Khodrawan</t>
        </is>
      </c>
      <c r="N46" s="52" t="inlineStr">
        <is>
          <t>World Bank (WBK/AF-2)</t>
        </is>
      </c>
      <c r="O46" s="52" t="inlineStr">
        <is>
          <t>Not awarded</t>
        </is>
      </c>
      <c r="P46" s="52" t="inlineStr">
        <is>
          <t>5. Drip Irrigation systems</t>
        </is>
      </c>
      <c r="Q46" s="52" t="inlineStr">
        <is>
          <t>Sadullah</t>
        </is>
      </c>
      <c r="R46" s="52" t="inlineStr"/>
      <c r="S46" s="53" t="n">
        <v>8259.969999999999</v>
      </c>
      <c r="T46" s="46" t="inlineStr">
        <is>
          <t>IF(AQ46="","",AQ46)</t>
        </is>
      </c>
      <c r="U46" s="54" t="n">
        <v>46371</v>
      </c>
      <c r="V46" s="55" t="n">
        <v>4.4</v>
      </c>
      <c r="W46" s="54" t="n">
        <v>46506</v>
      </c>
      <c r="X46" s="46" t="inlineStr">
        <is>
          <t>IF(W46&lt;&gt;"",W46,IF(OR(T46="",V46=""),"",EDATE(T46,V46)))</t>
        </is>
      </c>
      <c r="Y46" s="54" t="n"/>
      <c r="Z46" s="55" t="n"/>
      <c r="AA46" s="52" t="inlineStr">
        <is>
          <t>Retendered (Re-ITB)</t>
        </is>
      </c>
      <c r="AB46" s="52" t="inlineStr">
        <is>
          <t>Work starting from March 2026. A total of 90 days for completion Slack period until end February 2026. | Farmer: Sadullah</t>
        </is>
      </c>
      <c r="AC46" s="42" t="inlineStr">
        <is>
          <t>IF(F46="","",IF(COUNT(AI46:AV46)=0,IF(AA46="","Not started",AA46),SUBSTITUTE(LOOKUP(2,1/(AI46:AV46&lt;&gt;""),$AI$3:$AV$3),"Date: ","")))</t>
        </is>
      </c>
      <c r="AD46" s="49" t="inlineStr">
        <is>
          <t>IF(OR(F46="",COUNT(AI46:AV46)=0),"",TODAY()-LOOKUP(2,1/(AI46:AV46&lt;&gt;""),AI46:AV46))</t>
        </is>
      </c>
      <c r="AE46" s="49" t="inlineStr">
        <is>
          <t>IF(OR(F46="",COUNT(AI46:AV46)&lt;2),"",LOOKUP(2,1/(AI46:AV46&lt;&gt;""),AI46:AV46)-MIN(AI46:AV46))</t>
        </is>
      </c>
      <c r="AF46" s="49" t="inlineStr">
        <is>
          <t>IF(OR(AD46="",AC46="Not started",AC46=""),"",IFERROR(AD46-IF(VLOOKUP(AC46,'06_Status_Pipeline'!$B$3:$E$20,4,FALSE)="",0,VLOOKUP(AC46,'06_Status_Pipeline'!$B$3:$E$20,4,FALSE)),""))</t>
        </is>
      </c>
      <c r="AG46" s="42" t="inlineStr">
        <is>
          <t>IF(F46="","",IF(OR(AA46="Cancelled",AC46="Cancelled"),"Cancelled",IF(OR(AC46="Completed / Handover",Y46&lt;&gt;"",Z46&gt;=100),"Completed — on track",IF(O46="Not awarded",IF(U46="",IF(X46="","No planned date",IF(TODAY()&gt;X46,"Behind — past planned date",IF(X46-TODAY()&lt;=30,"At risk — close to off track","On track"))),IF(TODAY()&gt;U46,"Behind — award date passed",IF(U46-TODAY()&lt;=30,"At risk — close to off track","On track"))),IF(X46="","No planned date",IF(AND(TODAY()&gt;X46,OR(Z46="",Z46&lt;100)),"Behind — past end date",IF(AND(T46&lt;&gt;"",X46&lt;&gt;"",Z46&lt;&gt;"",(Z46&lt;100),((TODAY()-T46)/MAX(X46-T46,1)*100)-Z46&gt;15),"Behind — progress lag",IF(AND(X46-TODAY()&lt;=30,X46-TODAY()&gt;=0,OR(Z46="",Z46&lt;90)),"At risk — close to off track","On track"))))))))</t>
        </is>
      </c>
      <c r="AH46" s="49" t="inlineStr">
        <is>
          <t>IF(OR(F46="",AC46="Completed / Handover",AC46="Cancelled"),"",IF(O46="Not awarded",IF(U46&lt;&gt;"",U46-TODAY(),IF(X46="","",X46-TODAY())),IF(X46="","",X46-TODAY())))</t>
        </is>
      </c>
      <c r="AI46" s="54" t="n"/>
      <c r="AJ46" s="54" t="n"/>
      <c r="AK46" s="54" t="n"/>
      <c r="AL46" s="54" t="n"/>
      <c r="AM46" s="54" t="n"/>
      <c r="AN46" s="54" t="n"/>
      <c r="AO46" s="54" t="n"/>
      <c r="AP46" s="54" t="n"/>
      <c r="AQ46" s="54" t="n"/>
      <c r="AR46" s="54" t="n"/>
      <c r="AS46" s="54" t="n"/>
      <c r="AT46" s="50" t="n"/>
      <c r="AU46" s="50" t="n"/>
      <c r="AV46" s="50" t="n"/>
      <c r="AW46" s="49" t="inlineStr">
        <is>
          <t>IF(OR(F46="",AJ46=""),"",IF(COUNT(AI46:AI46)=0,"",AJ46-LOOKUP(2,1/(AI46:AI46&lt;&gt;""),AI46:AI46)))</t>
        </is>
      </c>
      <c r="AX46" s="49" t="inlineStr">
        <is>
          <t>IF(OR(F46="",AK46=""),"",IF(COUNT(AI46:AJ46)=0,"",AK46-LOOKUP(2,1/(AI46:AJ46&lt;&gt;""),AI46:AJ46)))</t>
        </is>
      </c>
      <c r="AY46" s="49" t="inlineStr">
        <is>
          <t>IF(OR(F46="",AL46=""),"",IF(COUNT(AI46:AK46)=0,"",AL46-LOOKUP(2,1/(AI46:AK46&lt;&gt;""),AI46:AK46)))</t>
        </is>
      </c>
      <c r="AZ46" s="49" t="inlineStr">
        <is>
          <t>IF(OR(F46="",AM46=""),"",IF(COUNT(AI46:AL46)=0,"",AM46-LOOKUP(2,1/(AI46:AL46&lt;&gt;""),AI46:AL46)))</t>
        </is>
      </c>
      <c r="BA46" s="49" t="inlineStr">
        <is>
          <t>IF(OR(F46="",AN46=""),"",IF(COUNT(AI46:AM46)=0,"",AN46-LOOKUP(2,1/(AI46:AM46&lt;&gt;""),AI46:AM46)))</t>
        </is>
      </c>
      <c r="BB46" s="49" t="inlineStr">
        <is>
          <t>IF(OR(F46="",AO46=""),"",IF(COUNT(AI46:AN46)=0,"",AO46-LOOKUP(2,1/(AI46:AN46&lt;&gt;""),AI46:AN46)))</t>
        </is>
      </c>
      <c r="BC46" s="49" t="inlineStr">
        <is>
          <t>IF(OR(F46="",AP46=""),"",IF(COUNT(AI46:AO46)=0,"",AP46-LOOKUP(2,1/(AI46:AO46&lt;&gt;""),AI46:AO46)))</t>
        </is>
      </c>
      <c r="BD46" s="49" t="inlineStr">
        <is>
          <t>IF(OR(F46="",AQ46=""),"",IF(COUNT(AI46:AP46)=0,"",AQ46-LOOKUP(2,1/(AI46:AP46&lt;&gt;""),AI46:AP46)))</t>
        </is>
      </c>
      <c r="BE46" s="49" t="inlineStr">
        <is>
          <t>IF(OR(F46="",AR46=""),"",IF(COUNT(AI46:AQ46)=0,"",AR46-LOOKUP(2,1/(AI46:AQ46&lt;&gt;""),AI46:AQ46)))</t>
        </is>
      </c>
      <c r="BF46" s="49" t="inlineStr">
        <is>
          <t>IF(OR(F46="",AS46=""),"",IF(COUNT(AI46:AR46)=0,"",AS46-LOOKUP(2,1/(AI46:AR46&lt;&gt;""),AI46:AR46)))</t>
        </is>
      </c>
      <c r="BG46" s="49" t="inlineStr">
        <is>
          <t>IF(OR(F46="",AT46=""),"",IF(COUNT(AI46:AS46)=0,"",AT46-LOOKUP(2,1/(AI46:AS46&lt;&gt;""),AI46:AS46)))</t>
        </is>
      </c>
      <c r="BH46" s="49" t="inlineStr">
        <is>
          <t>IF(OR(F46="",AU46=""),"",IF(COUNT(AI46:AT46)=0,"",AU46-LOOKUP(2,1/(AI46:AT46&lt;&gt;""),AI46:AT46)))</t>
        </is>
      </c>
      <c r="BI46" s="49" t="inlineStr">
        <is>
          <t>IF(OR(F46="",AV46=""),"",IF(COUNT(AI46:AU46)=0,"",AV46-LOOKUP(2,1/(AI46:AU46&lt;&gt;""),AI46:AU46)))</t>
        </is>
      </c>
      <c r="BJ46" s="51" t="inlineStr">
        <is>
          <t>IF(J46="","All_Provinces",IFERROR(VLOOKUP(J46,'09_Lookups'!$A$4:$B$20,2,FALSE),"All_Provinces"))</t>
        </is>
      </c>
      <c r="BK46" s="51" t="inlineStr">
        <is>
          <t>IF(K46="","All_Districts",IFERROR(VLOOKUP(K46,'09_Lookups'!$E$4:$F$42,2,FALSE),"All_Districts"))</t>
        </is>
      </c>
    </row>
    <row r="47" outlineLevel="1" ht="18" customHeight="1">
      <c r="A47" s="42" t="inlineStr">
        <is>
          <t>IF(F47="","",ROW()-3)</t>
        </is>
      </c>
      <c r="B47" s="61" t="inlineStr">
        <is>
          <t>AF2-DIS-01</t>
        </is>
      </c>
      <c r="C47" s="61" t="inlineStr">
        <is>
          <t>Package #1.B-WBK/AF2 DIS: Demonstration 7 Drip irrigation schemes of 1. Doormishi, 2. Khodrawan, 3. Karez Naw, 4.Koklam Olia, 5. Koklam Sofla, 6 Joi Sultani and 7. Kushk Kohna in Kushk Rabat Sangi and Kushk e Kohna Districts of Herat Province.</t>
        </is>
      </c>
      <c r="D47" s="61" t="inlineStr">
        <is>
          <t>5 of 7</t>
        </is>
      </c>
      <c r="E47" s="44" t="inlineStr">
        <is>
          <t>AF2-DIS-N-005</t>
        </is>
      </c>
      <c r="F47" s="44" t="inlineStr">
        <is>
          <t>Koklam Olia Drip Irrigation schemes</t>
        </is>
      </c>
      <c r="G47" s="44" t="inlineStr">
        <is>
          <t>Drip Irrigation</t>
        </is>
      </c>
      <c r="H47" s="44" t="inlineStr">
        <is>
          <t>Drip Irrigation Plot</t>
        </is>
      </c>
      <c r="I47" s="44" t="inlineStr">
        <is>
          <t>Emergency Food Security Project (EFSP) – WBK/AF-2</t>
        </is>
      </c>
      <c r="J47" s="44" t="inlineStr">
        <is>
          <t>West / Herat</t>
        </is>
      </c>
      <c r="K47" s="44" t="inlineStr">
        <is>
          <t>Herat</t>
        </is>
      </c>
      <c r="L47" s="44" t="inlineStr">
        <is>
          <t>Kushk e Kohna</t>
        </is>
      </c>
      <c r="M47" s="44" t="inlineStr">
        <is>
          <t>Koklam Olia</t>
        </is>
      </c>
      <c r="N47" s="44" t="inlineStr">
        <is>
          <t>World Bank (WBK/AF-2)</t>
        </is>
      </c>
      <c r="O47" s="44" t="inlineStr">
        <is>
          <t>Not awarded</t>
        </is>
      </c>
      <c r="P47" s="44" t="inlineStr">
        <is>
          <t>5. Drip Irrigation systems</t>
        </is>
      </c>
      <c r="Q47" s="44" t="inlineStr">
        <is>
          <t>Fazl Ahmad</t>
        </is>
      </c>
      <c r="R47" s="44" t="inlineStr"/>
      <c r="S47" s="45" t="n">
        <v>9545.190000000001</v>
      </c>
      <c r="T47" s="46" t="inlineStr">
        <is>
          <t>IF(AQ47="","",AQ47)</t>
        </is>
      </c>
      <c r="U47" s="47" t="n">
        <v>46371</v>
      </c>
      <c r="V47" s="48" t="n">
        <v>4.4</v>
      </c>
      <c r="W47" s="47" t="n">
        <v>46506</v>
      </c>
      <c r="X47" s="46" t="inlineStr">
        <is>
          <t>IF(W47&lt;&gt;"",W47,IF(OR(T47="",V47=""),"",EDATE(T47,V47)))</t>
        </is>
      </c>
      <c r="Y47" s="47" t="n"/>
      <c r="Z47" s="48" t="n"/>
      <c r="AA47" s="44" t="inlineStr">
        <is>
          <t>Retendered (Re-ITB)</t>
        </is>
      </c>
      <c r="AB47" s="44" t="inlineStr">
        <is>
          <t>Work starting from March 2026. A total of 90 days for completion Slack period until end February 2026. | Farmer: Fazl Ahmad</t>
        </is>
      </c>
      <c r="AC47" s="42" t="inlineStr">
        <is>
          <t>IF(F47="","",IF(COUNT(AI47:AV47)=0,IF(AA47="","Not started",AA47),SUBSTITUTE(LOOKUP(2,1/(AI47:AV47&lt;&gt;""),$AI$3:$AV$3),"Date: ","")))</t>
        </is>
      </c>
      <c r="AD47" s="49" t="inlineStr">
        <is>
          <t>IF(OR(F47="",COUNT(AI47:AV47)=0),"",TODAY()-LOOKUP(2,1/(AI47:AV47&lt;&gt;""),AI47:AV47))</t>
        </is>
      </c>
      <c r="AE47" s="49" t="inlineStr">
        <is>
          <t>IF(OR(F47="",COUNT(AI47:AV47)&lt;2),"",LOOKUP(2,1/(AI47:AV47&lt;&gt;""),AI47:AV47)-MIN(AI47:AV47))</t>
        </is>
      </c>
      <c r="AF47" s="49" t="inlineStr">
        <is>
          <t>IF(OR(AD47="",AC47="Not started",AC47=""),"",IFERROR(AD47-IF(VLOOKUP(AC47,'06_Status_Pipeline'!$B$3:$E$20,4,FALSE)="",0,VLOOKUP(AC47,'06_Status_Pipeline'!$B$3:$E$20,4,FALSE)),""))</t>
        </is>
      </c>
      <c r="AG47" s="42" t="inlineStr">
        <is>
          <t>IF(F47="","",IF(OR(AA47="Cancelled",AC47="Cancelled"),"Cancelled",IF(OR(AC47="Completed / Handover",Y47&lt;&gt;"",Z47&gt;=100),"Completed — on track",IF(O47="Not awarded",IF(U47="",IF(X47="","No planned date",IF(TODAY()&gt;X47,"Behind — past planned date",IF(X47-TODAY()&lt;=30,"At risk — close to off track","On track"))),IF(TODAY()&gt;U47,"Behind — award date passed",IF(U47-TODAY()&lt;=30,"At risk — close to off track","On track"))),IF(X47="","No planned date",IF(AND(TODAY()&gt;X47,OR(Z47="",Z47&lt;100)),"Behind — past end date",IF(AND(T47&lt;&gt;"",X47&lt;&gt;"",Z47&lt;&gt;"",(Z47&lt;100),((TODAY()-T47)/MAX(X47-T47,1)*100)-Z47&gt;15),"Behind — progress lag",IF(AND(X47-TODAY()&lt;=30,X47-TODAY()&gt;=0,OR(Z47="",Z47&lt;90)),"At risk — close to off track","On track"))))))))</t>
        </is>
      </c>
      <c r="AH47" s="49" t="inlineStr">
        <is>
          <t>IF(OR(F47="",AC47="Completed / Handover",AC47="Cancelled"),"",IF(O47="Not awarded",IF(U47&lt;&gt;"",U47-TODAY(),IF(X47="","",X47-TODAY())),IF(X47="","",X47-TODAY())))</t>
        </is>
      </c>
      <c r="AI47" s="47" t="n"/>
      <c r="AJ47" s="47" t="n"/>
      <c r="AK47" s="47" t="n"/>
      <c r="AL47" s="47" t="n"/>
      <c r="AM47" s="47" t="n"/>
      <c r="AN47" s="47" t="n"/>
      <c r="AO47" s="47" t="n"/>
      <c r="AP47" s="47" t="n"/>
      <c r="AQ47" s="47" t="n"/>
      <c r="AR47" s="47" t="n"/>
      <c r="AS47" s="47" t="n"/>
      <c r="AT47" s="50" t="n"/>
      <c r="AU47" s="50" t="n"/>
      <c r="AV47" s="50" t="n"/>
      <c r="AW47" s="49" t="inlineStr">
        <is>
          <t>IF(OR(F47="",AJ47=""),"",IF(COUNT(AI47:AI47)=0,"",AJ47-LOOKUP(2,1/(AI47:AI47&lt;&gt;""),AI47:AI47)))</t>
        </is>
      </c>
      <c r="AX47" s="49" t="inlineStr">
        <is>
          <t>IF(OR(F47="",AK47=""),"",IF(COUNT(AI47:AJ47)=0,"",AK47-LOOKUP(2,1/(AI47:AJ47&lt;&gt;""),AI47:AJ47)))</t>
        </is>
      </c>
      <c r="AY47" s="49" t="inlineStr">
        <is>
          <t>IF(OR(F47="",AL47=""),"",IF(COUNT(AI47:AK47)=0,"",AL47-LOOKUP(2,1/(AI47:AK47&lt;&gt;""),AI47:AK47)))</t>
        </is>
      </c>
      <c r="AZ47" s="49" t="inlineStr">
        <is>
          <t>IF(OR(F47="",AM47=""),"",IF(COUNT(AI47:AL47)=0,"",AM47-LOOKUP(2,1/(AI47:AL47&lt;&gt;""),AI47:AL47)))</t>
        </is>
      </c>
      <c r="BA47" s="49" t="inlineStr">
        <is>
          <t>IF(OR(F47="",AN47=""),"",IF(COUNT(AI47:AM47)=0,"",AN47-LOOKUP(2,1/(AI47:AM47&lt;&gt;""),AI47:AM47)))</t>
        </is>
      </c>
      <c r="BB47" s="49" t="inlineStr">
        <is>
          <t>IF(OR(F47="",AO47=""),"",IF(COUNT(AI47:AN47)=0,"",AO47-LOOKUP(2,1/(AI47:AN47&lt;&gt;""),AI47:AN47)))</t>
        </is>
      </c>
      <c r="BC47" s="49" t="inlineStr">
        <is>
          <t>IF(OR(F47="",AP47=""),"",IF(COUNT(AI47:AO47)=0,"",AP47-LOOKUP(2,1/(AI47:AO47&lt;&gt;""),AI47:AO47)))</t>
        </is>
      </c>
      <c r="BD47" s="49" t="inlineStr">
        <is>
          <t>IF(OR(F47="",AQ47=""),"",IF(COUNT(AI47:AP47)=0,"",AQ47-LOOKUP(2,1/(AI47:AP47&lt;&gt;""),AI47:AP47)))</t>
        </is>
      </c>
      <c r="BE47" s="49" t="inlineStr">
        <is>
          <t>IF(OR(F47="",AR47=""),"",IF(COUNT(AI47:AQ47)=0,"",AR47-LOOKUP(2,1/(AI47:AQ47&lt;&gt;""),AI47:AQ47)))</t>
        </is>
      </c>
      <c r="BF47" s="49" t="inlineStr">
        <is>
          <t>IF(OR(F47="",AS47=""),"",IF(COUNT(AI47:AR47)=0,"",AS47-LOOKUP(2,1/(AI47:AR47&lt;&gt;""),AI47:AR47)))</t>
        </is>
      </c>
      <c r="BG47" s="49" t="inlineStr">
        <is>
          <t>IF(OR(F47="",AT47=""),"",IF(COUNT(AI47:AS47)=0,"",AT47-LOOKUP(2,1/(AI47:AS47&lt;&gt;""),AI47:AS47)))</t>
        </is>
      </c>
      <c r="BH47" s="49" t="inlineStr">
        <is>
          <t>IF(OR(F47="",AU47=""),"",IF(COUNT(AI47:AT47)=0,"",AU47-LOOKUP(2,1/(AI47:AT47&lt;&gt;""),AI47:AT47)))</t>
        </is>
      </c>
      <c r="BI47" s="49" t="inlineStr">
        <is>
          <t>IF(OR(F47="",AV47=""),"",IF(COUNT(AI47:AU47)=0,"",AV47-LOOKUP(2,1/(AI47:AU47&lt;&gt;""),AI47:AU47)))</t>
        </is>
      </c>
      <c r="BJ47" s="51" t="inlineStr">
        <is>
          <t>IF(J47="","All_Provinces",IFERROR(VLOOKUP(J47,'09_Lookups'!$A$4:$B$20,2,FALSE),"All_Provinces"))</t>
        </is>
      </c>
      <c r="BK47" s="51" t="inlineStr">
        <is>
          <t>IF(K47="","All_Districts",IFERROR(VLOOKUP(K47,'09_Lookups'!$E$4:$F$42,2,FALSE),"All_Districts"))</t>
        </is>
      </c>
    </row>
    <row r="48" outlineLevel="1" ht="18" customHeight="1">
      <c r="A48" s="42" t="inlineStr">
        <is>
          <t>IF(F48="","",ROW()-3)</t>
        </is>
      </c>
      <c r="B48" s="61" t="inlineStr">
        <is>
          <t>AF2-DIS-01</t>
        </is>
      </c>
      <c r="C48" s="61" t="inlineStr">
        <is>
          <t>Package #1.B-WBK/AF2 DIS: Demonstration 7 Drip irrigation schemes of 1. Doormishi, 2. Khodrawan, 3. Karez Naw, 4.Koklam Olia, 5. Koklam Sofla, 6 Joi Sultani and 7. Kushk Kohna in Kushk Rabat Sangi and Kushk e Kohna Districts of Herat Province.</t>
        </is>
      </c>
      <c r="D48" s="61" t="inlineStr">
        <is>
          <t>6 of 7</t>
        </is>
      </c>
      <c r="E48" s="52" t="inlineStr">
        <is>
          <t>AF2-DIS-N-006</t>
        </is>
      </c>
      <c r="F48" s="52" t="inlineStr">
        <is>
          <t>Koklam Sofla Drip Irrigation schemes</t>
        </is>
      </c>
      <c r="G48" s="52" t="inlineStr">
        <is>
          <t>Drip Irrigation</t>
        </is>
      </c>
      <c r="H48" s="52" t="inlineStr">
        <is>
          <t>Drip Irrigation Plot</t>
        </is>
      </c>
      <c r="I48" s="52" t="inlineStr">
        <is>
          <t>Emergency Food Security Project (EFSP) – WBK/AF-2</t>
        </is>
      </c>
      <c r="J48" s="52" t="inlineStr">
        <is>
          <t>West / Herat</t>
        </is>
      </c>
      <c r="K48" s="52" t="inlineStr">
        <is>
          <t>Herat</t>
        </is>
      </c>
      <c r="L48" s="52" t="inlineStr">
        <is>
          <t>Kushk e Kohna</t>
        </is>
      </c>
      <c r="M48" s="52" t="inlineStr">
        <is>
          <t>Koklam Sofla</t>
        </is>
      </c>
      <c r="N48" s="52" t="inlineStr">
        <is>
          <t>World Bank (WBK/AF-2)</t>
        </is>
      </c>
      <c r="O48" s="52" t="inlineStr">
        <is>
          <t>Not awarded</t>
        </is>
      </c>
      <c r="P48" s="52" t="inlineStr">
        <is>
          <t>5. Drip Irrigation systems</t>
        </is>
      </c>
      <c r="Q48" s="52" t="inlineStr">
        <is>
          <t>Nesar Ahmad, Koklam</t>
        </is>
      </c>
      <c r="R48" s="52" t="inlineStr"/>
      <c r="S48" s="53" t="n">
        <v>7974.31</v>
      </c>
      <c r="T48" s="46" t="inlineStr">
        <is>
          <t>IF(AQ48="","",AQ48)</t>
        </is>
      </c>
      <c r="U48" s="54" t="n">
        <v>46371</v>
      </c>
      <c r="V48" s="55" t="n">
        <v>4.4</v>
      </c>
      <c r="W48" s="54" t="n">
        <v>46506</v>
      </c>
      <c r="X48" s="46" t="inlineStr">
        <is>
          <t>IF(W48&lt;&gt;"",W48,IF(OR(T48="",V48=""),"",EDATE(T48,V48)))</t>
        </is>
      </c>
      <c r="Y48" s="54" t="n"/>
      <c r="Z48" s="55" t="n"/>
      <c r="AA48" s="52" t="inlineStr">
        <is>
          <t>Retendered (Re-ITB)</t>
        </is>
      </c>
      <c r="AB48" s="52" t="inlineStr">
        <is>
          <t>Work starting from March 2026. A total of 90 days for completion Slack period until end February 2026. | Farmer: Nesar Ahmad, Koklam</t>
        </is>
      </c>
      <c r="AC48" s="42" t="inlineStr">
        <is>
          <t>IF(F48="","",IF(COUNT(AI48:AV48)=0,IF(AA48="","Not started",AA48),SUBSTITUTE(LOOKUP(2,1/(AI48:AV48&lt;&gt;""),$AI$3:$AV$3),"Date: ","")))</t>
        </is>
      </c>
      <c r="AD48" s="49" t="inlineStr">
        <is>
          <t>IF(OR(F48="",COUNT(AI48:AV48)=0),"",TODAY()-LOOKUP(2,1/(AI48:AV48&lt;&gt;""),AI48:AV48))</t>
        </is>
      </c>
      <c r="AE48" s="49" t="inlineStr">
        <is>
          <t>IF(OR(F48="",COUNT(AI48:AV48)&lt;2),"",LOOKUP(2,1/(AI48:AV48&lt;&gt;""),AI48:AV48)-MIN(AI48:AV48))</t>
        </is>
      </c>
      <c r="AF48" s="49" t="inlineStr">
        <is>
          <t>IF(OR(AD48="",AC48="Not started",AC48=""),"",IFERROR(AD48-IF(VLOOKUP(AC48,'06_Status_Pipeline'!$B$3:$E$20,4,FALSE)="",0,VLOOKUP(AC48,'06_Status_Pipeline'!$B$3:$E$20,4,FALSE)),""))</t>
        </is>
      </c>
      <c r="AG48" s="42" t="inlineStr">
        <is>
          <t>IF(F48="","",IF(OR(AA48="Cancelled",AC48="Cancelled"),"Cancelled",IF(OR(AC48="Completed / Handover",Y48&lt;&gt;"",Z48&gt;=100),"Completed — on track",IF(O48="Not awarded",IF(U48="",IF(X48="","No planned date",IF(TODAY()&gt;X48,"Behind — past planned date",IF(X48-TODAY()&lt;=30,"At risk — close to off track","On track"))),IF(TODAY()&gt;U48,"Behind — award date passed",IF(U48-TODAY()&lt;=30,"At risk — close to off track","On track"))),IF(X48="","No planned date",IF(AND(TODAY()&gt;X48,OR(Z48="",Z48&lt;100)),"Behind — past end date",IF(AND(T48&lt;&gt;"",X48&lt;&gt;"",Z48&lt;&gt;"",(Z48&lt;100),((TODAY()-T48)/MAX(X48-T48,1)*100)-Z48&gt;15),"Behind — progress lag",IF(AND(X48-TODAY()&lt;=30,X48-TODAY()&gt;=0,OR(Z48="",Z48&lt;90)),"At risk — close to off track","On track"))))))))</t>
        </is>
      </c>
      <c r="AH48" s="49" t="inlineStr">
        <is>
          <t>IF(OR(F48="",AC48="Completed / Handover",AC48="Cancelled"),"",IF(O48="Not awarded",IF(U48&lt;&gt;"",U48-TODAY(),IF(X48="","",X48-TODAY())),IF(X48="","",X48-TODAY())))</t>
        </is>
      </c>
      <c r="AI48" s="54" t="n"/>
      <c r="AJ48" s="54" t="n"/>
      <c r="AK48" s="54" t="n"/>
      <c r="AL48" s="54" t="n"/>
      <c r="AM48" s="54" t="n"/>
      <c r="AN48" s="54" t="n"/>
      <c r="AO48" s="54" t="n"/>
      <c r="AP48" s="54" t="n"/>
      <c r="AQ48" s="54" t="n"/>
      <c r="AR48" s="54" t="n"/>
      <c r="AS48" s="54" t="n"/>
      <c r="AT48" s="50" t="n"/>
      <c r="AU48" s="50" t="n"/>
      <c r="AV48" s="50" t="n"/>
      <c r="AW48" s="49" t="inlineStr">
        <is>
          <t>IF(OR(F48="",AJ48=""),"",IF(COUNT(AI48:AI48)=0,"",AJ48-LOOKUP(2,1/(AI48:AI48&lt;&gt;""),AI48:AI48)))</t>
        </is>
      </c>
      <c r="AX48" s="49" t="inlineStr">
        <is>
          <t>IF(OR(F48="",AK48=""),"",IF(COUNT(AI48:AJ48)=0,"",AK48-LOOKUP(2,1/(AI48:AJ48&lt;&gt;""),AI48:AJ48)))</t>
        </is>
      </c>
      <c r="AY48" s="49" t="inlineStr">
        <is>
          <t>IF(OR(F48="",AL48=""),"",IF(COUNT(AI48:AK48)=0,"",AL48-LOOKUP(2,1/(AI48:AK48&lt;&gt;""),AI48:AK48)))</t>
        </is>
      </c>
      <c r="AZ48" s="49" t="inlineStr">
        <is>
          <t>IF(OR(F48="",AM48=""),"",IF(COUNT(AI48:AL48)=0,"",AM48-LOOKUP(2,1/(AI48:AL48&lt;&gt;""),AI48:AL48)))</t>
        </is>
      </c>
      <c r="BA48" s="49" t="inlineStr">
        <is>
          <t>IF(OR(F48="",AN48=""),"",IF(COUNT(AI48:AM48)=0,"",AN48-LOOKUP(2,1/(AI48:AM48&lt;&gt;""),AI48:AM48)))</t>
        </is>
      </c>
      <c r="BB48" s="49" t="inlineStr">
        <is>
          <t>IF(OR(F48="",AO48=""),"",IF(COUNT(AI48:AN48)=0,"",AO48-LOOKUP(2,1/(AI48:AN48&lt;&gt;""),AI48:AN48)))</t>
        </is>
      </c>
      <c r="BC48" s="49" t="inlineStr">
        <is>
          <t>IF(OR(F48="",AP48=""),"",IF(COUNT(AI48:AO48)=0,"",AP48-LOOKUP(2,1/(AI48:AO48&lt;&gt;""),AI48:AO48)))</t>
        </is>
      </c>
      <c r="BD48" s="49" t="inlineStr">
        <is>
          <t>IF(OR(F48="",AQ48=""),"",IF(COUNT(AI48:AP48)=0,"",AQ48-LOOKUP(2,1/(AI48:AP48&lt;&gt;""),AI48:AP48)))</t>
        </is>
      </c>
      <c r="BE48" s="49" t="inlineStr">
        <is>
          <t>IF(OR(F48="",AR48=""),"",IF(COUNT(AI48:AQ48)=0,"",AR48-LOOKUP(2,1/(AI48:AQ48&lt;&gt;""),AI48:AQ48)))</t>
        </is>
      </c>
      <c r="BF48" s="49" t="inlineStr">
        <is>
          <t>IF(OR(F48="",AS48=""),"",IF(COUNT(AI48:AR48)=0,"",AS48-LOOKUP(2,1/(AI48:AR48&lt;&gt;""),AI48:AR48)))</t>
        </is>
      </c>
      <c r="BG48" s="49" t="inlineStr">
        <is>
          <t>IF(OR(F48="",AT48=""),"",IF(COUNT(AI48:AS48)=0,"",AT48-LOOKUP(2,1/(AI48:AS48&lt;&gt;""),AI48:AS48)))</t>
        </is>
      </c>
      <c r="BH48" s="49" t="inlineStr">
        <is>
          <t>IF(OR(F48="",AU48=""),"",IF(COUNT(AI48:AT48)=0,"",AU48-LOOKUP(2,1/(AI48:AT48&lt;&gt;""),AI48:AT48)))</t>
        </is>
      </c>
      <c r="BI48" s="49" t="inlineStr">
        <is>
          <t>IF(OR(F48="",AV48=""),"",IF(COUNT(AI48:AU48)=0,"",AV48-LOOKUP(2,1/(AI48:AU48&lt;&gt;""),AI48:AU48)))</t>
        </is>
      </c>
      <c r="BJ48" s="51" t="inlineStr">
        <is>
          <t>IF(J48="","All_Provinces",IFERROR(VLOOKUP(J48,'09_Lookups'!$A$4:$B$20,2,FALSE),"All_Provinces"))</t>
        </is>
      </c>
      <c r="BK48" s="51" t="inlineStr">
        <is>
          <t>IF(K48="","All_Districts",IFERROR(VLOOKUP(K48,'09_Lookups'!$E$4:$F$42,2,FALSE),"All_Districts"))</t>
        </is>
      </c>
    </row>
    <row r="49" outlineLevel="1" ht="18" customHeight="1">
      <c r="A49" s="42" t="inlineStr">
        <is>
          <t>IF(F49="","",ROW()-3)</t>
        </is>
      </c>
      <c r="B49" s="61" t="inlineStr">
        <is>
          <t>AF2-DIS-01</t>
        </is>
      </c>
      <c r="C49" s="61" t="inlineStr">
        <is>
          <t>Package #1.B-WBK/AF2 DIS: Demonstration 7 Drip irrigation schemes of 1. Doormishi, 2. Khodrawan, 3. Karez Naw, 4.Koklam Olia, 5. Koklam Sofla, 6 Joi Sultani and 7. Kushk Kohna in Kushk Rabat Sangi and Kushk e Kohna Districts of Herat Province.</t>
        </is>
      </c>
      <c r="D49" s="61" t="inlineStr">
        <is>
          <t>7 of 7</t>
        </is>
      </c>
      <c r="E49" s="44" t="inlineStr">
        <is>
          <t>AF2-DIS-N-007</t>
        </is>
      </c>
      <c r="F49" s="44" t="inlineStr">
        <is>
          <t>Kushk Kohna Drip Irrigation schemes</t>
        </is>
      </c>
      <c r="G49" s="44" t="inlineStr">
        <is>
          <t>Drip Irrigation</t>
        </is>
      </c>
      <c r="H49" s="44" t="inlineStr">
        <is>
          <t>Drip Irrigation Plot</t>
        </is>
      </c>
      <c r="I49" s="44" t="inlineStr">
        <is>
          <t>Emergency Food Security Project (EFSP) – WBK/AF-2</t>
        </is>
      </c>
      <c r="J49" s="44" t="inlineStr">
        <is>
          <t>West / Herat</t>
        </is>
      </c>
      <c r="K49" s="44" t="inlineStr">
        <is>
          <t>Herat</t>
        </is>
      </c>
      <c r="L49" s="44" t="inlineStr">
        <is>
          <t>Kushk e Kohna</t>
        </is>
      </c>
      <c r="M49" s="44" t="inlineStr">
        <is>
          <t>Kushk Kohna</t>
        </is>
      </c>
      <c r="N49" s="44" t="inlineStr">
        <is>
          <t>World Bank (WBK/AF-2)</t>
        </is>
      </c>
      <c r="O49" s="44" t="inlineStr">
        <is>
          <t>Not awarded</t>
        </is>
      </c>
      <c r="P49" s="44" t="inlineStr">
        <is>
          <t>5. Drip Irrigation systems</t>
        </is>
      </c>
      <c r="Q49" s="44" t="inlineStr">
        <is>
          <t>Mohammad Ibrahim</t>
        </is>
      </c>
      <c r="R49" s="44" t="inlineStr"/>
      <c r="S49" s="45" t="n">
        <v>10465.62</v>
      </c>
      <c r="T49" s="46" t="inlineStr">
        <is>
          <t>IF(AQ49="","",AQ49)</t>
        </is>
      </c>
      <c r="U49" s="47" t="n">
        <v>46371</v>
      </c>
      <c r="V49" s="48" t="n">
        <v>4.4</v>
      </c>
      <c r="W49" s="47" t="n">
        <v>46506</v>
      </c>
      <c r="X49" s="46" t="inlineStr">
        <is>
          <t>IF(W49&lt;&gt;"",W49,IF(OR(T49="",V49=""),"",EDATE(T49,V49)))</t>
        </is>
      </c>
      <c r="Y49" s="47" t="n"/>
      <c r="Z49" s="48" t="n"/>
      <c r="AA49" s="44" t="inlineStr">
        <is>
          <t>Retendered (Re-ITB)</t>
        </is>
      </c>
      <c r="AB49" s="44" t="inlineStr">
        <is>
          <t>Work starting from March 2026. A total of 90 days for completion Slack period until end February 2026. | Farmer: Mohammad Ibrahim</t>
        </is>
      </c>
      <c r="AC49" s="42" t="inlineStr">
        <is>
          <t>IF(F49="","",IF(COUNT(AI49:AV49)=0,IF(AA49="","Not started",AA49),SUBSTITUTE(LOOKUP(2,1/(AI49:AV49&lt;&gt;""),$AI$3:$AV$3),"Date: ","")))</t>
        </is>
      </c>
      <c r="AD49" s="49" t="inlineStr">
        <is>
          <t>IF(OR(F49="",COUNT(AI49:AV49)=0),"",TODAY()-LOOKUP(2,1/(AI49:AV49&lt;&gt;""),AI49:AV49))</t>
        </is>
      </c>
      <c r="AE49" s="49" t="inlineStr">
        <is>
          <t>IF(OR(F49="",COUNT(AI49:AV49)&lt;2),"",LOOKUP(2,1/(AI49:AV49&lt;&gt;""),AI49:AV49)-MIN(AI49:AV49))</t>
        </is>
      </c>
      <c r="AF49" s="49" t="inlineStr">
        <is>
          <t>IF(OR(AD49="",AC49="Not started",AC49=""),"",IFERROR(AD49-IF(VLOOKUP(AC49,'06_Status_Pipeline'!$B$3:$E$20,4,FALSE)="",0,VLOOKUP(AC49,'06_Status_Pipeline'!$B$3:$E$20,4,FALSE)),""))</t>
        </is>
      </c>
      <c r="AG49" s="42" t="inlineStr">
        <is>
          <t>IF(F49="","",IF(OR(AA49="Cancelled",AC49="Cancelled"),"Cancelled",IF(OR(AC49="Completed / Handover",Y49&lt;&gt;"",Z49&gt;=100),"Completed — on track",IF(O49="Not awarded",IF(U49="",IF(X49="","No planned date",IF(TODAY()&gt;X49,"Behind — past planned date",IF(X49-TODAY()&lt;=30,"At risk — close to off track","On track"))),IF(TODAY()&gt;U49,"Behind — award date passed",IF(U49-TODAY()&lt;=30,"At risk — close to off track","On track"))),IF(X49="","No planned date",IF(AND(TODAY()&gt;X49,OR(Z49="",Z49&lt;100)),"Behind — past end date",IF(AND(T49&lt;&gt;"",X49&lt;&gt;"",Z49&lt;&gt;"",(Z49&lt;100),((TODAY()-T49)/MAX(X49-T49,1)*100)-Z49&gt;15),"Behind — progress lag",IF(AND(X49-TODAY()&lt;=30,X49-TODAY()&gt;=0,OR(Z49="",Z49&lt;90)),"At risk — close to off track","On track"))))))))</t>
        </is>
      </c>
      <c r="AH49" s="49" t="inlineStr">
        <is>
          <t>IF(OR(F49="",AC49="Completed / Handover",AC49="Cancelled"),"",IF(O49="Not awarded",IF(U49&lt;&gt;"",U49-TODAY(),IF(X49="","",X49-TODAY())),IF(X49="","",X49-TODAY())))</t>
        </is>
      </c>
      <c r="AI49" s="47" t="n"/>
      <c r="AJ49" s="47" t="n"/>
      <c r="AK49" s="47" t="n"/>
      <c r="AL49" s="47" t="n"/>
      <c r="AM49" s="47" t="n"/>
      <c r="AN49" s="47" t="n"/>
      <c r="AO49" s="47" t="n"/>
      <c r="AP49" s="47" t="n"/>
      <c r="AQ49" s="47" t="n"/>
      <c r="AR49" s="47" t="n"/>
      <c r="AS49" s="47" t="n"/>
      <c r="AT49" s="50" t="n"/>
      <c r="AU49" s="50" t="n"/>
      <c r="AV49" s="50" t="n"/>
      <c r="AW49" s="49" t="inlineStr">
        <is>
          <t>IF(OR(F49="",AJ49=""),"",IF(COUNT(AI49:AI49)=0,"",AJ49-LOOKUP(2,1/(AI49:AI49&lt;&gt;""),AI49:AI49)))</t>
        </is>
      </c>
      <c r="AX49" s="49" t="inlineStr">
        <is>
          <t>IF(OR(F49="",AK49=""),"",IF(COUNT(AI49:AJ49)=0,"",AK49-LOOKUP(2,1/(AI49:AJ49&lt;&gt;""),AI49:AJ49)))</t>
        </is>
      </c>
      <c r="AY49" s="49" t="inlineStr">
        <is>
          <t>IF(OR(F49="",AL49=""),"",IF(COUNT(AI49:AK49)=0,"",AL49-LOOKUP(2,1/(AI49:AK49&lt;&gt;""),AI49:AK49)))</t>
        </is>
      </c>
      <c r="AZ49" s="49" t="inlineStr">
        <is>
          <t>IF(OR(F49="",AM49=""),"",IF(COUNT(AI49:AL49)=0,"",AM49-LOOKUP(2,1/(AI49:AL49&lt;&gt;""),AI49:AL49)))</t>
        </is>
      </c>
      <c r="BA49" s="49" t="inlineStr">
        <is>
          <t>IF(OR(F49="",AN49=""),"",IF(COUNT(AI49:AM49)=0,"",AN49-LOOKUP(2,1/(AI49:AM49&lt;&gt;""),AI49:AM49)))</t>
        </is>
      </c>
      <c r="BB49" s="49" t="inlineStr">
        <is>
          <t>IF(OR(F49="",AO49=""),"",IF(COUNT(AI49:AN49)=0,"",AO49-LOOKUP(2,1/(AI49:AN49&lt;&gt;""),AI49:AN49)))</t>
        </is>
      </c>
      <c r="BC49" s="49" t="inlineStr">
        <is>
          <t>IF(OR(F49="",AP49=""),"",IF(COUNT(AI49:AO49)=0,"",AP49-LOOKUP(2,1/(AI49:AO49&lt;&gt;""),AI49:AO49)))</t>
        </is>
      </c>
      <c r="BD49" s="49" t="inlineStr">
        <is>
          <t>IF(OR(F49="",AQ49=""),"",IF(COUNT(AI49:AP49)=0,"",AQ49-LOOKUP(2,1/(AI49:AP49&lt;&gt;""),AI49:AP49)))</t>
        </is>
      </c>
      <c r="BE49" s="49" t="inlineStr">
        <is>
          <t>IF(OR(F49="",AR49=""),"",IF(COUNT(AI49:AQ49)=0,"",AR49-LOOKUP(2,1/(AI49:AQ49&lt;&gt;""),AI49:AQ49)))</t>
        </is>
      </c>
      <c r="BF49" s="49" t="inlineStr">
        <is>
          <t>IF(OR(F49="",AS49=""),"",IF(COUNT(AI49:AR49)=0,"",AS49-LOOKUP(2,1/(AI49:AR49&lt;&gt;""),AI49:AR49)))</t>
        </is>
      </c>
      <c r="BG49" s="49" t="inlineStr">
        <is>
          <t>IF(OR(F49="",AT49=""),"",IF(COUNT(AI49:AS49)=0,"",AT49-LOOKUP(2,1/(AI49:AS49&lt;&gt;""),AI49:AS49)))</t>
        </is>
      </c>
      <c r="BH49" s="49" t="inlineStr">
        <is>
          <t>IF(OR(F49="",AU49=""),"",IF(COUNT(AI49:AT49)=0,"",AU49-LOOKUP(2,1/(AI49:AT49&lt;&gt;""),AI49:AT49)))</t>
        </is>
      </c>
      <c r="BI49" s="49" t="inlineStr">
        <is>
          <t>IF(OR(F49="",AV49=""),"",IF(COUNT(AI49:AU49)=0,"",AV49-LOOKUP(2,1/(AI49:AU49&lt;&gt;""),AI49:AU49)))</t>
        </is>
      </c>
      <c r="BJ49" s="51" t="inlineStr">
        <is>
          <t>IF(J49="","All_Provinces",IFERROR(VLOOKUP(J49,'09_Lookups'!$A$4:$B$20,2,FALSE),"All_Provinces"))</t>
        </is>
      </c>
      <c r="BK49" s="51" t="inlineStr">
        <is>
          <t>IF(K49="","All_Districts",IFERROR(VLOOKUP(K49,'09_Lookups'!$E$4:$F$42,2,FALSE),"All_Districts"))</t>
        </is>
      </c>
    </row>
    <row r="50" ht="18" customHeight="1">
      <c r="A50" s="32" t="inlineStr">
        <is>
          <t>IF(F50="","",ROW()-3)</t>
        </is>
      </c>
      <c r="B50" s="62" t="inlineStr">
        <is>
          <t>AF2-DIS-01A</t>
        </is>
      </c>
      <c r="C50" s="62" t="inlineStr">
        <is>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is>
      </c>
      <c r="D50" s="62" t="inlineStr">
        <is>
          <t>1 of 7</t>
        </is>
      </c>
      <c r="E50" s="34" t="inlineStr">
        <is>
          <t>AF2-DIS-N-008</t>
        </is>
      </c>
      <c r="F50" s="34" t="inlineStr">
        <is>
          <t>Ahangaran Drip Irrigation schemes</t>
        </is>
      </c>
      <c r="G50" s="34" t="inlineStr">
        <is>
          <t>Drip Irrigation</t>
        </is>
      </c>
      <c r="H50" s="34" t="inlineStr">
        <is>
          <t>Drip Irrigation Plot</t>
        </is>
      </c>
      <c r="I50" s="34" t="inlineStr">
        <is>
          <t>Emergency Food Security Project (EFSP) – WBK/AF-2</t>
        </is>
      </c>
      <c r="J50" s="34" t="inlineStr">
        <is>
          <t>West / Herat</t>
        </is>
      </c>
      <c r="K50" s="34" t="inlineStr">
        <is>
          <t>Ghor</t>
        </is>
      </c>
      <c r="L50" s="34" t="inlineStr">
        <is>
          <t>Firozkoh</t>
        </is>
      </c>
      <c r="M50" s="34" t="inlineStr">
        <is>
          <t>Ahangaran</t>
        </is>
      </c>
      <c r="N50" s="34" t="inlineStr">
        <is>
          <t>World Bank (WBK/AF-2)</t>
        </is>
      </c>
      <c r="O50" s="34" t="inlineStr">
        <is>
          <t>Not awarded</t>
        </is>
      </c>
      <c r="P50" s="34" t="inlineStr">
        <is>
          <t>5. Drip Irrigation systems</t>
        </is>
      </c>
      <c r="Q50" s="34" t="inlineStr">
        <is>
          <t>Haji Yaqoub</t>
        </is>
      </c>
      <c r="R50" s="34" t="inlineStr"/>
      <c r="S50" s="35" t="n">
        <v>5783.61</v>
      </c>
      <c r="T50" s="36" t="inlineStr">
        <is>
          <t>IF(AQ50="","",AQ50)</t>
        </is>
      </c>
      <c r="U50" s="37" t="n">
        <v>46361</v>
      </c>
      <c r="V50" s="38" t="n">
        <v>5.8</v>
      </c>
      <c r="W50" s="37" t="n">
        <v>46537</v>
      </c>
      <c r="X50" s="36" t="inlineStr">
        <is>
          <t>IF(W50&lt;&gt;"",W50,IF(OR(T50="",V50=""),"",EDATE(T50,V50)))</t>
        </is>
      </c>
      <c r="Y50" s="37" t="n"/>
      <c r="Z50" s="38" t="n"/>
      <c r="AA50" s="34" t="inlineStr">
        <is>
          <t>Retendered (Re-ITB)</t>
        </is>
      </c>
      <c r="AB50" s="34" t="inlineStr">
        <is>
          <t>Work starting from March 2026. A total of 90 days for completion Slack period until end February 2026. | Farmer: Haji Yaqoub</t>
        </is>
      </c>
      <c r="AC50" s="32" t="inlineStr">
        <is>
          <t>IF(F50="","",IF(COUNT(AI50:AV50)=0,IF(AA50="","Not started",AA50),SUBSTITUTE(LOOKUP(2,1/(AI50:AV50&lt;&gt;""),$AI$3:$AV$3),"Date: ","")))</t>
        </is>
      </c>
      <c r="AD50" s="39" t="inlineStr">
        <is>
          <t>IF(OR(F50="",COUNT(AI50:AV50)=0),"",TODAY()-LOOKUP(2,1/(AI50:AV50&lt;&gt;""),AI50:AV50))</t>
        </is>
      </c>
      <c r="AE50" s="39" t="inlineStr">
        <is>
          <t>IF(OR(F50="",COUNT(AI50:AV50)&lt;2),"",LOOKUP(2,1/(AI50:AV50&lt;&gt;""),AI50:AV50)-MIN(AI50:AV50))</t>
        </is>
      </c>
      <c r="AF50" s="39" t="inlineStr">
        <is>
          <t>IF(OR(AD50="",AC50="Not started",AC50=""),"",IFERROR(AD50-IF(VLOOKUP(AC50,'06_Status_Pipeline'!$B$3:$E$20,4,FALSE)="",0,VLOOKUP(AC50,'06_Status_Pipeline'!$B$3:$E$20,4,FALSE)),""))</t>
        </is>
      </c>
      <c r="AG50" s="32" t="inlineStr">
        <is>
          <t>IF(F50="","",IF(OR(AA50="Cancelled",AC50="Cancelled"),"Cancelled",IF(OR(AC50="Completed / Handover",Y50&lt;&gt;"",Z50&gt;=100),"Completed — on track",IF(O50="Not awarded",IF(U50="",IF(X50="","No planned date",IF(TODAY()&gt;X50,"Behind — past planned date",IF(X50-TODAY()&lt;=30,"At risk — close to off track","On track"))),IF(TODAY()&gt;U50,"Behind — award date passed",IF(U50-TODAY()&lt;=30,"At risk — close to off track","On track"))),IF(X50="","No planned date",IF(AND(TODAY()&gt;X50,OR(Z50="",Z50&lt;100)),"Behind — past end date",IF(AND(T50&lt;&gt;"",X50&lt;&gt;"",Z50&lt;&gt;"",(Z50&lt;100),((TODAY()-T50)/MAX(X50-T50,1)*100)-Z50&gt;15),"Behind — progress lag",IF(AND(X50-TODAY()&lt;=30,X50-TODAY()&gt;=0,OR(Z50="",Z50&lt;90)),"At risk — close to off track","On track"))))))))</t>
        </is>
      </c>
      <c r="AH50" s="39" t="inlineStr">
        <is>
          <t>IF(OR(F50="",AC50="Completed / Handover",AC50="Cancelled"),"",IF(O50="Not awarded",IF(U50&lt;&gt;"",U50-TODAY(),IF(X50="","",X50-TODAY())),IF(X50="","",X50-TODAY())))</t>
        </is>
      </c>
      <c r="AI50" s="37" t="n"/>
      <c r="AJ50" s="37" t="n"/>
      <c r="AK50" s="37" t="n"/>
      <c r="AL50" s="37" t="n"/>
      <c r="AM50" s="37" t="n"/>
      <c r="AN50" s="37" t="n"/>
      <c r="AO50" s="37" t="n"/>
      <c r="AP50" s="37" t="n"/>
      <c r="AQ50" s="37" t="n"/>
      <c r="AR50" s="37" t="n"/>
      <c r="AS50" s="37" t="n"/>
      <c r="AT50" s="40" t="n"/>
      <c r="AU50" s="40" t="n"/>
      <c r="AV50" s="40" t="n"/>
      <c r="AW50" s="39" t="inlineStr">
        <is>
          <t>IF(OR(F50="",AJ50=""),"",IF(COUNT(AI50:AI50)=0,"",AJ50-LOOKUP(2,1/(AI50:AI50&lt;&gt;""),AI50:AI50)))</t>
        </is>
      </c>
      <c r="AX50" s="39" t="inlineStr">
        <is>
          <t>IF(OR(F50="",AK50=""),"",IF(COUNT(AI50:AJ50)=0,"",AK50-LOOKUP(2,1/(AI50:AJ50&lt;&gt;""),AI50:AJ50)))</t>
        </is>
      </c>
      <c r="AY50" s="39" t="inlineStr">
        <is>
          <t>IF(OR(F50="",AL50=""),"",IF(COUNT(AI50:AK50)=0,"",AL50-LOOKUP(2,1/(AI50:AK50&lt;&gt;""),AI50:AK50)))</t>
        </is>
      </c>
      <c r="AZ50" s="39" t="inlineStr">
        <is>
          <t>IF(OR(F50="",AM50=""),"",IF(COUNT(AI50:AL50)=0,"",AM50-LOOKUP(2,1/(AI50:AL50&lt;&gt;""),AI50:AL50)))</t>
        </is>
      </c>
      <c r="BA50" s="39" t="inlineStr">
        <is>
          <t>IF(OR(F50="",AN50=""),"",IF(COUNT(AI50:AM50)=0,"",AN50-LOOKUP(2,1/(AI50:AM50&lt;&gt;""),AI50:AM50)))</t>
        </is>
      </c>
      <c r="BB50" s="39" t="inlineStr">
        <is>
          <t>IF(OR(F50="",AO50=""),"",IF(COUNT(AI50:AN50)=0,"",AO50-LOOKUP(2,1/(AI50:AN50&lt;&gt;""),AI50:AN50)))</t>
        </is>
      </c>
      <c r="BC50" s="39" t="inlineStr">
        <is>
          <t>IF(OR(F50="",AP50=""),"",IF(COUNT(AI50:AO50)=0,"",AP50-LOOKUP(2,1/(AI50:AO50&lt;&gt;""),AI50:AO50)))</t>
        </is>
      </c>
      <c r="BD50" s="39" t="inlineStr">
        <is>
          <t>IF(OR(F50="",AQ50=""),"",IF(COUNT(AI50:AP50)=0,"",AQ50-LOOKUP(2,1/(AI50:AP50&lt;&gt;""),AI50:AP50)))</t>
        </is>
      </c>
      <c r="BE50" s="39" t="inlineStr">
        <is>
          <t>IF(OR(F50="",AR50=""),"",IF(COUNT(AI50:AQ50)=0,"",AR50-LOOKUP(2,1/(AI50:AQ50&lt;&gt;""),AI50:AQ50)))</t>
        </is>
      </c>
      <c r="BF50" s="39" t="inlineStr">
        <is>
          <t>IF(OR(F50="",AS50=""),"",IF(COUNT(AI50:AR50)=0,"",AS50-LOOKUP(2,1/(AI50:AR50&lt;&gt;""),AI50:AR50)))</t>
        </is>
      </c>
      <c r="BG50" s="39" t="inlineStr">
        <is>
          <t>IF(OR(F50="",AT50=""),"",IF(COUNT(AI50:AS50)=0,"",AT50-LOOKUP(2,1/(AI50:AS50&lt;&gt;""),AI50:AS50)))</t>
        </is>
      </c>
      <c r="BH50" s="39" t="inlineStr">
        <is>
          <t>IF(OR(F50="",AU50=""),"",IF(COUNT(AI50:AT50)=0,"",AU50-LOOKUP(2,1/(AI50:AT50&lt;&gt;""),AI50:AT50)))</t>
        </is>
      </c>
      <c r="BI50" s="39" t="inlineStr">
        <is>
          <t>IF(OR(F50="",AV50=""),"",IF(COUNT(AI50:AU50)=0,"",AV50-LOOKUP(2,1/(AI50:AU50&lt;&gt;""),AI50:AU50)))</t>
        </is>
      </c>
      <c r="BJ50" s="41" t="inlineStr">
        <is>
          <t>IF(J50="","All_Provinces",IFERROR(VLOOKUP(J50,'09_Lookups'!$A$4:$B$20,2,FALSE),"All_Provinces"))</t>
        </is>
      </c>
      <c r="BK50" s="41" t="inlineStr">
        <is>
          <t>IF(K50="","All_Districts",IFERROR(VLOOKUP(K50,'09_Lookups'!$E$4:$F$42,2,FALSE),"All_Districts"))</t>
        </is>
      </c>
    </row>
    <row r="51" outlineLevel="1" ht="18" customHeight="1">
      <c r="A51" s="42" t="inlineStr">
        <is>
          <t>IF(F51="","",ROW()-3)</t>
        </is>
      </c>
      <c r="B51" s="63" t="inlineStr">
        <is>
          <t>AF2-DIS-01A</t>
        </is>
      </c>
      <c r="C51" s="63" t="inlineStr">
        <is>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is>
      </c>
      <c r="D51" s="63" t="inlineStr">
        <is>
          <t>2 of 7</t>
        </is>
      </c>
      <c r="E51" s="44" t="inlineStr">
        <is>
          <t>AF2-DIS-N-009</t>
        </is>
      </c>
      <c r="F51" s="44" t="inlineStr">
        <is>
          <t>Baghak Drip Irrigation schemes</t>
        </is>
      </c>
      <c r="G51" s="44" t="inlineStr">
        <is>
          <t>Drip Irrigation</t>
        </is>
      </c>
      <c r="H51" s="44" t="inlineStr">
        <is>
          <t>Drip Irrigation Plot</t>
        </is>
      </c>
      <c r="I51" s="44" t="inlineStr">
        <is>
          <t>Emergency Food Security Project (EFSP) – WBK/AF-2</t>
        </is>
      </c>
      <c r="J51" s="44" t="inlineStr">
        <is>
          <t>West / Herat</t>
        </is>
      </c>
      <c r="K51" s="44" t="inlineStr">
        <is>
          <t>Badghis</t>
        </is>
      </c>
      <c r="L51" s="44" t="inlineStr">
        <is>
          <t>Qala-e-Naw</t>
        </is>
      </c>
      <c r="M51" s="44" t="inlineStr">
        <is>
          <t>Baghak</t>
        </is>
      </c>
      <c r="N51" s="44" t="inlineStr">
        <is>
          <t>World Bank (WBK/AF-2)</t>
        </is>
      </c>
      <c r="O51" s="44" t="inlineStr">
        <is>
          <t>Not awarded</t>
        </is>
      </c>
      <c r="P51" s="44" t="inlineStr">
        <is>
          <t>5. Drip Irrigation systems</t>
        </is>
      </c>
      <c r="Q51" s="44" t="inlineStr">
        <is>
          <t>Edi Mohammad</t>
        </is>
      </c>
      <c r="R51" s="44" t="inlineStr"/>
      <c r="S51" s="45" t="n">
        <v>8943.67</v>
      </c>
      <c r="T51" s="46" t="inlineStr">
        <is>
          <t>IF(AQ51="","",AQ51)</t>
        </is>
      </c>
      <c r="U51" s="47" t="n">
        <v>46361</v>
      </c>
      <c r="V51" s="48" t="n">
        <v>5.8</v>
      </c>
      <c r="W51" s="47" t="n">
        <v>46537</v>
      </c>
      <c r="X51" s="46" t="inlineStr">
        <is>
          <t>IF(W51&lt;&gt;"",W51,IF(OR(T51="",V51=""),"",EDATE(T51,V51)))</t>
        </is>
      </c>
      <c r="Y51" s="47" t="n"/>
      <c r="Z51" s="48" t="n"/>
      <c r="AA51" s="44" t="inlineStr">
        <is>
          <t>Retendered (Re-ITB)</t>
        </is>
      </c>
      <c r="AB51" s="44" t="inlineStr">
        <is>
          <t>Work starting from March 2026. A total of 90 days for completion Slack period until end February 2026. | Farmer: Edi Mohammad</t>
        </is>
      </c>
      <c r="AC51" s="42" t="inlineStr">
        <is>
          <t>IF(F51="","",IF(COUNT(AI51:AV51)=0,IF(AA51="","Not started",AA51),SUBSTITUTE(LOOKUP(2,1/(AI51:AV51&lt;&gt;""),$AI$3:$AV$3),"Date: ","")))</t>
        </is>
      </c>
      <c r="AD51" s="49" t="inlineStr">
        <is>
          <t>IF(OR(F51="",COUNT(AI51:AV51)=0),"",TODAY()-LOOKUP(2,1/(AI51:AV51&lt;&gt;""),AI51:AV51))</t>
        </is>
      </c>
      <c r="AE51" s="49" t="inlineStr">
        <is>
          <t>IF(OR(F51="",COUNT(AI51:AV51)&lt;2),"",LOOKUP(2,1/(AI51:AV51&lt;&gt;""),AI51:AV51)-MIN(AI51:AV51))</t>
        </is>
      </c>
      <c r="AF51" s="49" t="inlineStr">
        <is>
          <t>IF(OR(AD51="",AC51="Not started",AC51=""),"",IFERROR(AD51-IF(VLOOKUP(AC51,'06_Status_Pipeline'!$B$3:$E$20,4,FALSE)="",0,VLOOKUP(AC51,'06_Status_Pipeline'!$B$3:$E$20,4,FALSE)),""))</t>
        </is>
      </c>
      <c r="AG51" s="42" t="inlineStr">
        <is>
          <t>IF(F51="","",IF(OR(AA51="Cancelled",AC51="Cancelled"),"Cancelled",IF(OR(AC51="Completed / Handover",Y51&lt;&gt;"",Z51&gt;=100),"Completed — on track",IF(O51="Not awarded",IF(U51="",IF(X51="","No planned date",IF(TODAY()&gt;X51,"Behind — past planned date",IF(X51-TODAY()&lt;=30,"At risk — close to off track","On track"))),IF(TODAY()&gt;U51,"Behind — award date passed",IF(U51-TODAY()&lt;=30,"At risk — close to off track","On track"))),IF(X51="","No planned date",IF(AND(TODAY()&gt;X51,OR(Z51="",Z51&lt;100)),"Behind — past end date",IF(AND(T51&lt;&gt;"",X51&lt;&gt;"",Z51&lt;&gt;"",(Z51&lt;100),((TODAY()-T51)/MAX(X51-T51,1)*100)-Z51&gt;15),"Behind — progress lag",IF(AND(X51-TODAY()&lt;=30,X51-TODAY()&gt;=0,OR(Z51="",Z51&lt;90)),"At risk — close to off track","On track"))))))))</t>
        </is>
      </c>
      <c r="AH51" s="49" t="inlineStr">
        <is>
          <t>IF(OR(F51="",AC51="Completed / Handover",AC51="Cancelled"),"",IF(O51="Not awarded",IF(U51&lt;&gt;"",U51-TODAY(),IF(X51="","",X51-TODAY())),IF(X51="","",X51-TODAY())))</t>
        </is>
      </c>
      <c r="AI51" s="47" t="n"/>
      <c r="AJ51" s="47" t="n"/>
      <c r="AK51" s="47" t="n"/>
      <c r="AL51" s="47" t="n"/>
      <c r="AM51" s="47" t="n"/>
      <c r="AN51" s="47" t="n"/>
      <c r="AO51" s="47" t="n"/>
      <c r="AP51" s="47" t="n"/>
      <c r="AQ51" s="47" t="n"/>
      <c r="AR51" s="47" t="n"/>
      <c r="AS51" s="47" t="n"/>
      <c r="AT51" s="50" t="n"/>
      <c r="AU51" s="50" t="n"/>
      <c r="AV51" s="50" t="n"/>
      <c r="AW51" s="49" t="inlineStr">
        <is>
          <t>IF(OR(F51="",AJ51=""),"",IF(COUNT(AI51:AI51)=0,"",AJ51-LOOKUP(2,1/(AI51:AI51&lt;&gt;""),AI51:AI51)))</t>
        </is>
      </c>
      <c r="AX51" s="49" t="inlineStr">
        <is>
          <t>IF(OR(F51="",AK51=""),"",IF(COUNT(AI51:AJ51)=0,"",AK51-LOOKUP(2,1/(AI51:AJ51&lt;&gt;""),AI51:AJ51)))</t>
        </is>
      </c>
      <c r="AY51" s="49" t="inlineStr">
        <is>
          <t>IF(OR(F51="",AL51=""),"",IF(COUNT(AI51:AK51)=0,"",AL51-LOOKUP(2,1/(AI51:AK51&lt;&gt;""),AI51:AK51)))</t>
        </is>
      </c>
      <c r="AZ51" s="49" t="inlineStr">
        <is>
          <t>IF(OR(F51="",AM51=""),"",IF(COUNT(AI51:AL51)=0,"",AM51-LOOKUP(2,1/(AI51:AL51&lt;&gt;""),AI51:AL51)))</t>
        </is>
      </c>
      <c r="BA51" s="49" t="inlineStr">
        <is>
          <t>IF(OR(F51="",AN51=""),"",IF(COUNT(AI51:AM51)=0,"",AN51-LOOKUP(2,1/(AI51:AM51&lt;&gt;""),AI51:AM51)))</t>
        </is>
      </c>
      <c r="BB51" s="49" t="inlineStr">
        <is>
          <t>IF(OR(F51="",AO51=""),"",IF(COUNT(AI51:AN51)=0,"",AO51-LOOKUP(2,1/(AI51:AN51&lt;&gt;""),AI51:AN51)))</t>
        </is>
      </c>
      <c r="BC51" s="49" t="inlineStr">
        <is>
          <t>IF(OR(F51="",AP51=""),"",IF(COUNT(AI51:AO51)=0,"",AP51-LOOKUP(2,1/(AI51:AO51&lt;&gt;""),AI51:AO51)))</t>
        </is>
      </c>
      <c r="BD51" s="49" t="inlineStr">
        <is>
          <t>IF(OR(F51="",AQ51=""),"",IF(COUNT(AI51:AP51)=0,"",AQ51-LOOKUP(2,1/(AI51:AP51&lt;&gt;""),AI51:AP51)))</t>
        </is>
      </c>
      <c r="BE51" s="49" t="inlineStr">
        <is>
          <t>IF(OR(F51="",AR51=""),"",IF(COUNT(AI51:AQ51)=0,"",AR51-LOOKUP(2,1/(AI51:AQ51&lt;&gt;""),AI51:AQ51)))</t>
        </is>
      </c>
      <c r="BF51" s="49" t="inlineStr">
        <is>
          <t>IF(OR(F51="",AS51=""),"",IF(COUNT(AI51:AR51)=0,"",AS51-LOOKUP(2,1/(AI51:AR51&lt;&gt;""),AI51:AR51)))</t>
        </is>
      </c>
      <c r="BG51" s="49" t="inlineStr">
        <is>
          <t>IF(OR(F51="",AT51=""),"",IF(COUNT(AI51:AS51)=0,"",AT51-LOOKUP(2,1/(AI51:AS51&lt;&gt;""),AI51:AS51)))</t>
        </is>
      </c>
      <c r="BH51" s="49" t="inlineStr">
        <is>
          <t>IF(OR(F51="",AU51=""),"",IF(COUNT(AI51:AT51)=0,"",AU51-LOOKUP(2,1/(AI51:AT51&lt;&gt;""),AI51:AT51)))</t>
        </is>
      </c>
      <c r="BI51" s="49" t="inlineStr">
        <is>
          <t>IF(OR(F51="",AV51=""),"",IF(COUNT(AI51:AU51)=0,"",AV51-LOOKUP(2,1/(AI51:AU51&lt;&gt;""),AI51:AU51)))</t>
        </is>
      </c>
      <c r="BJ51" s="51" t="inlineStr">
        <is>
          <t>IF(J51="","All_Provinces",IFERROR(VLOOKUP(J51,'09_Lookups'!$A$4:$B$20,2,FALSE),"All_Provinces"))</t>
        </is>
      </c>
      <c r="BK51" s="51" t="inlineStr">
        <is>
          <t>IF(K51="","All_Districts",IFERROR(VLOOKUP(K51,'09_Lookups'!$E$4:$F$42,2,FALSE),"All_Districts"))</t>
        </is>
      </c>
    </row>
    <row r="52" outlineLevel="1" ht="18" customHeight="1">
      <c r="A52" s="42" t="inlineStr">
        <is>
          <t>IF(F52="","",ROW()-3)</t>
        </is>
      </c>
      <c r="B52" s="63" t="inlineStr">
        <is>
          <t>AF2-DIS-01A</t>
        </is>
      </c>
      <c r="C52" s="63" t="inlineStr">
        <is>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is>
      </c>
      <c r="D52" s="63" t="inlineStr">
        <is>
          <t>3 of 7</t>
        </is>
      </c>
      <c r="E52" s="52" t="inlineStr">
        <is>
          <t>AF2-DIS-N-010</t>
        </is>
      </c>
      <c r="F52" s="52" t="inlineStr">
        <is>
          <t>Hamaye Khan Drip Irrigation schemes</t>
        </is>
      </c>
      <c r="G52" s="52" t="inlineStr">
        <is>
          <t>Drip Irrigation</t>
        </is>
      </c>
      <c r="H52" s="52" t="inlineStr">
        <is>
          <t>Drip Irrigation Plot</t>
        </is>
      </c>
      <c r="I52" s="52" t="inlineStr">
        <is>
          <t>Emergency Food Security Project (EFSP) – WBK/AF-2</t>
        </is>
      </c>
      <c r="J52" s="52" t="inlineStr">
        <is>
          <t>West / Herat</t>
        </is>
      </c>
      <c r="K52" s="52" t="inlineStr">
        <is>
          <t>Ghor</t>
        </is>
      </c>
      <c r="L52" s="52" t="inlineStr">
        <is>
          <t>Dawlatyar</t>
        </is>
      </c>
      <c r="M52" s="52" t="inlineStr">
        <is>
          <t>Hamaye khan</t>
        </is>
      </c>
      <c r="N52" s="52" t="inlineStr">
        <is>
          <t>World Bank (WBK/AF-2)</t>
        </is>
      </c>
      <c r="O52" s="52" t="inlineStr">
        <is>
          <t>Not awarded</t>
        </is>
      </c>
      <c r="P52" s="52" t="inlineStr">
        <is>
          <t>5. Drip Irrigation systems</t>
        </is>
      </c>
      <c r="Q52" s="52" t="inlineStr">
        <is>
          <t>Haji Abdul Qaiyom</t>
        </is>
      </c>
      <c r="R52" s="52" t="inlineStr"/>
      <c r="S52" s="53" t="n">
        <v>6737.72</v>
      </c>
      <c r="T52" s="46" t="inlineStr">
        <is>
          <t>IF(AQ52="","",AQ52)</t>
        </is>
      </c>
      <c r="U52" s="54" t="n">
        <v>46361</v>
      </c>
      <c r="V52" s="55" t="n">
        <v>5.8</v>
      </c>
      <c r="W52" s="54" t="n">
        <v>46537</v>
      </c>
      <c r="X52" s="46" t="inlineStr">
        <is>
          <t>IF(W52&lt;&gt;"",W52,IF(OR(T52="",V52=""),"",EDATE(T52,V52)))</t>
        </is>
      </c>
      <c r="Y52" s="54" t="n"/>
      <c r="Z52" s="55" t="n"/>
      <c r="AA52" s="52" t="inlineStr">
        <is>
          <t>Retendered (Re-ITB)</t>
        </is>
      </c>
      <c r="AB52" s="52" t="inlineStr">
        <is>
          <t>Work starting from March 2026. A total of 90 days for completion Slack period until end February 2026. | Farmer: Haji Abdul Qaiyom</t>
        </is>
      </c>
      <c r="AC52" s="42" t="inlineStr">
        <is>
          <t>IF(F52="","",IF(COUNT(AI52:AV52)=0,IF(AA52="","Not started",AA52),SUBSTITUTE(LOOKUP(2,1/(AI52:AV52&lt;&gt;""),$AI$3:$AV$3),"Date: ","")))</t>
        </is>
      </c>
      <c r="AD52" s="49" t="inlineStr">
        <is>
          <t>IF(OR(F52="",COUNT(AI52:AV52)=0),"",TODAY()-LOOKUP(2,1/(AI52:AV52&lt;&gt;""),AI52:AV52))</t>
        </is>
      </c>
      <c r="AE52" s="49" t="inlineStr">
        <is>
          <t>IF(OR(F52="",COUNT(AI52:AV52)&lt;2),"",LOOKUP(2,1/(AI52:AV52&lt;&gt;""),AI52:AV52)-MIN(AI52:AV52))</t>
        </is>
      </c>
      <c r="AF52" s="49" t="inlineStr">
        <is>
          <t>IF(OR(AD52="",AC52="Not started",AC52=""),"",IFERROR(AD52-IF(VLOOKUP(AC52,'06_Status_Pipeline'!$B$3:$E$20,4,FALSE)="",0,VLOOKUP(AC52,'06_Status_Pipeline'!$B$3:$E$20,4,FALSE)),""))</t>
        </is>
      </c>
      <c r="AG52" s="42" t="inlineStr">
        <is>
          <t>IF(F52="","",IF(OR(AA52="Cancelled",AC52="Cancelled"),"Cancelled",IF(OR(AC52="Completed / Handover",Y52&lt;&gt;"",Z52&gt;=100),"Completed — on track",IF(O52="Not awarded",IF(U52="",IF(X52="","No planned date",IF(TODAY()&gt;X52,"Behind — past planned date",IF(X52-TODAY()&lt;=30,"At risk — close to off track","On track"))),IF(TODAY()&gt;U52,"Behind — award date passed",IF(U52-TODAY()&lt;=30,"At risk — close to off track","On track"))),IF(X52="","No planned date",IF(AND(TODAY()&gt;X52,OR(Z52="",Z52&lt;100)),"Behind — past end date",IF(AND(T52&lt;&gt;"",X52&lt;&gt;"",Z52&lt;&gt;"",(Z52&lt;100),((TODAY()-T52)/MAX(X52-T52,1)*100)-Z52&gt;15),"Behind — progress lag",IF(AND(X52-TODAY()&lt;=30,X52-TODAY()&gt;=0,OR(Z52="",Z52&lt;90)),"At risk — close to off track","On track"))))))))</t>
        </is>
      </c>
      <c r="AH52" s="49" t="inlineStr">
        <is>
          <t>IF(OR(F52="",AC52="Completed / Handover",AC52="Cancelled"),"",IF(O52="Not awarded",IF(U52&lt;&gt;"",U52-TODAY(),IF(X52="","",X52-TODAY())),IF(X52="","",X52-TODAY())))</t>
        </is>
      </c>
      <c r="AI52" s="54" t="n"/>
      <c r="AJ52" s="54" t="n"/>
      <c r="AK52" s="54" t="n"/>
      <c r="AL52" s="54" t="n"/>
      <c r="AM52" s="54" t="n"/>
      <c r="AN52" s="54" t="n"/>
      <c r="AO52" s="54" t="n"/>
      <c r="AP52" s="54" t="n"/>
      <c r="AQ52" s="54" t="n"/>
      <c r="AR52" s="54" t="n"/>
      <c r="AS52" s="54" t="n"/>
      <c r="AT52" s="50" t="n"/>
      <c r="AU52" s="50" t="n"/>
      <c r="AV52" s="50" t="n"/>
      <c r="AW52" s="49" t="inlineStr">
        <is>
          <t>IF(OR(F52="",AJ52=""),"",IF(COUNT(AI52:AI52)=0,"",AJ52-LOOKUP(2,1/(AI52:AI52&lt;&gt;""),AI52:AI52)))</t>
        </is>
      </c>
      <c r="AX52" s="49" t="inlineStr">
        <is>
          <t>IF(OR(F52="",AK52=""),"",IF(COUNT(AI52:AJ52)=0,"",AK52-LOOKUP(2,1/(AI52:AJ52&lt;&gt;""),AI52:AJ52)))</t>
        </is>
      </c>
      <c r="AY52" s="49" t="inlineStr">
        <is>
          <t>IF(OR(F52="",AL52=""),"",IF(COUNT(AI52:AK52)=0,"",AL52-LOOKUP(2,1/(AI52:AK52&lt;&gt;""),AI52:AK52)))</t>
        </is>
      </c>
      <c r="AZ52" s="49" t="inlineStr">
        <is>
          <t>IF(OR(F52="",AM52=""),"",IF(COUNT(AI52:AL52)=0,"",AM52-LOOKUP(2,1/(AI52:AL52&lt;&gt;""),AI52:AL52)))</t>
        </is>
      </c>
      <c r="BA52" s="49" t="inlineStr">
        <is>
          <t>IF(OR(F52="",AN52=""),"",IF(COUNT(AI52:AM52)=0,"",AN52-LOOKUP(2,1/(AI52:AM52&lt;&gt;""),AI52:AM52)))</t>
        </is>
      </c>
      <c r="BB52" s="49" t="inlineStr">
        <is>
          <t>IF(OR(F52="",AO52=""),"",IF(COUNT(AI52:AN52)=0,"",AO52-LOOKUP(2,1/(AI52:AN52&lt;&gt;""),AI52:AN52)))</t>
        </is>
      </c>
      <c r="BC52" s="49" t="inlineStr">
        <is>
          <t>IF(OR(F52="",AP52=""),"",IF(COUNT(AI52:AO52)=0,"",AP52-LOOKUP(2,1/(AI52:AO52&lt;&gt;""),AI52:AO52)))</t>
        </is>
      </c>
      <c r="BD52" s="49" t="inlineStr">
        <is>
          <t>IF(OR(F52="",AQ52=""),"",IF(COUNT(AI52:AP52)=0,"",AQ52-LOOKUP(2,1/(AI52:AP52&lt;&gt;""),AI52:AP52)))</t>
        </is>
      </c>
      <c r="BE52" s="49" t="inlineStr">
        <is>
          <t>IF(OR(F52="",AR52=""),"",IF(COUNT(AI52:AQ52)=0,"",AR52-LOOKUP(2,1/(AI52:AQ52&lt;&gt;""),AI52:AQ52)))</t>
        </is>
      </c>
      <c r="BF52" s="49" t="inlineStr">
        <is>
          <t>IF(OR(F52="",AS52=""),"",IF(COUNT(AI52:AR52)=0,"",AS52-LOOKUP(2,1/(AI52:AR52&lt;&gt;""),AI52:AR52)))</t>
        </is>
      </c>
      <c r="BG52" s="49" t="inlineStr">
        <is>
          <t>IF(OR(F52="",AT52=""),"",IF(COUNT(AI52:AS52)=0,"",AT52-LOOKUP(2,1/(AI52:AS52&lt;&gt;""),AI52:AS52)))</t>
        </is>
      </c>
      <c r="BH52" s="49" t="inlineStr">
        <is>
          <t>IF(OR(F52="",AU52=""),"",IF(COUNT(AI52:AT52)=0,"",AU52-LOOKUP(2,1/(AI52:AT52&lt;&gt;""),AI52:AT52)))</t>
        </is>
      </c>
      <c r="BI52" s="49" t="inlineStr">
        <is>
          <t>IF(OR(F52="",AV52=""),"",IF(COUNT(AI52:AU52)=0,"",AV52-LOOKUP(2,1/(AI52:AU52&lt;&gt;""),AI52:AU52)))</t>
        </is>
      </c>
      <c r="BJ52" s="51" t="inlineStr">
        <is>
          <t>IF(J52="","All_Provinces",IFERROR(VLOOKUP(J52,'09_Lookups'!$A$4:$B$20,2,FALSE),"All_Provinces"))</t>
        </is>
      </c>
      <c r="BK52" s="51" t="inlineStr">
        <is>
          <t>IF(K52="","All_Districts",IFERROR(VLOOKUP(K52,'09_Lookups'!$E$4:$F$42,2,FALSE),"All_Districts"))</t>
        </is>
      </c>
    </row>
    <row r="53" outlineLevel="1" ht="18" customHeight="1">
      <c r="A53" s="42" t="inlineStr">
        <is>
          <t>IF(F53="","",ROW()-3)</t>
        </is>
      </c>
      <c r="B53" s="63" t="inlineStr">
        <is>
          <t>AF2-DIS-01A</t>
        </is>
      </c>
      <c r="C53" s="63" t="inlineStr">
        <is>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is>
      </c>
      <c r="D53" s="63" t="inlineStr">
        <is>
          <t>4 of 7</t>
        </is>
      </c>
      <c r="E53" s="44" t="inlineStr">
        <is>
          <t>AF2-DIS-N-011</t>
        </is>
      </c>
      <c r="F53" s="44" t="inlineStr">
        <is>
          <t>Jakana Drip Irrigation schemes</t>
        </is>
      </c>
      <c r="G53" s="44" t="inlineStr">
        <is>
          <t>Drip Irrigation</t>
        </is>
      </c>
      <c r="H53" s="44" t="inlineStr">
        <is>
          <t>Drip Irrigation Plot</t>
        </is>
      </c>
      <c r="I53" s="44" t="inlineStr">
        <is>
          <t>Emergency Food Security Project (EFSP) – WBK/AF-2</t>
        </is>
      </c>
      <c r="J53" s="44" t="inlineStr">
        <is>
          <t>West / Herat</t>
        </is>
      </c>
      <c r="K53" s="44" t="inlineStr">
        <is>
          <t>Badghis</t>
        </is>
      </c>
      <c r="L53" s="44" t="inlineStr">
        <is>
          <t>Moqur</t>
        </is>
      </c>
      <c r="M53" s="44" t="inlineStr">
        <is>
          <t>Jakana</t>
        </is>
      </c>
      <c r="N53" s="44" t="inlineStr">
        <is>
          <t>World Bank (WBK/AF-2)</t>
        </is>
      </c>
      <c r="O53" s="44" t="inlineStr">
        <is>
          <t>Not awarded</t>
        </is>
      </c>
      <c r="P53" s="44" t="inlineStr">
        <is>
          <t>5. Drip Irrigation systems</t>
        </is>
      </c>
      <c r="Q53" s="44" t="inlineStr">
        <is>
          <t>Sobhan</t>
        </is>
      </c>
      <c r="R53" s="44" t="inlineStr"/>
      <c r="S53" s="45" t="n">
        <v>7977.58</v>
      </c>
      <c r="T53" s="46" t="inlineStr">
        <is>
          <t>IF(AQ53="","",AQ53)</t>
        </is>
      </c>
      <c r="U53" s="47" t="n">
        <v>46361</v>
      </c>
      <c r="V53" s="48" t="n">
        <v>5.8</v>
      </c>
      <c r="W53" s="47" t="n">
        <v>46537</v>
      </c>
      <c r="X53" s="46" t="inlineStr">
        <is>
          <t>IF(W53&lt;&gt;"",W53,IF(OR(T53="",V53=""),"",EDATE(T53,V53)))</t>
        </is>
      </c>
      <c r="Y53" s="47" t="n"/>
      <c r="Z53" s="48" t="n"/>
      <c r="AA53" s="44" t="inlineStr">
        <is>
          <t>Retendered (Re-ITB)</t>
        </is>
      </c>
      <c r="AB53" s="44" t="inlineStr">
        <is>
          <t>Work starting from March 2026. A total of 90 days for completion Slack period until end February 2026. | Farmer: Sobhan</t>
        </is>
      </c>
      <c r="AC53" s="42" t="inlineStr">
        <is>
          <t>IF(F53="","",IF(COUNT(AI53:AV53)=0,IF(AA53="","Not started",AA53),SUBSTITUTE(LOOKUP(2,1/(AI53:AV53&lt;&gt;""),$AI$3:$AV$3),"Date: ","")))</t>
        </is>
      </c>
      <c r="AD53" s="49" t="inlineStr">
        <is>
          <t>IF(OR(F53="",COUNT(AI53:AV53)=0),"",TODAY()-LOOKUP(2,1/(AI53:AV53&lt;&gt;""),AI53:AV53))</t>
        </is>
      </c>
      <c r="AE53" s="49" t="inlineStr">
        <is>
          <t>IF(OR(F53="",COUNT(AI53:AV53)&lt;2),"",LOOKUP(2,1/(AI53:AV53&lt;&gt;""),AI53:AV53)-MIN(AI53:AV53))</t>
        </is>
      </c>
      <c r="AF53" s="49" t="inlineStr">
        <is>
          <t>IF(OR(AD53="",AC53="Not started",AC53=""),"",IFERROR(AD53-IF(VLOOKUP(AC53,'06_Status_Pipeline'!$B$3:$E$20,4,FALSE)="",0,VLOOKUP(AC53,'06_Status_Pipeline'!$B$3:$E$20,4,FALSE)),""))</t>
        </is>
      </c>
      <c r="AG53" s="42" t="inlineStr">
        <is>
          <t>IF(F53="","",IF(OR(AA53="Cancelled",AC53="Cancelled"),"Cancelled",IF(OR(AC53="Completed / Handover",Y53&lt;&gt;"",Z53&gt;=100),"Completed — on track",IF(O53="Not awarded",IF(U53="",IF(X53="","No planned date",IF(TODAY()&gt;X53,"Behind — past planned date",IF(X53-TODAY()&lt;=30,"At risk — close to off track","On track"))),IF(TODAY()&gt;U53,"Behind — award date passed",IF(U53-TODAY()&lt;=30,"At risk — close to off track","On track"))),IF(X53="","No planned date",IF(AND(TODAY()&gt;X53,OR(Z53="",Z53&lt;100)),"Behind — past end date",IF(AND(T53&lt;&gt;"",X53&lt;&gt;"",Z53&lt;&gt;"",(Z53&lt;100),((TODAY()-T53)/MAX(X53-T53,1)*100)-Z53&gt;15),"Behind — progress lag",IF(AND(X53-TODAY()&lt;=30,X53-TODAY()&gt;=0,OR(Z53="",Z53&lt;90)),"At risk — close to off track","On track"))))))))</t>
        </is>
      </c>
      <c r="AH53" s="49" t="inlineStr">
        <is>
          <t>IF(OR(F53="",AC53="Completed / Handover",AC53="Cancelled"),"",IF(O53="Not awarded",IF(U53&lt;&gt;"",U53-TODAY(),IF(X53="","",X53-TODAY())),IF(X53="","",X53-TODAY())))</t>
        </is>
      </c>
      <c r="AI53" s="47" t="n"/>
      <c r="AJ53" s="47" t="n"/>
      <c r="AK53" s="47" t="n"/>
      <c r="AL53" s="47" t="n"/>
      <c r="AM53" s="47" t="n"/>
      <c r="AN53" s="47" t="n"/>
      <c r="AO53" s="47" t="n"/>
      <c r="AP53" s="47" t="n"/>
      <c r="AQ53" s="47" t="n"/>
      <c r="AR53" s="47" t="n"/>
      <c r="AS53" s="47" t="n"/>
      <c r="AT53" s="50" t="n"/>
      <c r="AU53" s="50" t="n"/>
      <c r="AV53" s="50" t="n"/>
      <c r="AW53" s="49" t="inlineStr">
        <is>
          <t>IF(OR(F53="",AJ53=""),"",IF(COUNT(AI53:AI53)=0,"",AJ53-LOOKUP(2,1/(AI53:AI53&lt;&gt;""),AI53:AI53)))</t>
        </is>
      </c>
      <c r="AX53" s="49" t="inlineStr">
        <is>
          <t>IF(OR(F53="",AK53=""),"",IF(COUNT(AI53:AJ53)=0,"",AK53-LOOKUP(2,1/(AI53:AJ53&lt;&gt;""),AI53:AJ53)))</t>
        </is>
      </c>
      <c r="AY53" s="49" t="inlineStr">
        <is>
          <t>IF(OR(F53="",AL53=""),"",IF(COUNT(AI53:AK53)=0,"",AL53-LOOKUP(2,1/(AI53:AK53&lt;&gt;""),AI53:AK53)))</t>
        </is>
      </c>
      <c r="AZ53" s="49" t="inlineStr">
        <is>
          <t>IF(OR(F53="",AM53=""),"",IF(COUNT(AI53:AL53)=0,"",AM53-LOOKUP(2,1/(AI53:AL53&lt;&gt;""),AI53:AL53)))</t>
        </is>
      </c>
      <c r="BA53" s="49" t="inlineStr">
        <is>
          <t>IF(OR(F53="",AN53=""),"",IF(COUNT(AI53:AM53)=0,"",AN53-LOOKUP(2,1/(AI53:AM53&lt;&gt;""),AI53:AM53)))</t>
        </is>
      </c>
      <c r="BB53" s="49" t="inlineStr">
        <is>
          <t>IF(OR(F53="",AO53=""),"",IF(COUNT(AI53:AN53)=0,"",AO53-LOOKUP(2,1/(AI53:AN53&lt;&gt;""),AI53:AN53)))</t>
        </is>
      </c>
      <c r="BC53" s="49" t="inlineStr">
        <is>
          <t>IF(OR(F53="",AP53=""),"",IF(COUNT(AI53:AO53)=0,"",AP53-LOOKUP(2,1/(AI53:AO53&lt;&gt;""),AI53:AO53)))</t>
        </is>
      </c>
      <c r="BD53" s="49" t="inlineStr">
        <is>
          <t>IF(OR(F53="",AQ53=""),"",IF(COUNT(AI53:AP53)=0,"",AQ53-LOOKUP(2,1/(AI53:AP53&lt;&gt;""),AI53:AP53)))</t>
        </is>
      </c>
      <c r="BE53" s="49" t="inlineStr">
        <is>
          <t>IF(OR(F53="",AR53=""),"",IF(COUNT(AI53:AQ53)=0,"",AR53-LOOKUP(2,1/(AI53:AQ53&lt;&gt;""),AI53:AQ53)))</t>
        </is>
      </c>
      <c r="BF53" s="49" t="inlineStr">
        <is>
          <t>IF(OR(F53="",AS53=""),"",IF(COUNT(AI53:AR53)=0,"",AS53-LOOKUP(2,1/(AI53:AR53&lt;&gt;""),AI53:AR53)))</t>
        </is>
      </c>
      <c r="BG53" s="49" t="inlineStr">
        <is>
          <t>IF(OR(F53="",AT53=""),"",IF(COUNT(AI53:AS53)=0,"",AT53-LOOKUP(2,1/(AI53:AS53&lt;&gt;""),AI53:AS53)))</t>
        </is>
      </c>
      <c r="BH53" s="49" t="inlineStr">
        <is>
          <t>IF(OR(F53="",AU53=""),"",IF(COUNT(AI53:AT53)=0,"",AU53-LOOKUP(2,1/(AI53:AT53&lt;&gt;""),AI53:AT53)))</t>
        </is>
      </c>
      <c r="BI53" s="49" t="inlineStr">
        <is>
          <t>IF(OR(F53="",AV53=""),"",IF(COUNT(AI53:AU53)=0,"",AV53-LOOKUP(2,1/(AI53:AU53&lt;&gt;""),AI53:AU53)))</t>
        </is>
      </c>
      <c r="BJ53" s="51" t="inlineStr">
        <is>
          <t>IF(J53="","All_Provinces",IFERROR(VLOOKUP(J53,'09_Lookups'!$A$4:$B$20,2,FALSE),"All_Provinces"))</t>
        </is>
      </c>
      <c r="BK53" s="51" t="inlineStr">
        <is>
          <t>IF(K53="","All_Districts",IFERROR(VLOOKUP(K53,'09_Lookups'!$E$4:$F$42,2,FALSE),"All_Districts"))</t>
        </is>
      </c>
    </row>
    <row r="54" outlineLevel="1" ht="18" customHeight="1">
      <c r="A54" s="42" t="inlineStr">
        <is>
          <t>IF(F54="","",ROW()-3)</t>
        </is>
      </c>
      <c r="B54" s="63" t="inlineStr">
        <is>
          <t>AF2-DIS-01A</t>
        </is>
      </c>
      <c r="C54" s="63" t="inlineStr">
        <is>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is>
      </c>
      <c r="D54" s="63" t="inlineStr">
        <is>
          <t>5 of 7</t>
        </is>
      </c>
      <c r="E54" s="52" t="inlineStr">
        <is>
          <t>AF2-DIS-N-012</t>
        </is>
      </c>
      <c r="F54" s="52" t="inlineStr">
        <is>
          <t>Kharistan Drip Irrigation schemes</t>
        </is>
      </c>
      <c r="G54" s="52" t="inlineStr">
        <is>
          <t>Drip Irrigation</t>
        </is>
      </c>
      <c r="H54" s="52" t="inlineStr">
        <is>
          <t>Drip Irrigation Plot</t>
        </is>
      </c>
      <c r="I54" s="52" t="inlineStr">
        <is>
          <t>Emergency Food Security Project (EFSP) – WBK/AF-2</t>
        </is>
      </c>
      <c r="J54" s="52" t="inlineStr">
        <is>
          <t>West / Herat</t>
        </is>
      </c>
      <c r="K54" s="52" t="inlineStr">
        <is>
          <t>Badghis</t>
        </is>
      </c>
      <c r="L54" s="52" t="inlineStr">
        <is>
          <t>Moqur</t>
        </is>
      </c>
      <c r="M54" s="52" t="inlineStr">
        <is>
          <t>Kharistan</t>
        </is>
      </c>
      <c r="N54" s="52" t="inlineStr">
        <is>
          <t>World Bank (WBK/AF-2)</t>
        </is>
      </c>
      <c r="O54" s="52" t="inlineStr">
        <is>
          <t>Not awarded</t>
        </is>
      </c>
      <c r="P54" s="52" t="inlineStr">
        <is>
          <t>5. Drip Irrigation systems</t>
        </is>
      </c>
      <c r="Q54" s="52" t="inlineStr">
        <is>
          <t>Saifuddin</t>
        </is>
      </c>
      <c r="R54" s="52" t="inlineStr"/>
      <c r="S54" s="53" t="n">
        <v>9550.690000000001</v>
      </c>
      <c r="T54" s="46" t="inlineStr">
        <is>
          <t>IF(AQ54="","",AQ54)</t>
        </is>
      </c>
      <c r="U54" s="54" t="n">
        <v>46361</v>
      </c>
      <c r="V54" s="55" t="n">
        <v>5.8</v>
      </c>
      <c r="W54" s="54" t="n">
        <v>46537</v>
      </c>
      <c r="X54" s="46" t="inlineStr">
        <is>
          <t>IF(W54&lt;&gt;"",W54,IF(OR(T54="",V54=""),"",EDATE(T54,V54)))</t>
        </is>
      </c>
      <c r="Y54" s="54" t="n"/>
      <c r="Z54" s="55" t="n"/>
      <c r="AA54" s="52" t="inlineStr">
        <is>
          <t>Retendered (Re-ITB)</t>
        </is>
      </c>
      <c r="AB54" s="52" t="inlineStr">
        <is>
          <t>Work starting from March 2026. A total of 90 days for completion Slack period until end February 2026. | Farmer: Saifuddin</t>
        </is>
      </c>
      <c r="AC54" s="42" t="inlineStr">
        <is>
          <t>IF(F54="","",IF(COUNT(AI54:AV54)=0,IF(AA54="","Not started",AA54),SUBSTITUTE(LOOKUP(2,1/(AI54:AV54&lt;&gt;""),$AI$3:$AV$3),"Date: ","")))</t>
        </is>
      </c>
      <c r="AD54" s="49" t="inlineStr">
        <is>
          <t>IF(OR(F54="",COUNT(AI54:AV54)=0),"",TODAY()-LOOKUP(2,1/(AI54:AV54&lt;&gt;""),AI54:AV54))</t>
        </is>
      </c>
      <c r="AE54" s="49" t="inlineStr">
        <is>
          <t>IF(OR(F54="",COUNT(AI54:AV54)&lt;2),"",LOOKUP(2,1/(AI54:AV54&lt;&gt;""),AI54:AV54)-MIN(AI54:AV54))</t>
        </is>
      </c>
      <c r="AF54" s="49" t="inlineStr">
        <is>
          <t>IF(OR(AD54="",AC54="Not started",AC54=""),"",IFERROR(AD54-IF(VLOOKUP(AC54,'06_Status_Pipeline'!$B$3:$E$20,4,FALSE)="",0,VLOOKUP(AC54,'06_Status_Pipeline'!$B$3:$E$20,4,FALSE)),""))</t>
        </is>
      </c>
      <c r="AG54" s="42" t="inlineStr">
        <is>
          <t>IF(F54="","",IF(OR(AA54="Cancelled",AC54="Cancelled"),"Cancelled",IF(OR(AC54="Completed / Handover",Y54&lt;&gt;"",Z54&gt;=100),"Completed — on track",IF(O54="Not awarded",IF(U54="",IF(X54="","No planned date",IF(TODAY()&gt;X54,"Behind — past planned date",IF(X54-TODAY()&lt;=30,"At risk — close to off track","On track"))),IF(TODAY()&gt;U54,"Behind — award date passed",IF(U54-TODAY()&lt;=30,"At risk — close to off track","On track"))),IF(X54="","No planned date",IF(AND(TODAY()&gt;X54,OR(Z54="",Z54&lt;100)),"Behind — past end date",IF(AND(T54&lt;&gt;"",X54&lt;&gt;"",Z54&lt;&gt;"",(Z54&lt;100),((TODAY()-T54)/MAX(X54-T54,1)*100)-Z54&gt;15),"Behind — progress lag",IF(AND(X54-TODAY()&lt;=30,X54-TODAY()&gt;=0,OR(Z54="",Z54&lt;90)),"At risk — close to off track","On track"))))))))</t>
        </is>
      </c>
      <c r="AH54" s="49" t="inlineStr">
        <is>
          <t>IF(OR(F54="",AC54="Completed / Handover",AC54="Cancelled"),"",IF(O54="Not awarded",IF(U54&lt;&gt;"",U54-TODAY(),IF(X54="","",X54-TODAY())),IF(X54="","",X54-TODAY())))</t>
        </is>
      </c>
      <c r="AI54" s="54" t="n"/>
      <c r="AJ54" s="54" t="n"/>
      <c r="AK54" s="54" t="n"/>
      <c r="AL54" s="54" t="n"/>
      <c r="AM54" s="54" t="n"/>
      <c r="AN54" s="54" t="n"/>
      <c r="AO54" s="54" t="n"/>
      <c r="AP54" s="54" t="n"/>
      <c r="AQ54" s="54" t="n"/>
      <c r="AR54" s="54" t="n"/>
      <c r="AS54" s="54" t="n"/>
      <c r="AT54" s="50" t="n"/>
      <c r="AU54" s="50" t="n"/>
      <c r="AV54" s="50" t="n"/>
      <c r="AW54" s="49" t="inlineStr">
        <is>
          <t>IF(OR(F54="",AJ54=""),"",IF(COUNT(AI54:AI54)=0,"",AJ54-LOOKUP(2,1/(AI54:AI54&lt;&gt;""),AI54:AI54)))</t>
        </is>
      </c>
      <c r="AX54" s="49" t="inlineStr">
        <is>
          <t>IF(OR(F54="",AK54=""),"",IF(COUNT(AI54:AJ54)=0,"",AK54-LOOKUP(2,1/(AI54:AJ54&lt;&gt;""),AI54:AJ54)))</t>
        </is>
      </c>
      <c r="AY54" s="49" t="inlineStr">
        <is>
          <t>IF(OR(F54="",AL54=""),"",IF(COUNT(AI54:AK54)=0,"",AL54-LOOKUP(2,1/(AI54:AK54&lt;&gt;""),AI54:AK54)))</t>
        </is>
      </c>
      <c r="AZ54" s="49" t="inlineStr">
        <is>
          <t>IF(OR(F54="",AM54=""),"",IF(COUNT(AI54:AL54)=0,"",AM54-LOOKUP(2,1/(AI54:AL54&lt;&gt;""),AI54:AL54)))</t>
        </is>
      </c>
      <c r="BA54" s="49" t="inlineStr">
        <is>
          <t>IF(OR(F54="",AN54=""),"",IF(COUNT(AI54:AM54)=0,"",AN54-LOOKUP(2,1/(AI54:AM54&lt;&gt;""),AI54:AM54)))</t>
        </is>
      </c>
      <c r="BB54" s="49" t="inlineStr">
        <is>
          <t>IF(OR(F54="",AO54=""),"",IF(COUNT(AI54:AN54)=0,"",AO54-LOOKUP(2,1/(AI54:AN54&lt;&gt;""),AI54:AN54)))</t>
        </is>
      </c>
      <c r="BC54" s="49" t="inlineStr">
        <is>
          <t>IF(OR(F54="",AP54=""),"",IF(COUNT(AI54:AO54)=0,"",AP54-LOOKUP(2,1/(AI54:AO54&lt;&gt;""),AI54:AO54)))</t>
        </is>
      </c>
      <c r="BD54" s="49" t="inlineStr">
        <is>
          <t>IF(OR(F54="",AQ54=""),"",IF(COUNT(AI54:AP54)=0,"",AQ54-LOOKUP(2,1/(AI54:AP54&lt;&gt;""),AI54:AP54)))</t>
        </is>
      </c>
      <c r="BE54" s="49" t="inlineStr">
        <is>
          <t>IF(OR(F54="",AR54=""),"",IF(COUNT(AI54:AQ54)=0,"",AR54-LOOKUP(2,1/(AI54:AQ54&lt;&gt;""),AI54:AQ54)))</t>
        </is>
      </c>
      <c r="BF54" s="49" t="inlineStr">
        <is>
          <t>IF(OR(F54="",AS54=""),"",IF(COUNT(AI54:AR54)=0,"",AS54-LOOKUP(2,1/(AI54:AR54&lt;&gt;""),AI54:AR54)))</t>
        </is>
      </c>
      <c r="BG54" s="49" t="inlineStr">
        <is>
          <t>IF(OR(F54="",AT54=""),"",IF(COUNT(AI54:AS54)=0,"",AT54-LOOKUP(2,1/(AI54:AS54&lt;&gt;""),AI54:AS54)))</t>
        </is>
      </c>
      <c r="BH54" s="49" t="inlineStr">
        <is>
          <t>IF(OR(F54="",AU54=""),"",IF(COUNT(AI54:AT54)=0,"",AU54-LOOKUP(2,1/(AI54:AT54&lt;&gt;""),AI54:AT54)))</t>
        </is>
      </c>
      <c r="BI54" s="49" t="inlineStr">
        <is>
          <t>IF(OR(F54="",AV54=""),"",IF(COUNT(AI54:AU54)=0,"",AV54-LOOKUP(2,1/(AI54:AU54&lt;&gt;""),AI54:AU54)))</t>
        </is>
      </c>
      <c r="BJ54" s="51" t="inlineStr">
        <is>
          <t>IF(J54="","All_Provinces",IFERROR(VLOOKUP(J54,'09_Lookups'!$A$4:$B$20,2,FALSE),"All_Provinces"))</t>
        </is>
      </c>
      <c r="BK54" s="51" t="inlineStr">
        <is>
          <t>IF(K54="","All_Districts",IFERROR(VLOOKUP(K54,'09_Lookups'!$E$4:$F$42,2,FALSE),"All_Districts"))</t>
        </is>
      </c>
    </row>
    <row r="55" outlineLevel="1" ht="18" customHeight="1">
      <c r="A55" s="42" t="inlineStr">
        <is>
          <t>IF(F55="","",ROW()-3)</t>
        </is>
      </c>
      <c r="B55" s="63" t="inlineStr">
        <is>
          <t>AF2-DIS-01A</t>
        </is>
      </c>
      <c r="C55" s="63" t="inlineStr">
        <is>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is>
      </c>
      <c r="D55" s="63" t="inlineStr">
        <is>
          <t>6 of 7</t>
        </is>
      </c>
      <c r="E55" s="44" t="inlineStr">
        <is>
          <t>AF2-DIS-N-013</t>
        </is>
      </c>
      <c r="F55" s="44" t="inlineStr">
        <is>
          <t>Shadeh Olia Drip Irrigation Scheme</t>
        </is>
      </c>
      <c r="G55" s="44" t="inlineStr">
        <is>
          <t>Drip Irrigation</t>
        </is>
      </c>
      <c r="H55" s="44" t="inlineStr">
        <is>
          <t>Drip Irrigation Plot</t>
        </is>
      </c>
      <c r="I55" s="44" t="inlineStr">
        <is>
          <t>Emergency Food Security Project (EFSP) – WBK/AF-2</t>
        </is>
      </c>
      <c r="J55" s="44" t="inlineStr">
        <is>
          <t>West / Herat</t>
        </is>
      </c>
      <c r="K55" s="44" t="inlineStr">
        <is>
          <t>Herat</t>
        </is>
      </c>
      <c r="L55" s="44" t="inlineStr">
        <is>
          <t>Zinda Jan</t>
        </is>
      </c>
      <c r="M55" s="44" t="inlineStr">
        <is>
          <t>Shadeh Olia</t>
        </is>
      </c>
      <c r="N55" s="44" t="inlineStr">
        <is>
          <t>World Bank (WBK/AF-2)</t>
        </is>
      </c>
      <c r="O55" s="44" t="inlineStr">
        <is>
          <t>Not awarded</t>
        </is>
      </c>
      <c r="P55" s="44" t="inlineStr">
        <is>
          <t>5. Drip Irrigation systems</t>
        </is>
      </c>
      <c r="Q55" s="44" t="inlineStr">
        <is>
          <t>Abdul Ghafour</t>
        </is>
      </c>
      <c r="R55" s="44" t="inlineStr"/>
      <c r="S55" s="45" t="n">
        <v>6110.88</v>
      </c>
      <c r="T55" s="46" t="inlineStr">
        <is>
          <t>IF(AQ55="","",AQ55)</t>
        </is>
      </c>
      <c r="U55" s="47" t="n">
        <v>46361</v>
      </c>
      <c r="V55" s="48" t="n">
        <v>5.8</v>
      </c>
      <c r="W55" s="47" t="n">
        <v>46537</v>
      </c>
      <c r="X55" s="46" t="inlineStr">
        <is>
          <t>IF(W55&lt;&gt;"",W55,IF(OR(T55="",V55=""),"",EDATE(T55,V55)))</t>
        </is>
      </c>
      <c r="Y55" s="47" t="n"/>
      <c r="Z55" s="48" t="n"/>
      <c r="AA55" s="44" t="inlineStr">
        <is>
          <t>Retendered (Re-ITB)</t>
        </is>
      </c>
      <c r="AB55" s="44" t="inlineStr">
        <is>
          <t>Work starting from March 2026. A total of 90 days for completion Slack period until end February 2026. | Farmer: Abdul Ghafour</t>
        </is>
      </c>
      <c r="AC55" s="42" t="inlineStr">
        <is>
          <t>IF(F55="","",IF(COUNT(AI55:AV55)=0,IF(AA55="","Not started",AA55),SUBSTITUTE(LOOKUP(2,1/(AI55:AV55&lt;&gt;""),$AI$3:$AV$3),"Date: ","")))</t>
        </is>
      </c>
      <c r="AD55" s="49" t="inlineStr">
        <is>
          <t>IF(OR(F55="",COUNT(AI55:AV55)=0),"",TODAY()-LOOKUP(2,1/(AI55:AV55&lt;&gt;""),AI55:AV55))</t>
        </is>
      </c>
      <c r="AE55" s="49" t="inlineStr">
        <is>
          <t>IF(OR(F55="",COUNT(AI55:AV55)&lt;2),"",LOOKUP(2,1/(AI55:AV55&lt;&gt;""),AI55:AV55)-MIN(AI55:AV55))</t>
        </is>
      </c>
      <c r="AF55" s="49" t="inlineStr">
        <is>
          <t>IF(OR(AD55="",AC55="Not started",AC55=""),"",IFERROR(AD55-IF(VLOOKUP(AC55,'06_Status_Pipeline'!$B$3:$E$20,4,FALSE)="",0,VLOOKUP(AC55,'06_Status_Pipeline'!$B$3:$E$20,4,FALSE)),""))</t>
        </is>
      </c>
      <c r="AG55" s="42" t="inlineStr">
        <is>
          <t>IF(F55="","",IF(OR(AA55="Cancelled",AC55="Cancelled"),"Cancelled",IF(OR(AC55="Completed / Handover",Y55&lt;&gt;"",Z55&gt;=100),"Completed — on track",IF(O55="Not awarded",IF(U55="",IF(X55="","No planned date",IF(TODAY()&gt;X55,"Behind — past planned date",IF(X55-TODAY()&lt;=30,"At risk — close to off track","On track"))),IF(TODAY()&gt;U55,"Behind — award date passed",IF(U55-TODAY()&lt;=30,"At risk — close to off track","On track"))),IF(X55="","No planned date",IF(AND(TODAY()&gt;X55,OR(Z55="",Z55&lt;100)),"Behind — past end date",IF(AND(T55&lt;&gt;"",X55&lt;&gt;"",Z55&lt;&gt;"",(Z55&lt;100),((TODAY()-T55)/MAX(X55-T55,1)*100)-Z55&gt;15),"Behind — progress lag",IF(AND(X55-TODAY()&lt;=30,X55-TODAY()&gt;=0,OR(Z55="",Z55&lt;90)),"At risk — close to off track","On track"))))))))</t>
        </is>
      </c>
      <c r="AH55" s="49" t="inlineStr">
        <is>
          <t>IF(OR(F55="",AC55="Completed / Handover",AC55="Cancelled"),"",IF(O55="Not awarded",IF(U55&lt;&gt;"",U55-TODAY(),IF(X55="","",X55-TODAY())),IF(X55="","",X55-TODAY())))</t>
        </is>
      </c>
      <c r="AI55" s="47" t="n"/>
      <c r="AJ55" s="47" t="n"/>
      <c r="AK55" s="47" t="n"/>
      <c r="AL55" s="47" t="n"/>
      <c r="AM55" s="47" t="n"/>
      <c r="AN55" s="47" t="n"/>
      <c r="AO55" s="47" t="n"/>
      <c r="AP55" s="47" t="n"/>
      <c r="AQ55" s="47" t="n"/>
      <c r="AR55" s="47" t="n"/>
      <c r="AS55" s="47" t="n"/>
      <c r="AT55" s="50" t="n"/>
      <c r="AU55" s="50" t="n"/>
      <c r="AV55" s="50" t="n"/>
      <c r="AW55" s="49" t="inlineStr">
        <is>
          <t>IF(OR(F55="",AJ55=""),"",IF(COUNT(AI55:AI55)=0,"",AJ55-LOOKUP(2,1/(AI55:AI55&lt;&gt;""),AI55:AI55)))</t>
        </is>
      </c>
      <c r="AX55" s="49" t="inlineStr">
        <is>
          <t>IF(OR(F55="",AK55=""),"",IF(COUNT(AI55:AJ55)=0,"",AK55-LOOKUP(2,1/(AI55:AJ55&lt;&gt;""),AI55:AJ55)))</t>
        </is>
      </c>
      <c r="AY55" s="49" t="inlineStr">
        <is>
          <t>IF(OR(F55="",AL55=""),"",IF(COUNT(AI55:AK55)=0,"",AL55-LOOKUP(2,1/(AI55:AK55&lt;&gt;""),AI55:AK55)))</t>
        </is>
      </c>
      <c r="AZ55" s="49" t="inlineStr">
        <is>
          <t>IF(OR(F55="",AM55=""),"",IF(COUNT(AI55:AL55)=0,"",AM55-LOOKUP(2,1/(AI55:AL55&lt;&gt;""),AI55:AL55)))</t>
        </is>
      </c>
      <c r="BA55" s="49" t="inlineStr">
        <is>
          <t>IF(OR(F55="",AN55=""),"",IF(COUNT(AI55:AM55)=0,"",AN55-LOOKUP(2,1/(AI55:AM55&lt;&gt;""),AI55:AM55)))</t>
        </is>
      </c>
      <c r="BB55" s="49" t="inlineStr">
        <is>
          <t>IF(OR(F55="",AO55=""),"",IF(COUNT(AI55:AN55)=0,"",AO55-LOOKUP(2,1/(AI55:AN55&lt;&gt;""),AI55:AN55)))</t>
        </is>
      </c>
      <c r="BC55" s="49" t="inlineStr">
        <is>
          <t>IF(OR(F55="",AP55=""),"",IF(COUNT(AI55:AO55)=0,"",AP55-LOOKUP(2,1/(AI55:AO55&lt;&gt;""),AI55:AO55)))</t>
        </is>
      </c>
      <c r="BD55" s="49" t="inlineStr">
        <is>
          <t>IF(OR(F55="",AQ55=""),"",IF(COUNT(AI55:AP55)=0,"",AQ55-LOOKUP(2,1/(AI55:AP55&lt;&gt;""),AI55:AP55)))</t>
        </is>
      </c>
      <c r="BE55" s="49" t="inlineStr">
        <is>
          <t>IF(OR(F55="",AR55=""),"",IF(COUNT(AI55:AQ55)=0,"",AR55-LOOKUP(2,1/(AI55:AQ55&lt;&gt;""),AI55:AQ55)))</t>
        </is>
      </c>
      <c r="BF55" s="49" t="inlineStr">
        <is>
          <t>IF(OR(F55="",AS55=""),"",IF(COUNT(AI55:AR55)=0,"",AS55-LOOKUP(2,1/(AI55:AR55&lt;&gt;""),AI55:AR55)))</t>
        </is>
      </c>
      <c r="BG55" s="49" t="inlineStr">
        <is>
          <t>IF(OR(F55="",AT55=""),"",IF(COUNT(AI55:AS55)=0,"",AT55-LOOKUP(2,1/(AI55:AS55&lt;&gt;""),AI55:AS55)))</t>
        </is>
      </c>
      <c r="BH55" s="49" t="inlineStr">
        <is>
          <t>IF(OR(F55="",AU55=""),"",IF(COUNT(AI55:AT55)=0,"",AU55-LOOKUP(2,1/(AI55:AT55&lt;&gt;""),AI55:AT55)))</t>
        </is>
      </c>
      <c r="BI55" s="49" t="inlineStr">
        <is>
          <t>IF(OR(F55="",AV55=""),"",IF(COUNT(AI55:AU55)=0,"",AV55-LOOKUP(2,1/(AI55:AU55&lt;&gt;""),AI55:AU55)))</t>
        </is>
      </c>
      <c r="BJ55" s="51" t="inlineStr">
        <is>
          <t>IF(J55="","All_Provinces",IFERROR(VLOOKUP(J55,'09_Lookups'!$A$4:$B$20,2,FALSE),"All_Provinces"))</t>
        </is>
      </c>
      <c r="BK55" s="51" t="inlineStr">
        <is>
          <t>IF(K55="","All_Districts",IFERROR(VLOOKUP(K55,'09_Lookups'!$E$4:$F$42,2,FALSE),"All_Districts"))</t>
        </is>
      </c>
    </row>
    <row r="56" outlineLevel="1" ht="18" customHeight="1">
      <c r="A56" s="42" t="inlineStr">
        <is>
          <t>IF(F56="","",ROW()-3)</t>
        </is>
      </c>
      <c r="B56" s="63" t="inlineStr">
        <is>
          <t>AF2-DIS-01A</t>
        </is>
      </c>
      <c r="C56" s="63" t="inlineStr">
        <is>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is>
      </c>
      <c r="D56" s="63" t="inlineStr">
        <is>
          <t>7 of 7</t>
        </is>
      </c>
      <c r="E56" s="52" t="inlineStr">
        <is>
          <t>AF2-DIS-N-014</t>
        </is>
      </c>
      <c r="F56" s="52" t="inlineStr">
        <is>
          <t>Shadeh Sofla Drip Irrigation Scheme</t>
        </is>
      </c>
      <c r="G56" s="52" t="inlineStr">
        <is>
          <t>Drip Irrigation</t>
        </is>
      </c>
      <c r="H56" s="52" t="inlineStr">
        <is>
          <t>Drip Irrigation Plot</t>
        </is>
      </c>
      <c r="I56" s="52" t="inlineStr">
        <is>
          <t>Emergency Food Security Project (EFSP) – WBK/AF-2</t>
        </is>
      </c>
      <c r="J56" s="52" t="inlineStr">
        <is>
          <t>West / Herat</t>
        </is>
      </c>
      <c r="K56" s="52" t="inlineStr">
        <is>
          <t>Herat</t>
        </is>
      </c>
      <c r="L56" s="52" t="inlineStr">
        <is>
          <t>Zinda Jan</t>
        </is>
      </c>
      <c r="M56" s="52" t="inlineStr">
        <is>
          <t>Shadeh Sofla</t>
        </is>
      </c>
      <c r="N56" s="52" t="inlineStr">
        <is>
          <t>World Bank (WBK/AF-2)</t>
        </is>
      </c>
      <c r="O56" s="52" t="inlineStr">
        <is>
          <t>Not awarded</t>
        </is>
      </c>
      <c r="P56" s="52" t="inlineStr">
        <is>
          <t>5. Drip Irrigation systems</t>
        </is>
      </c>
      <c r="Q56" s="52" t="inlineStr">
        <is>
          <t>Ahmad Zia</t>
        </is>
      </c>
      <c r="R56" s="52" t="inlineStr"/>
      <c r="S56" s="53" t="n">
        <v>6495.85</v>
      </c>
      <c r="T56" s="46" t="inlineStr">
        <is>
          <t>IF(AQ56="","",AQ56)</t>
        </is>
      </c>
      <c r="U56" s="54" t="n">
        <v>46361</v>
      </c>
      <c r="V56" s="55" t="n">
        <v>5.8</v>
      </c>
      <c r="W56" s="54" t="n">
        <v>46537</v>
      </c>
      <c r="X56" s="46" t="inlineStr">
        <is>
          <t>IF(W56&lt;&gt;"",W56,IF(OR(T56="",V56=""),"",EDATE(T56,V56)))</t>
        </is>
      </c>
      <c r="Y56" s="54" t="n"/>
      <c r="Z56" s="55" t="n"/>
      <c r="AA56" s="52" t="inlineStr">
        <is>
          <t>Retendered (Re-ITB)</t>
        </is>
      </c>
      <c r="AB56" s="52" t="inlineStr">
        <is>
          <t>Work starting from March 2026. A total of 90 days for completion Slack period until end February 2026. | Farmer: Ahmad Zia</t>
        </is>
      </c>
      <c r="AC56" s="42" t="inlineStr">
        <is>
          <t>IF(F56="","",IF(COUNT(AI56:AV56)=0,IF(AA56="","Not started",AA56),SUBSTITUTE(LOOKUP(2,1/(AI56:AV56&lt;&gt;""),$AI$3:$AV$3),"Date: ","")))</t>
        </is>
      </c>
      <c r="AD56" s="49" t="inlineStr">
        <is>
          <t>IF(OR(F56="",COUNT(AI56:AV56)=0),"",TODAY()-LOOKUP(2,1/(AI56:AV56&lt;&gt;""),AI56:AV56))</t>
        </is>
      </c>
      <c r="AE56" s="49" t="inlineStr">
        <is>
          <t>IF(OR(F56="",COUNT(AI56:AV56)&lt;2),"",LOOKUP(2,1/(AI56:AV56&lt;&gt;""),AI56:AV56)-MIN(AI56:AV56))</t>
        </is>
      </c>
      <c r="AF56" s="49" t="inlineStr">
        <is>
          <t>IF(OR(AD56="",AC56="Not started",AC56=""),"",IFERROR(AD56-IF(VLOOKUP(AC56,'06_Status_Pipeline'!$B$3:$E$20,4,FALSE)="",0,VLOOKUP(AC56,'06_Status_Pipeline'!$B$3:$E$20,4,FALSE)),""))</t>
        </is>
      </c>
      <c r="AG56" s="42" t="inlineStr">
        <is>
          <t>IF(F56="","",IF(OR(AA56="Cancelled",AC56="Cancelled"),"Cancelled",IF(OR(AC56="Completed / Handover",Y56&lt;&gt;"",Z56&gt;=100),"Completed — on track",IF(O56="Not awarded",IF(U56="",IF(X56="","No planned date",IF(TODAY()&gt;X56,"Behind — past planned date",IF(X56-TODAY()&lt;=30,"At risk — close to off track","On track"))),IF(TODAY()&gt;U56,"Behind — award date passed",IF(U56-TODAY()&lt;=30,"At risk — close to off track","On track"))),IF(X56="","No planned date",IF(AND(TODAY()&gt;X56,OR(Z56="",Z56&lt;100)),"Behind — past end date",IF(AND(T56&lt;&gt;"",X56&lt;&gt;"",Z56&lt;&gt;"",(Z56&lt;100),((TODAY()-T56)/MAX(X56-T56,1)*100)-Z56&gt;15),"Behind — progress lag",IF(AND(X56-TODAY()&lt;=30,X56-TODAY()&gt;=0,OR(Z56="",Z56&lt;90)),"At risk — close to off track","On track"))))))))</t>
        </is>
      </c>
      <c r="AH56" s="49" t="inlineStr">
        <is>
          <t>IF(OR(F56="",AC56="Completed / Handover",AC56="Cancelled"),"",IF(O56="Not awarded",IF(U56&lt;&gt;"",U56-TODAY(),IF(X56="","",X56-TODAY())),IF(X56="","",X56-TODAY())))</t>
        </is>
      </c>
      <c r="AI56" s="54" t="n"/>
      <c r="AJ56" s="54" t="n"/>
      <c r="AK56" s="54" t="n"/>
      <c r="AL56" s="54" t="n"/>
      <c r="AM56" s="54" t="n"/>
      <c r="AN56" s="54" t="n"/>
      <c r="AO56" s="54" t="n"/>
      <c r="AP56" s="54" t="n"/>
      <c r="AQ56" s="54" t="n"/>
      <c r="AR56" s="54" t="n"/>
      <c r="AS56" s="54" t="n"/>
      <c r="AT56" s="50" t="n"/>
      <c r="AU56" s="50" t="n"/>
      <c r="AV56" s="50" t="n"/>
      <c r="AW56" s="49" t="inlineStr">
        <is>
          <t>IF(OR(F56="",AJ56=""),"",IF(COUNT(AI56:AI56)=0,"",AJ56-LOOKUP(2,1/(AI56:AI56&lt;&gt;""),AI56:AI56)))</t>
        </is>
      </c>
      <c r="AX56" s="49" t="inlineStr">
        <is>
          <t>IF(OR(F56="",AK56=""),"",IF(COUNT(AI56:AJ56)=0,"",AK56-LOOKUP(2,1/(AI56:AJ56&lt;&gt;""),AI56:AJ56)))</t>
        </is>
      </c>
      <c r="AY56" s="49" t="inlineStr">
        <is>
          <t>IF(OR(F56="",AL56=""),"",IF(COUNT(AI56:AK56)=0,"",AL56-LOOKUP(2,1/(AI56:AK56&lt;&gt;""),AI56:AK56)))</t>
        </is>
      </c>
      <c r="AZ56" s="49" t="inlineStr">
        <is>
          <t>IF(OR(F56="",AM56=""),"",IF(COUNT(AI56:AL56)=0,"",AM56-LOOKUP(2,1/(AI56:AL56&lt;&gt;""),AI56:AL56)))</t>
        </is>
      </c>
      <c r="BA56" s="49" t="inlineStr">
        <is>
          <t>IF(OR(F56="",AN56=""),"",IF(COUNT(AI56:AM56)=0,"",AN56-LOOKUP(2,1/(AI56:AM56&lt;&gt;""),AI56:AM56)))</t>
        </is>
      </c>
      <c r="BB56" s="49" t="inlineStr">
        <is>
          <t>IF(OR(F56="",AO56=""),"",IF(COUNT(AI56:AN56)=0,"",AO56-LOOKUP(2,1/(AI56:AN56&lt;&gt;""),AI56:AN56)))</t>
        </is>
      </c>
      <c r="BC56" s="49" t="inlineStr">
        <is>
          <t>IF(OR(F56="",AP56=""),"",IF(COUNT(AI56:AO56)=0,"",AP56-LOOKUP(2,1/(AI56:AO56&lt;&gt;""),AI56:AO56)))</t>
        </is>
      </c>
      <c r="BD56" s="49" t="inlineStr">
        <is>
          <t>IF(OR(F56="",AQ56=""),"",IF(COUNT(AI56:AP56)=0,"",AQ56-LOOKUP(2,1/(AI56:AP56&lt;&gt;""),AI56:AP56)))</t>
        </is>
      </c>
      <c r="BE56" s="49" t="inlineStr">
        <is>
          <t>IF(OR(F56="",AR56=""),"",IF(COUNT(AI56:AQ56)=0,"",AR56-LOOKUP(2,1/(AI56:AQ56&lt;&gt;""),AI56:AQ56)))</t>
        </is>
      </c>
      <c r="BF56" s="49" t="inlineStr">
        <is>
          <t>IF(OR(F56="",AS56=""),"",IF(COUNT(AI56:AR56)=0,"",AS56-LOOKUP(2,1/(AI56:AR56&lt;&gt;""),AI56:AR56)))</t>
        </is>
      </c>
      <c r="BG56" s="49" t="inlineStr">
        <is>
          <t>IF(OR(F56="",AT56=""),"",IF(COUNT(AI56:AS56)=0,"",AT56-LOOKUP(2,1/(AI56:AS56&lt;&gt;""),AI56:AS56)))</t>
        </is>
      </c>
      <c r="BH56" s="49" t="inlineStr">
        <is>
          <t>IF(OR(F56="",AU56=""),"",IF(COUNT(AI56:AT56)=0,"",AU56-LOOKUP(2,1/(AI56:AT56&lt;&gt;""),AI56:AT56)))</t>
        </is>
      </c>
      <c r="BI56" s="49" t="inlineStr">
        <is>
          <t>IF(OR(F56="",AV56=""),"",IF(COUNT(AI56:AU56)=0,"",AV56-LOOKUP(2,1/(AI56:AU56&lt;&gt;""),AI56:AU56)))</t>
        </is>
      </c>
      <c r="BJ56" s="51" t="inlineStr">
        <is>
          <t>IF(J56="","All_Provinces",IFERROR(VLOOKUP(J56,'09_Lookups'!$A$4:$B$20,2,FALSE),"All_Provinces"))</t>
        </is>
      </c>
      <c r="BK56" s="51" t="inlineStr">
        <is>
          <t>IF(K56="","All_Districts",IFERROR(VLOOKUP(K56,'09_Lookups'!$E$4:$F$42,2,FALSE),"All_Districts"))</t>
        </is>
      </c>
    </row>
    <row r="57" ht="18" customHeight="1">
      <c r="A57" s="32" t="inlineStr">
        <is>
          <t>IF(F57="","",ROW()-3)</t>
        </is>
      </c>
      <c r="B57" s="64" t="inlineStr">
        <is>
          <t>AF2-DIS-02A</t>
        </is>
      </c>
      <c r="C57" s="64"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57" s="64" t="inlineStr">
        <is>
          <t>1 of 12</t>
        </is>
      </c>
      <c r="E57" s="57" t="inlineStr">
        <is>
          <t>AF2-DIS-N-015</t>
        </is>
      </c>
      <c r="F57" s="57" t="inlineStr">
        <is>
          <t>1. Abdul Qadir Drip Irrigation Scheme</t>
        </is>
      </c>
      <c r="G57" s="57" t="inlineStr">
        <is>
          <t>Drip Irrigation</t>
        </is>
      </c>
      <c r="H57" s="57" t="inlineStr">
        <is>
          <t>Drip Irrigation Plot</t>
        </is>
      </c>
      <c r="I57" s="57" t="inlineStr">
        <is>
          <t>Emergency Food Security Project (EFSP) – WBK/AF-2</t>
        </is>
      </c>
      <c r="J57" s="57" t="inlineStr">
        <is>
          <t>East / Jalalabad</t>
        </is>
      </c>
      <c r="K57" s="57" t="inlineStr">
        <is>
          <t>Laghman</t>
        </is>
      </c>
      <c r="L57" s="57" t="inlineStr">
        <is>
          <t>Alishing</t>
        </is>
      </c>
      <c r="M57" s="57" t="inlineStr">
        <is>
          <t>Darwesh Abad</t>
        </is>
      </c>
      <c r="N57" s="57" t="inlineStr">
        <is>
          <t>World Bank (WBK/AF-2)</t>
        </is>
      </c>
      <c r="O57" s="57" t="inlineStr">
        <is>
          <t>Not awarded</t>
        </is>
      </c>
      <c r="P57" s="57" t="inlineStr">
        <is>
          <t>5. Drip Irrigation systems</t>
        </is>
      </c>
      <c r="Q57" s="57" t="inlineStr">
        <is>
          <t>Abdul Qadeer</t>
        </is>
      </c>
      <c r="R57" s="57" t="inlineStr"/>
      <c r="S57" s="58" t="n">
        <v>13115.38</v>
      </c>
      <c r="T57" s="36" t="inlineStr">
        <is>
          <t>IF(AQ57="","",AQ57)</t>
        </is>
      </c>
      <c r="U57" s="59" t="n">
        <v>46380</v>
      </c>
      <c r="V57" s="60" t="n">
        <v>4.9</v>
      </c>
      <c r="W57" s="59" t="n">
        <v>46530</v>
      </c>
      <c r="X57" s="36" t="inlineStr">
        <is>
          <t>IF(W57&lt;&gt;"",W57,IF(OR(T57="",V57=""),"",EDATE(T57,V57)))</t>
        </is>
      </c>
      <c r="Y57" s="59" t="n"/>
      <c r="Z57" s="60" t="n"/>
      <c r="AA57" s="57" t="inlineStr">
        <is>
          <t>Retendered (Re-ITB)</t>
        </is>
      </c>
      <c r="AB57" s="57" t="inlineStr">
        <is>
          <t>Five month construction period. No slack period considered for Laghman and Nagrahar and two months slack period for Kunar and Nuristan. '- | Farmer: Abdul Qadeer</t>
        </is>
      </c>
      <c r="AC57" s="32" t="inlineStr">
        <is>
          <t>IF(F57="","",IF(COUNT(AI57:AV57)=0,IF(AA57="","Not started",AA57),SUBSTITUTE(LOOKUP(2,1/(AI57:AV57&lt;&gt;""),$AI$3:$AV$3),"Date: ","")))</t>
        </is>
      </c>
      <c r="AD57" s="39" t="inlineStr">
        <is>
          <t>IF(OR(F57="",COUNT(AI57:AV57)=0),"",TODAY()-LOOKUP(2,1/(AI57:AV57&lt;&gt;""),AI57:AV57))</t>
        </is>
      </c>
      <c r="AE57" s="39" t="inlineStr">
        <is>
          <t>IF(OR(F57="",COUNT(AI57:AV57)&lt;2),"",LOOKUP(2,1/(AI57:AV57&lt;&gt;""),AI57:AV57)-MIN(AI57:AV57))</t>
        </is>
      </c>
      <c r="AF57" s="39" t="inlineStr">
        <is>
          <t>IF(OR(AD57="",AC57="Not started",AC57=""),"",IFERROR(AD57-IF(VLOOKUP(AC57,'06_Status_Pipeline'!$B$3:$E$20,4,FALSE)="",0,VLOOKUP(AC57,'06_Status_Pipeline'!$B$3:$E$20,4,FALSE)),""))</t>
        </is>
      </c>
      <c r="AG57" s="32" t="inlineStr">
        <is>
          <t>IF(F57="","",IF(OR(AA57="Cancelled",AC57="Cancelled"),"Cancelled",IF(OR(AC57="Completed / Handover",Y57&lt;&gt;"",Z57&gt;=100),"Completed — on track",IF(O57="Not awarded",IF(U57="",IF(X57="","No planned date",IF(TODAY()&gt;X57,"Behind — past planned date",IF(X57-TODAY()&lt;=30,"At risk — close to off track","On track"))),IF(TODAY()&gt;U57,"Behind — award date passed",IF(U57-TODAY()&lt;=30,"At risk — close to off track","On track"))),IF(X57="","No planned date",IF(AND(TODAY()&gt;X57,OR(Z57="",Z57&lt;100)),"Behind — past end date",IF(AND(T57&lt;&gt;"",X57&lt;&gt;"",Z57&lt;&gt;"",(Z57&lt;100),((TODAY()-T57)/MAX(X57-T57,1)*100)-Z57&gt;15),"Behind — progress lag",IF(AND(X57-TODAY()&lt;=30,X57-TODAY()&gt;=0,OR(Z57="",Z57&lt;90)),"At risk — close to off track","On track"))))))))</t>
        </is>
      </c>
      <c r="AH57" s="39" t="inlineStr">
        <is>
          <t>IF(OR(F57="",AC57="Completed / Handover",AC57="Cancelled"),"",IF(O57="Not awarded",IF(U57&lt;&gt;"",U57-TODAY(),IF(X57="","",X57-TODAY())),IF(X57="","",X57-TODAY())))</t>
        </is>
      </c>
      <c r="AI57" s="59" t="n"/>
      <c r="AJ57" s="59" t="n"/>
      <c r="AK57" s="59" t="n"/>
      <c r="AL57" s="59" t="n"/>
      <c r="AM57" s="59" t="n"/>
      <c r="AN57" s="59" t="n"/>
      <c r="AO57" s="59" t="n"/>
      <c r="AP57" s="59" t="n"/>
      <c r="AQ57" s="59" t="n"/>
      <c r="AR57" s="59" t="n"/>
      <c r="AS57" s="59" t="n"/>
      <c r="AT57" s="40" t="n"/>
      <c r="AU57" s="40" t="n"/>
      <c r="AV57" s="40" t="n"/>
      <c r="AW57" s="39" t="inlineStr">
        <is>
          <t>IF(OR(F57="",AJ57=""),"",IF(COUNT(AI57:AI57)=0,"",AJ57-LOOKUP(2,1/(AI57:AI57&lt;&gt;""),AI57:AI57)))</t>
        </is>
      </c>
      <c r="AX57" s="39" t="inlineStr">
        <is>
          <t>IF(OR(F57="",AK57=""),"",IF(COUNT(AI57:AJ57)=0,"",AK57-LOOKUP(2,1/(AI57:AJ57&lt;&gt;""),AI57:AJ57)))</t>
        </is>
      </c>
      <c r="AY57" s="39" t="inlineStr">
        <is>
          <t>IF(OR(F57="",AL57=""),"",IF(COUNT(AI57:AK57)=0,"",AL57-LOOKUP(2,1/(AI57:AK57&lt;&gt;""),AI57:AK57)))</t>
        </is>
      </c>
      <c r="AZ57" s="39" t="inlineStr">
        <is>
          <t>IF(OR(F57="",AM57=""),"",IF(COUNT(AI57:AL57)=0,"",AM57-LOOKUP(2,1/(AI57:AL57&lt;&gt;""),AI57:AL57)))</t>
        </is>
      </c>
      <c r="BA57" s="39" t="inlineStr">
        <is>
          <t>IF(OR(F57="",AN57=""),"",IF(COUNT(AI57:AM57)=0,"",AN57-LOOKUP(2,1/(AI57:AM57&lt;&gt;""),AI57:AM57)))</t>
        </is>
      </c>
      <c r="BB57" s="39" t="inlineStr">
        <is>
          <t>IF(OR(F57="",AO57=""),"",IF(COUNT(AI57:AN57)=0,"",AO57-LOOKUP(2,1/(AI57:AN57&lt;&gt;""),AI57:AN57)))</t>
        </is>
      </c>
      <c r="BC57" s="39" t="inlineStr">
        <is>
          <t>IF(OR(F57="",AP57=""),"",IF(COUNT(AI57:AO57)=0,"",AP57-LOOKUP(2,1/(AI57:AO57&lt;&gt;""),AI57:AO57)))</t>
        </is>
      </c>
      <c r="BD57" s="39" t="inlineStr">
        <is>
          <t>IF(OR(F57="",AQ57=""),"",IF(COUNT(AI57:AP57)=0,"",AQ57-LOOKUP(2,1/(AI57:AP57&lt;&gt;""),AI57:AP57)))</t>
        </is>
      </c>
      <c r="BE57" s="39" t="inlineStr">
        <is>
          <t>IF(OR(F57="",AR57=""),"",IF(COUNT(AI57:AQ57)=0,"",AR57-LOOKUP(2,1/(AI57:AQ57&lt;&gt;""),AI57:AQ57)))</t>
        </is>
      </c>
      <c r="BF57" s="39" t="inlineStr">
        <is>
          <t>IF(OR(F57="",AS57=""),"",IF(COUNT(AI57:AR57)=0,"",AS57-LOOKUP(2,1/(AI57:AR57&lt;&gt;""),AI57:AR57)))</t>
        </is>
      </c>
      <c r="BG57" s="39" t="inlineStr">
        <is>
          <t>IF(OR(F57="",AT57=""),"",IF(COUNT(AI57:AS57)=0,"",AT57-LOOKUP(2,1/(AI57:AS57&lt;&gt;""),AI57:AS57)))</t>
        </is>
      </c>
      <c r="BH57" s="39" t="inlineStr">
        <is>
          <t>IF(OR(F57="",AU57=""),"",IF(COUNT(AI57:AT57)=0,"",AU57-LOOKUP(2,1/(AI57:AT57&lt;&gt;""),AI57:AT57)))</t>
        </is>
      </c>
      <c r="BI57" s="39" t="inlineStr">
        <is>
          <t>IF(OR(F57="",AV57=""),"",IF(COUNT(AI57:AU57)=0,"",AV57-LOOKUP(2,1/(AI57:AU57&lt;&gt;""),AI57:AU57)))</t>
        </is>
      </c>
      <c r="BJ57" s="41" t="inlineStr">
        <is>
          <t>IF(J57="","All_Provinces",IFERROR(VLOOKUP(J57,'09_Lookups'!$A$4:$B$20,2,FALSE),"All_Provinces"))</t>
        </is>
      </c>
      <c r="BK57" s="41" t="inlineStr">
        <is>
          <t>IF(K57="","All_Districts",IFERROR(VLOOKUP(K57,'09_Lookups'!$E$4:$F$42,2,FALSE),"All_Districts"))</t>
        </is>
      </c>
    </row>
    <row r="58" outlineLevel="1" ht="18" customHeight="1">
      <c r="A58" s="42" t="inlineStr">
        <is>
          <t>IF(F58="","",ROW()-3)</t>
        </is>
      </c>
      <c r="B58" s="65" t="inlineStr">
        <is>
          <t>AF2-DIS-02A</t>
        </is>
      </c>
      <c r="C58"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58" s="65" t="inlineStr">
        <is>
          <t>2 of 12</t>
        </is>
      </c>
      <c r="E58" s="52" t="inlineStr">
        <is>
          <t>AF2-DIS-N-016</t>
        </is>
      </c>
      <c r="F58" s="52" t="inlineStr">
        <is>
          <t>10.Habibullah Drip irrigation Site</t>
        </is>
      </c>
      <c r="G58" s="52" t="inlineStr">
        <is>
          <t>Drip Irrigation</t>
        </is>
      </c>
      <c r="H58" s="52" t="inlineStr">
        <is>
          <t>Drip Irrigation Plot</t>
        </is>
      </c>
      <c r="I58" s="52" t="inlineStr">
        <is>
          <t>Emergency Food Security Project (EFSP) – WBK/AF-2</t>
        </is>
      </c>
      <c r="J58" s="52" t="inlineStr">
        <is>
          <t>East / Jalalabad</t>
        </is>
      </c>
      <c r="K58" s="52" t="inlineStr">
        <is>
          <t>Nuristan</t>
        </is>
      </c>
      <c r="L58" s="52" t="inlineStr">
        <is>
          <t>Barg-e-Matal</t>
        </is>
      </c>
      <c r="M58" s="52" t="inlineStr">
        <is>
          <t>Barg-e-Matal Sharqi</t>
        </is>
      </c>
      <c r="N58" s="52" t="inlineStr">
        <is>
          <t>World Bank (WBK/AF-2)</t>
        </is>
      </c>
      <c r="O58" s="52" t="inlineStr">
        <is>
          <t>Not awarded</t>
        </is>
      </c>
      <c r="P58" s="52" t="inlineStr">
        <is>
          <t>5. Drip Irrigation systems</t>
        </is>
      </c>
      <c r="Q58" s="52" t="inlineStr">
        <is>
          <t>Habibullah</t>
        </is>
      </c>
      <c r="R58" s="52" t="inlineStr"/>
      <c r="S58" s="53" t="n">
        <v>4194.9</v>
      </c>
      <c r="T58" s="46" t="inlineStr">
        <is>
          <t>IF(AQ58="","",AQ58)</t>
        </is>
      </c>
      <c r="U58" s="54" t="n">
        <v>46380</v>
      </c>
      <c r="V58" s="55" t="n">
        <v>4.9</v>
      </c>
      <c r="W58" s="54" t="n">
        <v>46530</v>
      </c>
      <c r="X58" s="46" t="inlineStr">
        <is>
          <t>IF(W58&lt;&gt;"",W58,IF(OR(T58="",V58=""),"",EDATE(T58,V58)))</t>
        </is>
      </c>
      <c r="Y58" s="54" t="n"/>
      <c r="Z58" s="55" t="n"/>
      <c r="AA58" s="52" t="inlineStr">
        <is>
          <t>Retendered (Re-ITB)</t>
        </is>
      </c>
      <c r="AB58" s="52" t="inlineStr">
        <is>
          <t>Five month construction period. No slack period considered for Laghman and Nagrahar and two months slack period for Kunar and Nuristan. '- | Farmer: Habibullah</t>
        </is>
      </c>
      <c r="AC58" s="42" t="inlineStr">
        <is>
          <t>IF(F58="","",IF(COUNT(AI58:AV58)=0,IF(AA58="","Not started",AA58),SUBSTITUTE(LOOKUP(2,1/(AI58:AV58&lt;&gt;""),$AI$3:$AV$3),"Date: ","")))</t>
        </is>
      </c>
      <c r="AD58" s="49" t="inlineStr">
        <is>
          <t>IF(OR(F58="",COUNT(AI58:AV58)=0),"",TODAY()-LOOKUP(2,1/(AI58:AV58&lt;&gt;""),AI58:AV58))</t>
        </is>
      </c>
      <c r="AE58" s="49" t="inlineStr">
        <is>
          <t>IF(OR(F58="",COUNT(AI58:AV58)&lt;2),"",LOOKUP(2,1/(AI58:AV58&lt;&gt;""),AI58:AV58)-MIN(AI58:AV58))</t>
        </is>
      </c>
      <c r="AF58" s="49" t="inlineStr">
        <is>
          <t>IF(OR(AD58="",AC58="Not started",AC58=""),"",IFERROR(AD58-IF(VLOOKUP(AC58,'06_Status_Pipeline'!$B$3:$E$20,4,FALSE)="",0,VLOOKUP(AC58,'06_Status_Pipeline'!$B$3:$E$20,4,FALSE)),""))</t>
        </is>
      </c>
      <c r="AG58" s="42" t="inlineStr">
        <is>
          <t>IF(F58="","",IF(OR(AA58="Cancelled",AC58="Cancelled"),"Cancelled",IF(OR(AC58="Completed / Handover",Y58&lt;&gt;"",Z58&gt;=100),"Completed — on track",IF(O58="Not awarded",IF(U58="",IF(X58="","No planned date",IF(TODAY()&gt;X58,"Behind — past planned date",IF(X58-TODAY()&lt;=30,"At risk — close to off track","On track"))),IF(TODAY()&gt;U58,"Behind — award date passed",IF(U58-TODAY()&lt;=30,"At risk — close to off track","On track"))),IF(X58="","No planned date",IF(AND(TODAY()&gt;X58,OR(Z58="",Z58&lt;100)),"Behind — past end date",IF(AND(T58&lt;&gt;"",X58&lt;&gt;"",Z58&lt;&gt;"",(Z58&lt;100),((TODAY()-T58)/MAX(X58-T58,1)*100)-Z58&gt;15),"Behind — progress lag",IF(AND(X58-TODAY()&lt;=30,X58-TODAY()&gt;=0,OR(Z58="",Z58&lt;90)),"At risk — close to off track","On track"))))))))</t>
        </is>
      </c>
      <c r="AH58" s="49" t="inlineStr">
        <is>
          <t>IF(OR(F58="",AC58="Completed / Handover",AC58="Cancelled"),"",IF(O58="Not awarded",IF(U58&lt;&gt;"",U58-TODAY(),IF(X58="","",X58-TODAY())),IF(X58="","",X58-TODAY())))</t>
        </is>
      </c>
      <c r="AI58" s="54" t="n"/>
      <c r="AJ58" s="54" t="n"/>
      <c r="AK58" s="54" t="n"/>
      <c r="AL58" s="54" t="n"/>
      <c r="AM58" s="54" t="n"/>
      <c r="AN58" s="54" t="n"/>
      <c r="AO58" s="54" t="n"/>
      <c r="AP58" s="54" t="n"/>
      <c r="AQ58" s="54" t="n"/>
      <c r="AR58" s="54" t="n"/>
      <c r="AS58" s="54" t="n"/>
      <c r="AT58" s="50" t="n"/>
      <c r="AU58" s="50" t="n"/>
      <c r="AV58" s="50" t="n"/>
      <c r="AW58" s="49" t="inlineStr">
        <is>
          <t>IF(OR(F58="",AJ58=""),"",IF(COUNT(AI58:AI58)=0,"",AJ58-LOOKUP(2,1/(AI58:AI58&lt;&gt;""),AI58:AI58)))</t>
        </is>
      </c>
      <c r="AX58" s="49" t="inlineStr">
        <is>
          <t>IF(OR(F58="",AK58=""),"",IF(COUNT(AI58:AJ58)=0,"",AK58-LOOKUP(2,1/(AI58:AJ58&lt;&gt;""),AI58:AJ58)))</t>
        </is>
      </c>
      <c r="AY58" s="49" t="inlineStr">
        <is>
          <t>IF(OR(F58="",AL58=""),"",IF(COUNT(AI58:AK58)=0,"",AL58-LOOKUP(2,1/(AI58:AK58&lt;&gt;""),AI58:AK58)))</t>
        </is>
      </c>
      <c r="AZ58" s="49" t="inlineStr">
        <is>
          <t>IF(OR(F58="",AM58=""),"",IF(COUNT(AI58:AL58)=0,"",AM58-LOOKUP(2,1/(AI58:AL58&lt;&gt;""),AI58:AL58)))</t>
        </is>
      </c>
      <c r="BA58" s="49" t="inlineStr">
        <is>
          <t>IF(OR(F58="",AN58=""),"",IF(COUNT(AI58:AM58)=0,"",AN58-LOOKUP(2,1/(AI58:AM58&lt;&gt;""),AI58:AM58)))</t>
        </is>
      </c>
      <c r="BB58" s="49" t="inlineStr">
        <is>
          <t>IF(OR(F58="",AO58=""),"",IF(COUNT(AI58:AN58)=0,"",AO58-LOOKUP(2,1/(AI58:AN58&lt;&gt;""),AI58:AN58)))</t>
        </is>
      </c>
      <c r="BC58" s="49" t="inlineStr">
        <is>
          <t>IF(OR(F58="",AP58=""),"",IF(COUNT(AI58:AO58)=0,"",AP58-LOOKUP(2,1/(AI58:AO58&lt;&gt;""),AI58:AO58)))</t>
        </is>
      </c>
      <c r="BD58" s="49" t="inlineStr">
        <is>
          <t>IF(OR(F58="",AQ58=""),"",IF(COUNT(AI58:AP58)=0,"",AQ58-LOOKUP(2,1/(AI58:AP58&lt;&gt;""),AI58:AP58)))</t>
        </is>
      </c>
      <c r="BE58" s="49" t="inlineStr">
        <is>
          <t>IF(OR(F58="",AR58=""),"",IF(COUNT(AI58:AQ58)=0,"",AR58-LOOKUP(2,1/(AI58:AQ58&lt;&gt;""),AI58:AQ58)))</t>
        </is>
      </c>
      <c r="BF58" s="49" t="inlineStr">
        <is>
          <t>IF(OR(F58="",AS58=""),"",IF(COUNT(AI58:AR58)=0,"",AS58-LOOKUP(2,1/(AI58:AR58&lt;&gt;""),AI58:AR58)))</t>
        </is>
      </c>
      <c r="BG58" s="49" t="inlineStr">
        <is>
          <t>IF(OR(F58="",AT58=""),"",IF(COUNT(AI58:AS58)=0,"",AT58-LOOKUP(2,1/(AI58:AS58&lt;&gt;""),AI58:AS58)))</t>
        </is>
      </c>
      <c r="BH58" s="49" t="inlineStr">
        <is>
          <t>IF(OR(F58="",AU58=""),"",IF(COUNT(AI58:AT58)=0,"",AU58-LOOKUP(2,1/(AI58:AT58&lt;&gt;""),AI58:AT58)))</t>
        </is>
      </c>
      <c r="BI58" s="49" t="inlineStr">
        <is>
          <t>IF(OR(F58="",AV58=""),"",IF(COUNT(AI58:AU58)=0,"",AV58-LOOKUP(2,1/(AI58:AU58&lt;&gt;""),AI58:AU58)))</t>
        </is>
      </c>
      <c r="BJ58" s="51" t="inlineStr">
        <is>
          <t>IF(J58="","All_Provinces",IFERROR(VLOOKUP(J58,'09_Lookups'!$A$4:$B$20,2,FALSE),"All_Provinces"))</t>
        </is>
      </c>
      <c r="BK58" s="51" t="inlineStr">
        <is>
          <t>IF(K58="","All_Districts",IFERROR(VLOOKUP(K58,'09_Lookups'!$E$4:$F$42,2,FALSE),"All_Districts"))</t>
        </is>
      </c>
    </row>
    <row r="59" outlineLevel="1" ht="18" customHeight="1">
      <c r="A59" s="42" t="inlineStr">
        <is>
          <t>IF(F59="","",ROW()-3)</t>
        </is>
      </c>
      <c r="B59" s="65" t="inlineStr">
        <is>
          <t>AF2-DIS-02A</t>
        </is>
      </c>
      <c r="C59"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59" s="65" t="inlineStr">
        <is>
          <t>3 of 12</t>
        </is>
      </c>
      <c r="E59" s="44" t="inlineStr">
        <is>
          <t>AF2-DIS-N-017</t>
        </is>
      </c>
      <c r="F59" s="44" t="inlineStr">
        <is>
          <t>11.Surkhrood Drip irrigation Site</t>
        </is>
      </c>
      <c r="G59" s="44" t="inlineStr">
        <is>
          <t>Drip Irrigation</t>
        </is>
      </c>
      <c r="H59" s="44" t="inlineStr">
        <is>
          <t>Drip Irrigation Plot</t>
        </is>
      </c>
      <c r="I59" s="44" t="inlineStr">
        <is>
          <t>Emergency Food Security Project (EFSP) – WBK/AF-2</t>
        </is>
      </c>
      <c r="J59" s="44" t="inlineStr">
        <is>
          <t>East / Jalalabad</t>
        </is>
      </c>
      <c r="K59" s="44" t="inlineStr">
        <is>
          <t>Nangarhar</t>
        </is>
      </c>
      <c r="L59" s="44" t="inlineStr">
        <is>
          <t>Sorkhrud</t>
        </is>
      </c>
      <c r="M59" s="44" t="inlineStr">
        <is>
          <t>Fatih Abad</t>
        </is>
      </c>
      <c r="N59" s="44" t="inlineStr">
        <is>
          <t>World Bank (WBK/AF-2)</t>
        </is>
      </c>
      <c r="O59" s="44" t="inlineStr">
        <is>
          <t>Not awarded</t>
        </is>
      </c>
      <c r="P59" s="44" t="inlineStr">
        <is>
          <t>5. Drip Irrigation systems</t>
        </is>
      </c>
      <c r="Q59" s="44" t="inlineStr">
        <is>
          <t>Ehsanullah</t>
        </is>
      </c>
      <c r="R59" s="44" t="inlineStr"/>
      <c r="S59" s="45" t="n">
        <v>4831.74</v>
      </c>
      <c r="T59" s="46" t="inlineStr">
        <is>
          <t>IF(AQ59="","",AQ59)</t>
        </is>
      </c>
      <c r="U59" s="47" t="n">
        <v>46380</v>
      </c>
      <c r="V59" s="48" t="n">
        <v>4.9</v>
      </c>
      <c r="W59" s="47" t="n">
        <v>46530</v>
      </c>
      <c r="X59" s="46" t="inlineStr">
        <is>
          <t>IF(W59&lt;&gt;"",W59,IF(OR(T59="",V59=""),"",EDATE(T59,V59)))</t>
        </is>
      </c>
      <c r="Y59" s="47" t="n"/>
      <c r="Z59" s="48" t="n"/>
      <c r="AA59" s="44" t="inlineStr">
        <is>
          <t>Retendered (Re-ITB)</t>
        </is>
      </c>
      <c r="AB59" s="44" t="inlineStr">
        <is>
          <t>Five month construction period. No slack period considered for Laghman and Nagrahar and two months slack period for Kunar and Nuristan. '- | Farmer: Ehsanullah</t>
        </is>
      </c>
      <c r="AC59" s="42" t="inlineStr">
        <is>
          <t>IF(F59="","",IF(COUNT(AI59:AV59)=0,IF(AA59="","Not started",AA59),SUBSTITUTE(LOOKUP(2,1/(AI59:AV59&lt;&gt;""),$AI$3:$AV$3),"Date: ","")))</t>
        </is>
      </c>
      <c r="AD59" s="49" t="inlineStr">
        <is>
          <t>IF(OR(F59="",COUNT(AI59:AV59)=0),"",TODAY()-LOOKUP(2,1/(AI59:AV59&lt;&gt;""),AI59:AV59))</t>
        </is>
      </c>
      <c r="AE59" s="49" t="inlineStr">
        <is>
          <t>IF(OR(F59="",COUNT(AI59:AV59)&lt;2),"",LOOKUP(2,1/(AI59:AV59&lt;&gt;""),AI59:AV59)-MIN(AI59:AV59))</t>
        </is>
      </c>
      <c r="AF59" s="49" t="inlineStr">
        <is>
          <t>IF(OR(AD59="",AC59="Not started",AC59=""),"",IFERROR(AD59-IF(VLOOKUP(AC59,'06_Status_Pipeline'!$B$3:$E$20,4,FALSE)="",0,VLOOKUP(AC59,'06_Status_Pipeline'!$B$3:$E$20,4,FALSE)),""))</t>
        </is>
      </c>
      <c r="AG59" s="42" t="inlineStr">
        <is>
          <t>IF(F59="","",IF(OR(AA59="Cancelled",AC59="Cancelled"),"Cancelled",IF(OR(AC59="Completed / Handover",Y59&lt;&gt;"",Z59&gt;=100),"Completed — on track",IF(O59="Not awarded",IF(U59="",IF(X59="","No planned date",IF(TODAY()&gt;X59,"Behind — past planned date",IF(X59-TODAY()&lt;=30,"At risk — close to off track","On track"))),IF(TODAY()&gt;U59,"Behind — award date passed",IF(U59-TODAY()&lt;=30,"At risk — close to off track","On track"))),IF(X59="","No planned date",IF(AND(TODAY()&gt;X59,OR(Z59="",Z59&lt;100)),"Behind — past end date",IF(AND(T59&lt;&gt;"",X59&lt;&gt;"",Z59&lt;&gt;"",(Z59&lt;100),((TODAY()-T59)/MAX(X59-T59,1)*100)-Z59&gt;15),"Behind — progress lag",IF(AND(X59-TODAY()&lt;=30,X59-TODAY()&gt;=0,OR(Z59="",Z59&lt;90)),"At risk — close to off track","On track"))))))))</t>
        </is>
      </c>
      <c r="AH59" s="49" t="inlineStr">
        <is>
          <t>IF(OR(F59="",AC59="Completed / Handover",AC59="Cancelled"),"",IF(O59="Not awarded",IF(U59&lt;&gt;"",U59-TODAY(),IF(X59="","",X59-TODAY())),IF(X59="","",X59-TODAY())))</t>
        </is>
      </c>
      <c r="AI59" s="47" t="n"/>
      <c r="AJ59" s="47" t="n"/>
      <c r="AK59" s="47" t="n"/>
      <c r="AL59" s="47" t="n"/>
      <c r="AM59" s="47" t="n"/>
      <c r="AN59" s="47" t="n"/>
      <c r="AO59" s="47" t="n"/>
      <c r="AP59" s="47" t="n"/>
      <c r="AQ59" s="47" t="n"/>
      <c r="AR59" s="47" t="n"/>
      <c r="AS59" s="47" t="n"/>
      <c r="AT59" s="50" t="n"/>
      <c r="AU59" s="50" t="n"/>
      <c r="AV59" s="50" t="n"/>
      <c r="AW59" s="49" t="inlineStr">
        <is>
          <t>IF(OR(F59="",AJ59=""),"",IF(COUNT(AI59:AI59)=0,"",AJ59-LOOKUP(2,1/(AI59:AI59&lt;&gt;""),AI59:AI59)))</t>
        </is>
      </c>
      <c r="AX59" s="49" t="inlineStr">
        <is>
          <t>IF(OR(F59="",AK59=""),"",IF(COUNT(AI59:AJ59)=0,"",AK59-LOOKUP(2,1/(AI59:AJ59&lt;&gt;""),AI59:AJ59)))</t>
        </is>
      </c>
      <c r="AY59" s="49" t="inlineStr">
        <is>
          <t>IF(OR(F59="",AL59=""),"",IF(COUNT(AI59:AK59)=0,"",AL59-LOOKUP(2,1/(AI59:AK59&lt;&gt;""),AI59:AK59)))</t>
        </is>
      </c>
      <c r="AZ59" s="49" t="inlineStr">
        <is>
          <t>IF(OR(F59="",AM59=""),"",IF(COUNT(AI59:AL59)=0,"",AM59-LOOKUP(2,1/(AI59:AL59&lt;&gt;""),AI59:AL59)))</t>
        </is>
      </c>
      <c r="BA59" s="49" t="inlineStr">
        <is>
          <t>IF(OR(F59="",AN59=""),"",IF(COUNT(AI59:AM59)=0,"",AN59-LOOKUP(2,1/(AI59:AM59&lt;&gt;""),AI59:AM59)))</t>
        </is>
      </c>
      <c r="BB59" s="49" t="inlineStr">
        <is>
          <t>IF(OR(F59="",AO59=""),"",IF(COUNT(AI59:AN59)=0,"",AO59-LOOKUP(2,1/(AI59:AN59&lt;&gt;""),AI59:AN59)))</t>
        </is>
      </c>
      <c r="BC59" s="49" t="inlineStr">
        <is>
          <t>IF(OR(F59="",AP59=""),"",IF(COUNT(AI59:AO59)=0,"",AP59-LOOKUP(2,1/(AI59:AO59&lt;&gt;""),AI59:AO59)))</t>
        </is>
      </c>
      <c r="BD59" s="49" t="inlineStr">
        <is>
          <t>IF(OR(F59="",AQ59=""),"",IF(COUNT(AI59:AP59)=0,"",AQ59-LOOKUP(2,1/(AI59:AP59&lt;&gt;""),AI59:AP59)))</t>
        </is>
      </c>
      <c r="BE59" s="49" t="inlineStr">
        <is>
          <t>IF(OR(F59="",AR59=""),"",IF(COUNT(AI59:AQ59)=0,"",AR59-LOOKUP(2,1/(AI59:AQ59&lt;&gt;""),AI59:AQ59)))</t>
        </is>
      </c>
      <c r="BF59" s="49" t="inlineStr">
        <is>
          <t>IF(OR(F59="",AS59=""),"",IF(COUNT(AI59:AR59)=0,"",AS59-LOOKUP(2,1/(AI59:AR59&lt;&gt;""),AI59:AR59)))</t>
        </is>
      </c>
      <c r="BG59" s="49" t="inlineStr">
        <is>
          <t>IF(OR(F59="",AT59=""),"",IF(COUNT(AI59:AS59)=0,"",AT59-LOOKUP(2,1/(AI59:AS59&lt;&gt;""),AI59:AS59)))</t>
        </is>
      </c>
      <c r="BH59" s="49" t="inlineStr">
        <is>
          <t>IF(OR(F59="",AU59=""),"",IF(COUNT(AI59:AT59)=0,"",AU59-LOOKUP(2,1/(AI59:AT59&lt;&gt;""),AI59:AT59)))</t>
        </is>
      </c>
      <c r="BI59" s="49" t="inlineStr">
        <is>
          <t>IF(OR(F59="",AV59=""),"",IF(COUNT(AI59:AU59)=0,"",AV59-LOOKUP(2,1/(AI59:AU59&lt;&gt;""),AI59:AU59)))</t>
        </is>
      </c>
      <c r="BJ59" s="51" t="inlineStr">
        <is>
          <t>IF(J59="","All_Provinces",IFERROR(VLOOKUP(J59,'09_Lookups'!$A$4:$B$20,2,FALSE),"All_Provinces"))</t>
        </is>
      </c>
      <c r="BK59" s="51" t="inlineStr">
        <is>
          <t>IF(K59="","All_Districts",IFERROR(VLOOKUP(K59,'09_Lookups'!$E$4:$F$42,2,FALSE),"All_Districts"))</t>
        </is>
      </c>
    </row>
    <row r="60" outlineLevel="1" ht="18" customHeight="1">
      <c r="A60" s="42" t="inlineStr">
        <is>
          <t>IF(F60="","",ROW()-3)</t>
        </is>
      </c>
      <c r="B60" s="65" t="inlineStr">
        <is>
          <t>AF2-DIS-02A</t>
        </is>
      </c>
      <c r="C60"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0" s="65" t="inlineStr">
        <is>
          <t>4 of 12</t>
        </is>
      </c>
      <c r="E60" s="52" t="inlineStr">
        <is>
          <t>AF2-DIS-N-018</t>
        </is>
      </c>
      <c r="F60" s="52" t="inlineStr">
        <is>
          <t>12.Khewa Drip irrigation Site</t>
        </is>
      </c>
      <c r="G60" s="52" t="inlineStr">
        <is>
          <t>Drip Irrigation</t>
        </is>
      </c>
      <c r="H60" s="52" t="inlineStr">
        <is>
          <t>Drip Irrigation Plot</t>
        </is>
      </c>
      <c r="I60" s="52" t="inlineStr">
        <is>
          <t>Emergency Food Security Project (EFSP) – WBK/AF-2</t>
        </is>
      </c>
      <c r="J60" s="52" t="inlineStr">
        <is>
          <t>East / Jalalabad</t>
        </is>
      </c>
      <c r="K60" s="52" t="inlineStr">
        <is>
          <t>Nangarhar</t>
        </is>
      </c>
      <c r="L60" s="52" t="inlineStr">
        <is>
          <t>Khewa</t>
        </is>
      </c>
      <c r="M60" s="52" t="inlineStr">
        <is>
          <t>Sarjal</t>
        </is>
      </c>
      <c r="N60" s="52" t="inlineStr">
        <is>
          <t>World Bank (WBK/AF-2)</t>
        </is>
      </c>
      <c r="O60" s="52" t="inlineStr">
        <is>
          <t>Not awarded</t>
        </is>
      </c>
      <c r="P60" s="52" t="inlineStr">
        <is>
          <t>5. Drip Irrigation systems</t>
        </is>
      </c>
      <c r="Q60" s="52" t="inlineStr">
        <is>
          <t>Ramin</t>
        </is>
      </c>
      <c r="R60" s="52" t="inlineStr"/>
      <c r="S60" s="53" t="n">
        <v>3562.46</v>
      </c>
      <c r="T60" s="46" t="inlineStr">
        <is>
          <t>IF(AQ60="","",AQ60)</t>
        </is>
      </c>
      <c r="U60" s="54" t="n">
        <v>46380</v>
      </c>
      <c r="V60" s="55" t="n">
        <v>4.9</v>
      </c>
      <c r="W60" s="54" t="n">
        <v>46530</v>
      </c>
      <c r="X60" s="46" t="inlineStr">
        <is>
          <t>IF(W60&lt;&gt;"",W60,IF(OR(T60="",V60=""),"",EDATE(T60,V60)))</t>
        </is>
      </c>
      <c r="Y60" s="54" t="n"/>
      <c r="Z60" s="55" t="n"/>
      <c r="AA60" s="52" t="inlineStr">
        <is>
          <t>Retendered (Re-ITB)</t>
        </is>
      </c>
      <c r="AB60" s="52" t="inlineStr">
        <is>
          <t>Five month construction period. No slack period considered for Laghman and Nagrahar and two months slack period for Kunar and Nuristan. '- | Farmer: Ramin</t>
        </is>
      </c>
      <c r="AC60" s="42" t="inlineStr">
        <is>
          <t>IF(F60="","",IF(COUNT(AI60:AV60)=0,IF(AA60="","Not started",AA60),SUBSTITUTE(LOOKUP(2,1/(AI60:AV60&lt;&gt;""),$AI$3:$AV$3),"Date: ","")))</t>
        </is>
      </c>
      <c r="AD60" s="49" t="inlineStr">
        <is>
          <t>IF(OR(F60="",COUNT(AI60:AV60)=0),"",TODAY()-LOOKUP(2,1/(AI60:AV60&lt;&gt;""),AI60:AV60))</t>
        </is>
      </c>
      <c r="AE60" s="49" t="inlineStr">
        <is>
          <t>IF(OR(F60="",COUNT(AI60:AV60)&lt;2),"",LOOKUP(2,1/(AI60:AV60&lt;&gt;""),AI60:AV60)-MIN(AI60:AV60))</t>
        </is>
      </c>
      <c r="AF60" s="49" t="inlineStr">
        <is>
          <t>IF(OR(AD60="",AC60="Not started",AC60=""),"",IFERROR(AD60-IF(VLOOKUP(AC60,'06_Status_Pipeline'!$B$3:$E$20,4,FALSE)="",0,VLOOKUP(AC60,'06_Status_Pipeline'!$B$3:$E$20,4,FALSE)),""))</t>
        </is>
      </c>
      <c r="AG60" s="42" t="inlineStr">
        <is>
          <t>IF(F60="","",IF(OR(AA60="Cancelled",AC60="Cancelled"),"Cancelled",IF(OR(AC60="Completed / Handover",Y60&lt;&gt;"",Z60&gt;=100),"Completed — on track",IF(O60="Not awarded",IF(U60="",IF(X60="","No planned date",IF(TODAY()&gt;X60,"Behind — past planned date",IF(X60-TODAY()&lt;=30,"At risk — close to off track","On track"))),IF(TODAY()&gt;U60,"Behind — award date passed",IF(U60-TODAY()&lt;=30,"At risk — close to off track","On track"))),IF(X60="","No planned date",IF(AND(TODAY()&gt;X60,OR(Z60="",Z60&lt;100)),"Behind — past end date",IF(AND(T60&lt;&gt;"",X60&lt;&gt;"",Z60&lt;&gt;"",(Z60&lt;100),((TODAY()-T60)/MAX(X60-T60,1)*100)-Z60&gt;15),"Behind — progress lag",IF(AND(X60-TODAY()&lt;=30,X60-TODAY()&gt;=0,OR(Z60="",Z60&lt;90)),"At risk — close to off track","On track"))))))))</t>
        </is>
      </c>
      <c r="AH60" s="49" t="inlineStr">
        <is>
          <t>IF(OR(F60="",AC60="Completed / Handover",AC60="Cancelled"),"",IF(O60="Not awarded",IF(U60&lt;&gt;"",U60-TODAY(),IF(X60="","",X60-TODAY())),IF(X60="","",X60-TODAY())))</t>
        </is>
      </c>
      <c r="AI60" s="54" t="n"/>
      <c r="AJ60" s="54" t="n"/>
      <c r="AK60" s="54" t="n"/>
      <c r="AL60" s="54" t="n"/>
      <c r="AM60" s="54" t="n"/>
      <c r="AN60" s="54" t="n"/>
      <c r="AO60" s="54" t="n"/>
      <c r="AP60" s="54" t="n"/>
      <c r="AQ60" s="54" t="n"/>
      <c r="AR60" s="54" t="n"/>
      <c r="AS60" s="54" t="n"/>
      <c r="AT60" s="50" t="n"/>
      <c r="AU60" s="50" t="n"/>
      <c r="AV60" s="50" t="n"/>
      <c r="AW60" s="49" t="inlineStr">
        <is>
          <t>IF(OR(F60="",AJ60=""),"",IF(COUNT(AI60:AI60)=0,"",AJ60-LOOKUP(2,1/(AI60:AI60&lt;&gt;""),AI60:AI60)))</t>
        </is>
      </c>
      <c r="AX60" s="49" t="inlineStr">
        <is>
          <t>IF(OR(F60="",AK60=""),"",IF(COUNT(AI60:AJ60)=0,"",AK60-LOOKUP(2,1/(AI60:AJ60&lt;&gt;""),AI60:AJ60)))</t>
        </is>
      </c>
      <c r="AY60" s="49" t="inlineStr">
        <is>
          <t>IF(OR(F60="",AL60=""),"",IF(COUNT(AI60:AK60)=0,"",AL60-LOOKUP(2,1/(AI60:AK60&lt;&gt;""),AI60:AK60)))</t>
        </is>
      </c>
      <c r="AZ60" s="49" t="inlineStr">
        <is>
          <t>IF(OR(F60="",AM60=""),"",IF(COUNT(AI60:AL60)=0,"",AM60-LOOKUP(2,1/(AI60:AL60&lt;&gt;""),AI60:AL60)))</t>
        </is>
      </c>
      <c r="BA60" s="49" t="inlineStr">
        <is>
          <t>IF(OR(F60="",AN60=""),"",IF(COUNT(AI60:AM60)=0,"",AN60-LOOKUP(2,1/(AI60:AM60&lt;&gt;""),AI60:AM60)))</t>
        </is>
      </c>
      <c r="BB60" s="49" t="inlineStr">
        <is>
          <t>IF(OR(F60="",AO60=""),"",IF(COUNT(AI60:AN60)=0,"",AO60-LOOKUP(2,1/(AI60:AN60&lt;&gt;""),AI60:AN60)))</t>
        </is>
      </c>
      <c r="BC60" s="49" t="inlineStr">
        <is>
          <t>IF(OR(F60="",AP60=""),"",IF(COUNT(AI60:AO60)=0,"",AP60-LOOKUP(2,1/(AI60:AO60&lt;&gt;""),AI60:AO60)))</t>
        </is>
      </c>
      <c r="BD60" s="49" t="inlineStr">
        <is>
          <t>IF(OR(F60="",AQ60=""),"",IF(COUNT(AI60:AP60)=0,"",AQ60-LOOKUP(2,1/(AI60:AP60&lt;&gt;""),AI60:AP60)))</t>
        </is>
      </c>
      <c r="BE60" s="49" t="inlineStr">
        <is>
          <t>IF(OR(F60="",AR60=""),"",IF(COUNT(AI60:AQ60)=0,"",AR60-LOOKUP(2,1/(AI60:AQ60&lt;&gt;""),AI60:AQ60)))</t>
        </is>
      </c>
      <c r="BF60" s="49" t="inlineStr">
        <is>
          <t>IF(OR(F60="",AS60=""),"",IF(COUNT(AI60:AR60)=0,"",AS60-LOOKUP(2,1/(AI60:AR60&lt;&gt;""),AI60:AR60)))</t>
        </is>
      </c>
      <c r="BG60" s="49" t="inlineStr">
        <is>
          <t>IF(OR(F60="",AT60=""),"",IF(COUNT(AI60:AS60)=0,"",AT60-LOOKUP(2,1/(AI60:AS60&lt;&gt;""),AI60:AS60)))</t>
        </is>
      </c>
      <c r="BH60" s="49" t="inlineStr">
        <is>
          <t>IF(OR(F60="",AU60=""),"",IF(COUNT(AI60:AT60)=0,"",AU60-LOOKUP(2,1/(AI60:AT60&lt;&gt;""),AI60:AT60)))</t>
        </is>
      </c>
      <c r="BI60" s="49" t="inlineStr">
        <is>
          <t>IF(OR(F60="",AV60=""),"",IF(COUNT(AI60:AU60)=0,"",AV60-LOOKUP(2,1/(AI60:AU60&lt;&gt;""),AI60:AU60)))</t>
        </is>
      </c>
      <c r="BJ60" s="51" t="inlineStr">
        <is>
          <t>IF(J60="","All_Provinces",IFERROR(VLOOKUP(J60,'09_Lookups'!$A$4:$B$20,2,FALSE),"All_Provinces"))</t>
        </is>
      </c>
      <c r="BK60" s="51" t="inlineStr">
        <is>
          <t>IF(K60="","All_Districts",IFERROR(VLOOKUP(K60,'09_Lookups'!$E$4:$F$42,2,FALSE),"All_Districts"))</t>
        </is>
      </c>
    </row>
    <row r="61" outlineLevel="1" ht="18" customHeight="1">
      <c r="A61" s="42" t="inlineStr">
        <is>
          <t>IF(F61="","",ROW()-3)</t>
        </is>
      </c>
      <c r="B61" s="65" t="inlineStr">
        <is>
          <t>AF2-DIS-02A</t>
        </is>
      </c>
      <c r="C61"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1" s="65" t="inlineStr">
        <is>
          <t>5 of 12</t>
        </is>
      </c>
      <c r="E61" s="44" t="inlineStr">
        <is>
          <t>AF2-DIS-N-019</t>
        </is>
      </c>
      <c r="F61" s="44" t="inlineStr">
        <is>
          <t>2. Abdul Raqib drip Irrigation Scheme</t>
        </is>
      </c>
      <c r="G61" s="44" t="inlineStr">
        <is>
          <t>Drip Irrigation</t>
        </is>
      </c>
      <c r="H61" s="44" t="inlineStr">
        <is>
          <t>Drip Irrigation Plot</t>
        </is>
      </c>
      <c r="I61" s="44" t="inlineStr">
        <is>
          <t>Emergency Food Security Project (EFSP) – WBK/AF-2</t>
        </is>
      </c>
      <c r="J61" s="44" t="inlineStr">
        <is>
          <t>East / Jalalabad</t>
        </is>
      </c>
      <c r="K61" s="44" t="inlineStr">
        <is>
          <t>Nangarhar</t>
        </is>
      </c>
      <c r="L61" s="44" t="inlineStr">
        <is>
          <t>Pacheragam</t>
        </is>
      </c>
      <c r="M61" s="44" t="inlineStr">
        <is>
          <t>Landi Khil</t>
        </is>
      </c>
      <c r="N61" s="44" t="inlineStr">
        <is>
          <t>World Bank (WBK/AF-2)</t>
        </is>
      </c>
      <c r="O61" s="44" t="inlineStr">
        <is>
          <t>Not awarded</t>
        </is>
      </c>
      <c r="P61" s="44" t="inlineStr">
        <is>
          <t>5. Drip Irrigation systems</t>
        </is>
      </c>
      <c r="Q61" s="44" t="inlineStr">
        <is>
          <t>Abdur Raqeeb</t>
        </is>
      </c>
      <c r="R61" s="44" t="inlineStr"/>
      <c r="S61" s="45" t="n"/>
      <c r="T61" s="46" t="inlineStr">
        <is>
          <t>IF(AQ61="","",AQ61)</t>
        </is>
      </c>
      <c r="U61" s="47" t="n">
        <v>46380</v>
      </c>
      <c r="V61" s="48" t="n">
        <v>4.9</v>
      </c>
      <c r="W61" s="47" t="n">
        <v>46530</v>
      </c>
      <c r="X61" s="46" t="inlineStr">
        <is>
          <t>IF(W61&lt;&gt;"",W61,IF(OR(T61="",V61=""),"",EDATE(T61,V61)))</t>
        </is>
      </c>
      <c r="Y61" s="47" t="n"/>
      <c r="Z61" s="48" t="n"/>
      <c r="AA61" s="44" t="inlineStr">
        <is>
          <t>Retendered (Re-ITB)</t>
        </is>
      </c>
      <c r="AB61" s="44" t="inlineStr">
        <is>
          <t>Five month construction period. No slack period considered for Laghman and Nagrahar and two months slack period for Kunar and Nuristan. '- | Farmer: Abdur Raqeeb</t>
        </is>
      </c>
      <c r="AC61" s="42" t="inlineStr">
        <is>
          <t>IF(F61="","",IF(COUNT(AI61:AV61)=0,IF(AA61="","Not started",AA61),SUBSTITUTE(LOOKUP(2,1/(AI61:AV61&lt;&gt;""),$AI$3:$AV$3),"Date: ","")))</t>
        </is>
      </c>
      <c r="AD61" s="49" t="inlineStr">
        <is>
          <t>IF(OR(F61="",COUNT(AI61:AV61)=0),"",TODAY()-LOOKUP(2,1/(AI61:AV61&lt;&gt;""),AI61:AV61))</t>
        </is>
      </c>
      <c r="AE61" s="49" t="inlineStr">
        <is>
          <t>IF(OR(F61="",COUNT(AI61:AV61)&lt;2),"",LOOKUP(2,1/(AI61:AV61&lt;&gt;""),AI61:AV61)-MIN(AI61:AV61))</t>
        </is>
      </c>
      <c r="AF61" s="49" t="inlineStr">
        <is>
          <t>IF(OR(AD61="",AC61="Not started",AC61=""),"",IFERROR(AD61-IF(VLOOKUP(AC61,'06_Status_Pipeline'!$B$3:$E$20,4,FALSE)="",0,VLOOKUP(AC61,'06_Status_Pipeline'!$B$3:$E$20,4,FALSE)),""))</t>
        </is>
      </c>
      <c r="AG61" s="42" t="inlineStr">
        <is>
          <t>IF(F61="","",IF(OR(AA61="Cancelled",AC61="Cancelled"),"Cancelled",IF(OR(AC61="Completed / Handover",Y61&lt;&gt;"",Z61&gt;=100),"Completed — on track",IF(O61="Not awarded",IF(U61="",IF(X61="","No planned date",IF(TODAY()&gt;X61,"Behind — past planned date",IF(X61-TODAY()&lt;=30,"At risk — close to off track","On track"))),IF(TODAY()&gt;U61,"Behind — award date passed",IF(U61-TODAY()&lt;=30,"At risk — close to off track","On track"))),IF(X61="","No planned date",IF(AND(TODAY()&gt;X61,OR(Z61="",Z61&lt;100)),"Behind — past end date",IF(AND(T61&lt;&gt;"",X61&lt;&gt;"",Z61&lt;&gt;"",(Z61&lt;100),((TODAY()-T61)/MAX(X61-T61,1)*100)-Z61&gt;15),"Behind — progress lag",IF(AND(X61-TODAY()&lt;=30,X61-TODAY()&gt;=0,OR(Z61="",Z61&lt;90)),"At risk — close to off track","On track"))))))))</t>
        </is>
      </c>
      <c r="AH61" s="49" t="inlineStr">
        <is>
          <t>IF(OR(F61="",AC61="Completed / Handover",AC61="Cancelled"),"",IF(O61="Not awarded",IF(U61&lt;&gt;"",U61-TODAY(),IF(X61="","",X61-TODAY())),IF(X61="","",X61-TODAY())))</t>
        </is>
      </c>
      <c r="AI61" s="47" t="n"/>
      <c r="AJ61" s="47" t="n"/>
      <c r="AK61" s="47" t="n"/>
      <c r="AL61" s="47" t="n"/>
      <c r="AM61" s="47" t="n"/>
      <c r="AN61" s="47" t="n"/>
      <c r="AO61" s="47" t="n"/>
      <c r="AP61" s="47" t="n"/>
      <c r="AQ61" s="47" t="n"/>
      <c r="AR61" s="47" t="n"/>
      <c r="AS61" s="47" t="n"/>
      <c r="AT61" s="50" t="n"/>
      <c r="AU61" s="50" t="n"/>
      <c r="AV61" s="50" t="n"/>
      <c r="AW61" s="49" t="inlineStr">
        <is>
          <t>IF(OR(F61="",AJ61=""),"",IF(COUNT(AI61:AI61)=0,"",AJ61-LOOKUP(2,1/(AI61:AI61&lt;&gt;""),AI61:AI61)))</t>
        </is>
      </c>
      <c r="AX61" s="49" t="inlineStr">
        <is>
          <t>IF(OR(F61="",AK61=""),"",IF(COUNT(AI61:AJ61)=0,"",AK61-LOOKUP(2,1/(AI61:AJ61&lt;&gt;""),AI61:AJ61)))</t>
        </is>
      </c>
      <c r="AY61" s="49" t="inlineStr">
        <is>
          <t>IF(OR(F61="",AL61=""),"",IF(COUNT(AI61:AK61)=0,"",AL61-LOOKUP(2,1/(AI61:AK61&lt;&gt;""),AI61:AK61)))</t>
        </is>
      </c>
      <c r="AZ61" s="49" t="inlineStr">
        <is>
          <t>IF(OR(F61="",AM61=""),"",IF(COUNT(AI61:AL61)=0,"",AM61-LOOKUP(2,1/(AI61:AL61&lt;&gt;""),AI61:AL61)))</t>
        </is>
      </c>
      <c r="BA61" s="49" t="inlineStr">
        <is>
          <t>IF(OR(F61="",AN61=""),"",IF(COUNT(AI61:AM61)=0,"",AN61-LOOKUP(2,1/(AI61:AM61&lt;&gt;""),AI61:AM61)))</t>
        </is>
      </c>
      <c r="BB61" s="49" t="inlineStr">
        <is>
          <t>IF(OR(F61="",AO61=""),"",IF(COUNT(AI61:AN61)=0,"",AO61-LOOKUP(2,1/(AI61:AN61&lt;&gt;""),AI61:AN61)))</t>
        </is>
      </c>
      <c r="BC61" s="49" t="inlineStr">
        <is>
          <t>IF(OR(F61="",AP61=""),"",IF(COUNT(AI61:AO61)=0,"",AP61-LOOKUP(2,1/(AI61:AO61&lt;&gt;""),AI61:AO61)))</t>
        </is>
      </c>
      <c r="BD61" s="49" t="inlineStr">
        <is>
          <t>IF(OR(F61="",AQ61=""),"",IF(COUNT(AI61:AP61)=0,"",AQ61-LOOKUP(2,1/(AI61:AP61&lt;&gt;""),AI61:AP61)))</t>
        </is>
      </c>
      <c r="BE61" s="49" t="inlineStr">
        <is>
          <t>IF(OR(F61="",AR61=""),"",IF(COUNT(AI61:AQ61)=0,"",AR61-LOOKUP(2,1/(AI61:AQ61&lt;&gt;""),AI61:AQ61)))</t>
        </is>
      </c>
      <c r="BF61" s="49" t="inlineStr">
        <is>
          <t>IF(OR(F61="",AS61=""),"",IF(COUNT(AI61:AR61)=0,"",AS61-LOOKUP(2,1/(AI61:AR61&lt;&gt;""),AI61:AR61)))</t>
        </is>
      </c>
      <c r="BG61" s="49" t="inlineStr">
        <is>
          <t>IF(OR(F61="",AT61=""),"",IF(COUNT(AI61:AS61)=0,"",AT61-LOOKUP(2,1/(AI61:AS61&lt;&gt;""),AI61:AS61)))</t>
        </is>
      </c>
      <c r="BH61" s="49" t="inlineStr">
        <is>
          <t>IF(OR(F61="",AU61=""),"",IF(COUNT(AI61:AT61)=0,"",AU61-LOOKUP(2,1/(AI61:AT61&lt;&gt;""),AI61:AT61)))</t>
        </is>
      </c>
      <c r="BI61" s="49" t="inlineStr">
        <is>
          <t>IF(OR(F61="",AV61=""),"",IF(COUNT(AI61:AU61)=0,"",AV61-LOOKUP(2,1/(AI61:AU61&lt;&gt;""),AI61:AU61)))</t>
        </is>
      </c>
      <c r="BJ61" s="51" t="inlineStr">
        <is>
          <t>IF(J61="","All_Provinces",IFERROR(VLOOKUP(J61,'09_Lookups'!$A$4:$B$20,2,FALSE),"All_Provinces"))</t>
        </is>
      </c>
      <c r="BK61" s="51" t="inlineStr">
        <is>
          <t>IF(K61="","All_Districts",IFERROR(VLOOKUP(K61,'09_Lookups'!$E$4:$F$42,2,FALSE),"All_Districts"))</t>
        </is>
      </c>
    </row>
    <row r="62" outlineLevel="1" ht="18" customHeight="1">
      <c r="A62" s="42" t="inlineStr">
        <is>
          <t>IF(F62="","",ROW()-3)</t>
        </is>
      </c>
      <c r="B62" s="65" t="inlineStr">
        <is>
          <t>AF2-DIS-02A</t>
        </is>
      </c>
      <c r="C62"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2" s="65" t="inlineStr">
        <is>
          <t>6 of 12</t>
        </is>
      </c>
      <c r="E62" s="52" t="inlineStr">
        <is>
          <t>AF2-DIS-N-020</t>
        </is>
      </c>
      <c r="F62" s="52" t="inlineStr">
        <is>
          <t>3. Nazar Khan Drip Irrigation Scheme</t>
        </is>
      </c>
      <c r="G62" s="52" t="inlineStr">
        <is>
          <t>Drip Irrigation</t>
        </is>
      </c>
      <c r="H62" s="52" t="inlineStr">
        <is>
          <t>Drip Irrigation Plot</t>
        </is>
      </c>
      <c r="I62" s="52" t="inlineStr">
        <is>
          <t>Emergency Food Security Project (EFSP) – WBK/AF-2</t>
        </is>
      </c>
      <c r="J62" s="52" t="inlineStr">
        <is>
          <t>East / Jalalabad</t>
        </is>
      </c>
      <c r="K62" s="52" t="inlineStr">
        <is>
          <t>Nangarhar</t>
        </is>
      </c>
      <c r="L62" s="52" t="inlineStr">
        <is>
          <t>Batikot</t>
        </is>
      </c>
      <c r="M62" s="52" t="inlineStr">
        <is>
          <t>Heabat Khil</t>
        </is>
      </c>
      <c r="N62" s="52" t="inlineStr">
        <is>
          <t>World Bank (WBK/AF-2)</t>
        </is>
      </c>
      <c r="O62" s="52" t="inlineStr">
        <is>
          <t>Not awarded</t>
        </is>
      </c>
      <c r="P62" s="52" t="inlineStr">
        <is>
          <t>5. Drip Irrigation systems</t>
        </is>
      </c>
      <c r="Q62" s="52" t="inlineStr">
        <is>
          <t>Nazar Khan</t>
        </is>
      </c>
      <c r="R62" s="52" t="inlineStr"/>
      <c r="S62" s="53" t="n"/>
      <c r="T62" s="46" t="inlineStr">
        <is>
          <t>IF(AQ62="","",AQ62)</t>
        </is>
      </c>
      <c r="U62" s="54" t="n">
        <v>46380</v>
      </c>
      <c r="V62" s="55" t="n">
        <v>4.9</v>
      </c>
      <c r="W62" s="54" t="n">
        <v>46530</v>
      </c>
      <c r="X62" s="46" t="inlineStr">
        <is>
          <t>IF(W62&lt;&gt;"",W62,IF(OR(T62="",V62=""),"",EDATE(T62,V62)))</t>
        </is>
      </c>
      <c r="Y62" s="54" t="n"/>
      <c r="Z62" s="55" t="n"/>
      <c r="AA62" s="52" t="inlineStr">
        <is>
          <t>Retendered (Re-ITB)</t>
        </is>
      </c>
      <c r="AB62" s="52" t="inlineStr">
        <is>
          <t>Five month construction period. No slack period considered for Laghman and Nagrahar and two months slack period for Kunar and Nuristan. '- | Farmer: Nazar Khan</t>
        </is>
      </c>
      <c r="AC62" s="42" t="inlineStr">
        <is>
          <t>IF(F62="","",IF(COUNT(AI62:AV62)=0,IF(AA62="","Not started",AA62),SUBSTITUTE(LOOKUP(2,1/(AI62:AV62&lt;&gt;""),$AI$3:$AV$3),"Date: ","")))</t>
        </is>
      </c>
      <c r="AD62" s="49" t="inlineStr">
        <is>
          <t>IF(OR(F62="",COUNT(AI62:AV62)=0),"",TODAY()-LOOKUP(2,1/(AI62:AV62&lt;&gt;""),AI62:AV62))</t>
        </is>
      </c>
      <c r="AE62" s="49" t="inlineStr">
        <is>
          <t>IF(OR(F62="",COUNT(AI62:AV62)&lt;2),"",LOOKUP(2,1/(AI62:AV62&lt;&gt;""),AI62:AV62)-MIN(AI62:AV62))</t>
        </is>
      </c>
      <c r="AF62" s="49" t="inlineStr">
        <is>
          <t>IF(OR(AD62="",AC62="Not started",AC62=""),"",IFERROR(AD62-IF(VLOOKUP(AC62,'06_Status_Pipeline'!$B$3:$E$20,4,FALSE)="",0,VLOOKUP(AC62,'06_Status_Pipeline'!$B$3:$E$20,4,FALSE)),""))</t>
        </is>
      </c>
      <c r="AG62" s="42" t="inlineStr">
        <is>
          <t>IF(F62="","",IF(OR(AA62="Cancelled",AC62="Cancelled"),"Cancelled",IF(OR(AC62="Completed / Handover",Y62&lt;&gt;"",Z62&gt;=100),"Completed — on track",IF(O62="Not awarded",IF(U62="",IF(X62="","No planned date",IF(TODAY()&gt;X62,"Behind — past planned date",IF(X62-TODAY()&lt;=30,"At risk — close to off track","On track"))),IF(TODAY()&gt;U62,"Behind — award date passed",IF(U62-TODAY()&lt;=30,"At risk — close to off track","On track"))),IF(X62="","No planned date",IF(AND(TODAY()&gt;X62,OR(Z62="",Z62&lt;100)),"Behind — past end date",IF(AND(T62&lt;&gt;"",X62&lt;&gt;"",Z62&lt;&gt;"",(Z62&lt;100),((TODAY()-T62)/MAX(X62-T62,1)*100)-Z62&gt;15),"Behind — progress lag",IF(AND(X62-TODAY()&lt;=30,X62-TODAY()&gt;=0,OR(Z62="",Z62&lt;90)),"At risk — close to off track","On track"))))))))</t>
        </is>
      </c>
      <c r="AH62" s="49" t="inlineStr">
        <is>
          <t>IF(OR(F62="",AC62="Completed / Handover",AC62="Cancelled"),"",IF(O62="Not awarded",IF(U62&lt;&gt;"",U62-TODAY(),IF(X62="","",X62-TODAY())),IF(X62="","",X62-TODAY())))</t>
        </is>
      </c>
      <c r="AI62" s="54" t="n"/>
      <c r="AJ62" s="54" t="n"/>
      <c r="AK62" s="54" t="n"/>
      <c r="AL62" s="54" t="n"/>
      <c r="AM62" s="54" t="n"/>
      <c r="AN62" s="54" t="n"/>
      <c r="AO62" s="54" t="n"/>
      <c r="AP62" s="54" t="n"/>
      <c r="AQ62" s="54" t="n"/>
      <c r="AR62" s="54" t="n"/>
      <c r="AS62" s="54" t="n"/>
      <c r="AT62" s="50" t="n"/>
      <c r="AU62" s="50" t="n"/>
      <c r="AV62" s="50" t="n"/>
      <c r="AW62" s="49" t="inlineStr">
        <is>
          <t>IF(OR(F62="",AJ62=""),"",IF(COUNT(AI62:AI62)=0,"",AJ62-LOOKUP(2,1/(AI62:AI62&lt;&gt;""),AI62:AI62)))</t>
        </is>
      </c>
      <c r="AX62" s="49" t="inlineStr">
        <is>
          <t>IF(OR(F62="",AK62=""),"",IF(COUNT(AI62:AJ62)=0,"",AK62-LOOKUP(2,1/(AI62:AJ62&lt;&gt;""),AI62:AJ62)))</t>
        </is>
      </c>
      <c r="AY62" s="49" t="inlineStr">
        <is>
          <t>IF(OR(F62="",AL62=""),"",IF(COUNT(AI62:AK62)=0,"",AL62-LOOKUP(2,1/(AI62:AK62&lt;&gt;""),AI62:AK62)))</t>
        </is>
      </c>
      <c r="AZ62" s="49" t="inlineStr">
        <is>
          <t>IF(OR(F62="",AM62=""),"",IF(COUNT(AI62:AL62)=0,"",AM62-LOOKUP(2,1/(AI62:AL62&lt;&gt;""),AI62:AL62)))</t>
        </is>
      </c>
      <c r="BA62" s="49" t="inlineStr">
        <is>
          <t>IF(OR(F62="",AN62=""),"",IF(COUNT(AI62:AM62)=0,"",AN62-LOOKUP(2,1/(AI62:AM62&lt;&gt;""),AI62:AM62)))</t>
        </is>
      </c>
      <c r="BB62" s="49" t="inlineStr">
        <is>
          <t>IF(OR(F62="",AO62=""),"",IF(COUNT(AI62:AN62)=0,"",AO62-LOOKUP(2,1/(AI62:AN62&lt;&gt;""),AI62:AN62)))</t>
        </is>
      </c>
      <c r="BC62" s="49" t="inlineStr">
        <is>
          <t>IF(OR(F62="",AP62=""),"",IF(COUNT(AI62:AO62)=0,"",AP62-LOOKUP(2,1/(AI62:AO62&lt;&gt;""),AI62:AO62)))</t>
        </is>
      </c>
      <c r="BD62" s="49" t="inlineStr">
        <is>
          <t>IF(OR(F62="",AQ62=""),"",IF(COUNT(AI62:AP62)=0,"",AQ62-LOOKUP(2,1/(AI62:AP62&lt;&gt;""),AI62:AP62)))</t>
        </is>
      </c>
      <c r="BE62" s="49" t="inlineStr">
        <is>
          <t>IF(OR(F62="",AR62=""),"",IF(COUNT(AI62:AQ62)=0,"",AR62-LOOKUP(2,1/(AI62:AQ62&lt;&gt;""),AI62:AQ62)))</t>
        </is>
      </c>
      <c r="BF62" s="49" t="inlineStr">
        <is>
          <t>IF(OR(F62="",AS62=""),"",IF(COUNT(AI62:AR62)=0,"",AS62-LOOKUP(2,1/(AI62:AR62&lt;&gt;""),AI62:AR62)))</t>
        </is>
      </c>
      <c r="BG62" s="49" t="inlineStr">
        <is>
          <t>IF(OR(F62="",AT62=""),"",IF(COUNT(AI62:AS62)=0,"",AT62-LOOKUP(2,1/(AI62:AS62&lt;&gt;""),AI62:AS62)))</t>
        </is>
      </c>
      <c r="BH62" s="49" t="inlineStr">
        <is>
          <t>IF(OR(F62="",AU62=""),"",IF(COUNT(AI62:AT62)=0,"",AU62-LOOKUP(2,1/(AI62:AT62&lt;&gt;""),AI62:AT62)))</t>
        </is>
      </c>
      <c r="BI62" s="49" t="inlineStr">
        <is>
          <t>IF(OR(F62="",AV62=""),"",IF(COUNT(AI62:AU62)=0,"",AV62-LOOKUP(2,1/(AI62:AU62&lt;&gt;""),AI62:AU62)))</t>
        </is>
      </c>
      <c r="BJ62" s="51" t="inlineStr">
        <is>
          <t>IF(J62="","All_Provinces",IFERROR(VLOOKUP(J62,'09_Lookups'!$A$4:$B$20,2,FALSE),"All_Provinces"))</t>
        </is>
      </c>
      <c r="BK62" s="51" t="inlineStr">
        <is>
          <t>IF(K62="","All_Districts",IFERROR(VLOOKUP(K62,'09_Lookups'!$E$4:$F$42,2,FALSE),"All_Districts"))</t>
        </is>
      </c>
    </row>
    <row r="63" outlineLevel="1" ht="18" customHeight="1">
      <c r="A63" s="42" t="inlineStr">
        <is>
          <t>IF(F63="","",ROW()-3)</t>
        </is>
      </c>
      <c r="B63" s="65" t="inlineStr">
        <is>
          <t>AF2-DIS-02A</t>
        </is>
      </c>
      <c r="C63"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3" s="65" t="inlineStr">
        <is>
          <t>7 of 12</t>
        </is>
      </c>
      <c r="E63" s="44" t="inlineStr">
        <is>
          <t>AF2-DIS-N-021</t>
        </is>
      </c>
      <c r="F63" s="44" t="inlineStr">
        <is>
          <t>4.Khas Kunar Drip Irrigation Scheme</t>
        </is>
      </c>
      <c r="G63" s="44" t="inlineStr">
        <is>
          <t>Drip Irrigation</t>
        </is>
      </c>
      <c r="H63" s="44" t="inlineStr">
        <is>
          <t>Drip Irrigation Plot</t>
        </is>
      </c>
      <c r="I63" s="44" t="inlineStr">
        <is>
          <t>Emergency Food Security Project (EFSP) – WBK/AF-2</t>
        </is>
      </c>
      <c r="J63" s="44" t="inlineStr">
        <is>
          <t>East / Jalalabad</t>
        </is>
      </c>
      <c r="K63" s="44" t="inlineStr">
        <is>
          <t>Kunar</t>
        </is>
      </c>
      <c r="L63" s="44" t="inlineStr">
        <is>
          <t>Khas Kunar</t>
        </is>
      </c>
      <c r="M63" s="44" t="inlineStr">
        <is>
          <t>Chanchan</t>
        </is>
      </c>
      <c r="N63" s="44" t="inlineStr">
        <is>
          <t>World Bank (WBK/AF-2)</t>
        </is>
      </c>
      <c r="O63" s="44" t="inlineStr">
        <is>
          <t>Not awarded</t>
        </is>
      </c>
      <c r="P63" s="44" t="inlineStr">
        <is>
          <t>5. Drip Irrigation systems</t>
        </is>
      </c>
      <c r="Q63" s="44" t="inlineStr">
        <is>
          <t>M. Nabi</t>
        </is>
      </c>
      <c r="R63" s="44" t="inlineStr"/>
      <c r="S63" s="45" t="n">
        <v>6935.5</v>
      </c>
      <c r="T63" s="46" t="inlineStr">
        <is>
          <t>IF(AQ63="","",AQ63)</t>
        </is>
      </c>
      <c r="U63" s="47" t="n">
        <v>46380</v>
      </c>
      <c r="V63" s="48" t="n">
        <v>4.9</v>
      </c>
      <c r="W63" s="47" t="n">
        <v>46530</v>
      </c>
      <c r="X63" s="46" t="inlineStr">
        <is>
          <t>IF(W63&lt;&gt;"",W63,IF(OR(T63="",V63=""),"",EDATE(T63,V63)))</t>
        </is>
      </c>
      <c r="Y63" s="47" t="n"/>
      <c r="Z63" s="48" t="n"/>
      <c r="AA63" s="44" t="inlineStr">
        <is>
          <t>Retendered (Re-ITB)</t>
        </is>
      </c>
      <c r="AB63" s="44" t="inlineStr">
        <is>
          <t>Five month construction period. No slack period considered for Laghman and Nagrahar and two months slack period for Kunar and Nuristan. '- | Farmer: M. Nabi</t>
        </is>
      </c>
      <c r="AC63" s="42" t="inlineStr">
        <is>
          <t>IF(F63="","",IF(COUNT(AI63:AV63)=0,IF(AA63="","Not started",AA63),SUBSTITUTE(LOOKUP(2,1/(AI63:AV63&lt;&gt;""),$AI$3:$AV$3),"Date: ","")))</t>
        </is>
      </c>
      <c r="AD63" s="49" t="inlineStr">
        <is>
          <t>IF(OR(F63="",COUNT(AI63:AV63)=0),"",TODAY()-LOOKUP(2,1/(AI63:AV63&lt;&gt;""),AI63:AV63))</t>
        </is>
      </c>
      <c r="AE63" s="49" t="inlineStr">
        <is>
          <t>IF(OR(F63="",COUNT(AI63:AV63)&lt;2),"",LOOKUP(2,1/(AI63:AV63&lt;&gt;""),AI63:AV63)-MIN(AI63:AV63))</t>
        </is>
      </c>
      <c r="AF63" s="49" t="inlineStr">
        <is>
          <t>IF(OR(AD63="",AC63="Not started",AC63=""),"",IFERROR(AD63-IF(VLOOKUP(AC63,'06_Status_Pipeline'!$B$3:$E$20,4,FALSE)="",0,VLOOKUP(AC63,'06_Status_Pipeline'!$B$3:$E$20,4,FALSE)),""))</t>
        </is>
      </c>
      <c r="AG63" s="42" t="inlineStr">
        <is>
          <t>IF(F63="","",IF(OR(AA63="Cancelled",AC63="Cancelled"),"Cancelled",IF(OR(AC63="Completed / Handover",Y63&lt;&gt;"",Z63&gt;=100),"Completed — on track",IF(O63="Not awarded",IF(U63="",IF(X63="","No planned date",IF(TODAY()&gt;X63,"Behind — past planned date",IF(X63-TODAY()&lt;=30,"At risk — close to off track","On track"))),IF(TODAY()&gt;U63,"Behind — award date passed",IF(U63-TODAY()&lt;=30,"At risk — close to off track","On track"))),IF(X63="","No planned date",IF(AND(TODAY()&gt;X63,OR(Z63="",Z63&lt;100)),"Behind — past end date",IF(AND(T63&lt;&gt;"",X63&lt;&gt;"",Z63&lt;&gt;"",(Z63&lt;100),((TODAY()-T63)/MAX(X63-T63,1)*100)-Z63&gt;15),"Behind — progress lag",IF(AND(X63-TODAY()&lt;=30,X63-TODAY()&gt;=0,OR(Z63="",Z63&lt;90)),"At risk — close to off track","On track"))))))))</t>
        </is>
      </c>
      <c r="AH63" s="49" t="inlineStr">
        <is>
          <t>IF(OR(F63="",AC63="Completed / Handover",AC63="Cancelled"),"",IF(O63="Not awarded",IF(U63&lt;&gt;"",U63-TODAY(),IF(X63="","",X63-TODAY())),IF(X63="","",X63-TODAY())))</t>
        </is>
      </c>
      <c r="AI63" s="47" t="n"/>
      <c r="AJ63" s="47" t="n"/>
      <c r="AK63" s="47" t="n"/>
      <c r="AL63" s="47" t="n"/>
      <c r="AM63" s="47" t="n"/>
      <c r="AN63" s="47" t="n"/>
      <c r="AO63" s="47" t="n"/>
      <c r="AP63" s="47" t="n"/>
      <c r="AQ63" s="47" t="n"/>
      <c r="AR63" s="47" t="n"/>
      <c r="AS63" s="47" t="n"/>
      <c r="AT63" s="50" t="n"/>
      <c r="AU63" s="50" t="n"/>
      <c r="AV63" s="50" t="n"/>
      <c r="AW63" s="49" t="inlineStr">
        <is>
          <t>IF(OR(F63="",AJ63=""),"",IF(COUNT(AI63:AI63)=0,"",AJ63-LOOKUP(2,1/(AI63:AI63&lt;&gt;""),AI63:AI63)))</t>
        </is>
      </c>
      <c r="AX63" s="49" t="inlineStr">
        <is>
          <t>IF(OR(F63="",AK63=""),"",IF(COUNT(AI63:AJ63)=0,"",AK63-LOOKUP(2,1/(AI63:AJ63&lt;&gt;""),AI63:AJ63)))</t>
        </is>
      </c>
      <c r="AY63" s="49" t="inlineStr">
        <is>
          <t>IF(OR(F63="",AL63=""),"",IF(COUNT(AI63:AK63)=0,"",AL63-LOOKUP(2,1/(AI63:AK63&lt;&gt;""),AI63:AK63)))</t>
        </is>
      </c>
      <c r="AZ63" s="49" t="inlineStr">
        <is>
          <t>IF(OR(F63="",AM63=""),"",IF(COUNT(AI63:AL63)=0,"",AM63-LOOKUP(2,1/(AI63:AL63&lt;&gt;""),AI63:AL63)))</t>
        </is>
      </c>
      <c r="BA63" s="49" t="inlineStr">
        <is>
          <t>IF(OR(F63="",AN63=""),"",IF(COUNT(AI63:AM63)=0,"",AN63-LOOKUP(2,1/(AI63:AM63&lt;&gt;""),AI63:AM63)))</t>
        </is>
      </c>
      <c r="BB63" s="49" t="inlineStr">
        <is>
          <t>IF(OR(F63="",AO63=""),"",IF(COUNT(AI63:AN63)=0,"",AO63-LOOKUP(2,1/(AI63:AN63&lt;&gt;""),AI63:AN63)))</t>
        </is>
      </c>
      <c r="BC63" s="49" t="inlineStr">
        <is>
          <t>IF(OR(F63="",AP63=""),"",IF(COUNT(AI63:AO63)=0,"",AP63-LOOKUP(2,1/(AI63:AO63&lt;&gt;""),AI63:AO63)))</t>
        </is>
      </c>
      <c r="BD63" s="49" t="inlineStr">
        <is>
          <t>IF(OR(F63="",AQ63=""),"",IF(COUNT(AI63:AP63)=0,"",AQ63-LOOKUP(2,1/(AI63:AP63&lt;&gt;""),AI63:AP63)))</t>
        </is>
      </c>
      <c r="BE63" s="49" t="inlineStr">
        <is>
          <t>IF(OR(F63="",AR63=""),"",IF(COUNT(AI63:AQ63)=0,"",AR63-LOOKUP(2,1/(AI63:AQ63&lt;&gt;""),AI63:AQ63)))</t>
        </is>
      </c>
      <c r="BF63" s="49" t="inlineStr">
        <is>
          <t>IF(OR(F63="",AS63=""),"",IF(COUNT(AI63:AR63)=0,"",AS63-LOOKUP(2,1/(AI63:AR63&lt;&gt;""),AI63:AR63)))</t>
        </is>
      </c>
      <c r="BG63" s="49" t="inlineStr">
        <is>
          <t>IF(OR(F63="",AT63=""),"",IF(COUNT(AI63:AS63)=0,"",AT63-LOOKUP(2,1/(AI63:AS63&lt;&gt;""),AI63:AS63)))</t>
        </is>
      </c>
      <c r="BH63" s="49" t="inlineStr">
        <is>
          <t>IF(OR(F63="",AU63=""),"",IF(COUNT(AI63:AT63)=0,"",AU63-LOOKUP(2,1/(AI63:AT63&lt;&gt;""),AI63:AT63)))</t>
        </is>
      </c>
      <c r="BI63" s="49" t="inlineStr">
        <is>
          <t>IF(OR(F63="",AV63=""),"",IF(COUNT(AI63:AU63)=0,"",AV63-LOOKUP(2,1/(AI63:AU63&lt;&gt;""),AI63:AU63)))</t>
        </is>
      </c>
      <c r="BJ63" s="51" t="inlineStr">
        <is>
          <t>IF(J63="","All_Provinces",IFERROR(VLOOKUP(J63,'09_Lookups'!$A$4:$B$20,2,FALSE),"All_Provinces"))</t>
        </is>
      </c>
      <c r="BK63" s="51" t="inlineStr">
        <is>
          <t>IF(K63="","All_Districts",IFERROR(VLOOKUP(K63,'09_Lookups'!$E$4:$F$42,2,FALSE),"All_Districts"))</t>
        </is>
      </c>
    </row>
    <row r="64" outlineLevel="1" ht="18" customHeight="1">
      <c r="A64" s="42" t="inlineStr">
        <is>
          <t>IF(F64="","",ROW()-3)</t>
        </is>
      </c>
      <c r="B64" s="65" t="inlineStr">
        <is>
          <t>AF2-DIS-02A</t>
        </is>
      </c>
      <c r="C64"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4" s="65" t="inlineStr">
        <is>
          <t>8 of 12</t>
        </is>
      </c>
      <c r="E64" s="52" t="inlineStr">
        <is>
          <t>AF2-DIS-N-022</t>
        </is>
      </c>
      <c r="F64" s="52" t="inlineStr">
        <is>
          <t>5.Asmar Drip Irrigation Scheme</t>
        </is>
      </c>
      <c r="G64" s="52" t="inlineStr">
        <is>
          <t>Drip Irrigation</t>
        </is>
      </c>
      <c r="H64" s="52" t="inlineStr">
        <is>
          <t>Drip Irrigation Plot</t>
        </is>
      </c>
      <c r="I64" s="52" t="inlineStr">
        <is>
          <t>Emergency Food Security Project (EFSP) – WBK/AF-2</t>
        </is>
      </c>
      <c r="J64" s="52" t="inlineStr">
        <is>
          <t>East / Jalalabad</t>
        </is>
      </c>
      <c r="K64" s="52" t="inlineStr">
        <is>
          <t>Kunar</t>
        </is>
      </c>
      <c r="L64" s="52" t="inlineStr">
        <is>
          <t>Asmar</t>
        </is>
      </c>
      <c r="M64" s="52" t="inlineStr">
        <is>
          <t>Baylaye</t>
        </is>
      </c>
      <c r="N64" s="52" t="inlineStr">
        <is>
          <t>World Bank (WBK/AF-2)</t>
        </is>
      </c>
      <c r="O64" s="52" t="inlineStr">
        <is>
          <t>Not awarded</t>
        </is>
      </c>
      <c r="P64" s="52" t="inlineStr">
        <is>
          <t>5. Drip Irrigation systems</t>
        </is>
      </c>
      <c r="Q64" s="52" t="inlineStr">
        <is>
          <t>Malik Rostam</t>
        </is>
      </c>
      <c r="R64" s="52" t="inlineStr"/>
      <c r="S64" s="53" t="n">
        <v>4921.9</v>
      </c>
      <c r="T64" s="46" t="inlineStr">
        <is>
          <t>IF(AQ64="","",AQ64)</t>
        </is>
      </c>
      <c r="U64" s="54" t="n">
        <v>46380</v>
      </c>
      <c r="V64" s="55" t="n">
        <v>4.9</v>
      </c>
      <c r="W64" s="54" t="n">
        <v>46530</v>
      </c>
      <c r="X64" s="46" t="inlineStr">
        <is>
          <t>IF(W64&lt;&gt;"",W64,IF(OR(T64="",V64=""),"",EDATE(T64,V64)))</t>
        </is>
      </c>
      <c r="Y64" s="54" t="n"/>
      <c r="Z64" s="55" t="n"/>
      <c r="AA64" s="52" t="inlineStr">
        <is>
          <t>Retendered (Re-ITB)</t>
        </is>
      </c>
      <c r="AB64" s="52" t="inlineStr">
        <is>
          <t>Five month construction period. No slack period considered for Laghman and Nagrahar and two months slack period for Kunar and Nuristan. '- | Farmer: Malik Rostam</t>
        </is>
      </c>
      <c r="AC64" s="42" t="inlineStr">
        <is>
          <t>IF(F64="","",IF(COUNT(AI64:AV64)=0,IF(AA64="","Not started",AA64),SUBSTITUTE(LOOKUP(2,1/(AI64:AV64&lt;&gt;""),$AI$3:$AV$3),"Date: ","")))</t>
        </is>
      </c>
      <c r="AD64" s="49" t="inlineStr">
        <is>
          <t>IF(OR(F64="",COUNT(AI64:AV64)=0),"",TODAY()-LOOKUP(2,1/(AI64:AV64&lt;&gt;""),AI64:AV64))</t>
        </is>
      </c>
      <c r="AE64" s="49" t="inlineStr">
        <is>
          <t>IF(OR(F64="",COUNT(AI64:AV64)&lt;2),"",LOOKUP(2,1/(AI64:AV64&lt;&gt;""),AI64:AV64)-MIN(AI64:AV64))</t>
        </is>
      </c>
      <c r="AF64" s="49" t="inlineStr">
        <is>
          <t>IF(OR(AD64="",AC64="Not started",AC64=""),"",IFERROR(AD64-IF(VLOOKUP(AC64,'06_Status_Pipeline'!$B$3:$E$20,4,FALSE)="",0,VLOOKUP(AC64,'06_Status_Pipeline'!$B$3:$E$20,4,FALSE)),""))</t>
        </is>
      </c>
      <c r="AG64" s="42" t="inlineStr">
        <is>
          <t>IF(F64="","",IF(OR(AA64="Cancelled",AC64="Cancelled"),"Cancelled",IF(OR(AC64="Completed / Handover",Y64&lt;&gt;"",Z64&gt;=100),"Completed — on track",IF(O64="Not awarded",IF(U64="",IF(X64="","No planned date",IF(TODAY()&gt;X64,"Behind — past planned date",IF(X64-TODAY()&lt;=30,"At risk — close to off track","On track"))),IF(TODAY()&gt;U64,"Behind — award date passed",IF(U64-TODAY()&lt;=30,"At risk — close to off track","On track"))),IF(X64="","No planned date",IF(AND(TODAY()&gt;X64,OR(Z64="",Z64&lt;100)),"Behind — past end date",IF(AND(T64&lt;&gt;"",X64&lt;&gt;"",Z64&lt;&gt;"",(Z64&lt;100),((TODAY()-T64)/MAX(X64-T64,1)*100)-Z64&gt;15),"Behind — progress lag",IF(AND(X64-TODAY()&lt;=30,X64-TODAY()&gt;=0,OR(Z64="",Z64&lt;90)),"At risk — close to off track","On track"))))))))</t>
        </is>
      </c>
      <c r="AH64" s="49" t="inlineStr">
        <is>
          <t>IF(OR(F64="",AC64="Completed / Handover",AC64="Cancelled"),"",IF(O64="Not awarded",IF(U64&lt;&gt;"",U64-TODAY(),IF(X64="","",X64-TODAY())),IF(X64="","",X64-TODAY())))</t>
        </is>
      </c>
      <c r="AI64" s="54" t="n"/>
      <c r="AJ64" s="54" t="n"/>
      <c r="AK64" s="54" t="n"/>
      <c r="AL64" s="54" t="n"/>
      <c r="AM64" s="54" t="n"/>
      <c r="AN64" s="54" t="n"/>
      <c r="AO64" s="54" t="n"/>
      <c r="AP64" s="54" t="n"/>
      <c r="AQ64" s="54" t="n"/>
      <c r="AR64" s="54" t="n"/>
      <c r="AS64" s="54" t="n"/>
      <c r="AT64" s="50" t="n"/>
      <c r="AU64" s="50" t="n"/>
      <c r="AV64" s="50" t="n"/>
      <c r="AW64" s="49" t="inlineStr">
        <is>
          <t>IF(OR(F64="",AJ64=""),"",IF(COUNT(AI64:AI64)=0,"",AJ64-LOOKUP(2,1/(AI64:AI64&lt;&gt;""),AI64:AI64)))</t>
        </is>
      </c>
      <c r="AX64" s="49" t="inlineStr">
        <is>
          <t>IF(OR(F64="",AK64=""),"",IF(COUNT(AI64:AJ64)=0,"",AK64-LOOKUP(2,1/(AI64:AJ64&lt;&gt;""),AI64:AJ64)))</t>
        </is>
      </c>
      <c r="AY64" s="49" t="inlineStr">
        <is>
          <t>IF(OR(F64="",AL64=""),"",IF(COUNT(AI64:AK64)=0,"",AL64-LOOKUP(2,1/(AI64:AK64&lt;&gt;""),AI64:AK64)))</t>
        </is>
      </c>
      <c r="AZ64" s="49" t="inlineStr">
        <is>
          <t>IF(OR(F64="",AM64=""),"",IF(COUNT(AI64:AL64)=0,"",AM64-LOOKUP(2,1/(AI64:AL64&lt;&gt;""),AI64:AL64)))</t>
        </is>
      </c>
      <c r="BA64" s="49" t="inlineStr">
        <is>
          <t>IF(OR(F64="",AN64=""),"",IF(COUNT(AI64:AM64)=0,"",AN64-LOOKUP(2,1/(AI64:AM64&lt;&gt;""),AI64:AM64)))</t>
        </is>
      </c>
      <c r="BB64" s="49" t="inlineStr">
        <is>
          <t>IF(OR(F64="",AO64=""),"",IF(COUNT(AI64:AN64)=0,"",AO64-LOOKUP(2,1/(AI64:AN64&lt;&gt;""),AI64:AN64)))</t>
        </is>
      </c>
      <c r="BC64" s="49" t="inlineStr">
        <is>
          <t>IF(OR(F64="",AP64=""),"",IF(COUNT(AI64:AO64)=0,"",AP64-LOOKUP(2,1/(AI64:AO64&lt;&gt;""),AI64:AO64)))</t>
        </is>
      </c>
      <c r="BD64" s="49" t="inlineStr">
        <is>
          <t>IF(OR(F64="",AQ64=""),"",IF(COUNT(AI64:AP64)=0,"",AQ64-LOOKUP(2,1/(AI64:AP64&lt;&gt;""),AI64:AP64)))</t>
        </is>
      </c>
      <c r="BE64" s="49" t="inlineStr">
        <is>
          <t>IF(OR(F64="",AR64=""),"",IF(COUNT(AI64:AQ64)=0,"",AR64-LOOKUP(2,1/(AI64:AQ64&lt;&gt;""),AI64:AQ64)))</t>
        </is>
      </c>
      <c r="BF64" s="49" t="inlineStr">
        <is>
          <t>IF(OR(F64="",AS64=""),"",IF(COUNT(AI64:AR64)=0,"",AS64-LOOKUP(2,1/(AI64:AR64&lt;&gt;""),AI64:AR64)))</t>
        </is>
      </c>
      <c r="BG64" s="49" t="inlineStr">
        <is>
          <t>IF(OR(F64="",AT64=""),"",IF(COUNT(AI64:AS64)=0,"",AT64-LOOKUP(2,1/(AI64:AS64&lt;&gt;""),AI64:AS64)))</t>
        </is>
      </c>
      <c r="BH64" s="49" t="inlineStr">
        <is>
          <t>IF(OR(F64="",AU64=""),"",IF(COUNT(AI64:AT64)=0,"",AU64-LOOKUP(2,1/(AI64:AT64&lt;&gt;""),AI64:AT64)))</t>
        </is>
      </c>
      <c r="BI64" s="49" t="inlineStr">
        <is>
          <t>IF(OR(F64="",AV64=""),"",IF(COUNT(AI64:AU64)=0,"",AV64-LOOKUP(2,1/(AI64:AU64&lt;&gt;""),AI64:AU64)))</t>
        </is>
      </c>
      <c r="BJ64" s="51" t="inlineStr">
        <is>
          <t>IF(J64="","All_Provinces",IFERROR(VLOOKUP(J64,'09_Lookups'!$A$4:$B$20,2,FALSE),"All_Provinces"))</t>
        </is>
      </c>
      <c r="BK64" s="51" t="inlineStr">
        <is>
          <t>IF(K64="","All_Districts",IFERROR(VLOOKUP(K64,'09_Lookups'!$E$4:$F$42,2,FALSE),"All_Districts"))</t>
        </is>
      </c>
    </row>
    <row r="65" outlineLevel="1" ht="18" customHeight="1">
      <c r="A65" s="42" t="inlineStr">
        <is>
          <t>IF(F65="","",ROW()-3)</t>
        </is>
      </c>
      <c r="B65" s="65" t="inlineStr">
        <is>
          <t>AF2-DIS-02A</t>
        </is>
      </c>
      <c r="C65"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5" s="65" t="inlineStr">
        <is>
          <t>9 of 12</t>
        </is>
      </c>
      <c r="E65" s="44" t="inlineStr">
        <is>
          <t>AF2-DIS-N-023</t>
        </is>
      </c>
      <c r="F65" s="44" t="inlineStr">
        <is>
          <t>6.Manogai Drip Irrigation Scheme</t>
        </is>
      </c>
      <c r="G65" s="44" t="inlineStr">
        <is>
          <t>Drip Irrigation</t>
        </is>
      </c>
      <c r="H65" s="44" t="inlineStr">
        <is>
          <t>Drip Irrigation Plot</t>
        </is>
      </c>
      <c r="I65" s="44" t="inlineStr">
        <is>
          <t>Emergency Food Security Project (EFSP) – WBK/AF-2</t>
        </is>
      </c>
      <c r="J65" s="44" t="inlineStr">
        <is>
          <t>East / Jalalabad</t>
        </is>
      </c>
      <c r="K65" s="44" t="inlineStr">
        <is>
          <t>Kunar</t>
        </is>
      </c>
      <c r="L65" s="44" t="inlineStr">
        <is>
          <t>Manogai</t>
        </is>
      </c>
      <c r="M65" s="44" t="inlineStr">
        <is>
          <t>Dabarzai</t>
        </is>
      </c>
      <c r="N65" s="44" t="inlineStr">
        <is>
          <t>World Bank (WBK/AF-2)</t>
        </is>
      </c>
      <c r="O65" s="44" t="inlineStr">
        <is>
          <t>Not awarded</t>
        </is>
      </c>
      <c r="P65" s="44" t="inlineStr">
        <is>
          <t>5. Drip Irrigation systems</t>
        </is>
      </c>
      <c r="Q65" s="44" t="inlineStr">
        <is>
          <t>M. Afzal</t>
        </is>
      </c>
      <c r="R65" s="44" t="inlineStr"/>
      <c r="S65" s="45" t="n">
        <v>5530.7</v>
      </c>
      <c r="T65" s="46" t="inlineStr">
        <is>
          <t>IF(AQ65="","",AQ65)</t>
        </is>
      </c>
      <c r="U65" s="47" t="n">
        <v>46380</v>
      </c>
      <c r="V65" s="48" t="n">
        <v>4.9</v>
      </c>
      <c r="W65" s="47" t="n">
        <v>46530</v>
      </c>
      <c r="X65" s="46" t="inlineStr">
        <is>
          <t>IF(W65&lt;&gt;"",W65,IF(OR(T65="",V65=""),"",EDATE(T65,V65)))</t>
        </is>
      </c>
      <c r="Y65" s="47" t="n"/>
      <c r="Z65" s="48" t="n"/>
      <c r="AA65" s="44" t="inlineStr">
        <is>
          <t>Retendered (Re-ITB)</t>
        </is>
      </c>
      <c r="AB65" s="44" t="inlineStr">
        <is>
          <t>Five month construction period. No slack period considered for Laghman and Nagrahar and two months slack period for Kunar and Nuristan. '- | Farmer: M. Afzal</t>
        </is>
      </c>
      <c r="AC65" s="42" t="inlineStr">
        <is>
          <t>IF(F65="","",IF(COUNT(AI65:AV65)=0,IF(AA65="","Not started",AA65),SUBSTITUTE(LOOKUP(2,1/(AI65:AV65&lt;&gt;""),$AI$3:$AV$3),"Date: ","")))</t>
        </is>
      </c>
      <c r="AD65" s="49" t="inlineStr">
        <is>
          <t>IF(OR(F65="",COUNT(AI65:AV65)=0),"",TODAY()-LOOKUP(2,1/(AI65:AV65&lt;&gt;""),AI65:AV65))</t>
        </is>
      </c>
      <c r="AE65" s="49" t="inlineStr">
        <is>
          <t>IF(OR(F65="",COUNT(AI65:AV65)&lt;2),"",LOOKUP(2,1/(AI65:AV65&lt;&gt;""),AI65:AV65)-MIN(AI65:AV65))</t>
        </is>
      </c>
      <c r="AF65" s="49" t="inlineStr">
        <is>
          <t>IF(OR(AD65="",AC65="Not started",AC65=""),"",IFERROR(AD65-IF(VLOOKUP(AC65,'06_Status_Pipeline'!$B$3:$E$20,4,FALSE)="",0,VLOOKUP(AC65,'06_Status_Pipeline'!$B$3:$E$20,4,FALSE)),""))</t>
        </is>
      </c>
      <c r="AG65" s="42" t="inlineStr">
        <is>
          <t>IF(F65="","",IF(OR(AA65="Cancelled",AC65="Cancelled"),"Cancelled",IF(OR(AC65="Completed / Handover",Y65&lt;&gt;"",Z65&gt;=100),"Completed — on track",IF(O65="Not awarded",IF(U65="",IF(X65="","No planned date",IF(TODAY()&gt;X65,"Behind — past planned date",IF(X65-TODAY()&lt;=30,"At risk — close to off track","On track"))),IF(TODAY()&gt;U65,"Behind — award date passed",IF(U65-TODAY()&lt;=30,"At risk — close to off track","On track"))),IF(X65="","No planned date",IF(AND(TODAY()&gt;X65,OR(Z65="",Z65&lt;100)),"Behind — past end date",IF(AND(T65&lt;&gt;"",X65&lt;&gt;"",Z65&lt;&gt;"",(Z65&lt;100),((TODAY()-T65)/MAX(X65-T65,1)*100)-Z65&gt;15),"Behind — progress lag",IF(AND(X65-TODAY()&lt;=30,X65-TODAY()&gt;=0,OR(Z65="",Z65&lt;90)),"At risk — close to off track","On track"))))))))</t>
        </is>
      </c>
      <c r="AH65" s="49" t="inlineStr">
        <is>
          <t>IF(OR(F65="",AC65="Completed / Handover",AC65="Cancelled"),"",IF(O65="Not awarded",IF(U65&lt;&gt;"",U65-TODAY(),IF(X65="","",X65-TODAY())),IF(X65="","",X65-TODAY())))</t>
        </is>
      </c>
      <c r="AI65" s="47" t="n"/>
      <c r="AJ65" s="47" t="n"/>
      <c r="AK65" s="47" t="n"/>
      <c r="AL65" s="47" t="n"/>
      <c r="AM65" s="47" t="n"/>
      <c r="AN65" s="47" t="n"/>
      <c r="AO65" s="47" t="n"/>
      <c r="AP65" s="47" t="n"/>
      <c r="AQ65" s="47" t="n"/>
      <c r="AR65" s="47" t="n"/>
      <c r="AS65" s="47" t="n"/>
      <c r="AT65" s="50" t="n"/>
      <c r="AU65" s="50" t="n"/>
      <c r="AV65" s="50" t="n"/>
      <c r="AW65" s="49" t="inlineStr">
        <is>
          <t>IF(OR(F65="",AJ65=""),"",IF(COUNT(AI65:AI65)=0,"",AJ65-LOOKUP(2,1/(AI65:AI65&lt;&gt;""),AI65:AI65)))</t>
        </is>
      </c>
      <c r="AX65" s="49" t="inlineStr">
        <is>
          <t>IF(OR(F65="",AK65=""),"",IF(COUNT(AI65:AJ65)=0,"",AK65-LOOKUP(2,1/(AI65:AJ65&lt;&gt;""),AI65:AJ65)))</t>
        </is>
      </c>
      <c r="AY65" s="49" t="inlineStr">
        <is>
          <t>IF(OR(F65="",AL65=""),"",IF(COUNT(AI65:AK65)=0,"",AL65-LOOKUP(2,1/(AI65:AK65&lt;&gt;""),AI65:AK65)))</t>
        </is>
      </c>
      <c r="AZ65" s="49" t="inlineStr">
        <is>
          <t>IF(OR(F65="",AM65=""),"",IF(COUNT(AI65:AL65)=0,"",AM65-LOOKUP(2,1/(AI65:AL65&lt;&gt;""),AI65:AL65)))</t>
        </is>
      </c>
      <c r="BA65" s="49" t="inlineStr">
        <is>
          <t>IF(OR(F65="",AN65=""),"",IF(COUNT(AI65:AM65)=0,"",AN65-LOOKUP(2,1/(AI65:AM65&lt;&gt;""),AI65:AM65)))</t>
        </is>
      </c>
      <c r="BB65" s="49" t="inlineStr">
        <is>
          <t>IF(OR(F65="",AO65=""),"",IF(COUNT(AI65:AN65)=0,"",AO65-LOOKUP(2,1/(AI65:AN65&lt;&gt;""),AI65:AN65)))</t>
        </is>
      </c>
      <c r="BC65" s="49" t="inlineStr">
        <is>
          <t>IF(OR(F65="",AP65=""),"",IF(COUNT(AI65:AO65)=0,"",AP65-LOOKUP(2,1/(AI65:AO65&lt;&gt;""),AI65:AO65)))</t>
        </is>
      </c>
      <c r="BD65" s="49" t="inlineStr">
        <is>
          <t>IF(OR(F65="",AQ65=""),"",IF(COUNT(AI65:AP65)=0,"",AQ65-LOOKUP(2,1/(AI65:AP65&lt;&gt;""),AI65:AP65)))</t>
        </is>
      </c>
      <c r="BE65" s="49" t="inlineStr">
        <is>
          <t>IF(OR(F65="",AR65=""),"",IF(COUNT(AI65:AQ65)=0,"",AR65-LOOKUP(2,1/(AI65:AQ65&lt;&gt;""),AI65:AQ65)))</t>
        </is>
      </c>
      <c r="BF65" s="49" t="inlineStr">
        <is>
          <t>IF(OR(F65="",AS65=""),"",IF(COUNT(AI65:AR65)=0,"",AS65-LOOKUP(2,1/(AI65:AR65&lt;&gt;""),AI65:AR65)))</t>
        </is>
      </c>
      <c r="BG65" s="49" t="inlineStr">
        <is>
          <t>IF(OR(F65="",AT65=""),"",IF(COUNT(AI65:AS65)=0,"",AT65-LOOKUP(2,1/(AI65:AS65&lt;&gt;""),AI65:AS65)))</t>
        </is>
      </c>
      <c r="BH65" s="49" t="inlineStr">
        <is>
          <t>IF(OR(F65="",AU65=""),"",IF(COUNT(AI65:AT65)=0,"",AU65-LOOKUP(2,1/(AI65:AT65&lt;&gt;""),AI65:AT65)))</t>
        </is>
      </c>
      <c r="BI65" s="49" t="inlineStr">
        <is>
          <t>IF(OR(F65="",AV65=""),"",IF(COUNT(AI65:AU65)=0,"",AV65-LOOKUP(2,1/(AI65:AU65&lt;&gt;""),AI65:AU65)))</t>
        </is>
      </c>
      <c r="BJ65" s="51" t="inlineStr">
        <is>
          <t>IF(J65="","All_Provinces",IFERROR(VLOOKUP(J65,'09_Lookups'!$A$4:$B$20,2,FALSE),"All_Provinces"))</t>
        </is>
      </c>
      <c r="BK65" s="51" t="inlineStr">
        <is>
          <t>IF(K65="","All_Districts",IFERROR(VLOOKUP(K65,'09_Lookups'!$E$4:$F$42,2,FALSE),"All_Districts"))</t>
        </is>
      </c>
    </row>
    <row r="66" outlineLevel="1" ht="18" customHeight="1">
      <c r="A66" s="42" t="inlineStr">
        <is>
          <t>IF(F66="","",ROW()-3)</t>
        </is>
      </c>
      <c r="B66" s="65" t="inlineStr">
        <is>
          <t>AF2-DIS-02A</t>
        </is>
      </c>
      <c r="C66"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6" s="65" t="inlineStr">
        <is>
          <t>10 of 12</t>
        </is>
      </c>
      <c r="E66" s="52" t="inlineStr">
        <is>
          <t>AF2-DIS-N-024</t>
        </is>
      </c>
      <c r="F66" s="52" t="inlineStr">
        <is>
          <t>7.Kunar University Drip irrigation Scheme</t>
        </is>
      </c>
      <c r="G66" s="52" t="inlineStr">
        <is>
          <t>Drip Irrigation</t>
        </is>
      </c>
      <c r="H66" s="52" t="inlineStr">
        <is>
          <t>Drip Irrigation Plot</t>
        </is>
      </c>
      <c r="I66" s="52" t="inlineStr">
        <is>
          <t>Emergency Food Security Project (EFSP) – WBK/AF-2</t>
        </is>
      </c>
      <c r="J66" s="52" t="inlineStr">
        <is>
          <t>East / Jalalabad</t>
        </is>
      </c>
      <c r="K66" s="52" t="inlineStr">
        <is>
          <t>Kunar</t>
        </is>
      </c>
      <c r="L66" s="52" t="inlineStr">
        <is>
          <t>Asadabad</t>
        </is>
      </c>
      <c r="M66" s="52" t="inlineStr">
        <is>
          <t>Kunar University</t>
        </is>
      </c>
      <c r="N66" s="52" t="inlineStr">
        <is>
          <t>World Bank (WBK/AF-2)</t>
        </is>
      </c>
      <c r="O66" s="52" t="inlineStr">
        <is>
          <t>Not awarded</t>
        </is>
      </c>
      <c r="P66" s="52" t="inlineStr">
        <is>
          <t>5. Drip Irrigation systems</t>
        </is>
      </c>
      <c r="Q66" s="52" t="inlineStr">
        <is>
          <t>Kunar University</t>
        </is>
      </c>
      <c r="R66" s="52" t="inlineStr"/>
      <c r="S66" s="53" t="n">
        <v>4255.5</v>
      </c>
      <c r="T66" s="46" t="inlineStr">
        <is>
          <t>IF(AQ66="","",AQ66)</t>
        </is>
      </c>
      <c r="U66" s="54" t="n">
        <v>46380</v>
      </c>
      <c r="V66" s="55" t="n">
        <v>4.9</v>
      </c>
      <c r="W66" s="54" t="n">
        <v>46530</v>
      </c>
      <c r="X66" s="46" t="inlineStr">
        <is>
          <t>IF(W66&lt;&gt;"",W66,IF(OR(T66="",V66=""),"",EDATE(T66,V66)))</t>
        </is>
      </c>
      <c r="Y66" s="54" t="n"/>
      <c r="Z66" s="55" t="n"/>
      <c r="AA66" s="52" t="inlineStr">
        <is>
          <t>Retendered (Re-ITB)</t>
        </is>
      </c>
      <c r="AB66" s="52" t="inlineStr">
        <is>
          <t>Five month construction period. No slack period considered for Laghman and Nagrahar and two months slack period for Kunar and Nuristan. '- | Farmer: Kunar University</t>
        </is>
      </c>
      <c r="AC66" s="42" t="inlineStr">
        <is>
          <t>IF(F66="","",IF(COUNT(AI66:AV66)=0,IF(AA66="","Not started",AA66),SUBSTITUTE(LOOKUP(2,1/(AI66:AV66&lt;&gt;""),$AI$3:$AV$3),"Date: ","")))</t>
        </is>
      </c>
      <c r="AD66" s="49" t="inlineStr">
        <is>
          <t>IF(OR(F66="",COUNT(AI66:AV66)=0),"",TODAY()-LOOKUP(2,1/(AI66:AV66&lt;&gt;""),AI66:AV66))</t>
        </is>
      </c>
      <c r="AE66" s="49" t="inlineStr">
        <is>
          <t>IF(OR(F66="",COUNT(AI66:AV66)&lt;2),"",LOOKUP(2,1/(AI66:AV66&lt;&gt;""),AI66:AV66)-MIN(AI66:AV66))</t>
        </is>
      </c>
      <c r="AF66" s="49" t="inlineStr">
        <is>
          <t>IF(OR(AD66="",AC66="Not started",AC66=""),"",IFERROR(AD66-IF(VLOOKUP(AC66,'06_Status_Pipeline'!$B$3:$E$20,4,FALSE)="",0,VLOOKUP(AC66,'06_Status_Pipeline'!$B$3:$E$20,4,FALSE)),""))</t>
        </is>
      </c>
      <c r="AG66" s="42" t="inlineStr">
        <is>
          <t>IF(F66="","",IF(OR(AA66="Cancelled",AC66="Cancelled"),"Cancelled",IF(OR(AC66="Completed / Handover",Y66&lt;&gt;"",Z66&gt;=100),"Completed — on track",IF(O66="Not awarded",IF(U66="",IF(X66="","No planned date",IF(TODAY()&gt;X66,"Behind — past planned date",IF(X66-TODAY()&lt;=30,"At risk — close to off track","On track"))),IF(TODAY()&gt;U66,"Behind — award date passed",IF(U66-TODAY()&lt;=30,"At risk — close to off track","On track"))),IF(X66="","No planned date",IF(AND(TODAY()&gt;X66,OR(Z66="",Z66&lt;100)),"Behind — past end date",IF(AND(T66&lt;&gt;"",X66&lt;&gt;"",Z66&lt;&gt;"",(Z66&lt;100),((TODAY()-T66)/MAX(X66-T66,1)*100)-Z66&gt;15),"Behind — progress lag",IF(AND(X66-TODAY()&lt;=30,X66-TODAY()&gt;=0,OR(Z66="",Z66&lt;90)),"At risk — close to off track","On track"))))))))</t>
        </is>
      </c>
      <c r="AH66" s="49" t="inlineStr">
        <is>
          <t>IF(OR(F66="",AC66="Completed / Handover",AC66="Cancelled"),"",IF(O66="Not awarded",IF(U66&lt;&gt;"",U66-TODAY(),IF(X66="","",X66-TODAY())),IF(X66="","",X66-TODAY())))</t>
        </is>
      </c>
      <c r="AI66" s="54" t="n"/>
      <c r="AJ66" s="54" t="n"/>
      <c r="AK66" s="54" t="n"/>
      <c r="AL66" s="54" t="n"/>
      <c r="AM66" s="54" t="n"/>
      <c r="AN66" s="54" t="n"/>
      <c r="AO66" s="54" t="n"/>
      <c r="AP66" s="54" t="n"/>
      <c r="AQ66" s="54" t="n"/>
      <c r="AR66" s="54" t="n"/>
      <c r="AS66" s="54" t="n"/>
      <c r="AT66" s="50" t="n"/>
      <c r="AU66" s="50" t="n"/>
      <c r="AV66" s="50" t="n"/>
      <c r="AW66" s="49" t="inlineStr">
        <is>
          <t>IF(OR(F66="",AJ66=""),"",IF(COUNT(AI66:AI66)=0,"",AJ66-LOOKUP(2,1/(AI66:AI66&lt;&gt;""),AI66:AI66)))</t>
        </is>
      </c>
      <c r="AX66" s="49" t="inlineStr">
        <is>
          <t>IF(OR(F66="",AK66=""),"",IF(COUNT(AI66:AJ66)=0,"",AK66-LOOKUP(2,1/(AI66:AJ66&lt;&gt;""),AI66:AJ66)))</t>
        </is>
      </c>
      <c r="AY66" s="49" t="inlineStr">
        <is>
          <t>IF(OR(F66="",AL66=""),"",IF(COUNT(AI66:AK66)=0,"",AL66-LOOKUP(2,1/(AI66:AK66&lt;&gt;""),AI66:AK66)))</t>
        </is>
      </c>
      <c r="AZ66" s="49" t="inlineStr">
        <is>
          <t>IF(OR(F66="",AM66=""),"",IF(COUNT(AI66:AL66)=0,"",AM66-LOOKUP(2,1/(AI66:AL66&lt;&gt;""),AI66:AL66)))</t>
        </is>
      </c>
      <c r="BA66" s="49" t="inlineStr">
        <is>
          <t>IF(OR(F66="",AN66=""),"",IF(COUNT(AI66:AM66)=0,"",AN66-LOOKUP(2,1/(AI66:AM66&lt;&gt;""),AI66:AM66)))</t>
        </is>
      </c>
      <c r="BB66" s="49" t="inlineStr">
        <is>
          <t>IF(OR(F66="",AO66=""),"",IF(COUNT(AI66:AN66)=0,"",AO66-LOOKUP(2,1/(AI66:AN66&lt;&gt;""),AI66:AN66)))</t>
        </is>
      </c>
      <c r="BC66" s="49" t="inlineStr">
        <is>
          <t>IF(OR(F66="",AP66=""),"",IF(COUNT(AI66:AO66)=0,"",AP66-LOOKUP(2,1/(AI66:AO66&lt;&gt;""),AI66:AO66)))</t>
        </is>
      </c>
      <c r="BD66" s="49" t="inlineStr">
        <is>
          <t>IF(OR(F66="",AQ66=""),"",IF(COUNT(AI66:AP66)=0,"",AQ66-LOOKUP(2,1/(AI66:AP66&lt;&gt;""),AI66:AP66)))</t>
        </is>
      </c>
      <c r="BE66" s="49" t="inlineStr">
        <is>
          <t>IF(OR(F66="",AR66=""),"",IF(COUNT(AI66:AQ66)=0,"",AR66-LOOKUP(2,1/(AI66:AQ66&lt;&gt;""),AI66:AQ66)))</t>
        </is>
      </c>
      <c r="BF66" s="49" t="inlineStr">
        <is>
          <t>IF(OR(F66="",AS66=""),"",IF(COUNT(AI66:AR66)=0,"",AS66-LOOKUP(2,1/(AI66:AR66&lt;&gt;""),AI66:AR66)))</t>
        </is>
      </c>
      <c r="BG66" s="49" t="inlineStr">
        <is>
          <t>IF(OR(F66="",AT66=""),"",IF(COUNT(AI66:AS66)=0,"",AT66-LOOKUP(2,1/(AI66:AS66&lt;&gt;""),AI66:AS66)))</t>
        </is>
      </c>
      <c r="BH66" s="49" t="inlineStr">
        <is>
          <t>IF(OR(F66="",AU66=""),"",IF(COUNT(AI66:AT66)=0,"",AU66-LOOKUP(2,1/(AI66:AT66&lt;&gt;""),AI66:AT66)))</t>
        </is>
      </c>
      <c r="BI66" s="49" t="inlineStr">
        <is>
          <t>IF(OR(F66="",AV66=""),"",IF(COUNT(AI66:AU66)=0,"",AV66-LOOKUP(2,1/(AI66:AU66&lt;&gt;""),AI66:AU66)))</t>
        </is>
      </c>
      <c r="BJ66" s="51" t="inlineStr">
        <is>
          <t>IF(J66="","All_Provinces",IFERROR(VLOOKUP(J66,'09_Lookups'!$A$4:$B$20,2,FALSE),"All_Provinces"))</t>
        </is>
      </c>
      <c r="BK66" s="51" t="inlineStr">
        <is>
          <t>IF(K66="","All_Districts",IFERROR(VLOOKUP(K66,'09_Lookups'!$E$4:$F$42,2,FALSE),"All_Districts"))</t>
        </is>
      </c>
    </row>
    <row r="67" outlineLevel="1" ht="18" customHeight="1">
      <c r="A67" s="42" t="inlineStr">
        <is>
          <t>IF(F67="","",ROW()-3)</t>
        </is>
      </c>
      <c r="B67" s="65" t="inlineStr">
        <is>
          <t>AF2-DIS-02A</t>
        </is>
      </c>
      <c r="C67"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7" s="65" t="inlineStr">
        <is>
          <t>11 of 12</t>
        </is>
      </c>
      <c r="E67" s="44" t="inlineStr">
        <is>
          <t>AF2-DIS-N-025</t>
        </is>
      </c>
      <c r="F67" s="44" t="inlineStr">
        <is>
          <t>8.Parun Drip irrigation Site</t>
        </is>
      </c>
      <c r="G67" s="44" t="inlineStr">
        <is>
          <t>Drip Irrigation</t>
        </is>
      </c>
      <c r="H67" s="44" t="inlineStr">
        <is>
          <t>Drip Irrigation Plot</t>
        </is>
      </c>
      <c r="I67" s="44" t="inlineStr">
        <is>
          <t>Emergency Food Security Project (EFSP) – WBK/AF-2</t>
        </is>
      </c>
      <c r="J67" s="44" t="inlineStr">
        <is>
          <t>East / Jalalabad</t>
        </is>
      </c>
      <c r="K67" s="44" t="inlineStr">
        <is>
          <t>Nuristan</t>
        </is>
      </c>
      <c r="L67" s="44" t="inlineStr">
        <is>
          <t>Parun</t>
        </is>
      </c>
      <c r="M67" s="44" t="inlineStr">
        <is>
          <t>Ishtivi</t>
        </is>
      </c>
      <c r="N67" s="44" t="inlineStr">
        <is>
          <t>World Bank (WBK/AF-2)</t>
        </is>
      </c>
      <c r="O67" s="44" t="inlineStr">
        <is>
          <t>Not awarded</t>
        </is>
      </c>
      <c r="P67" s="44" t="inlineStr">
        <is>
          <t>5. Drip Irrigation systems</t>
        </is>
      </c>
      <c r="Q67" s="44" t="inlineStr">
        <is>
          <t>Ehsanullah</t>
        </is>
      </c>
      <c r="R67" s="44" t="inlineStr"/>
      <c r="S67" s="45" t="n">
        <v>5725.3</v>
      </c>
      <c r="T67" s="46" t="inlineStr">
        <is>
          <t>IF(AQ67="","",AQ67)</t>
        </is>
      </c>
      <c r="U67" s="47" t="n">
        <v>46380</v>
      </c>
      <c r="V67" s="48" t="n">
        <v>4.9</v>
      </c>
      <c r="W67" s="47" t="n">
        <v>46530</v>
      </c>
      <c r="X67" s="46" t="inlineStr">
        <is>
          <t>IF(W67&lt;&gt;"",W67,IF(OR(T67="",V67=""),"",EDATE(T67,V67)))</t>
        </is>
      </c>
      <c r="Y67" s="47" t="n"/>
      <c r="Z67" s="48" t="n"/>
      <c r="AA67" s="44" t="inlineStr">
        <is>
          <t>Retendered (Re-ITB)</t>
        </is>
      </c>
      <c r="AB67" s="44" t="inlineStr">
        <is>
          <t>Five month construction period. No slack period considered for Laghman and Nagrahar and two months slack period for Kunar and Nuristan. '- | Farmer: Ehsanullah</t>
        </is>
      </c>
      <c r="AC67" s="42" t="inlineStr">
        <is>
          <t>IF(F67="","",IF(COUNT(AI67:AV67)=0,IF(AA67="","Not started",AA67),SUBSTITUTE(LOOKUP(2,1/(AI67:AV67&lt;&gt;""),$AI$3:$AV$3),"Date: ","")))</t>
        </is>
      </c>
      <c r="AD67" s="49" t="inlineStr">
        <is>
          <t>IF(OR(F67="",COUNT(AI67:AV67)=0),"",TODAY()-LOOKUP(2,1/(AI67:AV67&lt;&gt;""),AI67:AV67))</t>
        </is>
      </c>
      <c r="AE67" s="49" t="inlineStr">
        <is>
          <t>IF(OR(F67="",COUNT(AI67:AV67)&lt;2),"",LOOKUP(2,1/(AI67:AV67&lt;&gt;""),AI67:AV67)-MIN(AI67:AV67))</t>
        </is>
      </c>
      <c r="AF67" s="49" t="inlineStr">
        <is>
          <t>IF(OR(AD67="",AC67="Not started",AC67=""),"",IFERROR(AD67-IF(VLOOKUP(AC67,'06_Status_Pipeline'!$B$3:$E$20,4,FALSE)="",0,VLOOKUP(AC67,'06_Status_Pipeline'!$B$3:$E$20,4,FALSE)),""))</t>
        </is>
      </c>
      <c r="AG67" s="42" t="inlineStr">
        <is>
          <t>IF(F67="","",IF(OR(AA67="Cancelled",AC67="Cancelled"),"Cancelled",IF(OR(AC67="Completed / Handover",Y67&lt;&gt;"",Z67&gt;=100),"Completed — on track",IF(O67="Not awarded",IF(U67="",IF(X67="","No planned date",IF(TODAY()&gt;X67,"Behind — past planned date",IF(X67-TODAY()&lt;=30,"At risk — close to off track","On track"))),IF(TODAY()&gt;U67,"Behind — award date passed",IF(U67-TODAY()&lt;=30,"At risk — close to off track","On track"))),IF(X67="","No planned date",IF(AND(TODAY()&gt;X67,OR(Z67="",Z67&lt;100)),"Behind — past end date",IF(AND(T67&lt;&gt;"",X67&lt;&gt;"",Z67&lt;&gt;"",(Z67&lt;100),((TODAY()-T67)/MAX(X67-T67,1)*100)-Z67&gt;15),"Behind — progress lag",IF(AND(X67-TODAY()&lt;=30,X67-TODAY()&gt;=0,OR(Z67="",Z67&lt;90)),"At risk — close to off track","On track"))))))))</t>
        </is>
      </c>
      <c r="AH67" s="49" t="inlineStr">
        <is>
          <t>IF(OR(F67="",AC67="Completed / Handover",AC67="Cancelled"),"",IF(O67="Not awarded",IF(U67&lt;&gt;"",U67-TODAY(),IF(X67="","",X67-TODAY())),IF(X67="","",X67-TODAY())))</t>
        </is>
      </c>
      <c r="AI67" s="47" t="n"/>
      <c r="AJ67" s="47" t="n"/>
      <c r="AK67" s="47" t="n"/>
      <c r="AL67" s="47" t="n"/>
      <c r="AM67" s="47" t="n"/>
      <c r="AN67" s="47" t="n"/>
      <c r="AO67" s="47" t="n"/>
      <c r="AP67" s="47" t="n"/>
      <c r="AQ67" s="47" t="n"/>
      <c r="AR67" s="47" t="n"/>
      <c r="AS67" s="47" t="n"/>
      <c r="AT67" s="50" t="n"/>
      <c r="AU67" s="50" t="n"/>
      <c r="AV67" s="50" t="n"/>
      <c r="AW67" s="49" t="inlineStr">
        <is>
          <t>IF(OR(F67="",AJ67=""),"",IF(COUNT(AI67:AI67)=0,"",AJ67-LOOKUP(2,1/(AI67:AI67&lt;&gt;""),AI67:AI67)))</t>
        </is>
      </c>
      <c r="AX67" s="49" t="inlineStr">
        <is>
          <t>IF(OR(F67="",AK67=""),"",IF(COUNT(AI67:AJ67)=0,"",AK67-LOOKUP(2,1/(AI67:AJ67&lt;&gt;""),AI67:AJ67)))</t>
        </is>
      </c>
      <c r="AY67" s="49" t="inlineStr">
        <is>
          <t>IF(OR(F67="",AL67=""),"",IF(COUNT(AI67:AK67)=0,"",AL67-LOOKUP(2,1/(AI67:AK67&lt;&gt;""),AI67:AK67)))</t>
        </is>
      </c>
      <c r="AZ67" s="49" t="inlineStr">
        <is>
          <t>IF(OR(F67="",AM67=""),"",IF(COUNT(AI67:AL67)=0,"",AM67-LOOKUP(2,1/(AI67:AL67&lt;&gt;""),AI67:AL67)))</t>
        </is>
      </c>
      <c r="BA67" s="49" t="inlineStr">
        <is>
          <t>IF(OR(F67="",AN67=""),"",IF(COUNT(AI67:AM67)=0,"",AN67-LOOKUP(2,1/(AI67:AM67&lt;&gt;""),AI67:AM67)))</t>
        </is>
      </c>
      <c r="BB67" s="49" t="inlineStr">
        <is>
          <t>IF(OR(F67="",AO67=""),"",IF(COUNT(AI67:AN67)=0,"",AO67-LOOKUP(2,1/(AI67:AN67&lt;&gt;""),AI67:AN67)))</t>
        </is>
      </c>
      <c r="BC67" s="49" t="inlineStr">
        <is>
          <t>IF(OR(F67="",AP67=""),"",IF(COUNT(AI67:AO67)=0,"",AP67-LOOKUP(2,1/(AI67:AO67&lt;&gt;""),AI67:AO67)))</t>
        </is>
      </c>
      <c r="BD67" s="49" t="inlineStr">
        <is>
          <t>IF(OR(F67="",AQ67=""),"",IF(COUNT(AI67:AP67)=0,"",AQ67-LOOKUP(2,1/(AI67:AP67&lt;&gt;""),AI67:AP67)))</t>
        </is>
      </c>
      <c r="BE67" s="49" t="inlineStr">
        <is>
          <t>IF(OR(F67="",AR67=""),"",IF(COUNT(AI67:AQ67)=0,"",AR67-LOOKUP(2,1/(AI67:AQ67&lt;&gt;""),AI67:AQ67)))</t>
        </is>
      </c>
      <c r="BF67" s="49" t="inlineStr">
        <is>
          <t>IF(OR(F67="",AS67=""),"",IF(COUNT(AI67:AR67)=0,"",AS67-LOOKUP(2,1/(AI67:AR67&lt;&gt;""),AI67:AR67)))</t>
        </is>
      </c>
      <c r="BG67" s="49" t="inlineStr">
        <is>
          <t>IF(OR(F67="",AT67=""),"",IF(COUNT(AI67:AS67)=0,"",AT67-LOOKUP(2,1/(AI67:AS67&lt;&gt;""),AI67:AS67)))</t>
        </is>
      </c>
      <c r="BH67" s="49" t="inlineStr">
        <is>
          <t>IF(OR(F67="",AU67=""),"",IF(COUNT(AI67:AT67)=0,"",AU67-LOOKUP(2,1/(AI67:AT67&lt;&gt;""),AI67:AT67)))</t>
        </is>
      </c>
      <c r="BI67" s="49" t="inlineStr">
        <is>
          <t>IF(OR(F67="",AV67=""),"",IF(COUNT(AI67:AU67)=0,"",AV67-LOOKUP(2,1/(AI67:AU67&lt;&gt;""),AI67:AU67)))</t>
        </is>
      </c>
      <c r="BJ67" s="51" t="inlineStr">
        <is>
          <t>IF(J67="","All_Provinces",IFERROR(VLOOKUP(J67,'09_Lookups'!$A$4:$B$20,2,FALSE),"All_Provinces"))</t>
        </is>
      </c>
      <c r="BK67" s="51" t="inlineStr">
        <is>
          <t>IF(K67="","All_Districts",IFERROR(VLOOKUP(K67,'09_Lookups'!$E$4:$F$42,2,FALSE),"All_Districts"))</t>
        </is>
      </c>
    </row>
    <row r="68" outlineLevel="1" ht="18" customHeight="1">
      <c r="A68" s="42" t="inlineStr">
        <is>
          <t>IF(F68="","",ROW()-3)</t>
        </is>
      </c>
      <c r="B68" s="65" t="inlineStr">
        <is>
          <t>AF2-DIS-02A</t>
        </is>
      </c>
      <c r="C68" s="65"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D68" s="65" t="inlineStr">
        <is>
          <t>12 of 12</t>
        </is>
      </c>
      <c r="E68" s="52" t="inlineStr">
        <is>
          <t>AF2-DIS-N-026</t>
        </is>
      </c>
      <c r="F68" s="52" t="inlineStr">
        <is>
          <t>9.Mateeullah Drip irrigation Site</t>
        </is>
      </c>
      <c r="G68" s="52" t="inlineStr">
        <is>
          <t>Drip Irrigation</t>
        </is>
      </c>
      <c r="H68" s="52" t="inlineStr">
        <is>
          <t>Drip Irrigation Plot</t>
        </is>
      </c>
      <c r="I68" s="52" t="inlineStr">
        <is>
          <t>Emergency Food Security Project (EFSP) – WBK/AF-2</t>
        </is>
      </c>
      <c r="J68" s="52" t="inlineStr">
        <is>
          <t>East / Jalalabad</t>
        </is>
      </c>
      <c r="K68" s="52" t="inlineStr">
        <is>
          <t>Nuristan</t>
        </is>
      </c>
      <c r="L68" s="52" t="inlineStr">
        <is>
          <t>Parun</t>
        </is>
      </c>
      <c r="M68" s="52" t="inlineStr">
        <is>
          <t>Pronz</t>
        </is>
      </c>
      <c r="N68" s="52" t="inlineStr">
        <is>
          <t>World Bank (WBK/AF-2)</t>
        </is>
      </c>
      <c r="O68" s="52" t="inlineStr">
        <is>
          <t>Not awarded</t>
        </is>
      </c>
      <c r="P68" s="52" t="inlineStr">
        <is>
          <t>5. Drip Irrigation systems</t>
        </is>
      </c>
      <c r="Q68" s="52" t="inlineStr">
        <is>
          <t>Mateeullah</t>
        </is>
      </c>
      <c r="R68" s="52" t="inlineStr"/>
      <c r="S68" s="53" t="n">
        <v>5216.26</v>
      </c>
      <c r="T68" s="46" t="inlineStr">
        <is>
          <t>IF(AQ68="","",AQ68)</t>
        </is>
      </c>
      <c r="U68" s="54" t="n">
        <v>46380</v>
      </c>
      <c r="V68" s="55" t="n">
        <v>4.9</v>
      </c>
      <c r="W68" s="54" t="n">
        <v>46530</v>
      </c>
      <c r="X68" s="46" t="inlineStr">
        <is>
          <t>IF(W68&lt;&gt;"",W68,IF(OR(T68="",V68=""),"",EDATE(T68,V68)))</t>
        </is>
      </c>
      <c r="Y68" s="54" t="n"/>
      <c r="Z68" s="55" t="n"/>
      <c r="AA68" s="52" t="inlineStr">
        <is>
          <t>Retendered (Re-ITB)</t>
        </is>
      </c>
      <c r="AB68" s="52" t="inlineStr">
        <is>
          <t>Five month construction period. No slack period considered for Laghman and Nagrahar and two months slack period for Kunar and Nuristan. '- | Farmer: Mateeullah</t>
        </is>
      </c>
      <c r="AC68" s="42" t="inlineStr">
        <is>
          <t>IF(F68="","",IF(COUNT(AI68:AV68)=0,IF(AA68="","Not started",AA68),SUBSTITUTE(LOOKUP(2,1/(AI68:AV68&lt;&gt;""),$AI$3:$AV$3),"Date: ","")))</t>
        </is>
      </c>
      <c r="AD68" s="49" t="inlineStr">
        <is>
          <t>IF(OR(F68="",COUNT(AI68:AV68)=0),"",TODAY()-LOOKUP(2,1/(AI68:AV68&lt;&gt;""),AI68:AV68))</t>
        </is>
      </c>
      <c r="AE68" s="49" t="inlineStr">
        <is>
          <t>IF(OR(F68="",COUNT(AI68:AV68)&lt;2),"",LOOKUP(2,1/(AI68:AV68&lt;&gt;""),AI68:AV68)-MIN(AI68:AV68))</t>
        </is>
      </c>
      <c r="AF68" s="49" t="inlineStr">
        <is>
          <t>IF(OR(AD68="",AC68="Not started",AC68=""),"",IFERROR(AD68-IF(VLOOKUP(AC68,'06_Status_Pipeline'!$B$3:$E$20,4,FALSE)="",0,VLOOKUP(AC68,'06_Status_Pipeline'!$B$3:$E$20,4,FALSE)),""))</t>
        </is>
      </c>
      <c r="AG68" s="42" t="inlineStr">
        <is>
          <t>IF(F68="","",IF(OR(AA68="Cancelled",AC68="Cancelled"),"Cancelled",IF(OR(AC68="Completed / Handover",Y68&lt;&gt;"",Z68&gt;=100),"Completed — on track",IF(O68="Not awarded",IF(U68="",IF(X68="","No planned date",IF(TODAY()&gt;X68,"Behind — past planned date",IF(X68-TODAY()&lt;=30,"At risk — close to off track","On track"))),IF(TODAY()&gt;U68,"Behind — award date passed",IF(U68-TODAY()&lt;=30,"At risk — close to off track","On track"))),IF(X68="","No planned date",IF(AND(TODAY()&gt;X68,OR(Z68="",Z68&lt;100)),"Behind — past end date",IF(AND(T68&lt;&gt;"",X68&lt;&gt;"",Z68&lt;&gt;"",(Z68&lt;100),((TODAY()-T68)/MAX(X68-T68,1)*100)-Z68&gt;15),"Behind — progress lag",IF(AND(X68-TODAY()&lt;=30,X68-TODAY()&gt;=0,OR(Z68="",Z68&lt;90)),"At risk — close to off track","On track"))))))))</t>
        </is>
      </c>
      <c r="AH68" s="49" t="inlineStr">
        <is>
          <t>IF(OR(F68="",AC68="Completed / Handover",AC68="Cancelled"),"",IF(O68="Not awarded",IF(U68&lt;&gt;"",U68-TODAY(),IF(X68="","",X68-TODAY())),IF(X68="","",X68-TODAY())))</t>
        </is>
      </c>
      <c r="AI68" s="54" t="n"/>
      <c r="AJ68" s="54" t="n"/>
      <c r="AK68" s="54" t="n"/>
      <c r="AL68" s="54" t="n"/>
      <c r="AM68" s="54" t="n"/>
      <c r="AN68" s="54" t="n"/>
      <c r="AO68" s="54" t="n"/>
      <c r="AP68" s="54" t="n"/>
      <c r="AQ68" s="54" t="n"/>
      <c r="AR68" s="54" t="n"/>
      <c r="AS68" s="54" t="n"/>
      <c r="AT68" s="50" t="n"/>
      <c r="AU68" s="50" t="n"/>
      <c r="AV68" s="50" t="n"/>
      <c r="AW68" s="49" t="inlineStr">
        <is>
          <t>IF(OR(F68="",AJ68=""),"",IF(COUNT(AI68:AI68)=0,"",AJ68-LOOKUP(2,1/(AI68:AI68&lt;&gt;""),AI68:AI68)))</t>
        </is>
      </c>
      <c r="AX68" s="49" t="inlineStr">
        <is>
          <t>IF(OR(F68="",AK68=""),"",IF(COUNT(AI68:AJ68)=0,"",AK68-LOOKUP(2,1/(AI68:AJ68&lt;&gt;""),AI68:AJ68)))</t>
        </is>
      </c>
      <c r="AY68" s="49" t="inlineStr">
        <is>
          <t>IF(OR(F68="",AL68=""),"",IF(COUNT(AI68:AK68)=0,"",AL68-LOOKUP(2,1/(AI68:AK68&lt;&gt;""),AI68:AK68)))</t>
        </is>
      </c>
      <c r="AZ68" s="49" t="inlineStr">
        <is>
          <t>IF(OR(F68="",AM68=""),"",IF(COUNT(AI68:AL68)=0,"",AM68-LOOKUP(2,1/(AI68:AL68&lt;&gt;""),AI68:AL68)))</t>
        </is>
      </c>
      <c r="BA68" s="49" t="inlineStr">
        <is>
          <t>IF(OR(F68="",AN68=""),"",IF(COUNT(AI68:AM68)=0,"",AN68-LOOKUP(2,1/(AI68:AM68&lt;&gt;""),AI68:AM68)))</t>
        </is>
      </c>
      <c r="BB68" s="49" t="inlineStr">
        <is>
          <t>IF(OR(F68="",AO68=""),"",IF(COUNT(AI68:AN68)=0,"",AO68-LOOKUP(2,1/(AI68:AN68&lt;&gt;""),AI68:AN68)))</t>
        </is>
      </c>
      <c r="BC68" s="49" t="inlineStr">
        <is>
          <t>IF(OR(F68="",AP68=""),"",IF(COUNT(AI68:AO68)=0,"",AP68-LOOKUP(2,1/(AI68:AO68&lt;&gt;""),AI68:AO68)))</t>
        </is>
      </c>
      <c r="BD68" s="49" t="inlineStr">
        <is>
          <t>IF(OR(F68="",AQ68=""),"",IF(COUNT(AI68:AP68)=0,"",AQ68-LOOKUP(2,1/(AI68:AP68&lt;&gt;""),AI68:AP68)))</t>
        </is>
      </c>
      <c r="BE68" s="49" t="inlineStr">
        <is>
          <t>IF(OR(F68="",AR68=""),"",IF(COUNT(AI68:AQ68)=0,"",AR68-LOOKUP(2,1/(AI68:AQ68&lt;&gt;""),AI68:AQ68)))</t>
        </is>
      </c>
      <c r="BF68" s="49" t="inlineStr">
        <is>
          <t>IF(OR(F68="",AS68=""),"",IF(COUNT(AI68:AR68)=0,"",AS68-LOOKUP(2,1/(AI68:AR68&lt;&gt;""),AI68:AR68)))</t>
        </is>
      </c>
      <c r="BG68" s="49" t="inlineStr">
        <is>
          <t>IF(OR(F68="",AT68=""),"",IF(COUNT(AI68:AS68)=0,"",AT68-LOOKUP(2,1/(AI68:AS68&lt;&gt;""),AI68:AS68)))</t>
        </is>
      </c>
      <c r="BH68" s="49" t="inlineStr">
        <is>
          <t>IF(OR(F68="",AU68=""),"",IF(COUNT(AI68:AT68)=0,"",AU68-LOOKUP(2,1/(AI68:AT68&lt;&gt;""),AI68:AT68)))</t>
        </is>
      </c>
      <c r="BI68" s="49" t="inlineStr">
        <is>
          <t>IF(OR(F68="",AV68=""),"",IF(COUNT(AI68:AU68)=0,"",AV68-LOOKUP(2,1/(AI68:AU68&lt;&gt;""),AI68:AU68)))</t>
        </is>
      </c>
      <c r="BJ68" s="51" t="inlineStr">
        <is>
          <t>IF(J68="","All_Provinces",IFERROR(VLOOKUP(J68,'09_Lookups'!$A$4:$B$20,2,FALSE),"All_Provinces"))</t>
        </is>
      </c>
      <c r="BK68" s="51" t="inlineStr">
        <is>
          <t>IF(K68="","All_Districts",IFERROR(VLOOKUP(K68,'09_Lookups'!$E$4:$F$42,2,FALSE),"All_Districts"))</t>
        </is>
      </c>
    </row>
    <row r="69" ht="18" customHeight="1">
      <c r="A69" s="32" t="inlineStr">
        <is>
          <t>IF(F69="","",ROW()-3)</t>
        </is>
      </c>
      <c r="B69" s="33" t="inlineStr">
        <is>
          <t>AF2-DIS-03</t>
        </is>
      </c>
      <c r="C69" s="33" t="inlineStr">
        <is>
          <t>Package #3-WBK/AF2 DIS: Demonstration of 14 Drip irrigation schemes at 13 district sites of 1. Parwan, 2. Kabul, 3. Wardak and 4. Kapisa provinces.</t>
        </is>
      </c>
      <c r="D69" s="33" t="inlineStr">
        <is>
          <t>1 of 14</t>
        </is>
      </c>
      <c r="E69" s="57" t="inlineStr">
        <is>
          <t>AF2-DIS-N-027</t>
        </is>
      </c>
      <c r="F69" s="57" t="inlineStr">
        <is>
          <t>Alberoni University Drip irrigation schemes</t>
        </is>
      </c>
      <c r="G69" s="57" t="inlineStr">
        <is>
          <t>Drip Irrigation</t>
        </is>
      </c>
      <c r="H69" s="57" t="inlineStr">
        <is>
          <t>Drip Irrigation Plot</t>
        </is>
      </c>
      <c r="I69" s="57" t="inlineStr">
        <is>
          <t>Emergency Food Security Project (EFSP) – WBK/AF-2</t>
        </is>
      </c>
      <c r="J69" s="57" t="inlineStr">
        <is>
          <t>Central / Kabul</t>
        </is>
      </c>
      <c r="K69" s="57" t="inlineStr">
        <is>
          <t>Kapisa</t>
        </is>
      </c>
      <c r="L69" s="57" t="inlineStr">
        <is>
          <t>Hesa-e- Awal Kohistan</t>
        </is>
      </c>
      <c r="M69" s="57" t="inlineStr">
        <is>
          <t>Alberoni university</t>
        </is>
      </c>
      <c r="N69" s="57" t="inlineStr">
        <is>
          <t>World Bank (WBK/AF-2)</t>
        </is>
      </c>
      <c r="O69" s="57" t="inlineStr">
        <is>
          <t>Not awarded</t>
        </is>
      </c>
      <c r="P69" s="57" t="inlineStr">
        <is>
          <t>5. Drip Irrigation systems</t>
        </is>
      </c>
      <c r="Q69" s="57" t="inlineStr">
        <is>
          <t>Alberoni University</t>
        </is>
      </c>
      <c r="R69" s="57" t="inlineStr"/>
      <c r="S69" s="58" t="n">
        <v>4250</v>
      </c>
      <c r="T69" s="36" t="inlineStr">
        <is>
          <t>IF(AQ69="","",AQ69)</t>
        </is>
      </c>
      <c r="U69" s="59" t="n">
        <v>46376</v>
      </c>
      <c r="V69" s="60" t="n">
        <v>6.3</v>
      </c>
      <c r="W69" s="59" t="n">
        <v>46568</v>
      </c>
      <c r="X69" s="36" t="inlineStr">
        <is>
          <t>IF(W69&lt;&gt;"",W69,IF(OR(T69="",V69=""),"",EDATE(T69,V69)))</t>
        </is>
      </c>
      <c r="Y69" s="59" t="n"/>
      <c r="Z69" s="60" t="n"/>
      <c r="AA69" s="57" t="inlineStr">
        <is>
          <t>Retendered (Re-ITB)</t>
        </is>
      </c>
      <c r="AB69" s="57" t="inlineStr">
        <is>
          <t>Slack period from mid December to March 2026. Four months construction period.'''- | Farmer: Alberoni University</t>
        </is>
      </c>
      <c r="AC69" s="32" t="inlineStr">
        <is>
          <t>IF(F69="","",IF(COUNT(AI69:AV69)=0,IF(AA69="","Not started",AA69),SUBSTITUTE(LOOKUP(2,1/(AI69:AV69&lt;&gt;""),$AI$3:$AV$3),"Date: ","")))</t>
        </is>
      </c>
      <c r="AD69" s="39" t="inlineStr">
        <is>
          <t>IF(OR(F69="",COUNT(AI69:AV69)=0),"",TODAY()-LOOKUP(2,1/(AI69:AV69&lt;&gt;""),AI69:AV69))</t>
        </is>
      </c>
      <c r="AE69" s="39" t="inlineStr">
        <is>
          <t>IF(OR(F69="",COUNT(AI69:AV69)&lt;2),"",LOOKUP(2,1/(AI69:AV69&lt;&gt;""),AI69:AV69)-MIN(AI69:AV69))</t>
        </is>
      </c>
      <c r="AF69" s="39" t="inlineStr">
        <is>
          <t>IF(OR(AD69="",AC69="Not started",AC69=""),"",IFERROR(AD69-IF(VLOOKUP(AC69,'06_Status_Pipeline'!$B$3:$E$20,4,FALSE)="",0,VLOOKUP(AC69,'06_Status_Pipeline'!$B$3:$E$20,4,FALSE)),""))</t>
        </is>
      </c>
      <c r="AG69" s="32" t="inlineStr">
        <is>
          <t>IF(F69="","",IF(OR(AA69="Cancelled",AC69="Cancelled"),"Cancelled",IF(OR(AC69="Completed / Handover",Y69&lt;&gt;"",Z69&gt;=100),"Completed — on track",IF(O69="Not awarded",IF(U69="",IF(X69="","No planned date",IF(TODAY()&gt;X69,"Behind — past planned date",IF(X69-TODAY()&lt;=30,"At risk — close to off track","On track"))),IF(TODAY()&gt;U69,"Behind — award date passed",IF(U69-TODAY()&lt;=30,"At risk — close to off track","On track"))),IF(X69="","No planned date",IF(AND(TODAY()&gt;X69,OR(Z69="",Z69&lt;100)),"Behind — past end date",IF(AND(T69&lt;&gt;"",X69&lt;&gt;"",Z69&lt;&gt;"",(Z69&lt;100),((TODAY()-T69)/MAX(X69-T69,1)*100)-Z69&gt;15),"Behind — progress lag",IF(AND(X69-TODAY()&lt;=30,X69-TODAY()&gt;=0,OR(Z69="",Z69&lt;90)),"At risk — close to off track","On track"))))))))</t>
        </is>
      </c>
      <c r="AH69" s="39" t="inlineStr">
        <is>
          <t>IF(OR(F69="",AC69="Completed / Handover",AC69="Cancelled"),"",IF(O69="Not awarded",IF(U69&lt;&gt;"",U69-TODAY(),IF(X69="","",X69-TODAY())),IF(X69="","",X69-TODAY())))</t>
        </is>
      </c>
      <c r="AI69" s="59" t="n"/>
      <c r="AJ69" s="59" t="n"/>
      <c r="AK69" s="59" t="n"/>
      <c r="AL69" s="59" t="n"/>
      <c r="AM69" s="59" t="n"/>
      <c r="AN69" s="59" t="n"/>
      <c r="AO69" s="59" t="n"/>
      <c r="AP69" s="59" t="n"/>
      <c r="AQ69" s="59" t="n"/>
      <c r="AR69" s="59" t="n"/>
      <c r="AS69" s="59" t="n"/>
      <c r="AT69" s="40" t="n"/>
      <c r="AU69" s="40" t="n"/>
      <c r="AV69" s="40" t="n"/>
      <c r="AW69" s="39" t="inlineStr">
        <is>
          <t>IF(OR(F69="",AJ69=""),"",IF(COUNT(AI69:AI69)=0,"",AJ69-LOOKUP(2,1/(AI69:AI69&lt;&gt;""),AI69:AI69)))</t>
        </is>
      </c>
      <c r="AX69" s="39" t="inlineStr">
        <is>
          <t>IF(OR(F69="",AK69=""),"",IF(COUNT(AI69:AJ69)=0,"",AK69-LOOKUP(2,1/(AI69:AJ69&lt;&gt;""),AI69:AJ69)))</t>
        </is>
      </c>
      <c r="AY69" s="39" t="inlineStr">
        <is>
          <t>IF(OR(F69="",AL69=""),"",IF(COUNT(AI69:AK69)=0,"",AL69-LOOKUP(2,1/(AI69:AK69&lt;&gt;""),AI69:AK69)))</t>
        </is>
      </c>
      <c r="AZ69" s="39" t="inlineStr">
        <is>
          <t>IF(OR(F69="",AM69=""),"",IF(COUNT(AI69:AL69)=0,"",AM69-LOOKUP(2,1/(AI69:AL69&lt;&gt;""),AI69:AL69)))</t>
        </is>
      </c>
      <c r="BA69" s="39" t="inlineStr">
        <is>
          <t>IF(OR(F69="",AN69=""),"",IF(COUNT(AI69:AM69)=0,"",AN69-LOOKUP(2,1/(AI69:AM69&lt;&gt;""),AI69:AM69)))</t>
        </is>
      </c>
      <c r="BB69" s="39" t="inlineStr">
        <is>
          <t>IF(OR(F69="",AO69=""),"",IF(COUNT(AI69:AN69)=0,"",AO69-LOOKUP(2,1/(AI69:AN69&lt;&gt;""),AI69:AN69)))</t>
        </is>
      </c>
      <c r="BC69" s="39" t="inlineStr">
        <is>
          <t>IF(OR(F69="",AP69=""),"",IF(COUNT(AI69:AO69)=0,"",AP69-LOOKUP(2,1/(AI69:AO69&lt;&gt;""),AI69:AO69)))</t>
        </is>
      </c>
      <c r="BD69" s="39" t="inlineStr">
        <is>
          <t>IF(OR(F69="",AQ69=""),"",IF(COUNT(AI69:AP69)=0,"",AQ69-LOOKUP(2,1/(AI69:AP69&lt;&gt;""),AI69:AP69)))</t>
        </is>
      </c>
      <c r="BE69" s="39" t="inlineStr">
        <is>
          <t>IF(OR(F69="",AR69=""),"",IF(COUNT(AI69:AQ69)=0,"",AR69-LOOKUP(2,1/(AI69:AQ69&lt;&gt;""),AI69:AQ69)))</t>
        </is>
      </c>
      <c r="BF69" s="39" t="inlineStr">
        <is>
          <t>IF(OR(F69="",AS69=""),"",IF(COUNT(AI69:AR69)=0,"",AS69-LOOKUP(2,1/(AI69:AR69&lt;&gt;""),AI69:AR69)))</t>
        </is>
      </c>
      <c r="BG69" s="39" t="inlineStr">
        <is>
          <t>IF(OR(F69="",AT69=""),"",IF(COUNT(AI69:AS69)=0,"",AT69-LOOKUP(2,1/(AI69:AS69&lt;&gt;""),AI69:AS69)))</t>
        </is>
      </c>
      <c r="BH69" s="39" t="inlineStr">
        <is>
          <t>IF(OR(F69="",AU69=""),"",IF(COUNT(AI69:AT69)=0,"",AU69-LOOKUP(2,1/(AI69:AT69&lt;&gt;""),AI69:AT69)))</t>
        </is>
      </c>
      <c r="BI69" s="39" t="inlineStr">
        <is>
          <t>IF(OR(F69="",AV69=""),"",IF(COUNT(AI69:AU69)=0,"",AV69-LOOKUP(2,1/(AI69:AU69&lt;&gt;""),AI69:AU69)))</t>
        </is>
      </c>
      <c r="BJ69" s="41" t="inlineStr">
        <is>
          <t>IF(J69="","All_Provinces",IFERROR(VLOOKUP(J69,'09_Lookups'!$A$4:$B$20,2,FALSE),"All_Provinces"))</t>
        </is>
      </c>
      <c r="BK69" s="41" t="inlineStr">
        <is>
          <t>IF(K69="","All_Districts",IFERROR(VLOOKUP(K69,'09_Lookups'!$E$4:$F$42,2,FALSE),"All_Districts"))</t>
        </is>
      </c>
    </row>
    <row r="70" outlineLevel="1" ht="18" customHeight="1">
      <c r="A70" s="42" t="inlineStr">
        <is>
          <t>IF(F70="","",ROW()-3)</t>
        </is>
      </c>
      <c r="B70" s="43" t="inlineStr">
        <is>
          <t>AF2-DIS-03</t>
        </is>
      </c>
      <c r="C70" s="43" t="inlineStr">
        <is>
          <t>Package #3-WBK/AF2 DIS: Demonstration of 14 Drip irrigation schemes at 13 district sites of 1. Parwan, 2. Kabul, 3. Wardak and 4. Kapisa provinces.</t>
        </is>
      </c>
      <c r="D70" s="43" t="inlineStr">
        <is>
          <t>2 of 14</t>
        </is>
      </c>
      <c r="E70" s="52" t="inlineStr">
        <is>
          <t>AF2-DIS-N-028</t>
        </is>
      </c>
      <c r="F70" s="52" t="inlineStr">
        <is>
          <t>Arghande Bala Drip irrigation schemes</t>
        </is>
      </c>
      <c r="G70" s="52" t="inlineStr">
        <is>
          <t>Drip Irrigation</t>
        </is>
      </c>
      <c r="H70" s="52" t="inlineStr">
        <is>
          <t>Drip Irrigation Plot</t>
        </is>
      </c>
      <c r="I70" s="52" t="inlineStr">
        <is>
          <t>Emergency Food Security Project (EFSP) – WBK/AF-2</t>
        </is>
      </c>
      <c r="J70" s="52" t="inlineStr">
        <is>
          <t>Central / Kabul</t>
        </is>
      </c>
      <c r="K70" s="52" t="inlineStr">
        <is>
          <t>Kabul</t>
        </is>
      </c>
      <c r="L70" s="52" t="inlineStr">
        <is>
          <t>Paghman</t>
        </is>
      </c>
      <c r="M70" s="52" t="inlineStr">
        <is>
          <t>Arghande bala</t>
        </is>
      </c>
      <c r="N70" s="52" t="inlineStr">
        <is>
          <t>World Bank (WBK/AF-2)</t>
        </is>
      </c>
      <c r="O70" s="52" t="inlineStr">
        <is>
          <t>Not awarded</t>
        </is>
      </c>
      <c r="P70" s="52" t="inlineStr">
        <is>
          <t>5. Drip Irrigation systems</t>
        </is>
      </c>
      <c r="Q70" s="52" t="inlineStr">
        <is>
          <t>Mohammad Yousaf</t>
        </is>
      </c>
      <c r="R70" s="52" t="inlineStr"/>
      <c r="S70" s="53" t="n">
        <v>8500</v>
      </c>
      <c r="T70" s="46" t="inlineStr">
        <is>
          <t>IF(AQ70="","",AQ70)</t>
        </is>
      </c>
      <c r="U70" s="54" t="n">
        <v>46376</v>
      </c>
      <c r="V70" s="55" t="n">
        <v>6.3</v>
      </c>
      <c r="W70" s="54" t="n">
        <v>46568</v>
      </c>
      <c r="X70" s="46" t="inlineStr">
        <is>
          <t>IF(W70&lt;&gt;"",W70,IF(OR(T70="",V70=""),"",EDATE(T70,V70)))</t>
        </is>
      </c>
      <c r="Y70" s="54" t="n"/>
      <c r="Z70" s="55" t="n"/>
      <c r="AA70" s="52" t="inlineStr">
        <is>
          <t>Retendered (Re-ITB)</t>
        </is>
      </c>
      <c r="AB70" s="52" t="inlineStr">
        <is>
          <t>Slack period from mid December to March 2026. Four months construction period.''- | Farmer: Mohammad Yousaf</t>
        </is>
      </c>
      <c r="AC70" s="42" t="inlineStr">
        <is>
          <t>IF(F70="","",IF(COUNT(AI70:AV70)=0,IF(AA70="","Not started",AA70),SUBSTITUTE(LOOKUP(2,1/(AI70:AV70&lt;&gt;""),$AI$3:$AV$3),"Date: ","")))</t>
        </is>
      </c>
      <c r="AD70" s="49" t="inlineStr">
        <is>
          <t>IF(OR(F70="",COUNT(AI70:AV70)=0),"",TODAY()-LOOKUP(2,1/(AI70:AV70&lt;&gt;""),AI70:AV70))</t>
        </is>
      </c>
      <c r="AE70" s="49" t="inlineStr">
        <is>
          <t>IF(OR(F70="",COUNT(AI70:AV70)&lt;2),"",LOOKUP(2,1/(AI70:AV70&lt;&gt;""),AI70:AV70)-MIN(AI70:AV70))</t>
        </is>
      </c>
      <c r="AF70" s="49" t="inlineStr">
        <is>
          <t>IF(OR(AD70="",AC70="Not started",AC70=""),"",IFERROR(AD70-IF(VLOOKUP(AC70,'06_Status_Pipeline'!$B$3:$E$20,4,FALSE)="",0,VLOOKUP(AC70,'06_Status_Pipeline'!$B$3:$E$20,4,FALSE)),""))</t>
        </is>
      </c>
      <c r="AG70" s="42" t="inlineStr">
        <is>
          <t>IF(F70="","",IF(OR(AA70="Cancelled",AC70="Cancelled"),"Cancelled",IF(OR(AC70="Completed / Handover",Y70&lt;&gt;"",Z70&gt;=100),"Completed — on track",IF(O70="Not awarded",IF(U70="",IF(X70="","No planned date",IF(TODAY()&gt;X70,"Behind — past planned date",IF(X70-TODAY()&lt;=30,"At risk — close to off track","On track"))),IF(TODAY()&gt;U70,"Behind — award date passed",IF(U70-TODAY()&lt;=30,"At risk — close to off track","On track"))),IF(X70="","No planned date",IF(AND(TODAY()&gt;X70,OR(Z70="",Z70&lt;100)),"Behind — past end date",IF(AND(T70&lt;&gt;"",X70&lt;&gt;"",Z70&lt;&gt;"",(Z70&lt;100),((TODAY()-T70)/MAX(X70-T70,1)*100)-Z70&gt;15),"Behind — progress lag",IF(AND(X70-TODAY()&lt;=30,X70-TODAY()&gt;=0,OR(Z70="",Z70&lt;90)),"At risk — close to off track","On track"))))))))</t>
        </is>
      </c>
      <c r="AH70" s="49" t="inlineStr">
        <is>
          <t>IF(OR(F70="",AC70="Completed / Handover",AC70="Cancelled"),"",IF(O70="Not awarded",IF(U70&lt;&gt;"",U70-TODAY(),IF(X70="","",X70-TODAY())),IF(X70="","",X70-TODAY())))</t>
        </is>
      </c>
      <c r="AI70" s="54" t="n"/>
      <c r="AJ70" s="54" t="n"/>
      <c r="AK70" s="54" t="n"/>
      <c r="AL70" s="54" t="n"/>
      <c r="AM70" s="54" t="n"/>
      <c r="AN70" s="54" t="n"/>
      <c r="AO70" s="54" t="n"/>
      <c r="AP70" s="54" t="n"/>
      <c r="AQ70" s="54" t="n"/>
      <c r="AR70" s="54" t="n"/>
      <c r="AS70" s="54" t="n"/>
      <c r="AT70" s="50" t="n"/>
      <c r="AU70" s="50" t="n"/>
      <c r="AV70" s="50" t="n"/>
      <c r="AW70" s="49" t="inlineStr">
        <is>
          <t>IF(OR(F70="",AJ70=""),"",IF(COUNT(AI70:AI70)=0,"",AJ70-LOOKUP(2,1/(AI70:AI70&lt;&gt;""),AI70:AI70)))</t>
        </is>
      </c>
      <c r="AX70" s="49" t="inlineStr">
        <is>
          <t>IF(OR(F70="",AK70=""),"",IF(COUNT(AI70:AJ70)=0,"",AK70-LOOKUP(2,1/(AI70:AJ70&lt;&gt;""),AI70:AJ70)))</t>
        </is>
      </c>
      <c r="AY70" s="49" t="inlineStr">
        <is>
          <t>IF(OR(F70="",AL70=""),"",IF(COUNT(AI70:AK70)=0,"",AL70-LOOKUP(2,1/(AI70:AK70&lt;&gt;""),AI70:AK70)))</t>
        </is>
      </c>
      <c r="AZ70" s="49" t="inlineStr">
        <is>
          <t>IF(OR(F70="",AM70=""),"",IF(COUNT(AI70:AL70)=0,"",AM70-LOOKUP(2,1/(AI70:AL70&lt;&gt;""),AI70:AL70)))</t>
        </is>
      </c>
      <c r="BA70" s="49" t="inlineStr">
        <is>
          <t>IF(OR(F70="",AN70=""),"",IF(COUNT(AI70:AM70)=0,"",AN70-LOOKUP(2,1/(AI70:AM70&lt;&gt;""),AI70:AM70)))</t>
        </is>
      </c>
      <c r="BB70" s="49" t="inlineStr">
        <is>
          <t>IF(OR(F70="",AO70=""),"",IF(COUNT(AI70:AN70)=0,"",AO70-LOOKUP(2,1/(AI70:AN70&lt;&gt;""),AI70:AN70)))</t>
        </is>
      </c>
      <c r="BC70" s="49" t="inlineStr">
        <is>
          <t>IF(OR(F70="",AP70=""),"",IF(COUNT(AI70:AO70)=0,"",AP70-LOOKUP(2,1/(AI70:AO70&lt;&gt;""),AI70:AO70)))</t>
        </is>
      </c>
      <c r="BD70" s="49" t="inlineStr">
        <is>
          <t>IF(OR(F70="",AQ70=""),"",IF(COUNT(AI70:AP70)=0,"",AQ70-LOOKUP(2,1/(AI70:AP70&lt;&gt;""),AI70:AP70)))</t>
        </is>
      </c>
      <c r="BE70" s="49" t="inlineStr">
        <is>
          <t>IF(OR(F70="",AR70=""),"",IF(COUNT(AI70:AQ70)=0,"",AR70-LOOKUP(2,1/(AI70:AQ70&lt;&gt;""),AI70:AQ70)))</t>
        </is>
      </c>
      <c r="BF70" s="49" t="inlineStr">
        <is>
          <t>IF(OR(F70="",AS70=""),"",IF(COUNT(AI70:AR70)=0,"",AS70-LOOKUP(2,1/(AI70:AR70&lt;&gt;""),AI70:AR70)))</t>
        </is>
      </c>
      <c r="BG70" s="49" t="inlineStr">
        <is>
          <t>IF(OR(F70="",AT70=""),"",IF(COUNT(AI70:AS70)=0,"",AT70-LOOKUP(2,1/(AI70:AS70&lt;&gt;""),AI70:AS70)))</t>
        </is>
      </c>
      <c r="BH70" s="49" t="inlineStr">
        <is>
          <t>IF(OR(F70="",AU70=""),"",IF(COUNT(AI70:AT70)=0,"",AU70-LOOKUP(2,1/(AI70:AT70&lt;&gt;""),AI70:AT70)))</t>
        </is>
      </c>
      <c r="BI70" s="49" t="inlineStr">
        <is>
          <t>IF(OR(F70="",AV70=""),"",IF(COUNT(AI70:AU70)=0,"",AV70-LOOKUP(2,1/(AI70:AU70&lt;&gt;""),AI70:AU70)))</t>
        </is>
      </c>
      <c r="BJ70" s="51" t="inlineStr">
        <is>
          <t>IF(J70="","All_Provinces",IFERROR(VLOOKUP(J70,'09_Lookups'!$A$4:$B$20,2,FALSE),"All_Provinces"))</t>
        </is>
      </c>
      <c r="BK70" s="51" t="inlineStr">
        <is>
          <t>IF(K70="","All_Districts",IFERROR(VLOOKUP(K70,'09_Lookups'!$E$4:$F$42,2,FALSE),"All_Districts"))</t>
        </is>
      </c>
    </row>
    <row r="71" outlineLevel="1" ht="18" customHeight="1">
      <c r="A71" s="42" t="inlineStr">
        <is>
          <t>IF(F71="","",ROW()-3)</t>
        </is>
      </c>
      <c r="B71" s="43" t="inlineStr">
        <is>
          <t>AF2-DIS-03</t>
        </is>
      </c>
      <c r="C71" s="43" t="inlineStr">
        <is>
          <t>Package #3-WBK/AF2 DIS: Demonstration of 14 Drip irrigation schemes at 13 district sites of 1. Parwan, 2. Kabul, 3. Wardak and 4. Kapisa provinces.</t>
        </is>
      </c>
      <c r="D71" s="43" t="inlineStr">
        <is>
          <t>3 of 14</t>
        </is>
      </c>
      <c r="E71" s="44" t="inlineStr">
        <is>
          <t>AF2-DIS-N-029</t>
        </is>
      </c>
      <c r="F71" s="44" t="inlineStr">
        <is>
          <t>Dahan Rabat Drip irrigation schemes</t>
        </is>
      </c>
      <c r="G71" s="44" t="inlineStr">
        <is>
          <t>Drip Irrigation</t>
        </is>
      </c>
      <c r="H71" s="44" t="inlineStr">
        <is>
          <t>Drip Irrigation Plot</t>
        </is>
      </c>
      <c r="I71" s="44" t="inlineStr">
        <is>
          <t>Emergency Food Security Project (EFSP) – WBK/AF-2</t>
        </is>
      </c>
      <c r="J71" s="44" t="inlineStr">
        <is>
          <t>Central / Kabul</t>
        </is>
      </c>
      <c r="K71" s="44" t="inlineStr">
        <is>
          <t>Parwan</t>
        </is>
      </c>
      <c r="L71" s="44" t="inlineStr">
        <is>
          <t>Shikh Ali</t>
        </is>
      </c>
      <c r="M71" s="44" t="inlineStr">
        <is>
          <t>Dahan Rabat</t>
        </is>
      </c>
      <c r="N71" s="44" t="inlineStr">
        <is>
          <t>World Bank (WBK/AF-2)</t>
        </is>
      </c>
      <c r="O71" s="44" t="inlineStr">
        <is>
          <t>Not awarded</t>
        </is>
      </c>
      <c r="P71" s="44" t="inlineStr">
        <is>
          <t>5. Drip Irrigation systems</t>
        </is>
      </c>
      <c r="Q71" s="44" t="inlineStr">
        <is>
          <t>Abdullah</t>
        </is>
      </c>
      <c r="R71" s="44" t="inlineStr"/>
      <c r="S71" s="45" t="n">
        <v>4250</v>
      </c>
      <c r="T71" s="46" t="inlineStr">
        <is>
          <t>IF(AQ71="","",AQ71)</t>
        </is>
      </c>
      <c r="U71" s="47" t="n">
        <v>46371</v>
      </c>
      <c r="V71" s="48" t="n">
        <v>6.4</v>
      </c>
      <c r="W71" s="47" t="n">
        <v>46566</v>
      </c>
      <c r="X71" s="46" t="inlineStr">
        <is>
          <t>IF(W71&lt;&gt;"",W71,IF(OR(T71="",V71=""),"",EDATE(T71,V71)))</t>
        </is>
      </c>
      <c r="Y71" s="47" t="n"/>
      <c r="Z71" s="48" t="n"/>
      <c r="AA71" s="44" t="inlineStr">
        <is>
          <t>Retendered (Re-ITB)</t>
        </is>
      </c>
      <c r="AB71" s="44" t="inlineStr">
        <is>
          <t>Slack period from mid December to March 2026. Four months construction period.'- | Farmer: Abdullah</t>
        </is>
      </c>
      <c r="AC71" s="42" t="inlineStr">
        <is>
          <t>IF(F71="","",IF(COUNT(AI71:AV71)=0,IF(AA71="","Not started",AA71),SUBSTITUTE(LOOKUP(2,1/(AI71:AV71&lt;&gt;""),$AI$3:$AV$3),"Date: ","")))</t>
        </is>
      </c>
      <c r="AD71" s="49" t="inlineStr">
        <is>
          <t>IF(OR(F71="",COUNT(AI71:AV71)=0),"",TODAY()-LOOKUP(2,1/(AI71:AV71&lt;&gt;""),AI71:AV71))</t>
        </is>
      </c>
      <c r="AE71" s="49" t="inlineStr">
        <is>
          <t>IF(OR(F71="",COUNT(AI71:AV71)&lt;2),"",LOOKUP(2,1/(AI71:AV71&lt;&gt;""),AI71:AV71)-MIN(AI71:AV71))</t>
        </is>
      </c>
      <c r="AF71" s="49" t="inlineStr">
        <is>
          <t>IF(OR(AD71="",AC71="Not started",AC71=""),"",IFERROR(AD71-IF(VLOOKUP(AC71,'06_Status_Pipeline'!$B$3:$E$20,4,FALSE)="",0,VLOOKUP(AC71,'06_Status_Pipeline'!$B$3:$E$20,4,FALSE)),""))</t>
        </is>
      </c>
      <c r="AG71" s="42" t="inlineStr">
        <is>
          <t>IF(F71="","",IF(OR(AA71="Cancelled",AC71="Cancelled"),"Cancelled",IF(OR(AC71="Completed / Handover",Y71&lt;&gt;"",Z71&gt;=100),"Completed — on track",IF(O71="Not awarded",IF(U71="",IF(X71="","No planned date",IF(TODAY()&gt;X71,"Behind — past planned date",IF(X71-TODAY()&lt;=30,"At risk — close to off track","On track"))),IF(TODAY()&gt;U71,"Behind — award date passed",IF(U71-TODAY()&lt;=30,"At risk — close to off track","On track"))),IF(X71="","No planned date",IF(AND(TODAY()&gt;X71,OR(Z71="",Z71&lt;100)),"Behind — past end date",IF(AND(T71&lt;&gt;"",X71&lt;&gt;"",Z71&lt;&gt;"",(Z71&lt;100),((TODAY()-T71)/MAX(X71-T71,1)*100)-Z71&gt;15),"Behind — progress lag",IF(AND(X71-TODAY()&lt;=30,X71-TODAY()&gt;=0,OR(Z71="",Z71&lt;90)),"At risk — close to off track","On track"))))))))</t>
        </is>
      </c>
      <c r="AH71" s="49" t="inlineStr">
        <is>
          <t>IF(OR(F71="",AC71="Completed / Handover",AC71="Cancelled"),"",IF(O71="Not awarded",IF(U71&lt;&gt;"",U71-TODAY(),IF(X71="","",X71-TODAY())),IF(X71="","",X71-TODAY())))</t>
        </is>
      </c>
      <c r="AI71" s="47" t="n"/>
      <c r="AJ71" s="47" t="n"/>
      <c r="AK71" s="47" t="n"/>
      <c r="AL71" s="47" t="n"/>
      <c r="AM71" s="47" t="n"/>
      <c r="AN71" s="47" t="n"/>
      <c r="AO71" s="47" t="n"/>
      <c r="AP71" s="47" t="n"/>
      <c r="AQ71" s="47" t="n"/>
      <c r="AR71" s="47" t="n"/>
      <c r="AS71" s="47" t="n"/>
      <c r="AT71" s="50" t="n"/>
      <c r="AU71" s="50" t="n"/>
      <c r="AV71" s="50" t="n"/>
      <c r="AW71" s="49" t="inlineStr">
        <is>
          <t>IF(OR(F71="",AJ71=""),"",IF(COUNT(AI71:AI71)=0,"",AJ71-LOOKUP(2,1/(AI71:AI71&lt;&gt;""),AI71:AI71)))</t>
        </is>
      </c>
      <c r="AX71" s="49" t="inlineStr">
        <is>
          <t>IF(OR(F71="",AK71=""),"",IF(COUNT(AI71:AJ71)=0,"",AK71-LOOKUP(2,1/(AI71:AJ71&lt;&gt;""),AI71:AJ71)))</t>
        </is>
      </c>
      <c r="AY71" s="49" t="inlineStr">
        <is>
          <t>IF(OR(F71="",AL71=""),"",IF(COUNT(AI71:AK71)=0,"",AL71-LOOKUP(2,1/(AI71:AK71&lt;&gt;""),AI71:AK71)))</t>
        </is>
      </c>
      <c r="AZ71" s="49" t="inlineStr">
        <is>
          <t>IF(OR(F71="",AM71=""),"",IF(COUNT(AI71:AL71)=0,"",AM71-LOOKUP(2,1/(AI71:AL71&lt;&gt;""),AI71:AL71)))</t>
        </is>
      </c>
      <c r="BA71" s="49" t="inlineStr">
        <is>
          <t>IF(OR(F71="",AN71=""),"",IF(COUNT(AI71:AM71)=0,"",AN71-LOOKUP(2,1/(AI71:AM71&lt;&gt;""),AI71:AM71)))</t>
        </is>
      </c>
      <c r="BB71" s="49" t="inlineStr">
        <is>
          <t>IF(OR(F71="",AO71=""),"",IF(COUNT(AI71:AN71)=0,"",AO71-LOOKUP(2,1/(AI71:AN71&lt;&gt;""),AI71:AN71)))</t>
        </is>
      </c>
      <c r="BC71" s="49" t="inlineStr">
        <is>
          <t>IF(OR(F71="",AP71=""),"",IF(COUNT(AI71:AO71)=0,"",AP71-LOOKUP(2,1/(AI71:AO71&lt;&gt;""),AI71:AO71)))</t>
        </is>
      </c>
      <c r="BD71" s="49" t="inlineStr">
        <is>
          <t>IF(OR(F71="",AQ71=""),"",IF(COUNT(AI71:AP71)=0,"",AQ71-LOOKUP(2,1/(AI71:AP71&lt;&gt;""),AI71:AP71)))</t>
        </is>
      </c>
      <c r="BE71" s="49" t="inlineStr">
        <is>
          <t>IF(OR(F71="",AR71=""),"",IF(COUNT(AI71:AQ71)=0,"",AR71-LOOKUP(2,1/(AI71:AQ71&lt;&gt;""),AI71:AQ71)))</t>
        </is>
      </c>
      <c r="BF71" s="49" t="inlineStr">
        <is>
          <t>IF(OR(F71="",AS71=""),"",IF(COUNT(AI71:AR71)=0,"",AS71-LOOKUP(2,1/(AI71:AR71&lt;&gt;""),AI71:AR71)))</t>
        </is>
      </c>
      <c r="BG71" s="49" t="inlineStr">
        <is>
          <t>IF(OR(F71="",AT71=""),"",IF(COUNT(AI71:AS71)=0,"",AT71-LOOKUP(2,1/(AI71:AS71&lt;&gt;""),AI71:AS71)))</t>
        </is>
      </c>
      <c r="BH71" s="49" t="inlineStr">
        <is>
          <t>IF(OR(F71="",AU71=""),"",IF(COUNT(AI71:AT71)=0,"",AU71-LOOKUP(2,1/(AI71:AT71&lt;&gt;""),AI71:AT71)))</t>
        </is>
      </c>
      <c r="BI71" s="49" t="inlineStr">
        <is>
          <t>IF(OR(F71="",AV71=""),"",IF(COUNT(AI71:AU71)=0,"",AV71-LOOKUP(2,1/(AI71:AU71&lt;&gt;""),AI71:AU71)))</t>
        </is>
      </c>
      <c r="BJ71" s="51" t="inlineStr">
        <is>
          <t>IF(J71="","All_Provinces",IFERROR(VLOOKUP(J71,'09_Lookups'!$A$4:$B$20,2,FALSE),"All_Provinces"))</t>
        </is>
      </c>
      <c r="BK71" s="51" t="inlineStr">
        <is>
          <t>IF(K71="","All_Districts",IFERROR(VLOOKUP(K71,'09_Lookups'!$E$4:$F$42,2,FALSE),"All_Districts"))</t>
        </is>
      </c>
    </row>
    <row r="72" outlineLevel="1" ht="18" customHeight="1">
      <c r="A72" s="42" t="inlineStr">
        <is>
          <t>IF(F72="","",ROW()-3)</t>
        </is>
      </c>
      <c r="B72" s="43" t="inlineStr">
        <is>
          <t>AF2-DIS-03</t>
        </is>
      </c>
      <c r="C72" s="43" t="inlineStr">
        <is>
          <t>Package #3-WBK/AF2 DIS: Demonstration of 14 Drip irrigation schemes at 13 district sites of 1. Parwan, 2. Kabul, 3. Wardak and 4. Kapisa provinces.</t>
        </is>
      </c>
      <c r="D72" s="43" t="inlineStr">
        <is>
          <t>4 of 14</t>
        </is>
      </c>
      <c r="E72" s="52" t="inlineStr">
        <is>
          <t>AF2-DIS-N-030</t>
        </is>
      </c>
      <c r="F72" s="52" t="inlineStr">
        <is>
          <t>Dasht-e- Top Drip irrigation schemes</t>
        </is>
      </c>
      <c r="G72" s="52" t="inlineStr">
        <is>
          <t>Drip Irrigation</t>
        </is>
      </c>
      <c r="H72" s="52" t="inlineStr">
        <is>
          <t>Drip Irrigation Plot</t>
        </is>
      </c>
      <c r="I72" s="52" t="inlineStr">
        <is>
          <t>Emergency Food Security Project (EFSP) – WBK/AF-2</t>
        </is>
      </c>
      <c r="J72" s="52" t="inlineStr">
        <is>
          <t>Central / Kabul</t>
        </is>
      </c>
      <c r="K72" s="52" t="inlineStr">
        <is>
          <t>Wardak</t>
        </is>
      </c>
      <c r="L72" s="52" t="inlineStr">
        <is>
          <t>Saydabad</t>
        </is>
      </c>
      <c r="M72" s="52" t="inlineStr">
        <is>
          <t>Wardak university</t>
        </is>
      </c>
      <c r="N72" s="52" t="inlineStr">
        <is>
          <t>World Bank (WBK/AF-2)</t>
        </is>
      </c>
      <c r="O72" s="52" t="inlineStr">
        <is>
          <t>Not awarded</t>
        </is>
      </c>
      <c r="P72" s="52" t="inlineStr">
        <is>
          <t>5. Drip Irrigation systems</t>
        </is>
      </c>
      <c r="Q72" s="52" t="inlineStr">
        <is>
          <t>Wardak University</t>
        </is>
      </c>
      <c r="R72" s="52" t="inlineStr"/>
      <c r="S72" s="53" t="n">
        <v>4250</v>
      </c>
      <c r="T72" s="46" t="inlineStr">
        <is>
          <t>IF(AQ72="","",AQ72)</t>
        </is>
      </c>
      <c r="U72" s="54" t="n">
        <v>46381</v>
      </c>
      <c r="V72" s="55" t="n">
        <v>6.3</v>
      </c>
      <c r="W72" s="54" t="n">
        <v>46573</v>
      </c>
      <c r="X72" s="46" t="inlineStr">
        <is>
          <t>IF(W72&lt;&gt;"",W72,IF(OR(T72="",V72=""),"",EDATE(T72,V72)))</t>
        </is>
      </c>
      <c r="Y72" s="54" t="n"/>
      <c r="Z72" s="55" t="n"/>
      <c r="AA72" s="52" t="inlineStr">
        <is>
          <t>Retendered (Re-ITB)</t>
        </is>
      </c>
      <c r="AB72" s="52" t="inlineStr">
        <is>
          <t>Slack period from mid December to March 2026. Four months construction period.''- | Farmer: Wardak University</t>
        </is>
      </c>
      <c r="AC72" s="42" t="inlineStr">
        <is>
          <t>IF(F72="","",IF(COUNT(AI72:AV72)=0,IF(AA72="","Not started",AA72),SUBSTITUTE(LOOKUP(2,1/(AI72:AV72&lt;&gt;""),$AI$3:$AV$3),"Date: ","")))</t>
        </is>
      </c>
      <c r="AD72" s="49" t="inlineStr">
        <is>
          <t>IF(OR(F72="",COUNT(AI72:AV72)=0),"",TODAY()-LOOKUP(2,1/(AI72:AV72&lt;&gt;""),AI72:AV72))</t>
        </is>
      </c>
      <c r="AE72" s="49" t="inlineStr">
        <is>
          <t>IF(OR(F72="",COUNT(AI72:AV72)&lt;2),"",LOOKUP(2,1/(AI72:AV72&lt;&gt;""),AI72:AV72)-MIN(AI72:AV72))</t>
        </is>
      </c>
      <c r="AF72" s="49" t="inlineStr">
        <is>
          <t>IF(OR(AD72="",AC72="Not started",AC72=""),"",IFERROR(AD72-IF(VLOOKUP(AC72,'06_Status_Pipeline'!$B$3:$E$20,4,FALSE)="",0,VLOOKUP(AC72,'06_Status_Pipeline'!$B$3:$E$20,4,FALSE)),""))</t>
        </is>
      </c>
      <c r="AG72" s="42" t="inlineStr">
        <is>
          <t>IF(F72="","",IF(OR(AA72="Cancelled",AC72="Cancelled"),"Cancelled",IF(OR(AC72="Completed / Handover",Y72&lt;&gt;"",Z72&gt;=100),"Completed — on track",IF(O72="Not awarded",IF(U72="",IF(X72="","No planned date",IF(TODAY()&gt;X72,"Behind — past planned date",IF(X72-TODAY()&lt;=30,"At risk — close to off track","On track"))),IF(TODAY()&gt;U72,"Behind — award date passed",IF(U72-TODAY()&lt;=30,"At risk — close to off track","On track"))),IF(X72="","No planned date",IF(AND(TODAY()&gt;X72,OR(Z72="",Z72&lt;100)),"Behind — past end date",IF(AND(T72&lt;&gt;"",X72&lt;&gt;"",Z72&lt;&gt;"",(Z72&lt;100),((TODAY()-T72)/MAX(X72-T72,1)*100)-Z72&gt;15),"Behind — progress lag",IF(AND(X72-TODAY()&lt;=30,X72-TODAY()&gt;=0,OR(Z72="",Z72&lt;90)),"At risk — close to off track","On track"))))))))</t>
        </is>
      </c>
      <c r="AH72" s="49" t="inlineStr">
        <is>
          <t>IF(OR(F72="",AC72="Completed / Handover",AC72="Cancelled"),"",IF(O72="Not awarded",IF(U72&lt;&gt;"",U72-TODAY(),IF(X72="","",X72-TODAY())),IF(X72="","",X72-TODAY())))</t>
        </is>
      </c>
      <c r="AI72" s="54" t="n"/>
      <c r="AJ72" s="54" t="n"/>
      <c r="AK72" s="54" t="n"/>
      <c r="AL72" s="54" t="n"/>
      <c r="AM72" s="54" t="n"/>
      <c r="AN72" s="54" t="n"/>
      <c r="AO72" s="54" t="n"/>
      <c r="AP72" s="54" t="n"/>
      <c r="AQ72" s="54" t="n"/>
      <c r="AR72" s="54" t="n"/>
      <c r="AS72" s="54" t="n"/>
      <c r="AT72" s="50" t="n"/>
      <c r="AU72" s="50" t="n"/>
      <c r="AV72" s="50" t="n"/>
      <c r="AW72" s="49" t="inlineStr">
        <is>
          <t>IF(OR(F72="",AJ72=""),"",IF(COUNT(AI72:AI72)=0,"",AJ72-LOOKUP(2,1/(AI72:AI72&lt;&gt;""),AI72:AI72)))</t>
        </is>
      </c>
      <c r="AX72" s="49" t="inlineStr">
        <is>
          <t>IF(OR(F72="",AK72=""),"",IF(COUNT(AI72:AJ72)=0,"",AK72-LOOKUP(2,1/(AI72:AJ72&lt;&gt;""),AI72:AJ72)))</t>
        </is>
      </c>
      <c r="AY72" s="49" t="inlineStr">
        <is>
          <t>IF(OR(F72="",AL72=""),"",IF(COUNT(AI72:AK72)=0,"",AL72-LOOKUP(2,1/(AI72:AK72&lt;&gt;""),AI72:AK72)))</t>
        </is>
      </c>
      <c r="AZ72" s="49" t="inlineStr">
        <is>
          <t>IF(OR(F72="",AM72=""),"",IF(COUNT(AI72:AL72)=0,"",AM72-LOOKUP(2,1/(AI72:AL72&lt;&gt;""),AI72:AL72)))</t>
        </is>
      </c>
      <c r="BA72" s="49" t="inlineStr">
        <is>
          <t>IF(OR(F72="",AN72=""),"",IF(COUNT(AI72:AM72)=0,"",AN72-LOOKUP(2,1/(AI72:AM72&lt;&gt;""),AI72:AM72)))</t>
        </is>
      </c>
      <c r="BB72" s="49" t="inlineStr">
        <is>
          <t>IF(OR(F72="",AO72=""),"",IF(COUNT(AI72:AN72)=0,"",AO72-LOOKUP(2,1/(AI72:AN72&lt;&gt;""),AI72:AN72)))</t>
        </is>
      </c>
      <c r="BC72" s="49" t="inlineStr">
        <is>
          <t>IF(OR(F72="",AP72=""),"",IF(COUNT(AI72:AO72)=0,"",AP72-LOOKUP(2,1/(AI72:AO72&lt;&gt;""),AI72:AO72)))</t>
        </is>
      </c>
      <c r="BD72" s="49" t="inlineStr">
        <is>
          <t>IF(OR(F72="",AQ72=""),"",IF(COUNT(AI72:AP72)=0,"",AQ72-LOOKUP(2,1/(AI72:AP72&lt;&gt;""),AI72:AP72)))</t>
        </is>
      </c>
      <c r="BE72" s="49" t="inlineStr">
        <is>
          <t>IF(OR(F72="",AR72=""),"",IF(COUNT(AI72:AQ72)=0,"",AR72-LOOKUP(2,1/(AI72:AQ72&lt;&gt;""),AI72:AQ72)))</t>
        </is>
      </c>
      <c r="BF72" s="49" t="inlineStr">
        <is>
          <t>IF(OR(F72="",AS72=""),"",IF(COUNT(AI72:AR72)=0,"",AS72-LOOKUP(2,1/(AI72:AR72&lt;&gt;""),AI72:AR72)))</t>
        </is>
      </c>
      <c r="BG72" s="49" t="inlineStr">
        <is>
          <t>IF(OR(F72="",AT72=""),"",IF(COUNT(AI72:AS72)=0,"",AT72-LOOKUP(2,1/(AI72:AS72&lt;&gt;""),AI72:AS72)))</t>
        </is>
      </c>
      <c r="BH72" s="49" t="inlineStr">
        <is>
          <t>IF(OR(F72="",AU72=""),"",IF(COUNT(AI72:AT72)=0,"",AU72-LOOKUP(2,1/(AI72:AT72&lt;&gt;""),AI72:AT72)))</t>
        </is>
      </c>
      <c r="BI72" s="49" t="inlineStr">
        <is>
          <t>IF(OR(F72="",AV72=""),"",IF(COUNT(AI72:AU72)=0,"",AV72-LOOKUP(2,1/(AI72:AU72&lt;&gt;""),AI72:AU72)))</t>
        </is>
      </c>
      <c r="BJ72" s="51" t="inlineStr">
        <is>
          <t>IF(J72="","All_Provinces",IFERROR(VLOOKUP(J72,'09_Lookups'!$A$4:$B$20,2,FALSE),"All_Provinces"))</t>
        </is>
      </c>
      <c r="BK72" s="51" t="inlineStr">
        <is>
          <t>IF(K72="","All_Districts",IFERROR(VLOOKUP(K72,'09_Lookups'!$E$4:$F$42,2,FALSE),"All_Districts"))</t>
        </is>
      </c>
    </row>
    <row r="73" outlineLevel="1" ht="18" customHeight="1">
      <c r="A73" s="42" t="inlineStr">
        <is>
          <t>IF(F73="","",ROW()-3)</t>
        </is>
      </c>
      <c r="B73" s="43" t="inlineStr">
        <is>
          <t>AF2-DIS-03</t>
        </is>
      </c>
      <c r="C73" s="43" t="inlineStr">
        <is>
          <t>Package #3-WBK/AF2 DIS: Demonstration of 14 Drip irrigation schemes at 13 district sites of 1. Parwan, 2. Kabul, 3. Wardak and 4. Kapisa provinces.</t>
        </is>
      </c>
      <c r="D73" s="43" t="inlineStr">
        <is>
          <t>5 of 14</t>
        </is>
      </c>
      <c r="E73" s="44" t="inlineStr">
        <is>
          <t>AF2-DIS-N-031</t>
        </is>
      </c>
      <c r="F73" s="44" t="inlineStr">
        <is>
          <t>Durani Drip irrigation schemes</t>
        </is>
      </c>
      <c r="G73" s="44" t="inlineStr">
        <is>
          <t>Drip Irrigation</t>
        </is>
      </c>
      <c r="H73" s="44" t="inlineStr">
        <is>
          <t>Drip Irrigation Plot</t>
        </is>
      </c>
      <c r="I73" s="44" t="inlineStr">
        <is>
          <t>Emergency Food Security Project (EFSP) – WBK/AF-2</t>
        </is>
      </c>
      <c r="J73" s="44" t="inlineStr">
        <is>
          <t>Central / Kabul</t>
        </is>
      </c>
      <c r="K73" s="44" t="inlineStr">
        <is>
          <t>Wardak</t>
        </is>
      </c>
      <c r="L73" s="44" t="inlineStr">
        <is>
          <t>Nirkh</t>
        </is>
      </c>
      <c r="M73" s="44" t="inlineStr">
        <is>
          <t>Durani</t>
        </is>
      </c>
      <c r="N73" s="44" t="inlineStr">
        <is>
          <t>World Bank (WBK/AF-2)</t>
        </is>
      </c>
      <c r="O73" s="44" t="inlineStr">
        <is>
          <t>Not awarded</t>
        </is>
      </c>
      <c r="P73" s="44" t="inlineStr">
        <is>
          <t>5. Drip Irrigation systems</t>
        </is>
      </c>
      <c r="Q73" s="44" t="inlineStr">
        <is>
          <t>Fazel Rahman</t>
        </is>
      </c>
      <c r="R73" s="44" t="inlineStr"/>
      <c r="S73" s="45" t="n">
        <v>8500</v>
      </c>
      <c r="T73" s="46" t="inlineStr">
        <is>
          <t>IF(AQ73="","",AQ73)</t>
        </is>
      </c>
      <c r="U73" s="47" t="n">
        <v>46381</v>
      </c>
      <c r="V73" s="48" t="n">
        <v>6.3</v>
      </c>
      <c r="W73" s="47" t="n">
        <v>46573</v>
      </c>
      <c r="X73" s="46" t="inlineStr">
        <is>
          <t>IF(W73&lt;&gt;"",W73,IF(OR(T73="",V73=""),"",EDATE(T73,V73)))</t>
        </is>
      </c>
      <c r="Y73" s="47" t="n"/>
      <c r="Z73" s="48" t="n"/>
      <c r="AA73" s="44" t="inlineStr">
        <is>
          <t>Retendered (Re-ITB)</t>
        </is>
      </c>
      <c r="AB73" s="44" t="inlineStr">
        <is>
          <t>Slack period from mid December to March 2026. Four months construction period.''- | Farmer: Fazel Rahman</t>
        </is>
      </c>
      <c r="AC73" s="42" t="inlineStr">
        <is>
          <t>IF(F73="","",IF(COUNT(AI73:AV73)=0,IF(AA73="","Not started",AA73),SUBSTITUTE(LOOKUP(2,1/(AI73:AV73&lt;&gt;""),$AI$3:$AV$3),"Date: ","")))</t>
        </is>
      </c>
      <c r="AD73" s="49" t="inlineStr">
        <is>
          <t>IF(OR(F73="",COUNT(AI73:AV73)=0),"",TODAY()-LOOKUP(2,1/(AI73:AV73&lt;&gt;""),AI73:AV73))</t>
        </is>
      </c>
      <c r="AE73" s="49" t="inlineStr">
        <is>
          <t>IF(OR(F73="",COUNT(AI73:AV73)&lt;2),"",LOOKUP(2,1/(AI73:AV73&lt;&gt;""),AI73:AV73)-MIN(AI73:AV73))</t>
        </is>
      </c>
      <c r="AF73" s="49" t="inlineStr">
        <is>
          <t>IF(OR(AD73="",AC73="Not started",AC73=""),"",IFERROR(AD73-IF(VLOOKUP(AC73,'06_Status_Pipeline'!$B$3:$E$20,4,FALSE)="",0,VLOOKUP(AC73,'06_Status_Pipeline'!$B$3:$E$20,4,FALSE)),""))</t>
        </is>
      </c>
      <c r="AG73" s="42" t="inlineStr">
        <is>
          <t>IF(F73="","",IF(OR(AA73="Cancelled",AC73="Cancelled"),"Cancelled",IF(OR(AC73="Completed / Handover",Y73&lt;&gt;"",Z73&gt;=100),"Completed — on track",IF(O73="Not awarded",IF(U73="",IF(X73="","No planned date",IF(TODAY()&gt;X73,"Behind — past planned date",IF(X73-TODAY()&lt;=30,"At risk — close to off track","On track"))),IF(TODAY()&gt;U73,"Behind — award date passed",IF(U73-TODAY()&lt;=30,"At risk — close to off track","On track"))),IF(X73="","No planned date",IF(AND(TODAY()&gt;X73,OR(Z73="",Z73&lt;100)),"Behind — past end date",IF(AND(T73&lt;&gt;"",X73&lt;&gt;"",Z73&lt;&gt;"",(Z73&lt;100),((TODAY()-T73)/MAX(X73-T73,1)*100)-Z73&gt;15),"Behind — progress lag",IF(AND(X73-TODAY()&lt;=30,X73-TODAY()&gt;=0,OR(Z73="",Z73&lt;90)),"At risk — close to off track","On track"))))))))</t>
        </is>
      </c>
      <c r="AH73" s="49" t="inlineStr">
        <is>
          <t>IF(OR(F73="",AC73="Completed / Handover",AC73="Cancelled"),"",IF(O73="Not awarded",IF(U73&lt;&gt;"",U73-TODAY(),IF(X73="","",X73-TODAY())),IF(X73="","",X73-TODAY())))</t>
        </is>
      </c>
      <c r="AI73" s="47" t="n"/>
      <c r="AJ73" s="47" t="n"/>
      <c r="AK73" s="47" t="n"/>
      <c r="AL73" s="47" t="n"/>
      <c r="AM73" s="47" t="n"/>
      <c r="AN73" s="47" t="n"/>
      <c r="AO73" s="47" t="n"/>
      <c r="AP73" s="47" t="n"/>
      <c r="AQ73" s="47" t="n"/>
      <c r="AR73" s="47" t="n"/>
      <c r="AS73" s="47" t="n"/>
      <c r="AT73" s="50" t="n"/>
      <c r="AU73" s="50" t="n"/>
      <c r="AV73" s="50" t="n"/>
      <c r="AW73" s="49" t="inlineStr">
        <is>
          <t>IF(OR(F73="",AJ73=""),"",IF(COUNT(AI73:AI73)=0,"",AJ73-LOOKUP(2,1/(AI73:AI73&lt;&gt;""),AI73:AI73)))</t>
        </is>
      </c>
      <c r="AX73" s="49" t="inlineStr">
        <is>
          <t>IF(OR(F73="",AK73=""),"",IF(COUNT(AI73:AJ73)=0,"",AK73-LOOKUP(2,1/(AI73:AJ73&lt;&gt;""),AI73:AJ73)))</t>
        </is>
      </c>
      <c r="AY73" s="49" t="inlineStr">
        <is>
          <t>IF(OR(F73="",AL73=""),"",IF(COUNT(AI73:AK73)=0,"",AL73-LOOKUP(2,1/(AI73:AK73&lt;&gt;""),AI73:AK73)))</t>
        </is>
      </c>
      <c r="AZ73" s="49" t="inlineStr">
        <is>
          <t>IF(OR(F73="",AM73=""),"",IF(COUNT(AI73:AL73)=0,"",AM73-LOOKUP(2,1/(AI73:AL73&lt;&gt;""),AI73:AL73)))</t>
        </is>
      </c>
      <c r="BA73" s="49" t="inlineStr">
        <is>
          <t>IF(OR(F73="",AN73=""),"",IF(COUNT(AI73:AM73)=0,"",AN73-LOOKUP(2,1/(AI73:AM73&lt;&gt;""),AI73:AM73)))</t>
        </is>
      </c>
      <c r="BB73" s="49" t="inlineStr">
        <is>
          <t>IF(OR(F73="",AO73=""),"",IF(COUNT(AI73:AN73)=0,"",AO73-LOOKUP(2,1/(AI73:AN73&lt;&gt;""),AI73:AN73)))</t>
        </is>
      </c>
      <c r="BC73" s="49" t="inlineStr">
        <is>
          <t>IF(OR(F73="",AP73=""),"",IF(COUNT(AI73:AO73)=0,"",AP73-LOOKUP(2,1/(AI73:AO73&lt;&gt;""),AI73:AO73)))</t>
        </is>
      </c>
      <c r="BD73" s="49" t="inlineStr">
        <is>
          <t>IF(OR(F73="",AQ73=""),"",IF(COUNT(AI73:AP73)=0,"",AQ73-LOOKUP(2,1/(AI73:AP73&lt;&gt;""),AI73:AP73)))</t>
        </is>
      </c>
      <c r="BE73" s="49" t="inlineStr">
        <is>
          <t>IF(OR(F73="",AR73=""),"",IF(COUNT(AI73:AQ73)=0,"",AR73-LOOKUP(2,1/(AI73:AQ73&lt;&gt;""),AI73:AQ73)))</t>
        </is>
      </c>
      <c r="BF73" s="49" t="inlineStr">
        <is>
          <t>IF(OR(F73="",AS73=""),"",IF(COUNT(AI73:AR73)=0,"",AS73-LOOKUP(2,1/(AI73:AR73&lt;&gt;""),AI73:AR73)))</t>
        </is>
      </c>
      <c r="BG73" s="49" t="inlineStr">
        <is>
          <t>IF(OR(F73="",AT73=""),"",IF(COUNT(AI73:AS73)=0,"",AT73-LOOKUP(2,1/(AI73:AS73&lt;&gt;""),AI73:AS73)))</t>
        </is>
      </c>
      <c r="BH73" s="49" t="inlineStr">
        <is>
          <t>IF(OR(F73="",AU73=""),"",IF(COUNT(AI73:AT73)=0,"",AU73-LOOKUP(2,1/(AI73:AT73&lt;&gt;""),AI73:AT73)))</t>
        </is>
      </c>
      <c r="BI73" s="49" t="inlineStr">
        <is>
          <t>IF(OR(F73="",AV73=""),"",IF(COUNT(AI73:AU73)=0,"",AV73-LOOKUP(2,1/(AI73:AU73&lt;&gt;""),AI73:AU73)))</t>
        </is>
      </c>
      <c r="BJ73" s="51" t="inlineStr">
        <is>
          <t>IF(J73="","All_Provinces",IFERROR(VLOOKUP(J73,'09_Lookups'!$A$4:$B$20,2,FALSE),"All_Provinces"))</t>
        </is>
      </c>
      <c r="BK73" s="51" t="inlineStr">
        <is>
          <t>IF(K73="","All_Districts",IFERROR(VLOOKUP(K73,'09_Lookups'!$E$4:$F$42,2,FALSE),"All_Districts"))</t>
        </is>
      </c>
    </row>
    <row r="74" outlineLevel="1" ht="18" customHeight="1">
      <c r="A74" s="42" t="inlineStr">
        <is>
          <t>IF(F74="","",ROW()-3)</t>
        </is>
      </c>
      <c r="B74" s="43" t="inlineStr">
        <is>
          <t>AF2-DIS-03</t>
        </is>
      </c>
      <c r="C74" s="43" t="inlineStr">
        <is>
          <t>Package #3-WBK/AF2 DIS: Demonstration of 14 Drip irrigation schemes at 13 district sites of 1. Parwan, 2. Kabul, 3. Wardak and 4. Kapisa provinces.</t>
        </is>
      </c>
      <c r="D74" s="43" t="inlineStr">
        <is>
          <t>6 of 14</t>
        </is>
      </c>
      <c r="E74" s="52" t="inlineStr">
        <is>
          <t>AF2-DIS-N-032</t>
        </is>
      </c>
      <c r="F74" s="52" t="inlineStr">
        <is>
          <t>Goga Manda Drip irrigation schemes</t>
        </is>
      </c>
      <c r="G74" s="52" t="inlineStr">
        <is>
          <t>Drip Irrigation</t>
        </is>
      </c>
      <c r="H74" s="52" t="inlineStr">
        <is>
          <t>Drip Irrigation Plot</t>
        </is>
      </c>
      <c r="I74" s="52" t="inlineStr">
        <is>
          <t>Emergency Food Security Project (EFSP) – WBK/AF-2</t>
        </is>
      </c>
      <c r="J74" s="52" t="inlineStr">
        <is>
          <t>Central / Kabul</t>
        </is>
      </c>
      <c r="K74" s="52" t="inlineStr">
        <is>
          <t>Kabul</t>
        </is>
      </c>
      <c r="L74" s="52" t="inlineStr">
        <is>
          <t>Sarobi</t>
        </is>
      </c>
      <c r="M74" s="52" t="inlineStr">
        <is>
          <t>Goga manda</t>
        </is>
      </c>
      <c r="N74" s="52" t="inlineStr">
        <is>
          <t>World Bank (WBK/AF-2)</t>
        </is>
      </c>
      <c r="O74" s="52" t="inlineStr">
        <is>
          <t>Not awarded</t>
        </is>
      </c>
      <c r="P74" s="52" t="inlineStr">
        <is>
          <t>5. Drip Irrigation systems</t>
        </is>
      </c>
      <c r="Q74" s="52" t="inlineStr">
        <is>
          <t>Hayatullah</t>
        </is>
      </c>
      <c r="R74" s="52" t="inlineStr"/>
      <c r="S74" s="53" t="n">
        <v>4250</v>
      </c>
      <c r="T74" s="46" t="inlineStr">
        <is>
          <t>IF(AQ74="","",AQ74)</t>
        </is>
      </c>
      <c r="U74" s="54" t="n">
        <v>46376</v>
      </c>
      <c r="V74" s="55" t="n">
        <v>6.3</v>
      </c>
      <c r="W74" s="54" t="n">
        <v>46568</v>
      </c>
      <c r="X74" s="46" t="inlineStr">
        <is>
          <t>IF(W74&lt;&gt;"",W74,IF(OR(T74="",V74=""),"",EDATE(T74,V74)))</t>
        </is>
      </c>
      <c r="Y74" s="54" t="n"/>
      <c r="Z74" s="55" t="n"/>
      <c r="AA74" s="52" t="inlineStr">
        <is>
          <t>Retendered (Re-ITB)</t>
        </is>
      </c>
      <c r="AB74" s="52" t="inlineStr">
        <is>
          <t>Slack period from mid December to March 2026. Four months construction period.''- | Farmer: Hayatullah</t>
        </is>
      </c>
      <c r="AC74" s="42" t="inlineStr">
        <is>
          <t>IF(F74="","",IF(COUNT(AI74:AV74)=0,IF(AA74="","Not started",AA74),SUBSTITUTE(LOOKUP(2,1/(AI74:AV74&lt;&gt;""),$AI$3:$AV$3),"Date: ","")))</t>
        </is>
      </c>
      <c r="AD74" s="49" t="inlineStr">
        <is>
          <t>IF(OR(F74="",COUNT(AI74:AV74)=0),"",TODAY()-LOOKUP(2,1/(AI74:AV74&lt;&gt;""),AI74:AV74))</t>
        </is>
      </c>
      <c r="AE74" s="49" t="inlineStr">
        <is>
          <t>IF(OR(F74="",COUNT(AI74:AV74)&lt;2),"",LOOKUP(2,1/(AI74:AV74&lt;&gt;""),AI74:AV74)-MIN(AI74:AV74))</t>
        </is>
      </c>
      <c r="AF74" s="49" t="inlineStr">
        <is>
          <t>IF(OR(AD74="",AC74="Not started",AC74=""),"",IFERROR(AD74-IF(VLOOKUP(AC74,'06_Status_Pipeline'!$B$3:$E$20,4,FALSE)="",0,VLOOKUP(AC74,'06_Status_Pipeline'!$B$3:$E$20,4,FALSE)),""))</t>
        </is>
      </c>
      <c r="AG74" s="42" t="inlineStr">
        <is>
          <t>IF(F74="","",IF(OR(AA74="Cancelled",AC74="Cancelled"),"Cancelled",IF(OR(AC74="Completed / Handover",Y74&lt;&gt;"",Z74&gt;=100),"Completed — on track",IF(O74="Not awarded",IF(U74="",IF(X74="","No planned date",IF(TODAY()&gt;X74,"Behind — past planned date",IF(X74-TODAY()&lt;=30,"At risk — close to off track","On track"))),IF(TODAY()&gt;U74,"Behind — award date passed",IF(U74-TODAY()&lt;=30,"At risk — close to off track","On track"))),IF(X74="","No planned date",IF(AND(TODAY()&gt;X74,OR(Z74="",Z74&lt;100)),"Behind — past end date",IF(AND(T74&lt;&gt;"",X74&lt;&gt;"",Z74&lt;&gt;"",(Z74&lt;100),((TODAY()-T74)/MAX(X74-T74,1)*100)-Z74&gt;15),"Behind — progress lag",IF(AND(X74-TODAY()&lt;=30,X74-TODAY()&gt;=0,OR(Z74="",Z74&lt;90)),"At risk — close to off track","On track"))))))))</t>
        </is>
      </c>
      <c r="AH74" s="49" t="inlineStr">
        <is>
          <t>IF(OR(F74="",AC74="Completed / Handover",AC74="Cancelled"),"",IF(O74="Not awarded",IF(U74&lt;&gt;"",U74-TODAY(),IF(X74="","",X74-TODAY())),IF(X74="","",X74-TODAY())))</t>
        </is>
      </c>
      <c r="AI74" s="54" t="n"/>
      <c r="AJ74" s="54" t="n"/>
      <c r="AK74" s="54" t="n"/>
      <c r="AL74" s="54" t="n"/>
      <c r="AM74" s="54" t="n"/>
      <c r="AN74" s="54" t="n"/>
      <c r="AO74" s="54" t="n"/>
      <c r="AP74" s="54" t="n"/>
      <c r="AQ74" s="54" t="n"/>
      <c r="AR74" s="54" t="n"/>
      <c r="AS74" s="54" t="n"/>
      <c r="AT74" s="50" t="n"/>
      <c r="AU74" s="50" t="n"/>
      <c r="AV74" s="50" t="n"/>
      <c r="AW74" s="49" t="inlineStr">
        <is>
          <t>IF(OR(F74="",AJ74=""),"",IF(COUNT(AI74:AI74)=0,"",AJ74-LOOKUP(2,1/(AI74:AI74&lt;&gt;""),AI74:AI74)))</t>
        </is>
      </c>
      <c r="AX74" s="49" t="inlineStr">
        <is>
          <t>IF(OR(F74="",AK74=""),"",IF(COUNT(AI74:AJ74)=0,"",AK74-LOOKUP(2,1/(AI74:AJ74&lt;&gt;""),AI74:AJ74)))</t>
        </is>
      </c>
      <c r="AY74" s="49" t="inlineStr">
        <is>
          <t>IF(OR(F74="",AL74=""),"",IF(COUNT(AI74:AK74)=0,"",AL74-LOOKUP(2,1/(AI74:AK74&lt;&gt;""),AI74:AK74)))</t>
        </is>
      </c>
      <c r="AZ74" s="49" t="inlineStr">
        <is>
          <t>IF(OR(F74="",AM74=""),"",IF(COUNT(AI74:AL74)=0,"",AM74-LOOKUP(2,1/(AI74:AL74&lt;&gt;""),AI74:AL74)))</t>
        </is>
      </c>
      <c r="BA74" s="49" t="inlineStr">
        <is>
          <t>IF(OR(F74="",AN74=""),"",IF(COUNT(AI74:AM74)=0,"",AN74-LOOKUP(2,1/(AI74:AM74&lt;&gt;""),AI74:AM74)))</t>
        </is>
      </c>
      <c r="BB74" s="49" t="inlineStr">
        <is>
          <t>IF(OR(F74="",AO74=""),"",IF(COUNT(AI74:AN74)=0,"",AO74-LOOKUP(2,1/(AI74:AN74&lt;&gt;""),AI74:AN74)))</t>
        </is>
      </c>
      <c r="BC74" s="49" t="inlineStr">
        <is>
          <t>IF(OR(F74="",AP74=""),"",IF(COUNT(AI74:AO74)=0,"",AP74-LOOKUP(2,1/(AI74:AO74&lt;&gt;""),AI74:AO74)))</t>
        </is>
      </c>
      <c r="BD74" s="49" t="inlineStr">
        <is>
          <t>IF(OR(F74="",AQ74=""),"",IF(COUNT(AI74:AP74)=0,"",AQ74-LOOKUP(2,1/(AI74:AP74&lt;&gt;""),AI74:AP74)))</t>
        </is>
      </c>
      <c r="BE74" s="49" t="inlineStr">
        <is>
          <t>IF(OR(F74="",AR74=""),"",IF(COUNT(AI74:AQ74)=0,"",AR74-LOOKUP(2,1/(AI74:AQ74&lt;&gt;""),AI74:AQ74)))</t>
        </is>
      </c>
      <c r="BF74" s="49" t="inlineStr">
        <is>
          <t>IF(OR(F74="",AS74=""),"",IF(COUNT(AI74:AR74)=0,"",AS74-LOOKUP(2,1/(AI74:AR74&lt;&gt;""),AI74:AR74)))</t>
        </is>
      </c>
      <c r="BG74" s="49" t="inlineStr">
        <is>
          <t>IF(OR(F74="",AT74=""),"",IF(COUNT(AI74:AS74)=0,"",AT74-LOOKUP(2,1/(AI74:AS74&lt;&gt;""),AI74:AS74)))</t>
        </is>
      </c>
      <c r="BH74" s="49" t="inlineStr">
        <is>
          <t>IF(OR(F74="",AU74=""),"",IF(COUNT(AI74:AT74)=0,"",AU74-LOOKUP(2,1/(AI74:AT74&lt;&gt;""),AI74:AT74)))</t>
        </is>
      </c>
      <c r="BI74" s="49" t="inlineStr">
        <is>
          <t>IF(OR(F74="",AV74=""),"",IF(COUNT(AI74:AU74)=0,"",AV74-LOOKUP(2,1/(AI74:AU74&lt;&gt;""),AI74:AU74)))</t>
        </is>
      </c>
      <c r="BJ74" s="51" t="inlineStr">
        <is>
          <t>IF(J74="","All_Provinces",IFERROR(VLOOKUP(J74,'09_Lookups'!$A$4:$B$20,2,FALSE),"All_Provinces"))</t>
        </is>
      </c>
      <c r="BK74" s="51" t="inlineStr">
        <is>
          <t>IF(K74="","All_Districts",IFERROR(VLOOKUP(K74,'09_Lookups'!$E$4:$F$42,2,FALSE),"All_Districts"))</t>
        </is>
      </c>
    </row>
    <row r="75" outlineLevel="1" ht="18" customHeight="1">
      <c r="A75" s="42" t="inlineStr">
        <is>
          <t>IF(F75="","",ROW()-3)</t>
        </is>
      </c>
      <c r="B75" s="43" t="inlineStr">
        <is>
          <t>AF2-DIS-03</t>
        </is>
      </c>
      <c r="C75" s="43" t="inlineStr">
        <is>
          <t>Package #3-WBK/AF2 DIS: Demonstration of 14 Drip irrigation schemes at 13 district sites of 1. Parwan, 2. Kabul, 3. Wardak and 4. Kapisa provinces.</t>
        </is>
      </c>
      <c r="D75" s="43" t="inlineStr">
        <is>
          <t>7 of 14</t>
        </is>
      </c>
      <c r="E75" s="44" t="inlineStr">
        <is>
          <t>AF2-DIS-N-033</t>
        </is>
      </c>
      <c r="F75" s="44" t="inlineStr">
        <is>
          <t>Khar Drip irrigation schemes</t>
        </is>
      </c>
      <c r="G75" s="44" t="inlineStr">
        <is>
          <t>Drip Irrigation</t>
        </is>
      </c>
      <c r="H75" s="44" t="inlineStr">
        <is>
          <t>Drip Irrigation Plot</t>
        </is>
      </c>
      <c r="I75" s="44" t="inlineStr">
        <is>
          <t>Emergency Food Security Project (EFSP) – WBK/AF-2</t>
        </is>
      </c>
      <c r="J75" s="44" t="inlineStr">
        <is>
          <t>Central / Kabul</t>
        </is>
      </c>
      <c r="K75" s="44" t="inlineStr">
        <is>
          <t>Wardak</t>
        </is>
      </c>
      <c r="L75" s="44" t="inlineStr">
        <is>
          <t>Jaghatu</t>
        </is>
      </c>
      <c r="M75" s="44" t="inlineStr">
        <is>
          <t>Khar</t>
        </is>
      </c>
      <c r="N75" s="44" t="inlineStr">
        <is>
          <t>World Bank (WBK/AF-2)</t>
        </is>
      </c>
      <c r="O75" s="44" t="inlineStr">
        <is>
          <t>Not awarded</t>
        </is>
      </c>
      <c r="P75" s="44" t="inlineStr">
        <is>
          <t>5. Drip Irrigation systems</t>
        </is>
      </c>
      <c r="Q75" s="44" t="inlineStr">
        <is>
          <t>Mohammad Akbar</t>
        </is>
      </c>
      <c r="R75" s="44" t="inlineStr"/>
      <c r="S75" s="45" t="n">
        <v>8500</v>
      </c>
      <c r="T75" s="46" t="inlineStr">
        <is>
          <t>IF(AQ75="","",AQ75)</t>
        </is>
      </c>
      <c r="U75" s="47" t="n">
        <v>46381</v>
      </c>
      <c r="V75" s="48" t="n">
        <v>6.3</v>
      </c>
      <c r="W75" s="47" t="n">
        <v>46573</v>
      </c>
      <c r="X75" s="46" t="inlineStr">
        <is>
          <t>IF(W75&lt;&gt;"",W75,IF(OR(T75="",V75=""),"",EDATE(T75,V75)))</t>
        </is>
      </c>
      <c r="Y75" s="47" t="n"/>
      <c r="Z75" s="48" t="n"/>
      <c r="AA75" s="44" t="inlineStr">
        <is>
          <t>Retendered (Re-ITB)</t>
        </is>
      </c>
      <c r="AB75" s="44" t="inlineStr">
        <is>
          <t>Slack period from mid December to March 2026. Four months construction period.''- | Farmer: Mohammad Akbar</t>
        </is>
      </c>
      <c r="AC75" s="42" t="inlineStr">
        <is>
          <t>IF(F75="","",IF(COUNT(AI75:AV75)=0,IF(AA75="","Not started",AA75),SUBSTITUTE(LOOKUP(2,1/(AI75:AV75&lt;&gt;""),$AI$3:$AV$3),"Date: ","")))</t>
        </is>
      </c>
      <c r="AD75" s="49" t="inlineStr">
        <is>
          <t>IF(OR(F75="",COUNT(AI75:AV75)=0),"",TODAY()-LOOKUP(2,1/(AI75:AV75&lt;&gt;""),AI75:AV75))</t>
        </is>
      </c>
      <c r="AE75" s="49" t="inlineStr">
        <is>
          <t>IF(OR(F75="",COUNT(AI75:AV75)&lt;2),"",LOOKUP(2,1/(AI75:AV75&lt;&gt;""),AI75:AV75)-MIN(AI75:AV75))</t>
        </is>
      </c>
      <c r="AF75" s="49" t="inlineStr">
        <is>
          <t>IF(OR(AD75="",AC75="Not started",AC75=""),"",IFERROR(AD75-IF(VLOOKUP(AC75,'06_Status_Pipeline'!$B$3:$E$20,4,FALSE)="",0,VLOOKUP(AC75,'06_Status_Pipeline'!$B$3:$E$20,4,FALSE)),""))</t>
        </is>
      </c>
      <c r="AG75" s="42" t="inlineStr">
        <is>
          <t>IF(F75="","",IF(OR(AA75="Cancelled",AC75="Cancelled"),"Cancelled",IF(OR(AC75="Completed / Handover",Y75&lt;&gt;"",Z75&gt;=100),"Completed — on track",IF(O75="Not awarded",IF(U75="",IF(X75="","No planned date",IF(TODAY()&gt;X75,"Behind — past planned date",IF(X75-TODAY()&lt;=30,"At risk — close to off track","On track"))),IF(TODAY()&gt;U75,"Behind — award date passed",IF(U75-TODAY()&lt;=30,"At risk — close to off track","On track"))),IF(X75="","No planned date",IF(AND(TODAY()&gt;X75,OR(Z75="",Z75&lt;100)),"Behind — past end date",IF(AND(T75&lt;&gt;"",X75&lt;&gt;"",Z75&lt;&gt;"",(Z75&lt;100),((TODAY()-T75)/MAX(X75-T75,1)*100)-Z75&gt;15),"Behind — progress lag",IF(AND(X75-TODAY()&lt;=30,X75-TODAY()&gt;=0,OR(Z75="",Z75&lt;90)),"At risk — close to off track","On track"))))))))</t>
        </is>
      </c>
      <c r="AH75" s="49" t="inlineStr">
        <is>
          <t>IF(OR(F75="",AC75="Completed / Handover",AC75="Cancelled"),"",IF(O75="Not awarded",IF(U75&lt;&gt;"",U75-TODAY(),IF(X75="","",X75-TODAY())),IF(X75="","",X75-TODAY())))</t>
        </is>
      </c>
      <c r="AI75" s="47" t="n"/>
      <c r="AJ75" s="47" t="n"/>
      <c r="AK75" s="47" t="n"/>
      <c r="AL75" s="47" t="n"/>
      <c r="AM75" s="47" t="n"/>
      <c r="AN75" s="47" t="n"/>
      <c r="AO75" s="47" t="n"/>
      <c r="AP75" s="47" t="n"/>
      <c r="AQ75" s="47" t="n"/>
      <c r="AR75" s="47" t="n"/>
      <c r="AS75" s="47" t="n"/>
      <c r="AT75" s="50" t="n"/>
      <c r="AU75" s="50" t="n"/>
      <c r="AV75" s="50" t="n"/>
      <c r="AW75" s="49" t="inlineStr">
        <is>
          <t>IF(OR(F75="",AJ75=""),"",IF(COUNT(AI75:AI75)=0,"",AJ75-LOOKUP(2,1/(AI75:AI75&lt;&gt;""),AI75:AI75)))</t>
        </is>
      </c>
      <c r="AX75" s="49" t="inlineStr">
        <is>
          <t>IF(OR(F75="",AK75=""),"",IF(COUNT(AI75:AJ75)=0,"",AK75-LOOKUP(2,1/(AI75:AJ75&lt;&gt;""),AI75:AJ75)))</t>
        </is>
      </c>
      <c r="AY75" s="49" t="inlineStr">
        <is>
          <t>IF(OR(F75="",AL75=""),"",IF(COUNT(AI75:AK75)=0,"",AL75-LOOKUP(2,1/(AI75:AK75&lt;&gt;""),AI75:AK75)))</t>
        </is>
      </c>
      <c r="AZ75" s="49" t="inlineStr">
        <is>
          <t>IF(OR(F75="",AM75=""),"",IF(COUNT(AI75:AL75)=0,"",AM75-LOOKUP(2,1/(AI75:AL75&lt;&gt;""),AI75:AL75)))</t>
        </is>
      </c>
      <c r="BA75" s="49" t="inlineStr">
        <is>
          <t>IF(OR(F75="",AN75=""),"",IF(COUNT(AI75:AM75)=0,"",AN75-LOOKUP(2,1/(AI75:AM75&lt;&gt;""),AI75:AM75)))</t>
        </is>
      </c>
      <c r="BB75" s="49" t="inlineStr">
        <is>
          <t>IF(OR(F75="",AO75=""),"",IF(COUNT(AI75:AN75)=0,"",AO75-LOOKUP(2,1/(AI75:AN75&lt;&gt;""),AI75:AN75)))</t>
        </is>
      </c>
      <c r="BC75" s="49" t="inlineStr">
        <is>
          <t>IF(OR(F75="",AP75=""),"",IF(COUNT(AI75:AO75)=0,"",AP75-LOOKUP(2,1/(AI75:AO75&lt;&gt;""),AI75:AO75)))</t>
        </is>
      </c>
      <c r="BD75" s="49" t="inlineStr">
        <is>
          <t>IF(OR(F75="",AQ75=""),"",IF(COUNT(AI75:AP75)=0,"",AQ75-LOOKUP(2,1/(AI75:AP75&lt;&gt;""),AI75:AP75)))</t>
        </is>
      </c>
      <c r="BE75" s="49" t="inlineStr">
        <is>
          <t>IF(OR(F75="",AR75=""),"",IF(COUNT(AI75:AQ75)=0,"",AR75-LOOKUP(2,1/(AI75:AQ75&lt;&gt;""),AI75:AQ75)))</t>
        </is>
      </c>
      <c r="BF75" s="49" t="inlineStr">
        <is>
          <t>IF(OR(F75="",AS75=""),"",IF(COUNT(AI75:AR75)=0,"",AS75-LOOKUP(2,1/(AI75:AR75&lt;&gt;""),AI75:AR75)))</t>
        </is>
      </c>
      <c r="BG75" s="49" t="inlineStr">
        <is>
          <t>IF(OR(F75="",AT75=""),"",IF(COUNT(AI75:AS75)=0,"",AT75-LOOKUP(2,1/(AI75:AS75&lt;&gt;""),AI75:AS75)))</t>
        </is>
      </c>
      <c r="BH75" s="49" t="inlineStr">
        <is>
          <t>IF(OR(F75="",AU75=""),"",IF(COUNT(AI75:AT75)=0,"",AU75-LOOKUP(2,1/(AI75:AT75&lt;&gt;""),AI75:AT75)))</t>
        </is>
      </c>
      <c r="BI75" s="49" t="inlineStr">
        <is>
          <t>IF(OR(F75="",AV75=""),"",IF(COUNT(AI75:AU75)=0,"",AV75-LOOKUP(2,1/(AI75:AU75&lt;&gt;""),AI75:AU75)))</t>
        </is>
      </c>
      <c r="BJ75" s="51" t="inlineStr">
        <is>
          <t>IF(J75="","All_Provinces",IFERROR(VLOOKUP(J75,'09_Lookups'!$A$4:$B$20,2,FALSE),"All_Provinces"))</t>
        </is>
      </c>
      <c r="BK75" s="51" t="inlineStr">
        <is>
          <t>IF(K75="","All_Districts",IFERROR(VLOOKUP(K75,'09_Lookups'!$E$4:$F$42,2,FALSE),"All_Districts"))</t>
        </is>
      </c>
    </row>
    <row r="76" outlineLevel="1" ht="18" customHeight="1">
      <c r="A76" s="42" t="inlineStr">
        <is>
          <t>IF(F76="","",ROW()-3)</t>
        </is>
      </c>
      <c r="B76" s="43" t="inlineStr">
        <is>
          <t>AF2-DIS-03</t>
        </is>
      </c>
      <c r="C76" s="43" t="inlineStr">
        <is>
          <t>Package #3-WBK/AF2 DIS: Demonstration of 14 Drip irrigation schemes at 13 district sites of 1. Parwan, 2. Kabul, 3. Wardak and 4. Kapisa provinces.</t>
        </is>
      </c>
      <c r="D76" s="43" t="inlineStr">
        <is>
          <t>8 of 14</t>
        </is>
      </c>
      <c r="E76" s="52" t="inlineStr">
        <is>
          <t>AF2-DIS-N-034</t>
        </is>
      </c>
      <c r="F76" s="52" t="inlineStr">
        <is>
          <t>Lolenj Drip irrigation schemes</t>
        </is>
      </c>
      <c r="G76" s="52" t="inlineStr">
        <is>
          <t>Drip Irrigation</t>
        </is>
      </c>
      <c r="H76" s="52" t="inlineStr">
        <is>
          <t>Drip Irrigation Plot</t>
        </is>
      </c>
      <c r="I76" s="52" t="inlineStr">
        <is>
          <t>Emergency Food Security Project (EFSP) – WBK/AF-2</t>
        </is>
      </c>
      <c r="J76" s="52" t="inlineStr">
        <is>
          <t>Central / Kabul</t>
        </is>
      </c>
      <c r="K76" s="52" t="inlineStr">
        <is>
          <t>Parwan</t>
        </is>
      </c>
      <c r="L76" s="52" t="inlineStr">
        <is>
          <t>Surkh Parsa</t>
        </is>
      </c>
      <c r="M76" s="52" t="inlineStr">
        <is>
          <t>Lolenj</t>
        </is>
      </c>
      <c r="N76" s="52" t="inlineStr">
        <is>
          <t>World Bank (WBK/AF-2)</t>
        </is>
      </c>
      <c r="O76" s="52" t="inlineStr">
        <is>
          <t>Not awarded</t>
        </is>
      </c>
      <c r="P76" s="52" t="inlineStr">
        <is>
          <t>5. Drip Irrigation systems</t>
        </is>
      </c>
      <c r="Q76" s="52" t="inlineStr">
        <is>
          <t>Ghulam Haider Shah</t>
        </is>
      </c>
      <c r="R76" s="52" t="inlineStr"/>
      <c r="S76" s="53" t="n">
        <v>8500</v>
      </c>
      <c r="T76" s="46" t="inlineStr">
        <is>
          <t>IF(AQ76="","",AQ76)</t>
        </is>
      </c>
      <c r="U76" s="54" t="n">
        <v>46371</v>
      </c>
      <c r="V76" s="55" t="n">
        <v>6.4</v>
      </c>
      <c r="W76" s="54" t="n">
        <v>46566</v>
      </c>
      <c r="X76" s="46" t="inlineStr">
        <is>
          <t>IF(W76&lt;&gt;"",W76,IF(OR(T76="",V76=""),"",EDATE(T76,V76)))</t>
        </is>
      </c>
      <c r="Y76" s="54" t="n"/>
      <c r="Z76" s="55" t="n"/>
      <c r="AA76" s="52" t="inlineStr">
        <is>
          <t>Retendered (Re-ITB)</t>
        </is>
      </c>
      <c r="AB76" s="52" t="inlineStr">
        <is>
          <t>Slack period from mid December to March 2026. Four months construction period.'- | Farmer: Ghulam Haider Shah</t>
        </is>
      </c>
      <c r="AC76" s="42" t="inlineStr">
        <is>
          <t>IF(F76="","",IF(COUNT(AI76:AV76)=0,IF(AA76="","Not started",AA76),SUBSTITUTE(LOOKUP(2,1/(AI76:AV76&lt;&gt;""),$AI$3:$AV$3),"Date: ","")))</t>
        </is>
      </c>
      <c r="AD76" s="49" t="inlineStr">
        <is>
          <t>IF(OR(F76="",COUNT(AI76:AV76)=0),"",TODAY()-LOOKUP(2,1/(AI76:AV76&lt;&gt;""),AI76:AV76))</t>
        </is>
      </c>
      <c r="AE76" s="49" t="inlineStr">
        <is>
          <t>IF(OR(F76="",COUNT(AI76:AV76)&lt;2),"",LOOKUP(2,1/(AI76:AV76&lt;&gt;""),AI76:AV76)-MIN(AI76:AV76))</t>
        </is>
      </c>
      <c r="AF76" s="49" t="inlineStr">
        <is>
          <t>IF(OR(AD76="",AC76="Not started",AC76=""),"",IFERROR(AD76-IF(VLOOKUP(AC76,'06_Status_Pipeline'!$B$3:$E$20,4,FALSE)="",0,VLOOKUP(AC76,'06_Status_Pipeline'!$B$3:$E$20,4,FALSE)),""))</t>
        </is>
      </c>
      <c r="AG76" s="42" t="inlineStr">
        <is>
          <t>IF(F76="","",IF(OR(AA76="Cancelled",AC76="Cancelled"),"Cancelled",IF(OR(AC76="Completed / Handover",Y76&lt;&gt;"",Z76&gt;=100),"Completed — on track",IF(O76="Not awarded",IF(U76="",IF(X76="","No planned date",IF(TODAY()&gt;X76,"Behind — past planned date",IF(X76-TODAY()&lt;=30,"At risk — close to off track","On track"))),IF(TODAY()&gt;U76,"Behind — award date passed",IF(U76-TODAY()&lt;=30,"At risk — close to off track","On track"))),IF(X76="","No planned date",IF(AND(TODAY()&gt;X76,OR(Z76="",Z76&lt;100)),"Behind — past end date",IF(AND(T76&lt;&gt;"",X76&lt;&gt;"",Z76&lt;&gt;"",(Z76&lt;100),((TODAY()-T76)/MAX(X76-T76,1)*100)-Z76&gt;15),"Behind — progress lag",IF(AND(X76-TODAY()&lt;=30,X76-TODAY()&gt;=0,OR(Z76="",Z76&lt;90)),"At risk — close to off track","On track"))))))))</t>
        </is>
      </c>
      <c r="AH76" s="49" t="inlineStr">
        <is>
          <t>IF(OR(F76="",AC76="Completed / Handover",AC76="Cancelled"),"",IF(O76="Not awarded",IF(U76&lt;&gt;"",U76-TODAY(),IF(X76="","",X76-TODAY())),IF(X76="","",X76-TODAY())))</t>
        </is>
      </c>
      <c r="AI76" s="54" t="n"/>
      <c r="AJ76" s="54" t="n"/>
      <c r="AK76" s="54" t="n"/>
      <c r="AL76" s="54" t="n"/>
      <c r="AM76" s="54" t="n"/>
      <c r="AN76" s="54" t="n"/>
      <c r="AO76" s="54" t="n"/>
      <c r="AP76" s="54" t="n"/>
      <c r="AQ76" s="54" t="n"/>
      <c r="AR76" s="54" t="n"/>
      <c r="AS76" s="54" t="n"/>
      <c r="AT76" s="50" t="n"/>
      <c r="AU76" s="50" t="n"/>
      <c r="AV76" s="50" t="n"/>
      <c r="AW76" s="49" t="inlineStr">
        <is>
          <t>IF(OR(F76="",AJ76=""),"",IF(COUNT(AI76:AI76)=0,"",AJ76-LOOKUP(2,1/(AI76:AI76&lt;&gt;""),AI76:AI76)))</t>
        </is>
      </c>
      <c r="AX76" s="49" t="inlineStr">
        <is>
          <t>IF(OR(F76="",AK76=""),"",IF(COUNT(AI76:AJ76)=0,"",AK76-LOOKUP(2,1/(AI76:AJ76&lt;&gt;""),AI76:AJ76)))</t>
        </is>
      </c>
      <c r="AY76" s="49" t="inlineStr">
        <is>
          <t>IF(OR(F76="",AL76=""),"",IF(COUNT(AI76:AK76)=0,"",AL76-LOOKUP(2,1/(AI76:AK76&lt;&gt;""),AI76:AK76)))</t>
        </is>
      </c>
      <c r="AZ76" s="49" t="inlineStr">
        <is>
          <t>IF(OR(F76="",AM76=""),"",IF(COUNT(AI76:AL76)=0,"",AM76-LOOKUP(2,1/(AI76:AL76&lt;&gt;""),AI76:AL76)))</t>
        </is>
      </c>
      <c r="BA76" s="49" t="inlineStr">
        <is>
          <t>IF(OR(F76="",AN76=""),"",IF(COUNT(AI76:AM76)=0,"",AN76-LOOKUP(2,1/(AI76:AM76&lt;&gt;""),AI76:AM76)))</t>
        </is>
      </c>
      <c r="BB76" s="49" t="inlineStr">
        <is>
          <t>IF(OR(F76="",AO76=""),"",IF(COUNT(AI76:AN76)=0,"",AO76-LOOKUP(2,1/(AI76:AN76&lt;&gt;""),AI76:AN76)))</t>
        </is>
      </c>
      <c r="BC76" s="49" t="inlineStr">
        <is>
          <t>IF(OR(F76="",AP76=""),"",IF(COUNT(AI76:AO76)=0,"",AP76-LOOKUP(2,1/(AI76:AO76&lt;&gt;""),AI76:AO76)))</t>
        </is>
      </c>
      <c r="BD76" s="49" t="inlineStr">
        <is>
          <t>IF(OR(F76="",AQ76=""),"",IF(COUNT(AI76:AP76)=0,"",AQ76-LOOKUP(2,1/(AI76:AP76&lt;&gt;""),AI76:AP76)))</t>
        </is>
      </c>
      <c r="BE76" s="49" t="inlineStr">
        <is>
          <t>IF(OR(F76="",AR76=""),"",IF(COUNT(AI76:AQ76)=0,"",AR76-LOOKUP(2,1/(AI76:AQ76&lt;&gt;""),AI76:AQ76)))</t>
        </is>
      </c>
      <c r="BF76" s="49" t="inlineStr">
        <is>
          <t>IF(OR(F76="",AS76=""),"",IF(COUNT(AI76:AR76)=0,"",AS76-LOOKUP(2,1/(AI76:AR76&lt;&gt;""),AI76:AR76)))</t>
        </is>
      </c>
      <c r="BG76" s="49" t="inlineStr">
        <is>
          <t>IF(OR(F76="",AT76=""),"",IF(COUNT(AI76:AS76)=0,"",AT76-LOOKUP(2,1/(AI76:AS76&lt;&gt;""),AI76:AS76)))</t>
        </is>
      </c>
      <c r="BH76" s="49" t="inlineStr">
        <is>
          <t>IF(OR(F76="",AU76=""),"",IF(COUNT(AI76:AT76)=0,"",AU76-LOOKUP(2,1/(AI76:AT76&lt;&gt;""),AI76:AT76)))</t>
        </is>
      </c>
      <c r="BI76" s="49" t="inlineStr">
        <is>
          <t>IF(OR(F76="",AV76=""),"",IF(COUNT(AI76:AU76)=0,"",AV76-LOOKUP(2,1/(AI76:AU76&lt;&gt;""),AI76:AU76)))</t>
        </is>
      </c>
      <c r="BJ76" s="51" t="inlineStr">
        <is>
          <t>IF(J76="","All_Provinces",IFERROR(VLOOKUP(J76,'09_Lookups'!$A$4:$B$20,2,FALSE),"All_Provinces"))</t>
        </is>
      </c>
      <c r="BK76" s="51" t="inlineStr">
        <is>
          <t>IF(K76="","All_Districts",IFERROR(VLOOKUP(K76,'09_Lookups'!$E$4:$F$42,2,FALSE),"All_Districts"))</t>
        </is>
      </c>
    </row>
    <row r="77" outlineLevel="1" ht="18" customHeight="1">
      <c r="A77" s="42" t="inlineStr">
        <is>
          <t>IF(F77="","",ROW()-3)</t>
        </is>
      </c>
      <c r="B77" s="43" t="inlineStr">
        <is>
          <t>AF2-DIS-03</t>
        </is>
      </c>
      <c r="C77" s="43" t="inlineStr">
        <is>
          <t>Package #3-WBK/AF2 DIS: Demonstration of 14 Drip irrigation schemes at 13 district sites of 1. Parwan, 2. Kabul, 3. Wardak and 4. Kapisa provinces.</t>
        </is>
      </c>
      <c r="D77" s="43" t="inlineStr">
        <is>
          <t>9 of 14</t>
        </is>
      </c>
      <c r="E77" s="44" t="inlineStr">
        <is>
          <t>AF2-DIS-N-035</t>
        </is>
      </c>
      <c r="F77" s="44" t="inlineStr">
        <is>
          <t>Madad Drip irrigation schemes</t>
        </is>
      </c>
      <c r="G77" s="44" t="inlineStr">
        <is>
          <t>Drip Irrigation</t>
        </is>
      </c>
      <c r="H77" s="44" t="inlineStr">
        <is>
          <t>Drip Irrigation Plot</t>
        </is>
      </c>
      <c r="I77" s="44" t="inlineStr">
        <is>
          <t>Emergency Food Security Project (EFSP) – WBK/AF-2</t>
        </is>
      </c>
      <c r="J77" s="44" t="inlineStr">
        <is>
          <t>Central / Kabul</t>
        </is>
      </c>
      <c r="K77" s="44" t="inlineStr">
        <is>
          <t>Wardak</t>
        </is>
      </c>
      <c r="L77" s="44" t="inlineStr">
        <is>
          <t>Chack</t>
        </is>
      </c>
      <c r="M77" s="44" t="inlineStr">
        <is>
          <t>Madad</t>
        </is>
      </c>
      <c r="N77" s="44" t="inlineStr">
        <is>
          <t>World Bank (WBK/AF-2)</t>
        </is>
      </c>
      <c r="O77" s="44" t="inlineStr">
        <is>
          <t>Not awarded</t>
        </is>
      </c>
      <c r="P77" s="44" t="inlineStr">
        <is>
          <t>5. Drip Irrigation systems</t>
        </is>
      </c>
      <c r="Q77" s="44" t="inlineStr">
        <is>
          <t>Mohammad Qasim</t>
        </is>
      </c>
      <c r="R77" s="44" t="inlineStr"/>
      <c r="S77" s="45" t="n">
        <v>4250</v>
      </c>
      <c r="T77" s="46" t="inlineStr">
        <is>
          <t>IF(AQ77="","",AQ77)</t>
        </is>
      </c>
      <c r="U77" s="47" t="n">
        <v>46381</v>
      </c>
      <c r="V77" s="48" t="n">
        <v>6.3</v>
      </c>
      <c r="W77" s="47" t="n">
        <v>46573</v>
      </c>
      <c r="X77" s="46" t="inlineStr">
        <is>
          <t>IF(W77&lt;&gt;"",W77,IF(OR(T77="",V77=""),"",EDATE(T77,V77)))</t>
        </is>
      </c>
      <c r="Y77" s="47" t="n"/>
      <c r="Z77" s="48" t="n"/>
      <c r="AA77" s="44" t="inlineStr">
        <is>
          <t>Retendered (Re-ITB)</t>
        </is>
      </c>
      <c r="AB77" s="44" t="inlineStr">
        <is>
          <t>Slack period from mid December to March 2026. Four months construction period.''- | Farmer: Mohammad Qasim</t>
        </is>
      </c>
      <c r="AC77" s="42" t="inlineStr">
        <is>
          <t>IF(F77="","",IF(COUNT(AI77:AV77)=0,IF(AA77="","Not started",AA77),SUBSTITUTE(LOOKUP(2,1/(AI77:AV77&lt;&gt;""),$AI$3:$AV$3),"Date: ","")))</t>
        </is>
      </c>
      <c r="AD77" s="49" t="inlineStr">
        <is>
          <t>IF(OR(F77="",COUNT(AI77:AV77)=0),"",TODAY()-LOOKUP(2,1/(AI77:AV77&lt;&gt;""),AI77:AV77))</t>
        </is>
      </c>
      <c r="AE77" s="49" t="inlineStr">
        <is>
          <t>IF(OR(F77="",COUNT(AI77:AV77)&lt;2),"",LOOKUP(2,1/(AI77:AV77&lt;&gt;""),AI77:AV77)-MIN(AI77:AV77))</t>
        </is>
      </c>
      <c r="AF77" s="49" t="inlineStr">
        <is>
          <t>IF(OR(AD77="",AC77="Not started",AC77=""),"",IFERROR(AD77-IF(VLOOKUP(AC77,'06_Status_Pipeline'!$B$3:$E$20,4,FALSE)="",0,VLOOKUP(AC77,'06_Status_Pipeline'!$B$3:$E$20,4,FALSE)),""))</t>
        </is>
      </c>
      <c r="AG77" s="42" t="inlineStr">
        <is>
          <t>IF(F77="","",IF(OR(AA77="Cancelled",AC77="Cancelled"),"Cancelled",IF(OR(AC77="Completed / Handover",Y77&lt;&gt;"",Z77&gt;=100),"Completed — on track",IF(O77="Not awarded",IF(U77="",IF(X77="","No planned date",IF(TODAY()&gt;X77,"Behind — past planned date",IF(X77-TODAY()&lt;=30,"At risk — close to off track","On track"))),IF(TODAY()&gt;U77,"Behind — award date passed",IF(U77-TODAY()&lt;=30,"At risk — close to off track","On track"))),IF(X77="","No planned date",IF(AND(TODAY()&gt;X77,OR(Z77="",Z77&lt;100)),"Behind — past end date",IF(AND(T77&lt;&gt;"",X77&lt;&gt;"",Z77&lt;&gt;"",(Z77&lt;100),((TODAY()-T77)/MAX(X77-T77,1)*100)-Z77&gt;15),"Behind — progress lag",IF(AND(X77-TODAY()&lt;=30,X77-TODAY()&gt;=0,OR(Z77="",Z77&lt;90)),"At risk — close to off track","On track"))))))))</t>
        </is>
      </c>
      <c r="AH77" s="49" t="inlineStr">
        <is>
          <t>IF(OR(F77="",AC77="Completed / Handover",AC77="Cancelled"),"",IF(O77="Not awarded",IF(U77&lt;&gt;"",U77-TODAY(),IF(X77="","",X77-TODAY())),IF(X77="","",X77-TODAY())))</t>
        </is>
      </c>
      <c r="AI77" s="47" t="n"/>
      <c r="AJ77" s="47" t="n"/>
      <c r="AK77" s="47" t="n"/>
      <c r="AL77" s="47" t="n"/>
      <c r="AM77" s="47" t="n"/>
      <c r="AN77" s="47" t="n"/>
      <c r="AO77" s="47" t="n"/>
      <c r="AP77" s="47" t="n"/>
      <c r="AQ77" s="47" t="n"/>
      <c r="AR77" s="47" t="n"/>
      <c r="AS77" s="47" t="n"/>
      <c r="AT77" s="50" t="n"/>
      <c r="AU77" s="50" t="n"/>
      <c r="AV77" s="50" t="n"/>
      <c r="AW77" s="49" t="inlineStr">
        <is>
          <t>IF(OR(F77="",AJ77=""),"",IF(COUNT(AI77:AI77)=0,"",AJ77-LOOKUP(2,1/(AI77:AI77&lt;&gt;""),AI77:AI77)))</t>
        </is>
      </c>
      <c r="AX77" s="49" t="inlineStr">
        <is>
          <t>IF(OR(F77="",AK77=""),"",IF(COUNT(AI77:AJ77)=0,"",AK77-LOOKUP(2,1/(AI77:AJ77&lt;&gt;""),AI77:AJ77)))</t>
        </is>
      </c>
      <c r="AY77" s="49" t="inlineStr">
        <is>
          <t>IF(OR(F77="",AL77=""),"",IF(COUNT(AI77:AK77)=0,"",AL77-LOOKUP(2,1/(AI77:AK77&lt;&gt;""),AI77:AK77)))</t>
        </is>
      </c>
      <c r="AZ77" s="49" t="inlineStr">
        <is>
          <t>IF(OR(F77="",AM77=""),"",IF(COUNT(AI77:AL77)=0,"",AM77-LOOKUP(2,1/(AI77:AL77&lt;&gt;""),AI77:AL77)))</t>
        </is>
      </c>
      <c r="BA77" s="49" t="inlineStr">
        <is>
          <t>IF(OR(F77="",AN77=""),"",IF(COUNT(AI77:AM77)=0,"",AN77-LOOKUP(2,1/(AI77:AM77&lt;&gt;""),AI77:AM77)))</t>
        </is>
      </c>
      <c r="BB77" s="49" t="inlineStr">
        <is>
          <t>IF(OR(F77="",AO77=""),"",IF(COUNT(AI77:AN77)=0,"",AO77-LOOKUP(2,1/(AI77:AN77&lt;&gt;""),AI77:AN77)))</t>
        </is>
      </c>
      <c r="BC77" s="49" t="inlineStr">
        <is>
          <t>IF(OR(F77="",AP77=""),"",IF(COUNT(AI77:AO77)=0,"",AP77-LOOKUP(2,1/(AI77:AO77&lt;&gt;""),AI77:AO77)))</t>
        </is>
      </c>
      <c r="BD77" s="49" t="inlineStr">
        <is>
          <t>IF(OR(F77="",AQ77=""),"",IF(COUNT(AI77:AP77)=0,"",AQ77-LOOKUP(2,1/(AI77:AP77&lt;&gt;""),AI77:AP77)))</t>
        </is>
      </c>
      <c r="BE77" s="49" t="inlineStr">
        <is>
          <t>IF(OR(F77="",AR77=""),"",IF(COUNT(AI77:AQ77)=0,"",AR77-LOOKUP(2,1/(AI77:AQ77&lt;&gt;""),AI77:AQ77)))</t>
        </is>
      </c>
      <c r="BF77" s="49" t="inlineStr">
        <is>
          <t>IF(OR(F77="",AS77=""),"",IF(COUNT(AI77:AR77)=0,"",AS77-LOOKUP(2,1/(AI77:AR77&lt;&gt;""),AI77:AR77)))</t>
        </is>
      </c>
      <c r="BG77" s="49" t="inlineStr">
        <is>
          <t>IF(OR(F77="",AT77=""),"",IF(COUNT(AI77:AS77)=0,"",AT77-LOOKUP(2,1/(AI77:AS77&lt;&gt;""),AI77:AS77)))</t>
        </is>
      </c>
      <c r="BH77" s="49" t="inlineStr">
        <is>
          <t>IF(OR(F77="",AU77=""),"",IF(COUNT(AI77:AT77)=0,"",AU77-LOOKUP(2,1/(AI77:AT77&lt;&gt;""),AI77:AT77)))</t>
        </is>
      </c>
      <c r="BI77" s="49" t="inlineStr">
        <is>
          <t>IF(OR(F77="",AV77=""),"",IF(COUNT(AI77:AU77)=0,"",AV77-LOOKUP(2,1/(AI77:AU77&lt;&gt;""),AI77:AU77)))</t>
        </is>
      </c>
      <c r="BJ77" s="51" t="inlineStr">
        <is>
          <t>IF(J77="","All_Provinces",IFERROR(VLOOKUP(J77,'09_Lookups'!$A$4:$B$20,2,FALSE),"All_Provinces"))</t>
        </is>
      </c>
      <c r="BK77" s="51" t="inlineStr">
        <is>
          <t>IF(K77="","All_Districts",IFERROR(VLOOKUP(K77,'09_Lookups'!$E$4:$F$42,2,FALSE),"All_Districts"))</t>
        </is>
      </c>
    </row>
    <row r="78" outlineLevel="1" ht="18" customHeight="1">
      <c r="A78" s="42" t="inlineStr">
        <is>
          <t>IF(F78="","",ROW()-3)</t>
        </is>
      </c>
      <c r="B78" s="43" t="inlineStr">
        <is>
          <t>AF2-DIS-03</t>
        </is>
      </c>
      <c r="C78" s="43" t="inlineStr">
        <is>
          <t>Package #3-WBK/AF2 DIS: Demonstration of 14 Drip irrigation schemes at 13 district sites of 1. Parwan, 2. Kabul, 3. Wardak and 4. Kapisa provinces.</t>
        </is>
      </c>
      <c r="D78" s="43" t="inlineStr">
        <is>
          <t>10 of 14</t>
        </is>
      </c>
      <c r="E78" s="52" t="inlineStr">
        <is>
          <t>AF2-DIS-N-036</t>
        </is>
      </c>
      <c r="F78" s="52" t="inlineStr">
        <is>
          <t>Nizam Khil Drip irrigation schemes</t>
        </is>
      </c>
      <c r="G78" s="52" t="inlineStr">
        <is>
          <t>Drip Irrigation</t>
        </is>
      </c>
      <c r="H78" s="52" t="inlineStr">
        <is>
          <t>Drip Irrigation Plot</t>
        </is>
      </c>
      <c r="I78" s="52" t="inlineStr">
        <is>
          <t>Emergency Food Security Project (EFSP) – WBK/AF-2</t>
        </is>
      </c>
      <c r="J78" s="52" t="inlineStr">
        <is>
          <t>Central / Kabul</t>
        </is>
      </c>
      <c r="K78" s="52" t="inlineStr">
        <is>
          <t>Kapisa</t>
        </is>
      </c>
      <c r="L78" s="52" t="inlineStr">
        <is>
          <t>Tagab</t>
        </is>
      </c>
      <c r="M78" s="52" t="inlineStr">
        <is>
          <t>Nizam khil</t>
        </is>
      </c>
      <c r="N78" s="52" t="inlineStr">
        <is>
          <t>World Bank (WBK/AF-2)</t>
        </is>
      </c>
      <c r="O78" s="52" t="inlineStr">
        <is>
          <t>Not awarded</t>
        </is>
      </c>
      <c r="P78" s="52" t="inlineStr">
        <is>
          <t>5. Drip Irrigation systems</t>
        </is>
      </c>
      <c r="Q78" s="52" t="inlineStr">
        <is>
          <t>Najeebullah</t>
        </is>
      </c>
      <c r="R78" s="52" t="inlineStr"/>
      <c r="S78" s="53" t="n">
        <v>4250</v>
      </c>
      <c r="T78" s="46" t="inlineStr">
        <is>
          <t>IF(AQ78="","",AQ78)</t>
        </is>
      </c>
      <c r="U78" s="54" t="n">
        <v>46376</v>
      </c>
      <c r="V78" s="55" t="n">
        <v>6.3</v>
      </c>
      <c r="W78" s="54" t="n">
        <v>46568</v>
      </c>
      <c r="X78" s="46" t="inlineStr">
        <is>
          <t>IF(W78&lt;&gt;"",W78,IF(OR(T78="",V78=""),"",EDATE(T78,V78)))</t>
        </is>
      </c>
      <c r="Y78" s="54" t="n"/>
      <c r="Z78" s="55" t="n"/>
      <c r="AA78" s="52" t="inlineStr">
        <is>
          <t>Retendered (Re-ITB)</t>
        </is>
      </c>
      <c r="AB78" s="52" t="inlineStr">
        <is>
          <t>Slack period from mid December to March 2026. Four months construction period.'''- | Farmer: Najeebullah</t>
        </is>
      </c>
      <c r="AC78" s="42" t="inlineStr">
        <is>
          <t>IF(F78="","",IF(COUNT(AI78:AV78)=0,IF(AA78="","Not started",AA78),SUBSTITUTE(LOOKUP(2,1/(AI78:AV78&lt;&gt;""),$AI$3:$AV$3),"Date: ","")))</t>
        </is>
      </c>
      <c r="AD78" s="49" t="inlineStr">
        <is>
          <t>IF(OR(F78="",COUNT(AI78:AV78)=0),"",TODAY()-LOOKUP(2,1/(AI78:AV78&lt;&gt;""),AI78:AV78))</t>
        </is>
      </c>
      <c r="AE78" s="49" t="inlineStr">
        <is>
          <t>IF(OR(F78="",COUNT(AI78:AV78)&lt;2),"",LOOKUP(2,1/(AI78:AV78&lt;&gt;""),AI78:AV78)-MIN(AI78:AV78))</t>
        </is>
      </c>
      <c r="AF78" s="49" t="inlineStr">
        <is>
          <t>IF(OR(AD78="",AC78="Not started",AC78=""),"",IFERROR(AD78-IF(VLOOKUP(AC78,'06_Status_Pipeline'!$B$3:$E$20,4,FALSE)="",0,VLOOKUP(AC78,'06_Status_Pipeline'!$B$3:$E$20,4,FALSE)),""))</t>
        </is>
      </c>
      <c r="AG78" s="42" t="inlineStr">
        <is>
          <t>IF(F78="","",IF(OR(AA78="Cancelled",AC78="Cancelled"),"Cancelled",IF(OR(AC78="Completed / Handover",Y78&lt;&gt;"",Z78&gt;=100),"Completed — on track",IF(O78="Not awarded",IF(U78="",IF(X78="","No planned date",IF(TODAY()&gt;X78,"Behind — past planned date",IF(X78-TODAY()&lt;=30,"At risk — close to off track","On track"))),IF(TODAY()&gt;U78,"Behind — award date passed",IF(U78-TODAY()&lt;=30,"At risk — close to off track","On track"))),IF(X78="","No planned date",IF(AND(TODAY()&gt;X78,OR(Z78="",Z78&lt;100)),"Behind — past end date",IF(AND(T78&lt;&gt;"",X78&lt;&gt;"",Z78&lt;&gt;"",(Z78&lt;100),((TODAY()-T78)/MAX(X78-T78,1)*100)-Z78&gt;15),"Behind — progress lag",IF(AND(X78-TODAY()&lt;=30,X78-TODAY()&gt;=0,OR(Z78="",Z78&lt;90)),"At risk — close to off track","On track"))))))))</t>
        </is>
      </c>
      <c r="AH78" s="49" t="inlineStr">
        <is>
          <t>IF(OR(F78="",AC78="Completed / Handover",AC78="Cancelled"),"",IF(O78="Not awarded",IF(U78&lt;&gt;"",U78-TODAY(),IF(X78="","",X78-TODAY())),IF(X78="","",X78-TODAY())))</t>
        </is>
      </c>
      <c r="AI78" s="54" t="n"/>
      <c r="AJ78" s="54" t="n"/>
      <c r="AK78" s="54" t="n"/>
      <c r="AL78" s="54" t="n"/>
      <c r="AM78" s="54" t="n"/>
      <c r="AN78" s="54" t="n"/>
      <c r="AO78" s="54" t="n"/>
      <c r="AP78" s="54" t="n"/>
      <c r="AQ78" s="54" t="n"/>
      <c r="AR78" s="54" t="n"/>
      <c r="AS78" s="54" t="n"/>
      <c r="AT78" s="50" t="n"/>
      <c r="AU78" s="50" t="n"/>
      <c r="AV78" s="50" t="n"/>
      <c r="AW78" s="49" t="inlineStr">
        <is>
          <t>IF(OR(F78="",AJ78=""),"",IF(COUNT(AI78:AI78)=0,"",AJ78-LOOKUP(2,1/(AI78:AI78&lt;&gt;""),AI78:AI78)))</t>
        </is>
      </c>
      <c r="AX78" s="49" t="inlineStr">
        <is>
          <t>IF(OR(F78="",AK78=""),"",IF(COUNT(AI78:AJ78)=0,"",AK78-LOOKUP(2,1/(AI78:AJ78&lt;&gt;""),AI78:AJ78)))</t>
        </is>
      </c>
      <c r="AY78" s="49" t="inlineStr">
        <is>
          <t>IF(OR(F78="",AL78=""),"",IF(COUNT(AI78:AK78)=0,"",AL78-LOOKUP(2,1/(AI78:AK78&lt;&gt;""),AI78:AK78)))</t>
        </is>
      </c>
      <c r="AZ78" s="49" t="inlineStr">
        <is>
          <t>IF(OR(F78="",AM78=""),"",IF(COUNT(AI78:AL78)=0,"",AM78-LOOKUP(2,1/(AI78:AL78&lt;&gt;""),AI78:AL78)))</t>
        </is>
      </c>
      <c r="BA78" s="49" t="inlineStr">
        <is>
          <t>IF(OR(F78="",AN78=""),"",IF(COUNT(AI78:AM78)=0,"",AN78-LOOKUP(2,1/(AI78:AM78&lt;&gt;""),AI78:AM78)))</t>
        </is>
      </c>
      <c r="BB78" s="49" t="inlineStr">
        <is>
          <t>IF(OR(F78="",AO78=""),"",IF(COUNT(AI78:AN78)=0,"",AO78-LOOKUP(2,1/(AI78:AN78&lt;&gt;""),AI78:AN78)))</t>
        </is>
      </c>
      <c r="BC78" s="49" t="inlineStr">
        <is>
          <t>IF(OR(F78="",AP78=""),"",IF(COUNT(AI78:AO78)=0,"",AP78-LOOKUP(2,1/(AI78:AO78&lt;&gt;""),AI78:AO78)))</t>
        </is>
      </c>
      <c r="BD78" s="49" t="inlineStr">
        <is>
          <t>IF(OR(F78="",AQ78=""),"",IF(COUNT(AI78:AP78)=0,"",AQ78-LOOKUP(2,1/(AI78:AP78&lt;&gt;""),AI78:AP78)))</t>
        </is>
      </c>
      <c r="BE78" s="49" t="inlineStr">
        <is>
          <t>IF(OR(F78="",AR78=""),"",IF(COUNT(AI78:AQ78)=0,"",AR78-LOOKUP(2,1/(AI78:AQ78&lt;&gt;""),AI78:AQ78)))</t>
        </is>
      </c>
      <c r="BF78" s="49" t="inlineStr">
        <is>
          <t>IF(OR(F78="",AS78=""),"",IF(COUNT(AI78:AR78)=0,"",AS78-LOOKUP(2,1/(AI78:AR78&lt;&gt;""),AI78:AR78)))</t>
        </is>
      </c>
      <c r="BG78" s="49" t="inlineStr">
        <is>
          <t>IF(OR(F78="",AT78=""),"",IF(COUNT(AI78:AS78)=0,"",AT78-LOOKUP(2,1/(AI78:AS78&lt;&gt;""),AI78:AS78)))</t>
        </is>
      </c>
      <c r="BH78" s="49" t="inlineStr">
        <is>
          <t>IF(OR(F78="",AU78=""),"",IF(COUNT(AI78:AT78)=0,"",AU78-LOOKUP(2,1/(AI78:AT78&lt;&gt;""),AI78:AT78)))</t>
        </is>
      </c>
      <c r="BI78" s="49" t="inlineStr">
        <is>
          <t>IF(OR(F78="",AV78=""),"",IF(COUNT(AI78:AU78)=0,"",AV78-LOOKUP(2,1/(AI78:AU78&lt;&gt;""),AI78:AU78)))</t>
        </is>
      </c>
      <c r="BJ78" s="51" t="inlineStr">
        <is>
          <t>IF(J78="","All_Provinces",IFERROR(VLOOKUP(J78,'09_Lookups'!$A$4:$B$20,2,FALSE),"All_Provinces"))</t>
        </is>
      </c>
      <c r="BK78" s="51" t="inlineStr">
        <is>
          <t>IF(K78="","All_Districts",IFERROR(VLOOKUP(K78,'09_Lookups'!$E$4:$F$42,2,FALSE),"All_Districts"))</t>
        </is>
      </c>
    </row>
    <row r="79" outlineLevel="1" ht="18" customHeight="1">
      <c r="A79" s="42" t="inlineStr">
        <is>
          <t>IF(F79="","",ROW()-3)</t>
        </is>
      </c>
      <c r="B79" s="43" t="inlineStr">
        <is>
          <t>AF2-DIS-03</t>
        </is>
      </c>
      <c r="C79" s="43" t="inlineStr">
        <is>
          <t>Package #3-WBK/AF2 DIS: Demonstration of 14 Drip irrigation schemes at 13 district sites of 1. Parwan, 2. Kabul, 3. Wardak and 4. Kapisa provinces.</t>
        </is>
      </c>
      <c r="D79" s="43" t="inlineStr">
        <is>
          <t>11 of 14</t>
        </is>
      </c>
      <c r="E79" s="44" t="inlineStr">
        <is>
          <t>AF2-DIS-N-037</t>
        </is>
      </c>
      <c r="F79" s="44" t="inlineStr">
        <is>
          <t>Qafas Qala Drip irrigation schemes</t>
        </is>
      </c>
      <c r="G79" s="44" t="inlineStr">
        <is>
          <t>Drip Irrigation</t>
        </is>
      </c>
      <c r="H79" s="44" t="inlineStr">
        <is>
          <t>Drip Irrigation Plot</t>
        </is>
      </c>
      <c r="I79" s="44" t="inlineStr">
        <is>
          <t>Emergency Food Security Project (EFSP) – WBK/AF-2</t>
        </is>
      </c>
      <c r="J79" s="44" t="inlineStr">
        <is>
          <t>Central / Kabul</t>
        </is>
      </c>
      <c r="K79" s="44" t="inlineStr">
        <is>
          <t>Kabul</t>
        </is>
      </c>
      <c r="L79" s="44" t="inlineStr">
        <is>
          <t>Khak-e-Jabar</t>
        </is>
      </c>
      <c r="M79" s="44" t="inlineStr">
        <is>
          <t>Qafas Qala</t>
        </is>
      </c>
      <c r="N79" s="44" t="inlineStr">
        <is>
          <t>World Bank (WBK/AF-2)</t>
        </is>
      </c>
      <c r="O79" s="44" t="inlineStr">
        <is>
          <t>Not awarded</t>
        </is>
      </c>
      <c r="P79" s="44" t="inlineStr">
        <is>
          <t>5. Drip Irrigation systems</t>
        </is>
      </c>
      <c r="Q79" s="44" t="inlineStr">
        <is>
          <t>Jalal</t>
        </is>
      </c>
      <c r="R79" s="44" t="inlineStr"/>
      <c r="S79" s="45" t="n">
        <v>8500</v>
      </c>
      <c r="T79" s="46" t="inlineStr">
        <is>
          <t>IF(AQ79="","",AQ79)</t>
        </is>
      </c>
      <c r="U79" s="47" t="n">
        <v>46376</v>
      </c>
      <c r="V79" s="48" t="n">
        <v>6.3</v>
      </c>
      <c r="W79" s="47" t="n">
        <v>46568</v>
      </c>
      <c r="X79" s="46" t="inlineStr">
        <is>
          <t>IF(W79&lt;&gt;"",W79,IF(OR(T79="",V79=""),"",EDATE(T79,V79)))</t>
        </is>
      </c>
      <c r="Y79" s="47" t="n"/>
      <c r="Z79" s="48" t="n"/>
      <c r="AA79" s="44" t="inlineStr">
        <is>
          <t>Retendered (Re-ITB)</t>
        </is>
      </c>
      <c r="AB79" s="44" t="inlineStr">
        <is>
          <t>Slack period from mid December to March 2026. Four months construction period.''- | Farmer: Jalal</t>
        </is>
      </c>
      <c r="AC79" s="42" t="inlineStr">
        <is>
          <t>IF(F79="","",IF(COUNT(AI79:AV79)=0,IF(AA79="","Not started",AA79),SUBSTITUTE(LOOKUP(2,1/(AI79:AV79&lt;&gt;""),$AI$3:$AV$3),"Date: ","")))</t>
        </is>
      </c>
      <c r="AD79" s="49" t="inlineStr">
        <is>
          <t>IF(OR(F79="",COUNT(AI79:AV79)=0),"",TODAY()-LOOKUP(2,1/(AI79:AV79&lt;&gt;""),AI79:AV79))</t>
        </is>
      </c>
      <c r="AE79" s="49" t="inlineStr">
        <is>
          <t>IF(OR(F79="",COUNT(AI79:AV79)&lt;2),"",LOOKUP(2,1/(AI79:AV79&lt;&gt;""),AI79:AV79)-MIN(AI79:AV79))</t>
        </is>
      </c>
      <c r="AF79" s="49" t="inlineStr">
        <is>
          <t>IF(OR(AD79="",AC79="Not started",AC79=""),"",IFERROR(AD79-IF(VLOOKUP(AC79,'06_Status_Pipeline'!$B$3:$E$20,4,FALSE)="",0,VLOOKUP(AC79,'06_Status_Pipeline'!$B$3:$E$20,4,FALSE)),""))</t>
        </is>
      </c>
      <c r="AG79" s="42" t="inlineStr">
        <is>
          <t>IF(F79="","",IF(OR(AA79="Cancelled",AC79="Cancelled"),"Cancelled",IF(OR(AC79="Completed / Handover",Y79&lt;&gt;"",Z79&gt;=100),"Completed — on track",IF(O79="Not awarded",IF(U79="",IF(X79="","No planned date",IF(TODAY()&gt;X79,"Behind — past planned date",IF(X79-TODAY()&lt;=30,"At risk — close to off track","On track"))),IF(TODAY()&gt;U79,"Behind — award date passed",IF(U79-TODAY()&lt;=30,"At risk — close to off track","On track"))),IF(X79="","No planned date",IF(AND(TODAY()&gt;X79,OR(Z79="",Z79&lt;100)),"Behind — past end date",IF(AND(T79&lt;&gt;"",X79&lt;&gt;"",Z79&lt;&gt;"",(Z79&lt;100),((TODAY()-T79)/MAX(X79-T79,1)*100)-Z79&gt;15),"Behind — progress lag",IF(AND(X79-TODAY()&lt;=30,X79-TODAY()&gt;=0,OR(Z79="",Z79&lt;90)),"At risk — close to off track","On track"))))))))</t>
        </is>
      </c>
      <c r="AH79" s="49" t="inlineStr">
        <is>
          <t>IF(OR(F79="",AC79="Completed / Handover",AC79="Cancelled"),"",IF(O79="Not awarded",IF(U79&lt;&gt;"",U79-TODAY(),IF(X79="","",X79-TODAY())),IF(X79="","",X79-TODAY())))</t>
        </is>
      </c>
      <c r="AI79" s="47" t="n"/>
      <c r="AJ79" s="47" t="n"/>
      <c r="AK79" s="47" t="n"/>
      <c r="AL79" s="47" t="n"/>
      <c r="AM79" s="47" t="n"/>
      <c r="AN79" s="47" t="n"/>
      <c r="AO79" s="47" t="n"/>
      <c r="AP79" s="47" t="n"/>
      <c r="AQ79" s="47" t="n"/>
      <c r="AR79" s="47" t="n"/>
      <c r="AS79" s="47" t="n"/>
      <c r="AT79" s="50" t="n"/>
      <c r="AU79" s="50" t="n"/>
      <c r="AV79" s="50" t="n"/>
      <c r="AW79" s="49" t="inlineStr">
        <is>
          <t>IF(OR(F79="",AJ79=""),"",IF(COUNT(AI79:AI79)=0,"",AJ79-LOOKUP(2,1/(AI79:AI79&lt;&gt;""),AI79:AI79)))</t>
        </is>
      </c>
      <c r="AX79" s="49" t="inlineStr">
        <is>
          <t>IF(OR(F79="",AK79=""),"",IF(COUNT(AI79:AJ79)=0,"",AK79-LOOKUP(2,1/(AI79:AJ79&lt;&gt;""),AI79:AJ79)))</t>
        </is>
      </c>
      <c r="AY79" s="49" t="inlineStr">
        <is>
          <t>IF(OR(F79="",AL79=""),"",IF(COUNT(AI79:AK79)=0,"",AL79-LOOKUP(2,1/(AI79:AK79&lt;&gt;""),AI79:AK79)))</t>
        </is>
      </c>
      <c r="AZ79" s="49" t="inlineStr">
        <is>
          <t>IF(OR(F79="",AM79=""),"",IF(COUNT(AI79:AL79)=0,"",AM79-LOOKUP(2,1/(AI79:AL79&lt;&gt;""),AI79:AL79)))</t>
        </is>
      </c>
      <c r="BA79" s="49" t="inlineStr">
        <is>
          <t>IF(OR(F79="",AN79=""),"",IF(COUNT(AI79:AM79)=0,"",AN79-LOOKUP(2,1/(AI79:AM79&lt;&gt;""),AI79:AM79)))</t>
        </is>
      </c>
      <c r="BB79" s="49" t="inlineStr">
        <is>
          <t>IF(OR(F79="",AO79=""),"",IF(COUNT(AI79:AN79)=0,"",AO79-LOOKUP(2,1/(AI79:AN79&lt;&gt;""),AI79:AN79)))</t>
        </is>
      </c>
      <c r="BC79" s="49" t="inlineStr">
        <is>
          <t>IF(OR(F79="",AP79=""),"",IF(COUNT(AI79:AO79)=0,"",AP79-LOOKUP(2,1/(AI79:AO79&lt;&gt;""),AI79:AO79)))</t>
        </is>
      </c>
      <c r="BD79" s="49" t="inlineStr">
        <is>
          <t>IF(OR(F79="",AQ79=""),"",IF(COUNT(AI79:AP79)=0,"",AQ79-LOOKUP(2,1/(AI79:AP79&lt;&gt;""),AI79:AP79)))</t>
        </is>
      </c>
      <c r="BE79" s="49" t="inlineStr">
        <is>
          <t>IF(OR(F79="",AR79=""),"",IF(COUNT(AI79:AQ79)=0,"",AR79-LOOKUP(2,1/(AI79:AQ79&lt;&gt;""),AI79:AQ79)))</t>
        </is>
      </c>
      <c r="BF79" s="49" t="inlineStr">
        <is>
          <t>IF(OR(F79="",AS79=""),"",IF(COUNT(AI79:AR79)=0,"",AS79-LOOKUP(2,1/(AI79:AR79&lt;&gt;""),AI79:AR79)))</t>
        </is>
      </c>
      <c r="BG79" s="49" t="inlineStr">
        <is>
          <t>IF(OR(F79="",AT79=""),"",IF(COUNT(AI79:AS79)=0,"",AT79-LOOKUP(2,1/(AI79:AS79&lt;&gt;""),AI79:AS79)))</t>
        </is>
      </c>
      <c r="BH79" s="49" t="inlineStr">
        <is>
          <t>IF(OR(F79="",AU79=""),"",IF(COUNT(AI79:AT79)=0,"",AU79-LOOKUP(2,1/(AI79:AT79&lt;&gt;""),AI79:AT79)))</t>
        </is>
      </c>
      <c r="BI79" s="49" t="inlineStr">
        <is>
          <t>IF(OR(F79="",AV79=""),"",IF(COUNT(AI79:AU79)=0,"",AV79-LOOKUP(2,1/(AI79:AU79&lt;&gt;""),AI79:AU79)))</t>
        </is>
      </c>
      <c r="BJ79" s="51" t="inlineStr">
        <is>
          <t>IF(J79="","All_Provinces",IFERROR(VLOOKUP(J79,'09_Lookups'!$A$4:$B$20,2,FALSE),"All_Provinces"))</t>
        </is>
      </c>
      <c r="BK79" s="51" t="inlineStr">
        <is>
          <t>IF(K79="","All_Districts",IFERROR(VLOOKUP(K79,'09_Lookups'!$E$4:$F$42,2,FALSE),"All_Districts"))</t>
        </is>
      </c>
    </row>
    <row r="80" outlineLevel="1" ht="18" customHeight="1">
      <c r="A80" s="42" t="inlineStr">
        <is>
          <t>IF(F80="","",ROW()-3)</t>
        </is>
      </c>
      <c r="B80" s="43" t="inlineStr">
        <is>
          <t>AF2-DIS-03</t>
        </is>
      </c>
      <c r="C80" s="43" t="inlineStr">
        <is>
          <t>Package #3-WBK/AF2 DIS: Demonstration of 14 Drip irrigation schemes at 13 district sites of 1. Parwan, 2. Kabul, 3. Wardak and 4. Kapisa provinces.</t>
        </is>
      </c>
      <c r="D80" s="43" t="inlineStr">
        <is>
          <t>12 of 14</t>
        </is>
      </c>
      <c r="E80" s="52" t="inlineStr">
        <is>
          <t>AF2-DIS-N-038</t>
        </is>
      </c>
      <c r="F80" s="52" t="inlineStr">
        <is>
          <t>Qala-e- Nasro Drip irrigation schemes</t>
        </is>
      </c>
      <c r="G80" s="52" t="inlineStr">
        <is>
          <t>Drip Irrigation</t>
        </is>
      </c>
      <c r="H80" s="52" t="inlineStr">
        <is>
          <t>Drip Irrigation Plot</t>
        </is>
      </c>
      <c r="I80" s="52" t="inlineStr">
        <is>
          <t>Emergency Food Security Project (EFSP) – WBK/AF-2</t>
        </is>
      </c>
      <c r="J80" s="52" t="inlineStr">
        <is>
          <t>Central / Kabul</t>
        </is>
      </c>
      <c r="K80" s="52" t="inlineStr">
        <is>
          <t>Parwan</t>
        </is>
      </c>
      <c r="L80" s="52" t="inlineStr">
        <is>
          <t>Bagram</t>
        </is>
      </c>
      <c r="M80" s="52" t="inlineStr">
        <is>
          <t>Qala-e- Nasro</t>
        </is>
      </c>
      <c r="N80" s="52" t="inlineStr">
        <is>
          <t>World Bank (WBK/AF-2)</t>
        </is>
      </c>
      <c r="O80" s="52" t="inlineStr">
        <is>
          <t>Not awarded</t>
        </is>
      </c>
      <c r="P80" s="52" t="inlineStr">
        <is>
          <t>5. Drip Irrigation systems</t>
        </is>
      </c>
      <c r="Q80" s="52" t="inlineStr">
        <is>
          <t>Mohammad Waseem</t>
        </is>
      </c>
      <c r="R80" s="52" t="inlineStr"/>
      <c r="S80" s="53" t="n">
        <v>4250</v>
      </c>
      <c r="T80" s="46" t="inlineStr">
        <is>
          <t>IF(AQ80="","",AQ80)</t>
        </is>
      </c>
      <c r="U80" s="54" t="n">
        <v>46371</v>
      </c>
      <c r="V80" s="55" t="n">
        <v>6.4</v>
      </c>
      <c r="W80" s="54" t="n">
        <v>46566</v>
      </c>
      <c r="X80" s="46" t="inlineStr">
        <is>
          <t>IF(W80&lt;&gt;"",W80,IF(OR(T80="",V80=""),"",EDATE(T80,V80)))</t>
        </is>
      </c>
      <c r="Y80" s="54" t="n"/>
      <c r="Z80" s="55" t="n"/>
      <c r="AA80" s="52" t="inlineStr">
        <is>
          <t>Retendered (Re-ITB)</t>
        </is>
      </c>
      <c r="AB80" s="52" t="inlineStr">
        <is>
          <t>Slack period from mid December to March 2026. Four months construction period.'- | Farmer: Mohammad Waseem</t>
        </is>
      </c>
      <c r="AC80" s="42" t="inlineStr">
        <is>
          <t>IF(F80="","",IF(COUNT(AI80:AV80)=0,IF(AA80="","Not started",AA80),SUBSTITUTE(LOOKUP(2,1/(AI80:AV80&lt;&gt;""),$AI$3:$AV$3),"Date: ","")))</t>
        </is>
      </c>
      <c r="AD80" s="49" t="inlineStr">
        <is>
          <t>IF(OR(F80="",COUNT(AI80:AV80)=0),"",TODAY()-LOOKUP(2,1/(AI80:AV80&lt;&gt;""),AI80:AV80))</t>
        </is>
      </c>
      <c r="AE80" s="49" t="inlineStr">
        <is>
          <t>IF(OR(F80="",COUNT(AI80:AV80)&lt;2),"",LOOKUP(2,1/(AI80:AV80&lt;&gt;""),AI80:AV80)-MIN(AI80:AV80))</t>
        </is>
      </c>
      <c r="AF80" s="49" t="inlineStr">
        <is>
          <t>IF(OR(AD80="",AC80="Not started",AC80=""),"",IFERROR(AD80-IF(VLOOKUP(AC80,'06_Status_Pipeline'!$B$3:$E$20,4,FALSE)="",0,VLOOKUP(AC80,'06_Status_Pipeline'!$B$3:$E$20,4,FALSE)),""))</t>
        </is>
      </c>
      <c r="AG80" s="42" t="inlineStr">
        <is>
          <t>IF(F80="","",IF(OR(AA80="Cancelled",AC80="Cancelled"),"Cancelled",IF(OR(AC80="Completed / Handover",Y80&lt;&gt;"",Z80&gt;=100),"Completed — on track",IF(O80="Not awarded",IF(U80="",IF(X80="","No planned date",IF(TODAY()&gt;X80,"Behind — past planned date",IF(X80-TODAY()&lt;=30,"At risk — close to off track","On track"))),IF(TODAY()&gt;U80,"Behind — award date passed",IF(U80-TODAY()&lt;=30,"At risk — close to off track","On track"))),IF(X80="","No planned date",IF(AND(TODAY()&gt;X80,OR(Z80="",Z80&lt;100)),"Behind — past end date",IF(AND(T80&lt;&gt;"",X80&lt;&gt;"",Z80&lt;&gt;"",(Z80&lt;100),((TODAY()-T80)/MAX(X80-T80,1)*100)-Z80&gt;15),"Behind — progress lag",IF(AND(X80-TODAY()&lt;=30,X80-TODAY()&gt;=0,OR(Z80="",Z80&lt;90)),"At risk — close to off track","On track"))))))))</t>
        </is>
      </c>
      <c r="AH80" s="49" t="inlineStr">
        <is>
          <t>IF(OR(F80="",AC80="Completed / Handover",AC80="Cancelled"),"",IF(O80="Not awarded",IF(U80&lt;&gt;"",U80-TODAY(),IF(X80="","",X80-TODAY())),IF(X80="","",X80-TODAY())))</t>
        </is>
      </c>
      <c r="AI80" s="54" t="n"/>
      <c r="AJ80" s="54" t="n"/>
      <c r="AK80" s="54" t="n"/>
      <c r="AL80" s="54" t="n"/>
      <c r="AM80" s="54" t="n"/>
      <c r="AN80" s="54" t="n"/>
      <c r="AO80" s="54" t="n"/>
      <c r="AP80" s="54" t="n"/>
      <c r="AQ80" s="54" t="n"/>
      <c r="AR80" s="54" t="n"/>
      <c r="AS80" s="54" t="n"/>
      <c r="AT80" s="50" t="n"/>
      <c r="AU80" s="50" t="n"/>
      <c r="AV80" s="50" t="n"/>
      <c r="AW80" s="49" t="inlineStr">
        <is>
          <t>IF(OR(F80="",AJ80=""),"",IF(COUNT(AI80:AI80)=0,"",AJ80-LOOKUP(2,1/(AI80:AI80&lt;&gt;""),AI80:AI80)))</t>
        </is>
      </c>
      <c r="AX80" s="49" t="inlineStr">
        <is>
          <t>IF(OR(F80="",AK80=""),"",IF(COUNT(AI80:AJ80)=0,"",AK80-LOOKUP(2,1/(AI80:AJ80&lt;&gt;""),AI80:AJ80)))</t>
        </is>
      </c>
      <c r="AY80" s="49" t="inlineStr">
        <is>
          <t>IF(OR(F80="",AL80=""),"",IF(COUNT(AI80:AK80)=0,"",AL80-LOOKUP(2,1/(AI80:AK80&lt;&gt;""),AI80:AK80)))</t>
        </is>
      </c>
      <c r="AZ80" s="49" t="inlineStr">
        <is>
          <t>IF(OR(F80="",AM80=""),"",IF(COUNT(AI80:AL80)=0,"",AM80-LOOKUP(2,1/(AI80:AL80&lt;&gt;""),AI80:AL80)))</t>
        </is>
      </c>
      <c r="BA80" s="49" t="inlineStr">
        <is>
          <t>IF(OR(F80="",AN80=""),"",IF(COUNT(AI80:AM80)=0,"",AN80-LOOKUP(2,1/(AI80:AM80&lt;&gt;""),AI80:AM80)))</t>
        </is>
      </c>
      <c r="BB80" s="49" t="inlineStr">
        <is>
          <t>IF(OR(F80="",AO80=""),"",IF(COUNT(AI80:AN80)=0,"",AO80-LOOKUP(2,1/(AI80:AN80&lt;&gt;""),AI80:AN80)))</t>
        </is>
      </c>
      <c r="BC80" s="49" t="inlineStr">
        <is>
          <t>IF(OR(F80="",AP80=""),"",IF(COUNT(AI80:AO80)=0,"",AP80-LOOKUP(2,1/(AI80:AO80&lt;&gt;""),AI80:AO80)))</t>
        </is>
      </c>
      <c r="BD80" s="49" t="inlineStr">
        <is>
          <t>IF(OR(F80="",AQ80=""),"",IF(COUNT(AI80:AP80)=0,"",AQ80-LOOKUP(2,1/(AI80:AP80&lt;&gt;""),AI80:AP80)))</t>
        </is>
      </c>
      <c r="BE80" s="49" t="inlineStr">
        <is>
          <t>IF(OR(F80="",AR80=""),"",IF(COUNT(AI80:AQ80)=0,"",AR80-LOOKUP(2,1/(AI80:AQ80&lt;&gt;""),AI80:AQ80)))</t>
        </is>
      </c>
      <c r="BF80" s="49" t="inlineStr">
        <is>
          <t>IF(OR(F80="",AS80=""),"",IF(COUNT(AI80:AR80)=0,"",AS80-LOOKUP(2,1/(AI80:AR80&lt;&gt;""),AI80:AR80)))</t>
        </is>
      </c>
      <c r="BG80" s="49" t="inlineStr">
        <is>
          <t>IF(OR(F80="",AT80=""),"",IF(COUNT(AI80:AS80)=0,"",AT80-LOOKUP(2,1/(AI80:AS80&lt;&gt;""),AI80:AS80)))</t>
        </is>
      </c>
      <c r="BH80" s="49" t="inlineStr">
        <is>
          <t>IF(OR(F80="",AU80=""),"",IF(COUNT(AI80:AT80)=0,"",AU80-LOOKUP(2,1/(AI80:AT80&lt;&gt;""),AI80:AT80)))</t>
        </is>
      </c>
      <c r="BI80" s="49" t="inlineStr">
        <is>
          <t>IF(OR(F80="",AV80=""),"",IF(COUNT(AI80:AU80)=0,"",AV80-LOOKUP(2,1/(AI80:AU80&lt;&gt;""),AI80:AU80)))</t>
        </is>
      </c>
      <c r="BJ80" s="51" t="inlineStr">
        <is>
          <t>IF(J80="","All_Provinces",IFERROR(VLOOKUP(J80,'09_Lookups'!$A$4:$B$20,2,FALSE),"All_Provinces"))</t>
        </is>
      </c>
      <c r="BK80" s="51" t="inlineStr">
        <is>
          <t>IF(K80="","All_Districts",IFERROR(VLOOKUP(K80,'09_Lookups'!$E$4:$F$42,2,FALSE),"All_Districts"))</t>
        </is>
      </c>
    </row>
    <row r="81" outlineLevel="1" ht="18" customHeight="1">
      <c r="A81" s="42" t="inlineStr">
        <is>
          <t>IF(F81="","",ROW()-3)</t>
        </is>
      </c>
      <c r="B81" s="43" t="inlineStr">
        <is>
          <t>AF2-DIS-03</t>
        </is>
      </c>
      <c r="C81" s="43" t="inlineStr">
        <is>
          <t>Package #3-WBK/AF2 DIS: Demonstration of 14 Drip irrigation schemes at 13 district sites of 1. Parwan, 2. Kabul, 3. Wardak and 4. Kapisa provinces.</t>
        </is>
      </c>
      <c r="D81" s="43" t="inlineStr">
        <is>
          <t>13 of 14</t>
        </is>
      </c>
      <c r="E81" s="44" t="inlineStr">
        <is>
          <t>AF2-DIS-N-039</t>
        </is>
      </c>
      <c r="F81" s="44" t="inlineStr">
        <is>
          <t>Reg-e-Rawan Drip irrigation schemes</t>
        </is>
      </c>
      <c r="G81" s="44" t="inlineStr">
        <is>
          <t>Drip Irrigation</t>
        </is>
      </c>
      <c r="H81" s="44" t="inlineStr">
        <is>
          <t>Drip Irrigation Plot</t>
        </is>
      </c>
      <c r="I81" s="44" t="inlineStr">
        <is>
          <t>Emergency Food Security Project (EFSP) – WBK/AF-2</t>
        </is>
      </c>
      <c r="J81" s="44" t="inlineStr">
        <is>
          <t>Central / Kabul</t>
        </is>
      </c>
      <c r="K81" s="44" t="inlineStr">
        <is>
          <t>Kapisa</t>
        </is>
      </c>
      <c r="L81" s="44" t="inlineStr">
        <is>
          <t>Mahmood Raqi</t>
        </is>
      </c>
      <c r="M81" s="44" t="inlineStr">
        <is>
          <t>Reg-e-Rawan</t>
        </is>
      </c>
      <c r="N81" s="44" t="inlineStr">
        <is>
          <t>World Bank (WBK/AF-2)</t>
        </is>
      </c>
      <c r="O81" s="44" t="inlineStr">
        <is>
          <t>Not awarded</t>
        </is>
      </c>
      <c r="P81" s="44" t="inlineStr">
        <is>
          <t>5. Drip Irrigation systems</t>
        </is>
      </c>
      <c r="Q81" s="44" t="inlineStr">
        <is>
          <t>Reg-e-Rawa park</t>
        </is>
      </c>
      <c r="R81" s="44" t="inlineStr"/>
      <c r="S81" s="45" t="n">
        <v>8500</v>
      </c>
      <c r="T81" s="46" t="inlineStr">
        <is>
          <t>IF(AQ81="","",AQ81)</t>
        </is>
      </c>
      <c r="U81" s="47" t="n">
        <v>46376</v>
      </c>
      <c r="V81" s="48" t="n">
        <v>6.3</v>
      </c>
      <c r="W81" s="47" t="n">
        <v>46568</v>
      </c>
      <c r="X81" s="46" t="inlineStr">
        <is>
          <t>IF(W81&lt;&gt;"",W81,IF(OR(T81="",V81=""),"",EDATE(T81,V81)))</t>
        </is>
      </c>
      <c r="Y81" s="47" t="n"/>
      <c r="Z81" s="48" t="n"/>
      <c r="AA81" s="44" t="inlineStr">
        <is>
          <t>Retendered (Re-ITB)</t>
        </is>
      </c>
      <c r="AB81" s="44" t="inlineStr">
        <is>
          <t>Slack period from mid December to March 2026. Four months construction period.'''- | Farmer: Reg-e-Rawa park</t>
        </is>
      </c>
      <c r="AC81" s="42" t="inlineStr">
        <is>
          <t>IF(F81="","",IF(COUNT(AI81:AV81)=0,IF(AA81="","Not started",AA81),SUBSTITUTE(LOOKUP(2,1/(AI81:AV81&lt;&gt;""),$AI$3:$AV$3),"Date: ","")))</t>
        </is>
      </c>
      <c r="AD81" s="49" t="inlineStr">
        <is>
          <t>IF(OR(F81="",COUNT(AI81:AV81)=0),"",TODAY()-LOOKUP(2,1/(AI81:AV81&lt;&gt;""),AI81:AV81))</t>
        </is>
      </c>
      <c r="AE81" s="49" t="inlineStr">
        <is>
          <t>IF(OR(F81="",COUNT(AI81:AV81)&lt;2),"",LOOKUP(2,1/(AI81:AV81&lt;&gt;""),AI81:AV81)-MIN(AI81:AV81))</t>
        </is>
      </c>
      <c r="AF81" s="49" t="inlineStr">
        <is>
          <t>IF(OR(AD81="",AC81="Not started",AC81=""),"",IFERROR(AD81-IF(VLOOKUP(AC81,'06_Status_Pipeline'!$B$3:$E$20,4,FALSE)="",0,VLOOKUP(AC81,'06_Status_Pipeline'!$B$3:$E$20,4,FALSE)),""))</t>
        </is>
      </c>
      <c r="AG81" s="42" t="inlineStr">
        <is>
          <t>IF(F81="","",IF(OR(AA81="Cancelled",AC81="Cancelled"),"Cancelled",IF(OR(AC81="Completed / Handover",Y81&lt;&gt;"",Z81&gt;=100),"Completed — on track",IF(O81="Not awarded",IF(U81="",IF(X81="","No planned date",IF(TODAY()&gt;X81,"Behind — past planned date",IF(X81-TODAY()&lt;=30,"At risk — close to off track","On track"))),IF(TODAY()&gt;U81,"Behind — award date passed",IF(U81-TODAY()&lt;=30,"At risk — close to off track","On track"))),IF(X81="","No planned date",IF(AND(TODAY()&gt;X81,OR(Z81="",Z81&lt;100)),"Behind — past end date",IF(AND(T81&lt;&gt;"",X81&lt;&gt;"",Z81&lt;&gt;"",(Z81&lt;100),((TODAY()-T81)/MAX(X81-T81,1)*100)-Z81&gt;15),"Behind — progress lag",IF(AND(X81-TODAY()&lt;=30,X81-TODAY()&gt;=0,OR(Z81="",Z81&lt;90)),"At risk — close to off track","On track"))))))))</t>
        </is>
      </c>
      <c r="AH81" s="49" t="inlineStr">
        <is>
          <t>IF(OR(F81="",AC81="Completed / Handover",AC81="Cancelled"),"",IF(O81="Not awarded",IF(U81&lt;&gt;"",U81-TODAY(),IF(X81="","",X81-TODAY())),IF(X81="","",X81-TODAY())))</t>
        </is>
      </c>
      <c r="AI81" s="47" t="n"/>
      <c r="AJ81" s="47" t="n"/>
      <c r="AK81" s="47" t="n"/>
      <c r="AL81" s="47" t="n"/>
      <c r="AM81" s="47" t="n"/>
      <c r="AN81" s="47" t="n"/>
      <c r="AO81" s="47" t="n"/>
      <c r="AP81" s="47" t="n"/>
      <c r="AQ81" s="47" t="n"/>
      <c r="AR81" s="47" t="n"/>
      <c r="AS81" s="47" t="n"/>
      <c r="AT81" s="50" t="n"/>
      <c r="AU81" s="50" t="n"/>
      <c r="AV81" s="50" t="n"/>
      <c r="AW81" s="49" t="inlineStr">
        <is>
          <t>IF(OR(F81="",AJ81=""),"",IF(COUNT(AI81:AI81)=0,"",AJ81-LOOKUP(2,1/(AI81:AI81&lt;&gt;""),AI81:AI81)))</t>
        </is>
      </c>
      <c r="AX81" s="49" t="inlineStr">
        <is>
          <t>IF(OR(F81="",AK81=""),"",IF(COUNT(AI81:AJ81)=0,"",AK81-LOOKUP(2,1/(AI81:AJ81&lt;&gt;""),AI81:AJ81)))</t>
        </is>
      </c>
      <c r="AY81" s="49" t="inlineStr">
        <is>
          <t>IF(OR(F81="",AL81=""),"",IF(COUNT(AI81:AK81)=0,"",AL81-LOOKUP(2,1/(AI81:AK81&lt;&gt;""),AI81:AK81)))</t>
        </is>
      </c>
      <c r="AZ81" s="49" t="inlineStr">
        <is>
          <t>IF(OR(F81="",AM81=""),"",IF(COUNT(AI81:AL81)=0,"",AM81-LOOKUP(2,1/(AI81:AL81&lt;&gt;""),AI81:AL81)))</t>
        </is>
      </c>
      <c r="BA81" s="49" t="inlineStr">
        <is>
          <t>IF(OR(F81="",AN81=""),"",IF(COUNT(AI81:AM81)=0,"",AN81-LOOKUP(2,1/(AI81:AM81&lt;&gt;""),AI81:AM81)))</t>
        </is>
      </c>
      <c r="BB81" s="49" t="inlineStr">
        <is>
          <t>IF(OR(F81="",AO81=""),"",IF(COUNT(AI81:AN81)=0,"",AO81-LOOKUP(2,1/(AI81:AN81&lt;&gt;""),AI81:AN81)))</t>
        </is>
      </c>
      <c r="BC81" s="49" t="inlineStr">
        <is>
          <t>IF(OR(F81="",AP81=""),"",IF(COUNT(AI81:AO81)=0,"",AP81-LOOKUP(2,1/(AI81:AO81&lt;&gt;""),AI81:AO81)))</t>
        </is>
      </c>
      <c r="BD81" s="49" t="inlineStr">
        <is>
          <t>IF(OR(F81="",AQ81=""),"",IF(COUNT(AI81:AP81)=0,"",AQ81-LOOKUP(2,1/(AI81:AP81&lt;&gt;""),AI81:AP81)))</t>
        </is>
      </c>
      <c r="BE81" s="49" t="inlineStr">
        <is>
          <t>IF(OR(F81="",AR81=""),"",IF(COUNT(AI81:AQ81)=0,"",AR81-LOOKUP(2,1/(AI81:AQ81&lt;&gt;""),AI81:AQ81)))</t>
        </is>
      </c>
      <c r="BF81" s="49" t="inlineStr">
        <is>
          <t>IF(OR(F81="",AS81=""),"",IF(COUNT(AI81:AR81)=0,"",AS81-LOOKUP(2,1/(AI81:AR81&lt;&gt;""),AI81:AR81)))</t>
        </is>
      </c>
      <c r="BG81" s="49" t="inlineStr">
        <is>
          <t>IF(OR(F81="",AT81=""),"",IF(COUNT(AI81:AS81)=0,"",AT81-LOOKUP(2,1/(AI81:AS81&lt;&gt;""),AI81:AS81)))</t>
        </is>
      </c>
      <c r="BH81" s="49" t="inlineStr">
        <is>
          <t>IF(OR(F81="",AU81=""),"",IF(COUNT(AI81:AT81)=0,"",AU81-LOOKUP(2,1/(AI81:AT81&lt;&gt;""),AI81:AT81)))</t>
        </is>
      </c>
      <c r="BI81" s="49" t="inlineStr">
        <is>
          <t>IF(OR(F81="",AV81=""),"",IF(COUNT(AI81:AU81)=0,"",AV81-LOOKUP(2,1/(AI81:AU81&lt;&gt;""),AI81:AU81)))</t>
        </is>
      </c>
      <c r="BJ81" s="51" t="inlineStr">
        <is>
          <t>IF(J81="","All_Provinces",IFERROR(VLOOKUP(J81,'09_Lookups'!$A$4:$B$20,2,FALSE),"All_Provinces"))</t>
        </is>
      </c>
      <c r="BK81" s="51" t="inlineStr">
        <is>
          <t>IF(K81="","All_Districts",IFERROR(VLOOKUP(K81,'09_Lookups'!$E$4:$F$42,2,FALSE),"All_Districts"))</t>
        </is>
      </c>
    </row>
    <row r="82" outlineLevel="1" ht="18" customHeight="1">
      <c r="A82" s="42" t="inlineStr">
        <is>
          <t>IF(F82="","",ROW()-3)</t>
        </is>
      </c>
      <c r="B82" s="43" t="inlineStr">
        <is>
          <t>AF2-DIS-03</t>
        </is>
      </c>
      <c r="C82" s="43" t="inlineStr">
        <is>
          <t>Package #3-WBK/AF2 DIS: Demonstration of 14 Drip irrigation schemes at 13 district sites of 1. Parwan, 2. Kabul, 3. Wardak and 4. Kapisa provinces.</t>
        </is>
      </c>
      <c r="D82" s="43" t="inlineStr">
        <is>
          <t>14 of 14</t>
        </is>
      </c>
      <c r="E82" s="52" t="inlineStr">
        <is>
          <t>AF2-DIS-N-040</t>
        </is>
      </c>
      <c r="F82" s="52" t="inlineStr">
        <is>
          <t>Zar Shakh Drip irrigation schemes</t>
        </is>
      </c>
      <c r="G82" s="52" t="inlineStr">
        <is>
          <t>Drip Irrigation</t>
        </is>
      </c>
      <c r="H82" s="52" t="inlineStr">
        <is>
          <t>Drip Irrigation Plot</t>
        </is>
      </c>
      <c r="I82" s="52" t="inlineStr">
        <is>
          <t>Emergency Food Security Project (EFSP) – WBK/AF-2</t>
        </is>
      </c>
      <c r="J82" s="52" t="inlineStr">
        <is>
          <t>Central / Kabul</t>
        </is>
      </c>
      <c r="K82" s="52" t="inlineStr">
        <is>
          <t>Kabul</t>
        </is>
      </c>
      <c r="L82" s="52" t="inlineStr">
        <is>
          <t>Paghman</t>
        </is>
      </c>
      <c r="M82" s="52" t="inlineStr">
        <is>
          <t>Zar Shakh</t>
        </is>
      </c>
      <c r="N82" s="52" t="inlineStr">
        <is>
          <t>World Bank (WBK/AF-2)</t>
        </is>
      </c>
      <c r="O82" s="52" t="inlineStr">
        <is>
          <t>Not awarded</t>
        </is>
      </c>
      <c r="P82" s="52" t="inlineStr">
        <is>
          <t>5. Drip Irrigation systems</t>
        </is>
      </c>
      <c r="Q82" s="52" t="inlineStr">
        <is>
          <t>Khairullah Zia</t>
        </is>
      </c>
      <c r="R82" s="52" t="inlineStr"/>
      <c r="S82" s="53" t="n">
        <v>4250</v>
      </c>
      <c r="T82" s="46" t="inlineStr">
        <is>
          <t>IF(AQ82="","",AQ82)</t>
        </is>
      </c>
      <c r="U82" s="54" t="n">
        <v>46376</v>
      </c>
      <c r="V82" s="55" t="n">
        <v>6.3</v>
      </c>
      <c r="W82" s="54" t="n">
        <v>46568</v>
      </c>
      <c r="X82" s="46" t="inlineStr">
        <is>
          <t>IF(W82&lt;&gt;"",W82,IF(OR(T82="",V82=""),"",EDATE(T82,V82)))</t>
        </is>
      </c>
      <c r="Y82" s="54" t="n"/>
      <c r="Z82" s="55" t="n"/>
      <c r="AA82" s="52" t="inlineStr">
        <is>
          <t>Retendered (Re-ITB)</t>
        </is>
      </c>
      <c r="AB82" s="52" t="inlineStr">
        <is>
          <t>Slack period from mid December to March 2026. Four months construction period.''- | Farmer: Khairullah Zia</t>
        </is>
      </c>
      <c r="AC82" s="42" t="inlineStr">
        <is>
          <t>IF(F82="","",IF(COUNT(AI82:AV82)=0,IF(AA82="","Not started",AA82),SUBSTITUTE(LOOKUP(2,1/(AI82:AV82&lt;&gt;""),$AI$3:$AV$3),"Date: ","")))</t>
        </is>
      </c>
      <c r="AD82" s="49" t="inlineStr">
        <is>
          <t>IF(OR(F82="",COUNT(AI82:AV82)=0),"",TODAY()-LOOKUP(2,1/(AI82:AV82&lt;&gt;""),AI82:AV82))</t>
        </is>
      </c>
      <c r="AE82" s="49" t="inlineStr">
        <is>
          <t>IF(OR(F82="",COUNT(AI82:AV82)&lt;2),"",LOOKUP(2,1/(AI82:AV82&lt;&gt;""),AI82:AV82)-MIN(AI82:AV82))</t>
        </is>
      </c>
      <c r="AF82" s="49" t="inlineStr">
        <is>
          <t>IF(OR(AD82="",AC82="Not started",AC82=""),"",IFERROR(AD82-IF(VLOOKUP(AC82,'06_Status_Pipeline'!$B$3:$E$20,4,FALSE)="",0,VLOOKUP(AC82,'06_Status_Pipeline'!$B$3:$E$20,4,FALSE)),""))</t>
        </is>
      </c>
      <c r="AG82" s="42" t="inlineStr">
        <is>
          <t>IF(F82="","",IF(OR(AA82="Cancelled",AC82="Cancelled"),"Cancelled",IF(OR(AC82="Completed / Handover",Y82&lt;&gt;"",Z82&gt;=100),"Completed — on track",IF(O82="Not awarded",IF(U82="",IF(X82="","No planned date",IF(TODAY()&gt;X82,"Behind — past planned date",IF(X82-TODAY()&lt;=30,"At risk — close to off track","On track"))),IF(TODAY()&gt;U82,"Behind — award date passed",IF(U82-TODAY()&lt;=30,"At risk — close to off track","On track"))),IF(X82="","No planned date",IF(AND(TODAY()&gt;X82,OR(Z82="",Z82&lt;100)),"Behind — past end date",IF(AND(T82&lt;&gt;"",X82&lt;&gt;"",Z82&lt;&gt;"",(Z82&lt;100),((TODAY()-T82)/MAX(X82-T82,1)*100)-Z82&gt;15),"Behind — progress lag",IF(AND(X82-TODAY()&lt;=30,X82-TODAY()&gt;=0,OR(Z82="",Z82&lt;90)),"At risk — close to off track","On track"))))))))</t>
        </is>
      </c>
      <c r="AH82" s="49" t="inlineStr">
        <is>
          <t>IF(OR(F82="",AC82="Completed / Handover",AC82="Cancelled"),"",IF(O82="Not awarded",IF(U82&lt;&gt;"",U82-TODAY(),IF(X82="","",X82-TODAY())),IF(X82="","",X82-TODAY())))</t>
        </is>
      </c>
      <c r="AI82" s="54" t="n"/>
      <c r="AJ82" s="54" t="n"/>
      <c r="AK82" s="54" t="n"/>
      <c r="AL82" s="54" t="n"/>
      <c r="AM82" s="54" t="n"/>
      <c r="AN82" s="54" t="n"/>
      <c r="AO82" s="54" t="n"/>
      <c r="AP82" s="54" t="n"/>
      <c r="AQ82" s="54" t="n"/>
      <c r="AR82" s="54" t="n"/>
      <c r="AS82" s="54" t="n"/>
      <c r="AT82" s="50" t="n"/>
      <c r="AU82" s="50" t="n"/>
      <c r="AV82" s="50" t="n"/>
      <c r="AW82" s="49" t="inlineStr">
        <is>
          <t>IF(OR(F82="",AJ82=""),"",IF(COUNT(AI82:AI82)=0,"",AJ82-LOOKUP(2,1/(AI82:AI82&lt;&gt;""),AI82:AI82)))</t>
        </is>
      </c>
      <c r="AX82" s="49" t="inlineStr">
        <is>
          <t>IF(OR(F82="",AK82=""),"",IF(COUNT(AI82:AJ82)=0,"",AK82-LOOKUP(2,1/(AI82:AJ82&lt;&gt;""),AI82:AJ82)))</t>
        </is>
      </c>
      <c r="AY82" s="49" t="inlineStr">
        <is>
          <t>IF(OR(F82="",AL82=""),"",IF(COUNT(AI82:AK82)=0,"",AL82-LOOKUP(2,1/(AI82:AK82&lt;&gt;""),AI82:AK82)))</t>
        </is>
      </c>
      <c r="AZ82" s="49" t="inlineStr">
        <is>
          <t>IF(OR(F82="",AM82=""),"",IF(COUNT(AI82:AL82)=0,"",AM82-LOOKUP(2,1/(AI82:AL82&lt;&gt;""),AI82:AL82)))</t>
        </is>
      </c>
      <c r="BA82" s="49" t="inlineStr">
        <is>
          <t>IF(OR(F82="",AN82=""),"",IF(COUNT(AI82:AM82)=0,"",AN82-LOOKUP(2,1/(AI82:AM82&lt;&gt;""),AI82:AM82)))</t>
        </is>
      </c>
      <c r="BB82" s="49" t="inlineStr">
        <is>
          <t>IF(OR(F82="",AO82=""),"",IF(COUNT(AI82:AN82)=0,"",AO82-LOOKUP(2,1/(AI82:AN82&lt;&gt;""),AI82:AN82)))</t>
        </is>
      </c>
      <c r="BC82" s="49" t="inlineStr">
        <is>
          <t>IF(OR(F82="",AP82=""),"",IF(COUNT(AI82:AO82)=0,"",AP82-LOOKUP(2,1/(AI82:AO82&lt;&gt;""),AI82:AO82)))</t>
        </is>
      </c>
      <c r="BD82" s="49" t="inlineStr">
        <is>
          <t>IF(OR(F82="",AQ82=""),"",IF(COUNT(AI82:AP82)=0,"",AQ82-LOOKUP(2,1/(AI82:AP82&lt;&gt;""),AI82:AP82)))</t>
        </is>
      </c>
      <c r="BE82" s="49" t="inlineStr">
        <is>
          <t>IF(OR(F82="",AR82=""),"",IF(COUNT(AI82:AQ82)=0,"",AR82-LOOKUP(2,1/(AI82:AQ82&lt;&gt;""),AI82:AQ82)))</t>
        </is>
      </c>
      <c r="BF82" s="49" t="inlineStr">
        <is>
          <t>IF(OR(F82="",AS82=""),"",IF(COUNT(AI82:AR82)=0,"",AS82-LOOKUP(2,1/(AI82:AR82&lt;&gt;""),AI82:AR82)))</t>
        </is>
      </c>
      <c r="BG82" s="49" t="inlineStr">
        <is>
          <t>IF(OR(F82="",AT82=""),"",IF(COUNT(AI82:AS82)=0,"",AT82-LOOKUP(2,1/(AI82:AS82&lt;&gt;""),AI82:AS82)))</t>
        </is>
      </c>
      <c r="BH82" s="49" t="inlineStr">
        <is>
          <t>IF(OR(F82="",AU82=""),"",IF(COUNT(AI82:AT82)=0,"",AU82-LOOKUP(2,1/(AI82:AT82&lt;&gt;""),AI82:AT82)))</t>
        </is>
      </c>
      <c r="BI82" s="49" t="inlineStr">
        <is>
          <t>IF(OR(F82="",AV82=""),"",IF(COUNT(AI82:AU82)=0,"",AV82-LOOKUP(2,1/(AI82:AU82&lt;&gt;""),AI82:AU82)))</t>
        </is>
      </c>
      <c r="BJ82" s="51" t="inlineStr">
        <is>
          <t>IF(J82="","All_Provinces",IFERROR(VLOOKUP(J82,'09_Lookups'!$A$4:$B$20,2,FALSE),"All_Provinces"))</t>
        </is>
      </c>
      <c r="BK82" s="51" t="inlineStr">
        <is>
          <t>IF(K82="","All_Districts",IFERROR(VLOOKUP(K82,'09_Lookups'!$E$4:$F$42,2,FALSE),"All_Districts"))</t>
        </is>
      </c>
    </row>
    <row r="83" ht="18" customHeight="1">
      <c r="A83" s="32" t="inlineStr">
        <is>
          <t>IF(F83="","",ROW()-3)</t>
        </is>
      </c>
      <c r="B83" s="56" t="inlineStr">
        <is>
          <t>AF2-DIS-04</t>
        </is>
      </c>
      <c r="C83" s="56" t="inlineStr">
        <is>
          <t>Package #4-WBK/AF2 DIS: Demonstration of 12 Drip irrigation schemes at 4 district sites of 1. Miramor, 2. Shahristan, 3.Nilli, and 4.Sayghan in Daykundi and Bamyan provinces</t>
        </is>
      </c>
      <c r="D83" s="56" t="inlineStr">
        <is>
          <t>1 of 12</t>
        </is>
      </c>
      <c r="E83" s="57" t="inlineStr">
        <is>
          <t>AF2-DIS-N-041</t>
        </is>
      </c>
      <c r="F83" s="57" t="inlineStr">
        <is>
          <t>Bagh Drip Irrigation System</t>
        </is>
      </c>
      <c r="G83" s="57" t="inlineStr">
        <is>
          <t>Drip Irrigation</t>
        </is>
      </c>
      <c r="H83" s="57" t="inlineStr">
        <is>
          <t>Drip Irrigation Plot</t>
        </is>
      </c>
      <c r="I83" s="57" t="inlineStr">
        <is>
          <t>Emergency Food Security Project (EFSP) – WBK/AF-2</t>
        </is>
      </c>
      <c r="J83" s="57" t="inlineStr">
        <is>
          <t>Central Highland / Bamyan</t>
        </is>
      </c>
      <c r="K83" s="57" t="inlineStr">
        <is>
          <t>Daykundi</t>
        </is>
      </c>
      <c r="L83" s="57" t="inlineStr">
        <is>
          <t>Miramor</t>
        </is>
      </c>
      <c r="M83" s="57" t="inlineStr">
        <is>
          <t>Bagh</t>
        </is>
      </c>
      <c r="N83" s="57" t="inlineStr">
        <is>
          <t>World Bank (WBK/AF-2)</t>
        </is>
      </c>
      <c r="O83" s="57" t="inlineStr">
        <is>
          <t>Not awarded</t>
        </is>
      </c>
      <c r="P83" s="57" t="inlineStr">
        <is>
          <t>5. Drip Irrigation systems</t>
        </is>
      </c>
      <c r="Q83" s="57" t="inlineStr">
        <is>
          <t>Ghulam</t>
        </is>
      </c>
      <c r="R83" s="57" t="inlineStr"/>
      <c r="S83" s="58" t="n">
        <v>3300.86</v>
      </c>
      <c r="T83" s="36" t="inlineStr">
        <is>
          <t>IF(AQ83="","",AQ83)</t>
        </is>
      </c>
      <c r="U83" s="59" t="n">
        <v>46376</v>
      </c>
      <c r="V83" s="60" t="n">
        <v>6.2</v>
      </c>
      <c r="W83" s="59" t="n">
        <v>46566</v>
      </c>
      <c r="X83" s="36" t="inlineStr">
        <is>
          <t>IF(W83&lt;&gt;"",W83,IF(OR(T83="",V83=""),"",EDATE(T83,V83)))</t>
        </is>
      </c>
      <c r="Y83" s="59" t="n"/>
      <c r="Z83" s="60" t="n"/>
      <c r="AA83" s="57" t="inlineStr">
        <is>
          <t>Retendered (Re-ITB)</t>
        </is>
      </c>
      <c r="AB83" s="57" t="inlineStr">
        <is>
          <t>Slack period up to end March. Four months construction period starting from April 2026. | Farmer: Ghulam</t>
        </is>
      </c>
      <c r="AC83" s="32" t="inlineStr">
        <is>
          <t>IF(F83="","",IF(COUNT(AI83:AV83)=0,IF(AA83="","Not started",AA83),SUBSTITUTE(LOOKUP(2,1/(AI83:AV83&lt;&gt;""),$AI$3:$AV$3),"Date: ","")))</t>
        </is>
      </c>
      <c r="AD83" s="39" t="inlineStr">
        <is>
          <t>IF(OR(F83="",COUNT(AI83:AV83)=0),"",TODAY()-LOOKUP(2,1/(AI83:AV83&lt;&gt;""),AI83:AV83))</t>
        </is>
      </c>
      <c r="AE83" s="39" t="inlineStr">
        <is>
          <t>IF(OR(F83="",COUNT(AI83:AV83)&lt;2),"",LOOKUP(2,1/(AI83:AV83&lt;&gt;""),AI83:AV83)-MIN(AI83:AV83))</t>
        </is>
      </c>
      <c r="AF83" s="39" t="inlineStr">
        <is>
          <t>IF(OR(AD83="",AC83="Not started",AC83=""),"",IFERROR(AD83-IF(VLOOKUP(AC83,'06_Status_Pipeline'!$B$3:$E$20,4,FALSE)="",0,VLOOKUP(AC83,'06_Status_Pipeline'!$B$3:$E$20,4,FALSE)),""))</t>
        </is>
      </c>
      <c r="AG83" s="32" t="inlineStr">
        <is>
          <t>IF(F83="","",IF(OR(AA83="Cancelled",AC83="Cancelled"),"Cancelled",IF(OR(AC83="Completed / Handover",Y83&lt;&gt;"",Z83&gt;=100),"Completed — on track",IF(O83="Not awarded",IF(U83="",IF(X83="","No planned date",IF(TODAY()&gt;X83,"Behind — past planned date",IF(X83-TODAY()&lt;=30,"At risk — close to off track","On track"))),IF(TODAY()&gt;U83,"Behind — award date passed",IF(U83-TODAY()&lt;=30,"At risk — close to off track","On track"))),IF(X83="","No planned date",IF(AND(TODAY()&gt;X83,OR(Z83="",Z83&lt;100)),"Behind — past end date",IF(AND(T83&lt;&gt;"",X83&lt;&gt;"",Z83&lt;&gt;"",(Z83&lt;100),((TODAY()-T83)/MAX(X83-T83,1)*100)-Z83&gt;15),"Behind — progress lag",IF(AND(X83-TODAY()&lt;=30,X83-TODAY()&gt;=0,OR(Z83="",Z83&lt;90)),"At risk — close to off track","On track"))))))))</t>
        </is>
      </c>
      <c r="AH83" s="39" t="inlineStr">
        <is>
          <t>IF(OR(F83="",AC83="Completed / Handover",AC83="Cancelled"),"",IF(O83="Not awarded",IF(U83&lt;&gt;"",U83-TODAY(),IF(X83="","",X83-TODAY())),IF(X83="","",X83-TODAY())))</t>
        </is>
      </c>
      <c r="AI83" s="59" t="n"/>
      <c r="AJ83" s="59" t="n"/>
      <c r="AK83" s="59" t="n"/>
      <c r="AL83" s="59" t="n"/>
      <c r="AM83" s="59" t="n"/>
      <c r="AN83" s="59" t="n"/>
      <c r="AO83" s="59" t="n"/>
      <c r="AP83" s="59" t="n"/>
      <c r="AQ83" s="59" t="n"/>
      <c r="AR83" s="59" t="n"/>
      <c r="AS83" s="59" t="n"/>
      <c r="AT83" s="40" t="n"/>
      <c r="AU83" s="40" t="n"/>
      <c r="AV83" s="40" t="n"/>
      <c r="AW83" s="39" t="inlineStr">
        <is>
          <t>IF(OR(F83="",AJ83=""),"",IF(COUNT(AI83:AI83)=0,"",AJ83-LOOKUP(2,1/(AI83:AI83&lt;&gt;""),AI83:AI83)))</t>
        </is>
      </c>
      <c r="AX83" s="39" t="inlineStr">
        <is>
          <t>IF(OR(F83="",AK83=""),"",IF(COUNT(AI83:AJ83)=0,"",AK83-LOOKUP(2,1/(AI83:AJ83&lt;&gt;""),AI83:AJ83)))</t>
        </is>
      </c>
      <c r="AY83" s="39" t="inlineStr">
        <is>
          <t>IF(OR(F83="",AL83=""),"",IF(COUNT(AI83:AK83)=0,"",AL83-LOOKUP(2,1/(AI83:AK83&lt;&gt;""),AI83:AK83)))</t>
        </is>
      </c>
      <c r="AZ83" s="39" t="inlineStr">
        <is>
          <t>IF(OR(F83="",AM83=""),"",IF(COUNT(AI83:AL83)=0,"",AM83-LOOKUP(2,1/(AI83:AL83&lt;&gt;""),AI83:AL83)))</t>
        </is>
      </c>
      <c r="BA83" s="39" t="inlineStr">
        <is>
          <t>IF(OR(F83="",AN83=""),"",IF(COUNT(AI83:AM83)=0,"",AN83-LOOKUP(2,1/(AI83:AM83&lt;&gt;""),AI83:AM83)))</t>
        </is>
      </c>
      <c r="BB83" s="39" t="inlineStr">
        <is>
          <t>IF(OR(F83="",AO83=""),"",IF(COUNT(AI83:AN83)=0,"",AO83-LOOKUP(2,1/(AI83:AN83&lt;&gt;""),AI83:AN83)))</t>
        </is>
      </c>
      <c r="BC83" s="39" t="inlineStr">
        <is>
          <t>IF(OR(F83="",AP83=""),"",IF(COUNT(AI83:AO83)=0,"",AP83-LOOKUP(2,1/(AI83:AO83&lt;&gt;""),AI83:AO83)))</t>
        </is>
      </c>
      <c r="BD83" s="39" t="inlineStr">
        <is>
          <t>IF(OR(F83="",AQ83=""),"",IF(COUNT(AI83:AP83)=0,"",AQ83-LOOKUP(2,1/(AI83:AP83&lt;&gt;""),AI83:AP83)))</t>
        </is>
      </c>
      <c r="BE83" s="39" t="inlineStr">
        <is>
          <t>IF(OR(F83="",AR83=""),"",IF(COUNT(AI83:AQ83)=0,"",AR83-LOOKUP(2,1/(AI83:AQ83&lt;&gt;""),AI83:AQ83)))</t>
        </is>
      </c>
      <c r="BF83" s="39" t="inlineStr">
        <is>
          <t>IF(OR(F83="",AS83=""),"",IF(COUNT(AI83:AR83)=0,"",AS83-LOOKUP(2,1/(AI83:AR83&lt;&gt;""),AI83:AR83)))</t>
        </is>
      </c>
      <c r="BG83" s="39" t="inlineStr">
        <is>
          <t>IF(OR(F83="",AT83=""),"",IF(COUNT(AI83:AS83)=0,"",AT83-LOOKUP(2,1/(AI83:AS83&lt;&gt;""),AI83:AS83)))</t>
        </is>
      </c>
      <c r="BH83" s="39" t="inlineStr">
        <is>
          <t>IF(OR(F83="",AU83=""),"",IF(COUNT(AI83:AT83)=0,"",AU83-LOOKUP(2,1/(AI83:AT83&lt;&gt;""),AI83:AT83)))</t>
        </is>
      </c>
      <c r="BI83" s="39" t="inlineStr">
        <is>
          <t>IF(OR(F83="",AV83=""),"",IF(COUNT(AI83:AU83)=0,"",AV83-LOOKUP(2,1/(AI83:AU83&lt;&gt;""),AI83:AU83)))</t>
        </is>
      </c>
      <c r="BJ83" s="41" t="inlineStr">
        <is>
          <t>IF(J83="","All_Provinces",IFERROR(VLOOKUP(J83,'09_Lookups'!$A$4:$B$20,2,FALSE),"All_Provinces"))</t>
        </is>
      </c>
      <c r="BK83" s="41" t="inlineStr">
        <is>
          <t>IF(K83="","All_Districts",IFERROR(VLOOKUP(K83,'09_Lookups'!$E$4:$F$42,2,FALSE),"All_Districts"))</t>
        </is>
      </c>
    </row>
    <row r="84" outlineLevel="1" ht="18" customHeight="1">
      <c r="A84" s="42" t="inlineStr">
        <is>
          <t>IF(F84="","",ROW()-3)</t>
        </is>
      </c>
      <c r="B84" s="61" t="inlineStr">
        <is>
          <t>AF2-DIS-04</t>
        </is>
      </c>
      <c r="C84" s="61" t="inlineStr">
        <is>
          <t>Package #4-WBK/AF2 DIS: Demonstration of 12 Drip irrigation schemes at 4 district sites of 1. Miramor, 2. Shahristan, 3.Nilli, and 4.Sayghan in Daykundi and Bamyan provinces</t>
        </is>
      </c>
      <c r="D84" s="61" t="inlineStr">
        <is>
          <t>2 of 12</t>
        </is>
      </c>
      <c r="E84" s="52" t="inlineStr">
        <is>
          <t>AF2-DIS-N-042</t>
        </is>
      </c>
      <c r="F84" s="52" t="inlineStr">
        <is>
          <t>Deraw drip Irrigation Systen</t>
        </is>
      </c>
      <c r="G84" s="52" t="inlineStr">
        <is>
          <t>Drip Irrigation</t>
        </is>
      </c>
      <c r="H84" s="52" t="inlineStr">
        <is>
          <t>Drip Irrigation Plot</t>
        </is>
      </c>
      <c r="I84" s="52" t="inlineStr">
        <is>
          <t>Emergency Food Security Project (EFSP) – WBK/AF-2</t>
        </is>
      </c>
      <c r="J84" s="52" t="inlineStr">
        <is>
          <t>Central Highland / Bamyan</t>
        </is>
      </c>
      <c r="K84" s="52" t="inlineStr">
        <is>
          <t>Daykundi</t>
        </is>
      </c>
      <c r="L84" s="52" t="inlineStr">
        <is>
          <t>Miramor</t>
        </is>
      </c>
      <c r="M84" s="52" t="inlineStr">
        <is>
          <t>Deraw</t>
        </is>
      </c>
      <c r="N84" s="52" t="inlineStr">
        <is>
          <t>World Bank (WBK/AF-2)</t>
        </is>
      </c>
      <c r="O84" s="52" t="inlineStr">
        <is>
          <t>Not awarded</t>
        </is>
      </c>
      <c r="P84" s="52" t="inlineStr">
        <is>
          <t>5. Drip Irrigation systems</t>
        </is>
      </c>
      <c r="Q84" s="52" t="inlineStr">
        <is>
          <t>Mohammad Arif</t>
        </is>
      </c>
      <c r="R84" s="52" t="inlineStr"/>
      <c r="S84" s="53" t="n">
        <v>6011.99</v>
      </c>
      <c r="T84" s="46" t="inlineStr">
        <is>
          <t>IF(AQ84="","",AQ84)</t>
        </is>
      </c>
      <c r="U84" s="54" t="n">
        <v>46376</v>
      </c>
      <c r="V84" s="55" t="n">
        <v>6.2</v>
      </c>
      <c r="W84" s="54" t="n">
        <v>46566</v>
      </c>
      <c r="X84" s="46" t="inlineStr">
        <is>
          <t>IF(W84&lt;&gt;"",W84,IF(OR(T84="",V84=""),"",EDATE(T84,V84)))</t>
        </is>
      </c>
      <c r="Y84" s="54" t="n"/>
      <c r="Z84" s="55" t="n"/>
      <c r="AA84" s="52" t="inlineStr">
        <is>
          <t>Retendered (Re-ITB)</t>
        </is>
      </c>
      <c r="AB84" s="52" t="inlineStr">
        <is>
          <t>Slack period up to end March. Four months construction period starting from April 2026. | Farmer: Mohammad Arif</t>
        </is>
      </c>
      <c r="AC84" s="42" t="inlineStr">
        <is>
          <t>IF(F84="","",IF(COUNT(AI84:AV84)=0,IF(AA84="","Not started",AA84),SUBSTITUTE(LOOKUP(2,1/(AI84:AV84&lt;&gt;""),$AI$3:$AV$3),"Date: ","")))</t>
        </is>
      </c>
      <c r="AD84" s="49" t="inlineStr">
        <is>
          <t>IF(OR(F84="",COUNT(AI84:AV84)=0),"",TODAY()-LOOKUP(2,1/(AI84:AV84&lt;&gt;""),AI84:AV84))</t>
        </is>
      </c>
      <c r="AE84" s="49" t="inlineStr">
        <is>
          <t>IF(OR(F84="",COUNT(AI84:AV84)&lt;2),"",LOOKUP(2,1/(AI84:AV84&lt;&gt;""),AI84:AV84)-MIN(AI84:AV84))</t>
        </is>
      </c>
      <c r="AF84" s="49" t="inlineStr">
        <is>
          <t>IF(OR(AD84="",AC84="Not started",AC84=""),"",IFERROR(AD84-IF(VLOOKUP(AC84,'06_Status_Pipeline'!$B$3:$E$20,4,FALSE)="",0,VLOOKUP(AC84,'06_Status_Pipeline'!$B$3:$E$20,4,FALSE)),""))</t>
        </is>
      </c>
      <c r="AG84" s="42" t="inlineStr">
        <is>
          <t>IF(F84="","",IF(OR(AA84="Cancelled",AC84="Cancelled"),"Cancelled",IF(OR(AC84="Completed / Handover",Y84&lt;&gt;"",Z84&gt;=100),"Completed — on track",IF(O84="Not awarded",IF(U84="",IF(X84="","No planned date",IF(TODAY()&gt;X84,"Behind — past planned date",IF(X84-TODAY()&lt;=30,"At risk — close to off track","On track"))),IF(TODAY()&gt;U84,"Behind — award date passed",IF(U84-TODAY()&lt;=30,"At risk — close to off track","On track"))),IF(X84="","No planned date",IF(AND(TODAY()&gt;X84,OR(Z84="",Z84&lt;100)),"Behind — past end date",IF(AND(T84&lt;&gt;"",X84&lt;&gt;"",Z84&lt;&gt;"",(Z84&lt;100),((TODAY()-T84)/MAX(X84-T84,1)*100)-Z84&gt;15),"Behind — progress lag",IF(AND(X84-TODAY()&lt;=30,X84-TODAY()&gt;=0,OR(Z84="",Z84&lt;90)),"At risk — close to off track","On track"))))))))</t>
        </is>
      </c>
      <c r="AH84" s="49" t="inlineStr">
        <is>
          <t>IF(OR(F84="",AC84="Completed / Handover",AC84="Cancelled"),"",IF(O84="Not awarded",IF(U84&lt;&gt;"",U84-TODAY(),IF(X84="","",X84-TODAY())),IF(X84="","",X84-TODAY())))</t>
        </is>
      </c>
      <c r="AI84" s="54" t="n"/>
      <c r="AJ84" s="54" t="n"/>
      <c r="AK84" s="54" t="n"/>
      <c r="AL84" s="54" t="n"/>
      <c r="AM84" s="54" t="n"/>
      <c r="AN84" s="54" t="n"/>
      <c r="AO84" s="54" t="n"/>
      <c r="AP84" s="54" t="n"/>
      <c r="AQ84" s="54" t="n"/>
      <c r="AR84" s="54" t="n"/>
      <c r="AS84" s="54" t="n"/>
      <c r="AT84" s="50" t="n"/>
      <c r="AU84" s="50" t="n"/>
      <c r="AV84" s="50" t="n"/>
      <c r="AW84" s="49" t="inlineStr">
        <is>
          <t>IF(OR(F84="",AJ84=""),"",IF(COUNT(AI84:AI84)=0,"",AJ84-LOOKUP(2,1/(AI84:AI84&lt;&gt;""),AI84:AI84)))</t>
        </is>
      </c>
      <c r="AX84" s="49" t="inlineStr">
        <is>
          <t>IF(OR(F84="",AK84=""),"",IF(COUNT(AI84:AJ84)=0,"",AK84-LOOKUP(2,1/(AI84:AJ84&lt;&gt;""),AI84:AJ84)))</t>
        </is>
      </c>
      <c r="AY84" s="49" t="inlineStr">
        <is>
          <t>IF(OR(F84="",AL84=""),"",IF(COUNT(AI84:AK84)=0,"",AL84-LOOKUP(2,1/(AI84:AK84&lt;&gt;""),AI84:AK84)))</t>
        </is>
      </c>
      <c r="AZ84" s="49" t="inlineStr">
        <is>
          <t>IF(OR(F84="",AM84=""),"",IF(COUNT(AI84:AL84)=0,"",AM84-LOOKUP(2,1/(AI84:AL84&lt;&gt;""),AI84:AL84)))</t>
        </is>
      </c>
      <c r="BA84" s="49" t="inlineStr">
        <is>
          <t>IF(OR(F84="",AN84=""),"",IF(COUNT(AI84:AM84)=0,"",AN84-LOOKUP(2,1/(AI84:AM84&lt;&gt;""),AI84:AM84)))</t>
        </is>
      </c>
      <c r="BB84" s="49" t="inlineStr">
        <is>
          <t>IF(OR(F84="",AO84=""),"",IF(COUNT(AI84:AN84)=0,"",AO84-LOOKUP(2,1/(AI84:AN84&lt;&gt;""),AI84:AN84)))</t>
        </is>
      </c>
      <c r="BC84" s="49" t="inlineStr">
        <is>
          <t>IF(OR(F84="",AP84=""),"",IF(COUNT(AI84:AO84)=0,"",AP84-LOOKUP(2,1/(AI84:AO84&lt;&gt;""),AI84:AO84)))</t>
        </is>
      </c>
      <c r="BD84" s="49" t="inlineStr">
        <is>
          <t>IF(OR(F84="",AQ84=""),"",IF(COUNT(AI84:AP84)=0,"",AQ84-LOOKUP(2,1/(AI84:AP84&lt;&gt;""),AI84:AP84)))</t>
        </is>
      </c>
      <c r="BE84" s="49" t="inlineStr">
        <is>
          <t>IF(OR(F84="",AR84=""),"",IF(COUNT(AI84:AQ84)=0,"",AR84-LOOKUP(2,1/(AI84:AQ84&lt;&gt;""),AI84:AQ84)))</t>
        </is>
      </c>
      <c r="BF84" s="49" t="inlineStr">
        <is>
          <t>IF(OR(F84="",AS84=""),"",IF(COUNT(AI84:AR84)=0,"",AS84-LOOKUP(2,1/(AI84:AR84&lt;&gt;""),AI84:AR84)))</t>
        </is>
      </c>
      <c r="BG84" s="49" t="inlineStr">
        <is>
          <t>IF(OR(F84="",AT84=""),"",IF(COUNT(AI84:AS84)=0,"",AT84-LOOKUP(2,1/(AI84:AS84&lt;&gt;""),AI84:AS84)))</t>
        </is>
      </c>
      <c r="BH84" s="49" t="inlineStr">
        <is>
          <t>IF(OR(F84="",AU84=""),"",IF(COUNT(AI84:AT84)=0,"",AU84-LOOKUP(2,1/(AI84:AT84&lt;&gt;""),AI84:AT84)))</t>
        </is>
      </c>
      <c r="BI84" s="49" t="inlineStr">
        <is>
          <t>IF(OR(F84="",AV84=""),"",IF(COUNT(AI84:AU84)=0,"",AV84-LOOKUP(2,1/(AI84:AU84&lt;&gt;""),AI84:AU84)))</t>
        </is>
      </c>
      <c r="BJ84" s="51" t="inlineStr">
        <is>
          <t>IF(J84="","All_Provinces",IFERROR(VLOOKUP(J84,'09_Lookups'!$A$4:$B$20,2,FALSE),"All_Provinces"))</t>
        </is>
      </c>
      <c r="BK84" s="51" t="inlineStr">
        <is>
          <t>IF(K84="","All_Districts",IFERROR(VLOOKUP(K84,'09_Lookups'!$E$4:$F$42,2,FALSE),"All_Districts"))</t>
        </is>
      </c>
    </row>
    <row r="85" outlineLevel="1" ht="18" customHeight="1">
      <c r="A85" s="42" t="inlineStr">
        <is>
          <t>IF(F85="","",ROW()-3)</t>
        </is>
      </c>
      <c r="B85" s="61" t="inlineStr">
        <is>
          <t>AF2-DIS-04</t>
        </is>
      </c>
      <c r="C85" s="61" t="inlineStr">
        <is>
          <t>Package #4-WBK/AF2 DIS: Demonstration of 12 Drip irrigation schemes at 4 district sites of 1. Miramor, 2. Shahristan, 3.Nilli, and 4.Sayghan in Daykundi and Bamyan provinces</t>
        </is>
      </c>
      <c r="D85" s="61" t="inlineStr">
        <is>
          <t>3 of 12</t>
        </is>
      </c>
      <c r="E85" s="44" t="inlineStr">
        <is>
          <t>AF2-DIS-N-043</t>
        </is>
      </c>
      <c r="F85" s="44" t="inlineStr">
        <is>
          <t>Ghaf Drip Irrigation</t>
        </is>
      </c>
      <c r="G85" s="44" t="inlineStr">
        <is>
          <t>Drip Irrigation</t>
        </is>
      </c>
      <c r="H85" s="44" t="inlineStr">
        <is>
          <t>Drip Irrigation Plot</t>
        </is>
      </c>
      <c r="I85" s="44" t="inlineStr">
        <is>
          <t>Emergency Food Security Project (EFSP) – WBK/AF-2</t>
        </is>
      </c>
      <c r="J85" s="44" t="inlineStr">
        <is>
          <t>Central Highland / Bamyan</t>
        </is>
      </c>
      <c r="K85" s="44" t="inlineStr">
        <is>
          <t>Daykundi</t>
        </is>
      </c>
      <c r="L85" s="44" t="inlineStr">
        <is>
          <t>Shahristan</t>
        </is>
      </c>
      <c r="M85" s="44" t="inlineStr">
        <is>
          <t>Ghaf</t>
        </is>
      </c>
      <c r="N85" s="44" t="inlineStr">
        <is>
          <t>World Bank (WBK/AF-2)</t>
        </is>
      </c>
      <c r="O85" s="44" t="inlineStr">
        <is>
          <t>Not awarded</t>
        </is>
      </c>
      <c r="P85" s="44" t="inlineStr">
        <is>
          <t>5. Drip Irrigation systems</t>
        </is>
      </c>
      <c r="Q85" s="44" t="inlineStr">
        <is>
          <t>Mohammad Ibrahim</t>
        </is>
      </c>
      <c r="R85" s="44" t="inlineStr"/>
      <c r="S85" s="45" t="n">
        <v>5880.43</v>
      </c>
      <c r="T85" s="46" t="inlineStr">
        <is>
          <t>IF(AQ85="","",AQ85)</t>
        </is>
      </c>
      <c r="U85" s="47" t="n">
        <v>46376</v>
      </c>
      <c r="V85" s="48" t="n">
        <v>6.2</v>
      </c>
      <c r="W85" s="47" t="n">
        <v>46566</v>
      </c>
      <c r="X85" s="46" t="inlineStr">
        <is>
          <t>IF(W85&lt;&gt;"",W85,IF(OR(T85="",V85=""),"",EDATE(T85,V85)))</t>
        </is>
      </c>
      <c r="Y85" s="47" t="n"/>
      <c r="Z85" s="48" t="n"/>
      <c r="AA85" s="44" t="inlineStr">
        <is>
          <t>Retendered (Re-ITB)</t>
        </is>
      </c>
      <c r="AB85" s="44" t="inlineStr">
        <is>
          <t>Slack period up to end March. Four months construction period starting from April 2026. | Farmer: Mohammad Ibrahim</t>
        </is>
      </c>
      <c r="AC85" s="42" t="inlineStr">
        <is>
          <t>IF(F85="","",IF(COUNT(AI85:AV85)=0,IF(AA85="","Not started",AA85),SUBSTITUTE(LOOKUP(2,1/(AI85:AV85&lt;&gt;""),$AI$3:$AV$3),"Date: ","")))</t>
        </is>
      </c>
      <c r="AD85" s="49" t="inlineStr">
        <is>
          <t>IF(OR(F85="",COUNT(AI85:AV85)=0),"",TODAY()-LOOKUP(2,1/(AI85:AV85&lt;&gt;""),AI85:AV85))</t>
        </is>
      </c>
      <c r="AE85" s="49" t="inlineStr">
        <is>
          <t>IF(OR(F85="",COUNT(AI85:AV85)&lt;2),"",LOOKUP(2,1/(AI85:AV85&lt;&gt;""),AI85:AV85)-MIN(AI85:AV85))</t>
        </is>
      </c>
      <c r="AF85" s="49" t="inlineStr">
        <is>
          <t>IF(OR(AD85="",AC85="Not started",AC85=""),"",IFERROR(AD85-IF(VLOOKUP(AC85,'06_Status_Pipeline'!$B$3:$E$20,4,FALSE)="",0,VLOOKUP(AC85,'06_Status_Pipeline'!$B$3:$E$20,4,FALSE)),""))</t>
        </is>
      </c>
      <c r="AG85" s="42" t="inlineStr">
        <is>
          <t>IF(F85="","",IF(OR(AA85="Cancelled",AC85="Cancelled"),"Cancelled",IF(OR(AC85="Completed / Handover",Y85&lt;&gt;"",Z85&gt;=100),"Completed — on track",IF(O85="Not awarded",IF(U85="",IF(X85="","No planned date",IF(TODAY()&gt;X85,"Behind — past planned date",IF(X85-TODAY()&lt;=30,"At risk — close to off track","On track"))),IF(TODAY()&gt;U85,"Behind — award date passed",IF(U85-TODAY()&lt;=30,"At risk — close to off track","On track"))),IF(X85="","No planned date",IF(AND(TODAY()&gt;X85,OR(Z85="",Z85&lt;100)),"Behind — past end date",IF(AND(T85&lt;&gt;"",X85&lt;&gt;"",Z85&lt;&gt;"",(Z85&lt;100),((TODAY()-T85)/MAX(X85-T85,1)*100)-Z85&gt;15),"Behind — progress lag",IF(AND(X85-TODAY()&lt;=30,X85-TODAY()&gt;=0,OR(Z85="",Z85&lt;90)),"At risk — close to off track","On track"))))))))</t>
        </is>
      </c>
      <c r="AH85" s="49" t="inlineStr">
        <is>
          <t>IF(OR(F85="",AC85="Completed / Handover",AC85="Cancelled"),"",IF(O85="Not awarded",IF(U85&lt;&gt;"",U85-TODAY(),IF(X85="","",X85-TODAY())),IF(X85="","",X85-TODAY())))</t>
        </is>
      </c>
      <c r="AI85" s="47" t="n"/>
      <c r="AJ85" s="47" t="n"/>
      <c r="AK85" s="47" t="n"/>
      <c r="AL85" s="47" t="n"/>
      <c r="AM85" s="47" t="n"/>
      <c r="AN85" s="47" t="n"/>
      <c r="AO85" s="47" t="n"/>
      <c r="AP85" s="47" t="n"/>
      <c r="AQ85" s="47" t="n"/>
      <c r="AR85" s="47" t="n"/>
      <c r="AS85" s="47" t="n"/>
      <c r="AT85" s="50" t="n"/>
      <c r="AU85" s="50" t="n"/>
      <c r="AV85" s="50" t="n"/>
      <c r="AW85" s="49" t="inlineStr">
        <is>
          <t>IF(OR(F85="",AJ85=""),"",IF(COUNT(AI85:AI85)=0,"",AJ85-LOOKUP(2,1/(AI85:AI85&lt;&gt;""),AI85:AI85)))</t>
        </is>
      </c>
      <c r="AX85" s="49" t="inlineStr">
        <is>
          <t>IF(OR(F85="",AK85=""),"",IF(COUNT(AI85:AJ85)=0,"",AK85-LOOKUP(2,1/(AI85:AJ85&lt;&gt;""),AI85:AJ85)))</t>
        </is>
      </c>
      <c r="AY85" s="49" t="inlineStr">
        <is>
          <t>IF(OR(F85="",AL85=""),"",IF(COUNT(AI85:AK85)=0,"",AL85-LOOKUP(2,1/(AI85:AK85&lt;&gt;""),AI85:AK85)))</t>
        </is>
      </c>
      <c r="AZ85" s="49" t="inlineStr">
        <is>
          <t>IF(OR(F85="",AM85=""),"",IF(COUNT(AI85:AL85)=0,"",AM85-LOOKUP(2,1/(AI85:AL85&lt;&gt;""),AI85:AL85)))</t>
        </is>
      </c>
      <c r="BA85" s="49" t="inlineStr">
        <is>
          <t>IF(OR(F85="",AN85=""),"",IF(COUNT(AI85:AM85)=0,"",AN85-LOOKUP(2,1/(AI85:AM85&lt;&gt;""),AI85:AM85)))</t>
        </is>
      </c>
      <c r="BB85" s="49" t="inlineStr">
        <is>
          <t>IF(OR(F85="",AO85=""),"",IF(COUNT(AI85:AN85)=0,"",AO85-LOOKUP(2,1/(AI85:AN85&lt;&gt;""),AI85:AN85)))</t>
        </is>
      </c>
      <c r="BC85" s="49" t="inlineStr">
        <is>
          <t>IF(OR(F85="",AP85=""),"",IF(COUNT(AI85:AO85)=0,"",AP85-LOOKUP(2,1/(AI85:AO85&lt;&gt;""),AI85:AO85)))</t>
        </is>
      </c>
      <c r="BD85" s="49" t="inlineStr">
        <is>
          <t>IF(OR(F85="",AQ85=""),"",IF(COUNT(AI85:AP85)=0,"",AQ85-LOOKUP(2,1/(AI85:AP85&lt;&gt;""),AI85:AP85)))</t>
        </is>
      </c>
      <c r="BE85" s="49" t="inlineStr">
        <is>
          <t>IF(OR(F85="",AR85=""),"",IF(COUNT(AI85:AQ85)=0,"",AR85-LOOKUP(2,1/(AI85:AQ85&lt;&gt;""),AI85:AQ85)))</t>
        </is>
      </c>
      <c r="BF85" s="49" t="inlineStr">
        <is>
          <t>IF(OR(F85="",AS85=""),"",IF(COUNT(AI85:AR85)=0,"",AS85-LOOKUP(2,1/(AI85:AR85&lt;&gt;""),AI85:AR85)))</t>
        </is>
      </c>
      <c r="BG85" s="49" t="inlineStr">
        <is>
          <t>IF(OR(F85="",AT85=""),"",IF(COUNT(AI85:AS85)=0,"",AT85-LOOKUP(2,1/(AI85:AS85&lt;&gt;""),AI85:AS85)))</t>
        </is>
      </c>
      <c r="BH85" s="49" t="inlineStr">
        <is>
          <t>IF(OR(F85="",AU85=""),"",IF(COUNT(AI85:AT85)=0,"",AU85-LOOKUP(2,1/(AI85:AT85&lt;&gt;""),AI85:AT85)))</t>
        </is>
      </c>
      <c r="BI85" s="49" t="inlineStr">
        <is>
          <t>IF(OR(F85="",AV85=""),"",IF(COUNT(AI85:AU85)=0,"",AV85-LOOKUP(2,1/(AI85:AU85&lt;&gt;""),AI85:AU85)))</t>
        </is>
      </c>
      <c r="BJ85" s="51" t="inlineStr">
        <is>
          <t>IF(J85="","All_Provinces",IFERROR(VLOOKUP(J85,'09_Lookups'!$A$4:$B$20,2,FALSE),"All_Provinces"))</t>
        </is>
      </c>
      <c r="BK85" s="51" t="inlineStr">
        <is>
          <t>IF(K85="","All_Districts",IFERROR(VLOOKUP(K85,'09_Lookups'!$E$4:$F$42,2,FALSE),"All_Districts"))</t>
        </is>
      </c>
    </row>
    <row r="86" outlineLevel="1" ht="18" customHeight="1">
      <c r="A86" s="42" t="inlineStr">
        <is>
          <t>IF(F86="","",ROW()-3)</t>
        </is>
      </c>
      <c r="B86" s="61" t="inlineStr">
        <is>
          <t>AF2-DIS-04</t>
        </is>
      </c>
      <c r="C86" s="61" t="inlineStr">
        <is>
          <t>Package #4-WBK/AF2 DIS: Demonstration of 12 Drip irrigation schemes at 4 district sites of 1. Miramor, 2. Shahristan, 3.Nilli, and 4.Sayghan in Daykundi and Bamyan provinces</t>
        </is>
      </c>
      <c r="D86" s="61" t="inlineStr">
        <is>
          <t>4 of 12</t>
        </is>
      </c>
      <c r="E86" s="52" t="inlineStr">
        <is>
          <t>AF2-DIS-N-044</t>
        </is>
      </c>
      <c r="F86" s="52" t="inlineStr">
        <is>
          <t>Gorg Kosht Drip Irrigation system</t>
        </is>
      </c>
      <c r="G86" s="52" t="inlineStr">
        <is>
          <t>Drip Irrigation</t>
        </is>
      </c>
      <c r="H86" s="52" t="inlineStr">
        <is>
          <t>Drip Irrigation Plot</t>
        </is>
      </c>
      <c r="I86" s="52" t="inlineStr">
        <is>
          <t>Emergency Food Security Project (EFSP) – WBK/AF-2</t>
        </is>
      </c>
      <c r="J86" s="52" t="inlineStr">
        <is>
          <t>Central Highland / Bamyan</t>
        </is>
      </c>
      <c r="K86" s="52" t="inlineStr">
        <is>
          <t>Daykundi</t>
        </is>
      </c>
      <c r="L86" s="52" t="inlineStr"/>
      <c r="M86" s="52" t="inlineStr">
        <is>
          <t>Gorg Koshta</t>
        </is>
      </c>
      <c r="N86" s="52" t="inlineStr">
        <is>
          <t>World Bank (WBK/AF-2)</t>
        </is>
      </c>
      <c r="O86" s="52" t="inlineStr">
        <is>
          <t>Not awarded</t>
        </is>
      </c>
      <c r="P86" s="52" t="inlineStr">
        <is>
          <t>5. Drip Irrigation systems</t>
        </is>
      </c>
      <c r="Q86" s="52" t="inlineStr">
        <is>
          <t>Ahmad</t>
        </is>
      </c>
      <c r="R86" s="52" t="inlineStr"/>
      <c r="S86" s="53" t="n">
        <v>3484.2</v>
      </c>
      <c r="T86" s="46" t="inlineStr">
        <is>
          <t>IF(AQ86="","",AQ86)</t>
        </is>
      </c>
      <c r="U86" s="54" t="n">
        <v>46376</v>
      </c>
      <c r="V86" s="55" t="n">
        <v>6.2</v>
      </c>
      <c r="W86" s="54" t="n">
        <v>46566</v>
      </c>
      <c r="X86" s="46" t="inlineStr">
        <is>
          <t>IF(W86&lt;&gt;"",W86,IF(OR(T86="",V86=""),"",EDATE(T86,V86)))</t>
        </is>
      </c>
      <c r="Y86" s="54" t="n"/>
      <c r="Z86" s="55" t="n"/>
      <c r="AA86" s="52" t="inlineStr">
        <is>
          <t>Retendered (Re-ITB)</t>
        </is>
      </c>
      <c r="AB86" s="52" t="inlineStr">
        <is>
          <t>Slack period up to end March. Four months construction period starting from April 2026. | Farmer: Ahmad</t>
        </is>
      </c>
      <c r="AC86" s="42" t="inlineStr">
        <is>
          <t>IF(F86="","",IF(COUNT(AI86:AV86)=0,IF(AA86="","Not started",AA86),SUBSTITUTE(LOOKUP(2,1/(AI86:AV86&lt;&gt;""),$AI$3:$AV$3),"Date: ","")))</t>
        </is>
      </c>
      <c r="AD86" s="49" t="inlineStr">
        <is>
          <t>IF(OR(F86="",COUNT(AI86:AV86)=0),"",TODAY()-LOOKUP(2,1/(AI86:AV86&lt;&gt;""),AI86:AV86))</t>
        </is>
      </c>
      <c r="AE86" s="49" t="inlineStr">
        <is>
          <t>IF(OR(F86="",COUNT(AI86:AV86)&lt;2),"",LOOKUP(2,1/(AI86:AV86&lt;&gt;""),AI86:AV86)-MIN(AI86:AV86))</t>
        </is>
      </c>
      <c r="AF86" s="49" t="inlineStr">
        <is>
          <t>IF(OR(AD86="",AC86="Not started",AC86=""),"",IFERROR(AD86-IF(VLOOKUP(AC86,'06_Status_Pipeline'!$B$3:$E$20,4,FALSE)="",0,VLOOKUP(AC86,'06_Status_Pipeline'!$B$3:$E$20,4,FALSE)),""))</t>
        </is>
      </c>
      <c r="AG86" s="42" t="inlineStr">
        <is>
          <t>IF(F86="","",IF(OR(AA86="Cancelled",AC86="Cancelled"),"Cancelled",IF(OR(AC86="Completed / Handover",Y86&lt;&gt;"",Z86&gt;=100),"Completed — on track",IF(O86="Not awarded",IF(U86="",IF(X86="","No planned date",IF(TODAY()&gt;X86,"Behind — past planned date",IF(X86-TODAY()&lt;=30,"At risk — close to off track","On track"))),IF(TODAY()&gt;U86,"Behind — award date passed",IF(U86-TODAY()&lt;=30,"At risk — close to off track","On track"))),IF(X86="","No planned date",IF(AND(TODAY()&gt;X86,OR(Z86="",Z86&lt;100)),"Behind — past end date",IF(AND(T86&lt;&gt;"",X86&lt;&gt;"",Z86&lt;&gt;"",(Z86&lt;100),((TODAY()-T86)/MAX(X86-T86,1)*100)-Z86&gt;15),"Behind — progress lag",IF(AND(X86-TODAY()&lt;=30,X86-TODAY()&gt;=0,OR(Z86="",Z86&lt;90)),"At risk — close to off track","On track"))))))))</t>
        </is>
      </c>
      <c r="AH86" s="49" t="inlineStr">
        <is>
          <t>IF(OR(F86="",AC86="Completed / Handover",AC86="Cancelled"),"",IF(O86="Not awarded",IF(U86&lt;&gt;"",U86-TODAY(),IF(X86="","",X86-TODAY())),IF(X86="","",X86-TODAY())))</t>
        </is>
      </c>
      <c r="AI86" s="54" t="n"/>
      <c r="AJ86" s="54" t="n"/>
      <c r="AK86" s="54" t="n"/>
      <c r="AL86" s="54" t="n"/>
      <c r="AM86" s="54" t="n"/>
      <c r="AN86" s="54" t="n"/>
      <c r="AO86" s="54" t="n"/>
      <c r="AP86" s="54" t="n"/>
      <c r="AQ86" s="54" t="n"/>
      <c r="AR86" s="54" t="n"/>
      <c r="AS86" s="54" t="n"/>
      <c r="AT86" s="50" t="n"/>
      <c r="AU86" s="50" t="n"/>
      <c r="AV86" s="50" t="n"/>
      <c r="AW86" s="49" t="inlineStr">
        <is>
          <t>IF(OR(F86="",AJ86=""),"",IF(COUNT(AI86:AI86)=0,"",AJ86-LOOKUP(2,1/(AI86:AI86&lt;&gt;""),AI86:AI86)))</t>
        </is>
      </c>
      <c r="AX86" s="49" t="inlineStr">
        <is>
          <t>IF(OR(F86="",AK86=""),"",IF(COUNT(AI86:AJ86)=0,"",AK86-LOOKUP(2,1/(AI86:AJ86&lt;&gt;""),AI86:AJ86)))</t>
        </is>
      </c>
      <c r="AY86" s="49" t="inlineStr">
        <is>
          <t>IF(OR(F86="",AL86=""),"",IF(COUNT(AI86:AK86)=0,"",AL86-LOOKUP(2,1/(AI86:AK86&lt;&gt;""),AI86:AK86)))</t>
        </is>
      </c>
      <c r="AZ86" s="49" t="inlineStr">
        <is>
          <t>IF(OR(F86="",AM86=""),"",IF(COUNT(AI86:AL86)=0,"",AM86-LOOKUP(2,1/(AI86:AL86&lt;&gt;""),AI86:AL86)))</t>
        </is>
      </c>
      <c r="BA86" s="49" t="inlineStr">
        <is>
          <t>IF(OR(F86="",AN86=""),"",IF(COUNT(AI86:AM86)=0,"",AN86-LOOKUP(2,1/(AI86:AM86&lt;&gt;""),AI86:AM86)))</t>
        </is>
      </c>
      <c r="BB86" s="49" t="inlineStr">
        <is>
          <t>IF(OR(F86="",AO86=""),"",IF(COUNT(AI86:AN86)=0,"",AO86-LOOKUP(2,1/(AI86:AN86&lt;&gt;""),AI86:AN86)))</t>
        </is>
      </c>
      <c r="BC86" s="49" t="inlineStr">
        <is>
          <t>IF(OR(F86="",AP86=""),"",IF(COUNT(AI86:AO86)=0,"",AP86-LOOKUP(2,1/(AI86:AO86&lt;&gt;""),AI86:AO86)))</t>
        </is>
      </c>
      <c r="BD86" s="49" t="inlineStr">
        <is>
          <t>IF(OR(F86="",AQ86=""),"",IF(COUNT(AI86:AP86)=0,"",AQ86-LOOKUP(2,1/(AI86:AP86&lt;&gt;""),AI86:AP86)))</t>
        </is>
      </c>
      <c r="BE86" s="49" t="inlineStr">
        <is>
          <t>IF(OR(F86="",AR86=""),"",IF(COUNT(AI86:AQ86)=0,"",AR86-LOOKUP(2,1/(AI86:AQ86&lt;&gt;""),AI86:AQ86)))</t>
        </is>
      </c>
      <c r="BF86" s="49" t="inlineStr">
        <is>
          <t>IF(OR(F86="",AS86=""),"",IF(COUNT(AI86:AR86)=0,"",AS86-LOOKUP(2,1/(AI86:AR86&lt;&gt;""),AI86:AR86)))</t>
        </is>
      </c>
      <c r="BG86" s="49" t="inlineStr">
        <is>
          <t>IF(OR(F86="",AT86=""),"",IF(COUNT(AI86:AS86)=0,"",AT86-LOOKUP(2,1/(AI86:AS86&lt;&gt;""),AI86:AS86)))</t>
        </is>
      </c>
      <c r="BH86" s="49" t="inlineStr">
        <is>
          <t>IF(OR(F86="",AU86=""),"",IF(COUNT(AI86:AT86)=0,"",AU86-LOOKUP(2,1/(AI86:AT86&lt;&gt;""),AI86:AT86)))</t>
        </is>
      </c>
      <c r="BI86" s="49" t="inlineStr">
        <is>
          <t>IF(OR(F86="",AV86=""),"",IF(COUNT(AI86:AU86)=0,"",AV86-LOOKUP(2,1/(AI86:AU86&lt;&gt;""),AI86:AU86)))</t>
        </is>
      </c>
      <c r="BJ86" s="51" t="inlineStr">
        <is>
          <t>IF(J86="","All_Provinces",IFERROR(VLOOKUP(J86,'09_Lookups'!$A$4:$B$20,2,FALSE),"All_Provinces"))</t>
        </is>
      </c>
      <c r="BK86" s="51" t="inlineStr">
        <is>
          <t>IF(K86="","All_Districts",IFERROR(VLOOKUP(K86,'09_Lookups'!$E$4:$F$42,2,FALSE),"All_Districts"))</t>
        </is>
      </c>
    </row>
    <row r="87" outlineLevel="1" ht="18" customHeight="1">
      <c r="A87" s="42" t="inlineStr">
        <is>
          <t>IF(F87="","",ROW()-3)</t>
        </is>
      </c>
      <c r="B87" s="61" t="inlineStr">
        <is>
          <t>AF2-DIS-04</t>
        </is>
      </c>
      <c r="C87" s="61" t="inlineStr">
        <is>
          <t>Package #4-WBK/AF2 DIS: Demonstration of 12 Drip irrigation schemes at 4 district sites of 1. Miramor, 2. Shahristan, 3.Nilli, and 4.Sayghan in Daykundi and Bamyan provinces</t>
        </is>
      </c>
      <c r="D87" s="61" t="inlineStr">
        <is>
          <t>5 of 12</t>
        </is>
      </c>
      <c r="E87" s="44" t="inlineStr">
        <is>
          <t>AF2-DIS-N-045</t>
        </is>
      </c>
      <c r="F87" s="44" t="inlineStr">
        <is>
          <t>Hejdi Drip irrigatio System</t>
        </is>
      </c>
      <c r="G87" s="44" t="inlineStr">
        <is>
          <t>Drip Irrigation</t>
        </is>
      </c>
      <c r="H87" s="44" t="inlineStr">
        <is>
          <t>Drip Irrigation Plot</t>
        </is>
      </c>
      <c r="I87" s="44" t="inlineStr">
        <is>
          <t>Emergency Food Security Project (EFSP) – WBK/AF-2</t>
        </is>
      </c>
      <c r="J87" s="44" t="inlineStr">
        <is>
          <t>Central Highland / Bamyan</t>
        </is>
      </c>
      <c r="K87" s="44" t="inlineStr">
        <is>
          <t>Daykundi</t>
        </is>
      </c>
      <c r="L87" s="44" t="inlineStr"/>
      <c r="M87" s="44" t="inlineStr">
        <is>
          <t>Hijdi</t>
        </is>
      </c>
      <c r="N87" s="44" t="inlineStr">
        <is>
          <t>World Bank (WBK/AF-2)</t>
        </is>
      </c>
      <c r="O87" s="44" t="inlineStr">
        <is>
          <t>Not awarded</t>
        </is>
      </c>
      <c r="P87" s="44" t="inlineStr">
        <is>
          <t>5. Drip Irrigation systems</t>
        </is>
      </c>
      <c r="Q87" s="44" t="inlineStr">
        <is>
          <t>Mohammad Ali</t>
        </is>
      </c>
      <c r="R87" s="44" t="inlineStr"/>
      <c r="S87" s="45" t="n">
        <v>4425.06</v>
      </c>
      <c r="T87" s="46" t="inlineStr">
        <is>
          <t>IF(AQ87="","",AQ87)</t>
        </is>
      </c>
      <c r="U87" s="47" t="n">
        <v>46376</v>
      </c>
      <c r="V87" s="48" t="n">
        <v>6.2</v>
      </c>
      <c r="W87" s="47" t="n">
        <v>46566</v>
      </c>
      <c r="X87" s="46" t="inlineStr">
        <is>
          <t>IF(W87&lt;&gt;"",W87,IF(OR(T87="",V87=""),"",EDATE(T87,V87)))</t>
        </is>
      </c>
      <c r="Y87" s="47" t="n"/>
      <c r="Z87" s="48" t="n"/>
      <c r="AA87" s="44" t="inlineStr">
        <is>
          <t>Retendered (Re-ITB)</t>
        </is>
      </c>
      <c r="AB87" s="44" t="inlineStr">
        <is>
          <t>Slack period up to end March. Four months construction period starting from April 2026. | Farmer: Mohammad Ali</t>
        </is>
      </c>
      <c r="AC87" s="42" t="inlineStr">
        <is>
          <t>IF(F87="","",IF(COUNT(AI87:AV87)=0,IF(AA87="","Not started",AA87),SUBSTITUTE(LOOKUP(2,1/(AI87:AV87&lt;&gt;""),$AI$3:$AV$3),"Date: ","")))</t>
        </is>
      </c>
      <c r="AD87" s="49" t="inlineStr">
        <is>
          <t>IF(OR(F87="",COUNT(AI87:AV87)=0),"",TODAY()-LOOKUP(2,1/(AI87:AV87&lt;&gt;""),AI87:AV87))</t>
        </is>
      </c>
      <c r="AE87" s="49" t="inlineStr">
        <is>
          <t>IF(OR(F87="",COUNT(AI87:AV87)&lt;2),"",LOOKUP(2,1/(AI87:AV87&lt;&gt;""),AI87:AV87)-MIN(AI87:AV87))</t>
        </is>
      </c>
      <c r="AF87" s="49" t="inlineStr">
        <is>
          <t>IF(OR(AD87="",AC87="Not started",AC87=""),"",IFERROR(AD87-IF(VLOOKUP(AC87,'06_Status_Pipeline'!$B$3:$E$20,4,FALSE)="",0,VLOOKUP(AC87,'06_Status_Pipeline'!$B$3:$E$20,4,FALSE)),""))</t>
        </is>
      </c>
      <c r="AG87" s="42" t="inlineStr">
        <is>
          <t>IF(F87="","",IF(OR(AA87="Cancelled",AC87="Cancelled"),"Cancelled",IF(OR(AC87="Completed / Handover",Y87&lt;&gt;"",Z87&gt;=100),"Completed — on track",IF(O87="Not awarded",IF(U87="",IF(X87="","No planned date",IF(TODAY()&gt;X87,"Behind — past planned date",IF(X87-TODAY()&lt;=30,"At risk — close to off track","On track"))),IF(TODAY()&gt;U87,"Behind — award date passed",IF(U87-TODAY()&lt;=30,"At risk — close to off track","On track"))),IF(X87="","No planned date",IF(AND(TODAY()&gt;X87,OR(Z87="",Z87&lt;100)),"Behind — past end date",IF(AND(T87&lt;&gt;"",X87&lt;&gt;"",Z87&lt;&gt;"",(Z87&lt;100),((TODAY()-T87)/MAX(X87-T87,1)*100)-Z87&gt;15),"Behind — progress lag",IF(AND(X87-TODAY()&lt;=30,X87-TODAY()&gt;=0,OR(Z87="",Z87&lt;90)),"At risk — close to off track","On track"))))))))</t>
        </is>
      </c>
      <c r="AH87" s="49" t="inlineStr">
        <is>
          <t>IF(OR(F87="",AC87="Completed / Handover",AC87="Cancelled"),"",IF(O87="Not awarded",IF(U87&lt;&gt;"",U87-TODAY(),IF(X87="","",X87-TODAY())),IF(X87="","",X87-TODAY())))</t>
        </is>
      </c>
      <c r="AI87" s="47" t="n"/>
      <c r="AJ87" s="47" t="n"/>
      <c r="AK87" s="47" t="n"/>
      <c r="AL87" s="47" t="n"/>
      <c r="AM87" s="47" t="n"/>
      <c r="AN87" s="47" t="n"/>
      <c r="AO87" s="47" t="n"/>
      <c r="AP87" s="47" t="n"/>
      <c r="AQ87" s="47" t="n"/>
      <c r="AR87" s="47" t="n"/>
      <c r="AS87" s="47" t="n"/>
      <c r="AT87" s="50" t="n"/>
      <c r="AU87" s="50" t="n"/>
      <c r="AV87" s="50" t="n"/>
      <c r="AW87" s="49" t="inlineStr">
        <is>
          <t>IF(OR(F87="",AJ87=""),"",IF(COUNT(AI87:AI87)=0,"",AJ87-LOOKUP(2,1/(AI87:AI87&lt;&gt;""),AI87:AI87)))</t>
        </is>
      </c>
      <c r="AX87" s="49" t="inlineStr">
        <is>
          <t>IF(OR(F87="",AK87=""),"",IF(COUNT(AI87:AJ87)=0,"",AK87-LOOKUP(2,1/(AI87:AJ87&lt;&gt;""),AI87:AJ87)))</t>
        </is>
      </c>
      <c r="AY87" s="49" t="inlineStr">
        <is>
          <t>IF(OR(F87="",AL87=""),"",IF(COUNT(AI87:AK87)=0,"",AL87-LOOKUP(2,1/(AI87:AK87&lt;&gt;""),AI87:AK87)))</t>
        </is>
      </c>
      <c r="AZ87" s="49" t="inlineStr">
        <is>
          <t>IF(OR(F87="",AM87=""),"",IF(COUNT(AI87:AL87)=0,"",AM87-LOOKUP(2,1/(AI87:AL87&lt;&gt;""),AI87:AL87)))</t>
        </is>
      </c>
      <c r="BA87" s="49" t="inlineStr">
        <is>
          <t>IF(OR(F87="",AN87=""),"",IF(COUNT(AI87:AM87)=0,"",AN87-LOOKUP(2,1/(AI87:AM87&lt;&gt;""),AI87:AM87)))</t>
        </is>
      </c>
      <c r="BB87" s="49" t="inlineStr">
        <is>
          <t>IF(OR(F87="",AO87=""),"",IF(COUNT(AI87:AN87)=0,"",AO87-LOOKUP(2,1/(AI87:AN87&lt;&gt;""),AI87:AN87)))</t>
        </is>
      </c>
      <c r="BC87" s="49" t="inlineStr">
        <is>
          <t>IF(OR(F87="",AP87=""),"",IF(COUNT(AI87:AO87)=0,"",AP87-LOOKUP(2,1/(AI87:AO87&lt;&gt;""),AI87:AO87)))</t>
        </is>
      </c>
      <c r="BD87" s="49" t="inlineStr">
        <is>
          <t>IF(OR(F87="",AQ87=""),"",IF(COUNT(AI87:AP87)=0,"",AQ87-LOOKUP(2,1/(AI87:AP87&lt;&gt;""),AI87:AP87)))</t>
        </is>
      </c>
      <c r="BE87" s="49" t="inlineStr">
        <is>
          <t>IF(OR(F87="",AR87=""),"",IF(COUNT(AI87:AQ87)=0,"",AR87-LOOKUP(2,1/(AI87:AQ87&lt;&gt;""),AI87:AQ87)))</t>
        </is>
      </c>
      <c r="BF87" s="49" t="inlineStr">
        <is>
          <t>IF(OR(F87="",AS87=""),"",IF(COUNT(AI87:AR87)=0,"",AS87-LOOKUP(2,1/(AI87:AR87&lt;&gt;""),AI87:AR87)))</t>
        </is>
      </c>
      <c r="BG87" s="49" t="inlineStr">
        <is>
          <t>IF(OR(F87="",AT87=""),"",IF(COUNT(AI87:AS87)=0,"",AT87-LOOKUP(2,1/(AI87:AS87&lt;&gt;""),AI87:AS87)))</t>
        </is>
      </c>
      <c r="BH87" s="49" t="inlineStr">
        <is>
          <t>IF(OR(F87="",AU87=""),"",IF(COUNT(AI87:AT87)=0,"",AU87-LOOKUP(2,1/(AI87:AT87&lt;&gt;""),AI87:AT87)))</t>
        </is>
      </c>
      <c r="BI87" s="49" t="inlineStr">
        <is>
          <t>IF(OR(F87="",AV87=""),"",IF(COUNT(AI87:AU87)=0,"",AV87-LOOKUP(2,1/(AI87:AU87&lt;&gt;""),AI87:AU87)))</t>
        </is>
      </c>
      <c r="BJ87" s="51" t="inlineStr">
        <is>
          <t>IF(J87="","All_Provinces",IFERROR(VLOOKUP(J87,'09_Lookups'!$A$4:$B$20,2,FALSE),"All_Provinces"))</t>
        </is>
      </c>
      <c r="BK87" s="51" t="inlineStr">
        <is>
          <t>IF(K87="","All_Districts",IFERROR(VLOOKUP(K87,'09_Lookups'!$E$4:$F$42,2,FALSE),"All_Districts"))</t>
        </is>
      </c>
    </row>
    <row r="88" outlineLevel="1" ht="18" customHeight="1">
      <c r="A88" s="42" t="inlineStr">
        <is>
          <t>IF(F88="","",ROW()-3)</t>
        </is>
      </c>
      <c r="B88" s="61" t="inlineStr">
        <is>
          <t>AF2-DIS-04</t>
        </is>
      </c>
      <c r="C88" s="61" t="inlineStr">
        <is>
          <t>Package #4-WBK/AF2 DIS: Demonstration of 12 Drip irrigation schemes at 4 district sites of 1. Miramor, 2. Shahristan, 3.Nilli, and 4.Sayghan in Daykundi and Bamyan provinces</t>
        </is>
      </c>
      <c r="D88" s="61" t="inlineStr">
        <is>
          <t>6 of 12</t>
        </is>
      </c>
      <c r="E88" s="52" t="inlineStr">
        <is>
          <t>AF2-DIS-N-046</t>
        </is>
      </c>
      <c r="F88" s="52" t="inlineStr">
        <is>
          <t>Khawalak Drip irrigatio SYSTEM</t>
        </is>
      </c>
      <c r="G88" s="52" t="inlineStr">
        <is>
          <t>Drip Irrigation</t>
        </is>
      </c>
      <c r="H88" s="52" t="inlineStr">
        <is>
          <t>Drip Irrigation Plot</t>
        </is>
      </c>
      <c r="I88" s="52" t="inlineStr">
        <is>
          <t>Emergency Food Security Project (EFSP) – WBK/AF-2</t>
        </is>
      </c>
      <c r="J88" s="52" t="inlineStr">
        <is>
          <t>Central Highland / Bamyan</t>
        </is>
      </c>
      <c r="K88" s="52" t="inlineStr">
        <is>
          <t>Daykundi</t>
        </is>
      </c>
      <c r="L88" s="52" t="inlineStr"/>
      <c r="M88" s="52" t="inlineStr">
        <is>
          <t>Khawalak</t>
        </is>
      </c>
      <c r="N88" s="52" t="inlineStr">
        <is>
          <t>World Bank (WBK/AF-2)</t>
        </is>
      </c>
      <c r="O88" s="52" t="inlineStr">
        <is>
          <t>Not awarded</t>
        </is>
      </c>
      <c r="P88" s="52" t="inlineStr">
        <is>
          <t>5. Drip Irrigation systems</t>
        </is>
      </c>
      <c r="Q88" s="52" t="inlineStr">
        <is>
          <t>Ali Dost</t>
        </is>
      </c>
      <c r="R88" s="52" t="inlineStr"/>
      <c r="S88" s="53" t="n">
        <v>3573.45</v>
      </c>
      <c r="T88" s="46" t="inlineStr">
        <is>
          <t>IF(AQ88="","",AQ88)</t>
        </is>
      </c>
      <c r="U88" s="54" t="n">
        <v>46376</v>
      </c>
      <c r="V88" s="55" t="n">
        <v>6.2</v>
      </c>
      <c r="W88" s="54" t="n">
        <v>46566</v>
      </c>
      <c r="X88" s="46" t="inlineStr">
        <is>
          <t>IF(W88&lt;&gt;"",W88,IF(OR(T88="",V88=""),"",EDATE(T88,V88)))</t>
        </is>
      </c>
      <c r="Y88" s="54" t="n"/>
      <c r="Z88" s="55" t="n"/>
      <c r="AA88" s="52" t="inlineStr">
        <is>
          <t>Retendered (Re-ITB)</t>
        </is>
      </c>
      <c r="AB88" s="52" t="inlineStr">
        <is>
          <t>Slack period up to end March. Four months construction period starting from April 2026. | Farmer: Ali Dost</t>
        </is>
      </c>
      <c r="AC88" s="42" t="inlineStr">
        <is>
          <t>IF(F88="","",IF(COUNT(AI88:AV88)=0,IF(AA88="","Not started",AA88),SUBSTITUTE(LOOKUP(2,1/(AI88:AV88&lt;&gt;""),$AI$3:$AV$3),"Date: ","")))</t>
        </is>
      </c>
      <c r="AD88" s="49" t="inlineStr">
        <is>
          <t>IF(OR(F88="",COUNT(AI88:AV88)=0),"",TODAY()-LOOKUP(2,1/(AI88:AV88&lt;&gt;""),AI88:AV88))</t>
        </is>
      </c>
      <c r="AE88" s="49" t="inlineStr">
        <is>
          <t>IF(OR(F88="",COUNT(AI88:AV88)&lt;2),"",LOOKUP(2,1/(AI88:AV88&lt;&gt;""),AI88:AV88)-MIN(AI88:AV88))</t>
        </is>
      </c>
      <c r="AF88" s="49" t="inlineStr">
        <is>
          <t>IF(OR(AD88="",AC88="Not started",AC88=""),"",IFERROR(AD88-IF(VLOOKUP(AC88,'06_Status_Pipeline'!$B$3:$E$20,4,FALSE)="",0,VLOOKUP(AC88,'06_Status_Pipeline'!$B$3:$E$20,4,FALSE)),""))</t>
        </is>
      </c>
      <c r="AG88" s="42" t="inlineStr">
        <is>
          <t>IF(F88="","",IF(OR(AA88="Cancelled",AC88="Cancelled"),"Cancelled",IF(OR(AC88="Completed / Handover",Y88&lt;&gt;"",Z88&gt;=100),"Completed — on track",IF(O88="Not awarded",IF(U88="",IF(X88="","No planned date",IF(TODAY()&gt;X88,"Behind — past planned date",IF(X88-TODAY()&lt;=30,"At risk — close to off track","On track"))),IF(TODAY()&gt;U88,"Behind — award date passed",IF(U88-TODAY()&lt;=30,"At risk — close to off track","On track"))),IF(X88="","No planned date",IF(AND(TODAY()&gt;X88,OR(Z88="",Z88&lt;100)),"Behind — past end date",IF(AND(T88&lt;&gt;"",X88&lt;&gt;"",Z88&lt;&gt;"",(Z88&lt;100),((TODAY()-T88)/MAX(X88-T88,1)*100)-Z88&gt;15),"Behind — progress lag",IF(AND(X88-TODAY()&lt;=30,X88-TODAY()&gt;=0,OR(Z88="",Z88&lt;90)),"At risk — close to off track","On track"))))))))</t>
        </is>
      </c>
      <c r="AH88" s="49" t="inlineStr">
        <is>
          <t>IF(OR(F88="",AC88="Completed / Handover",AC88="Cancelled"),"",IF(O88="Not awarded",IF(U88&lt;&gt;"",U88-TODAY(),IF(X88="","",X88-TODAY())),IF(X88="","",X88-TODAY())))</t>
        </is>
      </c>
      <c r="AI88" s="54" t="n"/>
      <c r="AJ88" s="54" t="n"/>
      <c r="AK88" s="54" t="n"/>
      <c r="AL88" s="54" t="n"/>
      <c r="AM88" s="54" t="n"/>
      <c r="AN88" s="54" t="n"/>
      <c r="AO88" s="54" t="n"/>
      <c r="AP88" s="54" t="n"/>
      <c r="AQ88" s="54" t="n"/>
      <c r="AR88" s="54" t="n"/>
      <c r="AS88" s="54" t="n"/>
      <c r="AT88" s="50" t="n"/>
      <c r="AU88" s="50" t="n"/>
      <c r="AV88" s="50" t="n"/>
      <c r="AW88" s="49" t="inlineStr">
        <is>
          <t>IF(OR(F88="",AJ88=""),"",IF(COUNT(AI88:AI88)=0,"",AJ88-LOOKUP(2,1/(AI88:AI88&lt;&gt;""),AI88:AI88)))</t>
        </is>
      </c>
      <c r="AX88" s="49" t="inlineStr">
        <is>
          <t>IF(OR(F88="",AK88=""),"",IF(COUNT(AI88:AJ88)=0,"",AK88-LOOKUP(2,1/(AI88:AJ88&lt;&gt;""),AI88:AJ88)))</t>
        </is>
      </c>
      <c r="AY88" s="49" t="inlineStr">
        <is>
          <t>IF(OR(F88="",AL88=""),"",IF(COUNT(AI88:AK88)=0,"",AL88-LOOKUP(2,1/(AI88:AK88&lt;&gt;""),AI88:AK88)))</t>
        </is>
      </c>
      <c r="AZ88" s="49" t="inlineStr">
        <is>
          <t>IF(OR(F88="",AM88=""),"",IF(COUNT(AI88:AL88)=0,"",AM88-LOOKUP(2,1/(AI88:AL88&lt;&gt;""),AI88:AL88)))</t>
        </is>
      </c>
      <c r="BA88" s="49" t="inlineStr">
        <is>
          <t>IF(OR(F88="",AN88=""),"",IF(COUNT(AI88:AM88)=0,"",AN88-LOOKUP(2,1/(AI88:AM88&lt;&gt;""),AI88:AM88)))</t>
        </is>
      </c>
      <c r="BB88" s="49" t="inlineStr">
        <is>
          <t>IF(OR(F88="",AO88=""),"",IF(COUNT(AI88:AN88)=0,"",AO88-LOOKUP(2,1/(AI88:AN88&lt;&gt;""),AI88:AN88)))</t>
        </is>
      </c>
      <c r="BC88" s="49" t="inlineStr">
        <is>
          <t>IF(OR(F88="",AP88=""),"",IF(COUNT(AI88:AO88)=0,"",AP88-LOOKUP(2,1/(AI88:AO88&lt;&gt;""),AI88:AO88)))</t>
        </is>
      </c>
      <c r="BD88" s="49" t="inlineStr">
        <is>
          <t>IF(OR(F88="",AQ88=""),"",IF(COUNT(AI88:AP88)=0,"",AQ88-LOOKUP(2,1/(AI88:AP88&lt;&gt;""),AI88:AP88)))</t>
        </is>
      </c>
      <c r="BE88" s="49" t="inlineStr">
        <is>
          <t>IF(OR(F88="",AR88=""),"",IF(COUNT(AI88:AQ88)=0,"",AR88-LOOKUP(2,1/(AI88:AQ88&lt;&gt;""),AI88:AQ88)))</t>
        </is>
      </c>
      <c r="BF88" s="49" t="inlineStr">
        <is>
          <t>IF(OR(F88="",AS88=""),"",IF(COUNT(AI88:AR88)=0,"",AS88-LOOKUP(2,1/(AI88:AR88&lt;&gt;""),AI88:AR88)))</t>
        </is>
      </c>
      <c r="BG88" s="49" t="inlineStr">
        <is>
          <t>IF(OR(F88="",AT88=""),"",IF(COUNT(AI88:AS88)=0,"",AT88-LOOKUP(2,1/(AI88:AS88&lt;&gt;""),AI88:AS88)))</t>
        </is>
      </c>
      <c r="BH88" s="49" t="inlineStr">
        <is>
          <t>IF(OR(F88="",AU88=""),"",IF(COUNT(AI88:AT88)=0,"",AU88-LOOKUP(2,1/(AI88:AT88&lt;&gt;""),AI88:AT88)))</t>
        </is>
      </c>
      <c r="BI88" s="49" t="inlineStr">
        <is>
          <t>IF(OR(F88="",AV88=""),"",IF(COUNT(AI88:AU88)=0,"",AV88-LOOKUP(2,1/(AI88:AU88&lt;&gt;""),AI88:AU88)))</t>
        </is>
      </c>
      <c r="BJ88" s="51" t="inlineStr">
        <is>
          <t>IF(J88="","All_Provinces",IFERROR(VLOOKUP(J88,'09_Lookups'!$A$4:$B$20,2,FALSE),"All_Provinces"))</t>
        </is>
      </c>
      <c r="BK88" s="51" t="inlineStr">
        <is>
          <t>IF(K88="","All_Districts",IFERROR(VLOOKUP(K88,'09_Lookups'!$E$4:$F$42,2,FALSE),"All_Districts"))</t>
        </is>
      </c>
    </row>
    <row r="89" outlineLevel="1" ht="18" customHeight="1">
      <c r="A89" s="42" t="inlineStr">
        <is>
          <t>IF(F89="","",ROW()-3)</t>
        </is>
      </c>
      <c r="B89" s="61" t="inlineStr">
        <is>
          <t>AF2-DIS-04</t>
        </is>
      </c>
      <c r="C89" s="61" t="inlineStr">
        <is>
          <t>Package #4-WBK/AF2 DIS: Demonstration of 12 Drip irrigation schemes at 4 district sites of 1. Miramor, 2. Shahristan, 3.Nilli, and 4.Sayghan in Daykundi and Bamyan provinces</t>
        </is>
      </c>
      <c r="D89" s="61" t="inlineStr">
        <is>
          <t>7 of 12</t>
        </is>
      </c>
      <c r="E89" s="44" t="inlineStr">
        <is>
          <t>AF2-DIS-N-047</t>
        </is>
      </c>
      <c r="F89" s="44" t="inlineStr">
        <is>
          <t>Khawja Chast )Drip irrigation Sysytem</t>
        </is>
      </c>
      <c r="G89" s="44" t="inlineStr">
        <is>
          <t>Drip Irrigation</t>
        </is>
      </c>
      <c r="H89" s="44" t="inlineStr">
        <is>
          <t>Drip Irrigation Plot</t>
        </is>
      </c>
      <c r="I89" s="44" t="inlineStr">
        <is>
          <t>Emergency Food Security Project (EFSP) – WBK/AF-2</t>
        </is>
      </c>
      <c r="J89" s="44" t="inlineStr">
        <is>
          <t>Central Highland / Bamyan</t>
        </is>
      </c>
      <c r="K89" s="44" t="inlineStr">
        <is>
          <t>Daykundi</t>
        </is>
      </c>
      <c r="L89" s="44" t="inlineStr">
        <is>
          <t>Shahristan</t>
        </is>
      </c>
      <c r="M89" s="44" t="inlineStr">
        <is>
          <t>Khwaja Chasht</t>
        </is>
      </c>
      <c r="N89" s="44" t="inlineStr">
        <is>
          <t>World Bank (WBK/AF-2)</t>
        </is>
      </c>
      <c r="O89" s="44" t="inlineStr">
        <is>
          <t>Not awarded</t>
        </is>
      </c>
      <c r="P89" s="44" t="inlineStr">
        <is>
          <t>5. Drip Irrigation systems</t>
        </is>
      </c>
      <c r="Q89" s="44" t="inlineStr">
        <is>
          <t>Mohammad Hashim</t>
        </is>
      </c>
      <c r="R89" s="44" t="inlineStr"/>
      <c r="S89" s="45" t="n">
        <v>5364.63</v>
      </c>
      <c r="T89" s="46" t="inlineStr">
        <is>
          <t>IF(AQ89="","",AQ89)</t>
        </is>
      </c>
      <c r="U89" s="47" t="n">
        <v>46376</v>
      </c>
      <c r="V89" s="48" t="n">
        <v>6.2</v>
      </c>
      <c r="W89" s="47" t="n">
        <v>46566</v>
      </c>
      <c r="X89" s="46" t="inlineStr">
        <is>
          <t>IF(W89&lt;&gt;"",W89,IF(OR(T89="",V89=""),"",EDATE(T89,V89)))</t>
        </is>
      </c>
      <c r="Y89" s="47" t="n"/>
      <c r="Z89" s="48" t="n"/>
      <c r="AA89" s="44" t="inlineStr">
        <is>
          <t>Retendered (Re-ITB)</t>
        </is>
      </c>
      <c r="AB89" s="44" t="inlineStr">
        <is>
          <t>Slack period up to end March. Four months construction period starting from April 2026. | Farmer: Mohammad Hashim</t>
        </is>
      </c>
      <c r="AC89" s="42" t="inlineStr">
        <is>
          <t>IF(F89="","",IF(COUNT(AI89:AV89)=0,IF(AA89="","Not started",AA89),SUBSTITUTE(LOOKUP(2,1/(AI89:AV89&lt;&gt;""),$AI$3:$AV$3),"Date: ","")))</t>
        </is>
      </c>
      <c r="AD89" s="49" t="inlineStr">
        <is>
          <t>IF(OR(F89="",COUNT(AI89:AV89)=0),"",TODAY()-LOOKUP(2,1/(AI89:AV89&lt;&gt;""),AI89:AV89))</t>
        </is>
      </c>
      <c r="AE89" s="49" t="inlineStr">
        <is>
          <t>IF(OR(F89="",COUNT(AI89:AV89)&lt;2),"",LOOKUP(2,1/(AI89:AV89&lt;&gt;""),AI89:AV89)-MIN(AI89:AV89))</t>
        </is>
      </c>
      <c r="AF89" s="49" t="inlineStr">
        <is>
          <t>IF(OR(AD89="",AC89="Not started",AC89=""),"",IFERROR(AD89-IF(VLOOKUP(AC89,'06_Status_Pipeline'!$B$3:$E$20,4,FALSE)="",0,VLOOKUP(AC89,'06_Status_Pipeline'!$B$3:$E$20,4,FALSE)),""))</t>
        </is>
      </c>
      <c r="AG89" s="42" t="inlineStr">
        <is>
          <t>IF(F89="","",IF(OR(AA89="Cancelled",AC89="Cancelled"),"Cancelled",IF(OR(AC89="Completed / Handover",Y89&lt;&gt;"",Z89&gt;=100),"Completed — on track",IF(O89="Not awarded",IF(U89="",IF(X89="","No planned date",IF(TODAY()&gt;X89,"Behind — past planned date",IF(X89-TODAY()&lt;=30,"At risk — close to off track","On track"))),IF(TODAY()&gt;U89,"Behind — award date passed",IF(U89-TODAY()&lt;=30,"At risk — close to off track","On track"))),IF(X89="","No planned date",IF(AND(TODAY()&gt;X89,OR(Z89="",Z89&lt;100)),"Behind — past end date",IF(AND(T89&lt;&gt;"",X89&lt;&gt;"",Z89&lt;&gt;"",(Z89&lt;100),((TODAY()-T89)/MAX(X89-T89,1)*100)-Z89&gt;15),"Behind — progress lag",IF(AND(X89-TODAY()&lt;=30,X89-TODAY()&gt;=0,OR(Z89="",Z89&lt;90)),"At risk — close to off track","On track"))))))))</t>
        </is>
      </c>
      <c r="AH89" s="49" t="inlineStr">
        <is>
          <t>IF(OR(F89="",AC89="Completed / Handover",AC89="Cancelled"),"",IF(O89="Not awarded",IF(U89&lt;&gt;"",U89-TODAY(),IF(X89="","",X89-TODAY())),IF(X89="","",X89-TODAY())))</t>
        </is>
      </c>
      <c r="AI89" s="47" t="n"/>
      <c r="AJ89" s="47" t="n"/>
      <c r="AK89" s="47" t="n"/>
      <c r="AL89" s="47" t="n"/>
      <c r="AM89" s="47" t="n"/>
      <c r="AN89" s="47" t="n"/>
      <c r="AO89" s="47" t="n"/>
      <c r="AP89" s="47" t="n"/>
      <c r="AQ89" s="47" t="n"/>
      <c r="AR89" s="47" t="n"/>
      <c r="AS89" s="47" t="n"/>
      <c r="AT89" s="50" t="n"/>
      <c r="AU89" s="50" t="n"/>
      <c r="AV89" s="50" t="n"/>
      <c r="AW89" s="49" t="inlineStr">
        <is>
          <t>IF(OR(F89="",AJ89=""),"",IF(COUNT(AI89:AI89)=0,"",AJ89-LOOKUP(2,1/(AI89:AI89&lt;&gt;""),AI89:AI89)))</t>
        </is>
      </c>
      <c r="AX89" s="49" t="inlineStr">
        <is>
          <t>IF(OR(F89="",AK89=""),"",IF(COUNT(AI89:AJ89)=0,"",AK89-LOOKUP(2,1/(AI89:AJ89&lt;&gt;""),AI89:AJ89)))</t>
        </is>
      </c>
      <c r="AY89" s="49" t="inlineStr">
        <is>
          <t>IF(OR(F89="",AL89=""),"",IF(COUNT(AI89:AK89)=0,"",AL89-LOOKUP(2,1/(AI89:AK89&lt;&gt;""),AI89:AK89)))</t>
        </is>
      </c>
      <c r="AZ89" s="49" t="inlineStr">
        <is>
          <t>IF(OR(F89="",AM89=""),"",IF(COUNT(AI89:AL89)=0,"",AM89-LOOKUP(2,1/(AI89:AL89&lt;&gt;""),AI89:AL89)))</t>
        </is>
      </c>
      <c r="BA89" s="49" t="inlineStr">
        <is>
          <t>IF(OR(F89="",AN89=""),"",IF(COUNT(AI89:AM89)=0,"",AN89-LOOKUP(2,1/(AI89:AM89&lt;&gt;""),AI89:AM89)))</t>
        </is>
      </c>
      <c r="BB89" s="49" t="inlineStr">
        <is>
          <t>IF(OR(F89="",AO89=""),"",IF(COUNT(AI89:AN89)=0,"",AO89-LOOKUP(2,1/(AI89:AN89&lt;&gt;""),AI89:AN89)))</t>
        </is>
      </c>
      <c r="BC89" s="49" t="inlineStr">
        <is>
          <t>IF(OR(F89="",AP89=""),"",IF(COUNT(AI89:AO89)=0,"",AP89-LOOKUP(2,1/(AI89:AO89&lt;&gt;""),AI89:AO89)))</t>
        </is>
      </c>
      <c r="BD89" s="49" t="inlineStr">
        <is>
          <t>IF(OR(F89="",AQ89=""),"",IF(COUNT(AI89:AP89)=0,"",AQ89-LOOKUP(2,1/(AI89:AP89&lt;&gt;""),AI89:AP89)))</t>
        </is>
      </c>
      <c r="BE89" s="49" t="inlineStr">
        <is>
          <t>IF(OR(F89="",AR89=""),"",IF(COUNT(AI89:AQ89)=0,"",AR89-LOOKUP(2,1/(AI89:AQ89&lt;&gt;""),AI89:AQ89)))</t>
        </is>
      </c>
      <c r="BF89" s="49" t="inlineStr">
        <is>
          <t>IF(OR(F89="",AS89=""),"",IF(COUNT(AI89:AR89)=0,"",AS89-LOOKUP(2,1/(AI89:AR89&lt;&gt;""),AI89:AR89)))</t>
        </is>
      </c>
      <c r="BG89" s="49" t="inlineStr">
        <is>
          <t>IF(OR(F89="",AT89=""),"",IF(COUNT(AI89:AS89)=0,"",AT89-LOOKUP(2,1/(AI89:AS89&lt;&gt;""),AI89:AS89)))</t>
        </is>
      </c>
      <c r="BH89" s="49" t="inlineStr">
        <is>
          <t>IF(OR(F89="",AU89=""),"",IF(COUNT(AI89:AT89)=0,"",AU89-LOOKUP(2,1/(AI89:AT89&lt;&gt;""),AI89:AT89)))</t>
        </is>
      </c>
      <c r="BI89" s="49" t="inlineStr">
        <is>
          <t>IF(OR(F89="",AV89=""),"",IF(COUNT(AI89:AU89)=0,"",AV89-LOOKUP(2,1/(AI89:AU89&lt;&gt;""),AI89:AU89)))</t>
        </is>
      </c>
      <c r="BJ89" s="51" t="inlineStr">
        <is>
          <t>IF(J89="","All_Provinces",IFERROR(VLOOKUP(J89,'09_Lookups'!$A$4:$B$20,2,FALSE),"All_Provinces"))</t>
        </is>
      </c>
      <c r="BK89" s="51" t="inlineStr">
        <is>
          <t>IF(K89="","All_Districts",IFERROR(VLOOKUP(K89,'09_Lookups'!$E$4:$F$42,2,FALSE),"All_Districts"))</t>
        </is>
      </c>
    </row>
    <row r="90" outlineLevel="1" ht="18" customHeight="1">
      <c r="A90" s="42" t="inlineStr">
        <is>
          <t>IF(F90="","",ROW()-3)</t>
        </is>
      </c>
      <c r="B90" s="61" t="inlineStr">
        <is>
          <t>AF2-DIS-04</t>
        </is>
      </c>
      <c r="C90" s="61" t="inlineStr">
        <is>
          <t>Package #4-WBK/AF2 DIS: Demonstration of 12 Drip irrigation schemes at 4 district sites of 1. Miramor, 2. Shahristan, 3.Nilli, and 4.Sayghan in Daykundi and Bamyan provinces</t>
        </is>
      </c>
      <c r="D90" s="61" t="inlineStr">
        <is>
          <t>8 of 12</t>
        </is>
      </c>
      <c r="E90" s="52" t="inlineStr">
        <is>
          <t>AF2-DIS-N-048</t>
        </is>
      </c>
      <c r="F90" s="52" t="inlineStr">
        <is>
          <t>Peshang Drip Irrigation system</t>
        </is>
      </c>
      <c r="G90" s="52" t="inlineStr">
        <is>
          <t>Drip Irrigation</t>
        </is>
      </c>
      <c r="H90" s="52" t="inlineStr">
        <is>
          <t>Drip Irrigation Plot</t>
        </is>
      </c>
      <c r="I90" s="52" t="inlineStr">
        <is>
          <t>Emergency Food Security Project (EFSP) – WBK/AF-2</t>
        </is>
      </c>
      <c r="J90" s="52" t="inlineStr">
        <is>
          <t>Central Highland / Bamyan</t>
        </is>
      </c>
      <c r="K90" s="52" t="inlineStr">
        <is>
          <t>Bamyan</t>
        </is>
      </c>
      <c r="L90" s="52" t="inlineStr">
        <is>
          <t>Sayghan</t>
        </is>
      </c>
      <c r="M90" s="52" t="inlineStr">
        <is>
          <t>Peshang</t>
        </is>
      </c>
      <c r="N90" s="52" t="inlineStr">
        <is>
          <t>World Bank (WBK/AF-2)</t>
        </is>
      </c>
      <c r="O90" s="52" t="inlineStr">
        <is>
          <t>Not awarded</t>
        </is>
      </c>
      <c r="P90" s="52" t="inlineStr">
        <is>
          <t>5. Drip Irrigation systems</t>
        </is>
      </c>
      <c r="Q90" s="52" t="inlineStr">
        <is>
          <t>Abdul Rahman</t>
        </is>
      </c>
      <c r="R90" s="52" t="inlineStr"/>
      <c r="S90" s="53" t="n">
        <v>3856.11</v>
      </c>
      <c r="T90" s="46" t="inlineStr">
        <is>
          <t>IF(AQ90="","",AQ90)</t>
        </is>
      </c>
      <c r="U90" s="54" t="n">
        <v>46376</v>
      </c>
      <c r="V90" s="55" t="n">
        <v>6.2</v>
      </c>
      <c r="W90" s="54" t="n">
        <v>46566</v>
      </c>
      <c r="X90" s="46" t="inlineStr">
        <is>
          <t>IF(W90&lt;&gt;"",W90,IF(OR(T90="",V90=""),"",EDATE(T90,V90)))</t>
        </is>
      </c>
      <c r="Y90" s="54" t="n"/>
      <c r="Z90" s="55" t="n"/>
      <c r="AA90" s="52" t="inlineStr">
        <is>
          <t>Retendered (Re-ITB)</t>
        </is>
      </c>
      <c r="AB90" s="52" t="inlineStr">
        <is>
          <t>Slack period up to end March. Four months construction period starting from April 2026. | Farmer: Abdul Rahman</t>
        </is>
      </c>
      <c r="AC90" s="42" t="inlineStr">
        <is>
          <t>IF(F90="","",IF(COUNT(AI90:AV90)=0,IF(AA90="","Not started",AA90),SUBSTITUTE(LOOKUP(2,1/(AI90:AV90&lt;&gt;""),$AI$3:$AV$3),"Date: ","")))</t>
        </is>
      </c>
      <c r="AD90" s="49" t="inlineStr">
        <is>
          <t>IF(OR(F90="",COUNT(AI90:AV90)=0),"",TODAY()-LOOKUP(2,1/(AI90:AV90&lt;&gt;""),AI90:AV90))</t>
        </is>
      </c>
      <c r="AE90" s="49" t="inlineStr">
        <is>
          <t>IF(OR(F90="",COUNT(AI90:AV90)&lt;2),"",LOOKUP(2,1/(AI90:AV90&lt;&gt;""),AI90:AV90)-MIN(AI90:AV90))</t>
        </is>
      </c>
      <c r="AF90" s="49" t="inlineStr">
        <is>
          <t>IF(OR(AD90="",AC90="Not started",AC90=""),"",IFERROR(AD90-IF(VLOOKUP(AC90,'06_Status_Pipeline'!$B$3:$E$20,4,FALSE)="",0,VLOOKUP(AC90,'06_Status_Pipeline'!$B$3:$E$20,4,FALSE)),""))</t>
        </is>
      </c>
      <c r="AG90" s="42" t="inlineStr">
        <is>
          <t>IF(F90="","",IF(OR(AA90="Cancelled",AC90="Cancelled"),"Cancelled",IF(OR(AC90="Completed / Handover",Y90&lt;&gt;"",Z90&gt;=100),"Completed — on track",IF(O90="Not awarded",IF(U90="",IF(X90="","No planned date",IF(TODAY()&gt;X90,"Behind — past planned date",IF(X90-TODAY()&lt;=30,"At risk — close to off track","On track"))),IF(TODAY()&gt;U90,"Behind — award date passed",IF(U90-TODAY()&lt;=30,"At risk — close to off track","On track"))),IF(X90="","No planned date",IF(AND(TODAY()&gt;X90,OR(Z90="",Z90&lt;100)),"Behind — past end date",IF(AND(T90&lt;&gt;"",X90&lt;&gt;"",Z90&lt;&gt;"",(Z90&lt;100),((TODAY()-T90)/MAX(X90-T90,1)*100)-Z90&gt;15),"Behind — progress lag",IF(AND(X90-TODAY()&lt;=30,X90-TODAY()&gt;=0,OR(Z90="",Z90&lt;90)),"At risk — close to off track","On track"))))))))</t>
        </is>
      </c>
      <c r="AH90" s="49" t="inlineStr">
        <is>
          <t>IF(OR(F90="",AC90="Completed / Handover",AC90="Cancelled"),"",IF(O90="Not awarded",IF(U90&lt;&gt;"",U90-TODAY(),IF(X90="","",X90-TODAY())),IF(X90="","",X90-TODAY())))</t>
        </is>
      </c>
      <c r="AI90" s="54" t="n"/>
      <c r="AJ90" s="54" t="n"/>
      <c r="AK90" s="54" t="n"/>
      <c r="AL90" s="54" t="n"/>
      <c r="AM90" s="54" t="n"/>
      <c r="AN90" s="54" t="n"/>
      <c r="AO90" s="54" t="n"/>
      <c r="AP90" s="54" t="n"/>
      <c r="AQ90" s="54" t="n"/>
      <c r="AR90" s="54" t="n"/>
      <c r="AS90" s="54" t="n"/>
      <c r="AT90" s="50" t="n"/>
      <c r="AU90" s="50" t="n"/>
      <c r="AV90" s="50" t="n"/>
      <c r="AW90" s="49" t="inlineStr">
        <is>
          <t>IF(OR(F90="",AJ90=""),"",IF(COUNT(AI90:AI90)=0,"",AJ90-LOOKUP(2,1/(AI90:AI90&lt;&gt;""),AI90:AI90)))</t>
        </is>
      </c>
      <c r="AX90" s="49" t="inlineStr">
        <is>
          <t>IF(OR(F90="",AK90=""),"",IF(COUNT(AI90:AJ90)=0,"",AK90-LOOKUP(2,1/(AI90:AJ90&lt;&gt;""),AI90:AJ90)))</t>
        </is>
      </c>
      <c r="AY90" s="49" t="inlineStr">
        <is>
          <t>IF(OR(F90="",AL90=""),"",IF(COUNT(AI90:AK90)=0,"",AL90-LOOKUP(2,1/(AI90:AK90&lt;&gt;""),AI90:AK90)))</t>
        </is>
      </c>
      <c r="AZ90" s="49" t="inlineStr">
        <is>
          <t>IF(OR(F90="",AM90=""),"",IF(COUNT(AI90:AL90)=0,"",AM90-LOOKUP(2,1/(AI90:AL90&lt;&gt;""),AI90:AL90)))</t>
        </is>
      </c>
      <c r="BA90" s="49" t="inlineStr">
        <is>
          <t>IF(OR(F90="",AN90=""),"",IF(COUNT(AI90:AM90)=0,"",AN90-LOOKUP(2,1/(AI90:AM90&lt;&gt;""),AI90:AM90)))</t>
        </is>
      </c>
      <c r="BB90" s="49" t="inlineStr">
        <is>
          <t>IF(OR(F90="",AO90=""),"",IF(COUNT(AI90:AN90)=0,"",AO90-LOOKUP(2,1/(AI90:AN90&lt;&gt;""),AI90:AN90)))</t>
        </is>
      </c>
      <c r="BC90" s="49" t="inlineStr">
        <is>
          <t>IF(OR(F90="",AP90=""),"",IF(COUNT(AI90:AO90)=0,"",AP90-LOOKUP(2,1/(AI90:AO90&lt;&gt;""),AI90:AO90)))</t>
        </is>
      </c>
      <c r="BD90" s="49" t="inlineStr">
        <is>
          <t>IF(OR(F90="",AQ90=""),"",IF(COUNT(AI90:AP90)=0,"",AQ90-LOOKUP(2,1/(AI90:AP90&lt;&gt;""),AI90:AP90)))</t>
        </is>
      </c>
      <c r="BE90" s="49" t="inlineStr">
        <is>
          <t>IF(OR(F90="",AR90=""),"",IF(COUNT(AI90:AQ90)=0,"",AR90-LOOKUP(2,1/(AI90:AQ90&lt;&gt;""),AI90:AQ90)))</t>
        </is>
      </c>
      <c r="BF90" s="49" t="inlineStr">
        <is>
          <t>IF(OR(F90="",AS90=""),"",IF(COUNT(AI90:AR90)=0,"",AS90-LOOKUP(2,1/(AI90:AR90&lt;&gt;""),AI90:AR90)))</t>
        </is>
      </c>
      <c r="BG90" s="49" t="inlineStr">
        <is>
          <t>IF(OR(F90="",AT90=""),"",IF(COUNT(AI90:AS90)=0,"",AT90-LOOKUP(2,1/(AI90:AS90&lt;&gt;""),AI90:AS90)))</t>
        </is>
      </c>
      <c r="BH90" s="49" t="inlineStr">
        <is>
          <t>IF(OR(F90="",AU90=""),"",IF(COUNT(AI90:AT90)=0,"",AU90-LOOKUP(2,1/(AI90:AT90&lt;&gt;""),AI90:AT90)))</t>
        </is>
      </c>
      <c r="BI90" s="49" t="inlineStr">
        <is>
          <t>IF(OR(F90="",AV90=""),"",IF(COUNT(AI90:AU90)=0,"",AV90-LOOKUP(2,1/(AI90:AU90&lt;&gt;""),AI90:AU90)))</t>
        </is>
      </c>
      <c r="BJ90" s="51" t="inlineStr">
        <is>
          <t>IF(J90="","All_Provinces",IFERROR(VLOOKUP(J90,'09_Lookups'!$A$4:$B$20,2,FALSE),"All_Provinces"))</t>
        </is>
      </c>
      <c r="BK90" s="51" t="inlineStr">
        <is>
          <t>IF(K90="","All_Districts",IFERROR(VLOOKUP(K90,'09_Lookups'!$E$4:$F$42,2,FALSE),"All_Districts"))</t>
        </is>
      </c>
    </row>
    <row r="91" outlineLevel="1" ht="18" customHeight="1">
      <c r="A91" s="42" t="inlineStr">
        <is>
          <t>IF(F91="","",ROW()-3)</t>
        </is>
      </c>
      <c r="B91" s="61" t="inlineStr">
        <is>
          <t>AF2-DIS-04</t>
        </is>
      </c>
      <c r="C91" s="61" t="inlineStr">
        <is>
          <t>Package #4-WBK/AF2 DIS: Demonstration of 12 Drip irrigation schemes at 4 district sites of 1. Miramor, 2. Shahristan, 3.Nilli, and 4.Sayghan in Daykundi and Bamyan provinces</t>
        </is>
      </c>
      <c r="D91" s="61" t="inlineStr">
        <is>
          <t>9 of 12</t>
        </is>
      </c>
      <c r="E91" s="44" t="inlineStr">
        <is>
          <t>AF2-DIS-N-049</t>
        </is>
      </c>
      <c r="F91" s="44" t="inlineStr">
        <is>
          <t>Safid Derakht 01 Drip Irrigtion System</t>
        </is>
      </c>
      <c r="G91" s="44" t="inlineStr">
        <is>
          <t>Drip Irrigation</t>
        </is>
      </c>
      <c r="H91" s="44" t="inlineStr">
        <is>
          <t>Drip Irrigation Plot</t>
        </is>
      </c>
      <c r="I91" s="44" t="inlineStr">
        <is>
          <t>Emergency Food Security Project (EFSP) – WBK/AF-2</t>
        </is>
      </c>
      <c r="J91" s="44" t="inlineStr">
        <is>
          <t>Central Highland / Bamyan</t>
        </is>
      </c>
      <c r="K91" s="44" t="inlineStr">
        <is>
          <t>Daykundi</t>
        </is>
      </c>
      <c r="L91" s="44" t="inlineStr">
        <is>
          <t>Nilli</t>
        </is>
      </c>
      <c r="M91" s="44" t="inlineStr">
        <is>
          <t>Safid Derakht,</t>
        </is>
      </c>
      <c r="N91" s="44" t="inlineStr">
        <is>
          <t>World Bank (WBK/AF-2)</t>
        </is>
      </c>
      <c r="O91" s="44" t="inlineStr">
        <is>
          <t>Not awarded</t>
        </is>
      </c>
      <c r="P91" s="44" t="inlineStr">
        <is>
          <t>5. Drip Irrigation systems</t>
        </is>
      </c>
      <c r="Q91" s="44" t="inlineStr">
        <is>
          <t>Sayed Mohammad</t>
        </is>
      </c>
      <c r="R91" s="44" t="inlineStr"/>
      <c r="S91" s="45" t="n">
        <v>5459.95</v>
      </c>
      <c r="T91" s="46" t="inlineStr">
        <is>
          <t>IF(AQ91="","",AQ91)</t>
        </is>
      </c>
      <c r="U91" s="47" t="n">
        <v>46376</v>
      </c>
      <c r="V91" s="48" t="n">
        <v>6.2</v>
      </c>
      <c r="W91" s="47" t="n">
        <v>46566</v>
      </c>
      <c r="X91" s="46" t="inlineStr">
        <is>
          <t>IF(W91&lt;&gt;"",W91,IF(OR(T91="",V91=""),"",EDATE(T91,V91)))</t>
        </is>
      </c>
      <c r="Y91" s="47" t="n"/>
      <c r="Z91" s="48" t="n"/>
      <c r="AA91" s="44" t="inlineStr">
        <is>
          <t>Retendered (Re-ITB)</t>
        </is>
      </c>
      <c r="AB91" s="44" t="inlineStr">
        <is>
          <t>Slack period up to end March. Four months construction period starting from April 2026. | Farmer: Sayed Mohammad</t>
        </is>
      </c>
      <c r="AC91" s="42" t="inlineStr">
        <is>
          <t>IF(F91="","",IF(COUNT(AI91:AV91)=0,IF(AA91="","Not started",AA91),SUBSTITUTE(LOOKUP(2,1/(AI91:AV91&lt;&gt;""),$AI$3:$AV$3),"Date: ","")))</t>
        </is>
      </c>
      <c r="AD91" s="49" t="inlineStr">
        <is>
          <t>IF(OR(F91="",COUNT(AI91:AV91)=0),"",TODAY()-LOOKUP(2,1/(AI91:AV91&lt;&gt;""),AI91:AV91))</t>
        </is>
      </c>
      <c r="AE91" s="49" t="inlineStr">
        <is>
          <t>IF(OR(F91="",COUNT(AI91:AV91)&lt;2),"",LOOKUP(2,1/(AI91:AV91&lt;&gt;""),AI91:AV91)-MIN(AI91:AV91))</t>
        </is>
      </c>
      <c r="AF91" s="49" t="inlineStr">
        <is>
          <t>IF(OR(AD91="",AC91="Not started",AC91=""),"",IFERROR(AD91-IF(VLOOKUP(AC91,'06_Status_Pipeline'!$B$3:$E$20,4,FALSE)="",0,VLOOKUP(AC91,'06_Status_Pipeline'!$B$3:$E$20,4,FALSE)),""))</t>
        </is>
      </c>
      <c r="AG91" s="42" t="inlineStr">
        <is>
          <t>IF(F91="","",IF(OR(AA91="Cancelled",AC91="Cancelled"),"Cancelled",IF(OR(AC91="Completed / Handover",Y91&lt;&gt;"",Z91&gt;=100),"Completed — on track",IF(O91="Not awarded",IF(U91="",IF(X91="","No planned date",IF(TODAY()&gt;X91,"Behind — past planned date",IF(X91-TODAY()&lt;=30,"At risk — close to off track","On track"))),IF(TODAY()&gt;U91,"Behind — award date passed",IF(U91-TODAY()&lt;=30,"At risk — close to off track","On track"))),IF(X91="","No planned date",IF(AND(TODAY()&gt;X91,OR(Z91="",Z91&lt;100)),"Behind — past end date",IF(AND(T91&lt;&gt;"",X91&lt;&gt;"",Z91&lt;&gt;"",(Z91&lt;100),((TODAY()-T91)/MAX(X91-T91,1)*100)-Z91&gt;15),"Behind — progress lag",IF(AND(X91-TODAY()&lt;=30,X91-TODAY()&gt;=0,OR(Z91="",Z91&lt;90)),"At risk — close to off track","On track"))))))))</t>
        </is>
      </c>
      <c r="AH91" s="49" t="inlineStr">
        <is>
          <t>IF(OR(F91="",AC91="Completed / Handover",AC91="Cancelled"),"",IF(O91="Not awarded",IF(U91&lt;&gt;"",U91-TODAY(),IF(X91="","",X91-TODAY())),IF(X91="","",X91-TODAY())))</t>
        </is>
      </c>
      <c r="AI91" s="47" t="n"/>
      <c r="AJ91" s="47" t="n"/>
      <c r="AK91" s="47" t="n"/>
      <c r="AL91" s="47" t="n"/>
      <c r="AM91" s="47" t="n"/>
      <c r="AN91" s="47" t="n"/>
      <c r="AO91" s="47" t="n"/>
      <c r="AP91" s="47" t="n"/>
      <c r="AQ91" s="47" t="n"/>
      <c r="AR91" s="47" t="n"/>
      <c r="AS91" s="47" t="n"/>
      <c r="AT91" s="50" t="n"/>
      <c r="AU91" s="50" t="n"/>
      <c r="AV91" s="50" t="n"/>
      <c r="AW91" s="49" t="inlineStr">
        <is>
          <t>IF(OR(F91="",AJ91=""),"",IF(COUNT(AI91:AI91)=0,"",AJ91-LOOKUP(2,1/(AI91:AI91&lt;&gt;""),AI91:AI91)))</t>
        </is>
      </c>
      <c r="AX91" s="49" t="inlineStr">
        <is>
          <t>IF(OR(F91="",AK91=""),"",IF(COUNT(AI91:AJ91)=0,"",AK91-LOOKUP(2,1/(AI91:AJ91&lt;&gt;""),AI91:AJ91)))</t>
        </is>
      </c>
      <c r="AY91" s="49" t="inlineStr">
        <is>
          <t>IF(OR(F91="",AL91=""),"",IF(COUNT(AI91:AK91)=0,"",AL91-LOOKUP(2,1/(AI91:AK91&lt;&gt;""),AI91:AK91)))</t>
        </is>
      </c>
      <c r="AZ91" s="49" t="inlineStr">
        <is>
          <t>IF(OR(F91="",AM91=""),"",IF(COUNT(AI91:AL91)=0,"",AM91-LOOKUP(2,1/(AI91:AL91&lt;&gt;""),AI91:AL91)))</t>
        </is>
      </c>
      <c r="BA91" s="49" t="inlineStr">
        <is>
          <t>IF(OR(F91="",AN91=""),"",IF(COUNT(AI91:AM91)=0,"",AN91-LOOKUP(2,1/(AI91:AM91&lt;&gt;""),AI91:AM91)))</t>
        </is>
      </c>
      <c r="BB91" s="49" t="inlineStr">
        <is>
          <t>IF(OR(F91="",AO91=""),"",IF(COUNT(AI91:AN91)=0,"",AO91-LOOKUP(2,1/(AI91:AN91&lt;&gt;""),AI91:AN91)))</t>
        </is>
      </c>
      <c r="BC91" s="49" t="inlineStr">
        <is>
          <t>IF(OR(F91="",AP91=""),"",IF(COUNT(AI91:AO91)=0,"",AP91-LOOKUP(2,1/(AI91:AO91&lt;&gt;""),AI91:AO91)))</t>
        </is>
      </c>
      <c r="BD91" s="49" t="inlineStr">
        <is>
          <t>IF(OR(F91="",AQ91=""),"",IF(COUNT(AI91:AP91)=0,"",AQ91-LOOKUP(2,1/(AI91:AP91&lt;&gt;""),AI91:AP91)))</t>
        </is>
      </c>
      <c r="BE91" s="49" t="inlineStr">
        <is>
          <t>IF(OR(F91="",AR91=""),"",IF(COUNT(AI91:AQ91)=0,"",AR91-LOOKUP(2,1/(AI91:AQ91&lt;&gt;""),AI91:AQ91)))</t>
        </is>
      </c>
      <c r="BF91" s="49" t="inlineStr">
        <is>
          <t>IF(OR(F91="",AS91=""),"",IF(COUNT(AI91:AR91)=0,"",AS91-LOOKUP(2,1/(AI91:AR91&lt;&gt;""),AI91:AR91)))</t>
        </is>
      </c>
      <c r="BG91" s="49" t="inlineStr">
        <is>
          <t>IF(OR(F91="",AT91=""),"",IF(COUNT(AI91:AS91)=0,"",AT91-LOOKUP(2,1/(AI91:AS91&lt;&gt;""),AI91:AS91)))</t>
        </is>
      </c>
      <c r="BH91" s="49" t="inlineStr">
        <is>
          <t>IF(OR(F91="",AU91=""),"",IF(COUNT(AI91:AT91)=0,"",AU91-LOOKUP(2,1/(AI91:AT91&lt;&gt;""),AI91:AT91)))</t>
        </is>
      </c>
      <c r="BI91" s="49" t="inlineStr">
        <is>
          <t>IF(OR(F91="",AV91=""),"",IF(COUNT(AI91:AU91)=0,"",AV91-LOOKUP(2,1/(AI91:AU91&lt;&gt;""),AI91:AU91)))</t>
        </is>
      </c>
      <c r="BJ91" s="51" t="inlineStr">
        <is>
          <t>IF(J91="","All_Provinces",IFERROR(VLOOKUP(J91,'09_Lookups'!$A$4:$B$20,2,FALSE),"All_Provinces"))</t>
        </is>
      </c>
      <c r="BK91" s="51" t="inlineStr">
        <is>
          <t>IF(K91="","All_Districts",IFERROR(VLOOKUP(K91,'09_Lookups'!$E$4:$F$42,2,FALSE),"All_Districts"))</t>
        </is>
      </c>
    </row>
    <row r="92" outlineLevel="1" ht="18" customHeight="1">
      <c r="A92" s="42" t="inlineStr">
        <is>
          <t>IF(F92="","",ROW()-3)</t>
        </is>
      </c>
      <c r="B92" s="61" t="inlineStr">
        <is>
          <t>AF2-DIS-04</t>
        </is>
      </c>
      <c r="C92" s="61" t="inlineStr">
        <is>
          <t>Package #4-WBK/AF2 DIS: Demonstration of 12 Drip irrigation schemes at 4 district sites of 1. Miramor, 2. Shahristan, 3.Nilli, and 4.Sayghan in Daykundi and Bamyan provinces</t>
        </is>
      </c>
      <c r="D92" s="61" t="inlineStr">
        <is>
          <t>10 of 12</t>
        </is>
      </c>
      <c r="E92" s="52" t="inlineStr">
        <is>
          <t>AF2-DIS-N-050</t>
        </is>
      </c>
      <c r="F92" s="52" t="inlineStr">
        <is>
          <t>Safid Derakht 02 Drip Irrigtion System</t>
        </is>
      </c>
      <c r="G92" s="52" t="inlineStr">
        <is>
          <t>Drip Irrigation</t>
        </is>
      </c>
      <c r="H92" s="52" t="inlineStr">
        <is>
          <t>Drip Irrigation Plot</t>
        </is>
      </c>
      <c r="I92" s="52" t="inlineStr">
        <is>
          <t>Emergency Food Security Project (EFSP) – WBK/AF-2</t>
        </is>
      </c>
      <c r="J92" s="52" t="inlineStr">
        <is>
          <t>Central Highland / Bamyan</t>
        </is>
      </c>
      <c r="K92" s="52" t="inlineStr">
        <is>
          <t>Daykundi</t>
        </is>
      </c>
      <c r="L92" s="52" t="inlineStr"/>
      <c r="M92" s="52" t="inlineStr">
        <is>
          <t>Safid Derakht,</t>
        </is>
      </c>
      <c r="N92" s="52" t="inlineStr">
        <is>
          <t>World Bank (WBK/AF-2)</t>
        </is>
      </c>
      <c r="O92" s="52" t="inlineStr">
        <is>
          <t>Not awarded</t>
        </is>
      </c>
      <c r="P92" s="52" t="inlineStr">
        <is>
          <t>5. Drip Irrigation systems</t>
        </is>
      </c>
      <c r="Q92" s="52" t="inlineStr">
        <is>
          <t>Ghulam Hussain</t>
        </is>
      </c>
      <c r="R92" s="52" t="inlineStr"/>
      <c r="S92" s="53" t="n">
        <v>3764.17</v>
      </c>
      <c r="T92" s="46" t="inlineStr">
        <is>
          <t>IF(AQ92="","",AQ92)</t>
        </is>
      </c>
      <c r="U92" s="54" t="n">
        <v>46376</v>
      </c>
      <c r="V92" s="55" t="n">
        <v>6.2</v>
      </c>
      <c r="W92" s="54" t="n">
        <v>46566</v>
      </c>
      <c r="X92" s="46" t="inlineStr">
        <is>
          <t>IF(W92&lt;&gt;"",W92,IF(OR(T92="",V92=""),"",EDATE(T92,V92)))</t>
        </is>
      </c>
      <c r="Y92" s="54" t="n"/>
      <c r="Z92" s="55" t="n"/>
      <c r="AA92" s="52" t="inlineStr">
        <is>
          <t>Retendered (Re-ITB)</t>
        </is>
      </c>
      <c r="AB92" s="52" t="inlineStr">
        <is>
          <t>Slack period up to end March. Four months construction period starting from April 2026. | Farmer: Ghulam Hussain</t>
        </is>
      </c>
      <c r="AC92" s="42" t="inlineStr">
        <is>
          <t>IF(F92="","",IF(COUNT(AI92:AV92)=0,IF(AA92="","Not started",AA92),SUBSTITUTE(LOOKUP(2,1/(AI92:AV92&lt;&gt;""),$AI$3:$AV$3),"Date: ","")))</t>
        </is>
      </c>
      <c r="AD92" s="49" t="inlineStr">
        <is>
          <t>IF(OR(F92="",COUNT(AI92:AV92)=0),"",TODAY()-LOOKUP(2,1/(AI92:AV92&lt;&gt;""),AI92:AV92))</t>
        </is>
      </c>
      <c r="AE92" s="49" t="inlineStr">
        <is>
          <t>IF(OR(F92="",COUNT(AI92:AV92)&lt;2),"",LOOKUP(2,1/(AI92:AV92&lt;&gt;""),AI92:AV92)-MIN(AI92:AV92))</t>
        </is>
      </c>
      <c r="AF92" s="49" t="inlineStr">
        <is>
          <t>IF(OR(AD92="",AC92="Not started",AC92=""),"",IFERROR(AD92-IF(VLOOKUP(AC92,'06_Status_Pipeline'!$B$3:$E$20,4,FALSE)="",0,VLOOKUP(AC92,'06_Status_Pipeline'!$B$3:$E$20,4,FALSE)),""))</t>
        </is>
      </c>
      <c r="AG92" s="42" t="inlineStr">
        <is>
          <t>IF(F92="","",IF(OR(AA92="Cancelled",AC92="Cancelled"),"Cancelled",IF(OR(AC92="Completed / Handover",Y92&lt;&gt;"",Z92&gt;=100),"Completed — on track",IF(O92="Not awarded",IF(U92="",IF(X92="","No planned date",IF(TODAY()&gt;X92,"Behind — past planned date",IF(X92-TODAY()&lt;=30,"At risk — close to off track","On track"))),IF(TODAY()&gt;U92,"Behind — award date passed",IF(U92-TODAY()&lt;=30,"At risk — close to off track","On track"))),IF(X92="","No planned date",IF(AND(TODAY()&gt;X92,OR(Z92="",Z92&lt;100)),"Behind — past end date",IF(AND(T92&lt;&gt;"",X92&lt;&gt;"",Z92&lt;&gt;"",(Z92&lt;100),((TODAY()-T92)/MAX(X92-T92,1)*100)-Z92&gt;15),"Behind — progress lag",IF(AND(X92-TODAY()&lt;=30,X92-TODAY()&gt;=0,OR(Z92="",Z92&lt;90)),"At risk — close to off track","On track"))))))))</t>
        </is>
      </c>
      <c r="AH92" s="49" t="inlineStr">
        <is>
          <t>IF(OR(F92="",AC92="Completed / Handover",AC92="Cancelled"),"",IF(O92="Not awarded",IF(U92&lt;&gt;"",U92-TODAY(),IF(X92="","",X92-TODAY())),IF(X92="","",X92-TODAY())))</t>
        </is>
      </c>
      <c r="AI92" s="54" t="n"/>
      <c r="AJ92" s="54" t="n"/>
      <c r="AK92" s="54" t="n"/>
      <c r="AL92" s="54" t="n"/>
      <c r="AM92" s="54" t="n"/>
      <c r="AN92" s="54" t="n"/>
      <c r="AO92" s="54" t="n"/>
      <c r="AP92" s="54" t="n"/>
      <c r="AQ92" s="54" t="n"/>
      <c r="AR92" s="54" t="n"/>
      <c r="AS92" s="54" t="n"/>
      <c r="AT92" s="50" t="n"/>
      <c r="AU92" s="50" t="n"/>
      <c r="AV92" s="50" t="n"/>
      <c r="AW92" s="49" t="inlineStr">
        <is>
          <t>IF(OR(F92="",AJ92=""),"",IF(COUNT(AI92:AI92)=0,"",AJ92-LOOKUP(2,1/(AI92:AI92&lt;&gt;""),AI92:AI92)))</t>
        </is>
      </c>
      <c r="AX92" s="49" t="inlineStr">
        <is>
          <t>IF(OR(F92="",AK92=""),"",IF(COUNT(AI92:AJ92)=0,"",AK92-LOOKUP(2,1/(AI92:AJ92&lt;&gt;""),AI92:AJ92)))</t>
        </is>
      </c>
      <c r="AY92" s="49" t="inlineStr">
        <is>
          <t>IF(OR(F92="",AL92=""),"",IF(COUNT(AI92:AK92)=0,"",AL92-LOOKUP(2,1/(AI92:AK92&lt;&gt;""),AI92:AK92)))</t>
        </is>
      </c>
      <c r="AZ92" s="49" t="inlineStr">
        <is>
          <t>IF(OR(F92="",AM92=""),"",IF(COUNT(AI92:AL92)=0,"",AM92-LOOKUP(2,1/(AI92:AL92&lt;&gt;""),AI92:AL92)))</t>
        </is>
      </c>
      <c r="BA92" s="49" t="inlineStr">
        <is>
          <t>IF(OR(F92="",AN92=""),"",IF(COUNT(AI92:AM92)=0,"",AN92-LOOKUP(2,1/(AI92:AM92&lt;&gt;""),AI92:AM92)))</t>
        </is>
      </c>
      <c r="BB92" s="49" t="inlineStr">
        <is>
          <t>IF(OR(F92="",AO92=""),"",IF(COUNT(AI92:AN92)=0,"",AO92-LOOKUP(2,1/(AI92:AN92&lt;&gt;""),AI92:AN92)))</t>
        </is>
      </c>
      <c r="BC92" s="49" t="inlineStr">
        <is>
          <t>IF(OR(F92="",AP92=""),"",IF(COUNT(AI92:AO92)=0,"",AP92-LOOKUP(2,1/(AI92:AO92&lt;&gt;""),AI92:AO92)))</t>
        </is>
      </c>
      <c r="BD92" s="49" t="inlineStr">
        <is>
          <t>IF(OR(F92="",AQ92=""),"",IF(COUNT(AI92:AP92)=0,"",AQ92-LOOKUP(2,1/(AI92:AP92&lt;&gt;""),AI92:AP92)))</t>
        </is>
      </c>
      <c r="BE92" s="49" t="inlineStr">
        <is>
          <t>IF(OR(F92="",AR92=""),"",IF(COUNT(AI92:AQ92)=0,"",AR92-LOOKUP(2,1/(AI92:AQ92&lt;&gt;""),AI92:AQ92)))</t>
        </is>
      </c>
      <c r="BF92" s="49" t="inlineStr">
        <is>
          <t>IF(OR(F92="",AS92=""),"",IF(COUNT(AI92:AR92)=0,"",AS92-LOOKUP(2,1/(AI92:AR92&lt;&gt;""),AI92:AR92)))</t>
        </is>
      </c>
      <c r="BG92" s="49" t="inlineStr">
        <is>
          <t>IF(OR(F92="",AT92=""),"",IF(COUNT(AI92:AS92)=0,"",AT92-LOOKUP(2,1/(AI92:AS92&lt;&gt;""),AI92:AS92)))</t>
        </is>
      </c>
      <c r="BH92" s="49" t="inlineStr">
        <is>
          <t>IF(OR(F92="",AU92=""),"",IF(COUNT(AI92:AT92)=0,"",AU92-LOOKUP(2,1/(AI92:AT92&lt;&gt;""),AI92:AT92)))</t>
        </is>
      </c>
      <c r="BI92" s="49" t="inlineStr">
        <is>
          <t>IF(OR(F92="",AV92=""),"",IF(COUNT(AI92:AU92)=0,"",AV92-LOOKUP(2,1/(AI92:AU92&lt;&gt;""),AI92:AU92)))</t>
        </is>
      </c>
      <c r="BJ92" s="51" t="inlineStr">
        <is>
          <t>IF(J92="","All_Provinces",IFERROR(VLOOKUP(J92,'09_Lookups'!$A$4:$B$20,2,FALSE),"All_Provinces"))</t>
        </is>
      </c>
      <c r="BK92" s="51" t="inlineStr">
        <is>
          <t>IF(K92="","All_Districts",IFERROR(VLOOKUP(K92,'09_Lookups'!$E$4:$F$42,2,FALSE),"All_Districts"))</t>
        </is>
      </c>
    </row>
    <row r="93" outlineLevel="1" ht="18" customHeight="1">
      <c r="A93" s="42" t="inlineStr">
        <is>
          <t>IF(F93="","",ROW()-3)</t>
        </is>
      </c>
      <c r="B93" s="61" t="inlineStr">
        <is>
          <t>AF2-DIS-04</t>
        </is>
      </c>
      <c r="C93" s="61" t="inlineStr">
        <is>
          <t>Package #4-WBK/AF2 DIS: Demonstration of 12 Drip irrigation schemes at 4 district sites of 1. Miramor, 2. Shahristan, 3.Nilli, and 4.Sayghan in Daykundi and Bamyan provinces</t>
        </is>
      </c>
      <c r="D93" s="61" t="inlineStr">
        <is>
          <t>11 of 12</t>
        </is>
      </c>
      <c r="E93" s="44" t="inlineStr">
        <is>
          <t>AF2-DIS-N-051</t>
        </is>
      </c>
      <c r="F93" s="44" t="inlineStr">
        <is>
          <t>Sarawood Drip Irrigation System</t>
        </is>
      </c>
      <c r="G93" s="44" t="inlineStr">
        <is>
          <t>Drip Irrigation</t>
        </is>
      </c>
      <c r="H93" s="44" t="inlineStr">
        <is>
          <t>Drip Irrigation Plot</t>
        </is>
      </c>
      <c r="I93" s="44" t="inlineStr">
        <is>
          <t>Emergency Food Security Project (EFSP) – WBK/AF-2</t>
        </is>
      </c>
      <c r="J93" s="44" t="inlineStr">
        <is>
          <t>Central Highland / Bamyan</t>
        </is>
      </c>
      <c r="K93" s="44" t="inlineStr">
        <is>
          <t>Daykundi</t>
        </is>
      </c>
      <c r="L93" s="44" t="inlineStr">
        <is>
          <t>Miramor</t>
        </is>
      </c>
      <c r="M93" s="44" t="inlineStr">
        <is>
          <t>Sarawood</t>
        </is>
      </c>
      <c r="N93" s="44" t="inlineStr">
        <is>
          <t>World Bank (WBK/AF-2)</t>
        </is>
      </c>
      <c r="O93" s="44" t="inlineStr">
        <is>
          <t>Not awarded</t>
        </is>
      </c>
      <c r="P93" s="44" t="inlineStr">
        <is>
          <t>5. Drip Irrigation systems</t>
        </is>
      </c>
      <c r="Q93" s="44" t="inlineStr">
        <is>
          <t>Sayed Hassan</t>
        </is>
      </c>
      <c r="R93" s="44" t="inlineStr"/>
      <c r="S93" s="45" t="n">
        <v>3559.69</v>
      </c>
      <c r="T93" s="46" t="inlineStr">
        <is>
          <t>IF(AQ93="","",AQ93)</t>
        </is>
      </c>
      <c r="U93" s="47" t="n">
        <v>46376</v>
      </c>
      <c r="V93" s="48" t="n">
        <v>6.2</v>
      </c>
      <c r="W93" s="47" t="n">
        <v>46566</v>
      </c>
      <c r="X93" s="46" t="inlineStr">
        <is>
          <t>IF(W93&lt;&gt;"",W93,IF(OR(T93="",V93=""),"",EDATE(T93,V93)))</t>
        </is>
      </c>
      <c r="Y93" s="47" t="n"/>
      <c r="Z93" s="48" t="n"/>
      <c r="AA93" s="44" t="inlineStr">
        <is>
          <t>Retendered (Re-ITB)</t>
        </is>
      </c>
      <c r="AB93" s="44" t="inlineStr">
        <is>
          <t>Slack period up to end March. Four months construction period starting from April 2026. | Farmer: Sayed Hassan</t>
        </is>
      </c>
      <c r="AC93" s="42" t="inlineStr">
        <is>
          <t>IF(F93="","",IF(COUNT(AI93:AV93)=0,IF(AA93="","Not started",AA93),SUBSTITUTE(LOOKUP(2,1/(AI93:AV93&lt;&gt;""),$AI$3:$AV$3),"Date: ","")))</t>
        </is>
      </c>
      <c r="AD93" s="49" t="inlineStr">
        <is>
          <t>IF(OR(F93="",COUNT(AI93:AV93)=0),"",TODAY()-LOOKUP(2,1/(AI93:AV93&lt;&gt;""),AI93:AV93))</t>
        </is>
      </c>
      <c r="AE93" s="49" t="inlineStr">
        <is>
          <t>IF(OR(F93="",COUNT(AI93:AV93)&lt;2),"",LOOKUP(2,1/(AI93:AV93&lt;&gt;""),AI93:AV93)-MIN(AI93:AV93))</t>
        </is>
      </c>
      <c r="AF93" s="49" t="inlineStr">
        <is>
          <t>IF(OR(AD93="",AC93="Not started",AC93=""),"",IFERROR(AD93-IF(VLOOKUP(AC93,'06_Status_Pipeline'!$B$3:$E$20,4,FALSE)="",0,VLOOKUP(AC93,'06_Status_Pipeline'!$B$3:$E$20,4,FALSE)),""))</t>
        </is>
      </c>
      <c r="AG93" s="42" t="inlineStr">
        <is>
          <t>IF(F93="","",IF(OR(AA93="Cancelled",AC93="Cancelled"),"Cancelled",IF(OR(AC93="Completed / Handover",Y93&lt;&gt;"",Z93&gt;=100),"Completed — on track",IF(O93="Not awarded",IF(U93="",IF(X93="","No planned date",IF(TODAY()&gt;X93,"Behind — past planned date",IF(X93-TODAY()&lt;=30,"At risk — close to off track","On track"))),IF(TODAY()&gt;U93,"Behind — award date passed",IF(U93-TODAY()&lt;=30,"At risk — close to off track","On track"))),IF(X93="","No planned date",IF(AND(TODAY()&gt;X93,OR(Z93="",Z93&lt;100)),"Behind — past end date",IF(AND(T93&lt;&gt;"",X93&lt;&gt;"",Z93&lt;&gt;"",(Z93&lt;100),((TODAY()-T93)/MAX(X93-T93,1)*100)-Z93&gt;15),"Behind — progress lag",IF(AND(X93-TODAY()&lt;=30,X93-TODAY()&gt;=0,OR(Z93="",Z93&lt;90)),"At risk — close to off track","On track"))))))))</t>
        </is>
      </c>
      <c r="AH93" s="49" t="inlineStr">
        <is>
          <t>IF(OR(F93="",AC93="Completed / Handover",AC93="Cancelled"),"",IF(O93="Not awarded",IF(U93&lt;&gt;"",U93-TODAY(),IF(X93="","",X93-TODAY())),IF(X93="","",X93-TODAY())))</t>
        </is>
      </c>
      <c r="AI93" s="47" t="n"/>
      <c r="AJ93" s="47" t="n"/>
      <c r="AK93" s="47" t="n"/>
      <c r="AL93" s="47" t="n"/>
      <c r="AM93" s="47" t="n"/>
      <c r="AN93" s="47" t="n"/>
      <c r="AO93" s="47" t="n"/>
      <c r="AP93" s="47" t="n"/>
      <c r="AQ93" s="47" t="n"/>
      <c r="AR93" s="47" t="n"/>
      <c r="AS93" s="47" t="n"/>
      <c r="AT93" s="50" t="n"/>
      <c r="AU93" s="50" t="n"/>
      <c r="AV93" s="50" t="n"/>
      <c r="AW93" s="49" t="inlineStr">
        <is>
          <t>IF(OR(F93="",AJ93=""),"",IF(COUNT(AI93:AI93)=0,"",AJ93-LOOKUP(2,1/(AI93:AI93&lt;&gt;""),AI93:AI93)))</t>
        </is>
      </c>
      <c r="AX93" s="49" t="inlineStr">
        <is>
          <t>IF(OR(F93="",AK93=""),"",IF(COUNT(AI93:AJ93)=0,"",AK93-LOOKUP(2,1/(AI93:AJ93&lt;&gt;""),AI93:AJ93)))</t>
        </is>
      </c>
      <c r="AY93" s="49" t="inlineStr">
        <is>
          <t>IF(OR(F93="",AL93=""),"",IF(COUNT(AI93:AK93)=0,"",AL93-LOOKUP(2,1/(AI93:AK93&lt;&gt;""),AI93:AK93)))</t>
        </is>
      </c>
      <c r="AZ93" s="49" t="inlineStr">
        <is>
          <t>IF(OR(F93="",AM93=""),"",IF(COUNT(AI93:AL93)=0,"",AM93-LOOKUP(2,1/(AI93:AL93&lt;&gt;""),AI93:AL93)))</t>
        </is>
      </c>
      <c r="BA93" s="49" t="inlineStr">
        <is>
          <t>IF(OR(F93="",AN93=""),"",IF(COUNT(AI93:AM93)=0,"",AN93-LOOKUP(2,1/(AI93:AM93&lt;&gt;""),AI93:AM93)))</t>
        </is>
      </c>
      <c r="BB93" s="49" t="inlineStr">
        <is>
          <t>IF(OR(F93="",AO93=""),"",IF(COUNT(AI93:AN93)=0,"",AO93-LOOKUP(2,1/(AI93:AN93&lt;&gt;""),AI93:AN93)))</t>
        </is>
      </c>
      <c r="BC93" s="49" t="inlineStr">
        <is>
          <t>IF(OR(F93="",AP93=""),"",IF(COUNT(AI93:AO93)=0,"",AP93-LOOKUP(2,1/(AI93:AO93&lt;&gt;""),AI93:AO93)))</t>
        </is>
      </c>
      <c r="BD93" s="49" t="inlineStr">
        <is>
          <t>IF(OR(F93="",AQ93=""),"",IF(COUNT(AI93:AP93)=0,"",AQ93-LOOKUP(2,1/(AI93:AP93&lt;&gt;""),AI93:AP93)))</t>
        </is>
      </c>
      <c r="BE93" s="49" t="inlineStr">
        <is>
          <t>IF(OR(F93="",AR93=""),"",IF(COUNT(AI93:AQ93)=0,"",AR93-LOOKUP(2,1/(AI93:AQ93&lt;&gt;""),AI93:AQ93)))</t>
        </is>
      </c>
      <c r="BF93" s="49" t="inlineStr">
        <is>
          <t>IF(OR(F93="",AS93=""),"",IF(COUNT(AI93:AR93)=0,"",AS93-LOOKUP(2,1/(AI93:AR93&lt;&gt;""),AI93:AR93)))</t>
        </is>
      </c>
      <c r="BG93" s="49" t="inlineStr">
        <is>
          <t>IF(OR(F93="",AT93=""),"",IF(COUNT(AI93:AS93)=0,"",AT93-LOOKUP(2,1/(AI93:AS93&lt;&gt;""),AI93:AS93)))</t>
        </is>
      </c>
      <c r="BH93" s="49" t="inlineStr">
        <is>
          <t>IF(OR(F93="",AU93=""),"",IF(COUNT(AI93:AT93)=0,"",AU93-LOOKUP(2,1/(AI93:AT93&lt;&gt;""),AI93:AT93)))</t>
        </is>
      </c>
      <c r="BI93" s="49" t="inlineStr">
        <is>
          <t>IF(OR(F93="",AV93=""),"",IF(COUNT(AI93:AU93)=0,"",AV93-LOOKUP(2,1/(AI93:AU93&lt;&gt;""),AI93:AU93)))</t>
        </is>
      </c>
      <c r="BJ93" s="51" t="inlineStr">
        <is>
          <t>IF(J93="","All_Provinces",IFERROR(VLOOKUP(J93,'09_Lookups'!$A$4:$B$20,2,FALSE),"All_Provinces"))</t>
        </is>
      </c>
      <c r="BK93" s="51" t="inlineStr">
        <is>
          <t>IF(K93="","All_Districts",IFERROR(VLOOKUP(K93,'09_Lookups'!$E$4:$F$42,2,FALSE),"All_Districts"))</t>
        </is>
      </c>
    </row>
    <row r="94" outlineLevel="1" ht="18" customHeight="1">
      <c r="A94" s="42" t="inlineStr">
        <is>
          <t>IF(F94="","",ROW()-3)</t>
        </is>
      </c>
      <c r="B94" s="61" t="inlineStr">
        <is>
          <t>AF2-DIS-04</t>
        </is>
      </c>
      <c r="C94" s="61" t="inlineStr">
        <is>
          <t>Package #4-WBK/AF2 DIS: Demonstration of 12 Drip irrigation schemes at 4 district sites of 1. Miramor, 2. Shahristan, 3.Nilli, and 4.Sayghan in Daykundi and Bamyan provinces</t>
        </is>
      </c>
      <c r="D94" s="61" t="inlineStr">
        <is>
          <t>12 of 12</t>
        </is>
      </c>
      <c r="E94" s="52" t="inlineStr">
        <is>
          <t>AF2-DIS-N-052</t>
        </is>
      </c>
      <c r="F94" s="52" t="inlineStr">
        <is>
          <t>Sorkh Nawor Drip Irrigation</t>
        </is>
      </c>
      <c r="G94" s="52" t="inlineStr">
        <is>
          <t>Drip Irrigation</t>
        </is>
      </c>
      <c r="H94" s="52" t="inlineStr">
        <is>
          <t>Drip Irrigation Plot</t>
        </is>
      </c>
      <c r="I94" s="52" t="inlineStr">
        <is>
          <t>Emergency Food Security Project (EFSP) – WBK/AF-2</t>
        </is>
      </c>
      <c r="J94" s="52" t="inlineStr">
        <is>
          <t>Central Highland / Bamyan</t>
        </is>
      </c>
      <c r="K94" s="52" t="inlineStr">
        <is>
          <t>Daykundi</t>
        </is>
      </c>
      <c r="L94" s="52" t="inlineStr"/>
      <c r="M94" s="52" t="inlineStr">
        <is>
          <t>Sorkh Nawor</t>
        </is>
      </c>
      <c r="N94" s="52" t="inlineStr">
        <is>
          <t>World Bank (WBK/AF-2)</t>
        </is>
      </c>
      <c r="O94" s="52" t="inlineStr">
        <is>
          <t>Not awarded</t>
        </is>
      </c>
      <c r="P94" s="52" t="inlineStr">
        <is>
          <t>5. Drip Irrigation systems</t>
        </is>
      </c>
      <c r="Q94" s="52" t="inlineStr">
        <is>
          <t>Reza</t>
        </is>
      </c>
      <c r="R94" s="52" t="inlineStr"/>
      <c r="S94" s="53" t="n">
        <v>5564.4</v>
      </c>
      <c r="T94" s="46" t="inlineStr">
        <is>
          <t>IF(AQ94="","",AQ94)</t>
        </is>
      </c>
      <c r="U94" s="54" t="n">
        <v>46376</v>
      </c>
      <c r="V94" s="55" t="n">
        <v>6.2</v>
      </c>
      <c r="W94" s="54" t="n">
        <v>46566</v>
      </c>
      <c r="X94" s="46" t="inlineStr">
        <is>
          <t>IF(W94&lt;&gt;"",W94,IF(OR(T94="",V94=""),"",EDATE(T94,V94)))</t>
        </is>
      </c>
      <c r="Y94" s="54" t="n"/>
      <c r="Z94" s="55" t="n"/>
      <c r="AA94" s="52" t="inlineStr">
        <is>
          <t>Retendered (Re-ITB)</t>
        </is>
      </c>
      <c r="AB94" s="52" t="inlineStr">
        <is>
          <t>Slack period up to end March. Four months construction period starting from April 2026. | Farmer: Reza</t>
        </is>
      </c>
      <c r="AC94" s="42" t="inlineStr">
        <is>
          <t>IF(F94="","",IF(COUNT(AI94:AV94)=0,IF(AA94="","Not started",AA94),SUBSTITUTE(LOOKUP(2,1/(AI94:AV94&lt;&gt;""),$AI$3:$AV$3),"Date: ","")))</t>
        </is>
      </c>
      <c r="AD94" s="49" t="inlineStr">
        <is>
          <t>IF(OR(F94="",COUNT(AI94:AV94)=0),"",TODAY()-LOOKUP(2,1/(AI94:AV94&lt;&gt;""),AI94:AV94))</t>
        </is>
      </c>
      <c r="AE94" s="49" t="inlineStr">
        <is>
          <t>IF(OR(F94="",COUNT(AI94:AV94)&lt;2),"",LOOKUP(2,1/(AI94:AV94&lt;&gt;""),AI94:AV94)-MIN(AI94:AV94))</t>
        </is>
      </c>
      <c r="AF94" s="49" t="inlineStr">
        <is>
          <t>IF(OR(AD94="",AC94="Not started",AC94=""),"",IFERROR(AD94-IF(VLOOKUP(AC94,'06_Status_Pipeline'!$B$3:$E$20,4,FALSE)="",0,VLOOKUP(AC94,'06_Status_Pipeline'!$B$3:$E$20,4,FALSE)),""))</t>
        </is>
      </c>
      <c r="AG94" s="42" t="inlineStr">
        <is>
          <t>IF(F94="","",IF(OR(AA94="Cancelled",AC94="Cancelled"),"Cancelled",IF(OR(AC94="Completed / Handover",Y94&lt;&gt;"",Z94&gt;=100),"Completed — on track",IF(O94="Not awarded",IF(U94="",IF(X94="","No planned date",IF(TODAY()&gt;X94,"Behind — past planned date",IF(X94-TODAY()&lt;=30,"At risk — close to off track","On track"))),IF(TODAY()&gt;U94,"Behind — award date passed",IF(U94-TODAY()&lt;=30,"At risk — close to off track","On track"))),IF(X94="","No planned date",IF(AND(TODAY()&gt;X94,OR(Z94="",Z94&lt;100)),"Behind — past end date",IF(AND(T94&lt;&gt;"",X94&lt;&gt;"",Z94&lt;&gt;"",(Z94&lt;100),((TODAY()-T94)/MAX(X94-T94,1)*100)-Z94&gt;15),"Behind — progress lag",IF(AND(X94-TODAY()&lt;=30,X94-TODAY()&gt;=0,OR(Z94="",Z94&lt;90)),"At risk — close to off track","On track"))))))))</t>
        </is>
      </c>
      <c r="AH94" s="49" t="inlineStr">
        <is>
          <t>IF(OR(F94="",AC94="Completed / Handover",AC94="Cancelled"),"",IF(O94="Not awarded",IF(U94&lt;&gt;"",U94-TODAY(),IF(X94="","",X94-TODAY())),IF(X94="","",X94-TODAY())))</t>
        </is>
      </c>
      <c r="AI94" s="54" t="n"/>
      <c r="AJ94" s="54" t="n"/>
      <c r="AK94" s="54" t="n"/>
      <c r="AL94" s="54" t="n"/>
      <c r="AM94" s="54" t="n"/>
      <c r="AN94" s="54" t="n"/>
      <c r="AO94" s="54" t="n"/>
      <c r="AP94" s="54" t="n"/>
      <c r="AQ94" s="54" t="n"/>
      <c r="AR94" s="54" t="n"/>
      <c r="AS94" s="54" t="n"/>
      <c r="AT94" s="50" t="n"/>
      <c r="AU94" s="50" t="n"/>
      <c r="AV94" s="50" t="n"/>
      <c r="AW94" s="49" t="inlineStr">
        <is>
          <t>IF(OR(F94="",AJ94=""),"",IF(COUNT(AI94:AI94)=0,"",AJ94-LOOKUP(2,1/(AI94:AI94&lt;&gt;""),AI94:AI94)))</t>
        </is>
      </c>
      <c r="AX94" s="49" t="inlineStr">
        <is>
          <t>IF(OR(F94="",AK94=""),"",IF(COUNT(AI94:AJ94)=0,"",AK94-LOOKUP(2,1/(AI94:AJ94&lt;&gt;""),AI94:AJ94)))</t>
        </is>
      </c>
      <c r="AY94" s="49" t="inlineStr">
        <is>
          <t>IF(OR(F94="",AL94=""),"",IF(COUNT(AI94:AK94)=0,"",AL94-LOOKUP(2,1/(AI94:AK94&lt;&gt;""),AI94:AK94)))</t>
        </is>
      </c>
      <c r="AZ94" s="49" t="inlineStr">
        <is>
          <t>IF(OR(F94="",AM94=""),"",IF(COUNT(AI94:AL94)=0,"",AM94-LOOKUP(2,1/(AI94:AL94&lt;&gt;""),AI94:AL94)))</t>
        </is>
      </c>
      <c r="BA94" s="49" t="inlineStr">
        <is>
          <t>IF(OR(F94="",AN94=""),"",IF(COUNT(AI94:AM94)=0,"",AN94-LOOKUP(2,1/(AI94:AM94&lt;&gt;""),AI94:AM94)))</t>
        </is>
      </c>
      <c r="BB94" s="49" t="inlineStr">
        <is>
          <t>IF(OR(F94="",AO94=""),"",IF(COUNT(AI94:AN94)=0,"",AO94-LOOKUP(2,1/(AI94:AN94&lt;&gt;""),AI94:AN94)))</t>
        </is>
      </c>
      <c r="BC94" s="49" t="inlineStr">
        <is>
          <t>IF(OR(F94="",AP94=""),"",IF(COUNT(AI94:AO94)=0,"",AP94-LOOKUP(2,1/(AI94:AO94&lt;&gt;""),AI94:AO94)))</t>
        </is>
      </c>
      <c r="BD94" s="49" t="inlineStr">
        <is>
          <t>IF(OR(F94="",AQ94=""),"",IF(COUNT(AI94:AP94)=0,"",AQ94-LOOKUP(2,1/(AI94:AP94&lt;&gt;""),AI94:AP94)))</t>
        </is>
      </c>
      <c r="BE94" s="49" t="inlineStr">
        <is>
          <t>IF(OR(F94="",AR94=""),"",IF(COUNT(AI94:AQ94)=0,"",AR94-LOOKUP(2,1/(AI94:AQ94&lt;&gt;""),AI94:AQ94)))</t>
        </is>
      </c>
      <c r="BF94" s="49" t="inlineStr">
        <is>
          <t>IF(OR(F94="",AS94=""),"",IF(COUNT(AI94:AR94)=0,"",AS94-LOOKUP(2,1/(AI94:AR94&lt;&gt;""),AI94:AR94)))</t>
        </is>
      </c>
      <c r="BG94" s="49" t="inlineStr">
        <is>
          <t>IF(OR(F94="",AT94=""),"",IF(COUNT(AI94:AS94)=0,"",AT94-LOOKUP(2,1/(AI94:AS94&lt;&gt;""),AI94:AS94)))</t>
        </is>
      </c>
      <c r="BH94" s="49" t="inlineStr">
        <is>
          <t>IF(OR(F94="",AU94=""),"",IF(COUNT(AI94:AT94)=0,"",AU94-LOOKUP(2,1/(AI94:AT94&lt;&gt;""),AI94:AT94)))</t>
        </is>
      </c>
      <c r="BI94" s="49" t="inlineStr">
        <is>
          <t>IF(OR(F94="",AV94=""),"",IF(COUNT(AI94:AU94)=0,"",AV94-LOOKUP(2,1/(AI94:AU94&lt;&gt;""),AI94:AU94)))</t>
        </is>
      </c>
      <c r="BJ94" s="51" t="inlineStr">
        <is>
          <t>IF(J94="","All_Provinces",IFERROR(VLOOKUP(J94,'09_Lookups'!$A$4:$B$20,2,FALSE),"All_Provinces"))</t>
        </is>
      </c>
      <c r="BK94" s="51" t="inlineStr">
        <is>
          <t>IF(K94="","All_Districts",IFERROR(VLOOKUP(K94,'09_Lookups'!$E$4:$F$42,2,FALSE),"All_Districts"))</t>
        </is>
      </c>
    </row>
    <row r="95" ht="18" customHeight="1">
      <c r="A95" s="32" t="inlineStr">
        <is>
          <t>IF(F95="","",ROW()-3)</t>
        </is>
      </c>
      <c r="B95" s="62" t="inlineStr">
        <is>
          <t>AF2-DIS-05</t>
        </is>
      </c>
      <c r="C95" s="62"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95" s="62" t="inlineStr">
        <is>
          <t>1 of 15</t>
        </is>
      </c>
      <c r="E95" s="57" t="inlineStr">
        <is>
          <t>AF2-DIS-N-053</t>
        </is>
      </c>
      <c r="F95" s="57" t="inlineStr">
        <is>
          <t>Agriculture Research Drip Irrigation scheme</t>
        </is>
      </c>
      <c r="G95" s="57" t="inlineStr">
        <is>
          <t>Drip Irrigation</t>
        </is>
      </c>
      <c r="H95" s="57" t="inlineStr">
        <is>
          <t>Drip Irrigation Plot</t>
        </is>
      </c>
      <c r="I95" s="57" t="inlineStr">
        <is>
          <t>Emergency Food Security Project (EFSP) – WBK/AF-2</t>
        </is>
      </c>
      <c r="J95" s="57" t="inlineStr">
        <is>
          <t>Southeast / Gardez</t>
        </is>
      </c>
      <c r="K95" s="57" t="inlineStr">
        <is>
          <t>Khost</t>
        </is>
      </c>
      <c r="L95" s="57" t="inlineStr">
        <is>
          <t>Matoon</t>
        </is>
      </c>
      <c r="M95" s="57" t="inlineStr">
        <is>
          <t>Agriculture Feseach Farm</t>
        </is>
      </c>
      <c r="N95" s="57" t="inlineStr">
        <is>
          <t>World Bank (WBK/AF-2)</t>
        </is>
      </c>
      <c r="O95" s="57" t="inlineStr">
        <is>
          <t>Not awarded</t>
        </is>
      </c>
      <c r="P95" s="57" t="inlineStr">
        <is>
          <t>5. Drip Irrigation systems</t>
        </is>
      </c>
      <c r="Q95" s="57" t="inlineStr">
        <is>
          <t>Hazrat Wali</t>
        </is>
      </c>
      <c r="R95" s="57" t="inlineStr"/>
      <c r="S95" s="58" t="n"/>
      <c r="T95" s="36" t="inlineStr">
        <is>
          <t>IF(AQ95="","",AQ95)</t>
        </is>
      </c>
      <c r="U95" s="59" t="n">
        <v>46381</v>
      </c>
      <c r="V95" s="60" t="n">
        <v>6.2</v>
      </c>
      <c r="W95" s="59" t="n">
        <v>46571</v>
      </c>
      <c r="X95" s="36" t="inlineStr">
        <is>
          <t>IF(W95&lt;&gt;"",W95,IF(OR(T95="",V95=""),"",EDATE(T95,V95)))</t>
        </is>
      </c>
      <c r="Y95" s="59" t="n"/>
      <c r="Z95" s="60" t="n"/>
      <c r="AA95" s="57" t="inlineStr">
        <is>
          <t>Retendered (Re-ITB)</t>
        </is>
      </c>
      <c r="AB95" s="57" t="inlineStr">
        <is>
          <t>Slack period up to end March. Four months construction period starting from April 2026. | Farmer: Hazrat Wali</t>
        </is>
      </c>
      <c r="AC95" s="32" t="inlineStr">
        <is>
          <t>IF(F95="","",IF(COUNT(AI95:AV95)=0,IF(AA95="","Not started",AA95),SUBSTITUTE(LOOKUP(2,1/(AI95:AV95&lt;&gt;""),$AI$3:$AV$3),"Date: ","")))</t>
        </is>
      </c>
      <c r="AD95" s="39" t="inlineStr">
        <is>
          <t>IF(OR(F95="",COUNT(AI95:AV95)=0),"",TODAY()-LOOKUP(2,1/(AI95:AV95&lt;&gt;""),AI95:AV95))</t>
        </is>
      </c>
      <c r="AE95" s="39" t="inlineStr">
        <is>
          <t>IF(OR(F95="",COUNT(AI95:AV95)&lt;2),"",LOOKUP(2,1/(AI95:AV95&lt;&gt;""),AI95:AV95)-MIN(AI95:AV95))</t>
        </is>
      </c>
      <c r="AF95" s="39" t="inlineStr">
        <is>
          <t>IF(OR(AD95="",AC95="Not started",AC95=""),"",IFERROR(AD95-IF(VLOOKUP(AC95,'06_Status_Pipeline'!$B$3:$E$20,4,FALSE)="",0,VLOOKUP(AC95,'06_Status_Pipeline'!$B$3:$E$20,4,FALSE)),""))</t>
        </is>
      </c>
      <c r="AG95" s="32" t="inlineStr">
        <is>
          <t>IF(F95="","",IF(OR(AA95="Cancelled",AC95="Cancelled"),"Cancelled",IF(OR(AC95="Completed / Handover",Y95&lt;&gt;"",Z95&gt;=100),"Completed — on track",IF(O95="Not awarded",IF(U95="",IF(X95="","No planned date",IF(TODAY()&gt;X95,"Behind — past planned date",IF(X95-TODAY()&lt;=30,"At risk — close to off track","On track"))),IF(TODAY()&gt;U95,"Behind — award date passed",IF(U95-TODAY()&lt;=30,"At risk — close to off track","On track"))),IF(X95="","No planned date",IF(AND(TODAY()&gt;X95,OR(Z95="",Z95&lt;100)),"Behind — past end date",IF(AND(T95&lt;&gt;"",X95&lt;&gt;"",Z95&lt;&gt;"",(Z95&lt;100),((TODAY()-T95)/MAX(X95-T95,1)*100)-Z95&gt;15),"Behind — progress lag",IF(AND(X95-TODAY()&lt;=30,X95-TODAY()&gt;=0,OR(Z95="",Z95&lt;90)),"At risk — close to off track","On track"))))))))</t>
        </is>
      </c>
      <c r="AH95" s="39" t="inlineStr">
        <is>
          <t>IF(OR(F95="",AC95="Completed / Handover",AC95="Cancelled"),"",IF(O95="Not awarded",IF(U95&lt;&gt;"",U95-TODAY(),IF(X95="","",X95-TODAY())),IF(X95="","",X95-TODAY())))</t>
        </is>
      </c>
      <c r="AI95" s="59" t="n"/>
      <c r="AJ95" s="59" t="n"/>
      <c r="AK95" s="59" t="n"/>
      <c r="AL95" s="59" t="n"/>
      <c r="AM95" s="59" t="n"/>
      <c r="AN95" s="59" t="n"/>
      <c r="AO95" s="59" t="n"/>
      <c r="AP95" s="59" t="n"/>
      <c r="AQ95" s="59" t="n"/>
      <c r="AR95" s="59" t="n"/>
      <c r="AS95" s="59" t="n"/>
      <c r="AT95" s="40" t="n"/>
      <c r="AU95" s="40" t="n"/>
      <c r="AV95" s="40" t="n"/>
      <c r="AW95" s="39" t="inlineStr">
        <is>
          <t>IF(OR(F95="",AJ95=""),"",IF(COUNT(AI95:AI95)=0,"",AJ95-LOOKUP(2,1/(AI95:AI95&lt;&gt;""),AI95:AI95)))</t>
        </is>
      </c>
      <c r="AX95" s="39" t="inlineStr">
        <is>
          <t>IF(OR(F95="",AK95=""),"",IF(COUNT(AI95:AJ95)=0,"",AK95-LOOKUP(2,1/(AI95:AJ95&lt;&gt;""),AI95:AJ95)))</t>
        </is>
      </c>
      <c r="AY95" s="39" t="inlineStr">
        <is>
          <t>IF(OR(F95="",AL95=""),"",IF(COUNT(AI95:AK95)=0,"",AL95-LOOKUP(2,1/(AI95:AK95&lt;&gt;""),AI95:AK95)))</t>
        </is>
      </c>
      <c r="AZ95" s="39" t="inlineStr">
        <is>
          <t>IF(OR(F95="",AM95=""),"",IF(COUNT(AI95:AL95)=0,"",AM95-LOOKUP(2,1/(AI95:AL95&lt;&gt;""),AI95:AL95)))</t>
        </is>
      </c>
      <c r="BA95" s="39" t="inlineStr">
        <is>
          <t>IF(OR(F95="",AN95=""),"",IF(COUNT(AI95:AM95)=0,"",AN95-LOOKUP(2,1/(AI95:AM95&lt;&gt;""),AI95:AM95)))</t>
        </is>
      </c>
      <c r="BB95" s="39" t="inlineStr">
        <is>
          <t>IF(OR(F95="",AO95=""),"",IF(COUNT(AI95:AN95)=0,"",AO95-LOOKUP(2,1/(AI95:AN95&lt;&gt;""),AI95:AN95)))</t>
        </is>
      </c>
      <c r="BC95" s="39" t="inlineStr">
        <is>
          <t>IF(OR(F95="",AP95=""),"",IF(COUNT(AI95:AO95)=0,"",AP95-LOOKUP(2,1/(AI95:AO95&lt;&gt;""),AI95:AO95)))</t>
        </is>
      </c>
      <c r="BD95" s="39" t="inlineStr">
        <is>
          <t>IF(OR(F95="",AQ95=""),"",IF(COUNT(AI95:AP95)=0,"",AQ95-LOOKUP(2,1/(AI95:AP95&lt;&gt;""),AI95:AP95)))</t>
        </is>
      </c>
      <c r="BE95" s="39" t="inlineStr">
        <is>
          <t>IF(OR(F95="",AR95=""),"",IF(COUNT(AI95:AQ95)=0,"",AR95-LOOKUP(2,1/(AI95:AQ95&lt;&gt;""),AI95:AQ95)))</t>
        </is>
      </c>
      <c r="BF95" s="39" t="inlineStr">
        <is>
          <t>IF(OR(F95="",AS95=""),"",IF(COUNT(AI95:AR95)=0,"",AS95-LOOKUP(2,1/(AI95:AR95&lt;&gt;""),AI95:AR95)))</t>
        </is>
      </c>
      <c r="BG95" s="39" t="inlineStr">
        <is>
          <t>IF(OR(F95="",AT95=""),"",IF(COUNT(AI95:AS95)=0,"",AT95-LOOKUP(2,1/(AI95:AS95&lt;&gt;""),AI95:AS95)))</t>
        </is>
      </c>
      <c r="BH95" s="39" t="inlineStr">
        <is>
          <t>IF(OR(F95="",AU95=""),"",IF(COUNT(AI95:AT95)=0,"",AU95-LOOKUP(2,1/(AI95:AT95&lt;&gt;""),AI95:AT95)))</t>
        </is>
      </c>
      <c r="BI95" s="39" t="inlineStr">
        <is>
          <t>IF(OR(F95="",AV95=""),"",IF(COUNT(AI95:AU95)=0,"",AV95-LOOKUP(2,1/(AI95:AU95&lt;&gt;""),AI95:AU95)))</t>
        </is>
      </c>
      <c r="BJ95" s="41" t="inlineStr">
        <is>
          <t>IF(J95="","All_Provinces",IFERROR(VLOOKUP(J95,'09_Lookups'!$A$4:$B$20,2,FALSE),"All_Provinces"))</t>
        </is>
      </c>
      <c r="BK95" s="41" t="inlineStr">
        <is>
          <t>IF(K95="","All_Districts",IFERROR(VLOOKUP(K95,'09_Lookups'!$E$4:$F$42,2,FALSE),"All_Districts"))</t>
        </is>
      </c>
    </row>
    <row r="96" outlineLevel="1" ht="18" customHeight="1">
      <c r="A96" s="42" t="inlineStr">
        <is>
          <t>IF(F96="","",ROW()-3)</t>
        </is>
      </c>
      <c r="B96" s="63" t="inlineStr">
        <is>
          <t>AF2-DIS-05</t>
        </is>
      </c>
      <c r="C96"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96" s="63" t="inlineStr">
        <is>
          <t>2 of 15</t>
        </is>
      </c>
      <c r="E96" s="52" t="inlineStr">
        <is>
          <t>AF2-DIS-N-054</t>
        </is>
      </c>
      <c r="F96" s="52" t="inlineStr">
        <is>
          <t>Basana Drip irrigation Scheme</t>
        </is>
      </c>
      <c r="G96" s="52" t="inlineStr">
        <is>
          <t>Drip Irrigation</t>
        </is>
      </c>
      <c r="H96" s="52" t="inlineStr">
        <is>
          <t>Drip Irrigation Plot</t>
        </is>
      </c>
      <c r="I96" s="52" t="inlineStr">
        <is>
          <t>Emergency Food Security Project (EFSP) – WBK/AF-2</t>
        </is>
      </c>
      <c r="J96" s="52" t="inlineStr">
        <is>
          <t>Southeast / Gardez</t>
        </is>
      </c>
      <c r="K96" s="52" t="inlineStr">
        <is>
          <t>Ghazni</t>
        </is>
      </c>
      <c r="L96" s="52" t="inlineStr">
        <is>
          <t>Andar</t>
        </is>
      </c>
      <c r="M96" s="52" t="inlineStr">
        <is>
          <t>Basana</t>
        </is>
      </c>
      <c r="N96" s="52" t="inlineStr">
        <is>
          <t>World Bank (WBK/AF-2)</t>
        </is>
      </c>
      <c r="O96" s="52" t="inlineStr">
        <is>
          <t>Not awarded</t>
        </is>
      </c>
      <c r="P96" s="52" t="inlineStr">
        <is>
          <t>5. Drip Irrigation systems</t>
        </is>
      </c>
      <c r="Q96" s="52" t="inlineStr">
        <is>
          <t>Mohammad Naim</t>
        </is>
      </c>
      <c r="R96" s="52" t="inlineStr"/>
      <c r="S96" s="53" t="n"/>
      <c r="T96" s="46" t="inlineStr">
        <is>
          <t>IF(AQ96="","",AQ96)</t>
        </is>
      </c>
      <c r="U96" s="54" t="n">
        <v>46381</v>
      </c>
      <c r="V96" s="55" t="n">
        <v>6.2</v>
      </c>
      <c r="W96" s="54" t="n">
        <v>46571</v>
      </c>
      <c r="X96" s="46" t="inlineStr">
        <is>
          <t>IF(W96&lt;&gt;"",W96,IF(OR(T96="",V96=""),"",EDATE(T96,V96)))</t>
        </is>
      </c>
      <c r="Y96" s="54" t="n"/>
      <c r="Z96" s="55" t="n"/>
      <c r="AA96" s="52" t="inlineStr">
        <is>
          <t>Retendered (Re-ITB)</t>
        </is>
      </c>
      <c r="AB96" s="52" t="inlineStr">
        <is>
          <t>Slack period up to end March. Four months construction period starting from April 2026. | Farmer: Mohammad Naim</t>
        </is>
      </c>
      <c r="AC96" s="42" t="inlineStr">
        <is>
          <t>IF(F96="","",IF(COUNT(AI96:AV96)=0,IF(AA96="","Not started",AA96),SUBSTITUTE(LOOKUP(2,1/(AI96:AV96&lt;&gt;""),$AI$3:$AV$3),"Date: ","")))</t>
        </is>
      </c>
      <c r="AD96" s="49" t="inlineStr">
        <is>
          <t>IF(OR(F96="",COUNT(AI96:AV96)=0),"",TODAY()-LOOKUP(2,1/(AI96:AV96&lt;&gt;""),AI96:AV96))</t>
        </is>
      </c>
      <c r="AE96" s="49" t="inlineStr">
        <is>
          <t>IF(OR(F96="",COUNT(AI96:AV96)&lt;2),"",LOOKUP(2,1/(AI96:AV96&lt;&gt;""),AI96:AV96)-MIN(AI96:AV96))</t>
        </is>
      </c>
      <c r="AF96" s="49" t="inlineStr">
        <is>
          <t>IF(OR(AD96="",AC96="Not started",AC96=""),"",IFERROR(AD96-IF(VLOOKUP(AC96,'06_Status_Pipeline'!$B$3:$E$20,4,FALSE)="",0,VLOOKUP(AC96,'06_Status_Pipeline'!$B$3:$E$20,4,FALSE)),""))</t>
        </is>
      </c>
      <c r="AG96" s="42" t="inlineStr">
        <is>
          <t>IF(F96="","",IF(OR(AA96="Cancelled",AC96="Cancelled"),"Cancelled",IF(OR(AC96="Completed / Handover",Y96&lt;&gt;"",Z96&gt;=100),"Completed — on track",IF(O96="Not awarded",IF(U96="",IF(X96="","No planned date",IF(TODAY()&gt;X96,"Behind — past planned date",IF(X96-TODAY()&lt;=30,"At risk — close to off track","On track"))),IF(TODAY()&gt;U96,"Behind — award date passed",IF(U96-TODAY()&lt;=30,"At risk — close to off track","On track"))),IF(X96="","No planned date",IF(AND(TODAY()&gt;X96,OR(Z96="",Z96&lt;100)),"Behind — past end date",IF(AND(T96&lt;&gt;"",X96&lt;&gt;"",Z96&lt;&gt;"",(Z96&lt;100),((TODAY()-T96)/MAX(X96-T96,1)*100)-Z96&gt;15),"Behind — progress lag",IF(AND(X96-TODAY()&lt;=30,X96-TODAY()&gt;=0,OR(Z96="",Z96&lt;90)),"At risk — close to off track","On track"))))))))</t>
        </is>
      </c>
      <c r="AH96" s="49" t="inlineStr">
        <is>
          <t>IF(OR(F96="",AC96="Completed / Handover",AC96="Cancelled"),"",IF(O96="Not awarded",IF(U96&lt;&gt;"",U96-TODAY(),IF(X96="","",X96-TODAY())),IF(X96="","",X96-TODAY())))</t>
        </is>
      </c>
      <c r="AI96" s="54" t="n"/>
      <c r="AJ96" s="54" t="n"/>
      <c r="AK96" s="54" t="n"/>
      <c r="AL96" s="54" t="n"/>
      <c r="AM96" s="54" t="n"/>
      <c r="AN96" s="54" t="n"/>
      <c r="AO96" s="54" t="n"/>
      <c r="AP96" s="54" t="n"/>
      <c r="AQ96" s="54" t="n"/>
      <c r="AR96" s="54" t="n"/>
      <c r="AS96" s="54" t="n"/>
      <c r="AT96" s="50" t="n"/>
      <c r="AU96" s="50" t="n"/>
      <c r="AV96" s="50" t="n"/>
      <c r="AW96" s="49" t="inlineStr">
        <is>
          <t>IF(OR(F96="",AJ96=""),"",IF(COUNT(AI96:AI96)=0,"",AJ96-LOOKUP(2,1/(AI96:AI96&lt;&gt;""),AI96:AI96)))</t>
        </is>
      </c>
      <c r="AX96" s="49" t="inlineStr">
        <is>
          <t>IF(OR(F96="",AK96=""),"",IF(COUNT(AI96:AJ96)=0,"",AK96-LOOKUP(2,1/(AI96:AJ96&lt;&gt;""),AI96:AJ96)))</t>
        </is>
      </c>
      <c r="AY96" s="49" t="inlineStr">
        <is>
          <t>IF(OR(F96="",AL96=""),"",IF(COUNT(AI96:AK96)=0,"",AL96-LOOKUP(2,1/(AI96:AK96&lt;&gt;""),AI96:AK96)))</t>
        </is>
      </c>
      <c r="AZ96" s="49" t="inlineStr">
        <is>
          <t>IF(OR(F96="",AM96=""),"",IF(COUNT(AI96:AL96)=0,"",AM96-LOOKUP(2,1/(AI96:AL96&lt;&gt;""),AI96:AL96)))</t>
        </is>
      </c>
      <c r="BA96" s="49" t="inlineStr">
        <is>
          <t>IF(OR(F96="",AN96=""),"",IF(COUNT(AI96:AM96)=0,"",AN96-LOOKUP(2,1/(AI96:AM96&lt;&gt;""),AI96:AM96)))</t>
        </is>
      </c>
      <c r="BB96" s="49" t="inlineStr">
        <is>
          <t>IF(OR(F96="",AO96=""),"",IF(COUNT(AI96:AN96)=0,"",AO96-LOOKUP(2,1/(AI96:AN96&lt;&gt;""),AI96:AN96)))</t>
        </is>
      </c>
      <c r="BC96" s="49" t="inlineStr">
        <is>
          <t>IF(OR(F96="",AP96=""),"",IF(COUNT(AI96:AO96)=0,"",AP96-LOOKUP(2,1/(AI96:AO96&lt;&gt;""),AI96:AO96)))</t>
        </is>
      </c>
      <c r="BD96" s="49" t="inlineStr">
        <is>
          <t>IF(OR(F96="",AQ96=""),"",IF(COUNT(AI96:AP96)=0,"",AQ96-LOOKUP(2,1/(AI96:AP96&lt;&gt;""),AI96:AP96)))</t>
        </is>
      </c>
      <c r="BE96" s="49" t="inlineStr">
        <is>
          <t>IF(OR(F96="",AR96=""),"",IF(COUNT(AI96:AQ96)=0,"",AR96-LOOKUP(2,1/(AI96:AQ96&lt;&gt;""),AI96:AQ96)))</t>
        </is>
      </c>
      <c r="BF96" s="49" t="inlineStr">
        <is>
          <t>IF(OR(F96="",AS96=""),"",IF(COUNT(AI96:AR96)=0,"",AS96-LOOKUP(2,1/(AI96:AR96&lt;&gt;""),AI96:AR96)))</t>
        </is>
      </c>
      <c r="BG96" s="49" t="inlineStr">
        <is>
          <t>IF(OR(F96="",AT96=""),"",IF(COUNT(AI96:AS96)=0,"",AT96-LOOKUP(2,1/(AI96:AS96&lt;&gt;""),AI96:AS96)))</t>
        </is>
      </c>
      <c r="BH96" s="49" t="inlineStr">
        <is>
          <t>IF(OR(F96="",AU96=""),"",IF(COUNT(AI96:AT96)=0,"",AU96-LOOKUP(2,1/(AI96:AT96&lt;&gt;""),AI96:AT96)))</t>
        </is>
      </c>
      <c r="BI96" s="49" t="inlineStr">
        <is>
          <t>IF(OR(F96="",AV96=""),"",IF(COUNT(AI96:AU96)=0,"",AV96-LOOKUP(2,1/(AI96:AU96&lt;&gt;""),AI96:AU96)))</t>
        </is>
      </c>
      <c r="BJ96" s="51" t="inlineStr">
        <is>
          <t>IF(J96="","All_Provinces",IFERROR(VLOOKUP(J96,'09_Lookups'!$A$4:$B$20,2,FALSE),"All_Provinces"))</t>
        </is>
      </c>
      <c r="BK96" s="51" t="inlineStr">
        <is>
          <t>IF(K96="","All_Districts",IFERROR(VLOOKUP(K96,'09_Lookups'!$E$4:$F$42,2,FALSE),"All_Districts"))</t>
        </is>
      </c>
    </row>
    <row r="97" outlineLevel="1" ht="18" customHeight="1">
      <c r="A97" s="42" t="inlineStr">
        <is>
          <t>IF(F97="","",ROW()-3)</t>
        </is>
      </c>
      <c r="B97" s="63" t="inlineStr">
        <is>
          <t>AF2-DIS-05</t>
        </is>
      </c>
      <c r="C97"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97" s="63" t="inlineStr">
        <is>
          <t>3 of 15</t>
        </is>
      </c>
      <c r="E97" s="44" t="inlineStr">
        <is>
          <t>AF2-DIS-N-055</t>
        </is>
      </c>
      <c r="F97" s="44" t="inlineStr">
        <is>
          <t>Dabar Allu Drip Irrigation Scheme</t>
        </is>
      </c>
      <c r="G97" s="44" t="inlineStr">
        <is>
          <t>Drip Irrigation</t>
        </is>
      </c>
      <c r="H97" s="44" t="inlineStr">
        <is>
          <t>Drip Irrigation Plot</t>
        </is>
      </c>
      <c r="I97" s="44" t="inlineStr">
        <is>
          <t>Emergency Food Security Project (EFSP) – WBK/AF-2</t>
        </is>
      </c>
      <c r="J97" s="44" t="inlineStr">
        <is>
          <t>Southeast / Gardez</t>
        </is>
      </c>
      <c r="K97" s="44" t="inlineStr">
        <is>
          <t>Logar</t>
        </is>
      </c>
      <c r="L97" s="44" t="inlineStr">
        <is>
          <t>Charkh</t>
        </is>
      </c>
      <c r="M97" s="44" t="inlineStr">
        <is>
          <t>Dabar Allu</t>
        </is>
      </c>
      <c r="N97" s="44" t="inlineStr">
        <is>
          <t>World Bank (WBK/AF-2)</t>
        </is>
      </c>
      <c r="O97" s="44" t="inlineStr">
        <is>
          <t>Not awarded</t>
        </is>
      </c>
      <c r="P97" s="44" t="inlineStr">
        <is>
          <t>5. Drip Irrigation systems</t>
        </is>
      </c>
      <c r="Q97" s="44" t="inlineStr">
        <is>
          <t>Mohammad Akbar</t>
        </is>
      </c>
      <c r="R97" s="44" t="inlineStr"/>
      <c r="S97" s="45" t="n"/>
      <c r="T97" s="46" t="inlineStr">
        <is>
          <t>IF(AQ97="","",AQ97)</t>
        </is>
      </c>
      <c r="U97" s="47" t="n">
        <v>46381</v>
      </c>
      <c r="V97" s="48" t="n">
        <v>6.2</v>
      </c>
      <c r="W97" s="47" t="n">
        <v>46571</v>
      </c>
      <c r="X97" s="46" t="inlineStr">
        <is>
          <t>IF(W97&lt;&gt;"",W97,IF(OR(T97="",V97=""),"",EDATE(T97,V97)))</t>
        </is>
      </c>
      <c r="Y97" s="47" t="n"/>
      <c r="Z97" s="48" t="n"/>
      <c r="AA97" s="44" t="inlineStr">
        <is>
          <t>Retendered (Re-ITB)</t>
        </is>
      </c>
      <c r="AB97" s="44" t="inlineStr">
        <is>
          <t>Slack period up to end March. Four months construction period starting from April 2026. | Farmer: Mohammad Akbar</t>
        </is>
      </c>
      <c r="AC97" s="42" t="inlineStr">
        <is>
          <t>IF(F97="","",IF(COUNT(AI97:AV97)=0,IF(AA97="","Not started",AA97),SUBSTITUTE(LOOKUP(2,1/(AI97:AV97&lt;&gt;""),$AI$3:$AV$3),"Date: ","")))</t>
        </is>
      </c>
      <c r="AD97" s="49" t="inlineStr">
        <is>
          <t>IF(OR(F97="",COUNT(AI97:AV97)=0),"",TODAY()-LOOKUP(2,1/(AI97:AV97&lt;&gt;""),AI97:AV97))</t>
        </is>
      </c>
      <c r="AE97" s="49" t="inlineStr">
        <is>
          <t>IF(OR(F97="",COUNT(AI97:AV97)&lt;2),"",LOOKUP(2,1/(AI97:AV97&lt;&gt;""),AI97:AV97)-MIN(AI97:AV97))</t>
        </is>
      </c>
      <c r="AF97" s="49" t="inlineStr">
        <is>
          <t>IF(OR(AD97="",AC97="Not started",AC97=""),"",IFERROR(AD97-IF(VLOOKUP(AC97,'06_Status_Pipeline'!$B$3:$E$20,4,FALSE)="",0,VLOOKUP(AC97,'06_Status_Pipeline'!$B$3:$E$20,4,FALSE)),""))</t>
        </is>
      </c>
      <c r="AG97" s="42" t="inlineStr">
        <is>
          <t>IF(F97="","",IF(OR(AA97="Cancelled",AC97="Cancelled"),"Cancelled",IF(OR(AC97="Completed / Handover",Y97&lt;&gt;"",Z97&gt;=100),"Completed — on track",IF(O97="Not awarded",IF(U97="",IF(X97="","No planned date",IF(TODAY()&gt;X97,"Behind — past planned date",IF(X97-TODAY()&lt;=30,"At risk — close to off track","On track"))),IF(TODAY()&gt;U97,"Behind — award date passed",IF(U97-TODAY()&lt;=30,"At risk — close to off track","On track"))),IF(X97="","No planned date",IF(AND(TODAY()&gt;X97,OR(Z97="",Z97&lt;100)),"Behind — past end date",IF(AND(T97&lt;&gt;"",X97&lt;&gt;"",Z97&lt;&gt;"",(Z97&lt;100),((TODAY()-T97)/MAX(X97-T97,1)*100)-Z97&gt;15),"Behind — progress lag",IF(AND(X97-TODAY()&lt;=30,X97-TODAY()&gt;=0,OR(Z97="",Z97&lt;90)),"At risk — close to off track","On track"))))))))</t>
        </is>
      </c>
      <c r="AH97" s="49" t="inlineStr">
        <is>
          <t>IF(OR(F97="",AC97="Completed / Handover",AC97="Cancelled"),"",IF(O97="Not awarded",IF(U97&lt;&gt;"",U97-TODAY(),IF(X97="","",X97-TODAY())),IF(X97="","",X97-TODAY())))</t>
        </is>
      </c>
      <c r="AI97" s="47" t="n"/>
      <c r="AJ97" s="47" t="n"/>
      <c r="AK97" s="47" t="n"/>
      <c r="AL97" s="47" t="n"/>
      <c r="AM97" s="47" t="n"/>
      <c r="AN97" s="47" t="n"/>
      <c r="AO97" s="47" t="n"/>
      <c r="AP97" s="47" t="n"/>
      <c r="AQ97" s="47" t="n"/>
      <c r="AR97" s="47" t="n"/>
      <c r="AS97" s="47" t="n"/>
      <c r="AT97" s="50" t="n"/>
      <c r="AU97" s="50" t="n"/>
      <c r="AV97" s="50" t="n"/>
      <c r="AW97" s="49" t="inlineStr">
        <is>
          <t>IF(OR(F97="",AJ97=""),"",IF(COUNT(AI97:AI97)=0,"",AJ97-LOOKUP(2,1/(AI97:AI97&lt;&gt;""),AI97:AI97)))</t>
        </is>
      </c>
      <c r="AX97" s="49" t="inlineStr">
        <is>
          <t>IF(OR(F97="",AK97=""),"",IF(COUNT(AI97:AJ97)=0,"",AK97-LOOKUP(2,1/(AI97:AJ97&lt;&gt;""),AI97:AJ97)))</t>
        </is>
      </c>
      <c r="AY97" s="49" t="inlineStr">
        <is>
          <t>IF(OR(F97="",AL97=""),"",IF(COUNT(AI97:AK97)=0,"",AL97-LOOKUP(2,1/(AI97:AK97&lt;&gt;""),AI97:AK97)))</t>
        </is>
      </c>
      <c r="AZ97" s="49" t="inlineStr">
        <is>
          <t>IF(OR(F97="",AM97=""),"",IF(COUNT(AI97:AL97)=0,"",AM97-LOOKUP(2,1/(AI97:AL97&lt;&gt;""),AI97:AL97)))</t>
        </is>
      </c>
      <c r="BA97" s="49" t="inlineStr">
        <is>
          <t>IF(OR(F97="",AN97=""),"",IF(COUNT(AI97:AM97)=0,"",AN97-LOOKUP(2,1/(AI97:AM97&lt;&gt;""),AI97:AM97)))</t>
        </is>
      </c>
      <c r="BB97" s="49" t="inlineStr">
        <is>
          <t>IF(OR(F97="",AO97=""),"",IF(COUNT(AI97:AN97)=0,"",AO97-LOOKUP(2,1/(AI97:AN97&lt;&gt;""),AI97:AN97)))</t>
        </is>
      </c>
      <c r="BC97" s="49" t="inlineStr">
        <is>
          <t>IF(OR(F97="",AP97=""),"",IF(COUNT(AI97:AO97)=0,"",AP97-LOOKUP(2,1/(AI97:AO97&lt;&gt;""),AI97:AO97)))</t>
        </is>
      </c>
      <c r="BD97" s="49" t="inlineStr">
        <is>
          <t>IF(OR(F97="",AQ97=""),"",IF(COUNT(AI97:AP97)=0,"",AQ97-LOOKUP(2,1/(AI97:AP97&lt;&gt;""),AI97:AP97)))</t>
        </is>
      </c>
      <c r="BE97" s="49" t="inlineStr">
        <is>
          <t>IF(OR(F97="",AR97=""),"",IF(COUNT(AI97:AQ97)=0,"",AR97-LOOKUP(2,1/(AI97:AQ97&lt;&gt;""),AI97:AQ97)))</t>
        </is>
      </c>
      <c r="BF97" s="49" t="inlineStr">
        <is>
          <t>IF(OR(F97="",AS97=""),"",IF(COUNT(AI97:AR97)=0,"",AS97-LOOKUP(2,1/(AI97:AR97&lt;&gt;""),AI97:AR97)))</t>
        </is>
      </c>
      <c r="BG97" s="49" t="inlineStr">
        <is>
          <t>IF(OR(F97="",AT97=""),"",IF(COUNT(AI97:AS97)=0,"",AT97-LOOKUP(2,1/(AI97:AS97&lt;&gt;""),AI97:AS97)))</t>
        </is>
      </c>
      <c r="BH97" s="49" t="inlineStr">
        <is>
          <t>IF(OR(F97="",AU97=""),"",IF(COUNT(AI97:AT97)=0,"",AU97-LOOKUP(2,1/(AI97:AT97&lt;&gt;""),AI97:AT97)))</t>
        </is>
      </c>
      <c r="BI97" s="49" t="inlineStr">
        <is>
          <t>IF(OR(F97="",AV97=""),"",IF(COUNT(AI97:AU97)=0,"",AV97-LOOKUP(2,1/(AI97:AU97&lt;&gt;""),AI97:AU97)))</t>
        </is>
      </c>
      <c r="BJ97" s="51" t="inlineStr">
        <is>
          <t>IF(J97="","All_Provinces",IFERROR(VLOOKUP(J97,'09_Lookups'!$A$4:$B$20,2,FALSE),"All_Provinces"))</t>
        </is>
      </c>
      <c r="BK97" s="51" t="inlineStr">
        <is>
          <t>IF(K97="","All_Districts",IFERROR(VLOOKUP(K97,'09_Lookups'!$E$4:$F$42,2,FALSE),"All_Districts"))</t>
        </is>
      </c>
    </row>
    <row r="98" outlineLevel="1" ht="18" customHeight="1">
      <c r="A98" s="42" t="inlineStr">
        <is>
          <t>IF(F98="","",ROW()-3)</t>
        </is>
      </c>
      <c r="B98" s="63" t="inlineStr">
        <is>
          <t>AF2-DIS-05</t>
        </is>
      </c>
      <c r="C98"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98" s="63" t="inlineStr">
        <is>
          <t>4 of 15</t>
        </is>
      </c>
      <c r="E98" s="52" t="inlineStr">
        <is>
          <t>AF2-DIS-N-056</t>
        </is>
      </c>
      <c r="F98" s="52" t="inlineStr">
        <is>
          <t>Deyak Drip Irrigation Scheme</t>
        </is>
      </c>
      <c r="G98" s="52" t="inlineStr">
        <is>
          <t>Drip Irrigation</t>
        </is>
      </c>
      <c r="H98" s="52" t="inlineStr">
        <is>
          <t>Drip Irrigation Plot</t>
        </is>
      </c>
      <c r="I98" s="52" t="inlineStr">
        <is>
          <t>Emergency Food Security Project (EFSP) – WBK/AF-2</t>
        </is>
      </c>
      <c r="J98" s="52" t="inlineStr">
        <is>
          <t>Southeast / Gardez</t>
        </is>
      </c>
      <c r="K98" s="52" t="inlineStr">
        <is>
          <t>Ghazni</t>
        </is>
      </c>
      <c r="L98" s="52" t="inlineStr">
        <is>
          <t>Deyak</t>
        </is>
      </c>
      <c r="M98" s="52" t="inlineStr">
        <is>
          <t>Ramaki</t>
        </is>
      </c>
      <c r="N98" s="52" t="inlineStr">
        <is>
          <t>World Bank (WBK/AF-2)</t>
        </is>
      </c>
      <c r="O98" s="52" t="inlineStr">
        <is>
          <t>Not awarded</t>
        </is>
      </c>
      <c r="P98" s="52" t="inlineStr">
        <is>
          <t>5. Drip Irrigation systems</t>
        </is>
      </c>
      <c r="Q98" s="52" t="inlineStr">
        <is>
          <t>Naser Khan</t>
        </is>
      </c>
      <c r="R98" s="52" t="inlineStr"/>
      <c r="S98" s="53" t="n"/>
      <c r="T98" s="46" t="inlineStr">
        <is>
          <t>IF(AQ98="","",AQ98)</t>
        </is>
      </c>
      <c r="U98" s="54" t="n">
        <v>46381</v>
      </c>
      <c r="V98" s="55" t="n">
        <v>6.2</v>
      </c>
      <c r="W98" s="54" t="n">
        <v>46571</v>
      </c>
      <c r="X98" s="46" t="inlineStr">
        <is>
          <t>IF(W98&lt;&gt;"",W98,IF(OR(T98="",V98=""),"",EDATE(T98,V98)))</t>
        </is>
      </c>
      <c r="Y98" s="54" t="n"/>
      <c r="Z98" s="55" t="n"/>
      <c r="AA98" s="52" t="inlineStr">
        <is>
          <t>Retendered (Re-ITB)</t>
        </is>
      </c>
      <c r="AB98" s="52" t="inlineStr">
        <is>
          <t>Slack period up to end March. Four months construction period starting from April 2026. | Farmer: Naser Khan</t>
        </is>
      </c>
      <c r="AC98" s="42" t="inlineStr">
        <is>
          <t>IF(F98="","",IF(COUNT(AI98:AV98)=0,IF(AA98="","Not started",AA98),SUBSTITUTE(LOOKUP(2,1/(AI98:AV98&lt;&gt;""),$AI$3:$AV$3),"Date: ","")))</t>
        </is>
      </c>
      <c r="AD98" s="49" t="inlineStr">
        <is>
          <t>IF(OR(F98="",COUNT(AI98:AV98)=0),"",TODAY()-LOOKUP(2,1/(AI98:AV98&lt;&gt;""),AI98:AV98))</t>
        </is>
      </c>
      <c r="AE98" s="49" t="inlineStr">
        <is>
          <t>IF(OR(F98="",COUNT(AI98:AV98)&lt;2),"",LOOKUP(2,1/(AI98:AV98&lt;&gt;""),AI98:AV98)-MIN(AI98:AV98))</t>
        </is>
      </c>
      <c r="AF98" s="49" t="inlineStr">
        <is>
          <t>IF(OR(AD98="",AC98="Not started",AC98=""),"",IFERROR(AD98-IF(VLOOKUP(AC98,'06_Status_Pipeline'!$B$3:$E$20,4,FALSE)="",0,VLOOKUP(AC98,'06_Status_Pipeline'!$B$3:$E$20,4,FALSE)),""))</t>
        </is>
      </c>
      <c r="AG98" s="42" t="inlineStr">
        <is>
          <t>IF(F98="","",IF(OR(AA98="Cancelled",AC98="Cancelled"),"Cancelled",IF(OR(AC98="Completed / Handover",Y98&lt;&gt;"",Z98&gt;=100),"Completed — on track",IF(O98="Not awarded",IF(U98="",IF(X98="","No planned date",IF(TODAY()&gt;X98,"Behind — past planned date",IF(X98-TODAY()&lt;=30,"At risk — close to off track","On track"))),IF(TODAY()&gt;U98,"Behind — award date passed",IF(U98-TODAY()&lt;=30,"At risk — close to off track","On track"))),IF(X98="","No planned date",IF(AND(TODAY()&gt;X98,OR(Z98="",Z98&lt;100)),"Behind — past end date",IF(AND(T98&lt;&gt;"",X98&lt;&gt;"",Z98&lt;&gt;"",(Z98&lt;100),((TODAY()-T98)/MAX(X98-T98,1)*100)-Z98&gt;15),"Behind — progress lag",IF(AND(X98-TODAY()&lt;=30,X98-TODAY()&gt;=0,OR(Z98="",Z98&lt;90)),"At risk — close to off track","On track"))))))))</t>
        </is>
      </c>
      <c r="AH98" s="49" t="inlineStr">
        <is>
          <t>IF(OR(F98="",AC98="Completed / Handover",AC98="Cancelled"),"",IF(O98="Not awarded",IF(U98&lt;&gt;"",U98-TODAY(),IF(X98="","",X98-TODAY())),IF(X98="","",X98-TODAY())))</t>
        </is>
      </c>
      <c r="AI98" s="54" t="n"/>
      <c r="AJ98" s="54" t="n"/>
      <c r="AK98" s="54" t="n"/>
      <c r="AL98" s="54" t="n"/>
      <c r="AM98" s="54" t="n"/>
      <c r="AN98" s="54" t="n"/>
      <c r="AO98" s="54" t="n"/>
      <c r="AP98" s="54" t="n"/>
      <c r="AQ98" s="54" t="n"/>
      <c r="AR98" s="54" t="n"/>
      <c r="AS98" s="54" t="n"/>
      <c r="AT98" s="50" t="n"/>
      <c r="AU98" s="50" t="n"/>
      <c r="AV98" s="50" t="n"/>
      <c r="AW98" s="49" t="inlineStr">
        <is>
          <t>IF(OR(F98="",AJ98=""),"",IF(COUNT(AI98:AI98)=0,"",AJ98-LOOKUP(2,1/(AI98:AI98&lt;&gt;""),AI98:AI98)))</t>
        </is>
      </c>
      <c r="AX98" s="49" t="inlineStr">
        <is>
          <t>IF(OR(F98="",AK98=""),"",IF(COUNT(AI98:AJ98)=0,"",AK98-LOOKUP(2,1/(AI98:AJ98&lt;&gt;""),AI98:AJ98)))</t>
        </is>
      </c>
      <c r="AY98" s="49" t="inlineStr">
        <is>
          <t>IF(OR(F98="",AL98=""),"",IF(COUNT(AI98:AK98)=0,"",AL98-LOOKUP(2,1/(AI98:AK98&lt;&gt;""),AI98:AK98)))</t>
        </is>
      </c>
      <c r="AZ98" s="49" t="inlineStr">
        <is>
          <t>IF(OR(F98="",AM98=""),"",IF(COUNT(AI98:AL98)=0,"",AM98-LOOKUP(2,1/(AI98:AL98&lt;&gt;""),AI98:AL98)))</t>
        </is>
      </c>
      <c r="BA98" s="49" t="inlineStr">
        <is>
          <t>IF(OR(F98="",AN98=""),"",IF(COUNT(AI98:AM98)=0,"",AN98-LOOKUP(2,1/(AI98:AM98&lt;&gt;""),AI98:AM98)))</t>
        </is>
      </c>
      <c r="BB98" s="49" t="inlineStr">
        <is>
          <t>IF(OR(F98="",AO98=""),"",IF(COUNT(AI98:AN98)=0,"",AO98-LOOKUP(2,1/(AI98:AN98&lt;&gt;""),AI98:AN98)))</t>
        </is>
      </c>
      <c r="BC98" s="49" t="inlineStr">
        <is>
          <t>IF(OR(F98="",AP98=""),"",IF(COUNT(AI98:AO98)=0,"",AP98-LOOKUP(2,1/(AI98:AO98&lt;&gt;""),AI98:AO98)))</t>
        </is>
      </c>
      <c r="BD98" s="49" t="inlineStr">
        <is>
          <t>IF(OR(F98="",AQ98=""),"",IF(COUNT(AI98:AP98)=0,"",AQ98-LOOKUP(2,1/(AI98:AP98&lt;&gt;""),AI98:AP98)))</t>
        </is>
      </c>
      <c r="BE98" s="49" t="inlineStr">
        <is>
          <t>IF(OR(F98="",AR98=""),"",IF(COUNT(AI98:AQ98)=0,"",AR98-LOOKUP(2,1/(AI98:AQ98&lt;&gt;""),AI98:AQ98)))</t>
        </is>
      </c>
      <c r="BF98" s="49" t="inlineStr">
        <is>
          <t>IF(OR(F98="",AS98=""),"",IF(COUNT(AI98:AR98)=0,"",AS98-LOOKUP(2,1/(AI98:AR98&lt;&gt;""),AI98:AR98)))</t>
        </is>
      </c>
      <c r="BG98" s="49" t="inlineStr">
        <is>
          <t>IF(OR(F98="",AT98=""),"",IF(COUNT(AI98:AS98)=0,"",AT98-LOOKUP(2,1/(AI98:AS98&lt;&gt;""),AI98:AS98)))</t>
        </is>
      </c>
      <c r="BH98" s="49" t="inlineStr">
        <is>
          <t>IF(OR(F98="",AU98=""),"",IF(COUNT(AI98:AT98)=0,"",AU98-LOOKUP(2,1/(AI98:AT98&lt;&gt;""),AI98:AT98)))</t>
        </is>
      </c>
      <c r="BI98" s="49" t="inlineStr">
        <is>
          <t>IF(OR(F98="",AV98=""),"",IF(COUNT(AI98:AU98)=0,"",AV98-LOOKUP(2,1/(AI98:AU98&lt;&gt;""),AI98:AU98)))</t>
        </is>
      </c>
      <c r="BJ98" s="51" t="inlineStr">
        <is>
          <t>IF(J98="","All_Provinces",IFERROR(VLOOKUP(J98,'09_Lookups'!$A$4:$B$20,2,FALSE),"All_Provinces"))</t>
        </is>
      </c>
      <c r="BK98" s="51" t="inlineStr">
        <is>
          <t>IF(K98="","All_Districts",IFERROR(VLOOKUP(K98,'09_Lookups'!$E$4:$F$42,2,FALSE),"All_Districts"))</t>
        </is>
      </c>
    </row>
    <row r="99" outlineLevel="1" ht="18" customHeight="1">
      <c r="A99" s="42" t="inlineStr">
        <is>
          <t>IF(F99="","",ROW()-3)</t>
        </is>
      </c>
      <c r="B99" s="63" t="inlineStr">
        <is>
          <t>AF2-DIS-05</t>
        </is>
      </c>
      <c r="C99"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99" s="63" t="inlineStr">
        <is>
          <t>5 of 15</t>
        </is>
      </c>
      <c r="E99" s="44" t="inlineStr">
        <is>
          <t>AF2-DIS-N-057</t>
        </is>
      </c>
      <c r="F99" s="44" t="inlineStr">
        <is>
          <t>Ghafoor khil Drip irrigation Scheme</t>
        </is>
      </c>
      <c r="G99" s="44" t="inlineStr">
        <is>
          <t>Drip Irrigation</t>
        </is>
      </c>
      <c r="H99" s="44" t="inlineStr">
        <is>
          <t>Drip Irrigation Plot</t>
        </is>
      </c>
      <c r="I99" s="44" t="inlineStr">
        <is>
          <t>Emergency Food Security Project (EFSP) – WBK/AF-2</t>
        </is>
      </c>
      <c r="J99" s="44" t="inlineStr">
        <is>
          <t>Southeast / Gardez</t>
        </is>
      </c>
      <c r="K99" s="44" t="inlineStr">
        <is>
          <t>Paktya</t>
        </is>
      </c>
      <c r="L99" s="44" t="inlineStr">
        <is>
          <t>Center</t>
        </is>
      </c>
      <c r="M99" s="44" t="inlineStr">
        <is>
          <t>Gafoor khil</t>
        </is>
      </c>
      <c r="N99" s="44" t="inlineStr">
        <is>
          <t>World Bank (WBK/AF-2)</t>
        </is>
      </c>
      <c r="O99" s="44" t="inlineStr">
        <is>
          <t>Not awarded</t>
        </is>
      </c>
      <c r="P99" s="44" t="inlineStr">
        <is>
          <t>5. Drip Irrigation systems</t>
        </is>
      </c>
      <c r="Q99" s="44" t="inlineStr">
        <is>
          <t>Salam Jan</t>
        </is>
      </c>
      <c r="R99" s="44" t="inlineStr"/>
      <c r="S99" s="45" t="n"/>
      <c r="T99" s="46" t="inlineStr">
        <is>
          <t>IF(AQ99="","",AQ99)</t>
        </is>
      </c>
      <c r="U99" s="47" t="n">
        <v>46381</v>
      </c>
      <c r="V99" s="48" t="n">
        <v>6.2</v>
      </c>
      <c r="W99" s="47" t="n">
        <v>46571</v>
      </c>
      <c r="X99" s="46" t="inlineStr">
        <is>
          <t>IF(W99&lt;&gt;"",W99,IF(OR(T99="",V99=""),"",EDATE(T99,V99)))</t>
        </is>
      </c>
      <c r="Y99" s="47" t="n"/>
      <c r="Z99" s="48" t="n"/>
      <c r="AA99" s="44" t="inlineStr">
        <is>
          <t>Retendered (Re-ITB)</t>
        </is>
      </c>
      <c r="AB99" s="44" t="inlineStr">
        <is>
          <t>Slack period up to end March. Four months construction period starting from April 2026. | Farmer: Salam Jan</t>
        </is>
      </c>
      <c r="AC99" s="42" t="inlineStr">
        <is>
          <t>IF(F99="","",IF(COUNT(AI99:AV99)=0,IF(AA99="","Not started",AA99),SUBSTITUTE(LOOKUP(2,1/(AI99:AV99&lt;&gt;""),$AI$3:$AV$3),"Date: ","")))</t>
        </is>
      </c>
      <c r="AD99" s="49" t="inlineStr">
        <is>
          <t>IF(OR(F99="",COUNT(AI99:AV99)=0),"",TODAY()-LOOKUP(2,1/(AI99:AV99&lt;&gt;""),AI99:AV99))</t>
        </is>
      </c>
      <c r="AE99" s="49" t="inlineStr">
        <is>
          <t>IF(OR(F99="",COUNT(AI99:AV99)&lt;2),"",LOOKUP(2,1/(AI99:AV99&lt;&gt;""),AI99:AV99)-MIN(AI99:AV99))</t>
        </is>
      </c>
      <c r="AF99" s="49" t="inlineStr">
        <is>
          <t>IF(OR(AD99="",AC99="Not started",AC99=""),"",IFERROR(AD99-IF(VLOOKUP(AC99,'06_Status_Pipeline'!$B$3:$E$20,4,FALSE)="",0,VLOOKUP(AC99,'06_Status_Pipeline'!$B$3:$E$20,4,FALSE)),""))</t>
        </is>
      </c>
      <c r="AG99" s="42" t="inlineStr">
        <is>
          <t>IF(F99="","",IF(OR(AA99="Cancelled",AC99="Cancelled"),"Cancelled",IF(OR(AC99="Completed / Handover",Y99&lt;&gt;"",Z99&gt;=100),"Completed — on track",IF(O99="Not awarded",IF(U99="",IF(X99="","No planned date",IF(TODAY()&gt;X99,"Behind — past planned date",IF(X99-TODAY()&lt;=30,"At risk — close to off track","On track"))),IF(TODAY()&gt;U99,"Behind — award date passed",IF(U99-TODAY()&lt;=30,"At risk — close to off track","On track"))),IF(X99="","No planned date",IF(AND(TODAY()&gt;X99,OR(Z99="",Z99&lt;100)),"Behind — past end date",IF(AND(T99&lt;&gt;"",X99&lt;&gt;"",Z99&lt;&gt;"",(Z99&lt;100),((TODAY()-T99)/MAX(X99-T99,1)*100)-Z99&gt;15),"Behind — progress lag",IF(AND(X99-TODAY()&lt;=30,X99-TODAY()&gt;=0,OR(Z99="",Z99&lt;90)),"At risk — close to off track","On track"))))))))</t>
        </is>
      </c>
      <c r="AH99" s="49" t="inlineStr">
        <is>
          <t>IF(OR(F99="",AC99="Completed / Handover",AC99="Cancelled"),"",IF(O99="Not awarded",IF(U99&lt;&gt;"",U99-TODAY(),IF(X99="","",X99-TODAY())),IF(X99="","",X99-TODAY())))</t>
        </is>
      </c>
      <c r="AI99" s="47" t="n"/>
      <c r="AJ99" s="47" t="n"/>
      <c r="AK99" s="47" t="n"/>
      <c r="AL99" s="47" t="n"/>
      <c r="AM99" s="47" t="n"/>
      <c r="AN99" s="47" t="n"/>
      <c r="AO99" s="47" t="n"/>
      <c r="AP99" s="47" t="n"/>
      <c r="AQ99" s="47" t="n"/>
      <c r="AR99" s="47" t="n"/>
      <c r="AS99" s="47" t="n"/>
      <c r="AT99" s="50" t="n"/>
      <c r="AU99" s="50" t="n"/>
      <c r="AV99" s="50" t="n"/>
      <c r="AW99" s="49" t="inlineStr">
        <is>
          <t>IF(OR(F99="",AJ99=""),"",IF(COUNT(AI99:AI99)=0,"",AJ99-LOOKUP(2,1/(AI99:AI99&lt;&gt;""),AI99:AI99)))</t>
        </is>
      </c>
      <c r="AX99" s="49" t="inlineStr">
        <is>
          <t>IF(OR(F99="",AK99=""),"",IF(COUNT(AI99:AJ99)=0,"",AK99-LOOKUP(2,1/(AI99:AJ99&lt;&gt;""),AI99:AJ99)))</t>
        </is>
      </c>
      <c r="AY99" s="49" t="inlineStr">
        <is>
          <t>IF(OR(F99="",AL99=""),"",IF(COUNT(AI99:AK99)=0,"",AL99-LOOKUP(2,1/(AI99:AK99&lt;&gt;""),AI99:AK99)))</t>
        </is>
      </c>
      <c r="AZ99" s="49" t="inlineStr">
        <is>
          <t>IF(OR(F99="",AM99=""),"",IF(COUNT(AI99:AL99)=0,"",AM99-LOOKUP(2,1/(AI99:AL99&lt;&gt;""),AI99:AL99)))</t>
        </is>
      </c>
      <c r="BA99" s="49" t="inlineStr">
        <is>
          <t>IF(OR(F99="",AN99=""),"",IF(COUNT(AI99:AM99)=0,"",AN99-LOOKUP(2,1/(AI99:AM99&lt;&gt;""),AI99:AM99)))</t>
        </is>
      </c>
      <c r="BB99" s="49" t="inlineStr">
        <is>
          <t>IF(OR(F99="",AO99=""),"",IF(COUNT(AI99:AN99)=0,"",AO99-LOOKUP(2,1/(AI99:AN99&lt;&gt;""),AI99:AN99)))</t>
        </is>
      </c>
      <c r="BC99" s="49" t="inlineStr">
        <is>
          <t>IF(OR(F99="",AP99=""),"",IF(COUNT(AI99:AO99)=0,"",AP99-LOOKUP(2,1/(AI99:AO99&lt;&gt;""),AI99:AO99)))</t>
        </is>
      </c>
      <c r="BD99" s="49" t="inlineStr">
        <is>
          <t>IF(OR(F99="",AQ99=""),"",IF(COUNT(AI99:AP99)=0,"",AQ99-LOOKUP(2,1/(AI99:AP99&lt;&gt;""),AI99:AP99)))</t>
        </is>
      </c>
      <c r="BE99" s="49" t="inlineStr">
        <is>
          <t>IF(OR(F99="",AR99=""),"",IF(COUNT(AI99:AQ99)=0,"",AR99-LOOKUP(2,1/(AI99:AQ99&lt;&gt;""),AI99:AQ99)))</t>
        </is>
      </c>
      <c r="BF99" s="49" t="inlineStr">
        <is>
          <t>IF(OR(F99="",AS99=""),"",IF(COUNT(AI99:AR99)=0,"",AS99-LOOKUP(2,1/(AI99:AR99&lt;&gt;""),AI99:AR99)))</t>
        </is>
      </c>
      <c r="BG99" s="49" t="inlineStr">
        <is>
          <t>IF(OR(F99="",AT99=""),"",IF(COUNT(AI99:AS99)=0,"",AT99-LOOKUP(2,1/(AI99:AS99&lt;&gt;""),AI99:AS99)))</t>
        </is>
      </c>
      <c r="BH99" s="49" t="inlineStr">
        <is>
          <t>IF(OR(F99="",AU99=""),"",IF(COUNT(AI99:AT99)=0,"",AU99-LOOKUP(2,1/(AI99:AT99&lt;&gt;""),AI99:AT99)))</t>
        </is>
      </c>
      <c r="BI99" s="49" t="inlineStr">
        <is>
          <t>IF(OR(F99="",AV99=""),"",IF(COUNT(AI99:AU99)=0,"",AV99-LOOKUP(2,1/(AI99:AU99&lt;&gt;""),AI99:AU99)))</t>
        </is>
      </c>
      <c r="BJ99" s="51" t="inlineStr">
        <is>
          <t>IF(J99="","All_Provinces",IFERROR(VLOOKUP(J99,'09_Lookups'!$A$4:$B$20,2,FALSE),"All_Provinces"))</t>
        </is>
      </c>
      <c r="BK99" s="51" t="inlineStr">
        <is>
          <t>IF(K99="","All_Districts",IFERROR(VLOOKUP(K99,'09_Lookups'!$E$4:$F$42,2,FALSE),"All_Districts"))</t>
        </is>
      </c>
    </row>
    <row r="100" outlineLevel="1" ht="18" customHeight="1">
      <c r="A100" s="42" t="inlineStr">
        <is>
          <t>IF(F100="","",ROW()-3)</t>
        </is>
      </c>
      <c r="B100" s="63" t="inlineStr">
        <is>
          <t>AF2-DIS-05</t>
        </is>
      </c>
      <c r="C100"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0" s="63" t="inlineStr">
        <is>
          <t>6 of 15</t>
        </is>
      </c>
      <c r="E100" s="52" t="inlineStr">
        <is>
          <t>AF2-DIS-N-058</t>
        </is>
      </c>
      <c r="F100" s="52" t="inlineStr">
        <is>
          <t>Gir Drip irrigation Scheme</t>
        </is>
      </c>
      <c r="G100" s="52" t="inlineStr">
        <is>
          <t>Drip Irrigation</t>
        </is>
      </c>
      <c r="H100" s="52" t="inlineStr">
        <is>
          <t>Drip Irrigation Plot</t>
        </is>
      </c>
      <c r="I100" s="52" t="inlineStr">
        <is>
          <t>Emergency Food Security Project (EFSP) – WBK/AF-2</t>
        </is>
      </c>
      <c r="J100" s="52" t="inlineStr">
        <is>
          <t>Southeast / Gardez</t>
        </is>
      </c>
      <c r="K100" s="52" t="inlineStr">
        <is>
          <t>Pakteka</t>
        </is>
      </c>
      <c r="L100" s="52" t="inlineStr">
        <is>
          <t>Sharana</t>
        </is>
      </c>
      <c r="M100" s="52" t="inlineStr">
        <is>
          <t>Gari</t>
        </is>
      </c>
      <c r="N100" s="52" t="inlineStr">
        <is>
          <t>World Bank (WBK/AF-2)</t>
        </is>
      </c>
      <c r="O100" s="52" t="inlineStr">
        <is>
          <t>Not awarded</t>
        </is>
      </c>
      <c r="P100" s="52" t="inlineStr">
        <is>
          <t>5. Drip Irrigation systems</t>
        </is>
      </c>
      <c r="Q100" s="52" t="inlineStr">
        <is>
          <t>Fazal Din</t>
        </is>
      </c>
      <c r="R100" s="52" t="inlineStr"/>
      <c r="S100" s="53" t="n"/>
      <c r="T100" s="46" t="inlineStr">
        <is>
          <t>IF(AQ100="","",AQ100)</t>
        </is>
      </c>
      <c r="U100" s="54" t="n">
        <v>46381</v>
      </c>
      <c r="V100" s="55" t="n">
        <v>6.2</v>
      </c>
      <c r="W100" s="54" t="n">
        <v>46571</v>
      </c>
      <c r="X100" s="46" t="inlineStr">
        <is>
          <t>IF(W100&lt;&gt;"",W100,IF(OR(T100="",V100=""),"",EDATE(T100,V100)))</t>
        </is>
      </c>
      <c r="Y100" s="54" t="n"/>
      <c r="Z100" s="55" t="n"/>
      <c r="AA100" s="52" t="inlineStr">
        <is>
          <t>Retendered (Re-ITB)</t>
        </is>
      </c>
      <c r="AB100" s="52" t="inlineStr">
        <is>
          <t>Slack period up to end March. Four months construction period starting from April 2026. | Farmer: Fazal Din</t>
        </is>
      </c>
      <c r="AC100" s="42" t="inlineStr">
        <is>
          <t>IF(F100="","",IF(COUNT(AI100:AV100)=0,IF(AA100="","Not started",AA100),SUBSTITUTE(LOOKUP(2,1/(AI100:AV100&lt;&gt;""),$AI$3:$AV$3),"Date: ","")))</t>
        </is>
      </c>
      <c r="AD100" s="49" t="inlineStr">
        <is>
          <t>IF(OR(F100="",COUNT(AI100:AV100)=0),"",TODAY()-LOOKUP(2,1/(AI100:AV100&lt;&gt;""),AI100:AV100))</t>
        </is>
      </c>
      <c r="AE100" s="49" t="inlineStr">
        <is>
          <t>IF(OR(F100="",COUNT(AI100:AV100)&lt;2),"",LOOKUP(2,1/(AI100:AV100&lt;&gt;""),AI100:AV100)-MIN(AI100:AV100))</t>
        </is>
      </c>
      <c r="AF100" s="49" t="inlineStr">
        <is>
          <t>IF(OR(AD100="",AC100="Not started",AC100=""),"",IFERROR(AD100-IF(VLOOKUP(AC100,'06_Status_Pipeline'!$B$3:$E$20,4,FALSE)="",0,VLOOKUP(AC100,'06_Status_Pipeline'!$B$3:$E$20,4,FALSE)),""))</t>
        </is>
      </c>
      <c r="AG100" s="42" t="inlineStr">
        <is>
          <t>IF(F100="","",IF(OR(AA100="Cancelled",AC100="Cancelled"),"Cancelled",IF(OR(AC100="Completed / Handover",Y100&lt;&gt;"",Z100&gt;=100),"Completed — on track",IF(O100="Not awarded",IF(U100="",IF(X100="","No planned date",IF(TODAY()&gt;X100,"Behind — past planned date",IF(X100-TODAY()&lt;=30,"At risk — close to off track","On track"))),IF(TODAY()&gt;U100,"Behind — award date passed",IF(U100-TODAY()&lt;=30,"At risk — close to off track","On track"))),IF(X100="","No planned date",IF(AND(TODAY()&gt;X100,OR(Z100="",Z100&lt;100)),"Behind — past end date",IF(AND(T100&lt;&gt;"",X100&lt;&gt;"",Z100&lt;&gt;"",(Z100&lt;100),((TODAY()-T100)/MAX(X100-T100,1)*100)-Z100&gt;15),"Behind — progress lag",IF(AND(X100-TODAY()&lt;=30,X100-TODAY()&gt;=0,OR(Z100="",Z100&lt;90)),"At risk — close to off track","On track"))))))))</t>
        </is>
      </c>
      <c r="AH100" s="49" t="inlineStr">
        <is>
          <t>IF(OR(F100="",AC100="Completed / Handover",AC100="Cancelled"),"",IF(O100="Not awarded",IF(U100&lt;&gt;"",U100-TODAY(),IF(X100="","",X100-TODAY())),IF(X100="","",X100-TODAY())))</t>
        </is>
      </c>
      <c r="AI100" s="54" t="n"/>
      <c r="AJ100" s="54" t="n"/>
      <c r="AK100" s="54" t="n"/>
      <c r="AL100" s="54" t="n"/>
      <c r="AM100" s="54" t="n"/>
      <c r="AN100" s="54" t="n"/>
      <c r="AO100" s="54" t="n"/>
      <c r="AP100" s="54" t="n"/>
      <c r="AQ100" s="54" t="n"/>
      <c r="AR100" s="54" t="n"/>
      <c r="AS100" s="54" t="n"/>
      <c r="AT100" s="50" t="n"/>
      <c r="AU100" s="50" t="n"/>
      <c r="AV100" s="50" t="n"/>
      <c r="AW100" s="49" t="inlineStr">
        <is>
          <t>IF(OR(F100="",AJ100=""),"",IF(COUNT(AI100:AI100)=0,"",AJ100-LOOKUP(2,1/(AI100:AI100&lt;&gt;""),AI100:AI100)))</t>
        </is>
      </c>
      <c r="AX100" s="49" t="inlineStr">
        <is>
          <t>IF(OR(F100="",AK100=""),"",IF(COUNT(AI100:AJ100)=0,"",AK100-LOOKUP(2,1/(AI100:AJ100&lt;&gt;""),AI100:AJ100)))</t>
        </is>
      </c>
      <c r="AY100" s="49" t="inlineStr">
        <is>
          <t>IF(OR(F100="",AL100=""),"",IF(COUNT(AI100:AK100)=0,"",AL100-LOOKUP(2,1/(AI100:AK100&lt;&gt;""),AI100:AK100)))</t>
        </is>
      </c>
      <c r="AZ100" s="49" t="inlineStr">
        <is>
          <t>IF(OR(F100="",AM100=""),"",IF(COUNT(AI100:AL100)=0,"",AM100-LOOKUP(2,1/(AI100:AL100&lt;&gt;""),AI100:AL100)))</t>
        </is>
      </c>
      <c r="BA100" s="49" t="inlineStr">
        <is>
          <t>IF(OR(F100="",AN100=""),"",IF(COUNT(AI100:AM100)=0,"",AN100-LOOKUP(2,1/(AI100:AM100&lt;&gt;""),AI100:AM100)))</t>
        </is>
      </c>
      <c r="BB100" s="49" t="inlineStr">
        <is>
          <t>IF(OR(F100="",AO100=""),"",IF(COUNT(AI100:AN100)=0,"",AO100-LOOKUP(2,1/(AI100:AN100&lt;&gt;""),AI100:AN100)))</t>
        </is>
      </c>
      <c r="BC100" s="49" t="inlineStr">
        <is>
          <t>IF(OR(F100="",AP100=""),"",IF(COUNT(AI100:AO100)=0,"",AP100-LOOKUP(2,1/(AI100:AO100&lt;&gt;""),AI100:AO100)))</t>
        </is>
      </c>
      <c r="BD100" s="49" t="inlineStr">
        <is>
          <t>IF(OR(F100="",AQ100=""),"",IF(COUNT(AI100:AP100)=0,"",AQ100-LOOKUP(2,1/(AI100:AP100&lt;&gt;""),AI100:AP100)))</t>
        </is>
      </c>
      <c r="BE100" s="49" t="inlineStr">
        <is>
          <t>IF(OR(F100="",AR100=""),"",IF(COUNT(AI100:AQ100)=0,"",AR100-LOOKUP(2,1/(AI100:AQ100&lt;&gt;""),AI100:AQ100)))</t>
        </is>
      </c>
      <c r="BF100" s="49" t="inlineStr">
        <is>
          <t>IF(OR(F100="",AS100=""),"",IF(COUNT(AI100:AR100)=0,"",AS100-LOOKUP(2,1/(AI100:AR100&lt;&gt;""),AI100:AR100)))</t>
        </is>
      </c>
      <c r="BG100" s="49" t="inlineStr">
        <is>
          <t>IF(OR(F100="",AT100=""),"",IF(COUNT(AI100:AS100)=0,"",AT100-LOOKUP(2,1/(AI100:AS100&lt;&gt;""),AI100:AS100)))</t>
        </is>
      </c>
      <c r="BH100" s="49" t="inlineStr">
        <is>
          <t>IF(OR(F100="",AU100=""),"",IF(COUNT(AI100:AT100)=0,"",AU100-LOOKUP(2,1/(AI100:AT100&lt;&gt;""),AI100:AT100)))</t>
        </is>
      </c>
      <c r="BI100" s="49" t="inlineStr">
        <is>
          <t>IF(OR(F100="",AV100=""),"",IF(COUNT(AI100:AU100)=0,"",AV100-LOOKUP(2,1/(AI100:AU100&lt;&gt;""),AI100:AU100)))</t>
        </is>
      </c>
      <c r="BJ100" s="51" t="inlineStr">
        <is>
          <t>IF(J100="","All_Provinces",IFERROR(VLOOKUP(J100,'09_Lookups'!$A$4:$B$20,2,FALSE),"All_Provinces"))</t>
        </is>
      </c>
      <c r="BK100" s="51" t="inlineStr">
        <is>
          <t>IF(K100="","All_Districts",IFERROR(VLOOKUP(K100,'09_Lookups'!$E$4:$F$42,2,FALSE),"All_Districts"))</t>
        </is>
      </c>
    </row>
    <row r="101" outlineLevel="1" ht="18" customHeight="1">
      <c r="A101" s="42" t="inlineStr">
        <is>
          <t>IF(F101="","",ROW()-3)</t>
        </is>
      </c>
      <c r="B101" s="63" t="inlineStr">
        <is>
          <t>AF2-DIS-05</t>
        </is>
      </c>
      <c r="C101"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1" s="63" t="inlineStr">
        <is>
          <t>7 of 15</t>
        </is>
      </c>
      <c r="E101" s="44" t="inlineStr">
        <is>
          <t>AF2-DIS-N-059</t>
        </is>
      </c>
      <c r="F101" s="44" t="inlineStr">
        <is>
          <t>Hassan Khil- B Drip Irrigation Scheme</t>
        </is>
      </c>
      <c r="G101" s="44" t="inlineStr">
        <is>
          <t>Drip Irrigation</t>
        </is>
      </c>
      <c r="H101" s="44" t="inlineStr">
        <is>
          <t>Drip Irrigation Plot</t>
        </is>
      </c>
      <c r="I101" s="44" t="inlineStr">
        <is>
          <t>Emergency Food Security Project (EFSP) – WBK/AF-2</t>
        </is>
      </c>
      <c r="J101" s="44" t="inlineStr">
        <is>
          <t>Southeast / Gardez</t>
        </is>
      </c>
      <c r="K101" s="44" t="inlineStr">
        <is>
          <t>Paktya</t>
        </is>
      </c>
      <c r="L101" s="44" t="inlineStr">
        <is>
          <t>Ahmad Aba</t>
        </is>
      </c>
      <c r="M101" s="44" t="inlineStr">
        <is>
          <t>Machalghu</t>
        </is>
      </c>
      <c r="N101" s="44" t="inlineStr">
        <is>
          <t>World Bank (WBK/AF-2)</t>
        </is>
      </c>
      <c r="O101" s="44" t="inlineStr">
        <is>
          <t>Not awarded</t>
        </is>
      </c>
      <c r="P101" s="44" t="inlineStr">
        <is>
          <t>5. Drip Irrigation systems</t>
        </is>
      </c>
      <c r="Q101" s="44" t="inlineStr">
        <is>
          <t>Zabihullah</t>
        </is>
      </c>
      <c r="R101" s="44" t="inlineStr"/>
      <c r="S101" s="45" t="n"/>
      <c r="T101" s="46" t="inlineStr">
        <is>
          <t>IF(AQ101="","",AQ101)</t>
        </is>
      </c>
      <c r="U101" s="47" t="n">
        <v>46381</v>
      </c>
      <c r="V101" s="48" t="n">
        <v>6.2</v>
      </c>
      <c r="W101" s="47" t="n">
        <v>46571</v>
      </c>
      <c r="X101" s="46" t="inlineStr">
        <is>
          <t>IF(W101&lt;&gt;"",W101,IF(OR(T101="",V101=""),"",EDATE(T101,V101)))</t>
        </is>
      </c>
      <c r="Y101" s="47" t="n"/>
      <c r="Z101" s="48" t="n"/>
      <c r="AA101" s="44" t="inlineStr">
        <is>
          <t>Retendered (Re-ITB)</t>
        </is>
      </c>
      <c r="AB101" s="44" t="inlineStr">
        <is>
          <t>Slack period up to end March. Four months construction period starting from April 2026. | Farmer: Zabihullah</t>
        </is>
      </c>
      <c r="AC101" s="42" t="inlineStr">
        <is>
          <t>IF(F101="","",IF(COUNT(AI101:AV101)=0,IF(AA101="","Not started",AA101),SUBSTITUTE(LOOKUP(2,1/(AI101:AV101&lt;&gt;""),$AI$3:$AV$3),"Date: ","")))</t>
        </is>
      </c>
      <c r="AD101" s="49" t="inlineStr">
        <is>
          <t>IF(OR(F101="",COUNT(AI101:AV101)=0),"",TODAY()-LOOKUP(2,1/(AI101:AV101&lt;&gt;""),AI101:AV101))</t>
        </is>
      </c>
      <c r="AE101" s="49" t="inlineStr">
        <is>
          <t>IF(OR(F101="",COUNT(AI101:AV101)&lt;2),"",LOOKUP(2,1/(AI101:AV101&lt;&gt;""),AI101:AV101)-MIN(AI101:AV101))</t>
        </is>
      </c>
      <c r="AF101" s="49" t="inlineStr">
        <is>
          <t>IF(OR(AD101="",AC101="Not started",AC101=""),"",IFERROR(AD101-IF(VLOOKUP(AC101,'06_Status_Pipeline'!$B$3:$E$20,4,FALSE)="",0,VLOOKUP(AC101,'06_Status_Pipeline'!$B$3:$E$20,4,FALSE)),""))</t>
        </is>
      </c>
      <c r="AG101" s="42" t="inlineStr">
        <is>
          <t>IF(F101="","",IF(OR(AA101="Cancelled",AC101="Cancelled"),"Cancelled",IF(OR(AC101="Completed / Handover",Y101&lt;&gt;"",Z101&gt;=100),"Completed — on track",IF(O101="Not awarded",IF(U101="",IF(X101="","No planned date",IF(TODAY()&gt;X101,"Behind — past planned date",IF(X101-TODAY()&lt;=30,"At risk — close to off track","On track"))),IF(TODAY()&gt;U101,"Behind — award date passed",IF(U101-TODAY()&lt;=30,"At risk — close to off track","On track"))),IF(X101="","No planned date",IF(AND(TODAY()&gt;X101,OR(Z101="",Z101&lt;100)),"Behind — past end date",IF(AND(T101&lt;&gt;"",X101&lt;&gt;"",Z101&lt;&gt;"",(Z101&lt;100),((TODAY()-T101)/MAX(X101-T101,1)*100)-Z101&gt;15),"Behind — progress lag",IF(AND(X101-TODAY()&lt;=30,X101-TODAY()&gt;=0,OR(Z101="",Z101&lt;90)),"At risk — close to off track","On track"))))))))</t>
        </is>
      </c>
      <c r="AH101" s="49" t="inlineStr">
        <is>
          <t>IF(OR(F101="",AC101="Completed / Handover",AC101="Cancelled"),"",IF(O101="Not awarded",IF(U101&lt;&gt;"",U101-TODAY(),IF(X101="","",X101-TODAY())),IF(X101="","",X101-TODAY())))</t>
        </is>
      </c>
      <c r="AI101" s="47" t="n"/>
      <c r="AJ101" s="47" t="n"/>
      <c r="AK101" s="47" t="n"/>
      <c r="AL101" s="47" t="n"/>
      <c r="AM101" s="47" t="n"/>
      <c r="AN101" s="47" t="n"/>
      <c r="AO101" s="47" t="n"/>
      <c r="AP101" s="47" t="n"/>
      <c r="AQ101" s="47" t="n"/>
      <c r="AR101" s="47" t="n"/>
      <c r="AS101" s="47" t="n"/>
      <c r="AT101" s="50" t="n"/>
      <c r="AU101" s="50" t="n"/>
      <c r="AV101" s="50" t="n"/>
      <c r="AW101" s="49" t="inlineStr">
        <is>
          <t>IF(OR(F101="",AJ101=""),"",IF(COUNT(AI101:AI101)=0,"",AJ101-LOOKUP(2,1/(AI101:AI101&lt;&gt;""),AI101:AI101)))</t>
        </is>
      </c>
      <c r="AX101" s="49" t="inlineStr">
        <is>
          <t>IF(OR(F101="",AK101=""),"",IF(COUNT(AI101:AJ101)=0,"",AK101-LOOKUP(2,1/(AI101:AJ101&lt;&gt;""),AI101:AJ101)))</t>
        </is>
      </c>
      <c r="AY101" s="49" t="inlineStr">
        <is>
          <t>IF(OR(F101="",AL101=""),"",IF(COUNT(AI101:AK101)=0,"",AL101-LOOKUP(2,1/(AI101:AK101&lt;&gt;""),AI101:AK101)))</t>
        </is>
      </c>
      <c r="AZ101" s="49" t="inlineStr">
        <is>
          <t>IF(OR(F101="",AM101=""),"",IF(COUNT(AI101:AL101)=0,"",AM101-LOOKUP(2,1/(AI101:AL101&lt;&gt;""),AI101:AL101)))</t>
        </is>
      </c>
      <c r="BA101" s="49" t="inlineStr">
        <is>
          <t>IF(OR(F101="",AN101=""),"",IF(COUNT(AI101:AM101)=0,"",AN101-LOOKUP(2,1/(AI101:AM101&lt;&gt;""),AI101:AM101)))</t>
        </is>
      </c>
      <c r="BB101" s="49" t="inlineStr">
        <is>
          <t>IF(OR(F101="",AO101=""),"",IF(COUNT(AI101:AN101)=0,"",AO101-LOOKUP(2,1/(AI101:AN101&lt;&gt;""),AI101:AN101)))</t>
        </is>
      </c>
      <c r="BC101" s="49" t="inlineStr">
        <is>
          <t>IF(OR(F101="",AP101=""),"",IF(COUNT(AI101:AO101)=0,"",AP101-LOOKUP(2,1/(AI101:AO101&lt;&gt;""),AI101:AO101)))</t>
        </is>
      </c>
      <c r="BD101" s="49" t="inlineStr">
        <is>
          <t>IF(OR(F101="",AQ101=""),"",IF(COUNT(AI101:AP101)=0,"",AQ101-LOOKUP(2,1/(AI101:AP101&lt;&gt;""),AI101:AP101)))</t>
        </is>
      </c>
      <c r="BE101" s="49" t="inlineStr">
        <is>
          <t>IF(OR(F101="",AR101=""),"",IF(COUNT(AI101:AQ101)=0,"",AR101-LOOKUP(2,1/(AI101:AQ101&lt;&gt;""),AI101:AQ101)))</t>
        </is>
      </c>
      <c r="BF101" s="49" t="inlineStr">
        <is>
          <t>IF(OR(F101="",AS101=""),"",IF(COUNT(AI101:AR101)=0,"",AS101-LOOKUP(2,1/(AI101:AR101&lt;&gt;""),AI101:AR101)))</t>
        </is>
      </c>
      <c r="BG101" s="49" t="inlineStr">
        <is>
          <t>IF(OR(F101="",AT101=""),"",IF(COUNT(AI101:AS101)=0,"",AT101-LOOKUP(2,1/(AI101:AS101&lt;&gt;""),AI101:AS101)))</t>
        </is>
      </c>
      <c r="BH101" s="49" t="inlineStr">
        <is>
          <t>IF(OR(F101="",AU101=""),"",IF(COUNT(AI101:AT101)=0,"",AU101-LOOKUP(2,1/(AI101:AT101&lt;&gt;""),AI101:AT101)))</t>
        </is>
      </c>
      <c r="BI101" s="49" t="inlineStr">
        <is>
          <t>IF(OR(F101="",AV101=""),"",IF(COUNT(AI101:AU101)=0,"",AV101-LOOKUP(2,1/(AI101:AU101&lt;&gt;""),AI101:AU101)))</t>
        </is>
      </c>
      <c r="BJ101" s="51" t="inlineStr">
        <is>
          <t>IF(J101="","All_Provinces",IFERROR(VLOOKUP(J101,'09_Lookups'!$A$4:$B$20,2,FALSE),"All_Provinces"))</t>
        </is>
      </c>
      <c r="BK101" s="51" t="inlineStr">
        <is>
          <t>IF(K101="","All_Districts",IFERROR(VLOOKUP(K101,'09_Lookups'!$E$4:$F$42,2,FALSE),"All_Districts"))</t>
        </is>
      </c>
    </row>
    <row r="102" outlineLevel="1" ht="18" customHeight="1">
      <c r="A102" s="42" t="inlineStr">
        <is>
          <t>IF(F102="","",ROW()-3)</t>
        </is>
      </c>
      <c r="B102" s="63" t="inlineStr">
        <is>
          <t>AF2-DIS-05</t>
        </is>
      </c>
      <c r="C102"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2" s="63" t="inlineStr">
        <is>
          <t>8 of 15</t>
        </is>
      </c>
      <c r="E102" s="52" t="inlineStr">
        <is>
          <t>AF2-DIS-N-060</t>
        </is>
      </c>
      <c r="F102" s="52" t="inlineStr">
        <is>
          <t>Hassan Khil-A Drip Irrigation Scheme</t>
        </is>
      </c>
      <c r="G102" s="52" t="inlineStr">
        <is>
          <t>Drip Irrigation</t>
        </is>
      </c>
      <c r="H102" s="52" t="inlineStr">
        <is>
          <t>Drip Irrigation Plot</t>
        </is>
      </c>
      <c r="I102" s="52" t="inlineStr">
        <is>
          <t>Emergency Food Security Project (EFSP) – WBK/AF-2</t>
        </is>
      </c>
      <c r="J102" s="52" t="inlineStr">
        <is>
          <t>Southeast / Gardez</t>
        </is>
      </c>
      <c r="K102" s="52" t="inlineStr">
        <is>
          <t>Paktya</t>
        </is>
      </c>
      <c r="L102" s="52" t="inlineStr">
        <is>
          <t>Ahmad Aba</t>
        </is>
      </c>
      <c r="M102" s="52" t="inlineStr">
        <is>
          <t>Machalghu</t>
        </is>
      </c>
      <c r="N102" s="52" t="inlineStr">
        <is>
          <t>World Bank (WBK/AF-2)</t>
        </is>
      </c>
      <c r="O102" s="52" t="inlineStr">
        <is>
          <t>Not awarded</t>
        </is>
      </c>
      <c r="P102" s="52" t="inlineStr">
        <is>
          <t>5. Drip Irrigation systems</t>
        </is>
      </c>
      <c r="Q102" s="52" t="inlineStr">
        <is>
          <t>Hasan Khil</t>
        </is>
      </c>
      <c r="R102" s="52" t="inlineStr"/>
      <c r="S102" s="53" t="n"/>
      <c r="T102" s="46" t="inlineStr">
        <is>
          <t>IF(AQ102="","",AQ102)</t>
        </is>
      </c>
      <c r="U102" s="54" t="n">
        <v>46381</v>
      </c>
      <c r="V102" s="55" t="n">
        <v>6.2</v>
      </c>
      <c r="W102" s="54" t="n">
        <v>46571</v>
      </c>
      <c r="X102" s="46" t="inlineStr">
        <is>
          <t>IF(W102&lt;&gt;"",W102,IF(OR(T102="",V102=""),"",EDATE(T102,V102)))</t>
        </is>
      </c>
      <c r="Y102" s="54" t="n"/>
      <c r="Z102" s="55" t="n"/>
      <c r="AA102" s="52" t="inlineStr">
        <is>
          <t>Retendered (Re-ITB)</t>
        </is>
      </c>
      <c r="AB102" s="52" t="inlineStr">
        <is>
          <t>Slack period up to end March. Four months construction period starting from April 2026. | Farmer: Hasan Khil</t>
        </is>
      </c>
      <c r="AC102" s="42" t="inlineStr">
        <is>
          <t>IF(F102="","",IF(COUNT(AI102:AV102)=0,IF(AA102="","Not started",AA102),SUBSTITUTE(LOOKUP(2,1/(AI102:AV102&lt;&gt;""),$AI$3:$AV$3),"Date: ","")))</t>
        </is>
      </c>
      <c r="AD102" s="49" t="inlineStr">
        <is>
          <t>IF(OR(F102="",COUNT(AI102:AV102)=0),"",TODAY()-LOOKUP(2,1/(AI102:AV102&lt;&gt;""),AI102:AV102))</t>
        </is>
      </c>
      <c r="AE102" s="49" t="inlineStr">
        <is>
          <t>IF(OR(F102="",COUNT(AI102:AV102)&lt;2),"",LOOKUP(2,1/(AI102:AV102&lt;&gt;""),AI102:AV102)-MIN(AI102:AV102))</t>
        </is>
      </c>
      <c r="AF102" s="49" t="inlineStr">
        <is>
          <t>IF(OR(AD102="",AC102="Not started",AC102=""),"",IFERROR(AD102-IF(VLOOKUP(AC102,'06_Status_Pipeline'!$B$3:$E$20,4,FALSE)="",0,VLOOKUP(AC102,'06_Status_Pipeline'!$B$3:$E$20,4,FALSE)),""))</t>
        </is>
      </c>
      <c r="AG102" s="42" t="inlineStr">
        <is>
          <t>IF(F102="","",IF(OR(AA102="Cancelled",AC102="Cancelled"),"Cancelled",IF(OR(AC102="Completed / Handover",Y102&lt;&gt;"",Z102&gt;=100),"Completed — on track",IF(O102="Not awarded",IF(U102="",IF(X102="","No planned date",IF(TODAY()&gt;X102,"Behind — past planned date",IF(X102-TODAY()&lt;=30,"At risk — close to off track","On track"))),IF(TODAY()&gt;U102,"Behind — award date passed",IF(U102-TODAY()&lt;=30,"At risk — close to off track","On track"))),IF(X102="","No planned date",IF(AND(TODAY()&gt;X102,OR(Z102="",Z102&lt;100)),"Behind — past end date",IF(AND(T102&lt;&gt;"",X102&lt;&gt;"",Z102&lt;&gt;"",(Z102&lt;100),((TODAY()-T102)/MAX(X102-T102,1)*100)-Z102&gt;15),"Behind — progress lag",IF(AND(X102-TODAY()&lt;=30,X102-TODAY()&gt;=0,OR(Z102="",Z102&lt;90)),"At risk — close to off track","On track"))))))))</t>
        </is>
      </c>
      <c r="AH102" s="49" t="inlineStr">
        <is>
          <t>IF(OR(F102="",AC102="Completed / Handover",AC102="Cancelled"),"",IF(O102="Not awarded",IF(U102&lt;&gt;"",U102-TODAY(),IF(X102="","",X102-TODAY())),IF(X102="","",X102-TODAY())))</t>
        </is>
      </c>
      <c r="AI102" s="54" t="n"/>
      <c r="AJ102" s="54" t="n"/>
      <c r="AK102" s="54" t="n"/>
      <c r="AL102" s="54" t="n"/>
      <c r="AM102" s="54" t="n"/>
      <c r="AN102" s="54" t="n"/>
      <c r="AO102" s="54" t="n"/>
      <c r="AP102" s="54" t="n"/>
      <c r="AQ102" s="54" t="n"/>
      <c r="AR102" s="54" t="n"/>
      <c r="AS102" s="54" t="n"/>
      <c r="AT102" s="50" t="n"/>
      <c r="AU102" s="50" t="n"/>
      <c r="AV102" s="50" t="n"/>
      <c r="AW102" s="49" t="inlineStr">
        <is>
          <t>IF(OR(F102="",AJ102=""),"",IF(COUNT(AI102:AI102)=0,"",AJ102-LOOKUP(2,1/(AI102:AI102&lt;&gt;""),AI102:AI102)))</t>
        </is>
      </c>
      <c r="AX102" s="49" t="inlineStr">
        <is>
          <t>IF(OR(F102="",AK102=""),"",IF(COUNT(AI102:AJ102)=0,"",AK102-LOOKUP(2,1/(AI102:AJ102&lt;&gt;""),AI102:AJ102)))</t>
        </is>
      </c>
      <c r="AY102" s="49" t="inlineStr">
        <is>
          <t>IF(OR(F102="",AL102=""),"",IF(COUNT(AI102:AK102)=0,"",AL102-LOOKUP(2,1/(AI102:AK102&lt;&gt;""),AI102:AK102)))</t>
        </is>
      </c>
      <c r="AZ102" s="49" t="inlineStr">
        <is>
          <t>IF(OR(F102="",AM102=""),"",IF(COUNT(AI102:AL102)=0,"",AM102-LOOKUP(2,1/(AI102:AL102&lt;&gt;""),AI102:AL102)))</t>
        </is>
      </c>
      <c r="BA102" s="49" t="inlineStr">
        <is>
          <t>IF(OR(F102="",AN102=""),"",IF(COUNT(AI102:AM102)=0,"",AN102-LOOKUP(2,1/(AI102:AM102&lt;&gt;""),AI102:AM102)))</t>
        </is>
      </c>
      <c r="BB102" s="49" t="inlineStr">
        <is>
          <t>IF(OR(F102="",AO102=""),"",IF(COUNT(AI102:AN102)=0,"",AO102-LOOKUP(2,1/(AI102:AN102&lt;&gt;""),AI102:AN102)))</t>
        </is>
      </c>
      <c r="BC102" s="49" t="inlineStr">
        <is>
          <t>IF(OR(F102="",AP102=""),"",IF(COUNT(AI102:AO102)=0,"",AP102-LOOKUP(2,1/(AI102:AO102&lt;&gt;""),AI102:AO102)))</t>
        </is>
      </c>
      <c r="BD102" s="49" t="inlineStr">
        <is>
          <t>IF(OR(F102="",AQ102=""),"",IF(COUNT(AI102:AP102)=0,"",AQ102-LOOKUP(2,1/(AI102:AP102&lt;&gt;""),AI102:AP102)))</t>
        </is>
      </c>
      <c r="BE102" s="49" t="inlineStr">
        <is>
          <t>IF(OR(F102="",AR102=""),"",IF(COUNT(AI102:AQ102)=0,"",AR102-LOOKUP(2,1/(AI102:AQ102&lt;&gt;""),AI102:AQ102)))</t>
        </is>
      </c>
      <c r="BF102" s="49" t="inlineStr">
        <is>
          <t>IF(OR(F102="",AS102=""),"",IF(COUNT(AI102:AR102)=0,"",AS102-LOOKUP(2,1/(AI102:AR102&lt;&gt;""),AI102:AR102)))</t>
        </is>
      </c>
      <c r="BG102" s="49" t="inlineStr">
        <is>
          <t>IF(OR(F102="",AT102=""),"",IF(COUNT(AI102:AS102)=0,"",AT102-LOOKUP(2,1/(AI102:AS102&lt;&gt;""),AI102:AS102)))</t>
        </is>
      </c>
      <c r="BH102" s="49" t="inlineStr">
        <is>
          <t>IF(OR(F102="",AU102=""),"",IF(COUNT(AI102:AT102)=0,"",AU102-LOOKUP(2,1/(AI102:AT102&lt;&gt;""),AI102:AT102)))</t>
        </is>
      </c>
      <c r="BI102" s="49" t="inlineStr">
        <is>
          <t>IF(OR(F102="",AV102=""),"",IF(COUNT(AI102:AU102)=0,"",AV102-LOOKUP(2,1/(AI102:AU102&lt;&gt;""),AI102:AU102)))</t>
        </is>
      </c>
      <c r="BJ102" s="51" t="inlineStr">
        <is>
          <t>IF(J102="","All_Provinces",IFERROR(VLOOKUP(J102,'09_Lookups'!$A$4:$B$20,2,FALSE),"All_Provinces"))</t>
        </is>
      </c>
      <c r="BK102" s="51" t="inlineStr">
        <is>
          <t>IF(K102="","All_Districts",IFERROR(VLOOKUP(K102,'09_Lookups'!$E$4:$F$42,2,FALSE),"All_Districts"))</t>
        </is>
      </c>
    </row>
    <row r="103" outlineLevel="1" ht="18" customHeight="1">
      <c r="A103" s="42" t="inlineStr">
        <is>
          <t>IF(F103="","",ROW()-3)</t>
        </is>
      </c>
      <c r="B103" s="63" t="inlineStr">
        <is>
          <t>AF2-DIS-05</t>
        </is>
      </c>
      <c r="C103"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3" s="63" t="inlineStr">
        <is>
          <t>9 of 15</t>
        </is>
      </c>
      <c r="E103" s="44" t="inlineStr">
        <is>
          <t>AF2-DIS-N-061</t>
        </is>
      </c>
      <c r="F103" s="44" t="inlineStr">
        <is>
          <t>Logar University Drip Irrigation Scheme</t>
        </is>
      </c>
      <c r="G103" s="44" t="inlineStr">
        <is>
          <t>Drip Irrigation</t>
        </is>
      </c>
      <c r="H103" s="44" t="inlineStr">
        <is>
          <t>Drip Irrigation Plot</t>
        </is>
      </c>
      <c r="I103" s="44" t="inlineStr">
        <is>
          <t>Emergency Food Security Project (EFSP) – WBK/AF-2</t>
        </is>
      </c>
      <c r="J103" s="44" t="inlineStr">
        <is>
          <t>Southeast / Gardez</t>
        </is>
      </c>
      <c r="K103" s="44" t="inlineStr">
        <is>
          <t>Logar</t>
        </is>
      </c>
      <c r="L103" s="44" t="inlineStr">
        <is>
          <t>Pole Alam</t>
        </is>
      </c>
      <c r="M103" s="44" t="inlineStr">
        <is>
          <t>Logar University</t>
        </is>
      </c>
      <c r="N103" s="44" t="inlineStr">
        <is>
          <t>World Bank (WBK/AF-2)</t>
        </is>
      </c>
      <c r="O103" s="44" t="inlineStr">
        <is>
          <t>Not awarded</t>
        </is>
      </c>
      <c r="P103" s="44" t="inlineStr">
        <is>
          <t>5. Drip Irrigation systems</t>
        </is>
      </c>
      <c r="Q103" s="44" t="inlineStr">
        <is>
          <t>Islam Gul</t>
        </is>
      </c>
      <c r="R103" s="44" t="inlineStr"/>
      <c r="S103" s="45" t="n"/>
      <c r="T103" s="46" t="inlineStr">
        <is>
          <t>IF(AQ103="","",AQ103)</t>
        </is>
      </c>
      <c r="U103" s="47" t="n">
        <v>46381</v>
      </c>
      <c r="V103" s="48" t="n">
        <v>6.2</v>
      </c>
      <c r="W103" s="47" t="n">
        <v>46571</v>
      </c>
      <c r="X103" s="46" t="inlineStr">
        <is>
          <t>IF(W103&lt;&gt;"",W103,IF(OR(T103="",V103=""),"",EDATE(T103,V103)))</t>
        </is>
      </c>
      <c r="Y103" s="47" t="n"/>
      <c r="Z103" s="48" t="n"/>
      <c r="AA103" s="44" t="inlineStr">
        <is>
          <t>Retendered (Re-ITB)</t>
        </is>
      </c>
      <c r="AB103" s="44" t="inlineStr">
        <is>
          <t>Slack period up to end March. Four months construction period starting from April 2026. | Farmer: Islam Gul</t>
        </is>
      </c>
      <c r="AC103" s="42" t="inlineStr">
        <is>
          <t>IF(F103="","",IF(COUNT(AI103:AV103)=0,IF(AA103="","Not started",AA103),SUBSTITUTE(LOOKUP(2,1/(AI103:AV103&lt;&gt;""),$AI$3:$AV$3),"Date: ","")))</t>
        </is>
      </c>
      <c r="AD103" s="49" t="inlineStr">
        <is>
          <t>IF(OR(F103="",COUNT(AI103:AV103)=0),"",TODAY()-LOOKUP(2,1/(AI103:AV103&lt;&gt;""),AI103:AV103))</t>
        </is>
      </c>
      <c r="AE103" s="49" t="inlineStr">
        <is>
          <t>IF(OR(F103="",COUNT(AI103:AV103)&lt;2),"",LOOKUP(2,1/(AI103:AV103&lt;&gt;""),AI103:AV103)-MIN(AI103:AV103))</t>
        </is>
      </c>
      <c r="AF103" s="49" t="inlineStr">
        <is>
          <t>IF(OR(AD103="",AC103="Not started",AC103=""),"",IFERROR(AD103-IF(VLOOKUP(AC103,'06_Status_Pipeline'!$B$3:$E$20,4,FALSE)="",0,VLOOKUP(AC103,'06_Status_Pipeline'!$B$3:$E$20,4,FALSE)),""))</t>
        </is>
      </c>
      <c r="AG103" s="42" t="inlineStr">
        <is>
          <t>IF(F103="","",IF(OR(AA103="Cancelled",AC103="Cancelled"),"Cancelled",IF(OR(AC103="Completed / Handover",Y103&lt;&gt;"",Z103&gt;=100),"Completed — on track",IF(O103="Not awarded",IF(U103="",IF(X103="","No planned date",IF(TODAY()&gt;X103,"Behind — past planned date",IF(X103-TODAY()&lt;=30,"At risk — close to off track","On track"))),IF(TODAY()&gt;U103,"Behind — award date passed",IF(U103-TODAY()&lt;=30,"At risk — close to off track","On track"))),IF(X103="","No planned date",IF(AND(TODAY()&gt;X103,OR(Z103="",Z103&lt;100)),"Behind — past end date",IF(AND(T103&lt;&gt;"",X103&lt;&gt;"",Z103&lt;&gt;"",(Z103&lt;100),((TODAY()-T103)/MAX(X103-T103,1)*100)-Z103&gt;15),"Behind — progress lag",IF(AND(X103-TODAY()&lt;=30,X103-TODAY()&gt;=0,OR(Z103="",Z103&lt;90)),"At risk — close to off track","On track"))))))))</t>
        </is>
      </c>
      <c r="AH103" s="49" t="inlineStr">
        <is>
          <t>IF(OR(F103="",AC103="Completed / Handover",AC103="Cancelled"),"",IF(O103="Not awarded",IF(U103&lt;&gt;"",U103-TODAY(),IF(X103="","",X103-TODAY())),IF(X103="","",X103-TODAY())))</t>
        </is>
      </c>
      <c r="AI103" s="47" t="n"/>
      <c r="AJ103" s="47" t="n"/>
      <c r="AK103" s="47" t="n"/>
      <c r="AL103" s="47" t="n"/>
      <c r="AM103" s="47" t="n"/>
      <c r="AN103" s="47" t="n"/>
      <c r="AO103" s="47" t="n"/>
      <c r="AP103" s="47" t="n"/>
      <c r="AQ103" s="47" t="n"/>
      <c r="AR103" s="47" t="n"/>
      <c r="AS103" s="47" t="n"/>
      <c r="AT103" s="50" t="n"/>
      <c r="AU103" s="50" t="n"/>
      <c r="AV103" s="50" t="n"/>
      <c r="AW103" s="49" t="inlineStr">
        <is>
          <t>IF(OR(F103="",AJ103=""),"",IF(COUNT(AI103:AI103)=0,"",AJ103-LOOKUP(2,1/(AI103:AI103&lt;&gt;""),AI103:AI103)))</t>
        </is>
      </c>
      <c r="AX103" s="49" t="inlineStr">
        <is>
          <t>IF(OR(F103="",AK103=""),"",IF(COUNT(AI103:AJ103)=0,"",AK103-LOOKUP(2,1/(AI103:AJ103&lt;&gt;""),AI103:AJ103)))</t>
        </is>
      </c>
      <c r="AY103" s="49" t="inlineStr">
        <is>
          <t>IF(OR(F103="",AL103=""),"",IF(COUNT(AI103:AK103)=0,"",AL103-LOOKUP(2,1/(AI103:AK103&lt;&gt;""),AI103:AK103)))</t>
        </is>
      </c>
      <c r="AZ103" s="49" t="inlineStr">
        <is>
          <t>IF(OR(F103="",AM103=""),"",IF(COUNT(AI103:AL103)=0,"",AM103-LOOKUP(2,1/(AI103:AL103&lt;&gt;""),AI103:AL103)))</t>
        </is>
      </c>
      <c r="BA103" s="49" t="inlineStr">
        <is>
          <t>IF(OR(F103="",AN103=""),"",IF(COUNT(AI103:AM103)=0,"",AN103-LOOKUP(2,1/(AI103:AM103&lt;&gt;""),AI103:AM103)))</t>
        </is>
      </c>
      <c r="BB103" s="49" t="inlineStr">
        <is>
          <t>IF(OR(F103="",AO103=""),"",IF(COUNT(AI103:AN103)=0,"",AO103-LOOKUP(2,1/(AI103:AN103&lt;&gt;""),AI103:AN103)))</t>
        </is>
      </c>
      <c r="BC103" s="49" t="inlineStr">
        <is>
          <t>IF(OR(F103="",AP103=""),"",IF(COUNT(AI103:AO103)=0,"",AP103-LOOKUP(2,1/(AI103:AO103&lt;&gt;""),AI103:AO103)))</t>
        </is>
      </c>
      <c r="BD103" s="49" t="inlineStr">
        <is>
          <t>IF(OR(F103="",AQ103=""),"",IF(COUNT(AI103:AP103)=0,"",AQ103-LOOKUP(2,1/(AI103:AP103&lt;&gt;""),AI103:AP103)))</t>
        </is>
      </c>
      <c r="BE103" s="49" t="inlineStr">
        <is>
          <t>IF(OR(F103="",AR103=""),"",IF(COUNT(AI103:AQ103)=0,"",AR103-LOOKUP(2,1/(AI103:AQ103&lt;&gt;""),AI103:AQ103)))</t>
        </is>
      </c>
      <c r="BF103" s="49" t="inlineStr">
        <is>
          <t>IF(OR(F103="",AS103=""),"",IF(COUNT(AI103:AR103)=0,"",AS103-LOOKUP(2,1/(AI103:AR103&lt;&gt;""),AI103:AR103)))</t>
        </is>
      </c>
      <c r="BG103" s="49" t="inlineStr">
        <is>
          <t>IF(OR(F103="",AT103=""),"",IF(COUNT(AI103:AS103)=0,"",AT103-LOOKUP(2,1/(AI103:AS103&lt;&gt;""),AI103:AS103)))</t>
        </is>
      </c>
      <c r="BH103" s="49" t="inlineStr">
        <is>
          <t>IF(OR(F103="",AU103=""),"",IF(COUNT(AI103:AT103)=0,"",AU103-LOOKUP(2,1/(AI103:AT103&lt;&gt;""),AI103:AT103)))</t>
        </is>
      </c>
      <c r="BI103" s="49" t="inlineStr">
        <is>
          <t>IF(OR(F103="",AV103=""),"",IF(COUNT(AI103:AU103)=0,"",AV103-LOOKUP(2,1/(AI103:AU103&lt;&gt;""),AI103:AU103)))</t>
        </is>
      </c>
      <c r="BJ103" s="51" t="inlineStr">
        <is>
          <t>IF(J103="","All_Provinces",IFERROR(VLOOKUP(J103,'09_Lookups'!$A$4:$B$20,2,FALSE),"All_Provinces"))</t>
        </is>
      </c>
      <c r="BK103" s="51" t="inlineStr">
        <is>
          <t>IF(K103="","All_Districts",IFERROR(VLOOKUP(K103,'09_Lookups'!$E$4:$F$42,2,FALSE),"All_Districts"))</t>
        </is>
      </c>
    </row>
    <row r="104" outlineLevel="1" ht="18" customHeight="1">
      <c r="A104" s="42" t="inlineStr">
        <is>
          <t>IF(F104="","",ROW()-3)</t>
        </is>
      </c>
      <c r="B104" s="63" t="inlineStr">
        <is>
          <t>AF2-DIS-05</t>
        </is>
      </c>
      <c r="C104"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4" s="63" t="inlineStr">
        <is>
          <t>10 of 15</t>
        </is>
      </c>
      <c r="E104" s="52" t="inlineStr">
        <is>
          <t>AF2-DIS-N-062</t>
        </is>
      </c>
      <c r="F104" s="52" t="inlineStr">
        <is>
          <t>Milma Kot Bagh Drip Irrigation Schem</t>
        </is>
      </c>
      <c r="G104" s="52" t="inlineStr">
        <is>
          <t>Drip Irrigation</t>
        </is>
      </c>
      <c r="H104" s="52" t="inlineStr">
        <is>
          <t>Drip Irrigation Plot</t>
        </is>
      </c>
      <c r="I104" s="52" t="inlineStr">
        <is>
          <t>Emergency Food Security Project (EFSP) – WBK/AF-2</t>
        </is>
      </c>
      <c r="J104" s="52" t="inlineStr">
        <is>
          <t>Southeast / Gardez</t>
        </is>
      </c>
      <c r="K104" s="52" t="inlineStr">
        <is>
          <t>Khost</t>
        </is>
      </c>
      <c r="L104" s="52" t="inlineStr">
        <is>
          <t>Matoon</t>
        </is>
      </c>
      <c r="M104" s="52" t="inlineStr">
        <is>
          <t>Milma Kot Bagh</t>
        </is>
      </c>
      <c r="N104" s="52" t="inlineStr">
        <is>
          <t>World Bank (WBK/AF-2)</t>
        </is>
      </c>
      <c r="O104" s="52" t="inlineStr">
        <is>
          <t>Not awarded</t>
        </is>
      </c>
      <c r="P104" s="52" t="inlineStr">
        <is>
          <t>5. Drip Irrigation systems</t>
        </is>
      </c>
      <c r="Q104" s="52" t="inlineStr">
        <is>
          <t>Saifullah</t>
        </is>
      </c>
      <c r="R104" s="52" t="inlineStr"/>
      <c r="S104" s="53" t="n"/>
      <c r="T104" s="46" t="inlineStr">
        <is>
          <t>IF(AQ104="","",AQ104)</t>
        </is>
      </c>
      <c r="U104" s="54" t="n">
        <v>46381</v>
      </c>
      <c r="V104" s="55" t="n">
        <v>6.2</v>
      </c>
      <c r="W104" s="54" t="n">
        <v>46571</v>
      </c>
      <c r="X104" s="46" t="inlineStr">
        <is>
          <t>IF(W104&lt;&gt;"",W104,IF(OR(T104="",V104=""),"",EDATE(T104,V104)))</t>
        </is>
      </c>
      <c r="Y104" s="54" t="n"/>
      <c r="Z104" s="55" t="n"/>
      <c r="AA104" s="52" t="inlineStr">
        <is>
          <t>Retendered (Re-ITB)</t>
        </is>
      </c>
      <c r="AB104" s="52" t="inlineStr">
        <is>
          <t>Slack period up to end March. Four months construction period starting from April 2026. | Farmer: Saifullah</t>
        </is>
      </c>
      <c r="AC104" s="42" t="inlineStr">
        <is>
          <t>IF(F104="","",IF(COUNT(AI104:AV104)=0,IF(AA104="","Not started",AA104),SUBSTITUTE(LOOKUP(2,1/(AI104:AV104&lt;&gt;""),$AI$3:$AV$3),"Date: ","")))</t>
        </is>
      </c>
      <c r="AD104" s="49" t="inlineStr">
        <is>
          <t>IF(OR(F104="",COUNT(AI104:AV104)=0),"",TODAY()-LOOKUP(2,1/(AI104:AV104&lt;&gt;""),AI104:AV104))</t>
        </is>
      </c>
      <c r="AE104" s="49" t="inlineStr">
        <is>
          <t>IF(OR(F104="",COUNT(AI104:AV104)&lt;2),"",LOOKUP(2,1/(AI104:AV104&lt;&gt;""),AI104:AV104)-MIN(AI104:AV104))</t>
        </is>
      </c>
      <c r="AF104" s="49" t="inlineStr">
        <is>
          <t>IF(OR(AD104="",AC104="Not started",AC104=""),"",IFERROR(AD104-IF(VLOOKUP(AC104,'06_Status_Pipeline'!$B$3:$E$20,4,FALSE)="",0,VLOOKUP(AC104,'06_Status_Pipeline'!$B$3:$E$20,4,FALSE)),""))</t>
        </is>
      </c>
      <c r="AG104" s="42" t="inlineStr">
        <is>
          <t>IF(F104="","",IF(OR(AA104="Cancelled",AC104="Cancelled"),"Cancelled",IF(OR(AC104="Completed / Handover",Y104&lt;&gt;"",Z104&gt;=100),"Completed — on track",IF(O104="Not awarded",IF(U104="",IF(X104="","No planned date",IF(TODAY()&gt;X104,"Behind — past planned date",IF(X104-TODAY()&lt;=30,"At risk — close to off track","On track"))),IF(TODAY()&gt;U104,"Behind — award date passed",IF(U104-TODAY()&lt;=30,"At risk — close to off track","On track"))),IF(X104="","No planned date",IF(AND(TODAY()&gt;X104,OR(Z104="",Z104&lt;100)),"Behind — past end date",IF(AND(T104&lt;&gt;"",X104&lt;&gt;"",Z104&lt;&gt;"",(Z104&lt;100),((TODAY()-T104)/MAX(X104-T104,1)*100)-Z104&gt;15),"Behind — progress lag",IF(AND(X104-TODAY()&lt;=30,X104-TODAY()&gt;=0,OR(Z104="",Z104&lt;90)),"At risk — close to off track","On track"))))))))</t>
        </is>
      </c>
      <c r="AH104" s="49" t="inlineStr">
        <is>
          <t>IF(OR(F104="",AC104="Completed / Handover",AC104="Cancelled"),"",IF(O104="Not awarded",IF(U104&lt;&gt;"",U104-TODAY(),IF(X104="","",X104-TODAY())),IF(X104="","",X104-TODAY())))</t>
        </is>
      </c>
      <c r="AI104" s="54" t="n"/>
      <c r="AJ104" s="54" t="n"/>
      <c r="AK104" s="54" t="n"/>
      <c r="AL104" s="54" t="n"/>
      <c r="AM104" s="54" t="n"/>
      <c r="AN104" s="54" t="n"/>
      <c r="AO104" s="54" t="n"/>
      <c r="AP104" s="54" t="n"/>
      <c r="AQ104" s="54" t="n"/>
      <c r="AR104" s="54" t="n"/>
      <c r="AS104" s="54" t="n"/>
      <c r="AT104" s="50" t="n"/>
      <c r="AU104" s="50" t="n"/>
      <c r="AV104" s="50" t="n"/>
      <c r="AW104" s="49" t="inlineStr">
        <is>
          <t>IF(OR(F104="",AJ104=""),"",IF(COUNT(AI104:AI104)=0,"",AJ104-LOOKUP(2,1/(AI104:AI104&lt;&gt;""),AI104:AI104)))</t>
        </is>
      </c>
      <c r="AX104" s="49" t="inlineStr">
        <is>
          <t>IF(OR(F104="",AK104=""),"",IF(COUNT(AI104:AJ104)=0,"",AK104-LOOKUP(2,1/(AI104:AJ104&lt;&gt;""),AI104:AJ104)))</t>
        </is>
      </c>
      <c r="AY104" s="49" t="inlineStr">
        <is>
          <t>IF(OR(F104="",AL104=""),"",IF(COUNT(AI104:AK104)=0,"",AL104-LOOKUP(2,1/(AI104:AK104&lt;&gt;""),AI104:AK104)))</t>
        </is>
      </c>
      <c r="AZ104" s="49" t="inlineStr">
        <is>
          <t>IF(OR(F104="",AM104=""),"",IF(COUNT(AI104:AL104)=0,"",AM104-LOOKUP(2,1/(AI104:AL104&lt;&gt;""),AI104:AL104)))</t>
        </is>
      </c>
      <c r="BA104" s="49" t="inlineStr">
        <is>
          <t>IF(OR(F104="",AN104=""),"",IF(COUNT(AI104:AM104)=0,"",AN104-LOOKUP(2,1/(AI104:AM104&lt;&gt;""),AI104:AM104)))</t>
        </is>
      </c>
      <c r="BB104" s="49" t="inlineStr">
        <is>
          <t>IF(OR(F104="",AO104=""),"",IF(COUNT(AI104:AN104)=0,"",AO104-LOOKUP(2,1/(AI104:AN104&lt;&gt;""),AI104:AN104)))</t>
        </is>
      </c>
      <c r="BC104" s="49" t="inlineStr">
        <is>
          <t>IF(OR(F104="",AP104=""),"",IF(COUNT(AI104:AO104)=0,"",AP104-LOOKUP(2,1/(AI104:AO104&lt;&gt;""),AI104:AO104)))</t>
        </is>
      </c>
      <c r="BD104" s="49" t="inlineStr">
        <is>
          <t>IF(OR(F104="",AQ104=""),"",IF(COUNT(AI104:AP104)=0,"",AQ104-LOOKUP(2,1/(AI104:AP104&lt;&gt;""),AI104:AP104)))</t>
        </is>
      </c>
      <c r="BE104" s="49" t="inlineStr">
        <is>
          <t>IF(OR(F104="",AR104=""),"",IF(COUNT(AI104:AQ104)=0,"",AR104-LOOKUP(2,1/(AI104:AQ104&lt;&gt;""),AI104:AQ104)))</t>
        </is>
      </c>
      <c r="BF104" s="49" t="inlineStr">
        <is>
          <t>IF(OR(F104="",AS104=""),"",IF(COUNT(AI104:AR104)=0,"",AS104-LOOKUP(2,1/(AI104:AR104&lt;&gt;""),AI104:AR104)))</t>
        </is>
      </c>
      <c r="BG104" s="49" t="inlineStr">
        <is>
          <t>IF(OR(F104="",AT104=""),"",IF(COUNT(AI104:AS104)=0,"",AT104-LOOKUP(2,1/(AI104:AS104&lt;&gt;""),AI104:AS104)))</t>
        </is>
      </c>
      <c r="BH104" s="49" t="inlineStr">
        <is>
          <t>IF(OR(F104="",AU104=""),"",IF(COUNT(AI104:AT104)=0,"",AU104-LOOKUP(2,1/(AI104:AT104&lt;&gt;""),AI104:AT104)))</t>
        </is>
      </c>
      <c r="BI104" s="49" t="inlineStr">
        <is>
          <t>IF(OR(F104="",AV104=""),"",IF(COUNT(AI104:AU104)=0,"",AV104-LOOKUP(2,1/(AI104:AU104&lt;&gt;""),AI104:AU104)))</t>
        </is>
      </c>
      <c r="BJ104" s="51" t="inlineStr">
        <is>
          <t>IF(J104="","All_Provinces",IFERROR(VLOOKUP(J104,'09_Lookups'!$A$4:$B$20,2,FALSE),"All_Provinces"))</t>
        </is>
      </c>
      <c r="BK104" s="51" t="inlineStr">
        <is>
          <t>IF(K104="","All_Districts",IFERROR(VLOOKUP(K104,'09_Lookups'!$E$4:$F$42,2,FALSE),"All_Districts"))</t>
        </is>
      </c>
    </row>
    <row r="105" outlineLevel="1" ht="18" customHeight="1">
      <c r="A105" s="42" t="inlineStr">
        <is>
          <t>IF(F105="","",ROW()-3)</t>
        </is>
      </c>
      <c r="B105" s="63" t="inlineStr">
        <is>
          <t>AF2-DIS-05</t>
        </is>
      </c>
      <c r="C105"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5" s="63" t="inlineStr">
        <is>
          <t>11 of 15</t>
        </is>
      </c>
      <c r="E105" s="44" t="inlineStr">
        <is>
          <t>AF2-DIS-N-063</t>
        </is>
      </c>
      <c r="F105" s="44" t="inlineStr">
        <is>
          <t>Nawe Patana Drip Irrigation Scheme</t>
        </is>
      </c>
      <c r="G105" s="44" t="inlineStr">
        <is>
          <t>Drip Irrigation</t>
        </is>
      </c>
      <c r="H105" s="44" t="inlineStr">
        <is>
          <t>Drip Irrigation Plot</t>
        </is>
      </c>
      <c r="I105" s="44" t="inlineStr">
        <is>
          <t>Emergency Food Security Project (EFSP) – WBK/AF-2</t>
        </is>
      </c>
      <c r="J105" s="44" t="inlineStr">
        <is>
          <t>Southeast / Gardez</t>
        </is>
      </c>
      <c r="K105" s="44" t="inlineStr">
        <is>
          <t>Pakteka</t>
        </is>
      </c>
      <c r="L105" s="44" t="inlineStr">
        <is>
          <t>Sharana</t>
        </is>
      </c>
      <c r="M105" s="44" t="inlineStr">
        <is>
          <t>Patana</t>
        </is>
      </c>
      <c r="N105" s="44" t="inlineStr">
        <is>
          <t>World Bank (WBK/AF-2)</t>
        </is>
      </c>
      <c r="O105" s="44" t="inlineStr">
        <is>
          <t>Not awarded</t>
        </is>
      </c>
      <c r="P105" s="44" t="inlineStr">
        <is>
          <t>5. Drip Irrigation systems</t>
        </is>
      </c>
      <c r="Q105" s="44" t="inlineStr">
        <is>
          <t>Ghazi Khan</t>
        </is>
      </c>
      <c r="R105" s="44" t="inlineStr"/>
      <c r="S105" s="45" t="n"/>
      <c r="T105" s="46" t="inlineStr">
        <is>
          <t>IF(AQ105="","",AQ105)</t>
        </is>
      </c>
      <c r="U105" s="47" t="n">
        <v>46381</v>
      </c>
      <c r="V105" s="48" t="n">
        <v>6.2</v>
      </c>
      <c r="W105" s="47" t="n">
        <v>46571</v>
      </c>
      <c r="X105" s="46" t="inlineStr">
        <is>
          <t>IF(W105&lt;&gt;"",W105,IF(OR(T105="",V105=""),"",EDATE(T105,V105)))</t>
        </is>
      </c>
      <c r="Y105" s="47" t="n"/>
      <c r="Z105" s="48" t="n"/>
      <c r="AA105" s="44" t="inlineStr">
        <is>
          <t>Retendered (Re-ITB)</t>
        </is>
      </c>
      <c r="AB105" s="44" t="inlineStr">
        <is>
          <t>Slack period up to end March. Four months construction period starting from April 2026. | Farmer: Ghazi Khan</t>
        </is>
      </c>
      <c r="AC105" s="42" t="inlineStr">
        <is>
          <t>IF(F105="","",IF(COUNT(AI105:AV105)=0,IF(AA105="","Not started",AA105),SUBSTITUTE(LOOKUP(2,1/(AI105:AV105&lt;&gt;""),$AI$3:$AV$3),"Date: ","")))</t>
        </is>
      </c>
      <c r="AD105" s="49" t="inlineStr">
        <is>
          <t>IF(OR(F105="",COUNT(AI105:AV105)=0),"",TODAY()-LOOKUP(2,1/(AI105:AV105&lt;&gt;""),AI105:AV105))</t>
        </is>
      </c>
      <c r="AE105" s="49" t="inlineStr">
        <is>
          <t>IF(OR(F105="",COUNT(AI105:AV105)&lt;2),"",LOOKUP(2,1/(AI105:AV105&lt;&gt;""),AI105:AV105)-MIN(AI105:AV105))</t>
        </is>
      </c>
      <c r="AF105" s="49" t="inlineStr">
        <is>
          <t>IF(OR(AD105="",AC105="Not started",AC105=""),"",IFERROR(AD105-IF(VLOOKUP(AC105,'06_Status_Pipeline'!$B$3:$E$20,4,FALSE)="",0,VLOOKUP(AC105,'06_Status_Pipeline'!$B$3:$E$20,4,FALSE)),""))</t>
        </is>
      </c>
      <c r="AG105" s="42" t="inlineStr">
        <is>
          <t>IF(F105="","",IF(OR(AA105="Cancelled",AC105="Cancelled"),"Cancelled",IF(OR(AC105="Completed / Handover",Y105&lt;&gt;"",Z105&gt;=100),"Completed — on track",IF(O105="Not awarded",IF(U105="",IF(X105="","No planned date",IF(TODAY()&gt;X105,"Behind — past planned date",IF(X105-TODAY()&lt;=30,"At risk — close to off track","On track"))),IF(TODAY()&gt;U105,"Behind — award date passed",IF(U105-TODAY()&lt;=30,"At risk — close to off track","On track"))),IF(X105="","No planned date",IF(AND(TODAY()&gt;X105,OR(Z105="",Z105&lt;100)),"Behind — past end date",IF(AND(T105&lt;&gt;"",X105&lt;&gt;"",Z105&lt;&gt;"",(Z105&lt;100),((TODAY()-T105)/MAX(X105-T105,1)*100)-Z105&gt;15),"Behind — progress lag",IF(AND(X105-TODAY()&lt;=30,X105-TODAY()&gt;=0,OR(Z105="",Z105&lt;90)),"At risk — close to off track","On track"))))))))</t>
        </is>
      </c>
      <c r="AH105" s="49" t="inlineStr">
        <is>
          <t>IF(OR(F105="",AC105="Completed / Handover",AC105="Cancelled"),"",IF(O105="Not awarded",IF(U105&lt;&gt;"",U105-TODAY(),IF(X105="","",X105-TODAY())),IF(X105="","",X105-TODAY())))</t>
        </is>
      </c>
      <c r="AI105" s="47" t="n"/>
      <c r="AJ105" s="47" t="n"/>
      <c r="AK105" s="47" t="n"/>
      <c r="AL105" s="47" t="n"/>
      <c r="AM105" s="47" t="n"/>
      <c r="AN105" s="47" t="n"/>
      <c r="AO105" s="47" t="n"/>
      <c r="AP105" s="47" t="n"/>
      <c r="AQ105" s="47" t="n"/>
      <c r="AR105" s="47" t="n"/>
      <c r="AS105" s="47" t="n"/>
      <c r="AT105" s="50" t="n"/>
      <c r="AU105" s="50" t="n"/>
      <c r="AV105" s="50" t="n"/>
      <c r="AW105" s="49" t="inlineStr">
        <is>
          <t>IF(OR(F105="",AJ105=""),"",IF(COUNT(AI105:AI105)=0,"",AJ105-LOOKUP(2,1/(AI105:AI105&lt;&gt;""),AI105:AI105)))</t>
        </is>
      </c>
      <c r="AX105" s="49" t="inlineStr">
        <is>
          <t>IF(OR(F105="",AK105=""),"",IF(COUNT(AI105:AJ105)=0,"",AK105-LOOKUP(2,1/(AI105:AJ105&lt;&gt;""),AI105:AJ105)))</t>
        </is>
      </c>
      <c r="AY105" s="49" t="inlineStr">
        <is>
          <t>IF(OR(F105="",AL105=""),"",IF(COUNT(AI105:AK105)=0,"",AL105-LOOKUP(2,1/(AI105:AK105&lt;&gt;""),AI105:AK105)))</t>
        </is>
      </c>
      <c r="AZ105" s="49" t="inlineStr">
        <is>
          <t>IF(OR(F105="",AM105=""),"",IF(COUNT(AI105:AL105)=0,"",AM105-LOOKUP(2,1/(AI105:AL105&lt;&gt;""),AI105:AL105)))</t>
        </is>
      </c>
      <c r="BA105" s="49" t="inlineStr">
        <is>
          <t>IF(OR(F105="",AN105=""),"",IF(COUNT(AI105:AM105)=0,"",AN105-LOOKUP(2,1/(AI105:AM105&lt;&gt;""),AI105:AM105)))</t>
        </is>
      </c>
      <c r="BB105" s="49" t="inlineStr">
        <is>
          <t>IF(OR(F105="",AO105=""),"",IF(COUNT(AI105:AN105)=0,"",AO105-LOOKUP(2,1/(AI105:AN105&lt;&gt;""),AI105:AN105)))</t>
        </is>
      </c>
      <c r="BC105" s="49" t="inlineStr">
        <is>
          <t>IF(OR(F105="",AP105=""),"",IF(COUNT(AI105:AO105)=0,"",AP105-LOOKUP(2,1/(AI105:AO105&lt;&gt;""),AI105:AO105)))</t>
        </is>
      </c>
      <c r="BD105" s="49" t="inlineStr">
        <is>
          <t>IF(OR(F105="",AQ105=""),"",IF(COUNT(AI105:AP105)=0,"",AQ105-LOOKUP(2,1/(AI105:AP105&lt;&gt;""),AI105:AP105)))</t>
        </is>
      </c>
      <c r="BE105" s="49" t="inlineStr">
        <is>
          <t>IF(OR(F105="",AR105=""),"",IF(COUNT(AI105:AQ105)=0,"",AR105-LOOKUP(2,1/(AI105:AQ105&lt;&gt;""),AI105:AQ105)))</t>
        </is>
      </c>
      <c r="BF105" s="49" t="inlineStr">
        <is>
          <t>IF(OR(F105="",AS105=""),"",IF(COUNT(AI105:AR105)=0,"",AS105-LOOKUP(2,1/(AI105:AR105&lt;&gt;""),AI105:AR105)))</t>
        </is>
      </c>
      <c r="BG105" s="49" t="inlineStr">
        <is>
          <t>IF(OR(F105="",AT105=""),"",IF(COUNT(AI105:AS105)=0,"",AT105-LOOKUP(2,1/(AI105:AS105&lt;&gt;""),AI105:AS105)))</t>
        </is>
      </c>
      <c r="BH105" s="49" t="inlineStr">
        <is>
          <t>IF(OR(F105="",AU105=""),"",IF(COUNT(AI105:AT105)=0,"",AU105-LOOKUP(2,1/(AI105:AT105&lt;&gt;""),AI105:AT105)))</t>
        </is>
      </c>
      <c r="BI105" s="49" t="inlineStr">
        <is>
          <t>IF(OR(F105="",AV105=""),"",IF(COUNT(AI105:AU105)=0,"",AV105-LOOKUP(2,1/(AI105:AU105&lt;&gt;""),AI105:AU105)))</t>
        </is>
      </c>
      <c r="BJ105" s="51" t="inlineStr">
        <is>
          <t>IF(J105="","All_Provinces",IFERROR(VLOOKUP(J105,'09_Lookups'!$A$4:$B$20,2,FALSE),"All_Provinces"))</t>
        </is>
      </c>
      <c r="BK105" s="51" t="inlineStr">
        <is>
          <t>IF(K105="","All_Districts",IFERROR(VLOOKUP(K105,'09_Lookups'!$E$4:$F$42,2,FALSE),"All_Districts"))</t>
        </is>
      </c>
    </row>
    <row r="106" outlineLevel="1" ht="18" customHeight="1">
      <c r="A106" s="42" t="inlineStr">
        <is>
          <t>IF(F106="","",ROW()-3)</t>
        </is>
      </c>
      <c r="B106" s="63" t="inlineStr">
        <is>
          <t>AF2-DIS-05</t>
        </is>
      </c>
      <c r="C106"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6" s="63" t="inlineStr">
        <is>
          <t>12 of 15</t>
        </is>
      </c>
      <c r="E106" s="52" t="inlineStr">
        <is>
          <t>AF2-DIS-N-064</t>
        </is>
      </c>
      <c r="F106" s="52" t="inlineStr">
        <is>
          <t>Nughi Drip Irrigation Scheme</t>
        </is>
      </c>
      <c r="G106" s="52" t="inlineStr">
        <is>
          <t>Drip Irrigation</t>
        </is>
      </c>
      <c r="H106" s="52" t="inlineStr">
        <is>
          <t>Drip Irrigation Plot</t>
        </is>
      </c>
      <c r="I106" s="52" t="inlineStr">
        <is>
          <t>Emergency Food Security Project (EFSP) – WBK/AF-2</t>
        </is>
      </c>
      <c r="J106" s="52" t="inlineStr">
        <is>
          <t>Southeast / Gardez</t>
        </is>
      </c>
      <c r="K106" s="52" t="inlineStr">
        <is>
          <t>Ghazni</t>
        </is>
      </c>
      <c r="L106" s="52" t="inlineStr">
        <is>
          <t>Center</t>
        </is>
      </c>
      <c r="M106" s="52" t="inlineStr">
        <is>
          <t>Nughi</t>
        </is>
      </c>
      <c r="N106" s="52" t="inlineStr">
        <is>
          <t>World Bank (WBK/AF-2)</t>
        </is>
      </c>
      <c r="O106" s="52" t="inlineStr">
        <is>
          <t>Not awarded</t>
        </is>
      </c>
      <c r="P106" s="52" t="inlineStr">
        <is>
          <t>5. Drip Irrigation systems</t>
        </is>
      </c>
      <c r="Q106" s="52" t="inlineStr">
        <is>
          <t>Hakim Khan</t>
        </is>
      </c>
      <c r="R106" s="52" t="inlineStr"/>
      <c r="S106" s="53" t="n"/>
      <c r="T106" s="46" t="inlineStr">
        <is>
          <t>IF(AQ106="","",AQ106)</t>
        </is>
      </c>
      <c r="U106" s="54" t="n">
        <v>46381</v>
      </c>
      <c r="V106" s="55" t="n">
        <v>6.2</v>
      </c>
      <c r="W106" s="54" t="n">
        <v>46571</v>
      </c>
      <c r="X106" s="46" t="inlineStr">
        <is>
          <t>IF(W106&lt;&gt;"",W106,IF(OR(T106="",V106=""),"",EDATE(T106,V106)))</t>
        </is>
      </c>
      <c r="Y106" s="54" t="n"/>
      <c r="Z106" s="55" t="n"/>
      <c r="AA106" s="52" t="inlineStr">
        <is>
          <t>Retendered (Re-ITB)</t>
        </is>
      </c>
      <c r="AB106" s="52" t="inlineStr">
        <is>
          <t>Slack period up to end March. Four months construction period starting from April 2026. | Farmer: Hakim Khan</t>
        </is>
      </c>
      <c r="AC106" s="42" t="inlineStr">
        <is>
          <t>IF(F106="","",IF(COUNT(AI106:AV106)=0,IF(AA106="","Not started",AA106),SUBSTITUTE(LOOKUP(2,1/(AI106:AV106&lt;&gt;""),$AI$3:$AV$3),"Date: ","")))</t>
        </is>
      </c>
      <c r="AD106" s="49" t="inlineStr">
        <is>
          <t>IF(OR(F106="",COUNT(AI106:AV106)=0),"",TODAY()-LOOKUP(2,1/(AI106:AV106&lt;&gt;""),AI106:AV106))</t>
        </is>
      </c>
      <c r="AE106" s="49" t="inlineStr">
        <is>
          <t>IF(OR(F106="",COUNT(AI106:AV106)&lt;2),"",LOOKUP(2,1/(AI106:AV106&lt;&gt;""),AI106:AV106)-MIN(AI106:AV106))</t>
        </is>
      </c>
      <c r="AF106" s="49" t="inlineStr">
        <is>
          <t>IF(OR(AD106="",AC106="Not started",AC106=""),"",IFERROR(AD106-IF(VLOOKUP(AC106,'06_Status_Pipeline'!$B$3:$E$20,4,FALSE)="",0,VLOOKUP(AC106,'06_Status_Pipeline'!$B$3:$E$20,4,FALSE)),""))</t>
        </is>
      </c>
      <c r="AG106" s="42" t="inlineStr">
        <is>
          <t>IF(F106="","",IF(OR(AA106="Cancelled",AC106="Cancelled"),"Cancelled",IF(OR(AC106="Completed / Handover",Y106&lt;&gt;"",Z106&gt;=100),"Completed — on track",IF(O106="Not awarded",IF(U106="",IF(X106="","No planned date",IF(TODAY()&gt;X106,"Behind — past planned date",IF(X106-TODAY()&lt;=30,"At risk — close to off track","On track"))),IF(TODAY()&gt;U106,"Behind — award date passed",IF(U106-TODAY()&lt;=30,"At risk — close to off track","On track"))),IF(X106="","No planned date",IF(AND(TODAY()&gt;X106,OR(Z106="",Z106&lt;100)),"Behind — past end date",IF(AND(T106&lt;&gt;"",X106&lt;&gt;"",Z106&lt;&gt;"",(Z106&lt;100),((TODAY()-T106)/MAX(X106-T106,1)*100)-Z106&gt;15),"Behind — progress lag",IF(AND(X106-TODAY()&lt;=30,X106-TODAY()&gt;=0,OR(Z106="",Z106&lt;90)),"At risk — close to off track","On track"))))))))</t>
        </is>
      </c>
      <c r="AH106" s="49" t="inlineStr">
        <is>
          <t>IF(OR(F106="",AC106="Completed / Handover",AC106="Cancelled"),"",IF(O106="Not awarded",IF(U106&lt;&gt;"",U106-TODAY(),IF(X106="","",X106-TODAY())),IF(X106="","",X106-TODAY())))</t>
        </is>
      </c>
      <c r="AI106" s="54" t="n"/>
      <c r="AJ106" s="54" t="n"/>
      <c r="AK106" s="54" t="n"/>
      <c r="AL106" s="54" t="n"/>
      <c r="AM106" s="54" t="n"/>
      <c r="AN106" s="54" t="n"/>
      <c r="AO106" s="54" t="n"/>
      <c r="AP106" s="54" t="n"/>
      <c r="AQ106" s="54" t="n"/>
      <c r="AR106" s="54" t="n"/>
      <c r="AS106" s="54" t="n"/>
      <c r="AT106" s="50" t="n"/>
      <c r="AU106" s="50" t="n"/>
      <c r="AV106" s="50" t="n"/>
      <c r="AW106" s="49" t="inlineStr">
        <is>
          <t>IF(OR(F106="",AJ106=""),"",IF(COUNT(AI106:AI106)=0,"",AJ106-LOOKUP(2,1/(AI106:AI106&lt;&gt;""),AI106:AI106)))</t>
        </is>
      </c>
      <c r="AX106" s="49" t="inlineStr">
        <is>
          <t>IF(OR(F106="",AK106=""),"",IF(COUNT(AI106:AJ106)=0,"",AK106-LOOKUP(2,1/(AI106:AJ106&lt;&gt;""),AI106:AJ106)))</t>
        </is>
      </c>
      <c r="AY106" s="49" t="inlineStr">
        <is>
          <t>IF(OR(F106="",AL106=""),"",IF(COUNT(AI106:AK106)=0,"",AL106-LOOKUP(2,1/(AI106:AK106&lt;&gt;""),AI106:AK106)))</t>
        </is>
      </c>
      <c r="AZ106" s="49" t="inlineStr">
        <is>
          <t>IF(OR(F106="",AM106=""),"",IF(COUNT(AI106:AL106)=0,"",AM106-LOOKUP(2,1/(AI106:AL106&lt;&gt;""),AI106:AL106)))</t>
        </is>
      </c>
      <c r="BA106" s="49" t="inlineStr">
        <is>
          <t>IF(OR(F106="",AN106=""),"",IF(COUNT(AI106:AM106)=0,"",AN106-LOOKUP(2,1/(AI106:AM106&lt;&gt;""),AI106:AM106)))</t>
        </is>
      </c>
      <c r="BB106" s="49" t="inlineStr">
        <is>
          <t>IF(OR(F106="",AO106=""),"",IF(COUNT(AI106:AN106)=0,"",AO106-LOOKUP(2,1/(AI106:AN106&lt;&gt;""),AI106:AN106)))</t>
        </is>
      </c>
      <c r="BC106" s="49" t="inlineStr">
        <is>
          <t>IF(OR(F106="",AP106=""),"",IF(COUNT(AI106:AO106)=0,"",AP106-LOOKUP(2,1/(AI106:AO106&lt;&gt;""),AI106:AO106)))</t>
        </is>
      </c>
      <c r="BD106" s="49" t="inlineStr">
        <is>
          <t>IF(OR(F106="",AQ106=""),"",IF(COUNT(AI106:AP106)=0,"",AQ106-LOOKUP(2,1/(AI106:AP106&lt;&gt;""),AI106:AP106)))</t>
        </is>
      </c>
      <c r="BE106" s="49" t="inlineStr">
        <is>
          <t>IF(OR(F106="",AR106=""),"",IF(COUNT(AI106:AQ106)=0,"",AR106-LOOKUP(2,1/(AI106:AQ106&lt;&gt;""),AI106:AQ106)))</t>
        </is>
      </c>
      <c r="BF106" s="49" t="inlineStr">
        <is>
          <t>IF(OR(F106="",AS106=""),"",IF(COUNT(AI106:AR106)=0,"",AS106-LOOKUP(2,1/(AI106:AR106&lt;&gt;""),AI106:AR106)))</t>
        </is>
      </c>
      <c r="BG106" s="49" t="inlineStr">
        <is>
          <t>IF(OR(F106="",AT106=""),"",IF(COUNT(AI106:AS106)=0,"",AT106-LOOKUP(2,1/(AI106:AS106&lt;&gt;""),AI106:AS106)))</t>
        </is>
      </c>
      <c r="BH106" s="49" t="inlineStr">
        <is>
          <t>IF(OR(F106="",AU106=""),"",IF(COUNT(AI106:AT106)=0,"",AU106-LOOKUP(2,1/(AI106:AT106&lt;&gt;""),AI106:AT106)))</t>
        </is>
      </c>
      <c r="BI106" s="49" t="inlineStr">
        <is>
          <t>IF(OR(F106="",AV106=""),"",IF(COUNT(AI106:AU106)=0,"",AV106-LOOKUP(2,1/(AI106:AU106&lt;&gt;""),AI106:AU106)))</t>
        </is>
      </c>
      <c r="BJ106" s="51" t="inlineStr">
        <is>
          <t>IF(J106="","All_Provinces",IFERROR(VLOOKUP(J106,'09_Lookups'!$A$4:$B$20,2,FALSE),"All_Provinces"))</t>
        </is>
      </c>
      <c r="BK106" s="51" t="inlineStr">
        <is>
          <t>IF(K106="","All_Districts",IFERROR(VLOOKUP(K106,'09_Lookups'!$E$4:$F$42,2,FALSE),"All_Districts"))</t>
        </is>
      </c>
    </row>
    <row r="107" outlineLevel="1" ht="18" customHeight="1">
      <c r="A107" s="42" t="inlineStr">
        <is>
          <t>IF(F107="","",ROW()-3)</t>
        </is>
      </c>
      <c r="B107" s="63" t="inlineStr">
        <is>
          <t>AF2-DIS-05</t>
        </is>
      </c>
      <c r="C107"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7" s="63" t="inlineStr">
        <is>
          <t>13 of 15</t>
        </is>
      </c>
      <c r="E107" s="44" t="inlineStr">
        <is>
          <t>AF2-DIS-N-065</t>
        </is>
      </c>
      <c r="F107" s="44" t="inlineStr">
        <is>
          <t>Paktia University Drip irrigation Scheme</t>
        </is>
      </c>
      <c r="G107" s="44" t="inlineStr">
        <is>
          <t>Drip Irrigation</t>
        </is>
      </c>
      <c r="H107" s="44" t="inlineStr">
        <is>
          <t>Drip Irrigation Plot</t>
        </is>
      </c>
      <c r="I107" s="44" t="inlineStr">
        <is>
          <t>Emergency Food Security Project (EFSP) – WBK/AF-2</t>
        </is>
      </c>
      <c r="J107" s="44" t="inlineStr">
        <is>
          <t>Southeast / Gardez</t>
        </is>
      </c>
      <c r="K107" s="44" t="inlineStr">
        <is>
          <t>Paktya</t>
        </is>
      </c>
      <c r="L107" s="44" t="inlineStr">
        <is>
          <t>Gardez_center</t>
        </is>
      </c>
      <c r="M107" s="44" t="inlineStr">
        <is>
          <t>Beland Mazal</t>
        </is>
      </c>
      <c r="N107" s="44" t="inlineStr">
        <is>
          <t>World Bank (WBK/AF-2)</t>
        </is>
      </c>
      <c r="O107" s="44" t="inlineStr">
        <is>
          <t>Not awarded</t>
        </is>
      </c>
      <c r="P107" s="44" t="inlineStr">
        <is>
          <t>5. Drip Irrigation systems</t>
        </is>
      </c>
      <c r="Q107" s="44" t="inlineStr">
        <is>
          <t>Mohammad Rasool Gharani</t>
        </is>
      </c>
      <c r="R107" s="44" t="inlineStr"/>
      <c r="S107" s="45" t="n"/>
      <c r="T107" s="46" t="inlineStr">
        <is>
          <t>IF(AQ107="","",AQ107)</t>
        </is>
      </c>
      <c r="U107" s="47" t="n">
        <v>46381</v>
      </c>
      <c r="V107" s="48" t="n">
        <v>6.2</v>
      </c>
      <c r="W107" s="47" t="n">
        <v>46571</v>
      </c>
      <c r="X107" s="46" t="inlineStr">
        <is>
          <t>IF(W107&lt;&gt;"",W107,IF(OR(T107="",V107=""),"",EDATE(T107,V107)))</t>
        </is>
      </c>
      <c r="Y107" s="47" t="n"/>
      <c r="Z107" s="48" t="n"/>
      <c r="AA107" s="44" t="inlineStr">
        <is>
          <t>Retendered (Re-ITB)</t>
        </is>
      </c>
      <c r="AB107" s="44" t="inlineStr">
        <is>
          <t>Slack period up to end March. Four months construction period starting from April 2026. | Farmer: Mohammad Rasool Gharani</t>
        </is>
      </c>
      <c r="AC107" s="42" t="inlineStr">
        <is>
          <t>IF(F107="","",IF(COUNT(AI107:AV107)=0,IF(AA107="","Not started",AA107),SUBSTITUTE(LOOKUP(2,1/(AI107:AV107&lt;&gt;""),$AI$3:$AV$3),"Date: ","")))</t>
        </is>
      </c>
      <c r="AD107" s="49" t="inlineStr">
        <is>
          <t>IF(OR(F107="",COUNT(AI107:AV107)=0),"",TODAY()-LOOKUP(2,1/(AI107:AV107&lt;&gt;""),AI107:AV107))</t>
        </is>
      </c>
      <c r="AE107" s="49" t="inlineStr">
        <is>
          <t>IF(OR(F107="",COUNT(AI107:AV107)&lt;2),"",LOOKUP(2,1/(AI107:AV107&lt;&gt;""),AI107:AV107)-MIN(AI107:AV107))</t>
        </is>
      </c>
      <c r="AF107" s="49" t="inlineStr">
        <is>
          <t>IF(OR(AD107="",AC107="Not started",AC107=""),"",IFERROR(AD107-IF(VLOOKUP(AC107,'06_Status_Pipeline'!$B$3:$E$20,4,FALSE)="",0,VLOOKUP(AC107,'06_Status_Pipeline'!$B$3:$E$20,4,FALSE)),""))</t>
        </is>
      </c>
      <c r="AG107" s="42" t="inlineStr">
        <is>
          <t>IF(F107="","",IF(OR(AA107="Cancelled",AC107="Cancelled"),"Cancelled",IF(OR(AC107="Completed / Handover",Y107&lt;&gt;"",Z107&gt;=100),"Completed — on track",IF(O107="Not awarded",IF(U107="",IF(X107="","No planned date",IF(TODAY()&gt;X107,"Behind — past planned date",IF(X107-TODAY()&lt;=30,"At risk — close to off track","On track"))),IF(TODAY()&gt;U107,"Behind — award date passed",IF(U107-TODAY()&lt;=30,"At risk — close to off track","On track"))),IF(X107="","No planned date",IF(AND(TODAY()&gt;X107,OR(Z107="",Z107&lt;100)),"Behind — past end date",IF(AND(T107&lt;&gt;"",X107&lt;&gt;"",Z107&lt;&gt;"",(Z107&lt;100),((TODAY()-T107)/MAX(X107-T107,1)*100)-Z107&gt;15),"Behind — progress lag",IF(AND(X107-TODAY()&lt;=30,X107-TODAY()&gt;=0,OR(Z107="",Z107&lt;90)),"At risk — close to off track","On track"))))))))</t>
        </is>
      </c>
      <c r="AH107" s="49" t="inlineStr">
        <is>
          <t>IF(OR(F107="",AC107="Completed / Handover",AC107="Cancelled"),"",IF(O107="Not awarded",IF(U107&lt;&gt;"",U107-TODAY(),IF(X107="","",X107-TODAY())),IF(X107="","",X107-TODAY())))</t>
        </is>
      </c>
      <c r="AI107" s="47" t="n"/>
      <c r="AJ107" s="47" t="n"/>
      <c r="AK107" s="47" t="n"/>
      <c r="AL107" s="47" t="n"/>
      <c r="AM107" s="47" t="n"/>
      <c r="AN107" s="47" t="n"/>
      <c r="AO107" s="47" t="n"/>
      <c r="AP107" s="47" t="n"/>
      <c r="AQ107" s="47" t="n"/>
      <c r="AR107" s="47" t="n"/>
      <c r="AS107" s="47" t="n"/>
      <c r="AT107" s="50" t="n"/>
      <c r="AU107" s="50" t="n"/>
      <c r="AV107" s="50" t="n"/>
      <c r="AW107" s="49" t="inlineStr">
        <is>
          <t>IF(OR(F107="",AJ107=""),"",IF(COUNT(AI107:AI107)=0,"",AJ107-LOOKUP(2,1/(AI107:AI107&lt;&gt;""),AI107:AI107)))</t>
        </is>
      </c>
      <c r="AX107" s="49" t="inlineStr">
        <is>
          <t>IF(OR(F107="",AK107=""),"",IF(COUNT(AI107:AJ107)=0,"",AK107-LOOKUP(2,1/(AI107:AJ107&lt;&gt;""),AI107:AJ107)))</t>
        </is>
      </c>
      <c r="AY107" s="49" t="inlineStr">
        <is>
          <t>IF(OR(F107="",AL107=""),"",IF(COUNT(AI107:AK107)=0,"",AL107-LOOKUP(2,1/(AI107:AK107&lt;&gt;""),AI107:AK107)))</t>
        </is>
      </c>
      <c r="AZ107" s="49" t="inlineStr">
        <is>
          <t>IF(OR(F107="",AM107=""),"",IF(COUNT(AI107:AL107)=0,"",AM107-LOOKUP(2,1/(AI107:AL107&lt;&gt;""),AI107:AL107)))</t>
        </is>
      </c>
      <c r="BA107" s="49" t="inlineStr">
        <is>
          <t>IF(OR(F107="",AN107=""),"",IF(COUNT(AI107:AM107)=0,"",AN107-LOOKUP(2,1/(AI107:AM107&lt;&gt;""),AI107:AM107)))</t>
        </is>
      </c>
      <c r="BB107" s="49" t="inlineStr">
        <is>
          <t>IF(OR(F107="",AO107=""),"",IF(COUNT(AI107:AN107)=0,"",AO107-LOOKUP(2,1/(AI107:AN107&lt;&gt;""),AI107:AN107)))</t>
        </is>
      </c>
      <c r="BC107" s="49" t="inlineStr">
        <is>
          <t>IF(OR(F107="",AP107=""),"",IF(COUNT(AI107:AO107)=0,"",AP107-LOOKUP(2,1/(AI107:AO107&lt;&gt;""),AI107:AO107)))</t>
        </is>
      </c>
      <c r="BD107" s="49" t="inlineStr">
        <is>
          <t>IF(OR(F107="",AQ107=""),"",IF(COUNT(AI107:AP107)=0,"",AQ107-LOOKUP(2,1/(AI107:AP107&lt;&gt;""),AI107:AP107)))</t>
        </is>
      </c>
      <c r="BE107" s="49" t="inlineStr">
        <is>
          <t>IF(OR(F107="",AR107=""),"",IF(COUNT(AI107:AQ107)=0,"",AR107-LOOKUP(2,1/(AI107:AQ107&lt;&gt;""),AI107:AQ107)))</t>
        </is>
      </c>
      <c r="BF107" s="49" t="inlineStr">
        <is>
          <t>IF(OR(F107="",AS107=""),"",IF(COUNT(AI107:AR107)=0,"",AS107-LOOKUP(2,1/(AI107:AR107&lt;&gt;""),AI107:AR107)))</t>
        </is>
      </c>
      <c r="BG107" s="49" t="inlineStr">
        <is>
          <t>IF(OR(F107="",AT107=""),"",IF(COUNT(AI107:AS107)=0,"",AT107-LOOKUP(2,1/(AI107:AS107&lt;&gt;""),AI107:AS107)))</t>
        </is>
      </c>
      <c r="BH107" s="49" t="inlineStr">
        <is>
          <t>IF(OR(F107="",AU107=""),"",IF(COUNT(AI107:AT107)=0,"",AU107-LOOKUP(2,1/(AI107:AT107&lt;&gt;""),AI107:AT107)))</t>
        </is>
      </c>
      <c r="BI107" s="49" t="inlineStr">
        <is>
          <t>IF(OR(F107="",AV107=""),"",IF(COUNT(AI107:AU107)=0,"",AV107-LOOKUP(2,1/(AI107:AU107&lt;&gt;""),AI107:AU107)))</t>
        </is>
      </c>
      <c r="BJ107" s="51" t="inlineStr">
        <is>
          <t>IF(J107="","All_Provinces",IFERROR(VLOOKUP(J107,'09_Lookups'!$A$4:$B$20,2,FALSE),"All_Provinces"))</t>
        </is>
      </c>
      <c r="BK107" s="51" t="inlineStr">
        <is>
          <t>IF(K107="","All_Districts",IFERROR(VLOOKUP(K107,'09_Lookups'!$E$4:$F$42,2,FALSE),"All_Districts"))</t>
        </is>
      </c>
    </row>
    <row r="108" outlineLevel="1" ht="18" customHeight="1">
      <c r="A108" s="42" t="inlineStr">
        <is>
          <t>IF(F108="","",ROW()-3)</t>
        </is>
      </c>
      <c r="B108" s="63" t="inlineStr">
        <is>
          <t>AF2-DIS-05</t>
        </is>
      </c>
      <c r="C108"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8" s="63" t="inlineStr">
        <is>
          <t>14 of 15</t>
        </is>
      </c>
      <c r="E108" s="52" t="inlineStr">
        <is>
          <t>AF2-DIS-N-066</t>
        </is>
      </c>
      <c r="F108" s="52" t="inlineStr">
        <is>
          <t>Sahra Bagh Drip Irrigation Scheme</t>
        </is>
      </c>
      <c r="G108" s="52" t="inlineStr">
        <is>
          <t>Drip Irrigation</t>
        </is>
      </c>
      <c r="H108" s="52" t="inlineStr">
        <is>
          <t>Drip Irrigation Plot</t>
        </is>
      </c>
      <c r="I108" s="52" t="inlineStr">
        <is>
          <t>Emergency Food Security Project (EFSP) – WBK/AF-2</t>
        </is>
      </c>
      <c r="J108" s="52" t="inlineStr">
        <is>
          <t>Southeast / Gardez</t>
        </is>
      </c>
      <c r="K108" s="52" t="inlineStr">
        <is>
          <t>Khost</t>
        </is>
      </c>
      <c r="L108" s="52" t="inlineStr">
        <is>
          <t>Matoon</t>
        </is>
      </c>
      <c r="M108" s="52" t="inlineStr">
        <is>
          <t>Sahra bagh</t>
        </is>
      </c>
      <c r="N108" s="52" t="inlineStr">
        <is>
          <t>World Bank (WBK/AF-2)</t>
        </is>
      </c>
      <c r="O108" s="52" t="inlineStr">
        <is>
          <t>Not awarded</t>
        </is>
      </c>
      <c r="P108" s="52" t="inlineStr">
        <is>
          <t>5. Drip Irrigation systems</t>
        </is>
      </c>
      <c r="Q108" s="52" t="inlineStr">
        <is>
          <t>Gafoor Jan</t>
        </is>
      </c>
      <c r="R108" s="52" t="inlineStr"/>
      <c r="S108" s="53" t="n"/>
      <c r="T108" s="46" t="inlineStr">
        <is>
          <t>IF(AQ108="","",AQ108)</t>
        </is>
      </c>
      <c r="U108" s="54" t="n">
        <v>46381</v>
      </c>
      <c r="V108" s="55" t="n">
        <v>6.2</v>
      </c>
      <c r="W108" s="54" t="n">
        <v>46571</v>
      </c>
      <c r="X108" s="46" t="inlineStr">
        <is>
          <t>IF(W108&lt;&gt;"",W108,IF(OR(T108="",V108=""),"",EDATE(T108,V108)))</t>
        </is>
      </c>
      <c r="Y108" s="54" t="n"/>
      <c r="Z108" s="55" t="n"/>
      <c r="AA108" s="52" t="inlineStr">
        <is>
          <t>Retendered (Re-ITB)</t>
        </is>
      </c>
      <c r="AB108" s="52" t="inlineStr">
        <is>
          <t>Slack period up to end March. Four months construction period starting from April 2026. | Farmer: Gafoor Jan</t>
        </is>
      </c>
      <c r="AC108" s="42" t="inlineStr">
        <is>
          <t>IF(F108="","",IF(COUNT(AI108:AV108)=0,IF(AA108="","Not started",AA108),SUBSTITUTE(LOOKUP(2,1/(AI108:AV108&lt;&gt;""),$AI$3:$AV$3),"Date: ","")))</t>
        </is>
      </c>
      <c r="AD108" s="49" t="inlineStr">
        <is>
          <t>IF(OR(F108="",COUNT(AI108:AV108)=0),"",TODAY()-LOOKUP(2,1/(AI108:AV108&lt;&gt;""),AI108:AV108))</t>
        </is>
      </c>
      <c r="AE108" s="49" t="inlineStr">
        <is>
          <t>IF(OR(F108="",COUNT(AI108:AV108)&lt;2),"",LOOKUP(2,1/(AI108:AV108&lt;&gt;""),AI108:AV108)-MIN(AI108:AV108))</t>
        </is>
      </c>
      <c r="AF108" s="49" t="inlineStr">
        <is>
          <t>IF(OR(AD108="",AC108="Not started",AC108=""),"",IFERROR(AD108-IF(VLOOKUP(AC108,'06_Status_Pipeline'!$B$3:$E$20,4,FALSE)="",0,VLOOKUP(AC108,'06_Status_Pipeline'!$B$3:$E$20,4,FALSE)),""))</t>
        </is>
      </c>
      <c r="AG108" s="42" t="inlineStr">
        <is>
          <t>IF(F108="","",IF(OR(AA108="Cancelled",AC108="Cancelled"),"Cancelled",IF(OR(AC108="Completed / Handover",Y108&lt;&gt;"",Z108&gt;=100),"Completed — on track",IF(O108="Not awarded",IF(U108="",IF(X108="","No planned date",IF(TODAY()&gt;X108,"Behind — past planned date",IF(X108-TODAY()&lt;=30,"At risk — close to off track","On track"))),IF(TODAY()&gt;U108,"Behind — award date passed",IF(U108-TODAY()&lt;=30,"At risk — close to off track","On track"))),IF(X108="","No planned date",IF(AND(TODAY()&gt;X108,OR(Z108="",Z108&lt;100)),"Behind — past end date",IF(AND(T108&lt;&gt;"",X108&lt;&gt;"",Z108&lt;&gt;"",(Z108&lt;100),((TODAY()-T108)/MAX(X108-T108,1)*100)-Z108&gt;15),"Behind — progress lag",IF(AND(X108-TODAY()&lt;=30,X108-TODAY()&gt;=0,OR(Z108="",Z108&lt;90)),"At risk — close to off track","On track"))))))))</t>
        </is>
      </c>
      <c r="AH108" s="49" t="inlineStr">
        <is>
          <t>IF(OR(F108="",AC108="Completed / Handover",AC108="Cancelled"),"",IF(O108="Not awarded",IF(U108&lt;&gt;"",U108-TODAY(),IF(X108="","",X108-TODAY())),IF(X108="","",X108-TODAY())))</t>
        </is>
      </c>
      <c r="AI108" s="54" t="n"/>
      <c r="AJ108" s="54" t="n"/>
      <c r="AK108" s="54" t="n"/>
      <c r="AL108" s="54" t="n"/>
      <c r="AM108" s="54" t="n"/>
      <c r="AN108" s="54" t="n"/>
      <c r="AO108" s="54" t="n"/>
      <c r="AP108" s="54" t="n"/>
      <c r="AQ108" s="54" t="n"/>
      <c r="AR108" s="54" t="n"/>
      <c r="AS108" s="54" t="n"/>
      <c r="AT108" s="50" t="n"/>
      <c r="AU108" s="50" t="n"/>
      <c r="AV108" s="50" t="n"/>
      <c r="AW108" s="49" t="inlineStr">
        <is>
          <t>IF(OR(F108="",AJ108=""),"",IF(COUNT(AI108:AI108)=0,"",AJ108-LOOKUP(2,1/(AI108:AI108&lt;&gt;""),AI108:AI108)))</t>
        </is>
      </c>
      <c r="AX108" s="49" t="inlineStr">
        <is>
          <t>IF(OR(F108="",AK108=""),"",IF(COUNT(AI108:AJ108)=0,"",AK108-LOOKUP(2,1/(AI108:AJ108&lt;&gt;""),AI108:AJ108)))</t>
        </is>
      </c>
      <c r="AY108" s="49" t="inlineStr">
        <is>
          <t>IF(OR(F108="",AL108=""),"",IF(COUNT(AI108:AK108)=0,"",AL108-LOOKUP(2,1/(AI108:AK108&lt;&gt;""),AI108:AK108)))</t>
        </is>
      </c>
      <c r="AZ108" s="49" t="inlineStr">
        <is>
          <t>IF(OR(F108="",AM108=""),"",IF(COUNT(AI108:AL108)=0,"",AM108-LOOKUP(2,1/(AI108:AL108&lt;&gt;""),AI108:AL108)))</t>
        </is>
      </c>
      <c r="BA108" s="49" t="inlineStr">
        <is>
          <t>IF(OR(F108="",AN108=""),"",IF(COUNT(AI108:AM108)=0,"",AN108-LOOKUP(2,1/(AI108:AM108&lt;&gt;""),AI108:AM108)))</t>
        </is>
      </c>
      <c r="BB108" s="49" t="inlineStr">
        <is>
          <t>IF(OR(F108="",AO108=""),"",IF(COUNT(AI108:AN108)=0,"",AO108-LOOKUP(2,1/(AI108:AN108&lt;&gt;""),AI108:AN108)))</t>
        </is>
      </c>
      <c r="BC108" s="49" t="inlineStr">
        <is>
          <t>IF(OR(F108="",AP108=""),"",IF(COUNT(AI108:AO108)=0,"",AP108-LOOKUP(2,1/(AI108:AO108&lt;&gt;""),AI108:AO108)))</t>
        </is>
      </c>
      <c r="BD108" s="49" t="inlineStr">
        <is>
          <t>IF(OR(F108="",AQ108=""),"",IF(COUNT(AI108:AP108)=0,"",AQ108-LOOKUP(2,1/(AI108:AP108&lt;&gt;""),AI108:AP108)))</t>
        </is>
      </c>
      <c r="BE108" s="49" t="inlineStr">
        <is>
          <t>IF(OR(F108="",AR108=""),"",IF(COUNT(AI108:AQ108)=0,"",AR108-LOOKUP(2,1/(AI108:AQ108&lt;&gt;""),AI108:AQ108)))</t>
        </is>
      </c>
      <c r="BF108" s="49" t="inlineStr">
        <is>
          <t>IF(OR(F108="",AS108=""),"",IF(COUNT(AI108:AR108)=0,"",AS108-LOOKUP(2,1/(AI108:AR108&lt;&gt;""),AI108:AR108)))</t>
        </is>
      </c>
      <c r="BG108" s="49" t="inlineStr">
        <is>
          <t>IF(OR(F108="",AT108=""),"",IF(COUNT(AI108:AS108)=0,"",AT108-LOOKUP(2,1/(AI108:AS108&lt;&gt;""),AI108:AS108)))</t>
        </is>
      </c>
      <c r="BH108" s="49" t="inlineStr">
        <is>
          <t>IF(OR(F108="",AU108=""),"",IF(COUNT(AI108:AT108)=0,"",AU108-LOOKUP(2,1/(AI108:AT108&lt;&gt;""),AI108:AT108)))</t>
        </is>
      </c>
      <c r="BI108" s="49" t="inlineStr">
        <is>
          <t>IF(OR(F108="",AV108=""),"",IF(COUNT(AI108:AU108)=0,"",AV108-LOOKUP(2,1/(AI108:AU108&lt;&gt;""),AI108:AU108)))</t>
        </is>
      </c>
      <c r="BJ108" s="51" t="inlineStr">
        <is>
          <t>IF(J108="","All_Provinces",IFERROR(VLOOKUP(J108,'09_Lookups'!$A$4:$B$20,2,FALSE),"All_Provinces"))</t>
        </is>
      </c>
      <c r="BK108" s="51" t="inlineStr">
        <is>
          <t>IF(K108="","All_Districts",IFERROR(VLOOKUP(K108,'09_Lookups'!$E$4:$F$42,2,FALSE),"All_Districts"))</t>
        </is>
      </c>
    </row>
    <row r="109" outlineLevel="1" ht="18" customHeight="1">
      <c r="A109" s="42" t="inlineStr">
        <is>
          <t>IF(F109="","",ROW()-3)</t>
        </is>
      </c>
      <c r="B109" s="63" t="inlineStr">
        <is>
          <t>AF2-DIS-05</t>
        </is>
      </c>
      <c r="C109" s="63"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D109" s="63" t="inlineStr">
        <is>
          <t>15 of 15</t>
        </is>
      </c>
      <c r="E109" s="44" t="inlineStr">
        <is>
          <t>AF2-DIS-N-067</t>
        </is>
      </c>
      <c r="F109" s="44" t="inlineStr">
        <is>
          <t>Sultani Drip Irrigation Scheme</t>
        </is>
      </c>
      <c r="G109" s="44" t="inlineStr">
        <is>
          <t>Drip Irrigation</t>
        </is>
      </c>
      <c r="H109" s="44" t="inlineStr">
        <is>
          <t>Drip Irrigation Plot</t>
        </is>
      </c>
      <c r="I109" s="44" t="inlineStr">
        <is>
          <t>Emergency Food Security Project (EFSP) – WBK/AF-2</t>
        </is>
      </c>
      <c r="J109" s="44" t="inlineStr">
        <is>
          <t>Southeast / Gardez</t>
        </is>
      </c>
      <c r="K109" s="44" t="inlineStr">
        <is>
          <t>Pakteka</t>
        </is>
      </c>
      <c r="L109" s="44" t="inlineStr">
        <is>
          <t>Sarhawza</t>
        </is>
      </c>
      <c r="M109" s="44" t="inlineStr">
        <is>
          <t>Sultani</t>
        </is>
      </c>
      <c r="N109" s="44" t="inlineStr">
        <is>
          <t>World Bank (WBK/AF-2)</t>
        </is>
      </c>
      <c r="O109" s="44" t="inlineStr">
        <is>
          <t>Not awarded</t>
        </is>
      </c>
      <c r="P109" s="44" t="inlineStr">
        <is>
          <t>5. Drip Irrigation systems</t>
        </is>
      </c>
      <c r="Q109" s="44" t="inlineStr">
        <is>
          <t>Akhtar Mohammad</t>
        </is>
      </c>
      <c r="R109" s="44" t="inlineStr"/>
      <c r="S109" s="45" t="n"/>
      <c r="T109" s="46" t="inlineStr">
        <is>
          <t>IF(AQ109="","",AQ109)</t>
        </is>
      </c>
      <c r="U109" s="47" t="n">
        <v>46381</v>
      </c>
      <c r="V109" s="48" t="n">
        <v>6.2</v>
      </c>
      <c r="W109" s="47" t="n">
        <v>46571</v>
      </c>
      <c r="X109" s="46" t="inlineStr">
        <is>
          <t>IF(W109&lt;&gt;"",W109,IF(OR(T109="",V109=""),"",EDATE(T109,V109)))</t>
        </is>
      </c>
      <c r="Y109" s="47" t="n"/>
      <c r="Z109" s="48" t="n"/>
      <c r="AA109" s="44" t="inlineStr">
        <is>
          <t>Retendered (Re-ITB)</t>
        </is>
      </c>
      <c r="AB109" s="44" t="inlineStr">
        <is>
          <t>Slack period up to end March. Four months construction period starting from April 2026. | Farmer: Akhtar Mohammad</t>
        </is>
      </c>
      <c r="AC109" s="42" t="inlineStr">
        <is>
          <t>IF(F109="","",IF(COUNT(AI109:AV109)=0,IF(AA109="","Not started",AA109),SUBSTITUTE(LOOKUP(2,1/(AI109:AV109&lt;&gt;""),$AI$3:$AV$3),"Date: ","")))</t>
        </is>
      </c>
      <c r="AD109" s="49" t="inlineStr">
        <is>
          <t>IF(OR(F109="",COUNT(AI109:AV109)=0),"",TODAY()-LOOKUP(2,1/(AI109:AV109&lt;&gt;""),AI109:AV109))</t>
        </is>
      </c>
      <c r="AE109" s="49" t="inlineStr">
        <is>
          <t>IF(OR(F109="",COUNT(AI109:AV109)&lt;2),"",LOOKUP(2,1/(AI109:AV109&lt;&gt;""),AI109:AV109)-MIN(AI109:AV109))</t>
        </is>
      </c>
      <c r="AF109" s="49" t="inlineStr">
        <is>
          <t>IF(OR(AD109="",AC109="Not started",AC109=""),"",IFERROR(AD109-IF(VLOOKUP(AC109,'06_Status_Pipeline'!$B$3:$E$20,4,FALSE)="",0,VLOOKUP(AC109,'06_Status_Pipeline'!$B$3:$E$20,4,FALSE)),""))</t>
        </is>
      </c>
      <c r="AG109" s="42" t="inlineStr">
        <is>
          <t>IF(F109="","",IF(OR(AA109="Cancelled",AC109="Cancelled"),"Cancelled",IF(OR(AC109="Completed / Handover",Y109&lt;&gt;"",Z109&gt;=100),"Completed — on track",IF(O109="Not awarded",IF(U109="",IF(X109="","No planned date",IF(TODAY()&gt;X109,"Behind — past planned date",IF(X109-TODAY()&lt;=30,"At risk — close to off track","On track"))),IF(TODAY()&gt;U109,"Behind — award date passed",IF(U109-TODAY()&lt;=30,"At risk — close to off track","On track"))),IF(X109="","No planned date",IF(AND(TODAY()&gt;X109,OR(Z109="",Z109&lt;100)),"Behind — past end date",IF(AND(T109&lt;&gt;"",X109&lt;&gt;"",Z109&lt;&gt;"",(Z109&lt;100),((TODAY()-T109)/MAX(X109-T109,1)*100)-Z109&gt;15),"Behind — progress lag",IF(AND(X109-TODAY()&lt;=30,X109-TODAY()&gt;=0,OR(Z109="",Z109&lt;90)),"At risk — close to off track","On track"))))))))</t>
        </is>
      </c>
      <c r="AH109" s="49" t="inlineStr">
        <is>
          <t>IF(OR(F109="",AC109="Completed / Handover",AC109="Cancelled"),"",IF(O109="Not awarded",IF(U109&lt;&gt;"",U109-TODAY(),IF(X109="","",X109-TODAY())),IF(X109="","",X109-TODAY())))</t>
        </is>
      </c>
      <c r="AI109" s="47" t="n"/>
      <c r="AJ109" s="47" t="n"/>
      <c r="AK109" s="47" t="n"/>
      <c r="AL109" s="47" t="n"/>
      <c r="AM109" s="47" t="n"/>
      <c r="AN109" s="47" t="n"/>
      <c r="AO109" s="47" t="n"/>
      <c r="AP109" s="47" t="n"/>
      <c r="AQ109" s="47" t="n"/>
      <c r="AR109" s="47" t="n"/>
      <c r="AS109" s="47" t="n"/>
      <c r="AT109" s="50" t="n"/>
      <c r="AU109" s="50" t="n"/>
      <c r="AV109" s="50" t="n"/>
      <c r="AW109" s="49" t="inlineStr">
        <is>
          <t>IF(OR(F109="",AJ109=""),"",IF(COUNT(AI109:AI109)=0,"",AJ109-LOOKUP(2,1/(AI109:AI109&lt;&gt;""),AI109:AI109)))</t>
        </is>
      </c>
      <c r="AX109" s="49" t="inlineStr">
        <is>
          <t>IF(OR(F109="",AK109=""),"",IF(COUNT(AI109:AJ109)=0,"",AK109-LOOKUP(2,1/(AI109:AJ109&lt;&gt;""),AI109:AJ109)))</t>
        </is>
      </c>
      <c r="AY109" s="49" t="inlineStr">
        <is>
          <t>IF(OR(F109="",AL109=""),"",IF(COUNT(AI109:AK109)=0,"",AL109-LOOKUP(2,1/(AI109:AK109&lt;&gt;""),AI109:AK109)))</t>
        </is>
      </c>
      <c r="AZ109" s="49" t="inlineStr">
        <is>
          <t>IF(OR(F109="",AM109=""),"",IF(COUNT(AI109:AL109)=0,"",AM109-LOOKUP(2,1/(AI109:AL109&lt;&gt;""),AI109:AL109)))</t>
        </is>
      </c>
      <c r="BA109" s="49" t="inlineStr">
        <is>
          <t>IF(OR(F109="",AN109=""),"",IF(COUNT(AI109:AM109)=0,"",AN109-LOOKUP(2,1/(AI109:AM109&lt;&gt;""),AI109:AM109)))</t>
        </is>
      </c>
      <c r="BB109" s="49" t="inlineStr">
        <is>
          <t>IF(OR(F109="",AO109=""),"",IF(COUNT(AI109:AN109)=0,"",AO109-LOOKUP(2,1/(AI109:AN109&lt;&gt;""),AI109:AN109)))</t>
        </is>
      </c>
      <c r="BC109" s="49" t="inlineStr">
        <is>
          <t>IF(OR(F109="",AP109=""),"",IF(COUNT(AI109:AO109)=0,"",AP109-LOOKUP(2,1/(AI109:AO109&lt;&gt;""),AI109:AO109)))</t>
        </is>
      </c>
      <c r="BD109" s="49" t="inlineStr">
        <is>
          <t>IF(OR(F109="",AQ109=""),"",IF(COUNT(AI109:AP109)=0,"",AQ109-LOOKUP(2,1/(AI109:AP109&lt;&gt;""),AI109:AP109)))</t>
        </is>
      </c>
      <c r="BE109" s="49" t="inlineStr">
        <is>
          <t>IF(OR(F109="",AR109=""),"",IF(COUNT(AI109:AQ109)=0,"",AR109-LOOKUP(2,1/(AI109:AQ109&lt;&gt;""),AI109:AQ109)))</t>
        </is>
      </c>
      <c r="BF109" s="49" t="inlineStr">
        <is>
          <t>IF(OR(F109="",AS109=""),"",IF(COUNT(AI109:AR109)=0,"",AS109-LOOKUP(2,1/(AI109:AR109&lt;&gt;""),AI109:AR109)))</t>
        </is>
      </c>
      <c r="BG109" s="49" t="inlineStr">
        <is>
          <t>IF(OR(F109="",AT109=""),"",IF(COUNT(AI109:AS109)=0,"",AT109-LOOKUP(2,1/(AI109:AS109&lt;&gt;""),AI109:AS109)))</t>
        </is>
      </c>
      <c r="BH109" s="49" t="inlineStr">
        <is>
          <t>IF(OR(F109="",AU109=""),"",IF(COUNT(AI109:AT109)=0,"",AU109-LOOKUP(2,1/(AI109:AT109&lt;&gt;""),AI109:AT109)))</t>
        </is>
      </c>
      <c r="BI109" s="49" t="inlineStr">
        <is>
          <t>IF(OR(F109="",AV109=""),"",IF(COUNT(AI109:AU109)=0,"",AV109-LOOKUP(2,1/(AI109:AU109&lt;&gt;""),AI109:AU109)))</t>
        </is>
      </c>
      <c r="BJ109" s="51" t="inlineStr">
        <is>
          <t>IF(J109="","All_Provinces",IFERROR(VLOOKUP(J109,'09_Lookups'!$A$4:$B$20,2,FALSE),"All_Provinces"))</t>
        </is>
      </c>
      <c r="BK109" s="51" t="inlineStr">
        <is>
          <t>IF(K109="","All_Districts",IFERROR(VLOOKUP(K109,'09_Lookups'!$E$4:$F$42,2,FALSE),"All_Districts"))</t>
        </is>
      </c>
    </row>
    <row r="110" ht="18" customHeight="1">
      <c r="A110" s="32" t="inlineStr">
        <is>
          <t>IF(F110="","",ROW()-3)</t>
        </is>
      </c>
      <c r="B110" s="64" t="inlineStr">
        <is>
          <t>AF2-DIS-06</t>
        </is>
      </c>
      <c r="C110" s="64"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0" s="64" t="inlineStr">
        <is>
          <t>1 of 12</t>
        </is>
      </c>
      <c r="E110" s="34" t="inlineStr">
        <is>
          <t>AF2-DIS-N-068</t>
        </is>
      </c>
      <c r="F110" s="34" t="inlineStr">
        <is>
          <t>Badam Kalai Drip irrigation schemes</t>
        </is>
      </c>
      <c r="G110" s="34" t="inlineStr">
        <is>
          <t>Drip Irrigation</t>
        </is>
      </c>
      <c r="H110" s="34" t="inlineStr">
        <is>
          <t>Drip Irrigation Plot</t>
        </is>
      </c>
      <c r="I110" s="34" t="inlineStr">
        <is>
          <t>Emergency Food Security Project (EFSP) – WBK/AF-2</t>
        </is>
      </c>
      <c r="J110" s="34" t="inlineStr">
        <is>
          <t>South / Kandahar</t>
        </is>
      </c>
      <c r="K110" s="34" t="inlineStr">
        <is>
          <t>Helmand</t>
        </is>
      </c>
      <c r="L110" s="34" t="inlineStr">
        <is>
          <t>Nawzad</t>
        </is>
      </c>
      <c r="M110" s="34" t="inlineStr">
        <is>
          <t>Badam Kali</t>
        </is>
      </c>
      <c r="N110" s="34" t="inlineStr">
        <is>
          <t>World Bank (WBK/AF-2)</t>
        </is>
      </c>
      <c r="O110" s="34" t="inlineStr">
        <is>
          <t>Not awarded</t>
        </is>
      </c>
      <c r="P110" s="34" t="inlineStr">
        <is>
          <t>5. Drip Irrigation systems</t>
        </is>
      </c>
      <c r="Q110" s="34" t="inlineStr"/>
      <c r="R110" s="34" t="inlineStr"/>
      <c r="S110" s="35" t="n">
        <v>4250</v>
      </c>
      <c r="T110" s="36" t="inlineStr">
        <is>
          <t>IF(AQ110="","",AQ110)</t>
        </is>
      </c>
      <c r="U110" s="37" t="n">
        <v>46412</v>
      </c>
      <c r="V110" s="38" t="n">
        <v>4.9</v>
      </c>
      <c r="W110" s="37" t="n">
        <v>46562</v>
      </c>
      <c r="X110" s="36" t="inlineStr">
        <is>
          <t>IF(W110&lt;&gt;"",W110,IF(OR(T110="",V110=""),"",EDATE(T110,V110)))</t>
        </is>
      </c>
      <c r="Y110" s="37" t="n"/>
      <c r="Z110" s="38" t="n"/>
      <c r="AA110" s="34" t="inlineStr">
        <is>
          <t>Under Review of WRI</t>
        </is>
      </c>
      <c r="AB110" s="34" t="inlineStr">
        <is>
          <t>Five months for the construction.</t>
        </is>
      </c>
      <c r="AC110" s="32" t="inlineStr">
        <is>
          <t>IF(F110="","",IF(COUNT(AI110:AV110)=0,IF(AA110="","Not started",AA110),SUBSTITUTE(LOOKUP(2,1/(AI110:AV110&lt;&gt;""),$AI$3:$AV$3),"Date: ","")))</t>
        </is>
      </c>
      <c r="AD110" s="39" t="inlineStr">
        <is>
          <t>IF(OR(F110="",COUNT(AI110:AV110)=0),"",TODAY()-LOOKUP(2,1/(AI110:AV110&lt;&gt;""),AI110:AV110))</t>
        </is>
      </c>
      <c r="AE110" s="39" t="inlineStr">
        <is>
          <t>IF(OR(F110="",COUNT(AI110:AV110)&lt;2),"",LOOKUP(2,1/(AI110:AV110&lt;&gt;""),AI110:AV110)-MIN(AI110:AV110))</t>
        </is>
      </c>
      <c r="AF110" s="39" t="inlineStr">
        <is>
          <t>IF(OR(AD110="",AC110="Not started",AC110=""),"",IFERROR(AD110-IF(VLOOKUP(AC110,'06_Status_Pipeline'!$B$3:$E$20,4,FALSE)="",0,VLOOKUP(AC110,'06_Status_Pipeline'!$B$3:$E$20,4,FALSE)),""))</t>
        </is>
      </c>
      <c r="AG110" s="32" t="inlineStr">
        <is>
          <t>IF(F110="","",IF(OR(AA110="Cancelled",AC110="Cancelled"),"Cancelled",IF(OR(AC110="Completed / Handover",Y110&lt;&gt;"",Z110&gt;=100),"Completed — on track",IF(O110="Not awarded",IF(U110="",IF(X110="","No planned date",IF(TODAY()&gt;X110,"Behind — past planned date",IF(X110-TODAY()&lt;=30,"At risk — close to off track","On track"))),IF(TODAY()&gt;U110,"Behind — award date passed",IF(U110-TODAY()&lt;=30,"At risk — close to off track","On track"))),IF(X110="","No planned date",IF(AND(TODAY()&gt;X110,OR(Z110="",Z110&lt;100)),"Behind — past end date",IF(AND(T110&lt;&gt;"",X110&lt;&gt;"",Z110&lt;&gt;"",(Z110&lt;100),((TODAY()-T110)/MAX(X110-T110,1)*100)-Z110&gt;15),"Behind — progress lag",IF(AND(X110-TODAY()&lt;=30,X110-TODAY()&gt;=0,OR(Z110="",Z110&lt;90)),"At risk — close to off track","On track"))))))))</t>
        </is>
      </c>
      <c r="AH110" s="39" t="inlineStr">
        <is>
          <t>IF(OR(F110="",AC110="Completed / Handover",AC110="Cancelled"),"",IF(O110="Not awarded",IF(U110&lt;&gt;"",U110-TODAY(),IF(X110="","",X110-TODAY())),IF(X110="","",X110-TODAY())))</t>
        </is>
      </c>
      <c r="AI110" s="37" t="n"/>
      <c r="AJ110" s="37" t="n"/>
      <c r="AK110" s="37" t="n"/>
      <c r="AL110" s="37" t="n"/>
      <c r="AM110" s="37" t="n"/>
      <c r="AN110" s="37" t="n"/>
      <c r="AO110" s="37" t="n"/>
      <c r="AP110" s="37" t="n"/>
      <c r="AQ110" s="37" t="n"/>
      <c r="AR110" s="37" t="n"/>
      <c r="AS110" s="37" t="n"/>
      <c r="AT110" s="40" t="n"/>
      <c r="AU110" s="40" t="n"/>
      <c r="AV110" s="40" t="n"/>
      <c r="AW110" s="39" t="inlineStr">
        <is>
          <t>IF(OR(F110="",AJ110=""),"",IF(COUNT(AI110:AI110)=0,"",AJ110-LOOKUP(2,1/(AI110:AI110&lt;&gt;""),AI110:AI110)))</t>
        </is>
      </c>
      <c r="AX110" s="39" t="inlineStr">
        <is>
          <t>IF(OR(F110="",AK110=""),"",IF(COUNT(AI110:AJ110)=0,"",AK110-LOOKUP(2,1/(AI110:AJ110&lt;&gt;""),AI110:AJ110)))</t>
        </is>
      </c>
      <c r="AY110" s="39" t="inlineStr">
        <is>
          <t>IF(OR(F110="",AL110=""),"",IF(COUNT(AI110:AK110)=0,"",AL110-LOOKUP(2,1/(AI110:AK110&lt;&gt;""),AI110:AK110)))</t>
        </is>
      </c>
      <c r="AZ110" s="39" t="inlineStr">
        <is>
          <t>IF(OR(F110="",AM110=""),"",IF(COUNT(AI110:AL110)=0,"",AM110-LOOKUP(2,1/(AI110:AL110&lt;&gt;""),AI110:AL110)))</t>
        </is>
      </c>
      <c r="BA110" s="39" t="inlineStr">
        <is>
          <t>IF(OR(F110="",AN110=""),"",IF(COUNT(AI110:AM110)=0,"",AN110-LOOKUP(2,1/(AI110:AM110&lt;&gt;""),AI110:AM110)))</t>
        </is>
      </c>
      <c r="BB110" s="39" t="inlineStr">
        <is>
          <t>IF(OR(F110="",AO110=""),"",IF(COUNT(AI110:AN110)=0,"",AO110-LOOKUP(2,1/(AI110:AN110&lt;&gt;""),AI110:AN110)))</t>
        </is>
      </c>
      <c r="BC110" s="39" t="inlineStr">
        <is>
          <t>IF(OR(F110="",AP110=""),"",IF(COUNT(AI110:AO110)=0,"",AP110-LOOKUP(2,1/(AI110:AO110&lt;&gt;""),AI110:AO110)))</t>
        </is>
      </c>
      <c r="BD110" s="39" t="inlineStr">
        <is>
          <t>IF(OR(F110="",AQ110=""),"",IF(COUNT(AI110:AP110)=0,"",AQ110-LOOKUP(2,1/(AI110:AP110&lt;&gt;""),AI110:AP110)))</t>
        </is>
      </c>
      <c r="BE110" s="39" t="inlineStr">
        <is>
          <t>IF(OR(F110="",AR110=""),"",IF(COUNT(AI110:AQ110)=0,"",AR110-LOOKUP(2,1/(AI110:AQ110&lt;&gt;""),AI110:AQ110)))</t>
        </is>
      </c>
      <c r="BF110" s="39" t="inlineStr">
        <is>
          <t>IF(OR(F110="",AS110=""),"",IF(COUNT(AI110:AR110)=0,"",AS110-LOOKUP(2,1/(AI110:AR110&lt;&gt;""),AI110:AR110)))</t>
        </is>
      </c>
      <c r="BG110" s="39" t="inlineStr">
        <is>
          <t>IF(OR(F110="",AT110=""),"",IF(COUNT(AI110:AS110)=0,"",AT110-LOOKUP(2,1/(AI110:AS110&lt;&gt;""),AI110:AS110)))</t>
        </is>
      </c>
      <c r="BH110" s="39" t="inlineStr">
        <is>
          <t>IF(OR(F110="",AU110=""),"",IF(COUNT(AI110:AT110)=0,"",AU110-LOOKUP(2,1/(AI110:AT110&lt;&gt;""),AI110:AT110)))</t>
        </is>
      </c>
      <c r="BI110" s="39" t="inlineStr">
        <is>
          <t>IF(OR(F110="",AV110=""),"",IF(COUNT(AI110:AU110)=0,"",AV110-LOOKUP(2,1/(AI110:AU110&lt;&gt;""),AI110:AU110)))</t>
        </is>
      </c>
      <c r="BJ110" s="41" t="inlineStr">
        <is>
          <t>IF(J110="","All_Provinces",IFERROR(VLOOKUP(J110,'09_Lookups'!$A$4:$B$20,2,FALSE),"All_Provinces"))</t>
        </is>
      </c>
      <c r="BK110" s="41" t="inlineStr">
        <is>
          <t>IF(K110="","All_Districts",IFERROR(VLOOKUP(K110,'09_Lookups'!$E$4:$F$42,2,FALSE),"All_Districts"))</t>
        </is>
      </c>
    </row>
    <row r="111" outlineLevel="1" ht="18" customHeight="1">
      <c r="A111" s="42" t="inlineStr">
        <is>
          <t>IF(F111="","",ROW()-3)</t>
        </is>
      </c>
      <c r="B111" s="65" t="inlineStr">
        <is>
          <t>AF2-DIS-06</t>
        </is>
      </c>
      <c r="C111"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1" s="65" t="inlineStr">
        <is>
          <t>2 of 12</t>
        </is>
      </c>
      <c r="E111" s="44" t="inlineStr">
        <is>
          <t>AF2-DIS-N-069</t>
        </is>
      </c>
      <c r="F111" s="44" t="inlineStr">
        <is>
          <t>Bahu Kalai Drip irrigation schemes</t>
        </is>
      </c>
      <c r="G111" s="44" t="inlineStr">
        <is>
          <t>Drip Irrigation</t>
        </is>
      </c>
      <c r="H111" s="44" t="inlineStr">
        <is>
          <t>Drip Irrigation Plot</t>
        </is>
      </c>
      <c r="I111" s="44" t="inlineStr">
        <is>
          <t>Emergency Food Security Project (EFSP) – WBK/AF-2</t>
        </is>
      </c>
      <c r="J111" s="44" t="inlineStr">
        <is>
          <t>South / Kandahar</t>
        </is>
      </c>
      <c r="K111" s="44" t="inlineStr">
        <is>
          <t>Zabul</t>
        </is>
      </c>
      <c r="L111" s="44" t="inlineStr">
        <is>
          <t>Seyure</t>
        </is>
      </c>
      <c r="M111" s="44" t="inlineStr">
        <is>
          <t>Bahu Kali</t>
        </is>
      </c>
      <c r="N111" s="44" t="inlineStr">
        <is>
          <t>World Bank (WBK/AF-2)</t>
        </is>
      </c>
      <c r="O111" s="44" t="inlineStr">
        <is>
          <t>Not awarded</t>
        </is>
      </c>
      <c r="P111" s="44" t="inlineStr">
        <is>
          <t>5. Drip Irrigation systems</t>
        </is>
      </c>
      <c r="Q111" s="44" t="inlineStr"/>
      <c r="R111" s="44" t="inlineStr"/>
      <c r="S111" s="45" t="n">
        <v>8500</v>
      </c>
      <c r="T111" s="46" t="inlineStr">
        <is>
          <t>IF(AQ111="","",AQ111)</t>
        </is>
      </c>
      <c r="U111" s="47" t="n">
        <v>46412</v>
      </c>
      <c r="V111" s="48" t="n">
        <v>4.9</v>
      </c>
      <c r="W111" s="47" t="n">
        <v>46562</v>
      </c>
      <c r="X111" s="46" t="inlineStr">
        <is>
          <t>IF(W111&lt;&gt;"",W111,IF(OR(T111="",V111=""),"",EDATE(T111,V111)))</t>
        </is>
      </c>
      <c r="Y111" s="47" t="n"/>
      <c r="Z111" s="48" t="n"/>
      <c r="AA111" s="44" t="inlineStr">
        <is>
          <t>Under Review of WRI</t>
        </is>
      </c>
      <c r="AB111" s="44" t="inlineStr">
        <is>
          <t>Five months for the construction.</t>
        </is>
      </c>
      <c r="AC111" s="42" t="inlineStr">
        <is>
          <t>IF(F111="","",IF(COUNT(AI111:AV111)=0,IF(AA111="","Not started",AA111),SUBSTITUTE(LOOKUP(2,1/(AI111:AV111&lt;&gt;""),$AI$3:$AV$3),"Date: ","")))</t>
        </is>
      </c>
      <c r="AD111" s="49" t="inlineStr">
        <is>
          <t>IF(OR(F111="",COUNT(AI111:AV111)=0),"",TODAY()-LOOKUP(2,1/(AI111:AV111&lt;&gt;""),AI111:AV111))</t>
        </is>
      </c>
      <c r="AE111" s="49" t="inlineStr">
        <is>
          <t>IF(OR(F111="",COUNT(AI111:AV111)&lt;2),"",LOOKUP(2,1/(AI111:AV111&lt;&gt;""),AI111:AV111)-MIN(AI111:AV111))</t>
        </is>
      </c>
      <c r="AF111" s="49" t="inlineStr">
        <is>
          <t>IF(OR(AD111="",AC111="Not started",AC111=""),"",IFERROR(AD111-IF(VLOOKUP(AC111,'06_Status_Pipeline'!$B$3:$E$20,4,FALSE)="",0,VLOOKUP(AC111,'06_Status_Pipeline'!$B$3:$E$20,4,FALSE)),""))</t>
        </is>
      </c>
      <c r="AG111" s="42" t="inlineStr">
        <is>
          <t>IF(F111="","",IF(OR(AA111="Cancelled",AC111="Cancelled"),"Cancelled",IF(OR(AC111="Completed / Handover",Y111&lt;&gt;"",Z111&gt;=100),"Completed — on track",IF(O111="Not awarded",IF(U111="",IF(X111="","No planned date",IF(TODAY()&gt;X111,"Behind — past planned date",IF(X111-TODAY()&lt;=30,"At risk — close to off track","On track"))),IF(TODAY()&gt;U111,"Behind — award date passed",IF(U111-TODAY()&lt;=30,"At risk — close to off track","On track"))),IF(X111="","No planned date",IF(AND(TODAY()&gt;X111,OR(Z111="",Z111&lt;100)),"Behind — past end date",IF(AND(T111&lt;&gt;"",X111&lt;&gt;"",Z111&lt;&gt;"",(Z111&lt;100),((TODAY()-T111)/MAX(X111-T111,1)*100)-Z111&gt;15),"Behind — progress lag",IF(AND(X111-TODAY()&lt;=30,X111-TODAY()&gt;=0,OR(Z111="",Z111&lt;90)),"At risk — close to off track","On track"))))))))</t>
        </is>
      </c>
      <c r="AH111" s="49" t="inlineStr">
        <is>
          <t>IF(OR(F111="",AC111="Completed / Handover",AC111="Cancelled"),"",IF(O111="Not awarded",IF(U111&lt;&gt;"",U111-TODAY(),IF(X111="","",X111-TODAY())),IF(X111="","",X111-TODAY())))</t>
        </is>
      </c>
      <c r="AI111" s="47" t="n"/>
      <c r="AJ111" s="47" t="n"/>
      <c r="AK111" s="47" t="n"/>
      <c r="AL111" s="47" t="n"/>
      <c r="AM111" s="47" t="n"/>
      <c r="AN111" s="47" t="n"/>
      <c r="AO111" s="47" t="n"/>
      <c r="AP111" s="47" t="n"/>
      <c r="AQ111" s="47" t="n"/>
      <c r="AR111" s="47" t="n"/>
      <c r="AS111" s="47" t="n"/>
      <c r="AT111" s="50" t="n"/>
      <c r="AU111" s="50" t="n"/>
      <c r="AV111" s="50" t="n"/>
      <c r="AW111" s="49" t="inlineStr">
        <is>
          <t>IF(OR(F111="",AJ111=""),"",IF(COUNT(AI111:AI111)=0,"",AJ111-LOOKUP(2,1/(AI111:AI111&lt;&gt;""),AI111:AI111)))</t>
        </is>
      </c>
      <c r="AX111" s="49" t="inlineStr">
        <is>
          <t>IF(OR(F111="",AK111=""),"",IF(COUNT(AI111:AJ111)=0,"",AK111-LOOKUP(2,1/(AI111:AJ111&lt;&gt;""),AI111:AJ111)))</t>
        </is>
      </c>
      <c r="AY111" s="49" t="inlineStr">
        <is>
          <t>IF(OR(F111="",AL111=""),"",IF(COUNT(AI111:AK111)=0,"",AL111-LOOKUP(2,1/(AI111:AK111&lt;&gt;""),AI111:AK111)))</t>
        </is>
      </c>
      <c r="AZ111" s="49" t="inlineStr">
        <is>
          <t>IF(OR(F111="",AM111=""),"",IF(COUNT(AI111:AL111)=0,"",AM111-LOOKUP(2,1/(AI111:AL111&lt;&gt;""),AI111:AL111)))</t>
        </is>
      </c>
      <c r="BA111" s="49" t="inlineStr">
        <is>
          <t>IF(OR(F111="",AN111=""),"",IF(COUNT(AI111:AM111)=0,"",AN111-LOOKUP(2,1/(AI111:AM111&lt;&gt;""),AI111:AM111)))</t>
        </is>
      </c>
      <c r="BB111" s="49" t="inlineStr">
        <is>
          <t>IF(OR(F111="",AO111=""),"",IF(COUNT(AI111:AN111)=0,"",AO111-LOOKUP(2,1/(AI111:AN111&lt;&gt;""),AI111:AN111)))</t>
        </is>
      </c>
      <c r="BC111" s="49" t="inlineStr">
        <is>
          <t>IF(OR(F111="",AP111=""),"",IF(COUNT(AI111:AO111)=0,"",AP111-LOOKUP(2,1/(AI111:AO111&lt;&gt;""),AI111:AO111)))</t>
        </is>
      </c>
      <c r="BD111" s="49" t="inlineStr">
        <is>
          <t>IF(OR(F111="",AQ111=""),"",IF(COUNT(AI111:AP111)=0,"",AQ111-LOOKUP(2,1/(AI111:AP111&lt;&gt;""),AI111:AP111)))</t>
        </is>
      </c>
      <c r="BE111" s="49" t="inlineStr">
        <is>
          <t>IF(OR(F111="",AR111=""),"",IF(COUNT(AI111:AQ111)=0,"",AR111-LOOKUP(2,1/(AI111:AQ111&lt;&gt;""),AI111:AQ111)))</t>
        </is>
      </c>
      <c r="BF111" s="49" t="inlineStr">
        <is>
          <t>IF(OR(F111="",AS111=""),"",IF(COUNT(AI111:AR111)=0,"",AS111-LOOKUP(2,1/(AI111:AR111&lt;&gt;""),AI111:AR111)))</t>
        </is>
      </c>
      <c r="BG111" s="49" t="inlineStr">
        <is>
          <t>IF(OR(F111="",AT111=""),"",IF(COUNT(AI111:AS111)=0,"",AT111-LOOKUP(2,1/(AI111:AS111&lt;&gt;""),AI111:AS111)))</t>
        </is>
      </c>
      <c r="BH111" s="49" t="inlineStr">
        <is>
          <t>IF(OR(F111="",AU111=""),"",IF(COUNT(AI111:AT111)=0,"",AU111-LOOKUP(2,1/(AI111:AT111&lt;&gt;""),AI111:AT111)))</t>
        </is>
      </c>
      <c r="BI111" s="49" t="inlineStr">
        <is>
          <t>IF(OR(F111="",AV111=""),"",IF(COUNT(AI111:AU111)=0,"",AV111-LOOKUP(2,1/(AI111:AU111&lt;&gt;""),AI111:AU111)))</t>
        </is>
      </c>
      <c r="BJ111" s="51" t="inlineStr">
        <is>
          <t>IF(J111="","All_Provinces",IFERROR(VLOOKUP(J111,'09_Lookups'!$A$4:$B$20,2,FALSE),"All_Provinces"))</t>
        </is>
      </c>
      <c r="BK111" s="51" t="inlineStr">
        <is>
          <t>IF(K111="","All_Districts",IFERROR(VLOOKUP(K111,'09_Lookups'!$E$4:$F$42,2,FALSE),"All_Districts"))</t>
        </is>
      </c>
    </row>
    <row r="112" outlineLevel="1" ht="18" customHeight="1">
      <c r="A112" s="42" t="inlineStr">
        <is>
          <t>IF(F112="","",ROW()-3)</t>
        </is>
      </c>
      <c r="B112" s="65" t="inlineStr">
        <is>
          <t>AF2-DIS-06</t>
        </is>
      </c>
      <c r="C112"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2" s="65" t="inlineStr">
        <is>
          <t>3 of 12</t>
        </is>
      </c>
      <c r="E112" s="52" t="inlineStr">
        <is>
          <t>AF2-DIS-N-070</t>
        </is>
      </c>
      <c r="F112" s="52" t="inlineStr">
        <is>
          <t>Firozi Drip irrigation schemes</t>
        </is>
      </c>
      <c r="G112" s="52" t="inlineStr">
        <is>
          <t>Drip Irrigation</t>
        </is>
      </c>
      <c r="H112" s="52" t="inlineStr">
        <is>
          <t>Drip Irrigation Plot</t>
        </is>
      </c>
      <c r="I112" s="52" t="inlineStr">
        <is>
          <t>Emergency Food Security Project (EFSP) – WBK/AF-2</t>
        </is>
      </c>
      <c r="J112" s="52" t="inlineStr">
        <is>
          <t>South / Kandahar</t>
        </is>
      </c>
      <c r="K112" s="52" t="inlineStr">
        <is>
          <t>Nemroz</t>
        </is>
      </c>
      <c r="L112" s="52" t="inlineStr">
        <is>
          <t>Delaram</t>
        </is>
      </c>
      <c r="M112" s="52" t="inlineStr">
        <is>
          <t>Firozi Village</t>
        </is>
      </c>
      <c r="N112" s="52" t="inlineStr">
        <is>
          <t>World Bank (WBK/AF-2)</t>
        </is>
      </c>
      <c r="O112" s="52" t="inlineStr">
        <is>
          <t>Not awarded</t>
        </is>
      </c>
      <c r="P112" s="52" t="inlineStr">
        <is>
          <t>5. Drip Irrigation systems</t>
        </is>
      </c>
      <c r="Q112" s="52" t="inlineStr"/>
      <c r="R112" s="52" t="inlineStr"/>
      <c r="S112" s="53" t="n">
        <v>8500</v>
      </c>
      <c r="T112" s="46" t="inlineStr">
        <is>
          <t>IF(AQ112="","",AQ112)</t>
        </is>
      </c>
      <c r="U112" s="54" t="n">
        <v>46412</v>
      </c>
      <c r="V112" s="55" t="n">
        <v>4.9</v>
      </c>
      <c r="W112" s="54" t="n">
        <v>46562</v>
      </c>
      <c r="X112" s="46" t="inlineStr">
        <is>
          <t>IF(W112&lt;&gt;"",W112,IF(OR(T112="",V112=""),"",EDATE(T112,V112)))</t>
        </is>
      </c>
      <c r="Y112" s="54" t="n"/>
      <c r="Z112" s="55" t="n"/>
      <c r="AA112" s="52" t="inlineStr">
        <is>
          <t>Under Review of WRI</t>
        </is>
      </c>
      <c r="AB112" s="52" t="inlineStr">
        <is>
          <t>Five months for the construction.</t>
        </is>
      </c>
      <c r="AC112" s="42" t="inlineStr">
        <is>
          <t>IF(F112="","",IF(COUNT(AI112:AV112)=0,IF(AA112="","Not started",AA112),SUBSTITUTE(LOOKUP(2,1/(AI112:AV112&lt;&gt;""),$AI$3:$AV$3),"Date: ","")))</t>
        </is>
      </c>
      <c r="AD112" s="49" t="inlineStr">
        <is>
          <t>IF(OR(F112="",COUNT(AI112:AV112)=0),"",TODAY()-LOOKUP(2,1/(AI112:AV112&lt;&gt;""),AI112:AV112))</t>
        </is>
      </c>
      <c r="AE112" s="49" t="inlineStr">
        <is>
          <t>IF(OR(F112="",COUNT(AI112:AV112)&lt;2),"",LOOKUP(2,1/(AI112:AV112&lt;&gt;""),AI112:AV112)-MIN(AI112:AV112))</t>
        </is>
      </c>
      <c r="AF112" s="49" t="inlineStr">
        <is>
          <t>IF(OR(AD112="",AC112="Not started",AC112=""),"",IFERROR(AD112-IF(VLOOKUP(AC112,'06_Status_Pipeline'!$B$3:$E$20,4,FALSE)="",0,VLOOKUP(AC112,'06_Status_Pipeline'!$B$3:$E$20,4,FALSE)),""))</t>
        </is>
      </c>
      <c r="AG112" s="42" t="inlineStr">
        <is>
          <t>IF(F112="","",IF(OR(AA112="Cancelled",AC112="Cancelled"),"Cancelled",IF(OR(AC112="Completed / Handover",Y112&lt;&gt;"",Z112&gt;=100),"Completed — on track",IF(O112="Not awarded",IF(U112="",IF(X112="","No planned date",IF(TODAY()&gt;X112,"Behind — past planned date",IF(X112-TODAY()&lt;=30,"At risk — close to off track","On track"))),IF(TODAY()&gt;U112,"Behind — award date passed",IF(U112-TODAY()&lt;=30,"At risk — close to off track","On track"))),IF(X112="","No planned date",IF(AND(TODAY()&gt;X112,OR(Z112="",Z112&lt;100)),"Behind — past end date",IF(AND(T112&lt;&gt;"",X112&lt;&gt;"",Z112&lt;&gt;"",(Z112&lt;100),((TODAY()-T112)/MAX(X112-T112,1)*100)-Z112&gt;15),"Behind — progress lag",IF(AND(X112-TODAY()&lt;=30,X112-TODAY()&gt;=0,OR(Z112="",Z112&lt;90)),"At risk — close to off track","On track"))))))))</t>
        </is>
      </c>
      <c r="AH112" s="49" t="inlineStr">
        <is>
          <t>IF(OR(F112="",AC112="Completed / Handover",AC112="Cancelled"),"",IF(O112="Not awarded",IF(U112&lt;&gt;"",U112-TODAY(),IF(X112="","",X112-TODAY())),IF(X112="","",X112-TODAY())))</t>
        </is>
      </c>
      <c r="AI112" s="54" t="n"/>
      <c r="AJ112" s="54" t="n"/>
      <c r="AK112" s="54" t="n"/>
      <c r="AL112" s="54" t="n"/>
      <c r="AM112" s="54" t="n"/>
      <c r="AN112" s="54" t="n"/>
      <c r="AO112" s="54" t="n"/>
      <c r="AP112" s="54" t="n"/>
      <c r="AQ112" s="54" t="n"/>
      <c r="AR112" s="54" t="n"/>
      <c r="AS112" s="54" t="n"/>
      <c r="AT112" s="50" t="n"/>
      <c r="AU112" s="50" t="n"/>
      <c r="AV112" s="50" t="n"/>
      <c r="AW112" s="49" t="inlineStr">
        <is>
          <t>IF(OR(F112="",AJ112=""),"",IF(COUNT(AI112:AI112)=0,"",AJ112-LOOKUP(2,1/(AI112:AI112&lt;&gt;""),AI112:AI112)))</t>
        </is>
      </c>
      <c r="AX112" s="49" t="inlineStr">
        <is>
          <t>IF(OR(F112="",AK112=""),"",IF(COUNT(AI112:AJ112)=0,"",AK112-LOOKUP(2,1/(AI112:AJ112&lt;&gt;""),AI112:AJ112)))</t>
        </is>
      </c>
      <c r="AY112" s="49" t="inlineStr">
        <is>
          <t>IF(OR(F112="",AL112=""),"",IF(COUNT(AI112:AK112)=0,"",AL112-LOOKUP(2,1/(AI112:AK112&lt;&gt;""),AI112:AK112)))</t>
        </is>
      </c>
      <c r="AZ112" s="49" t="inlineStr">
        <is>
          <t>IF(OR(F112="",AM112=""),"",IF(COUNT(AI112:AL112)=0,"",AM112-LOOKUP(2,1/(AI112:AL112&lt;&gt;""),AI112:AL112)))</t>
        </is>
      </c>
      <c r="BA112" s="49" t="inlineStr">
        <is>
          <t>IF(OR(F112="",AN112=""),"",IF(COUNT(AI112:AM112)=0,"",AN112-LOOKUP(2,1/(AI112:AM112&lt;&gt;""),AI112:AM112)))</t>
        </is>
      </c>
      <c r="BB112" s="49" t="inlineStr">
        <is>
          <t>IF(OR(F112="",AO112=""),"",IF(COUNT(AI112:AN112)=0,"",AO112-LOOKUP(2,1/(AI112:AN112&lt;&gt;""),AI112:AN112)))</t>
        </is>
      </c>
      <c r="BC112" s="49" t="inlineStr">
        <is>
          <t>IF(OR(F112="",AP112=""),"",IF(COUNT(AI112:AO112)=0,"",AP112-LOOKUP(2,1/(AI112:AO112&lt;&gt;""),AI112:AO112)))</t>
        </is>
      </c>
      <c r="BD112" s="49" t="inlineStr">
        <is>
          <t>IF(OR(F112="",AQ112=""),"",IF(COUNT(AI112:AP112)=0,"",AQ112-LOOKUP(2,1/(AI112:AP112&lt;&gt;""),AI112:AP112)))</t>
        </is>
      </c>
      <c r="BE112" s="49" t="inlineStr">
        <is>
          <t>IF(OR(F112="",AR112=""),"",IF(COUNT(AI112:AQ112)=0,"",AR112-LOOKUP(2,1/(AI112:AQ112&lt;&gt;""),AI112:AQ112)))</t>
        </is>
      </c>
      <c r="BF112" s="49" t="inlineStr">
        <is>
          <t>IF(OR(F112="",AS112=""),"",IF(COUNT(AI112:AR112)=0,"",AS112-LOOKUP(2,1/(AI112:AR112&lt;&gt;""),AI112:AR112)))</t>
        </is>
      </c>
      <c r="BG112" s="49" t="inlineStr">
        <is>
          <t>IF(OR(F112="",AT112=""),"",IF(COUNT(AI112:AS112)=0,"",AT112-LOOKUP(2,1/(AI112:AS112&lt;&gt;""),AI112:AS112)))</t>
        </is>
      </c>
      <c r="BH112" s="49" t="inlineStr">
        <is>
          <t>IF(OR(F112="",AU112=""),"",IF(COUNT(AI112:AT112)=0,"",AU112-LOOKUP(2,1/(AI112:AT112&lt;&gt;""),AI112:AT112)))</t>
        </is>
      </c>
      <c r="BI112" s="49" t="inlineStr">
        <is>
          <t>IF(OR(F112="",AV112=""),"",IF(COUNT(AI112:AU112)=0,"",AV112-LOOKUP(2,1/(AI112:AU112&lt;&gt;""),AI112:AU112)))</t>
        </is>
      </c>
      <c r="BJ112" s="51" t="inlineStr">
        <is>
          <t>IF(J112="","All_Provinces",IFERROR(VLOOKUP(J112,'09_Lookups'!$A$4:$B$20,2,FALSE),"All_Provinces"))</t>
        </is>
      </c>
      <c r="BK112" s="51" t="inlineStr">
        <is>
          <t>IF(K112="","All_Districts",IFERROR(VLOOKUP(K112,'09_Lookups'!$E$4:$F$42,2,FALSE),"All_Districts"))</t>
        </is>
      </c>
    </row>
    <row r="113" outlineLevel="1" ht="18" customHeight="1">
      <c r="A113" s="42" t="inlineStr">
        <is>
          <t>IF(F113="","",ROW()-3)</t>
        </is>
      </c>
      <c r="B113" s="65" t="inlineStr">
        <is>
          <t>AF2-DIS-06</t>
        </is>
      </c>
      <c r="C113"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3" s="65" t="inlineStr">
        <is>
          <t>4 of 12</t>
        </is>
      </c>
      <c r="E113" s="44" t="inlineStr">
        <is>
          <t>AF2-DIS-N-071</t>
        </is>
      </c>
      <c r="F113" s="44" t="inlineStr">
        <is>
          <t>Garmaw Kali Drip irrigation schemes</t>
        </is>
      </c>
      <c r="G113" s="44" t="inlineStr">
        <is>
          <t>Drip Irrigation</t>
        </is>
      </c>
      <c r="H113" s="44" t="inlineStr">
        <is>
          <t>Drip Irrigation Plot</t>
        </is>
      </c>
      <c r="I113" s="44" t="inlineStr">
        <is>
          <t>Emergency Food Security Project (EFSP) – WBK/AF-2</t>
        </is>
      </c>
      <c r="J113" s="44" t="inlineStr">
        <is>
          <t>South / Kandahar</t>
        </is>
      </c>
      <c r="K113" s="44" t="inlineStr">
        <is>
          <t>Kandahar</t>
        </is>
      </c>
      <c r="L113" s="44" t="inlineStr">
        <is>
          <t>Panjwai</t>
        </is>
      </c>
      <c r="M113" s="44" t="inlineStr">
        <is>
          <t>Garmaw Kali</t>
        </is>
      </c>
      <c r="N113" s="44" t="inlineStr">
        <is>
          <t>World Bank (WBK/AF-2)</t>
        </is>
      </c>
      <c r="O113" s="44" t="inlineStr">
        <is>
          <t>Not awarded</t>
        </is>
      </c>
      <c r="P113" s="44" t="inlineStr">
        <is>
          <t>5. Drip Irrigation systems</t>
        </is>
      </c>
      <c r="Q113" s="44" t="inlineStr"/>
      <c r="R113" s="44" t="inlineStr"/>
      <c r="S113" s="45" t="n">
        <v>8500</v>
      </c>
      <c r="T113" s="46" t="inlineStr">
        <is>
          <t>IF(AQ113="","",AQ113)</t>
        </is>
      </c>
      <c r="U113" s="47" t="n">
        <v>46412</v>
      </c>
      <c r="V113" s="48" t="n">
        <v>4.9</v>
      </c>
      <c r="W113" s="47" t="n">
        <v>46562</v>
      </c>
      <c r="X113" s="46" t="inlineStr">
        <is>
          <t>IF(W113&lt;&gt;"",W113,IF(OR(T113="",V113=""),"",EDATE(T113,V113)))</t>
        </is>
      </c>
      <c r="Y113" s="47" t="n"/>
      <c r="Z113" s="48" t="n"/>
      <c r="AA113" s="44" t="inlineStr">
        <is>
          <t>Under Review of WRI</t>
        </is>
      </c>
      <c r="AB113" s="44" t="inlineStr">
        <is>
          <t>Five months for the construction.</t>
        </is>
      </c>
      <c r="AC113" s="42" t="inlineStr">
        <is>
          <t>IF(F113="","",IF(COUNT(AI113:AV113)=0,IF(AA113="","Not started",AA113),SUBSTITUTE(LOOKUP(2,1/(AI113:AV113&lt;&gt;""),$AI$3:$AV$3),"Date: ","")))</t>
        </is>
      </c>
      <c r="AD113" s="49" t="inlineStr">
        <is>
          <t>IF(OR(F113="",COUNT(AI113:AV113)=0),"",TODAY()-LOOKUP(2,1/(AI113:AV113&lt;&gt;""),AI113:AV113))</t>
        </is>
      </c>
      <c r="AE113" s="49" t="inlineStr">
        <is>
          <t>IF(OR(F113="",COUNT(AI113:AV113)&lt;2),"",LOOKUP(2,1/(AI113:AV113&lt;&gt;""),AI113:AV113)-MIN(AI113:AV113))</t>
        </is>
      </c>
      <c r="AF113" s="49" t="inlineStr">
        <is>
          <t>IF(OR(AD113="",AC113="Not started",AC113=""),"",IFERROR(AD113-IF(VLOOKUP(AC113,'06_Status_Pipeline'!$B$3:$E$20,4,FALSE)="",0,VLOOKUP(AC113,'06_Status_Pipeline'!$B$3:$E$20,4,FALSE)),""))</t>
        </is>
      </c>
      <c r="AG113" s="42" t="inlineStr">
        <is>
          <t>IF(F113="","",IF(OR(AA113="Cancelled",AC113="Cancelled"),"Cancelled",IF(OR(AC113="Completed / Handover",Y113&lt;&gt;"",Z113&gt;=100),"Completed — on track",IF(O113="Not awarded",IF(U113="",IF(X113="","No planned date",IF(TODAY()&gt;X113,"Behind — past planned date",IF(X113-TODAY()&lt;=30,"At risk — close to off track","On track"))),IF(TODAY()&gt;U113,"Behind — award date passed",IF(U113-TODAY()&lt;=30,"At risk — close to off track","On track"))),IF(X113="","No planned date",IF(AND(TODAY()&gt;X113,OR(Z113="",Z113&lt;100)),"Behind — past end date",IF(AND(T113&lt;&gt;"",X113&lt;&gt;"",Z113&lt;&gt;"",(Z113&lt;100),((TODAY()-T113)/MAX(X113-T113,1)*100)-Z113&gt;15),"Behind — progress lag",IF(AND(X113-TODAY()&lt;=30,X113-TODAY()&gt;=0,OR(Z113="",Z113&lt;90)),"At risk — close to off track","On track"))))))))</t>
        </is>
      </c>
      <c r="AH113" s="49" t="inlineStr">
        <is>
          <t>IF(OR(F113="",AC113="Completed / Handover",AC113="Cancelled"),"",IF(O113="Not awarded",IF(U113&lt;&gt;"",U113-TODAY(),IF(X113="","",X113-TODAY())),IF(X113="","",X113-TODAY())))</t>
        </is>
      </c>
      <c r="AI113" s="47" t="n"/>
      <c r="AJ113" s="47" t="n"/>
      <c r="AK113" s="47" t="n"/>
      <c r="AL113" s="47" t="n"/>
      <c r="AM113" s="47" t="n"/>
      <c r="AN113" s="47" t="n"/>
      <c r="AO113" s="47" t="n"/>
      <c r="AP113" s="47" t="n"/>
      <c r="AQ113" s="47" t="n"/>
      <c r="AR113" s="47" t="n"/>
      <c r="AS113" s="47" t="n"/>
      <c r="AT113" s="50" t="n"/>
      <c r="AU113" s="50" t="n"/>
      <c r="AV113" s="50" t="n"/>
      <c r="AW113" s="49" t="inlineStr">
        <is>
          <t>IF(OR(F113="",AJ113=""),"",IF(COUNT(AI113:AI113)=0,"",AJ113-LOOKUP(2,1/(AI113:AI113&lt;&gt;""),AI113:AI113)))</t>
        </is>
      </c>
      <c r="AX113" s="49" t="inlineStr">
        <is>
          <t>IF(OR(F113="",AK113=""),"",IF(COUNT(AI113:AJ113)=0,"",AK113-LOOKUP(2,1/(AI113:AJ113&lt;&gt;""),AI113:AJ113)))</t>
        </is>
      </c>
      <c r="AY113" s="49" t="inlineStr">
        <is>
          <t>IF(OR(F113="",AL113=""),"",IF(COUNT(AI113:AK113)=0,"",AL113-LOOKUP(2,1/(AI113:AK113&lt;&gt;""),AI113:AK113)))</t>
        </is>
      </c>
      <c r="AZ113" s="49" t="inlineStr">
        <is>
          <t>IF(OR(F113="",AM113=""),"",IF(COUNT(AI113:AL113)=0,"",AM113-LOOKUP(2,1/(AI113:AL113&lt;&gt;""),AI113:AL113)))</t>
        </is>
      </c>
      <c r="BA113" s="49" t="inlineStr">
        <is>
          <t>IF(OR(F113="",AN113=""),"",IF(COUNT(AI113:AM113)=0,"",AN113-LOOKUP(2,1/(AI113:AM113&lt;&gt;""),AI113:AM113)))</t>
        </is>
      </c>
      <c r="BB113" s="49" t="inlineStr">
        <is>
          <t>IF(OR(F113="",AO113=""),"",IF(COUNT(AI113:AN113)=0,"",AO113-LOOKUP(2,1/(AI113:AN113&lt;&gt;""),AI113:AN113)))</t>
        </is>
      </c>
      <c r="BC113" s="49" t="inlineStr">
        <is>
          <t>IF(OR(F113="",AP113=""),"",IF(COUNT(AI113:AO113)=0,"",AP113-LOOKUP(2,1/(AI113:AO113&lt;&gt;""),AI113:AO113)))</t>
        </is>
      </c>
      <c r="BD113" s="49" t="inlineStr">
        <is>
          <t>IF(OR(F113="",AQ113=""),"",IF(COUNT(AI113:AP113)=0,"",AQ113-LOOKUP(2,1/(AI113:AP113&lt;&gt;""),AI113:AP113)))</t>
        </is>
      </c>
      <c r="BE113" s="49" t="inlineStr">
        <is>
          <t>IF(OR(F113="",AR113=""),"",IF(COUNT(AI113:AQ113)=0,"",AR113-LOOKUP(2,1/(AI113:AQ113&lt;&gt;""),AI113:AQ113)))</t>
        </is>
      </c>
      <c r="BF113" s="49" t="inlineStr">
        <is>
          <t>IF(OR(F113="",AS113=""),"",IF(COUNT(AI113:AR113)=0,"",AS113-LOOKUP(2,1/(AI113:AR113&lt;&gt;""),AI113:AR113)))</t>
        </is>
      </c>
      <c r="BG113" s="49" t="inlineStr">
        <is>
          <t>IF(OR(F113="",AT113=""),"",IF(COUNT(AI113:AS113)=0,"",AT113-LOOKUP(2,1/(AI113:AS113&lt;&gt;""),AI113:AS113)))</t>
        </is>
      </c>
      <c r="BH113" s="49" t="inlineStr">
        <is>
          <t>IF(OR(F113="",AU113=""),"",IF(COUNT(AI113:AT113)=0,"",AU113-LOOKUP(2,1/(AI113:AT113&lt;&gt;""),AI113:AT113)))</t>
        </is>
      </c>
      <c r="BI113" s="49" t="inlineStr">
        <is>
          <t>IF(OR(F113="",AV113=""),"",IF(COUNT(AI113:AU113)=0,"",AV113-LOOKUP(2,1/(AI113:AU113&lt;&gt;""),AI113:AU113)))</t>
        </is>
      </c>
      <c r="BJ113" s="51" t="inlineStr">
        <is>
          <t>IF(J113="","All_Provinces",IFERROR(VLOOKUP(J113,'09_Lookups'!$A$4:$B$20,2,FALSE),"All_Provinces"))</t>
        </is>
      </c>
      <c r="BK113" s="51" t="inlineStr">
        <is>
          <t>IF(K113="","All_Districts",IFERROR(VLOOKUP(K113,'09_Lookups'!$E$4:$F$42,2,FALSE),"All_Districts"))</t>
        </is>
      </c>
    </row>
    <row r="114" outlineLevel="1" ht="18" customHeight="1">
      <c r="A114" s="42" t="inlineStr">
        <is>
          <t>IF(F114="","",ROW()-3)</t>
        </is>
      </c>
      <c r="B114" s="65" t="inlineStr">
        <is>
          <t>AF2-DIS-06</t>
        </is>
      </c>
      <c r="C114"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4" s="65" t="inlineStr">
        <is>
          <t>5 of 12</t>
        </is>
      </c>
      <c r="E114" s="52" t="inlineStr">
        <is>
          <t>AF2-DIS-N-072</t>
        </is>
      </c>
      <c r="F114" s="52" t="inlineStr">
        <is>
          <t>Garmaw Kali Drip irrigation schemes</t>
        </is>
      </c>
      <c r="G114" s="52" t="inlineStr">
        <is>
          <t>Drip Irrigation</t>
        </is>
      </c>
      <c r="H114" s="52" t="inlineStr">
        <is>
          <t>Drip Irrigation Plot</t>
        </is>
      </c>
      <c r="I114" s="52" t="inlineStr">
        <is>
          <t>Emergency Food Security Project (EFSP) – WBK/AF-2</t>
        </is>
      </c>
      <c r="J114" s="52" t="inlineStr">
        <is>
          <t>South / Kandahar</t>
        </is>
      </c>
      <c r="K114" s="52" t="inlineStr">
        <is>
          <t>Kandahar</t>
        </is>
      </c>
      <c r="L114" s="52" t="inlineStr">
        <is>
          <t>Shah Wali Kot</t>
        </is>
      </c>
      <c r="M114" s="52" t="inlineStr">
        <is>
          <t>Garmaw kali</t>
        </is>
      </c>
      <c r="N114" s="52" t="inlineStr">
        <is>
          <t>World Bank (WBK/AF-2)</t>
        </is>
      </c>
      <c r="O114" s="52" t="inlineStr">
        <is>
          <t>Not awarded</t>
        </is>
      </c>
      <c r="P114" s="52" t="inlineStr">
        <is>
          <t>5. Drip Irrigation systems</t>
        </is>
      </c>
      <c r="Q114" s="52" t="inlineStr"/>
      <c r="R114" s="52" t="inlineStr"/>
      <c r="S114" s="53" t="n">
        <v>8500</v>
      </c>
      <c r="T114" s="46" t="inlineStr">
        <is>
          <t>IF(AQ114="","",AQ114)</t>
        </is>
      </c>
      <c r="U114" s="54" t="n">
        <v>46412</v>
      </c>
      <c r="V114" s="55" t="n">
        <v>4.9</v>
      </c>
      <c r="W114" s="54" t="n">
        <v>46562</v>
      </c>
      <c r="X114" s="46" t="inlineStr">
        <is>
          <t>IF(W114&lt;&gt;"",W114,IF(OR(T114="",V114=""),"",EDATE(T114,V114)))</t>
        </is>
      </c>
      <c r="Y114" s="54" t="n"/>
      <c r="Z114" s="55" t="n"/>
      <c r="AA114" s="52" t="inlineStr">
        <is>
          <t>Under Review of WRI</t>
        </is>
      </c>
      <c r="AB114" s="52" t="inlineStr">
        <is>
          <t>Five months for the construction.</t>
        </is>
      </c>
      <c r="AC114" s="42" t="inlineStr">
        <is>
          <t>IF(F114="","",IF(COUNT(AI114:AV114)=0,IF(AA114="","Not started",AA114),SUBSTITUTE(LOOKUP(2,1/(AI114:AV114&lt;&gt;""),$AI$3:$AV$3),"Date: ","")))</t>
        </is>
      </c>
      <c r="AD114" s="49" t="inlineStr">
        <is>
          <t>IF(OR(F114="",COUNT(AI114:AV114)=0),"",TODAY()-LOOKUP(2,1/(AI114:AV114&lt;&gt;""),AI114:AV114))</t>
        </is>
      </c>
      <c r="AE114" s="49" t="inlineStr">
        <is>
          <t>IF(OR(F114="",COUNT(AI114:AV114)&lt;2),"",LOOKUP(2,1/(AI114:AV114&lt;&gt;""),AI114:AV114)-MIN(AI114:AV114))</t>
        </is>
      </c>
      <c r="AF114" s="49" t="inlineStr">
        <is>
          <t>IF(OR(AD114="",AC114="Not started",AC114=""),"",IFERROR(AD114-IF(VLOOKUP(AC114,'06_Status_Pipeline'!$B$3:$E$20,4,FALSE)="",0,VLOOKUP(AC114,'06_Status_Pipeline'!$B$3:$E$20,4,FALSE)),""))</t>
        </is>
      </c>
      <c r="AG114" s="42" t="inlineStr">
        <is>
          <t>IF(F114="","",IF(OR(AA114="Cancelled",AC114="Cancelled"),"Cancelled",IF(OR(AC114="Completed / Handover",Y114&lt;&gt;"",Z114&gt;=100),"Completed — on track",IF(O114="Not awarded",IF(U114="",IF(X114="","No planned date",IF(TODAY()&gt;X114,"Behind — past planned date",IF(X114-TODAY()&lt;=30,"At risk — close to off track","On track"))),IF(TODAY()&gt;U114,"Behind — award date passed",IF(U114-TODAY()&lt;=30,"At risk — close to off track","On track"))),IF(X114="","No planned date",IF(AND(TODAY()&gt;X114,OR(Z114="",Z114&lt;100)),"Behind — past end date",IF(AND(T114&lt;&gt;"",X114&lt;&gt;"",Z114&lt;&gt;"",(Z114&lt;100),((TODAY()-T114)/MAX(X114-T114,1)*100)-Z114&gt;15),"Behind — progress lag",IF(AND(X114-TODAY()&lt;=30,X114-TODAY()&gt;=0,OR(Z114="",Z114&lt;90)),"At risk — close to off track","On track"))))))))</t>
        </is>
      </c>
      <c r="AH114" s="49" t="inlineStr">
        <is>
          <t>IF(OR(F114="",AC114="Completed / Handover",AC114="Cancelled"),"",IF(O114="Not awarded",IF(U114&lt;&gt;"",U114-TODAY(),IF(X114="","",X114-TODAY())),IF(X114="","",X114-TODAY())))</t>
        </is>
      </c>
      <c r="AI114" s="54" t="n"/>
      <c r="AJ114" s="54" t="n"/>
      <c r="AK114" s="54" t="n"/>
      <c r="AL114" s="54" t="n"/>
      <c r="AM114" s="54" t="n"/>
      <c r="AN114" s="54" t="n"/>
      <c r="AO114" s="54" t="n"/>
      <c r="AP114" s="54" t="n"/>
      <c r="AQ114" s="54" t="n"/>
      <c r="AR114" s="54" t="n"/>
      <c r="AS114" s="54" t="n"/>
      <c r="AT114" s="50" t="n"/>
      <c r="AU114" s="50" t="n"/>
      <c r="AV114" s="50" t="n"/>
      <c r="AW114" s="49" t="inlineStr">
        <is>
          <t>IF(OR(F114="",AJ114=""),"",IF(COUNT(AI114:AI114)=0,"",AJ114-LOOKUP(2,1/(AI114:AI114&lt;&gt;""),AI114:AI114)))</t>
        </is>
      </c>
      <c r="AX114" s="49" t="inlineStr">
        <is>
          <t>IF(OR(F114="",AK114=""),"",IF(COUNT(AI114:AJ114)=0,"",AK114-LOOKUP(2,1/(AI114:AJ114&lt;&gt;""),AI114:AJ114)))</t>
        </is>
      </c>
      <c r="AY114" s="49" t="inlineStr">
        <is>
          <t>IF(OR(F114="",AL114=""),"",IF(COUNT(AI114:AK114)=0,"",AL114-LOOKUP(2,1/(AI114:AK114&lt;&gt;""),AI114:AK114)))</t>
        </is>
      </c>
      <c r="AZ114" s="49" t="inlineStr">
        <is>
          <t>IF(OR(F114="",AM114=""),"",IF(COUNT(AI114:AL114)=0,"",AM114-LOOKUP(2,1/(AI114:AL114&lt;&gt;""),AI114:AL114)))</t>
        </is>
      </c>
      <c r="BA114" s="49" t="inlineStr">
        <is>
          <t>IF(OR(F114="",AN114=""),"",IF(COUNT(AI114:AM114)=0,"",AN114-LOOKUP(2,1/(AI114:AM114&lt;&gt;""),AI114:AM114)))</t>
        </is>
      </c>
      <c r="BB114" s="49" t="inlineStr">
        <is>
          <t>IF(OR(F114="",AO114=""),"",IF(COUNT(AI114:AN114)=0,"",AO114-LOOKUP(2,1/(AI114:AN114&lt;&gt;""),AI114:AN114)))</t>
        </is>
      </c>
      <c r="BC114" s="49" t="inlineStr">
        <is>
          <t>IF(OR(F114="",AP114=""),"",IF(COUNT(AI114:AO114)=0,"",AP114-LOOKUP(2,1/(AI114:AO114&lt;&gt;""),AI114:AO114)))</t>
        </is>
      </c>
      <c r="BD114" s="49" t="inlineStr">
        <is>
          <t>IF(OR(F114="",AQ114=""),"",IF(COUNT(AI114:AP114)=0,"",AQ114-LOOKUP(2,1/(AI114:AP114&lt;&gt;""),AI114:AP114)))</t>
        </is>
      </c>
      <c r="BE114" s="49" t="inlineStr">
        <is>
          <t>IF(OR(F114="",AR114=""),"",IF(COUNT(AI114:AQ114)=0,"",AR114-LOOKUP(2,1/(AI114:AQ114&lt;&gt;""),AI114:AQ114)))</t>
        </is>
      </c>
      <c r="BF114" s="49" t="inlineStr">
        <is>
          <t>IF(OR(F114="",AS114=""),"",IF(COUNT(AI114:AR114)=0,"",AS114-LOOKUP(2,1/(AI114:AR114&lt;&gt;""),AI114:AR114)))</t>
        </is>
      </c>
      <c r="BG114" s="49" t="inlineStr">
        <is>
          <t>IF(OR(F114="",AT114=""),"",IF(COUNT(AI114:AS114)=0,"",AT114-LOOKUP(2,1/(AI114:AS114&lt;&gt;""),AI114:AS114)))</t>
        </is>
      </c>
      <c r="BH114" s="49" t="inlineStr">
        <is>
          <t>IF(OR(F114="",AU114=""),"",IF(COUNT(AI114:AT114)=0,"",AU114-LOOKUP(2,1/(AI114:AT114&lt;&gt;""),AI114:AT114)))</t>
        </is>
      </c>
      <c r="BI114" s="49" t="inlineStr">
        <is>
          <t>IF(OR(F114="",AV114=""),"",IF(COUNT(AI114:AU114)=0,"",AV114-LOOKUP(2,1/(AI114:AU114&lt;&gt;""),AI114:AU114)))</t>
        </is>
      </c>
      <c r="BJ114" s="51" t="inlineStr">
        <is>
          <t>IF(J114="","All_Provinces",IFERROR(VLOOKUP(J114,'09_Lookups'!$A$4:$B$20,2,FALSE),"All_Provinces"))</t>
        </is>
      </c>
      <c r="BK114" s="51" t="inlineStr">
        <is>
          <t>IF(K114="","All_Districts",IFERROR(VLOOKUP(K114,'09_Lookups'!$E$4:$F$42,2,FALSE),"All_Districts"))</t>
        </is>
      </c>
    </row>
    <row r="115" outlineLevel="1" ht="18" customHeight="1">
      <c r="A115" s="42" t="inlineStr">
        <is>
          <t>IF(F115="","",ROW()-3)</t>
        </is>
      </c>
      <c r="B115" s="65" t="inlineStr">
        <is>
          <t>AF2-DIS-06</t>
        </is>
      </c>
      <c r="C115"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5" s="65" t="inlineStr">
        <is>
          <t>6 of 12</t>
        </is>
      </c>
      <c r="E115" s="44" t="inlineStr">
        <is>
          <t>AF2-DIS-N-073</t>
        </is>
      </c>
      <c r="F115" s="44" t="inlineStr">
        <is>
          <t>Khair Abad Drip irrigation schemes</t>
        </is>
      </c>
      <c r="G115" s="44" t="inlineStr">
        <is>
          <t>Drip Irrigation</t>
        </is>
      </c>
      <c r="H115" s="44" t="inlineStr">
        <is>
          <t>Drip Irrigation Plot</t>
        </is>
      </c>
      <c r="I115" s="44" t="inlineStr">
        <is>
          <t>Emergency Food Security Project (EFSP) – WBK/AF-2</t>
        </is>
      </c>
      <c r="J115" s="44" t="inlineStr">
        <is>
          <t>South / Kandahar</t>
        </is>
      </c>
      <c r="K115" s="44" t="inlineStr">
        <is>
          <t>Urozgan</t>
        </is>
      </c>
      <c r="L115" s="44" t="inlineStr">
        <is>
          <t>Terinkot</t>
        </is>
      </c>
      <c r="M115" s="44" t="inlineStr">
        <is>
          <t>Khair Abad</t>
        </is>
      </c>
      <c r="N115" s="44" t="inlineStr">
        <is>
          <t>World Bank (WBK/AF-2)</t>
        </is>
      </c>
      <c r="O115" s="44" t="inlineStr">
        <is>
          <t>Not awarded</t>
        </is>
      </c>
      <c r="P115" s="44" t="inlineStr">
        <is>
          <t>5. Drip Irrigation systems</t>
        </is>
      </c>
      <c r="Q115" s="44" t="inlineStr"/>
      <c r="R115" s="44" t="inlineStr"/>
      <c r="S115" s="45" t="n">
        <v>8500</v>
      </c>
      <c r="T115" s="46" t="inlineStr">
        <is>
          <t>IF(AQ115="","",AQ115)</t>
        </is>
      </c>
      <c r="U115" s="47" t="n">
        <v>46412</v>
      </c>
      <c r="V115" s="48" t="n">
        <v>4.9</v>
      </c>
      <c r="W115" s="47" t="n">
        <v>46562</v>
      </c>
      <c r="X115" s="46" t="inlineStr">
        <is>
          <t>IF(W115&lt;&gt;"",W115,IF(OR(T115="",V115=""),"",EDATE(T115,V115)))</t>
        </is>
      </c>
      <c r="Y115" s="47" t="n"/>
      <c r="Z115" s="48" t="n"/>
      <c r="AA115" s="44" t="inlineStr">
        <is>
          <t>Under Review of WRI</t>
        </is>
      </c>
      <c r="AB115" s="44" t="inlineStr">
        <is>
          <t>Five months for the construction.</t>
        </is>
      </c>
      <c r="AC115" s="42" t="inlineStr">
        <is>
          <t>IF(F115="","",IF(COUNT(AI115:AV115)=0,IF(AA115="","Not started",AA115),SUBSTITUTE(LOOKUP(2,1/(AI115:AV115&lt;&gt;""),$AI$3:$AV$3),"Date: ","")))</t>
        </is>
      </c>
      <c r="AD115" s="49" t="inlineStr">
        <is>
          <t>IF(OR(F115="",COUNT(AI115:AV115)=0),"",TODAY()-LOOKUP(2,1/(AI115:AV115&lt;&gt;""),AI115:AV115))</t>
        </is>
      </c>
      <c r="AE115" s="49" t="inlineStr">
        <is>
          <t>IF(OR(F115="",COUNT(AI115:AV115)&lt;2),"",LOOKUP(2,1/(AI115:AV115&lt;&gt;""),AI115:AV115)-MIN(AI115:AV115))</t>
        </is>
      </c>
      <c r="AF115" s="49" t="inlineStr">
        <is>
          <t>IF(OR(AD115="",AC115="Not started",AC115=""),"",IFERROR(AD115-IF(VLOOKUP(AC115,'06_Status_Pipeline'!$B$3:$E$20,4,FALSE)="",0,VLOOKUP(AC115,'06_Status_Pipeline'!$B$3:$E$20,4,FALSE)),""))</t>
        </is>
      </c>
      <c r="AG115" s="42" t="inlineStr">
        <is>
          <t>IF(F115="","",IF(OR(AA115="Cancelled",AC115="Cancelled"),"Cancelled",IF(OR(AC115="Completed / Handover",Y115&lt;&gt;"",Z115&gt;=100),"Completed — on track",IF(O115="Not awarded",IF(U115="",IF(X115="","No planned date",IF(TODAY()&gt;X115,"Behind — past planned date",IF(X115-TODAY()&lt;=30,"At risk — close to off track","On track"))),IF(TODAY()&gt;U115,"Behind — award date passed",IF(U115-TODAY()&lt;=30,"At risk — close to off track","On track"))),IF(X115="","No planned date",IF(AND(TODAY()&gt;X115,OR(Z115="",Z115&lt;100)),"Behind — past end date",IF(AND(T115&lt;&gt;"",X115&lt;&gt;"",Z115&lt;&gt;"",(Z115&lt;100),((TODAY()-T115)/MAX(X115-T115,1)*100)-Z115&gt;15),"Behind — progress lag",IF(AND(X115-TODAY()&lt;=30,X115-TODAY()&gt;=0,OR(Z115="",Z115&lt;90)),"At risk — close to off track","On track"))))))))</t>
        </is>
      </c>
      <c r="AH115" s="49" t="inlineStr">
        <is>
          <t>IF(OR(F115="",AC115="Completed / Handover",AC115="Cancelled"),"",IF(O115="Not awarded",IF(U115&lt;&gt;"",U115-TODAY(),IF(X115="","",X115-TODAY())),IF(X115="","",X115-TODAY())))</t>
        </is>
      </c>
      <c r="AI115" s="47" t="n"/>
      <c r="AJ115" s="47" t="n"/>
      <c r="AK115" s="47" t="n"/>
      <c r="AL115" s="47" t="n"/>
      <c r="AM115" s="47" t="n"/>
      <c r="AN115" s="47" t="n"/>
      <c r="AO115" s="47" t="n"/>
      <c r="AP115" s="47" t="n"/>
      <c r="AQ115" s="47" t="n"/>
      <c r="AR115" s="47" t="n"/>
      <c r="AS115" s="47" t="n"/>
      <c r="AT115" s="50" t="n"/>
      <c r="AU115" s="50" t="n"/>
      <c r="AV115" s="50" t="n"/>
      <c r="AW115" s="49" t="inlineStr">
        <is>
          <t>IF(OR(F115="",AJ115=""),"",IF(COUNT(AI115:AI115)=0,"",AJ115-LOOKUP(2,1/(AI115:AI115&lt;&gt;""),AI115:AI115)))</t>
        </is>
      </c>
      <c r="AX115" s="49" t="inlineStr">
        <is>
          <t>IF(OR(F115="",AK115=""),"",IF(COUNT(AI115:AJ115)=0,"",AK115-LOOKUP(2,1/(AI115:AJ115&lt;&gt;""),AI115:AJ115)))</t>
        </is>
      </c>
      <c r="AY115" s="49" t="inlineStr">
        <is>
          <t>IF(OR(F115="",AL115=""),"",IF(COUNT(AI115:AK115)=0,"",AL115-LOOKUP(2,1/(AI115:AK115&lt;&gt;""),AI115:AK115)))</t>
        </is>
      </c>
      <c r="AZ115" s="49" t="inlineStr">
        <is>
          <t>IF(OR(F115="",AM115=""),"",IF(COUNT(AI115:AL115)=0,"",AM115-LOOKUP(2,1/(AI115:AL115&lt;&gt;""),AI115:AL115)))</t>
        </is>
      </c>
      <c r="BA115" s="49" t="inlineStr">
        <is>
          <t>IF(OR(F115="",AN115=""),"",IF(COUNT(AI115:AM115)=0,"",AN115-LOOKUP(2,1/(AI115:AM115&lt;&gt;""),AI115:AM115)))</t>
        </is>
      </c>
      <c r="BB115" s="49" t="inlineStr">
        <is>
          <t>IF(OR(F115="",AO115=""),"",IF(COUNT(AI115:AN115)=0,"",AO115-LOOKUP(2,1/(AI115:AN115&lt;&gt;""),AI115:AN115)))</t>
        </is>
      </c>
      <c r="BC115" s="49" t="inlineStr">
        <is>
          <t>IF(OR(F115="",AP115=""),"",IF(COUNT(AI115:AO115)=0,"",AP115-LOOKUP(2,1/(AI115:AO115&lt;&gt;""),AI115:AO115)))</t>
        </is>
      </c>
      <c r="BD115" s="49" t="inlineStr">
        <is>
          <t>IF(OR(F115="",AQ115=""),"",IF(COUNT(AI115:AP115)=0,"",AQ115-LOOKUP(2,1/(AI115:AP115&lt;&gt;""),AI115:AP115)))</t>
        </is>
      </c>
      <c r="BE115" s="49" t="inlineStr">
        <is>
          <t>IF(OR(F115="",AR115=""),"",IF(COUNT(AI115:AQ115)=0,"",AR115-LOOKUP(2,1/(AI115:AQ115&lt;&gt;""),AI115:AQ115)))</t>
        </is>
      </c>
      <c r="BF115" s="49" t="inlineStr">
        <is>
          <t>IF(OR(F115="",AS115=""),"",IF(COUNT(AI115:AR115)=0,"",AS115-LOOKUP(2,1/(AI115:AR115&lt;&gt;""),AI115:AR115)))</t>
        </is>
      </c>
      <c r="BG115" s="49" t="inlineStr">
        <is>
          <t>IF(OR(F115="",AT115=""),"",IF(COUNT(AI115:AS115)=0,"",AT115-LOOKUP(2,1/(AI115:AS115&lt;&gt;""),AI115:AS115)))</t>
        </is>
      </c>
      <c r="BH115" s="49" t="inlineStr">
        <is>
          <t>IF(OR(F115="",AU115=""),"",IF(COUNT(AI115:AT115)=0,"",AU115-LOOKUP(2,1/(AI115:AT115&lt;&gt;""),AI115:AT115)))</t>
        </is>
      </c>
      <c r="BI115" s="49" t="inlineStr">
        <is>
          <t>IF(OR(F115="",AV115=""),"",IF(COUNT(AI115:AU115)=0,"",AV115-LOOKUP(2,1/(AI115:AU115&lt;&gt;""),AI115:AU115)))</t>
        </is>
      </c>
      <c r="BJ115" s="51" t="inlineStr">
        <is>
          <t>IF(J115="","All_Provinces",IFERROR(VLOOKUP(J115,'09_Lookups'!$A$4:$B$20,2,FALSE),"All_Provinces"))</t>
        </is>
      </c>
      <c r="BK115" s="51" t="inlineStr">
        <is>
          <t>IF(K115="","All_Districts",IFERROR(VLOOKUP(K115,'09_Lookups'!$E$4:$F$42,2,FALSE),"All_Districts"))</t>
        </is>
      </c>
    </row>
    <row r="116" outlineLevel="1" ht="18" customHeight="1">
      <c r="A116" s="42" t="inlineStr">
        <is>
          <t>IF(F116="","",ROW()-3)</t>
        </is>
      </c>
      <c r="B116" s="65" t="inlineStr">
        <is>
          <t>AF2-DIS-06</t>
        </is>
      </c>
      <c r="C116"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6" s="65" t="inlineStr">
        <is>
          <t>7 of 12</t>
        </is>
      </c>
      <c r="E116" s="52" t="inlineStr">
        <is>
          <t>AF2-DIS-N-074</t>
        </is>
      </c>
      <c r="F116" s="52" t="inlineStr">
        <is>
          <t>Kona Kala Drip irrigation schemes</t>
        </is>
      </c>
      <c r="G116" s="52" t="inlineStr">
        <is>
          <t>Drip Irrigation</t>
        </is>
      </c>
      <c r="H116" s="52" t="inlineStr">
        <is>
          <t>Drip Irrigation Plot</t>
        </is>
      </c>
      <c r="I116" s="52" t="inlineStr">
        <is>
          <t>Emergency Food Security Project (EFSP) – WBK/AF-2</t>
        </is>
      </c>
      <c r="J116" s="52" t="inlineStr">
        <is>
          <t>South / Kandahar</t>
        </is>
      </c>
      <c r="K116" s="52" t="inlineStr">
        <is>
          <t>Urozgan</t>
        </is>
      </c>
      <c r="L116" s="52" t="inlineStr">
        <is>
          <t>Terinkot</t>
        </is>
      </c>
      <c r="M116" s="52" t="inlineStr">
        <is>
          <t>Kona Kala</t>
        </is>
      </c>
      <c r="N116" s="52" t="inlineStr">
        <is>
          <t>World Bank (WBK/AF-2)</t>
        </is>
      </c>
      <c r="O116" s="52" t="inlineStr">
        <is>
          <t>Not awarded</t>
        </is>
      </c>
      <c r="P116" s="52" t="inlineStr">
        <is>
          <t>5. Drip Irrigation systems</t>
        </is>
      </c>
      <c r="Q116" s="52" t="inlineStr"/>
      <c r="R116" s="52" t="inlineStr"/>
      <c r="S116" s="53" t="n">
        <v>4250</v>
      </c>
      <c r="T116" s="46" t="inlineStr">
        <is>
          <t>IF(AQ116="","",AQ116)</t>
        </is>
      </c>
      <c r="U116" s="54" t="n">
        <v>46412</v>
      </c>
      <c r="V116" s="55" t="n">
        <v>4.9</v>
      </c>
      <c r="W116" s="54" t="n">
        <v>46562</v>
      </c>
      <c r="X116" s="46" t="inlineStr">
        <is>
          <t>IF(W116&lt;&gt;"",W116,IF(OR(T116="",V116=""),"",EDATE(T116,V116)))</t>
        </is>
      </c>
      <c r="Y116" s="54" t="n"/>
      <c r="Z116" s="55" t="n"/>
      <c r="AA116" s="52" t="inlineStr">
        <is>
          <t>Under Review of WRI</t>
        </is>
      </c>
      <c r="AB116" s="52" t="inlineStr">
        <is>
          <t>Five months for the construction.</t>
        </is>
      </c>
      <c r="AC116" s="42" t="inlineStr">
        <is>
          <t>IF(F116="","",IF(COUNT(AI116:AV116)=0,IF(AA116="","Not started",AA116),SUBSTITUTE(LOOKUP(2,1/(AI116:AV116&lt;&gt;""),$AI$3:$AV$3),"Date: ","")))</t>
        </is>
      </c>
      <c r="AD116" s="49" t="inlineStr">
        <is>
          <t>IF(OR(F116="",COUNT(AI116:AV116)=0),"",TODAY()-LOOKUP(2,1/(AI116:AV116&lt;&gt;""),AI116:AV116))</t>
        </is>
      </c>
      <c r="AE116" s="49" t="inlineStr">
        <is>
          <t>IF(OR(F116="",COUNT(AI116:AV116)&lt;2),"",LOOKUP(2,1/(AI116:AV116&lt;&gt;""),AI116:AV116)-MIN(AI116:AV116))</t>
        </is>
      </c>
      <c r="AF116" s="49" t="inlineStr">
        <is>
          <t>IF(OR(AD116="",AC116="Not started",AC116=""),"",IFERROR(AD116-IF(VLOOKUP(AC116,'06_Status_Pipeline'!$B$3:$E$20,4,FALSE)="",0,VLOOKUP(AC116,'06_Status_Pipeline'!$B$3:$E$20,4,FALSE)),""))</t>
        </is>
      </c>
      <c r="AG116" s="42" t="inlineStr">
        <is>
          <t>IF(F116="","",IF(OR(AA116="Cancelled",AC116="Cancelled"),"Cancelled",IF(OR(AC116="Completed / Handover",Y116&lt;&gt;"",Z116&gt;=100),"Completed — on track",IF(O116="Not awarded",IF(U116="",IF(X116="","No planned date",IF(TODAY()&gt;X116,"Behind — past planned date",IF(X116-TODAY()&lt;=30,"At risk — close to off track","On track"))),IF(TODAY()&gt;U116,"Behind — award date passed",IF(U116-TODAY()&lt;=30,"At risk — close to off track","On track"))),IF(X116="","No planned date",IF(AND(TODAY()&gt;X116,OR(Z116="",Z116&lt;100)),"Behind — past end date",IF(AND(T116&lt;&gt;"",X116&lt;&gt;"",Z116&lt;&gt;"",(Z116&lt;100),((TODAY()-T116)/MAX(X116-T116,1)*100)-Z116&gt;15),"Behind — progress lag",IF(AND(X116-TODAY()&lt;=30,X116-TODAY()&gt;=0,OR(Z116="",Z116&lt;90)),"At risk — close to off track","On track"))))))))</t>
        </is>
      </c>
      <c r="AH116" s="49" t="inlineStr">
        <is>
          <t>IF(OR(F116="",AC116="Completed / Handover",AC116="Cancelled"),"",IF(O116="Not awarded",IF(U116&lt;&gt;"",U116-TODAY(),IF(X116="","",X116-TODAY())),IF(X116="","",X116-TODAY())))</t>
        </is>
      </c>
      <c r="AI116" s="54" t="n"/>
      <c r="AJ116" s="54" t="n"/>
      <c r="AK116" s="54" t="n"/>
      <c r="AL116" s="54" t="n"/>
      <c r="AM116" s="54" t="n"/>
      <c r="AN116" s="54" t="n"/>
      <c r="AO116" s="54" t="n"/>
      <c r="AP116" s="54" t="n"/>
      <c r="AQ116" s="54" t="n"/>
      <c r="AR116" s="54" t="n"/>
      <c r="AS116" s="54" t="n"/>
      <c r="AT116" s="50" t="n"/>
      <c r="AU116" s="50" t="n"/>
      <c r="AV116" s="50" t="n"/>
      <c r="AW116" s="49" t="inlineStr">
        <is>
          <t>IF(OR(F116="",AJ116=""),"",IF(COUNT(AI116:AI116)=0,"",AJ116-LOOKUP(2,1/(AI116:AI116&lt;&gt;""),AI116:AI116)))</t>
        </is>
      </c>
      <c r="AX116" s="49" t="inlineStr">
        <is>
          <t>IF(OR(F116="",AK116=""),"",IF(COUNT(AI116:AJ116)=0,"",AK116-LOOKUP(2,1/(AI116:AJ116&lt;&gt;""),AI116:AJ116)))</t>
        </is>
      </c>
      <c r="AY116" s="49" t="inlineStr">
        <is>
          <t>IF(OR(F116="",AL116=""),"",IF(COUNT(AI116:AK116)=0,"",AL116-LOOKUP(2,1/(AI116:AK116&lt;&gt;""),AI116:AK116)))</t>
        </is>
      </c>
      <c r="AZ116" s="49" t="inlineStr">
        <is>
          <t>IF(OR(F116="",AM116=""),"",IF(COUNT(AI116:AL116)=0,"",AM116-LOOKUP(2,1/(AI116:AL116&lt;&gt;""),AI116:AL116)))</t>
        </is>
      </c>
      <c r="BA116" s="49" t="inlineStr">
        <is>
          <t>IF(OR(F116="",AN116=""),"",IF(COUNT(AI116:AM116)=0,"",AN116-LOOKUP(2,1/(AI116:AM116&lt;&gt;""),AI116:AM116)))</t>
        </is>
      </c>
      <c r="BB116" s="49" t="inlineStr">
        <is>
          <t>IF(OR(F116="",AO116=""),"",IF(COUNT(AI116:AN116)=0,"",AO116-LOOKUP(2,1/(AI116:AN116&lt;&gt;""),AI116:AN116)))</t>
        </is>
      </c>
      <c r="BC116" s="49" t="inlineStr">
        <is>
          <t>IF(OR(F116="",AP116=""),"",IF(COUNT(AI116:AO116)=0,"",AP116-LOOKUP(2,1/(AI116:AO116&lt;&gt;""),AI116:AO116)))</t>
        </is>
      </c>
      <c r="BD116" s="49" t="inlineStr">
        <is>
          <t>IF(OR(F116="",AQ116=""),"",IF(COUNT(AI116:AP116)=0,"",AQ116-LOOKUP(2,1/(AI116:AP116&lt;&gt;""),AI116:AP116)))</t>
        </is>
      </c>
      <c r="BE116" s="49" t="inlineStr">
        <is>
          <t>IF(OR(F116="",AR116=""),"",IF(COUNT(AI116:AQ116)=0,"",AR116-LOOKUP(2,1/(AI116:AQ116&lt;&gt;""),AI116:AQ116)))</t>
        </is>
      </c>
      <c r="BF116" s="49" t="inlineStr">
        <is>
          <t>IF(OR(F116="",AS116=""),"",IF(COUNT(AI116:AR116)=0,"",AS116-LOOKUP(2,1/(AI116:AR116&lt;&gt;""),AI116:AR116)))</t>
        </is>
      </c>
      <c r="BG116" s="49" t="inlineStr">
        <is>
          <t>IF(OR(F116="",AT116=""),"",IF(COUNT(AI116:AS116)=0,"",AT116-LOOKUP(2,1/(AI116:AS116&lt;&gt;""),AI116:AS116)))</t>
        </is>
      </c>
      <c r="BH116" s="49" t="inlineStr">
        <is>
          <t>IF(OR(F116="",AU116=""),"",IF(COUNT(AI116:AT116)=0,"",AU116-LOOKUP(2,1/(AI116:AT116&lt;&gt;""),AI116:AT116)))</t>
        </is>
      </c>
      <c r="BI116" s="49" t="inlineStr">
        <is>
          <t>IF(OR(F116="",AV116=""),"",IF(COUNT(AI116:AU116)=0,"",AV116-LOOKUP(2,1/(AI116:AU116&lt;&gt;""),AI116:AU116)))</t>
        </is>
      </c>
      <c r="BJ116" s="51" t="inlineStr">
        <is>
          <t>IF(J116="","All_Provinces",IFERROR(VLOOKUP(J116,'09_Lookups'!$A$4:$B$20,2,FALSE),"All_Provinces"))</t>
        </is>
      </c>
      <c r="BK116" s="51" t="inlineStr">
        <is>
          <t>IF(K116="","All_Districts",IFERROR(VLOOKUP(K116,'09_Lookups'!$E$4:$F$42,2,FALSE),"All_Districts"))</t>
        </is>
      </c>
    </row>
    <row r="117" outlineLevel="1" ht="18" customHeight="1">
      <c r="A117" s="42" t="inlineStr">
        <is>
          <t>IF(F117="","",ROW()-3)</t>
        </is>
      </c>
      <c r="B117" s="65" t="inlineStr">
        <is>
          <t>AF2-DIS-06</t>
        </is>
      </c>
      <c r="C117"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7" s="65" t="inlineStr">
        <is>
          <t>8 of 12</t>
        </is>
      </c>
      <c r="E117" s="44" t="inlineStr">
        <is>
          <t>AF2-DIS-N-075</t>
        </is>
      </c>
      <c r="F117" s="44" t="inlineStr">
        <is>
          <t>Loy Razi Drip irrigation schemes</t>
        </is>
      </c>
      <c r="G117" s="44" t="inlineStr">
        <is>
          <t>Drip Irrigation</t>
        </is>
      </c>
      <c r="H117" s="44" t="inlineStr">
        <is>
          <t>Drip Irrigation Plot</t>
        </is>
      </c>
      <c r="I117" s="44" t="inlineStr">
        <is>
          <t>Emergency Food Security Project (EFSP) – WBK/AF-2</t>
        </is>
      </c>
      <c r="J117" s="44" t="inlineStr">
        <is>
          <t>South / Kandahar</t>
        </is>
      </c>
      <c r="K117" s="44" t="inlineStr">
        <is>
          <t>Nemroz</t>
        </is>
      </c>
      <c r="L117" s="44" t="inlineStr">
        <is>
          <t>Khashrod</t>
        </is>
      </c>
      <c r="M117" s="44" t="inlineStr">
        <is>
          <t>Loy Razi</t>
        </is>
      </c>
      <c r="N117" s="44" t="inlineStr">
        <is>
          <t>World Bank (WBK/AF-2)</t>
        </is>
      </c>
      <c r="O117" s="44" t="inlineStr">
        <is>
          <t>Not awarded</t>
        </is>
      </c>
      <c r="P117" s="44" t="inlineStr">
        <is>
          <t>5. Drip Irrigation systems</t>
        </is>
      </c>
      <c r="Q117" s="44" t="inlineStr"/>
      <c r="R117" s="44" t="inlineStr"/>
      <c r="S117" s="45" t="n">
        <v>4250</v>
      </c>
      <c r="T117" s="46" t="inlineStr">
        <is>
          <t>IF(AQ117="","",AQ117)</t>
        </is>
      </c>
      <c r="U117" s="47" t="n">
        <v>46412</v>
      </c>
      <c r="V117" s="48" t="n">
        <v>4.9</v>
      </c>
      <c r="W117" s="47" t="n">
        <v>46562</v>
      </c>
      <c r="X117" s="46" t="inlineStr">
        <is>
          <t>IF(W117&lt;&gt;"",W117,IF(OR(T117="",V117=""),"",EDATE(T117,V117)))</t>
        </is>
      </c>
      <c r="Y117" s="47" t="n"/>
      <c r="Z117" s="48" t="n"/>
      <c r="AA117" s="44" t="inlineStr">
        <is>
          <t>Under Review of WRI</t>
        </is>
      </c>
      <c r="AB117" s="44" t="inlineStr">
        <is>
          <t>Five months for the construction.</t>
        </is>
      </c>
      <c r="AC117" s="42" t="inlineStr">
        <is>
          <t>IF(F117="","",IF(COUNT(AI117:AV117)=0,IF(AA117="","Not started",AA117),SUBSTITUTE(LOOKUP(2,1/(AI117:AV117&lt;&gt;""),$AI$3:$AV$3),"Date: ","")))</t>
        </is>
      </c>
      <c r="AD117" s="49" t="inlineStr">
        <is>
          <t>IF(OR(F117="",COUNT(AI117:AV117)=0),"",TODAY()-LOOKUP(2,1/(AI117:AV117&lt;&gt;""),AI117:AV117))</t>
        </is>
      </c>
      <c r="AE117" s="49" t="inlineStr">
        <is>
          <t>IF(OR(F117="",COUNT(AI117:AV117)&lt;2),"",LOOKUP(2,1/(AI117:AV117&lt;&gt;""),AI117:AV117)-MIN(AI117:AV117))</t>
        </is>
      </c>
      <c r="AF117" s="49" t="inlineStr">
        <is>
          <t>IF(OR(AD117="",AC117="Not started",AC117=""),"",IFERROR(AD117-IF(VLOOKUP(AC117,'06_Status_Pipeline'!$B$3:$E$20,4,FALSE)="",0,VLOOKUP(AC117,'06_Status_Pipeline'!$B$3:$E$20,4,FALSE)),""))</t>
        </is>
      </c>
      <c r="AG117" s="42" t="inlineStr">
        <is>
          <t>IF(F117="","",IF(OR(AA117="Cancelled",AC117="Cancelled"),"Cancelled",IF(OR(AC117="Completed / Handover",Y117&lt;&gt;"",Z117&gt;=100),"Completed — on track",IF(O117="Not awarded",IF(U117="",IF(X117="","No planned date",IF(TODAY()&gt;X117,"Behind — past planned date",IF(X117-TODAY()&lt;=30,"At risk — close to off track","On track"))),IF(TODAY()&gt;U117,"Behind — award date passed",IF(U117-TODAY()&lt;=30,"At risk — close to off track","On track"))),IF(X117="","No planned date",IF(AND(TODAY()&gt;X117,OR(Z117="",Z117&lt;100)),"Behind — past end date",IF(AND(T117&lt;&gt;"",X117&lt;&gt;"",Z117&lt;&gt;"",(Z117&lt;100),((TODAY()-T117)/MAX(X117-T117,1)*100)-Z117&gt;15),"Behind — progress lag",IF(AND(X117-TODAY()&lt;=30,X117-TODAY()&gt;=0,OR(Z117="",Z117&lt;90)),"At risk — close to off track","On track"))))))))</t>
        </is>
      </c>
      <c r="AH117" s="49" t="inlineStr">
        <is>
          <t>IF(OR(F117="",AC117="Completed / Handover",AC117="Cancelled"),"",IF(O117="Not awarded",IF(U117&lt;&gt;"",U117-TODAY(),IF(X117="","",X117-TODAY())),IF(X117="","",X117-TODAY())))</t>
        </is>
      </c>
      <c r="AI117" s="47" t="n"/>
      <c r="AJ117" s="47" t="n"/>
      <c r="AK117" s="47" t="n"/>
      <c r="AL117" s="47" t="n"/>
      <c r="AM117" s="47" t="n"/>
      <c r="AN117" s="47" t="n"/>
      <c r="AO117" s="47" t="n"/>
      <c r="AP117" s="47" t="n"/>
      <c r="AQ117" s="47" t="n"/>
      <c r="AR117" s="47" t="n"/>
      <c r="AS117" s="47" t="n"/>
      <c r="AT117" s="50" t="n"/>
      <c r="AU117" s="50" t="n"/>
      <c r="AV117" s="50" t="n"/>
      <c r="AW117" s="49" t="inlineStr">
        <is>
          <t>IF(OR(F117="",AJ117=""),"",IF(COUNT(AI117:AI117)=0,"",AJ117-LOOKUP(2,1/(AI117:AI117&lt;&gt;""),AI117:AI117)))</t>
        </is>
      </c>
      <c r="AX117" s="49" t="inlineStr">
        <is>
          <t>IF(OR(F117="",AK117=""),"",IF(COUNT(AI117:AJ117)=0,"",AK117-LOOKUP(2,1/(AI117:AJ117&lt;&gt;""),AI117:AJ117)))</t>
        </is>
      </c>
      <c r="AY117" s="49" t="inlineStr">
        <is>
          <t>IF(OR(F117="",AL117=""),"",IF(COUNT(AI117:AK117)=0,"",AL117-LOOKUP(2,1/(AI117:AK117&lt;&gt;""),AI117:AK117)))</t>
        </is>
      </c>
      <c r="AZ117" s="49" t="inlineStr">
        <is>
          <t>IF(OR(F117="",AM117=""),"",IF(COUNT(AI117:AL117)=0,"",AM117-LOOKUP(2,1/(AI117:AL117&lt;&gt;""),AI117:AL117)))</t>
        </is>
      </c>
      <c r="BA117" s="49" t="inlineStr">
        <is>
          <t>IF(OR(F117="",AN117=""),"",IF(COUNT(AI117:AM117)=0,"",AN117-LOOKUP(2,1/(AI117:AM117&lt;&gt;""),AI117:AM117)))</t>
        </is>
      </c>
      <c r="BB117" s="49" t="inlineStr">
        <is>
          <t>IF(OR(F117="",AO117=""),"",IF(COUNT(AI117:AN117)=0,"",AO117-LOOKUP(2,1/(AI117:AN117&lt;&gt;""),AI117:AN117)))</t>
        </is>
      </c>
      <c r="BC117" s="49" t="inlineStr">
        <is>
          <t>IF(OR(F117="",AP117=""),"",IF(COUNT(AI117:AO117)=0,"",AP117-LOOKUP(2,1/(AI117:AO117&lt;&gt;""),AI117:AO117)))</t>
        </is>
      </c>
      <c r="BD117" s="49" t="inlineStr">
        <is>
          <t>IF(OR(F117="",AQ117=""),"",IF(COUNT(AI117:AP117)=0,"",AQ117-LOOKUP(2,1/(AI117:AP117&lt;&gt;""),AI117:AP117)))</t>
        </is>
      </c>
      <c r="BE117" s="49" t="inlineStr">
        <is>
          <t>IF(OR(F117="",AR117=""),"",IF(COUNT(AI117:AQ117)=0,"",AR117-LOOKUP(2,1/(AI117:AQ117&lt;&gt;""),AI117:AQ117)))</t>
        </is>
      </c>
      <c r="BF117" s="49" t="inlineStr">
        <is>
          <t>IF(OR(F117="",AS117=""),"",IF(COUNT(AI117:AR117)=0,"",AS117-LOOKUP(2,1/(AI117:AR117&lt;&gt;""),AI117:AR117)))</t>
        </is>
      </c>
      <c r="BG117" s="49" t="inlineStr">
        <is>
          <t>IF(OR(F117="",AT117=""),"",IF(COUNT(AI117:AS117)=0,"",AT117-LOOKUP(2,1/(AI117:AS117&lt;&gt;""),AI117:AS117)))</t>
        </is>
      </c>
      <c r="BH117" s="49" t="inlineStr">
        <is>
          <t>IF(OR(F117="",AU117=""),"",IF(COUNT(AI117:AT117)=0,"",AU117-LOOKUP(2,1/(AI117:AT117&lt;&gt;""),AI117:AT117)))</t>
        </is>
      </c>
      <c r="BI117" s="49" t="inlineStr">
        <is>
          <t>IF(OR(F117="",AV117=""),"",IF(COUNT(AI117:AU117)=0,"",AV117-LOOKUP(2,1/(AI117:AU117&lt;&gt;""),AI117:AU117)))</t>
        </is>
      </c>
      <c r="BJ117" s="51" t="inlineStr">
        <is>
          <t>IF(J117="","All_Provinces",IFERROR(VLOOKUP(J117,'09_Lookups'!$A$4:$B$20,2,FALSE),"All_Provinces"))</t>
        </is>
      </c>
      <c r="BK117" s="51" t="inlineStr">
        <is>
          <t>IF(K117="","All_Districts",IFERROR(VLOOKUP(K117,'09_Lookups'!$E$4:$F$42,2,FALSE),"All_Districts"))</t>
        </is>
      </c>
    </row>
    <row r="118" outlineLevel="1" ht="18" customHeight="1">
      <c r="A118" s="42" t="inlineStr">
        <is>
          <t>IF(F118="","",ROW()-3)</t>
        </is>
      </c>
      <c r="B118" s="65" t="inlineStr">
        <is>
          <t>AF2-DIS-06</t>
        </is>
      </c>
      <c r="C118"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8" s="65" t="inlineStr">
        <is>
          <t>9 of 12</t>
        </is>
      </c>
      <c r="E118" s="52" t="inlineStr">
        <is>
          <t>AF2-DIS-N-076</t>
        </is>
      </c>
      <c r="F118" s="52" t="inlineStr">
        <is>
          <t>Mohmad Drip irrigation schemes</t>
        </is>
      </c>
      <c r="G118" s="52" t="inlineStr">
        <is>
          <t>Drip Irrigation</t>
        </is>
      </c>
      <c r="H118" s="52" t="inlineStr">
        <is>
          <t>Drip Irrigation Plot</t>
        </is>
      </c>
      <c r="I118" s="52" t="inlineStr">
        <is>
          <t>Emergency Food Security Project (EFSP) – WBK/AF-2</t>
        </is>
      </c>
      <c r="J118" s="52" t="inlineStr">
        <is>
          <t>South / Kandahar</t>
        </is>
      </c>
      <c r="K118" s="52" t="inlineStr">
        <is>
          <t>Kandahar</t>
        </is>
      </c>
      <c r="L118" s="52" t="inlineStr">
        <is>
          <t>Daman</t>
        </is>
      </c>
      <c r="M118" s="52" t="inlineStr">
        <is>
          <t>Mohmand</t>
        </is>
      </c>
      <c r="N118" s="52" t="inlineStr">
        <is>
          <t>World Bank (WBK/AF-2)</t>
        </is>
      </c>
      <c r="O118" s="52" t="inlineStr">
        <is>
          <t>Not awarded</t>
        </is>
      </c>
      <c r="P118" s="52" t="inlineStr">
        <is>
          <t>5. Drip Irrigation systems</t>
        </is>
      </c>
      <c r="Q118" s="52" t="inlineStr"/>
      <c r="R118" s="52" t="inlineStr"/>
      <c r="S118" s="53" t="n">
        <v>4250</v>
      </c>
      <c r="T118" s="46" t="inlineStr">
        <is>
          <t>IF(AQ118="","",AQ118)</t>
        </is>
      </c>
      <c r="U118" s="54" t="n">
        <v>46412</v>
      </c>
      <c r="V118" s="55" t="n">
        <v>4.9</v>
      </c>
      <c r="W118" s="54" t="n">
        <v>46562</v>
      </c>
      <c r="X118" s="46" t="inlineStr">
        <is>
          <t>IF(W118&lt;&gt;"",W118,IF(OR(T118="",V118=""),"",EDATE(T118,V118)))</t>
        </is>
      </c>
      <c r="Y118" s="54" t="n"/>
      <c r="Z118" s="55" t="n"/>
      <c r="AA118" s="52" t="inlineStr">
        <is>
          <t>Under Review of WRI</t>
        </is>
      </c>
      <c r="AB118" s="52" t="inlineStr">
        <is>
          <t>Five months for the construction.</t>
        </is>
      </c>
      <c r="AC118" s="42" t="inlineStr">
        <is>
          <t>IF(F118="","",IF(COUNT(AI118:AV118)=0,IF(AA118="","Not started",AA118),SUBSTITUTE(LOOKUP(2,1/(AI118:AV118&lt;&gt;""),$AI$3:$AV$3),"Date: ","")))</t>
        </is>
      </c>
      <c r="AD118" s="49" t="inlineStr">
        <is>
          <t>IF(OR(F118="",COUNT(AI118:AV118)=0),"",TODAY()-LOOKUP(2,1/(AI118:AV118&lt;&gt;""),AI118:AV118))</t>
        </is>
      </c>
      <c r="AE118" s="49" t="inlineStr">
        <is>
          <t>IF(OR(F118="",COUNT(AI118:AV118)&lt;2),"",LOOKUP(2,1/(AI118:AV118&lt;&gt;""),AI118:AV118)-MIN(AI118:AV118))</t>
        </is>
      </c>
      <c r="AF118" s="49" t="inlineStr">
        <is>
          <t>IF(OR(AD118="",AC118="Not started",AC118=""),"",IFERROR(AD118-IF(VLOOKUP(AC118,'06_Status_Pipeline'!$B$3:$E$20,4,FALSE)="",0,VLOOKUP(AC118,'06_Status_Pipeline'!$B$3:$E$20,4,FALSE)),""))</t>
        </is>
      </c>
      <c r="AG118" s="42" t="inlineStr">
        <is>
          <t>IF(F118="","",IF(OR(AA118="Cancelled",AC118="Cancelled"),"Cancelled",IF(OR(AC118="Completed / Handover",Y118&lt;&gt;"",Z118&gt;=100),"Completed — on track",IF(O118="Not awarded",IF(U118="",IF(X118="","No planned date",IF(TODAY()&gt;X118,"Behind — past planned date",IF(X118-TODAY()&lt;=30,"At risk — close to off track","On track"))),IF(TODAY()&gt;U118,"Behind — award date passed",IF(U118-TODAY()&lt;=30,"At risk — close to off track","On track"))),IF(X118="","No planned date",IF(AND(TODAY()&gt;X118,OR(Z118="",Z118&lt;100)),"Behind — past end date",IF(AND(T118&lt;&gt;"",X118&lt;&gt;"",Z118&lt;&gt;"",(Z118&lt;100),((TODAY()-T118)/MAX(X118-T118,1)*100)-Z118&gt;15),"Behind — progress lag",IF(AND(X118-TODAY()&lt;=30,X118-TODAY()&gt;=0,OR(Z118="",Z118&lt;90)),"At risk — close to off track","On track"))))))))</t>
        </is>
      </c>
      <c r="AH118" s="49" t="inlineStr">
        <is>
          <t>IF(OR(F118="",AC118="Completed / Handover",AC118="Cancelled"),"",IF(O118="Not awarded",IF(U118&lt;&gt;"",U118-TODAY(),IF(X118="","",X118-TODAY())),IF(X118="","",X118-TODAY())))</t>
        </is>
      </c>
      <c r="AI118" s="54" t="n"/>
      <c r="AJ118" s="54" t="n"/>
      <c r="AK118" s="54" t="n"/>
      <c r="AL118" s="54" t="n"/>
      <c r="AM118" s="54" t="n"/>
      <c r="AN118" s="54" t="n"/>
      <c r="AO118" s="54" t="n"/>
      <c r="AP118" s="54" t="n"/>
      <c r="AQ118" s="54" t="n"/>
      <c r="AR118" s="54" t="n"/>
      <c r="AS118" s="54" t="n"/>
      <c r="AT118" s="50" t="n"/>
      <c r="AU118" s="50" t="n"/>
      <c r="AV118" s="50" t="n"/>
      <c r="AW118" s="49" t="inlineStr">
        <is>
          <t>IF(OR(F118="",AJ118=""),"",IF(COUNT(AI118:AI118)=0,"",AJ118-LOOKUP(2,1/(AI118:AI118&lt;&gt;""),AI118:AI118)))</t>
        </is>
      </c>
      <c r="AX118" s="49" t="inlineStr">
        <is>
          <t>IF(OR(F118="",AK118=""),"",IF(COUNT(AI118:AJ118)=0,"",AK118-LOOKUP(2,1/(AI118:AJ118&lt;&gt;""),AI118:AJ118)))</t>
        </is>
      </c>
      <c r="AY118" s="49" t="inlineStr">
        <is>
          <t>IF(OR(F118="",AL118=""),"",IF(COUNT(AI118:AK118)=0,"",AL118-LOOKUP(2,1/(AI118:AK118&lt;&gt;""),AI118:AK118)))</t>
        </is>
      </c>
      <c r="AZ118" s="49" t="inlineStr">
        <is>
          <t>IF(OR(F118="",AM118=""),"",IF(COUNT(AI118:AL118)=0,"",AM118-LOOKUP(2,1/(AI118:AL118&lt;&gt;""),AI118:AL118)))</t>
        </is>
      </c>
      <c r="BA118" s="49" t="inlineStr">
        <is>
          <t>IF(OR(F118="",AN118=""),"",IF(COUNT(AI118:AM118)=0,"",AN118-LOOKUP(2,1/(AI118:AM118&lt;&gt;""),AI118:AM118)))</t>
        </is>
      </c>
      <c r="BB118" s="49" t="inlineStr">
        <is>
          <t>IF(OR(F118="",AO118=""),"",IF(COUNT(AI118:AN118)=0,"",AO118-LOOKUP(2,1/(AI118:AN118&lt;&gt;""),AI118:AN118)))</t>
        </is>
      </c>
      <c r="BC118" s="49" t="inlineStr">
        <is>
          <t>IF(OR(F118="",AP118=""),"",IF(COUNT(AI118:AO118)=0,"",AP118-LOOKUP(2,1/(AI118:AO118&lt;&gt;""),AI118:AO118)))</t>
        </is>
      </c>
      <c r="BD118" s="49" t="inlineStr">
        <is>
          <t>IF(OR(F118="",AQ118=""),"",IF(COUNT(AI118:AP118)=0,"",AQ118-LOOKUP(2,1/(AI118:AP118&lt;&gt;""),AI118:AP118)))</t>
        </is>
      </c>
      <c r="BE118" s="49" t="inlineStr">
        <is>
          <t>IF(OR(F118="",AR118=""),"",IF(COUNT(AI118:AQ118)=0,"",AR118-LOOKUP(2,1/(AI118:AQ118&lt;&gt;""),AI118:AQ118)))</t>
        </is>
      </c>
      <c r="BF118" s="49" t="inlineStr">
        <is>
          <t>IF(OR(F118="",AS118=""),"",IF(COUNT(AI118:AR118)=0,"",AS118-LOOKUP(2,1/(AI118:AR118&lt;&gt;""),AI118:AR118)))</t>
        </is>
      </c>
      <c r="BG118" s="49" t="inlineStr">
        <is>
          <t>IF(OR(F118="",AT118=""),"",IF(COUNT(AI118:AS118)=0,"",AT118-LOOKUP(2,1/(AI118:AS118&lt;&gt;""),AI118:AS118)))</t>
        </is>
      </c>
      <c r="BH118" s="49" t="inlineStr">
        <is>
          <t>IF(OR(F118="",AU118=""),"",IF(COUNT(AI118:AT118)=0,"",AU118-LOOKUP(2,1/(AI118:AT118&lt;&gt;""),AI118:AT118)))</t>
        </is>
      </c>
      <c r="BI118" s="49" t="inlineStr">
        <is>
          <t>IF(OR(F118="",AV118=""),"",IF(COUNT(AI118:AU118)=0,"",AV118-LOOKUP(2,1/(AI118:AU118&lt;&gt;""),AI118:AU118)))</t>
        </is>
      </c>
      <c r="BJ118" s="51" t="inlineStr">
        <is>
          <t>IF(J118="","All_Provinces",IFERROR(VLOOKUP(J118,'09_Lookups'!$A$4:$B$20,2,FALSE),"All_Provinces"))</t>
        </is>
      </c>
      <c r="BK118" s="51" t="inlineStr">
        <is>
          <t>IF(K118="","All_Districts",IFERROR(VLOOKUP(K118,'09_Lookups'!$E$4:$F$42,2,FALSE),"All_Districts"))</t>
        </is>
      </c>
    </row>
    <row r="119" outlineLevel="1" ht="18" customHeight="1">
      <c r="A119" s="42" t="inlineStr">
        <is>
          <t>IF(F119="","",ROW()-3)</t>
        </is>
      </c>
      <c r="B119" s="65" t="inlineStr">
        <is>
          <t>AF2-DIS-06</t>
        </is>
      </c>
      <c r="C119"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19" s="65" t="inlineStr">
        <is>
          <t>10 of 12</t>
        </is>
      </c>
      <c r="E119" s="44" t="inlineStr">
        <is>
          <t>AF2-DIS-N-077</t>
        </is>
      </c>
      <c r="F119" s="44" t="inlineStr">
        <is>
          <t>Omarzai Drip irrigation schemes</t>
        </is>
      </c>
      <c r="G119" s="44" t="inlineStr">
        <is>
          <t>Drip Irrigation</t>
        </is>
      </c>
      <c r="H119" s="44" t="inlineStr">
        <is>
          <t>Drip Irrigation Plot</t>
        </is>
      </c>
      <c r="I119" s="44" t="inlineStr">
        <is>
          <t>Emergency Food Security Project (EFSP) – WBK/AF-2</t>
        </is>
      </c>
      <c r="J119" s="44" t="inlineStr">
        <is>
          <t>South / Kandahar</t>
        </is>
      </c>
      <c r="K119" s="44" t="inlineStr">
        <is>
          <t>Zabul</t>
        </is>
      </c>
      <c r="L119" s="44" t="inlineStr">
        <is>
          <t>Seyure</t>
        </is>
      </c>
      <c r="M119" s="44" t="inlineStr">
        <is>
          <t>Omerzai</t>
        </is>
      </c>
      <c r="N119" s="44" t="inlineStr">
        <is>
          <t>World Bank (WBK/AF-2)</t>
        </is>
      </c>
      <c r="O119" s="44" t="inlineStr">
        <is>
          <t>Not awarded</t>
        </is>
      </c>
      <c r="P119" s="44" t="inlineStr">
        <is>
          <t>5. Drip Irrigation systems</t>
        </is>
      </c>
      <c r="Q119" s="44" t="inlineStr"/>
      <c r="R119" s="44" t="inlineStr"/>
      <c r="S119" s="45" t="n">
        <v>4250</v>
      </c>
      <c r="T119" s="46" t="inlineStr">
        <is>
          <t>IF(AQ119="","",AQ119)</t>
        </is>
      </c>
      <c r="U119" s="47" t="n">
        <v>46412</v>
      </c>
      <c r="V119" s="48" t="n">
        <v>4.9</v>
      </c>
      <c r="W119" s="47" t="n">
        <v>46562</v>
      </c>
      <c r="X119" s="46" t="inlineStr">
        <is>
          <t>IF(W119&lt;&gt;"",W119,IF(OR(T119="",V119=""),"",EDATE(T119,V119)))</t>
        </is>
      </c>
      <c r="Y119" s="47" t="n"/>
      <c r="Z119" s="48" t="n"/>
      <c r="AA119" s="44" t="inlineStr">
        <is>
          <t>Under Review of WRI</t>
        </is>
      </c>
      <c r="AB119" s="44" t="inlineStr">
        <is>
          <t>Five months for the construction.</t>
        </is>
      </c>
      <c r="AC119" s="42" t="inlineStr">
        <is>
          <t>IF(F119="","",IF(COUNT(AI119:AV119)=0,IF(AA119="","Not started",AA119),SUBSTITUTE(LOOKUP(2,1/(AI119:AV119&lt;&gt;""),$AI$3:$AV$3),"Date: ","")))</t>
        </is>
      </c>
      <c r="AD119" s="49" t="inlineStr">
        <is>
          <t>IF(OR(F119="",COUNT(AI119:AV119)=0),"",TODAY()-LOOKUP(2,1/(AI119:AV119&lt;&gt;""),AI119:AV119))</t>
        </is>
      </c>
      <c r="AE119" s="49" t="inlineStr">
        <is>
          <t>IF(OR(F119="",COUNT(AI119:AV119)&lt;2),"",LOOKUP(2,1/(AI119:AV119&lt;&gt;""),AI119:AV119)-MIN(AI119:AV119))</t>
        </is>
      </c>
      <c r="AF119" s="49" t="inlineStr">
        <is>
          <t>IF(OR(AD119="",AC119="Not started",AC119=""),"",IFERROR(AD119-IF(VLOOKUP(AC119,'06_Status_Pipeline'!$B$3:$E$20,4,FALSE)="",0,VLOOKUP(AC119,'06_Status_Pipeline'!$B$3:$E$20,4,FALSE)),""))</t>
        </is>
      </c>
      <c r="AG119" s="42" t="inlineStr">
        <is>
          <t>IF(F119="","",IF(OR(AA119="Cancelled",AC119="Cancelled"),"Cancelled",IF(OR(AC119="Completed / Handover",Y119&lt;&gt;"",Z119&gt;=100),"Completed — on track",IF(O119="Not awarded",IF(U119="",IF(X119="","No planned date",IF(TODAY()&gt;X119,"Behind — past planned date",IF(X119-TODAY()&lt;=30,"At risk — close to off track","On track"))),IF(TODAY()&gt;U119,"Behind — award date passed",IF(U119-TODAY()&lt;=30,"At risk — close to off track","On track"))),IF(X119="","No planned date",IF(AND(TODAY()&gt;X119,OR(Z119="",Z119&lt;100)),"Behind — past end date",IF(AND(T119&lt;&gt;"",X119&lt;&gt;"",Z119&lt;&gt;"",(Z119&lt;100),((TODAY()-T119)/MAX(X119-T119,1)*100)-Z119&gt;15),"Behind — progress lag",IF(AND(X119-TODAY()&lt;=30,X119-TODAY()&gt;=0,OR(Z119="",Z119&lt;90)),"At risk — close to off track","On track"))))))))</t>
        </is>
      </c>
      <c r="AH119" s="49" t="inlineStr">
        <is>
          <t>IF(OR(F119="",AC119="Completed / Handover",AC119="Cancelled"),"",IF(O119="Not awarded",IF(U119&lt;&gt;"",U119-TODAY(),IF(X119="","",X119-TODAY())),IF(X119="","",X119-TODAY())))</t>
        </is>
      </c>
      <c r="AI119" s="47" t="n"/>
      <c r="AJ119" s="47" t="n"/>
      <c r="AK119" s="47" t="n"/>
      <c r="AL119" s="47" t="n"/>
      <c r="AM119" s="47" t="n"/>
      <c r="AN119" s="47" t="n"/>
      <c r="AO119" s="47" t="n"/>
      <c r="AP119" s="47" t="n"/>
      <c r="AQ119" s="47" t="n"/>
      <c r="AR119" s="47" t="n"/>
      <c r="AS119" s="47" t="n"/>
      <c r="AT119" s="50" t="n"/>
      <c r="AU119" s="50" t="n"/>
      <c r="AV119" s="50" t="n"/>
      <c r="AW119" s="49" t="inlineStr">
        <is>
          <t>IF(OR(F119="",AJ119=""),"",IF(COUNT(AI119:AI119)=0,"",AJ119-LOOKUP(2,1/(AI119:AI119&lt;&gt;""),AI119:AI119)))</t>
        </is>
      </c>
      <c r="AX119" s="49" t="inlineStr">
        <is>
          <t>IF(OR(F119="",AK119=""),"",IF(COUNT(AI119:AJ119)=0,"",AK119-LOOKUP(2,1/(AI119:AJ119&lt;&gt;""),AI119:AJ119)))</t>
        </is>
      </c>
      <c r="AY119" s="49" t="inlineStr">
        <is>
          <t>IF(OR(F119="",AL119=""),"",IF(COUNT(AI119:AK119)=0,"",AL119-LOOKUP(2,1/(AI119:AK119&lt;&gt;""),AI119:AK119)))</t>
        </is>
      </c>
      <c r="AZ119" s="49" t="inlineStr">
        <is>
          <t>IF(OR(F119="",AM119=""),"",IF(COUNT(AI119:AL119)=0,"",AM119-LOOKUP(2,1/(AI119:AL119&lt;&gt;""),AI119:AL119)))</t>
        </is>
      </c>
      <c r="BA119" s="49" t="inlineStr">
        <is>
          <t>IF(OR(F119="",AN119=""),"",IF(COUNT(AI119:AM119)=0,"",AN119-LOOKUP(2,1/(AI119:AM119&lt;&gt;""),AI119:AM119)))</t>
        </is>
      </c>
      <c r="BB119" s="49" t="inlineStr">
        <is>
          <t>IF(OR(F119="",AO119=""),"",IF(COUNT(AI119:AN119)=0,"",AO119-LOOKUP(2,1/(AI119:AN119&lt;&gt;""),AI119:AN119)))</t>
        </is>
      </c>
      <c r="BC119" s="49" t="inlineStr">
        <is>
          <t>IF(OR(F119="",AP119=""),"",IF(COUNT(AI119:AO119)=0,"",AP119-LOOKUP(2,1/(AI119:AO119&lt;&gt;""),AI119:AO119)))</t>
        </is>
      </c>
      <c r="BD119" s="49" t="inlineStr">
        <is>
          <t>IF(OR(F119="",AQ119=""),"",IF(COUNT(AI119:AP119)=0,"",AQ119-LOOKUP(2,1/(AI119:AP119&lt;&gt;""),AI119:AP119)))</t>
        </is>
      </c>
      <c r="BE119" s="49" t="inlineStr">
        <is>
          <t>IF(OR(F119="",AR119=""),"",IF(COUNT(AI119:AQ119)=0,"",AR119-LOOKUP(2,1/(AI119:AQ119&lt;&gt;""),AI119:AQ119)))</t>
        </is>
      </c>
      <c r="BF119" s="49" t="inlineStr">
        <is>
          <t>IF(OR(F119="",AS119=""),"",IF(COUNT(AI119:AR119)=0,"",AS119-LOOKUP(2,1/(AI119:AR119&lt;&gt;""),AI119:AR119)))</t>
        </is>
      </c>
      <c r="BG119" s="49" t="inlineStr">
        <is>
          <t>IF(OR(F119="",AT119=""),"",IF(COUNT(AI119:AS119)=0,"",AT119-LOOKUP(2,1/(AI119:AS119&lt;&gt;""),AI119:AS119)))</t>
        </is>
      </c>
      <c r="BH119" s="49" t="inlineStr">
        <is>
          <t>IF(OR(F119="",AU119=""),"",IF(COUNT(AI119:AT119)=0,"",AU119-LOOKUP(2,1/(AI119:AT119&lt;&gt;""),AI119:AT119)))</t>
        </is>
      </c>
      <c r="BI119" s="49" t="inlineStr">
        <is>
          <t>IF(OR(F119="",AV119=""),"",IF(COUNT(AI119:AU119)=0,"",AV119-LOOKUP(2,1/(AI119:AU119&lt;&gt;""),AI119:AU119)))</t>
        </is>
      </c>
      <c r="BJ119" s="51" t="inlineStr">
        <is>
          <t>IF(J119="","All_Provinces",IFERROR(VLOOKUP(J119,'09_Lookups'!$A$4:$B$20,2,FALSE),"All_Provinces"))</t>
        </is>
      </c>
      <c r="BK119" s="51" t="inlineStr">
        <is>
          <t>IF(K119="","All_Districts",IFERROR(VLOOKUP(K119,'09_Lookups'!$E$4:$F$42,2,FALSE),"All_Districts"))</t>
        </is>
      </c>
    </row>
    <row r="120" outlineLevel="1" ht="18" customHeight="1">
      <c r="A120" s="42" t="inlineStr">
        <is>
          <t>IF(F120="","",ROW()-3)</t>
        </is>
      </c>
      <c r="B120" s="65" t="inlineStr">
        <is>
          <t>AF2-DIS-06</t>
        </is>
      </c>
      <c r="C120"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20" s="65" t="inlineStr">
        <is>
          <t>11 of 12</t>
        </is>
      </c>
      <c r="E120" s="52" t="inlineStr">
        <is>
          <t>AF2-DIS-N-078</t>
        </is>
      </c>
      <c r="F120" s="52" t="inlineStr">
        <is>
          <t>Rud Kali Drip irrigation schemes</t>
        </is>
      </c>
      <c r="G120" s="52" t="inlineStr">
        <is>
          <t>Drip Irrigation</t>
        </is>
      </c>
      <c r="H120" s="52" t="inlineStr">
        <is>
          <t>Drip Irrigation Plot</t>
        </is>
      </c>
      <c r="I120" s="52" t="inlineStr">
        <is>
          <t>Emergency Food Security Project (EFSP) – WBK/AF-2</t>
        </is>
      </c>
      <c r="J120" s="52" t="inlineStr">
        <is>
          <t>South / Kandahar</t>
        </is>
      </c>
      <c r="K120" s="52" t="inlineStr">
        <is>
          <t>Zabul</t>
        </is>
      </c>
      <c r="L120" s="52" t="inlineStr">
        <is>
          <t>Tarnak- Jaldak</t>
        </is>
      </c>
      <c r="M120" s="52" t="inlineStr">
        <is>
          <t>Rud Kali</t>
        </is>
      </c>
      <c r="N120" s="52" t="inlineStr">
        <is>
          <t>World Bank (WBK/AF-2)</t>
        </is>
      </c>
      <c r="O120" s="52" t="inlineStr">
        <is>
          <t>Not awarded</t>
        </is>
      </c>
      <c r="P120" s="52" t="inlineStr">
        <is>
          <t>5. Drip Irrigation systems</t>
        </is>
      </c>
      <c r="Q120" s="52" t="inlineStr"/>
      <c r="R120" s="52" t="inlineStr"/>
      <c r="S120" s="53" t="n">
        <v>8500</v>
      </c>
      <c r="T120" s="46" t="inlineStr">
        <is>
          <t>IF(AQ120="","",AQ120)</t>
        </is>
      </c>
      <c r="U120" s="54" t="n">
        <v>46412</v>
      </c>
      <c r="V120" s="55" t="n">
        <v>4.9</v>
      </c>
      <c r="W120" s="54" t="n">
        <v>46562</v>
      </c>
      <c r="X120" s="46" t="inlineStr">
        <is>
          <t>IF(W120&lt;&gt;"",W120,IF(OR(T120="",V120=""),"",EDATE(T120,V120)))</t>
        </is>
      </c>
      <c r="Y120" s="54" t="n"/>
      <c r="Z120" s="55" t="n"/>
      <c r="AA120" s="52" t="inlineStr">
        <is>
          <t>Under Review of WRI</t>
        </is>
      </c>
      <c r="AB120" s="52" t="inlineStr">
        <is>
          <t>Five months for the construction.</t>
        </is>
      </c>
      <c r="AC120" s="42" t="inlineStr">
        <is>
          <t>IF(F120="","",IF(COUNT(AI120:AV120)=0,IF(AA120="","Not started",AA120),SUBSTITUTE(LOOKUP(2,1/(AI120:AV120&lt;&gt;""),$AI$3:$AV$3),"Date: ","")))</t>
        </is>
      </c>
      <c r="AD120" s="49" t="inlineStr">
        <is>
          <t>IF(OR(F120="",COUNT(AI120:AV120)=0),"",TODAY()-LOOKUP(2,1/(AI120:AV120&lt;&gt;""),AI120:AV120))</t>
        </is>
      </c>
      <c r="AE120" s="49" t="inlineStr">
        <is>
          <t>IF(OR(F120="",COUNT(AI120:AV120)&lt;2),"",LOOKUP(2,1/(AI120:AV120&lt;&gt;""),AI120:AV120)-MIN(AI120:AV120))</t>
        </is>
      </c>
      <c r="AF120" s="49" t="inlineStr">
        <is>
          <t>IF(OR(AD120="",AC120="Not started",AC120=""),"",IFERROR(AD120-IF(VLOOKUP(AC120,'06_Status_Pipeline'!$B$3:$E$20,4,FALSE)="",0,VLOOKUP(AC120,'06_Status_Pipeline'!$B$3:$E$20,4,FALSE)),""))</t>
        </is>
      </c>
      <c r="AG120" s="42" t="inlineStr">
        <is>
          <t>IF(F120="","",IF(OR(AA120="Cancelled",AC120="Cancelled"),"Cancelled",IF(OR(AC120="Completed / Handover",Y120&lt;&gt;"",Z120&gt;=100),"Completed — on track",IF(O120="Not awarded",IF(U120="",IF(X120="","No planned date",IF(TODAY()&gt;X120,"Behind — past planned date",IF(X120-TODAY()&lt;=30,"At risk — close to off track","On track"))),IF(TODAY()&gt;U120,"Behind — award date passed",IF(U120-TODAY()&lt;=30,"At risk — close to off track","On track"))),IF(X120="","No planned date",IF(AND(TODAY()&gt;X120,OR(Z120="",Z120&lt;100)),"Behind — past end date",IF(AND(T120&lt;&gt;"",X120&lt;&gt;"",Z120&lt;&gt;"",(Z120&lt;100),((TODAY()-T120)/MAX(X120-T120,1)*100)-Z120&gt;15),"Behind — progress lag",IF(AND(X120-TODAY()&lt;=30,X120-TODAY()&gt;=0,OR(Z120="",Z120&lt;90)),"At risk — close to off track","On track"))))))))</t>
        </is>
      </c>
      <c r="AH120" s="49" t="inlineStr">
        <is>
          <t>IF(OR(F120="",AC120="Completed / Handover",AC120="Cancelled"),"",IF(O120="Not awarded",IF(U120&lt;&gt;"",U120-TODAY(),IF(X120="","",X120-TODAY())),IF(X120="","",X120-TODAY())))</t>
        </is>
      </c>
      <c r="AI120" s="54" t="n"/>
      <c r="AJ120" s="54" t="n"/>
      <c r="AK120" s="54" t="n"/>
      <c r="AL120" s="54" t="n"/>
      <c r="AM120" s="54" t="n"/>
      <c r="AN120" s="54" t="n"/>
      <c r="AO120" s="54" t="n"/>
      <c r="AP120" s="54" t="n"/>
      <c r="AQ120" s="54" t="n"/>
      <c r="AR120" s="54" t="n"/>
      <c r="AS120" s="54" t="n"/>
      <c r="AT120" s="50" t="n"/>
      <c r="AU120" s="50" t="n"/>
      <c r="AV120" s="50" t="n"/>
      <c r="AW120" s="49" t="inlineStr">
        <is>
          <t>IF(OR(F120="",AJ120=""),"",IF(COUNT(AI120:AI120)=0,"",AJ120-LOOKUP(2,1/(AI120:AI120&lt;&gt;""),AI120:AI120)))</t>
        </is>
      </c>
      <c r="AX120" s="49" t="inlineStr">
        <is>
          <t>IF(OR(F120="",AK120=""),"",IF(COUNT(AI120:AJ120)=0,"",AK120-LOOKUP(2,1/(AI120:AJ120&lt;&gt;""),AI120:AJ120)))</t>
        </is>
      </c>
      <c r="AY120" s="49" t="inlineStr">
        <is>
          <t>IF(OR(F120="",AL120=""),"",IF(COUNT(AI120:AK120)=0,"",AL120-LOOKUP(2,1/(AI120:AK120&lt;&gt;""),AI120:AK120)))</t>
        </is>
      </c>
      <c r="AZ120" s="49" t="inlineStr">
        <is>
          <t>IF(OR(F120="",AM120=""),"",IF(COUNT(AI120:AL120)=0,"",AM120-LOOKUP(2,1/(AI120:AL120&lt;&gt;""),AI120:AL120)))</t>
        </is>
      </c>
      <c r="BA120" s="49" t="inlineStr">
        <is>
          <t>IF(OR(F120="",AN120=""),"",IF(COUNT(AI120:AM120)=0,"",AN120-LOOKUP(2,1/(AI120:AM120&lt;&gt;""),AI120:AM120)))</t>
        </is>
      </c>
      <c r="BB120" s="49" t="inlineStr">
        <is>
          <t>IF(OR(F120="",AO120=""),"",IF(COUNT(AI120:AN120)=0,"",AO120-LOOKUP(2,1/(AI120:AN120&lt;&gt;""),AI120:AN120)))</t>
        </is>
      </c>
      <c r="BC120" s="49" t="inlineStr">
        <is>
          <t>IF(OR(F120="",AP120=""),"",IF(COUNT(AI120:AO120)=0,"",AP120-LOOKUP(2,1/(AI120:AO120&lt;&gt;""),AI120:AO120)))</t>
        </is>
      </c>
      <c r="BD120" s="49" t="inlineStr">
        <is>
          <t>IF(OR(F120="",AQ120=""),"",IF(COUNT(AI120:AP120)=0,"",AQ120-LOOKUP(2,1/(AI120:AP120&lt;&gt;""),AI120:AP120)))</t>
        </is>
      </c>
      <c r="BE120" s="49" t="inlineStr">
        <is>
          <t>IF(OR(F120="",AR120=""),"",IF(COUNT(AI120:AQ120)=0,"",AR120-LOOKUP(2,1/(AI120:AQ120&lt;&gt;""),AI120:AQ120)))</t>
        </is>
      </c>
      <c r="BF120" s="49" t="inlineStr">
        <is>
          <t>IF(OR(F120="",AS120=""),"",IF(COUNT(AI120:AR120)=0,"",AS120-LOOKUP(2,1/(AI120:AR120&lt;&gt;""),AI120:AR120)))</t>
        </is>
      </c>
      <c r="BG120" s="49" t="inlineStr">
        <is>
          <t>IF(OR(F120="",AT120=""),"",IF(COUNT(AI120:AS120)=0,"",AT120-LOOKUP(2,1/(AI120:AS120&lt;&gt;""),AI120:AS120)))</t>
        </is>
      </c>
      <c r="BH120" s="49" t="inlineStr">
        <is>
          <t>IF(OR(F120="",AU120=""),"",IF(COUNT(AI120:AT120)=0,"",AU120-LOOKUP(2,1/(AI120:AT120&lt;&gt;""),AI120:AT120)))</t>
        </is>
      </c>
      <c r="BI120" s="49" t="inlineStr">
        <is>
          <t>IF(OR(F120="",AV120=""),"",IF(COUNT(AI120:AU120)=0,"",AV120-LOOKUP(2,1/(AI120:AU120&lt;&gt;""),AI120:AU120)))</t>
        </is>
      </c>
      <c r="BJ120" s="51" t="inlineStr">
        <is>
          <t>IF(J120="","All_Provinces",IFERROR(VLOOKUP(J120,'09_Lookups'!$A$4:$B$20,2,FALSE),"All_Provinces"))</t>
        </is>
      </c>
      <c r="BK120" s="51" t="inlineStr">
        <is>
          <t>IF(K120="","All_Districts",IFERROR(VLOOKUP(K120,'09_Lookups'!$E$4:$F$42,2,FALSE),"All_Districts"))</t>
        </is>
      </c>
    </row>
    <row r="121" outlineLevel="1" ht="18" customHeight="1">
      <c r="A121" s="42" t="inlineStr">
        <is>
          <t>IF(F121="","",ROW()-3)</t>
        </is>
      </c>
      <c r="B121" s="65" t="inlineStr">
        <is>
          <t>AF2-DIS-06</t>
        </is>
      </c>
      <c r="C121" s="65"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D121" s="65" t="inlineStr">
        <is>
          <t>12 of 12</t>
        </is>
      </c>
      <c r="E121" s="44" t="inlineStr">
        <is>
          <t>AF2-DIS-N-079</t>
        </is>
      </c>
      <c r="F121" s="44" t="inlineStr">
        <is>
          <t>Serdagh Kali Drip irrigation schemes</t>
        </is>
      </c>
      <c r="G121" s="44" t="inlineStr">
        <is>
          <t>Drip Irrigation</t>
        </is>
      </c>
      <c r="H121" s="44" t="inlineStr">
        <is>
          <t>Drip Irrigation Plot</t>
        </is>
      </c>
      <c r="I121" s="44" t="inlineStr">
        <is>
          <t>Emergency Food Security Project (EFSP) – WBK/AF-2</t>
        </is>
      </c>
      <c r="J121" s="44" t="inlineStr">
        <is>
          <t>South / Kandahar</t>
        </is>
      </c>
      <c r="K121" s="44" t="inlineStr">
        <is>
          <t>Kandahar</t>
        </is>
      </c>
      <c r="L121" s="44" t="inlineStr">
        <is>
          <t>Naish</t>
        </is>
      </c>
      <c r="M121" s="44" t="inlineStr">
        <is>
          <t>Serdagh Kali</t>
        </is>
      </c>
      <c r="N121" s="44" t="inlineStr">
        <is>
          <t>World Bank (WBK/AF-2)</t>
        </is>
      </c>
      <c r="O121" s="44" t="inlineStr">
        <is>
          <t>Not awarded</t>
        </is>
      </c>
      <c r="P121" s="44" t="inlineStr">
        <is>
          <t>5. Drip Irrigation systems</t>
        </is>
      </c>
      <c r="Q121" s="44" t="inlineStr"/>
      <c r="R121" s="44" t="inlineStr"/>
      <c r="S121" s="45" t="n">
        <v>4250</v>
      </c>
      <c r="T121" s="46" t="inlineStr">
        <is>
          <t>IF(AQ121="","",AQ121)</t>
        </is>
      </c>
      <c r="U121" s="47" t="n">
        <v>46412</v>
      </c>
      <c r="V121" s="48" t="n">
        <v>4.9</v>
      </c>
      <c r="W121" s="47" t="n">
        <v>46562</v>
      </c>
      <c r="X121" s="46" t="inlineStr">
        <is>
          <t>IF(W121&lt;&gt;"",W121,IF(OR(T121="",V121=""),"",EDATE(T121,V121)))</t>
        </is>
      </c>
      <c r="Y121" s="47" t="n"/>
      <c r="Z121" s="48" t="n"/>
      <c r="AA121" s="44" t="inlineStr">
        <is>
          <t>Under Review of WRI</t>
        </is>
      </c>
      <c r="AB121" s="44" t="inlineStr">
        <is>
          <t>Five months for the construction.</t>
        </is>
      </c>
      <c r="AC121" s="42" t="inlineStr">
        <is>
          <t>IF(F121="","",IF(COUNT(AI121:AV121)=0,IF(AA121="","Not started",AA121),SUBSTITUTE(LOOKUP(2,1/(AI121:AV121&lt;&gt;""),$AI$3:$AV$3),"Date: ","")))</t>
        </is>
      </c>
      <c r="AD121" s="49" t="inlineStr">
        <is>
          <t>IF(OR(F121="",COUNT(AI121:AV121)=0),"",TODAY()-LOOKUP(2,1/(AI121:AV121&lt;&gt;""),AI121:AV121))</t>
        </is>
      </c>
      <c r="AE121" s="49" t="inlineStr">
        <is>
          <t>IF(OR(F121="",COUNT(AI121:AV121)&lt;2),"",LOOKUP(2,1/(AI121:AV121&lt;&gt;""),AI121:AV121)-MIN(AI121:AV121))</t>
        </is>
      </c>
      <c r="AF121" s="49" t="inlineStr">
        <is>
          <t>IF(OR(AD121="",AC121="Not started",AC121=""),"",IFERROR(AD121-IF(VLOOKUP(AC121,'06_Status_Pipeline'!$B$3:$E$20,4,FALSE)="",0,VLOOKUP(AC121,'06_Status_Pipeline'!$B$3:$E$20,4,FALSE)),""))</t>
        </is>
      </c>
      <c r="AG121" s="42" t="inlineStr">
        <is>
          <t>IF(F121="","",IF(OR(AA121="Cancelled",AC121="Cancelled"),"Cancelled",IF(OR(AC121="Completed / Handover",Y121&lt;&gt;"",Z121&gt;=100),"Completed — on track",IF(O121="Not awarded",IF(U121="",IF(X121="","No planned date",IF(TODAY()&gt;X121,"Behind — past planned date",IF(X121-TODAY()&lt;=30,"At risk — close to off track","On track"))),IF(TODAY()&gt;U121,"Behind — award date passed",IF(U121-TODAY()&lt;=30,"At risk — close to off track","On track"))),IF(X121="","No planned date",IF(AND(TODAY()&gt;X121,OR(Z121="",Z121&lt;100)),"Behind — past end date",IF(AND(T121&lt;&gt;"",X121&lt;&gt;"",Z121&lt;&gt;"",(Z121&lt;100),((TODAY()-T121)/MAX(X121-T121,1)*100)-Z121&gt;15),"Behind — progress lag",IF(AND(X121-TODAY()&lt;=30,X121-TODAY()&gt;=0,OR(Z121="",Z121&lt;90)),"At risk — close to off track","On track"))))))))</t>
        </is>
      </c>
      <c r="AH121" s="49" t="inlineStr">
        <is>
          <t>IF(OR(F121="",AC121="Completed / Handover",AC121="Cancelled"),"",IF(O121="Not awarded",IF(U121&lt;&gt;"",U121-TODAY(),IF(X121="","",X121-TODAY())),IF(X121="","",X121-TODAY())))</t>
        </is>
      </c>
      <c r="AI121" s="47" t="n"/>
      <c r="AJ121" s="47" t="n"/>
      <c r="AK121" s="47" t="n"/>
      <c r="AL121" s="47" t="n"/>
      <c r="AM121" s="47" t="n"/>
      <c r="AN121" s="47" t="n"/>
      <c r="AO121" s="47" t="n"/>
      <c r="AP121" s="47" t="n"/>
      <c r="AQ121" s="47" t="n"/>
      <c r="AR121" s="47" t="n"/>
      <c r="AS121" s="47" t="n"/>
      <c r="AT121" s="50" t="n"/>
      <c r="AU121" s="50" t="n"/>
      <c r="AV121" s="50" t="n"/>
      <c r="AW121" s="49" t="inlineStr">
        <is>
          <t>IF(OR(F121="",AJ121=""),"",IF(COUNT(AI121:AI121)=0,"",AJ121-LOOKUP(2,1/(AI121:AI121&lt;&gt;""),AI121:AI121)))</t>
        </is>
      </c>
      <c r="AX121" s="49" t="inlineStr">
        <is>
          <t>IF(OR(F121="",AK121=""),"",IF(COUNT(AI121:AJ121)=0,"",AK121-LOOKUP(2,1/(AI121:AJ121&lt;&gt;""),AI121:AJ121)))</t>
        </is>
      </c>
      <c r="AY121" s="49" t="inlineStr">
        <is>
          <t>IF(OR(F121="",AL121=""),"",IF(COUNT(AI121:AK121)=0,"",AL121-LOOKUP(2,1/(AI121:AK121&lt;&gt;""),AI121:AK121)))</t>
        </is>
      </c>
      <c r="AZ121" s="49" t="inlineStr">
        <is>
          <t>IF(OR(F121="",AM121=""),"",IF(COUNT(AI121:AL121)=0,"",AM121-LOOKUP(2,1/(AI121:AL121&lt;&gt;""),AI121:AL121)))</t>
        </is>
      </c>
      <c r="BA121" s="49" t="inlineStr">
        <is>
          <t>IF(OR(F121="",AN121=""),"",IF(COUNT(AI121:AM121)=0,"",AN121-LOOKUP(2,1/(AI121:AM121&lt;&gt;""),AI121:AM121)))</t>
        </is>
      </c>
      <c r="BB121" s="49" t="inlineStr">
        <is>
          <t>IF(OR(F121="",AO121=""),"",IF(COUNT(AI121:AN121)=0,"",AO121-LOOKUP(2,1/(AI121:AN121&lt;&gt;""),AI121:AN121)))</t>
        </is>
      </c>
      <c r="BC121" s="49" t="inlineStr">
        <is>
          <t>IF(OR(F121="",AP121=""),"",IF(COUNT(AI121:AO121)=0,"",AP121-LOOKUP(2,1/(AI121:AO121&lt;&gt;""),AI121:AO121)))</t>
        </is>
      </c>
      <c r="BD121" s="49" t="inlineStr">
        <is>
          <t>IF(OR(F121="",AQ121=""),"",IF(COUNT(AI121:AP121)=0,"",AQ121-LOOKUP(2,1/(AI121:AP121&lt;&gt;""),AI121:AP121)))</t>
        </is>
      </c>
      <c r="BE121" s="49" t="inlineStr">
        <is>
          <t>IF(OR(F121="",AR121=""),"",IF(COUNT(AI121:AQ121)=0,"",AR121-LOOKUP(2,1/(AI121:AQ121&lt;&gt;""),AI121:AQ121)))</t>
        </is>
      </c>
      <c r="BF121" s="49" t="inlineStr">
        <is>
          <t>IF(OR(F121="",AS121=""),"",IF(COUNT(AI121:AR121)=0,"",AS121-LOOKUP(2,1/(AI121:AR121&lt;&gt;""),AI121:AR121)))</t>
        </is>
      </c>
      <c r="BG121" s="49" t="inlineStr">
        <is>
          <t>IF(OR(F121="",AT121=""),"",IF(COUNT(AI121:AS121)=0,"",AT121-LOOKUP(2,1/(AI121:AS121&lt;&gt;""),AI121:AS121)))</t>
        </is>
      </c>
      <c r="BH121" s="49" t="inlineStr">
        <is>
          <t>IF(OR(F121="",AU121=""),"",IF(COUNT(AI121:AT121)=0,"",AU121-LOOKUP(2,1/(AI121:AT121&lt;&gt;""),AI121:AT121)))</t>
        </is>
      </c>
      <c r="BI121" s="49" t="inlineStr">
        <is>
          <t>IF(OR(F121="",AV121=""),"",IF(COUNT(AI121:AU121)=0,"",AV121-LOOKUP(2,1/(AI121:AU121&lt;&gt;""),AI121:AU121)))</t>
        </is>
      </c>
      <c r="BJ121" s="51" t="inlineStr">
        <is>
          <t>IF(J121="","All_Provinces",IFERROR(VLOOKUP(J121,'09_Lookups'!$A$4:$B$20,2,FALSE),"All_Provinces"))</t>
        </is>
      </c>
      <c r="BK121" s="51" t="inlineStr">
        <is>
          <t>IF(K121="","All_Districts",IFERROR(VLOOKUP(K121,'09_Lookups'!$E$4:$F$42,2,FALSE),"All_Districts"))</t>
        </is>
      </c>
    </row>
    <row r="122" ht="18" customHeight="1">
      <c r="A122" s="32" t="inlineStr">
        <is>
          <t>IF(F122="","",ROW()-3)</t>
        </is>
      </c>
      <c r="B122" s="33" t="inlineStr">
        <is>
          <t>AF2-DIS-07</t>
        </is>
      </c>
      <c r="C122" s="3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22" s="33" t="inlineStr">
        <is>
          <t>1 of 9</t>
        </is>
      </c>
      <c r="E122" s="34" t="inlineStr">
        <is>
          <t>AF2-DIS-N-080</t>
        </is>
      </c>
      <c r="F122" s="34" t="inlineStr">
        <is>
          <t>Chaqul Drip Irrigation Scheme</t>
        </is>
      </c>
      <c r="G122" s="34" t="inlineStr">
        <is>
          <t>Drip Irrigation</t>
        </is>
      </c>
      <c r="H122" s="34" t="inlineStr">
        <is>
          <t>Drip Irrigation Plot</t>
        </is>
      </c>
      <c r="I122" s="34" t="inlineStr">
        <is>
          <t>Emergency Food Security Project (EFSP) – WBK/AF-2</t>
        </is>
      </c>
      <c r="J122" s="34" t="inlineStr">
        <is>
          <t>Northeast / Kunduz</t>
        </is>
      </c>
      <c r="K122" s="34" t="inlineStr">
        <is>
          <t>Takhar</t>
        </is>
      </c>
      <c r="L122" s="34" t="inlineStr">
        <is>
          <t>Baharak</t>
        </is>
      </c>
      <c r="M122" s="34" t="inlineStr">
        <is>
          <t>Chaqul</t>
        </is>
      </c>
      <c r="N122" s="34" t="inlineStr">
        <is>
          <t>World Bank (WBK/AF-2)</t>
        </is>
      </c>
      <c r="O122" s="34" t="inlineStr">
        <is>
          <t>Not awarded</t>
        </is>
      </c>
      <c r="P122" s="34" t="inlineStr">
        <is>
          <t>5. Drip Irrigation systems</t>
        </is>
      </c>
      <c r="Q122" s="34" t="inlineStr">
        <is>
          <t>Nasratullah</t>
        </is>
      </c>
      <c r="R122" s="34" t="inlineStr"/>
      <c r="S122" s="35" t="n">
        <v>4250</v>
      </c>
      <c r="T122" s="36" t="inlineStr">
        <is>
          <t>IF(AQ122="","",AQ122)</t>
        </is>
      </c>
      <c r="U122" s="37" t="n">
        <v>46412</v>
      </c>
      <c r="V122" s="38" t="n">
        <v>6.2</v>
      </c>
      <c r="W122" s="37" t="n">
        <v>46602</v>
      </c>
      <c r="X122" s="36" t="inlineStr">
        <is>
          <t>IF(W122&lt;&gt;"",W122,IF(OR(T122="",V122=""),"",EDATE(T122,V122)))</t>
        </is>
      </c>
      <c r="Y122" s="37" t="n"/>
      <c r="Z122" s="38" t="n"/>
      <c r="AA122" s="34" t="inlineStr">
        <is>
          <t>Under Review of WRI</t>
        </is>
      </c>
      <c r="AB122" s="34" t="inlineStr">
        <is>
          <t>Construction period five months starting from March 2027. | Farmer: Nasratullah</t>
        </is>
      </c>
      <c r="AC122" s="32" t="inlineStr">
        <is>
          <t>IF(F122="","",IF(COUNT(AI122:AV122)=0,IF(AA122="","Not started",AA122),SUBSTITUTE(LOOKUP(2,1/(AI122:AV122&lt;&gt;""),$AI$3:$AV$3),"Date: ","")))</t>
        </is>
      </c>
      <c r="AD122" s="39" t="inlineStr">
        <is>
          <t>IF(OR(F122="",COUNT(AI122:AV122)=0),"",TODAY()-LOOKUP(2,1/(AI122:AV122&lt;&gt;""),AI122:AV122))</t>
        </is>
      </c>
      <c r="AE122" s="39" t="inlineStr">
        <is>
          <t>IF(OR(F122="",COUNT(AI122:AV122)&lt;2),"",LOOKUP(2,1/(AI122:AV122&lt;&gt;""),AI122:AV122)-MIN(AI122:AV122))</t>
        </is>
      </c>
      <c r="AF122" s="39" t="inlineStr">
        <is>
          <t>IF(OR(AD122="",AC122="Not started",AC122=""),"",IFERROR(AD122-IF(VLOOKUP(AC122,'06_Status_Pipeline'!$B$3:$E$20,4,FALSE)="",0,VLOOKUP(AC122,'06_Status_Pipeline'!$B$3:$E$20,4,FALSE)),""))</t>
        </is>
      </c>
      <c r="AG122" s="32" t="inlineStr">
        <is>
          <t>IF(F122="","",IF(OR(AA122="Cancelled",AC122="Cancelled"),"Cancelled",IF(OR(AC122="Completed / Handover",Y122&lt;&gt;"",Z122&gt;=100),"Completed — on track",IF(O122="Not awarded",IF(U122="",IF(X122="","No planned date",IF(TODAY()&gt;X122,"Behind — past planned date",IF(X122-TODAY()&lt;=30,"At risk — close to off track","On track"))),IF(TODAY()&gt;U122,"Behind — award date passed",IF(U122-TODAY()&lt;=30,"At risk — close to off track","On track"))),IF(X122="","No planned date",IF(AND(TODAY()&gt;X122,OR(Z122="",Z122&lt;100)),"Behind — past end date",IF(AND(T122&lt;&gt;"",X122&lt;&gt;"",Z122&lt;&gt;"",(Z122&lt;100),((TODAY()-T122)/MAX(X122-T122,1)*100)-Z122&gt;15),"Behind — progress lag",IF(AND(X122-TODAY()&lt;=30,X122-TODAY()&gt;=0,OR(Z122="",Z122&lt;90)),"At risk — close to off track","On track"))))))))</t>
        </is>
      </c>
      <c r="AH122" s="39" t="inlineStr">
        <is>
          <t>IF(OR(F122="",AC122="Completed / Handover",AC122="Cancelled"),"",IF(O122="Not awarded",IF(U122&lt;&gt;"",U122-TODAY(),IF(X122="","",X122-TODAY())),IF(X122="","",X122-TODAY())))</t>
        </is>
      </c>
      <c r="AI122" s="37" t="n"/>
      <c r="AJ122" s="37" t="n"/>
      <c r="AK122" s="37" t="n"/>
      <c r="AL122" s="37" t="n"/>
      <c r="AM122" s="37" t="n"/>
      <c r="AN122" s="37" t="n"/>
      <c r="AO122" s="37" t="n"/>
      <c r="AP122" s="37" t="n"/>
      <c r="AQ122" s="37" t="n"/>
      <c r="AR122" s="37" t="n"/>
      <c r="AS122" s="37" t="n"/>
      <c r="AT122" s="40" t="n"/>
      <c r="AU122" s="40" t="n"/>
      <c r="AV122" s="40" t="n"/>
      <c r="AW122" s="39" t="inlineStr">
        <is>
          <t>IF(OR(F122="",AJ122=""),"",IF(COUNT(AI122:AI122)=0,"",AJ122-LOOKUP(2,1/(AI122:AI122&lt;&gt;""),AI122:AI122)))</t>
        </is>
      </c>
      <c r="AX122" s="39" t="inlineStr">
        <is>
          <t>IF(OR(F122="",AK122=""),"",IF(COUNT(AI122:AJ122)=0,"",AK122-LOOKUP(2,1/(AI122:AJ122&lt;&gt;""),AI122:AJ122)))</t>
        </is>
      </c>
      <c r="AY122" s="39" t="inlineStr">
        <is>
          <t>IF(OR(F122="",AL122=""),"",IF(COUNT(AI122:AK122)=0,"",AL122-LOOKUP(2,1/(AI122:AK122&lt;&gt;""),AI122:AK122)))</t>
        </is>
      </c>
      <c r="AZ122" s="39" t="inlineStr">
        <is>
          <t>IF(OR(F122="",AM122=""),"",IF(COUNT(AI122:AL122)=0,"",AM122-LOOKUP(2,1/(AI122:AL122&lt;&gt;""),AI122:AL122)))</t>
        </is>
      </c>
      <c r="BA122" s="39" t="inlineStr">
        <is>
          <t>IF(OR(F122="",AN122=""),"",IF(COUNT(AI122:AM122)=0,"",AN122-LOOKUP(2,1/(AI122:AM122&lt;&gt;""),AI122:AM122)))</t>
        </is>
      </c>
      <c r="BB122" s="39" t="inlineStr">
        <is>
          <t>IF(OR(F122="",AO122=""),"",IF(COUNT(AI122:AN122)=0,"",AO122-LOOKUP(2,1/(AI122:AN122&lt;&gt;""),AI122:AN122)))</t>
        </is>
      </c>
      <c r="BC122" s="39" t="inlineStr">
        <is>
          <t>IF(OR(F122="",AP122=""),"",IF(COUNT(AI122:AO122)=0,"",AP122-LOOKUP(2,1/(AI122:AO122&lt;&gt;""),AI122:AO122)))</t>
        </is>
      </c>
      <c r="BD122" s="39" t="inlineStr">
        <is>
          <t>IF(OR(F122="",AQ122=""),"",IF(COUNT(AI122:AP122)=0,"",AQ122-LOOKUP(2,1/(AI122:AP122&lt;&gt;""),AI122:AP122)))</t>
        </is>
      </c>
      <c r="BE122" s="39" t="inlineStr">
        <is>
          <t>IF(OR(F122="",AR122=""),"",IF(COUNT(AI122:AQ122)=0,"",AR122-LOOKUP(2,1/(AI122:AQ122&lt;&gt;""),AI122:AQ122)))</t>
        </is>
      </c>
      <c r="BF122" s="39" t="inlineStr">
        <is>
          <t>IF(OR(F122="",AS122=""),"",IF(COUNT(AI122:AR122)=0,"",AS122-LOOKUP(2,1/(AI122:AR122&lt;&gt;""),AI122:AR122)))</t>
        </is>
      </c>
      <c r="BG122" s="39" t="inlineStr">
        <is>
          <t>IF(OR(F122="",AT122=""),"",IF(COUNT(AI122:AS122)=0,"",AT122-LOOKUP(2,1/(AI122:AS122&lt;&gt;""),AI122:AS122)))</t>
        </is>
      </c>
      <c r="BH122" s="39" t="inlineStr">
        <is>
          <t>IF(OR(F122="",AU122=""),"",IF(COUNT(AI122:AT122)=0,"",AU122-LOOKUP(2,1/(AI122:AT122&lt;&gt;""),AI122:AT122)))</t>
        </is>
      </c>
      <c r="BI122" s="39" t="inlineStr">
        <is>
          <t>IF(OR(F122="",AV122=""),"",IF(COUNT(AI122:AU122)=0,"",AV122-LOOKUP(2,1/(AI122:AU122&lt;&gt;""),AI122:AU122)))</t>
        </is>
      </c>
      <c r="BJ122" s="41" t="inlineStr">
        <is>
          <t>IF(J122="","All_Provinces",IFERROR(VLOOKUP(J122,'09_Lookups'!$A$4:$B$20,2,FALSE),"All_Provinces"))</t>
        </is>
      </c>
      <c r="BK122" s="41" t="inlineStr">
        <is>
          <t>IF(K122="","All_Districts",IFERROR(VLOOKUP(K122,'09_Lookups'!$E$4:$F$42,2,FALSE),"All_Districts"))</t>
        </is>
      </c>
    </row>
    <row r="123" outlineLevel="1" ht="18" customHeight="1">
      <c r="A123" s="42" t="inlineStr">
        <is>
          <t>IF(F123="","",ROW()-3)</t>
        </is>
      </c>
      <c r="B123" s="43" t="inlineStr">
        <is>
          <t>AF2-DIS-07</t>
        </is>
      </c>
      <c r="C123" s="4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23" s="43" t="inlineStr">
        <is>
          <t>2 of 9</t>
        </is>
      </c>
      <c r="E123" s="44" t="inlineStr">
        <is>
          <t>AF2-DIS-N-081</t>
        </is>
      </c>
      <c r="F123" s="44" t="inlineStr">
        <is>
          <t>Haji Atta Khan Drip Irrgiatation Scheme</t>
        </is>
      </c>
      <c r="G123" s="44" t="inlineStr">
        <is>
          <t>Drip Irrigation</t>
        </is>
      </c>
      <c r="H123" s="44" t="inlineStr">
        <is>
          <t>Drip Irrigation Plot</t>
        </is>
      </c>
      <c r="I123" s="44" t="inlineStr">
        <is>
          <t>Emergency Food Security Project (EFSP) – WBK/AF-2</t>
        </is>
      </c>
      <c r="J123" s="44" t="inlineStr">
        <is>
          <t>Northeast / Kunduz</t>
        </is>
      </c>
      <c r="K123" s="44" t="inlineStr">
        <is>
          <t>Kunduz</t>
        </is>
      </c>
      <c r="L123" s="44" t="inlineStr">
        <is>
          <t>Chahar Dara</t>
        </is>
      </c>
      <c r="M123" s="44" t="inlineStr">
        <is>
          <t>Haji Atta Khan Masjid</t>
        </is>
      </c>
      <c r="N123" s="44" t="inlineStr">
        <is>
          <t>World Bank (WBK/AF-2)</t>
        </is>
      </c>
      <c r="O123" s="44" t="inlineStr">
        <is>
          <t>Not awarded</t>
        </is>
      </c>
      <c r="P123" s="44" t="inlineStr">
        <is>
          <t>5. Drip Irrigation systems</t>
        </is>
      </c>
      <c r="Q123" s="44" t="inlineStr">
        <is>
          <t>Haji Hamayoon Salimi</t>
        </is>
      </c>
      <c r="R123" s="44" t="inlineStr"/>
      <c r="S123" s="45" t="n">
        <v>8500</v>
      </c>
      <c r="T123" s="46" t="inlineStr">
        <is>
          <t>IF(AQ123="","",AQ123)</t>
        </is>
      </c>
      <c r="U123" s="47" t="n">
        <v>46412</v>
      </c>
      <c r="V123" s="48" t="n">
        <v>6.2</v>
      </c>
      <c r="W123" s="47" t="n">
        <v>46602</v>
      </c>
      <c r="X123" s="46" t="inlineStr">
        <is>
          <t>IF(W123&lt;&gt;"",W123,IF(OR(T123="",V123=""),"",EDATE(T123,V123)))</t>
        </is>
      </c>
      <c r="Y123" s="47" t="n"/>
      <c r="Z123" s="48" t="n"/>
      <c r="AA123" s="44" t="inlineStr">
        <is>
          <t>Under Review of WRI</t>
        </is>
      </c>
      <c r="AB123" s="44" t="inlineStr">
        <is>
          <t>Construction period five months starting from March 2027. | Farmer: Haji Hamayoon Salimi</t>
        </is>
      </c>
      <c r="AC123" s="42" t="inlineStr">
        <is>
          <t>IF(F123="","",IF(COUNT(AI123:AV123)=0,IF(AA123="","Not started",AA123),SUBSTITUTE(LOOKUP(2,1/(AI123:AV123&lt;&gt;""),$AI$3:$AV$3),"Date: ","")))</t>
        </is>
      </c>
      <c r="AD123" s="49" t="inlineStr">
        <is>
          <t>IF(OR(F123="",COUNT(AI123:AV123)=0),"",TODAY()-LOOKUP(2,1/(AI123:AV123&lt;&gt;""),AI123:AV123))</t>
        </is>
      </c>
      <c r="AE123" s="49" t="inlineStr">
        <is>
          <t>IF(OR(F123="",COUNT(AI123:AV123)&lt;2),"",LOOKUP(2,1/(AI123:AV123&lt;&gt;""),AI123:AV123)-MIN(AI123:AV123))</t>
        </is>
      </c>
      <c r="AF123" s="49" t="inlineStr">
        <is>
          <t>IF(OR(AD123="",AC123="Not started",AC123=""),"",IFERROR(AD123-IF(VLOOKUP(AC123,'06_Status_Pipeline'!$B$3:$E$20,4,FALSE)="",0,VLOOKUP(AC123,'06_Status_Pipeline'!$B$3:$E$20,4,FALSE)),""))</t>
        </is>
      </c>
      <c r="AG123" s="42" t="inlineStr">
        <is>
          <t>IF(F123="","",IF(OR(AA123="Cancelled",AC123="Cancelled"),"Cancelled",IF(OR(AC123="Completed / Handover",Y123&lt;&gt;"",Z123&gt;=100),"Completed — on track",IF(O123="Not awarded",IF(U123="",IF(X123="","No planned date",IF(TODAY()&gt;X123,"Behind — past planned date",IF(X123-TODAY()&lt;=30,"At risk — close to off track","On track"))),IF(TODAY()&gt;U123,"Behind — award date passed",IF(U123-TODAY()&lt;=30,"At risk — close to off track","On track"))),IF(X123="","No planned date",IF(AND(TODAY()&gt;X123,OR(Z123="",Z123&lt;100)),"Behind — past end date",IF(AND(T123&lt;&gt;"",X123&lt;&gt;"",Z123&lt;&gt;"",(Z123&lt;100),((TODAY()-T123)/MAX(X123-T123,1)*100)-Z123&gt;15),"Behind — progress lag",IF(AND(X123-TODAY()&lt;=30,X123-TODAY()&gt;=0,OR(Z123="",Z123&lt;90)),"At risk — close to off track","On track"))))))))</t>
        </is>
      </c>
      <c r="AH123" s="49" t="inlineStr">
        <is>
          <t>IF(OR(F123="",AC123="Completed / Handover",AC123="Cancelled"),"",IF(O123="Not awarded",IF(U123&lt;&gt;"",U123-TODAY(),IF(X123="","",X123-TODAY())),IF(X123="","",X123-TODAY())))</t>
        </is>
      </c>
      <c r="AI123" s="47" t="n"/>
      <c r="AJ123" s="47" t="n"/>
      <c r="AK123" s="47" t="n"/>
      <c r="AL123" s="47" t="n"/>
      <c r="AM123" s="47" t="n"/>
      <c r="AN123" s="47" t="n"/>
      <c r="AO123" s="47" t="n"/>
      <c r="AP123" s="47" t="n"/>
      <c r="AQ123" s="47" t="n"/>
      <c r="AR123" s="47" t="n"/>
      <c r="AS123" s="47" t="n"/>
      <c r="AT123" s="50" t="n"/>
      <c r="AU123" s="50" t="n"/>
      <c r="AV123" s="50" t="n"/>
      <c r="AW123" s="49" t="inlineStr">
        <is>
          <t>IF(OR(F123="",AJ123=""),"",IF(COUNT(AI123:AI123)=0,"",AJ123-LOOKUP(2,1/(AI123:AI123&lt;&gt;""),AI123:AI123)))</t>
        </is>
      </c>
      <c r="AX123" s="49" t="inlineStr">
        <is>
          <t>IF(OR(F123="",AK123=""),"",IF(COUNT(AI123:AJ123)=0,"",AK123-LOOKUP(2,1/(AI123:AJ123&lt;&gt;""),AI123:AJ123)))</t>
        </is>
      </c>
      <c r="AY123" s="49" t="inlineStr">
        <is>
          <t>IF(OR(F123="",AL123=""),"",IF(COUNT(AI123:AK123)=0,"",AL123-LOOKUP(2,1/(AI123:AK123&lt;&gt;""),AI123:AK123)))</t>
        </is>
      </c>
      <c r="AZ123" s="49" t="inlineStr">
        <is>
          <t>IF(OR(F123="",AM123=""),"",IF(COUNT(AI123:AL123)=0,"",AM123-LOOKUP(2,1/(AI123:AL123&lt;&gt;""),AI123:AL123)))</t>
        </is>
      </c>
      <c r="BA123" s="49" t="inlineStr">
        <is>
          <t>IF(OR(F123="",AN123=""),"",IF(COUNT(AI123:AM123)=0,"",AN123-LOOKUP(2,1/(AI123:AM123&lt;&gt;""),AI123:AM123)))</t>
        </is>
      </c>
      <c r="BB123" s="49" t="inlineStr">
        <is>
          <t>IF(OR(F123="",AO123=""),"",IF(COUNT(AI123:AN123)=0,"",AO123-LOOKUP(2,1/(AI123:AN123&lt;&gt;""),AI123:AN123)))</t>
        </is>
      </c>
      <c r="BC123" s="49" t="inlineStr">
        <is>
          <t>IF(OR(F123="",AP123=""),"",IF(COUNT(AI123:AO123)=0,"",AP123-LOOKUP(2,1/(AI123:AO123&lt;&gt;""),AI123:AO123)))</t>
        </is>
      </c>
      <c r="BD123" s="49" t="inlineStr">
        <is>
          <t>IF(OR(F123="",AQ123=""),"",IF(COUNT(AI123:AP123)=0,"",AQ123-LOOKUP(2,1/(AI123:AP123&lt;&gt;""),AI123:AP123)))</t>
        </is>
      </c>
      <c r="BE123" s="49" t="inlineStr">
        <is>
          <t>IF(OR(F123="",AR123=""),"",IF(COUNT(AI123:AQ123)=0,"",AR123-LOOKUP(2,1/(AI123:AQ123&lt;&gt;""),AI123:AQ123)))</t>
        </is>
      </c>
      <c r="BF123" s="49" t="inlineStr">
        <is>
          <t>IF(OR(F123="",AS123=""),"",IF(COUNT(AI123:AR123)=0,"",AS123-LOOKUP(2,1/(AI123:AR123&lt;&gt;""),AI123:AR123)))</t>
        </is>
      </c>
      <c r="BG123" s="49" t="inlineStr">
        <is>
          <t>IF(OR(F123="",AT123=""),"",IF(COUNT(AI123:AS123)=0,"",AT123-LOOKUP(2,1/(AI123:AS123&lt;&gt;""),AI123:AS123)))</t>
        </is>
      </c>
      <c r="BH123" s="49" t="inlineStr">
        <is>
          <t>IF(OR(F123="",AU123=""),"",IF(COUNT(AI123:AT123)=0,"",AU123-LOOKUP(2,1/(AI123:AT123&lt;&gt;""),AI123:AT123)))</t>
        </is>
      </c>
      <c r="BI123" s="49" t="inlineStr">
        <is>
          <t>IF(OR(F123="",AV123=""),"",IF(COUNT(AI123:AU123)=0,"",AV123-LOOKUP(2,1/(AI123:AU123&lt;&gt;""),AI123:AU123)))</t>
        </is>
      </c>
      <c r="BJ123" s="51" t="inlineStr">
        <is>
          <t>IF(J123="","All_Provinces",IFERROR(VLOOKUP(J123,'09_Lookups'!$A$4:$B$20,2,FALSE),"All_Provinces"))</t>
        </is>
      </c>
      <c r="BK123" s="51" t="inlineStr">
        <is>
          <t>IF(K123="","All_Districts",IFERROR(VLOOKUP(K123,'09_Lookups'!$E$4:$F$42,2,FALSE),"All_Districts"))</t>
        </is>
      </c>
    </row>
    <row r="124" outlineLevel="1" ht="18" customHeight="1">
      <c r="A124" s="42" t="inlineStr">
        <is>
          <t>IF(F124="","",ROW()-3)</t>
        </is>
      </c>
      <c r="B124" s="43" t="inlineStr">
        <is>
          <t>AF2-DIS-07</t>
        </is>
      </c>
      <c r="C124" s="4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24" s="43" t="inlineStr">
        <is>
          <t>3 of 9</t>
        </is>
      </c>
      <c r="E124" s="52" t="inlineStr">
        <is>
          <t>AF2-DIS-N-082</t>
        </is>
      </c>
      <c r="F124" s="52" t="inlineStr">
        <is>
          <t>Khoja Alwan Drip Irrigation Scheme</t>
        </is>
      </c>
      <c r="G124" s="52" t="inlineStr">
        <is>
          <t>Drip Irrigation</t>
        </is>
      </c>
      <c r="H124" s="52" t="inlineStr">
        <is>
          <t>Drip Irrigation Plot</t>
        </is>
      </c>
      <c r="I124" s="52" t="inlineStr">
        <is>
          <t>Emergency Food Security Project (EFSP) – WBK/AF-2</t>
        </is>
      </c>
      <c r="J124" s="52" t="inlineStr">
        <is>
          <t>Northeast / Kunduz</t>
        </is>
      </c>
      <c r="K124" s="52" t="inlineStr">
        <is>
          <t>Baghlan</t>
        </is>
      </c>
      <c r="L124" s="52" t="inlineStr">
        <is>
          <t>Dand Ghori</t>
        </is>
      </c>
      <c r="M124" s="52" t="inlineStr">
        <is>
          <t>Khoja Alwan</t>
        </is>
      </c>
      <c r="N124" s="52" t="inlineStr">
        <is>
          <t>World Bank (WBK/AF-2)</t>
        </is>
      </c>
      <c r="O124" s="52" t="inlineStr">
        <is>
          <t>Not awarded</t>
        </is>
      </c>
      <c r="P124" s="52" t="inlineStr">
        <is>
          <t>5. Drip Irrigation systems</t>
        </is>
      </c>
      <c r="Q124" s="52" t="inlineStr">
        <is>
          <t>Haji Amir Gul</t>
        </is>
      </c>
      <c r="R124" s="52" t="inlineStr"/>
      <c r="S124" s="53" t="n">
        <v>8500</v>
      </c>
      <c r="T124" s="46" t="inlineStr">
        <is>
          <t>IF(AQ124="","",AQ124)</t>
        </is>
      </c>
      <c r="U124" s="54" t="n">
        <v>46412</v>
      </c>
      <c r="V124" s="55" t="n">
        <v>6.2</v>
      </c>
      <c r="W124" s="54" t="n">
        <v>46602</v>
      </c>
      <c r="X124" s="46" t="inlineStr">
        <is>
          <t>IF(W124&lt;&gt;"",W124,IF(OR(T124="",V124=""),"",EDATE(T124,V124)))</t>
        </is>
      </c>
      <c r="Y124" s="54" t="n"/>
      <c r="Z124" s="55" t="n"/>
      <c r="AA124" s="52" t="inlineStr">
        <is>
          <t>Under Review of WRI</t>
        </is>
      </c>
      <c r="AB124" s="52" t="inlineStr">
        <is>
          <t>Construction period five months starting from March 2027. | Farmer: Haji Amir Gul</t>
        </is>
      </c>
      <c r="AC124" s="42" t="inlineStr">
        <is>
          <t>IF(F124="","",IF(COUNT(AI124:AV124)=0,IF(AA124="","Not started",AA124),SUBSTITUTE(LOOKUP(2,1/(AI124:AV124&lt;&gt;""),$AI$3:$AV$3),"Date: ","")))</t>
        </is>
      </c>
      <c r="AD124" s="49" t="inlineStr">
        <is>
          <t>IF(OR(F124="",COUNT(AI124:AV124)=0),"",TODAY()-LOOKUP(2,1/(AI124:AV124&lt;&gt;""),AI124:AV124))</t>
        </is>
      </c>
      <c r="AE124" s="49" t="inlineStr">
        <is>
          <t>IF(OR(F124="",COUNT(AI124:AV124)&lt;2),"",LOOKUP(2,1/(AI124:AV124&lt;&gt;""),AI124:AV124)-MIN(AI124:AV124))</t>
        </is>
      </c>
      <c r="AF124" s="49" t="inlineStr">
        <is>
          <t>IF(OR(AD124="",AC124="Not started",AC124=""),"",IFERROR(AD124-IF(VLOOKUP(AC124,'06_Status_Pipeline'!$B$3:$E$20,4,FALSE)="",0,VLOOKUP(AC124,'06_Status_Pipeline'!$B$3:$E$20,4,FALSE)),""))</t>
        </is>
      </c>
      <c r="AG124" s="42" t="inlineStr">
        <is>
          <t>IF(F124="","",IF(OR(AA124="Cancelled",AC124="Cancelled"),"Cancelled",IF(OR(AC124="Completed / Handover",Y124&lt;&gt;"",Z124&gt;=100),"Completed — on track",IF(O124="Not awarded",IF(U124="",IF(X124="","No planned date",IF(TODAY()&gt;X124,"Behind — past planned date",IF(X124-TODAY()&lt;=30,"At risk — close to off track","On track"))),IF(TODAY()&gt;U124,"Behind — award date passed",IF(U124-TODAY()&lt;=30,"At risk — close to off track","On track"))),IF(X124="","No planned date",IF(AND(TODAY()&gt;X124,OR(Z124="",Z124&lt;100)),"Behind — past end date",IF(AND(T124&lt;&gt;"",X124&lt;&gt;"",Z124&lt;&gt;"",(Z124&lt;100),((TODAY()-T124)/MAX(X124-T124,1)*100)-Z124&gt;15),"Behind — progress lag",IF(AND(X124-TODAY()&lt;=30,X124-TODAY()&gt;=0,OR(Z124="",Z124&lt;90)),"At risk — close to off track","On track"))))))))</t>
        </is>
      </c>
      <c r="AH124" s="49" t="inlineStr">
        <is>
          <t>IF(OR(F124="",AC124="Completed / Handover",AC124="Cancelled"),"",IF(O124="Not awarded",IF(U124&lt;&gt;"",U124-TODAY(),IF(X124="","",X124-TODAY())),IF(X124="","",X124-TODAY())))</t>
        </is>
      </c>
      <c r="AI124" s="54" t="n"/>
      <c r="AJ124" s="54" t="n"/>
      <c r="AK124" s="54" t="n"/>
      <c r="AL124" s="54" t="n"/>
      <c r="AM124" s="54" t="n"/>
      <c r="AN124" s="54" t="n"/>
      <c r="AO124" s="54" t="n"/>
      <c r="AP124" s="54" t="n"/>
      <c r="AQ124" s="54" t="n"/>
      <c r="AR124" s="54" t="n"/>
      <c r="AS124" s="54" t="n"/>
      <c r="AT124" s="50" t="n"/>
      <c r="AU124" s="50" t="n"/>
      <c r="AV124" s="50" t="n"/>
      <c r="AW124" s="49" t="inlineStr">
        <is>
          <t>IF(OR(F124="",AJ124=""),"",IF(COUNT(AI124:AI124)=0,"",AJ124-LOOKUP(2,1/(AI124:AI124&lt;&gt;""),AI124:AI124)))</t>
        </is>
      </c>
      <c r="AX124" s="49" t="inlineStr">
        <is>
          <t>IF(OR(F124="",AK124=""),"",IF(COUNT(AI124:AJ124)=0,"",AK124-LOOKUP(2,1/(AI124:AJ124&lt;&gt;""),AI124:AJ124)))</t>
        </is>
      </c>
      <c r="AY124" s="49" t="inlineStr">
        <is>
          <t>IF(OR(F124="",AL124=""),"",IF(COUNT(AI124:AK124)=0,"",AL124-LOOKUP(2,1/(AI124:AK124&lt;&gt;""),AI124:AK124)))</t>
        </is>
      </c>
      <c r="AZ124" s="49" t="inlineStr">
        <is>
          <t>IF(OR(F124="",AM124=""),"",IF(COUNT(AI124:AL124)=0,"",AM124-LOOKUP(2,1/(AI124:AL124&lt;&gt;""),AI124:AL124)))</t>
        </is>
      </c>
      <c r="BA124" s="49" t="inlineStr">
        <is>
          <t>IF(OR(F124="",AN124=""),"",IF(COUNT(AI124:AM124)=0,"",AN124-LOOKUP(2,1/(AI124:AM124&lt;&gt;""),AI124:AM124)))</t>
        </is>
      </c>
      <c r="BB124" s="49" t="inlineStr">
        <is>
          <t>IF(OR(F124="",AO124=""),"",IF(COUNT(AI124:AN124)=0,"",AO124-LOOKUP(2,1/(AI124:AN124&lt;&gt;""),AI124:AN124)))</t>
        </is>
      </c>
      <c r="BC124" s="49" t="inlineStr">
        <is>
          <t>IF(OR(F124="",AP124=""),"",IF(COUNT(AI124:AO124)=0,"",AP124-LOOKUP(2,1/(AI124:AO124&lt;&gt;""),AI124:AO124)))</t>
        </is>
      </c>
      <c r="BD124" s="49" t="inlineStr">
        <is>
          <t>IF(OR(F124="",AQ124=""),"",IF(COUNT(AI124:AP124)=0,"",AQ124-LOOKUP(2,1/(AI124:AP124&lt;&gt;""),AI124:AP124)))</t>
        </is>
      </c>
      <c r="BE124" s="49" t="inlineStr">
        <is>
          <t>IF(OR(F124="",AR124=""),"",IF(COUNT(AI124:AQ124)=0,"",AR124-LOOKUP(2,1/(AI124:AQ124&lt;&gt;""),AI124:AQ124)))</t>
        </is>
      </c>
      <c r="BF124" s="49" t="inlineStr">
        <is>
          <t>IF(OR(F124="",AS124=""),"",IF(COUNT(AI124:AR124)=0,"",AS124-LOOKUP(2,1/(AI124:AR124&lt;&gt;""),AI124:AR124)))</t>
        </is>
      </c>
      <c r="BG124" s="49" t="inlineStr">
        <is>
          <t>IF(OR(F124="",AT124=""),"",IF(COUNT(AI124:AS124)=0,"",AT124-LOOKUP(2,1/(AI124:AS124&lt;&gt;""),AI124:AS124)))</t>
        </is>
      </c>
      <c r="BH124" s="49" t="inlineStr">
        <is>
          <t>IF(OR(F124="",AU124=""),"",IF(COUNT(AI124:AT124)=0,"",AU124-LOOKUP(2,1/(AI124:AT124&lt;&gt;""),AI124:AT124)))</t>
        </is>
      </c>
      <c r="BI124" s="49" t="inlineStr">
        <is>
          <t>IF(OR(F124="",AV124=""),"",IF(COUNT(AI124:AU124)=0,"",AV124-LOOKUP(2,1/(AI124:AU124&lt;&gt;""),AI124:AU124)))</t>
        </is>
      </c>
      <c r="BJ124" s="51" t="inlineStr">
        <is>
          <t>IF(J124="","All_Provinces",IFERROR(VLOOKUP(J124,'09_Lookups'!$A$4:$B$20,2,FALSE),"All_Provinces"))</t>
        </is>
      </c>
      <c r="BK124" s="51" t="inlineStr">
        <is>
          <t>IF(K124="","All_Districts",IFERROR(VLOOKUP(K124,'09_Lookups'!$E$4:$F$42,2,FALSE),"All_Districts"))</t>
        </is>
      </c>
    </row>
    <row r="125" outlineLevel="1" ht="18" customHeight="1">
      <c r="A125" s="42" t="inlineStr">
        <is>
          <t>IF(F125="","",ROW()-3)</t>
        </is>
      </c>
      <c r="B125" s="43" t="inlineStr">
        <is>
          <t>AF2-DIS-07</t>
        </is>
      </c>
      <c r="C125" s="4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25" s="43" t="inlineStr">
        <is>
          <t>4 of 9</t>
        </is>
      </c>
      <c r="E125" s="44" t="inlineStr">
        <is>
          <t>AF2-DIS-N-083</t>
        </is>
      </c>
      <c r="F125" s="44" t="inlineStr">
        <is>
          <t>Khoja Bolak Drip Irrigation Scheme</t>
        </is>
      </c>
      <c r="G125" s="44" t="inlineStr">
        <is>
          <t>Drip Irrigation</t>
        </is>
      </c>
      <c r="H125" s="44" t="inlineStr">
        <is>
          <t>Drip Irrigation Plot</t>
        </is>
      </c>
      <c r="I125" s="44" t="inlineStr">
        <is>
          <t>Emergency Food Security Project (EFSP) – WBK/AF-2</t>
        </is>
      </c>
      <c r="J125" s="44" t="inlineStr">
        <is>
          <t>Northeast / Kunduz</t>
        </is>
      </c>
      <c r="K125" s="44" t="inlineStr">
        <is>
          <t>Kunudz</t>
        </is>
      </c>
      <c r="L125" s="44" t="inlineStr">
        <is>
          <t>Khan Abad</t>
        </is>
      </c>
      <c r="M125" s="44" t="inlineStr">
        <is>
          <t>Khoja Bolak</t>
        </is>
      </c>
      <c r="N125" s="44" t="inlineStr">
        <is>
          <t>World Bank (WBK/AF-2)</t>
        </is>
      </c>
      <c r="O125" s="44" t="inlineStr">
        <is>
          <t>Not awarded</t>
        </is>
      </c>
      <c r="P125" s="44" t="inlineStr">
        <is>
          <t>5. Drip Irrigation systems</t>
        </is>
      </c>
      <c r="Q125" s="44" t="inlineStr">
        <is>
          <t>Mohammad Qasim</t>
        </is>
      </c>
      <c r="R125" s="44" t="inlineStr"/>
      <c r="S125" s="45" t="n">
        <v>8500</v>
      </c>
      <c r="T125" s="46" t="inlineStr">
        <is>
          <t>IF(AQ125="","",AQ125)</t>
        </is>
      </c>
      <c r="U125" s="47" t="n">
        <v>46412</v>
      </c>
      <c r="V125" s="48" t="n">
        <v>6.2</v>
      </c>
      <c r="W125" s="47" t="n">
        <v>46602</v>
      </c>
      <c r="X125" s="46" t="inlineStr">
        <is>
          <t>IF(W125&lt;&gt;"",W125,IF(OR(T125="",V125=""),"",EDATE(T125,V125)))</t>
        </is>
      </c>
      <c r="Y125" s="47" t="n"/>
      <c r="Z125" s="48" t="n"/>
      <c r="AA125" s="44" t="inlineStr">
        <is>
          <t>Under Review of WRI</t>
        </is>
      </c>
      <c r="AB125" s="44" t="inlineStr">
        <is>
          <t>Construction period five months starting from March 2027. | Farmer: Mohammad Qasim</t>
        </is>
      </c>
      <c r="AC125" s="42" t="inlineStr">
        <is>
          <t>IF(F125="","",IF(COUNT(AI125:AV125)=0,IF(AA125="","Not started",AA125),SUBSTITUTE(LOOKUP(2,1/(AI125:AV125&lt;&gt;""),$AI$3:$AV$3),"Date: ","")))</t>
        </is>
      </c>
      <c r="AD125" s="49" t="inlineStr">
        <is>
          <t>IF(OR(F125="",COUNT(AI125:AV125)=0),"",TODAY()-LOOKUP(2,1/(AI125:AV125&lt;&gt;""),AI125:AV125))</t>
        </is>
      </c>
      <c r="AE125" s="49" t="inlineStr">
        <is>
          <t>IF(OR(F125="",COUNT(AI125:AV125)&lt;2),"",LOOKUP(2,1/(AI125:AV125&lt;&gt;""),AI125:AV125)-MIN(AI125:AV125))</t>
        </is>
      </c>
      <c r="AF125" s="49" t="inlineStr">
        <is>
          <t>IF(OR(AD125="",AC125="Not started",AC125=""),"",IFERROR(AD125-IF(VLOOKUP(AC125,'06_Status_Pipeline'!$B$3:$E$20,4,FALSE)="",0,VLOOKUP(AC125,'06_Status_Pipeline'!$B$3:$E$20,4,FALSE)),""))</t>
        </is>
      </c>
      <c r="AG125" s="42" t="inlineStr">
        <is>
          <t>IF(F125="","",IF(OR(AA125="Cancelled",AC125="Cancelled"),"Cancelled",IF(OR(AC125="Completed / Handover",Y125&lt;&gt;"",Z125&gt;=100),"Completed — on track",IF(O125="Not awarded",IF(U125="",IF(X125="","No planned date",IF(TODAY()&gt;X125,"Behind — past planned date",IF(X125-TODAY()&lt;=30,"At risk — close to off track","On track"))),IF(TODAY()&gt;U125,"Behind — award date passed",IF(U125-TODAY()&lt;=30,"At risk — close to off track","On track"))),IF(X125="","No planned date",IF(AND(TODAY()&gt;X125,OR(Z125="",Z125&lt;100)),"Behind — past end date",IF(AND(T125&lt;&gt;"",X125&lt;&gt;"",Z125&lt;&gt;"",(Z125&lt;100),((TODAY()-T125)/MAX(X125-T125,1)*100)-Z125&gt;15),"Behind — progress lag",IF(AND(X125-TODAY()&lt;=30,X125-TODAY()&gt;=0,OR(Z125="",Z125&lt;90)),"At risk — close to off track","On track"))))))))</t>
        </is>
      </c>
      <c r="AH125" s="49" t="inlineStr">
        <is>
          <t>IF(OR(F125="",AC125="Completed / Handover",AC125="Cancelled"),"",IF(O125="Not awarded",IF(U125&lt;&gt;"",U125-TODAY(),IF(X125="","",X125-TODAY())),IF(X125="","",X125-TODAY())))</t>
        </is>
      </c>
      <c r="AI125" s="47" t="n"/>
      <c r="AJ125" s="47" t="n"/>
      <c r="AK125" s="47" t="n"/>
      <c r="AL125" s="47" t="n"/>
      <c r="AM125" s="47" t="n"/>
      <c r="AN125" s="47" t="n"/>
      <c r="AO125" s="47" t="n"/>
      <c r="AP125" s="47" t="n"/>
      <c r="AQ125" s="47" t="n"/>
      <c r="AR125" s="47" t="n"/>
      <c r="AS125" s="47" t="n"/>
      <c r="AT125" s="50" t="n"/>
      <c r="AU125" s="50" t="n"/>
      <c r="AV125" s="50" t="n"/>
      <c r="AW125" s="49" t="inlineStr">
        <is>
          <t>IF(OR(F125="",AJ125=""),"",IF(COUNT(AI125:AI125)=0,"",AJ125-LOOKUP(2,1/(AI125:AI125&lt;&gt;""),AI125:AI125)))</t>
        </is>
      </c>
      <c r="AX125" s="49" t="inlineStr">
        <is>
          <t>IF(OR(F125="",AK125=""),"",IF(COUNT(AI125:AJ125)=0,"",AK125-LOOKUP(2,1/(AI125:AJ125&lt;&gt;""),AI125:AJ125)))</t>
        </is>
      </c>
      <c r="AY125" s="49" t="inlineStr">
        <is>
          <t>IF(OR(F125="",AL125=""),"",IF(COUNT(AI125:AK125)=0,"",AL125-LOOKUP(2,1/(AI125:AK125&lt;&gt;""),AI125:AK125)))</t>
        </is>
      </c>
      <c r="AZ125" s="49" t="inlineStr">
        <is>
          <t>IF(OR(F125="",AM125=""),"",IF(COUNT(AI125:AL125)=0,"",AM125-LOOKUP(2,1/(AI125:AL125&lt;&gt;""),AI125:AL125)))</t>
        </is>
      </c>
      <c r="BA125" s="49" t="inlineStr">
        <is>
          <t>IF(OR(F125="",AN125=""),"",IF(COUNT(AI125:AM125)=0,"",AN125-LOOKUP(2,1/(AI125:AM125&lt;&gt;""),AI125:AM125)))</t>
        </is>
      </c>
      <c r="BB125" s="49" t="inlineStr">
        <is>
          <t>IF(OR(F125="",AO125=""),"",IF(COUNT(AI125:AN125)=0,"",AO125-LOOKUP(2,1/(AI125:AN125&lt;&gt;""),AI125:AN125)))</t>
        </is>
      </c>
      <c r="BC125" s="49" t="inlineStr">
        <is>
          <t>IF(OR(F125="",AP125=""),"",IF(COUNT(AI125:AO125)=0,"",AP125-LOOKUP(2,1/(AI125:AO125&lt;&gt;""),AI125:AO125)))</t>
        </is>
      </c>
      <c r="BD125" s="49" t="inlineStr">
        <is>
          <t>IF(OR(F125="",AQ125=""),"",IF(COUNT(AI125:AP125)=0,"",AQ125-LOOKUP(2,1/(AI125:AP125&lt;&gt;""),AI125:AP125)))</t>
        </is>
      </c>
      <c r="BE125" s="49" t="inlineStr">
        <is>
          <t>IF(OR(F125="",AR125=""),"",IF(COUNT(AI125:AQ125)=0,"",AR125-LOOKUP(2,1/(AI125:AQ125&lt;&gt;""),AI125:AQ125)))</t>
        </is>
      </c>
      <c r="BF125" s="49" t="inlineStr">
        <is>
          <t>IF(OR(F125="",AS125=""),"",IF(COUNT(AI125:AR125)=0,"",AS125-LOOKUP(2,1/(AI125:AR125&lt;&gt;""),AI125:AR125)))</t>
        </is>
      </c>
      <c r="BG125" s="49" t="inlineStr">
        <is>
          <t>IF(OR(F125="",AT125=""),"",IF(COUNT(AI125:AS125)=0,"",AT125-LOOKUP(2,1/(AI125:AS125&lt;&gt;""),AI125:AS125)))</t>
        </is>
      </c>
      <c r="BH125" s="49" t="inlineStr">
        <is>
          <t>IF(OR(F125="",AU125=""),"",IF(COUNT(AI125:AT125)=0,"",AU125-LOOKUP(2,1/(AI125:AT125&lt;&gt;""),AI125:AT125)))</t>
        </is>
      </c>
      <c r="BI125" s="49" t="inlineStr">
        <is>
          <t>IF(OR(F125="",AV125=""),"",IF(COUNT(AI125:AU125)=0,"",AV125-LOOKUP(2,1/(AI125:AU125&lt;&gt;""),AI125:AU125)))</t>
        </is>
      </c>
      <c r="BJ125" s="51" t="inlineStr">
        <is>
          <t>IF(J125="","All_Provinces",IFERROR(VLOOKUP(J125,'09_Lookups'!$A$4:$B$20,2,FALSE),"All_Provinces"))</t>
        </is>
      </c>
      <c r="BK125" s="51" t="inlineStr">
        <is>
          <t>IF(K125="","All_Districts",IFERROR(VLOOKUP(K125,'09_Lookups'!$E$4:$F$42,2,FALSE),"All_Districts"))</t>
        </is>
      </c>
    </row>
    <row r="126" outlineLevel="1" ht="18" customHeight="1">
      <c r="A126" s="42" t="inlineStr">
        <is>
          <t>IF(F126="","",ROW()-3)</t>
        </is>
      </c>
      <c r="B126" s="43" t="inlineStr">
        <is>
          <t>AF2-DIS-07</t>
        </is>
      </c>
      <c r="C126" s="4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26" s="43" t="inlineStr">
        <is>
          <t>5 of 9</t>
        </is>
      </c>
      <c r="E126" s="52" t="inlineStr">
        <is>
          <t>AF2-DIS-N-084</t>
        </is>
      </c>
      <c r="F126" s="52" t="inlineStr">
        <is>
          <t>Masjid Dr. Shafiq Mamakhail Drip Irrigation Scheme</t>
        </is>
      </c>
      <c r="G126" s="52" t="inlineStr">
        <is>
          <t>Drip Irrigation</t>
        </is>
      </c>
      <c r="H126" s="52" t="inlineStr">
        <is>
          <t>Drip Irrigation Plot</t>
        </is>
      </c>
      <c r="I126" s="52" t="inlineStr">
        <is>
          <t>Emergency Food Security Project (EFSP) – WBK/AF-2</t>
        </is>
      </c>
      <c r="J126" s="52" t="inlineStr">
        <is>
          <t>Northeast / Kunduz</t>
        </is>
      </c>
      <c r="K126" s="52" t="inlineStr">
        <is>
          <t>Kunduz</t>
        </is>
      </c>
      <c r="L126" s="52" t="inlineStr">
        <is>
          <t>Chahar Dara</t>
        </is>
      </c>
      <c r="M126" s="52" t="inlineStr">
        <is>
          <t>Mamakhail</t>
        </is>
      </c>
      <c r="N126" s="52" t="inlineStr">
        <is>
          <t>World Bank (WBK/AF-2)</t>
        </is>
      </c>
      <c r="O126" s="52" t="inlineStr">
        <is>
          <t>Not awarded</t>
        </is>
      </c>
      <c r="P126" s="52" t="inlineStr">
        <is>
          <t>5. Drip Irrigation systems</t>
        </is>
      </c>
      <c r="Q126" s="52" t="inlineStr">
        <is>
          <t>Ziaurrahman Mohammadi</t>
        </is>
      </c>
      <c r="R126" s="52" t="inlineStr"/>
      <c r="S126" s="53" t="n">
        <v>4250</v>
      </c>
      <c r="T126" s="46" t="inlineStr">
        <is>
          <t>IF(AQ126="","",AQ126)</t>
        </is>
      </c>
      <c r="U126" s="54" t="n">
        <v>46412</v>
      </c>
      <c r="V126" s="55" t="n">
        <v>6.2</v>
      </c>
      <c r="W126" s="54" t="n">
        <v>46602</v>
      </c>
      <c r="X126" s="46" t="inlineStr">
        <is>
          <t>IF(W126&lt;&gt;"",W126,IF(OR(T126="",V126=""),"",EDATE(T126,V126)))</t>
        </is>
      </c>
      <c r="Y126" s="54" t="n"/>
      <c r="Z126" s="55" t="n"/>
      <c r="AA126" s="52" t="inlineStr">
        <is>
          <t>Under Review of WRI</t>
        </is>
      </c>
      <c r="AB126" s="52" t="inlineStr">
        <is>
          <t>Construction period five months starting from March 2027. | Farmer: Ziaurrahman Mohammadi</t>
        </is>
      </c>
      <c r="AC126" s="42" t="inlineStr">
        <is>
          <t>IF(F126="","",IF(COUNT(AI126:AV126)=0,IF(AA126="","Not started",AA126),SUBSTITUTE(LOOKUP(2,1/(AI126:AV126&lt;&gt;""),$AI$3:$AV$3),"Date: ","")))</t>
        </is>
      </c>
      <c r="AD126" s="49" t="inlineStr">
        <is>
          <t>IF(OR(F126="",COUNT(AI126:AV126)=0),"",TODAY()-LOOKUP(2,1/(AI126:AV126&lt;&gt;""),AI126:AV126))</t>
        </is>
      </c>
      <c r="AE126" s="49" t="inlineStr">
        <is>
          <t>IF(OR(F126="",COUNT(AI126:AV126)&lt;2),"",LOOKUP(2,1/(AI126:AV126&lt;&gt;""),AI126:AV126)-MIN(AI126:AV126))</t>
        </is>
      </c>
      <c r="AF126" s="49" t="inlineStr">
        <is>
          <t>IF(OR(AD126="",AC126="Not started",AC126=""),"",IFERROR(AD126-IF(VLOOKUP(AC126,'06_Status_Pipeline'!$B$3:$E$20,4,FALSE)="",0,VLOOKUP(AC126,'06_Status_Pipeline'!$B$3:$E$20,4,FALSE)),""))</t>
        </is>
      </c>
      <c r="AG126" s="42" t="inlineStr">
        <is>
          <t>IF(F126="","",IF(OR(AA126="Cancelled",AC126="Cancelled"),"Cancelled",IF(OR(AC126="Completed / Handover",Y126&lt;&gt;"",Z126&gt;=100),"Completed — on track",IF(O126="Not awarded",IF(U126="",IF(X126="","No planned date",IF(TODAY()&gt;X126,"Behind — past planned date",IF(X126-TODAY()&lt;=30,"At risk — close to off track","On track"))),IF(TODAY()&gt;U126,"Behind — award date passed",IF(U126-TODAY()&lt;=30,"At risk — close to off track","On track"))),IF(X126="","No planned date",IF(AND(TODAY()&gt;X126,OR(Z126="",Z126&lt;100)),"Behind — past end date",IF(AND(T126&lt;&gt;"",X126&lt;&gt;"",Z126&lt;&gt;"",(Z126&lt;100),((TODAY()-T126)/MAX(X126-T126,1)*100)-Z126&gt;15),"Behind — progress lag",IF(AND(X126-TODAY()&lt;=30,X126-TODAY()&gt;=0,OR(Z126="",Z126&lt;90)),"At risk — close to off track","On track"))))))))</t>
        </is>
      </c>
      <c r="AH126" s="49" t="inlineStr">
        <is>
          <t>IF(OR(F126="",AC126="Completed / Handover",AC126="Cancelled"),"",IF(O126="Not awarded",IF(U126&lt;&gt;"",U126-TODAY(),IF(X126="","",X126-TODAY())),IF(X126="","",X126-TODAY())))</t>
        </is>
      </c>
      <c r="AI126" s="54" t="n"/>
      <c r="AJ126" s="54" t="n"/>
      <c r="AK126" s="54" t="n"/>
      <c r="AL126" s="54" t="n"/>
      <c r="AM126" s="54" t="n"/>
      <c r="AN126" s="54" t="n"/>
      <c r="AO126" s="54" t="n"/>
      <c r="AP126" s="54" t="n"/>
      <c r="AQ126" s="54" t="n"/>
      <c r="AR126" s="54" t="n"/>
      <c r="AS126" s="54" t="n"/>
      <c r="AT126" s="50" t="n"/>
      <c r="AU126" s="50" t="n"/>
      <c r="AV126" s="50" t="n"/>
      <c r="AW126" s="49" t="inlineStr">
        <is>
          <t>IF(OR(F126="",AJ126=""),"",IF(COUNT(AI126:AI126)=0,"",AJ126-LOOKUP(2,1/(AI126:AI126&lt;&gt;""),AI126:AI126)))</t>
        </is>
      </c>
      <c r="AX126" s="49" t="inlineStr">
        <is>
          <t>IF(OR(F126="",AK126=""),"",IF(COUNT(AI126:AJ126)=0,"",AK126-LOOKUP(2,1/(AI126:AJ126&lt;&gt;""),AI126:AJ126)))</t>
        </is>
      </c>
      <c r="AY126" s="49" t="inlineStr">
        <is>
          <t>IF(OR(F126="",AL126=""),"",IF(COUNT(AI126:AK126)=0,"",AL126-LOOKUP(2,1/(AI126:AK126&lt;&gt;""),AI126:AK126)))</t>
        </is>
      </c>
      <c r="AZ126" s="49" t="inlineStr">
        <is>
          <t>IF(OR(F126="",AM126=""),"",IF(COUNT(AI126:AL126)=0,"",AM126-LOOKUP(2,1/(AI126:AL126&lt;&gt;""),AI126:AL126)))</t>
        </is>
      </c>
      <c r="BA126" s="49" t="inlineStr">
        <is>
          <t>IF(OR(F126="",AN126=""),"",IF(COUNT(AI126:AM126)=0,"",AN126-LOOKUP(2,1/(AI126:AM126&lt;&gt;""),AI126:AM126)))</t>
        </is>
      </c>
      <c r="BB126" s="49" t="inlineStr">
        <is>
          <t>IF(OR(F126="",AO126=""),"",IF(COUNT(AI126:AN126)=0,"",AO126-LOOKUP(2,1/(AI126:AN126&lt;&gt;""),AI126:AN126)))</t>
        </is>
      </c>
      <c r="BC126" s="49" t="inlineStr">
        <is>
          <t>IF(OR(F126="",AP126=""),"",IF(COUNT(AI126:AO126)=0,"",AP126-LOOKUP(2,1/(AI126:AO126&lt;&gt;""),AI126:AO126)))</t>
        </is>
      </c>
      <c r="BD126" s="49" t="inlineStr">
        <is>
          <t>IF(OR(F126="",AQ126=""),"",IF(COUNT(AI126:AP126)=0,"",AQ126-LOOKUP(2,1/(AI126:AP126&lt;&gt;""),AI126:AP126)))</t>
        </is>
      </c>
      <c r="BE126" s="49" t="inlineStr">
        <is>
          <t>IF(OR(F126="",AR126=""),"",IF(COUNT(AI126:AQ126)=0,"",AR126-LOOKUP(2,1/(AI126:AQ126&lt;&gt;""),AI126:AQ126)))</t>
        </is>
      </c>
      <c r="BF126" s="49" t="inlineStr">
        <is>
          <t>IF(OR(F126="",AS126=""),"",IF(COUNT(AI126:AR126)=0,"",AS126-LOOKUP(2,1/(AI126:AR126&lt;&gt;""),AI126:AR126)))</t>
        </is>
      </c>
      <c r="BG126" s="49" t="inlineStr">
        <is>
          <t>IF(OR(F126="",AT126=""),"",IF(COUNT(AI126:AS126)=0,"",AT126-LOOKUP(2,1/(AI126:AS126&lt;&gt;""),AI126:AS126)))</t>
        </is>
      </c>
      <c r="BH126" s="49" t="inlineStr">
        <is>
          <t>IF(OR(F126="",AU126=""),"",IF(COUNT(AI126:AT126)=0,"",AU126-LOOKUP(2,1/(AI126:AT126&lt;&gt;""),AI126:AT126)))</t>
        </is>
      </c>
      <c r="BI126" s="49" t="inlineStr">
        <is>
          <t>IF(OR(F126="",AV126=""),"",IF(COUNT(AI126:AU126)=0,"",AV126-LOOKUP(2,1/(AI126:AU126&lt;&gt;""),AI126:AU126)))</t>
        </is>
      </c>
      <c r="BJ126" s="51" t="inlineStr">
        <is>
          <t>IF(J126="","All_Provinces",IFERROR(VLOOKUP(J126,'09_Lookups'!$A$4:$B$20,2,FALSE),"All_Provinces"))</t>
        </is>
      </c>
      <c r="BK126" s="51" t="inlineStr">
        <is>
          <t>IF(K126="","All_Districts",IFERROR(VLOOKUP(K126,'09_Lookups'!$E$4:$F$42,2,FALSE),"All_Districts"))</t>
        </is>
      </c>
    </row>
    <row r="127" outlineLevel="1" ht="18" customHeight="1">
      <c r="A127" s="42" t="inlineStr">
        <is>
          <t>IF(F127="","",ROW()-3)</t>
        </is>
      </c>
      <c r="B127" s="43" t="inlineStr">
        <is>
          <t>AF2-DIS-07</t>
        </is>
      </c>
      <c r="C127" s="4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27" s="43" t="inlineStr">
        <is>
          <t>6 of 9</t>
        </is>
      </c>
      <c r="E127" s="44" t="inlineStr">
        <is>
          <t>AF2-DIS-N-085</t>
        </is>
      </c>
      <c r="F127" s="44" t="inlineStr">
        <is>
          <t>Qatar Fateh Drip Irrigation Scheme</t>
        </is>
      </c>
      <c r="G127" s="44" t="inlineStr">
        <is>
          <t>Drip Irrigation</t>
        </is>
      </c>
      <c r="H127" s="44" t="inlineStr">
        <is>
          <t>Drip Irrigation Plot</t>
        </is>
      </c>
      <c r="I127" s="44" t="inlineStr">
        <is>
          <t>Emergency Food Security Project (EFSP) – WBK/AF-2</t>
        </is>
      </c>
      <c r="J127" s="44" t="inlineStr">
        <is>
          <t>Northeast / Kunduz</t>
        </is>
      </c>
      <c r="K127" s="44" t="inlineStr">
        <is>
          <t>Baghlan</t>
        </is>
      </c>
      <c r="L127" s="44" t="inlineStr">
        <is>
          <t>Dahna-e-Ghori</t>
        </is>
      </c>
      <c r="M127" s="44" t="inlineStr">
        <is>
          <t>Qatar Fateh</t>
        </is>
      </c>
      <c r="N127" s="44" t="inlineStr">
        <is>
          <t>World Bank (WBK/AF-2)</t>
        </is>
      </c>
      <c r="O127" s="44" t="inlineStr">
        <is>
          <t>Not awarded</t>
        </is>
      </c>
      <c r="P127" s="44" t="inlineStr">
        <is>
          <t>5. Drip Irrigation systems</t>
        </is>
      </c>
      <c r="Q127" s="44" t="inlineStr">
        <is>
          <t>Haji Nazar Gul</t>
        </is>
      </c>
      <c r="R127" s="44" t="inlineStr"/>
      <c r="S127" s="45" t="n">
        <v>4250</v>
      </c>
      <c r="T127" s="46" t="inlineStr">
        <is>
          <t>IF(AQ127="","",AQ127)</t>
        </is>
      </c>
      <c r="U127" s="47" t="n">
        <v>46412</v>
      </c>
      <c r="V127" s="48" t="n">
        <v>6.2</v>
      </c>
      <c r="W127" s="47" t="n">
        <v>46602</v>
      </c>
      <c r="X127" s="46" t="inlineStr">
        <is>
          <t>IF(W127&lt;&gt;"",W127,IF(OR(T127="",V127=""),"",EDATE(T127,V127)))</t>
        </is>
      </c>
      <c r="Y127" s="47" t="n"/>
      <c r="Z127" s="48" t="n"/>
      <c r="AA127" s="44" t="inlineStr">
        <is>
          <t>Under Review of WRI</t>
        </is>
      </c>
      <c r="AB127" s="44" t="inlineStr">
        <is>
          <t>Construction period five months starting from March 2027. | Farmer: Haji Nazar Gul</t>
        </is>
      </c>
      <c r="AC127" s="42" t="inlineStr">
        <is>
          <t>IF(F127="","",IF(COUNT(AI127:AV127)=0,IF(AA127="","Not started",AA127),SUBSTITUTE(LOOKUP(2,1/(AI127:AV127&lt;&gt;""),$AI$3:$AV$3),"Date: ","")))</t>
        </is>
      </c>
      <c r="AD127" s="49" t="inlineStr">
        <is>
          <t>IF(OR(F127="",COUNT(AI127:AV127)=0),"",TODAY()-LOOKUP(2,1/(AI127:AV127&lt;&gt;""),AI127:AV127))</t>
        </is>
      </c>
      <c r="AE127" s="49" t="inlineStr">
        <is>
          <t>IF(OR(F127="",COUNT(AI127:AV127)&lt;2),"",LOOKUP(2,1/(AI127:AV127&lt;&gt;""),AI127:AV127)-MIN(AI127:AV127))</t>
        </is>
      </c>
      <c r="AF127" s="49" t="inlineStr">
        <is>
          <t>IF(OR(AD127="",AC127="Not started",AC127=""),"",IFERROR(AD127-IF(VLOOKUP(AC127,'06_Status_Pipeline'!$B$3:$E$20,4,FALSE)="",0,VLOOKUP(AC127,'06_Status_Pipeline'!$B$3:$E$20,4,FALSE)),""))</t>
        </is>
      </c>
      <c r="AG127" s="42" t="inlineStr">
        <is>
          <t>IF(F127="","",IF(OR(AA127="Cancelled",AC127="Cancelled"),"Cancelled",IF(OR(AC127="Completed / Handover",Y127&lt;&gt;"",Z127&gt;=100),"Completed — on track",IF(O127="Not awarded",IF(U127="",IF(X127="","No planned date",IF(TODAY()&gt;X127,"Behind — past planned date",IF(X127-TODAY()&lt;=30,"At risk — close to off track","On track"))),IF(TODAY()&gt;U127,"Behind — award date passed",IF(U127-TODAY()&lt;=30,"At risk — close to off track","On track"))),IF(X127="","No planned date",IF(AND(TODAY()&gt;X127,OR(Z127="",Z127&lt;100)),"Behind — past end date",IF(AND(T127&lt;&gt;"",X127&lt;&gt;"",Z127&lt;&gt;"",(Z127&lt;100),((TODAY()-T127)/MAX(X127-T127,1)*100)-Z127&gt;15),"Behind — progress lag",IF(AND(X127-TODAY()&lt;=30,X127-TODAY()&gt;=0,OR(Z127="",Z127&lt;90)),"At risk — close to off track","On track"))))))))</t>
        </is>
      </c>
      <c r="AH127" s="49" t="inlineStr">
        <is>
          <t>IF(OR(F127="",AC127="Completed / Handover",AC127="Cancelled"),"",IF(O127="Not awarded",IF(U127&lt;&gt;"",U127-TODAY(),IF(X127="","",X127-TODAY())),IF(X127="","",X127-TODAY())))</t>
        </is>
      </c>
      <c r="AI127" s="47" t="n"/>
      <c r="AJ127" s="47" t="n"/>
      <c r="AK127" s="47" t="n"/>
      <c r="AL127" s="47" t="n"/>
      <c r="AM127" s="47" t="n"/>
      <c r="AN127" s="47" t="n"/>
      <c r="AO127" s="47" t="n"/>
      <c r="AP127" s="47" t="n"/>
      <c r="AQ127" s="47" t="n"/>
      <c r="AR127" s="47" t="n"/>
      <c r="AS127" s="47" t="n"/>
      <c r="AT127" s="50" t="n"/>
      <c r="AU127" s="50" t="n"/>
      <c r="AV127" s="50" t="n"/>
      <c r="AW127" s="49" t="inlineStr">
        <is>
          <t>IF(OR(F127="",AJ127=""),"",IF(COUNT(AI127:AI127)=0,"",AJ127-LOOKUP(2,1/(AI127:AI127&lt;&gt;""),AI127:AI127)))</t>
        </is>
      </c>
      <c r="AX127" s="49" t="inlineStr">
        <is>
          <t>IF(OR(F127="",AK127=""),"",IF(COUNT(AI127:AJ127)=0,"",AK127-LOOKUP(2,1/(AI127:AJ127&lt;&gt;""),AI127:AJ127)))</t>
        </is>
      </c>
      <c r="AY127" s="49" t="inlineStr">
        <is>
          <t>IF(OR(F127="",AL127=""),"",IF(COUNT(AI127:AK127)=0,"",AL127-LOOKUP(2,1/(AI127:AK127&lt;&gt;""),AI127:AK127)))</t>
        </is>
      </c>
      <c r="AZ127" s="49" t="inlineStr">
        <is>
          <t>IF(OR(F127="",AM127=""),"",IF(COUNT(AI127:AL127)=0,"",AM127-LOOKUP(2,1/(AI127:AL127&lt;&gt;""),AI127:AL127)))</t>
        </is>
      </c>
      <c r="BA127" s="49" t="inlineStr">
        <is>
          <t>IF(OR(F127="",AN127=""),"",IF(COUNT(AI127:AM127)=0,"",AN127-LOOKUP(2,1/(AI127:AM127&lt;&gt;""),AI127:AM127)))</t>
        </is>
      </c>
      <c r="BB127" s="49" t="inlineStr">
        <is>
          <t>IF(OR(F127="",AO127=""),"",IF(COUNT(AI127:AN127)=0,"",AO127-LOOKUP(2,1/(AI127:AN127&lt;&gt;""),AI127:AN127)))</t>
        </is>
      </c>
      <c r="BC127" s="49" t="inlineStr">
        <is>
          <t>IF(OR(F127="",AP127=""),"",IF(COUNT(AI127:AO127)=0,"",AP127-LOOKUP(2,1/(AI127:AO127&lt;&gt;""),AI127:AO127)))</t>
        </is>
      </c>
      <c r="BD127" s="49" t="inlineStr">
        <is>
          <t>IF(OR(F127="",AQ127=""),"",IF(COUNT(AI127:AP127)=0,"",AQ127-LOOKUP(2,1/(AI127:AP127&lt;&gt;""),AI127:AP127)))</t>
        </is>
      </c>
      <c r="BE127" s="49" t="inlineStr">
        <is>
          <t>IF(OR(F127="",AR127=""),"",IF(COUNT(AI127:AQ127)=0,"",AR127-LOOKUP(2,1/(AI127:AQ127&lt;&gt;""),AI127:AQ127)))</t>
        </is>
      </c>
      <c r="BF127" s="49" t="inlineStr">
        <is>
          <t>IF(OR(F127="",AS127=""),"",IF(COUNT(AI127:AR127)=0,"",AS127-LOOKUP(2,1/(AI127:AR127&lt;&gt;""),AI127:AR127)))</t>
        </is>
      </c>
      <c r="BG127" s="49" t="inlineStr">
        <is>
          <t>IF(OR(F127="",AT127=""),"",IF(COUNT(AI127:AS127)=0,"",AT127-LOOKUP(2,1/(AI127:AS127&lt;&gt;""),AI127:AS127)))</t>
        </is>
      </c>
      <c r="BH127" s="49" t="inlineStr">
        <is>
          <t>IF(OR(F127="",AU127=""),"",IF(COUNT(AI127:AT127)=0,"",AU127-LOOKUP(2,1/(AI127:AT127&lt;&gt;""),AI127:AT127)))</t>
        </is>
      </c>
      <c r="BI127" s="49" t="inlineStr">
        <is>
          <t>IF(OR(F127="",AV127=""),"",IF(COUNT(AI127:AU127)=0,"",AV127-LOOKUP(2,1/(AI127:AU127&lt;&gt;""),AI127:AU127)))</t>
        </is>
      </c>
      <c r="BJ127" s="51" t="inlineStr">
        <is>
          <t>IF(J127="","All_Provinces",IFERROR(VLOOKUP(J127,'09_Lookups'!$A$4:$B$20,2,FALSE),"All_Provinces"))</t>
        </is>
      </c>
      <c r="BK127" s="51" t="inlineStr">
        <is>
          <t>IF(K127="","All_Districts",IFERROR(VLOOKUP(K127,'09_Lookups'!$E$4:$F$42,2,FALSE),"All_Districts"))</t>
        </is>
      </c>
    </row>
    <row r="128" outlineLevel="1" ht="18" customHeight="1">
      <c r="A128" s="42" t="inlineStr">
        <is>
          <t>IF(F128="","",ROW()-3)</t>
        </is>
      </c>
      <c r="B128" s="43" t="inlineStr">
        <is>
          <t>AF2-DIS-07</t>
        </is>
      </c>
      <c r="C128" s="4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28" s="43" t="inlineStr">
        <is>
          <t>7 of 9</t>
        </is>
      </c>
      <c r="E128" s="52" t="inlineStr">
        <is>
          <t>AF2-DIS-N-086</t>
        </is>
      </c>
      <c r="F128" s="52" t="inlineStr">
        <is>
          <t>Sara-e-Gharbi Drip Irrigation Scheme</t>
        </is>
      </c>
      <c r="G128" s="52" t="inlineStr">
        <is>
          <t>Drip Irrigation</t>
        </is>
      </c>
      <c r="H128" s="52" t="inlineStr">
        <is>
          <t>Drip Irrigation Plot</t>
        </is>
      </c>
      <c r="I128" s="52" t="inlineStr">
        <is>
          <t>Emergency Food Security Project (EFSP) – WBK/AF-2</t>
        </is>
      </c>
      <c r="J128" s="52" t="inlineStr">
        <is>
          <t>Northeast / Kunduz</t>
        </is>
      </c>
      <c r="K128" s="52" t="inlineStr">
        <is>
          <t>Badakhshan</t>
        </is>
      </c>
      <c r="L128" s="52" t="inlineStr">
        <is>
          <t>Kishem</t>
        </is>
      </c>
      <c r="M128" s="52" t="inlineStr">
        <is>
          <t>Sara-e-Gharbi</t>
        </is>
      </c>
      <c r="N128" s="52" t="inlineStr">
        <is>
          <t>World Bank (WBK/AF-2)</t>
        </is>
      </c>
      <c r="O128" s="52" t="inlineStr">
        <is>
          <t>Not awarded</t>
        </is>
      </c>
      <c r="P128" s="52" t="inlineStr">
        <is>
          <t>5. Drip Irrigation systems</t>
        </is>
      </c>
      <c r="Q128" s="52" t="inlineStr">
        <is>
          <t>Haji Jamal</t>
        </is>
      </c>
      <c r="R128" s="52" t="inlineStr"/>
      <c r="S128" s="53" t="n">
        <v>8500</v>
      </c>
      <c r="T128" s="46" t="inlineStr">
        <is>
          <t>IF(AQ128="","",AQ128)</t>
        </is>
      </c>
      <c r="U128" s="54" t="n">
        <v>46412</v>
      </c>
      <c r="V128" s="55" t="n">
        <v>6.2</v>
      </c>
      <c r="W128" s="54" t="n">
        <v>46602</v>
      </c>
      <c r="X128" s="46" t="inlineStr">
        <is>
          <t>IF(W128&lt;&gt;"",W128,IF(OR(T128="",V128=""),"",EDATE(T128,V128)))</t>
        </is>
      </c>
      <c r="Y128" s="54" t="n"/>
      <c r="Z128" s="55" t="n"/>
      <c r="AA128" s="52" t="inlineStr">
        <is>
          <t>Under Review of WRI</t>
        </is>
      </c>
      <c r="AB128" s="52" t="inlineStr">
        <is>
          <t>Construction period five months starting from March 2027. | Farmer: Haji Jamal</t>
        </is>
      </c>
      <c r="AC128" s="42" t="inlineStr">
        <is>
          <t>IF(F128="","",IF(COUNT(AI128:AV128)=0,IF(AA128="","Not started",AA128),SUBSTITUTE(LOOKUP(2,1/(AI128:AV128&lt;&gt;""),$AI$3:$AV$3),"Date: ","")))</t>
        </is>
      </c>
      <c r="AD128" s="49" t="inlineStr">
        <is>
          <t>IF(OR(F128="",COUNT(AI128:AV128)=0),"",TODAY()-LOOKUP(2,1/(AI128:AV128&lt;&gt;""),AI128:AV128))</t>
        </is>
      </c>
      <c r="AE128" s="49" t="inlineStr">
        <is>
          <t>IF(OR(F128="",COUNT(AI128:AV128)&lt;2),"",LOOKUP(2,1/(AI128:AV128&lt;&gt;""),AI128:AV128)-MIN(AI128:AV128))</t>
        </is>
      </c>
      <c r="AF128" s="49" t="inlineStr">
        <is>
          <t>IF(OR(AD128="",AC128="Not started",AC128=""),"",IFERROR(AD128-IF(VLOOKUP(AC128,'06_Status_Pipeline'!$B$3:$E$20,4,FALSE)="",0,VLOOKUP(AC128,'06_Status_Pipeline'!$B$3:$E$20,4,FALSE)),""))</t>
        </is>
      </c>
      <c r="AG128" s="42" t="inlineStr">
        <is>
          <t>IF(F128="","",IF(OR(AA128="Cancelled",AC128="Cancelled"),"Cancelled",IF(OR(AC128="Completed / Handover",Y128&lt;&gt;"",Z128&gt;=100),"Completed — on track",IF(O128="Not awarded",IF(U128="",IF(X128="","No planned date",IF(TODAY()&gt;X128,"Behind — past planned date",IF(X128-TODAY()&lt;=30,"At risk — close to off track","On track"))),IF(TODAY()&gt;U128,"Behind — award date passed",IF(U128-TODAY()&lt;=30,"At risk — close to off track","On track"))),IF(X128="","No planned date",IF(AND(TODAY()&gt;X128,OR(Z128="",Z128&lt;100)),"Behind — past end date",IF(AND(T128&lt;&gt;"",X128&lt;&gt;"",Z128&lt;&gt;"",(Z128&lt;100),((TODAY()-T128)/MAX(X128-T128,1)*100)-Z128&gt;15),"Behind — progress lag",IF(AND(X128-TODAY()&lt;=30,X128-TODAY()&gt;=0,OR(Z128="",Z128&lt;90)),"At risk — close to off track","On track"))))))))</t>
        </is>
      </c>
      <c r="AH128" s="49" t="inlineStr">
        <is>
          <t>IF(OR(F128="",AC128="Completed / Handover",AC128="Cancelled"),"",IF(O128="Not awarded",IF(U128&lt;&gt;"",U128-TODAY(),IF(X128="","",X128-TODAY())),IF(X128="","",X128-TODAY())))</t>
        </is>
      </c>
      <c r="AI128" s="54" t="n"/>
      <c r="AJ128" s="54" t="n"/>
      <c r="AK128" s="54" t="n"/>
      <c r="AL128" s="54" t="n"/>
      <c r="AM128" s="54" t="n"/>
      <c r="AN128" s="54" t="n"/>
      <c r="AO128" s="54" t="n"/>
      <c r="AP128" s="54" t="n"/>
      <c r="AQ128" s="54" t="n"/>
      <c r="AR128" s="54" t="n"/>
      <c r="AS128" s="54" t="n"/>
      <c r="AT128" s="50" t="n"/>
      <c r="AU128" s="50" t="n"/>
      <c r="AV128" s="50" t="n"/>
      <c r="AW128" s="49" t="inlineStr">
        <is>
          <t>IF(OR(F128="",AJ128=""),"",IF(COUNT(AI128:AI128)=0,"",AJ128-LOOKUP(2,1/(AI128:AI128&lt;&gt;""),AI128:AI128)))</t>
        </is>
      </c>
      <c r="AX128" s="49" t="inlineStr">
        <is>
          <t>IF(OR(F128="",AK128=""),"",IF(COUNT(AI128:AJ128)=0,"",AK128-LOOKUP(2,1/(AI128:AJ128&lt;&gt;""),AI128:AJ128)))</t>
        </is>
      </c>
      <c r="AY128" s="49" t="inlineStr">
        <is>
          <t>IF(OR(F128="",AL128=""),"",IF(COUNT(AI128:AK128)=0,"",AL128-LOOKUP(2,1/(AI128:AK128&lt;&gt;""),AI128:AK128)))</t>
        </is>
      </c>
      <c r="AZ128" s="49" t="inlineStr">
        <is>
          <t>IF(OR(F128="",AM128=""),"",IF(COUNT(AI128:AL128)=0,"",AM128-LOOKUP(2,1/(AI128:AL128&lt;&gt;""),AI128:AL128)))</t>
        </is>
      </c>
      <c r="BA128" s="49" t="inlineStr">
        <is>
          <t>IF(OR(F128="",AN128=""),"",IF(COUNT(AI128:AM128)=0,"",AN128-LOOKUP(2,1/(AI128:AM128&lt;&gt;""),AI128:AM128)))</t>
        </is>
      </c>
      <c r="BB128" s="49" t="inlineStr">
        <is>
          <t>IF(OR(F128="",AO128=""),"",IF(COUNT(AI128:AN128)=0,"",AO128-LOOKUP(2,1/(AI128:AN128&lt;&gt;""),AI128:AN128)))</t>
        </is>
      </c>
      <c r="BC128" s="49" t="inlineStr">
        <is>
          <t>IF(OR(F128="",AP128=""),"",IF(COUNT(AI128:AO128)=0,"",AP128-LOOKUP(2,1/(AI128:AO128&lt;&gt;""),AI128:AO128)))</t>
        </is>
      </c>
      <c r="BD128" s="49" t="inlineStr">
        <is>
          <t>IF(OR(F128="",AQ128=""),"",IF(COUNT(AI128:AP128)=0,"",AQ128-LOOKUP(2,1/(AI128:AP128&lt;&gt;""),AI128:AP128)))</t>
        </is>
      </c>
      <c r="BE128" s="49" t="inlineStr">
        <is>
          <t>IF(OR(F128="",AR128=""),"",IF(COUNT(AI128:AQ128)=0,"",AR128-LOOKUP(2,1/(AI128:AQ128&lt;&gt;""),AI128:AQ128)))</t>
        </is>
      </c>
      <c r="BF128" s="49" t="inlineStr">
        <is>
          <t>IF(OR(F128="",AS128=""),"",IF(COUNT(AI128:AR128)=0,"",AS128-LOOKUP(2,1/(AI128:AR128&lt;&gt;""),AI128:AR128)))</t>
        </is>
      </c>
      <c r="BG128" s="49" t="inlineStr">
        <is>
          <t>IF(OR(F128="",AT128=""),"",IF(COUNT(AI128:AS128)=0,"",AT128-LOOKUP(2,1/(AI128:AS128&lt;&gt;""),AI128:AS128)))</t>
        </is>
      </c>
      <c r="BH128" s="49" t="inlineStr">
        <is>
          <t>IF(OR(F128="",AU128=""),"",IF(COUNT(AI128:AT128)=0,"",AU128-LOOKUP(2,1/(AI128:AT128&lt;&gt;""),AI128:AT128)))</t>
        </is>
      </c>
      <c r="BI128" s="49" t="inlineStr">
        <is>
          <t>IF(OR(F128="",AV128=""),"",IF(COUNT(AI128:AU128)=0,"",AV128-LOOKUP(2,1/(AI128:AU128&lt;&gt;""),AI128:AU128)))</t>
        </is>
      </c>
      <c r="BJ128" s="51" t="inlineStr">
        <is>
          <t>IF(J128="","All_Provinces",IFERROR(VLOOKUP(J128,'09_Lookups'!$A$4:$B$20,2,FALSE),"All_Provinces"))</t>
        </is>
      </c>
      <c r="BK128" s="51" t="inlineStr">
        <is>
          <t>IF(K128="","All_Districts",IFERROR(VLOOKUP(K128,'09_Lookups'!$E$4:$F$42,2,FALSE),"All_Districts"))</t>
        </is>
      </c>
    </row>
    <row r="129" outlineLevel="1" ht="18" customHeight="1">
      <c r="A129" s="42" t="inlineStr">
        <is>
          <t>IF(F129="","",ROW()-3)</t>
        </is>
      </c>
      <c r="B129" s="43" t="inlineStr">
        <is>
          <t>AF2-DIS-07</t>
        </is>
      </c>
      <c r="C129" s="4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29" s="43" t="inlineStr">
        <is>
          <t>8 of 9</t>
        </is>
      </c>
      <c r="E129" s="44" t="inlineStr">
        <is>
          <t>AF2-DIS-N-087</t>
        </is>
      </c>
      <c r="F129" s="44" t="inlineStr">
        <is>
          <t>Shamba Bazar Drip Irrgiatation Scheme</t>
        </is>
      </c>
      <c r="G129" s="44" t="inlineStr">
        <is>
          <t>Drip Irrigation</t>
        </is>
      </c>
      <c r="H129" s="44" t="inlineStr">
        <is>
          <t>Drip Irrigation Plot</t>
        </is>
      </c>
      <c r="I129" s="44" t="inlineStr">
        <is>
          <t>Emergency Food Security Project (EFSP) – WBK/AF-2</t>
        </is>
      </c>
      <c r="J129" s="44" t="inlineStr">
        <is>
          <t>Northeast / Kunduz</t>
        </is>
      </c>
      <c r="K129" s="44" t="inlineStr">
        <is>
          <t>Kunduz</t>
        </is>
      </c>
      <c r="L129" s="44" t="inlineStr">
        <is>
          <t>Dashte Archi</t>
        </is>
      </c>
      <c r="M129" s="44" t="inlineStr">
        <is>
          <t>Shamba Bazar</t>
        </is>
      </c>
      <c r="N129" s="44" t="inlineStr">
        <is>
          <t>World Bank (WBK/AF-2)</t>
        </is>
      </c>
      <c r="O129" s="44" t="inlineStr">
        <is>
          <t>Not awarded</t>
        </is>
      </c>
      <c r="P129" s="44" t="inlineStr">
        <is>
          <t>5. Drip Irrigation systems</t>
        </is>
      </c>
      <c r="Q129" s="44" t="inlineStr">
        <is>
          <t>Shamsurahman</t>
        </is>
      </c>
      <c r="R129" s="44" t="inlineStr"/>
      <c r="S129" s="45" t="n">
        <v>4250</v>
      </c>
      <c r="T129" s="46" t="inlineStr">
        <is>
          <t>IF(AQ129="","",AQ129)</t>
        </is>
      </c>
      <c r="U129" s="47" t="n">
        <v>46412</v>
      </c>
      <c r="V129" s="48" t="n">
        <v>6.2</v>
      </c>
      <c r="W129" s="47" t="n">
        <v>46602</v>
      </c>
      <c r="X129" s="46" t="inlineStr">
        <is>
          <t>IF(W129&lt;&gt;"",W129,IF(OR(T129="",V129=""),"",EDATE(T129,V129)))</t>
        </is>
      </c>
      <c r="Y129" s="47" t="n"/>
      <c r="Z129" s="48" t="n"/>
      <c r="AA129" s="44" t="inlineStr">
        <is>
          <t>Under Review of WRI</t>
        </is>
      </c>
      <c r="AB129" s="44" t="inlineStr">
        <is>
          <t>Construction period five months starting from March 2027. | Farmer: Shamsurahman</t>
        </is>
      </c>
      <c r="AC129" s="42" t="inlineStr">
        <is>
          <t>IF(F129="","",IF(COUNT(AI129:AV129)=0,IF(AA129="","Not started",AA129),SUBSTITUTE(LOOKUP(2,1/(AI129:AV129&lt;&gt;""),$AI$3:$AV$3),"Date: ","")))</t>
        </is>
      </c>
      <c r="AD129" s="49" t="inlineStr">
        <is>
          <t>IF(OR(F129="",COUNT(AI129:AV129)=0),"",TODAY()-LOOKUP(2,1/(AI129:AV129&lt;&gt;""),AI129:AV129))</t>
        </is>
      </c>
      <c r="AE129" s="49" t="inlineStr">
        <is>
          <t>IF(OR(F129="",COUNT(AI129:AV129)&lt;2),"",LOOKUP(2,1/(AI129:AV129&lt;&gt;""),AI129:AV129)-MIN(AI129:AV129))</t>
        </is>
      </c>
      <c r="AF129" s="49" t="inlineStr">
        <is>
          <t>IF(OR(AD129="",AC129="Not started",AC129=""),"",IFERROR(AD129-IF(VLOOKUP(AC129,'06_Status_Pipeline'!$B$3:$E$20,4,FALSE)="",0,VLOOKUP(AC129,'06_Status_Pipeline'!$B$3:$E$20,4,FALSE)),""))</t>
        </is>
      </c>
      <c r="AG129" s="42" t="inlineStr">
        <is>
          <t>IF(F129="","",IF(OR(AA129="Cancelled",AC129="Cancelled"),"Cancelled",IF(OR(AC129="Completed / Handover",Y129&lt;&gt;"",Z129&gt;=100),"Completed — on track",IF(O129="Not awarded",IF(U129="",IF(X129="","No planned date",IF(TODAY()&gt;X129,"Behind — past planned date",IF(X129-TODAY()&lt;=30,"At risk — close to off track","On track"))),IF(TODAY()&gt;U129,"Behind — award date passed",IF(U129-TODAY()&lt;=30,"At risk — close to off track","On track"))),IF(X129="","No planned date",IF(AND(TODAY()&gt;X129,OR(Z129="",Z129&lt;100)),"Behind — past end date",IF(AND(T129&lt;&gt;"",X129&lt;&gt;"",Z129&lt;&gt;"",(Z129&lt;100),((TODAY()-T129)/MAX(X129-T129,1)*100)-Z129&gt;15),"Behind — progress lag",IF(AND(X129-TODAY()&lt;=30,X129-TODAY()&gt;=0,OR(Z129="",Z129&lt;90)),"At risk — close to off track","On track"))))))))</t>
        </is>
      </c>
      <c r="AH129" s="49" t="inlineStr">
        <is>
          <t>IF(OR(F129="",AC129="Completed / Handover",AC129="Cancelled"),"",IF(O129="Not awarded",IF(U129&lt;&gt;"",U129-TODAY(),IF(X129="","",X129-TODAY())),IF(X129="","",X129-TODAY())))</t>
        </is>
      </c>
      <c r="AI129" s="47" t="n"/>
      <c r="AJ129" s="47" t="n"/>
      <c r="AK129" s="47" t="n"/>
      <c r="AL129" s="47" t="n"/>
      <c r="AM129" s="47" t="n"/>
      <c r="AN129" s="47" t="n"/>
      <c r="AO129" s="47" t="n"/>
      <c r="AP129" s="47" t="n"/>
      <c r="AQ129" s="47" t="n"/>
      <c r="AR129" s="47" t="n"/>
      <c r="AS129" s="47" t="n"/>
      <c r="AT129" s="50" t="n"/>
      <c r="AU129" s="50" t="n"/>
      <c r="AV129" s="50" t="n"/>
      <c r="AW129" s="49" t="inlineStr">
        <is>
          <t>IF(OR(F129="",AJ129=""),"",IF(COUNT(AI129:AI129)=0,"",AJ129-LOOKUP(2,1/(AI129:AI129&lt;&gt;""),AI129:AI129)))</t>
        </is>
      </c>
      <c r="AX129" s="49" t="inlineStr">
        <is>
          <t>IF(OR(F129="",AK129=""),"",IF(COUNT(AI129:AJ129)=0,"",AK129-LOOKUP(2,1/(AI129:AJ129&lt;&gt;""),AI129:AJ129)))</t>
        </is>
      </c>
      <c r="AY129" s="49" t="inlineStr">
        <is>
          <t>IF(OR(F129="",AL129=""),"",IF(COUNT(AI129:AK129)=0,"",AL129-LOOKUP(2,1/(AI129:AK129&lt;&gt;""),AI129:AK129)))</t>
        </is>
      </c>
      <c r="AZ129" s="49" t="inlineStr">
        <is>
          <t>IF(OR(F129="",AM129=""),"",IF(COUNT(AI129:AL129)=0,"",AM129-LOOKUP(2,1/(AI129:AL129&lt;&gt;""),AI129:AL129)))</t>
        </is>
      </c>
      <c r="BA129" s="49" t="inlineStr">
        <is>
          <t>IF(OR(F129="",AN129=""),"",IF(COUNT(AI129:AM129)=0,"",AN129-LOOKUP(2,1/(AI129:AM129&lt;&gt;""),AI129:AM129)))</t>
        </is>
      </c>
      <c r="BB129" s="49" t="inlineStr">
        <is>
          <t>IF(OR(F129="",AO129=""),"",IF(COUNT(AI129:AN129)=0,"",AO129-LOOKUP(2,1/(AI129:AN129&lt;&gt;""),AI129:AN129)))</t>
        </is>
      </c>
      <c r="BC129" s="49" t="inlineStr">
        <is>
          <t>IF(OR(F129="",AP129=""),"",IF(COUNT(AI129:AO129)=0,"",AP129-LOOKUP(2,1/(AI129:AO129&lt;&gt;""),AI129:AO129)))</t>
        </is>
      </c>
      <c r="BD129" s="49" t="inlineStr">
        <is>
          <t>IF(OR(F129="",AQ129=""),"",IF(COUNT(AI129:AP129)=0,"",AQ129-LOOKUP(2,1/(AI129:AP129&lt;&gt;""),AI129:AP129)))</t>
        </is>
      </c>
      <c r="BE129" s="49" t="inlineStr">
        <is>
          <t>IF(OR(F129="",AR129=""),"",IF(COUNT(AI129:AQ129)=0,"",AR129-LOOKUP(2,1/(AI129:AQ129&lt;&gt;""),AI129:AQ129)))</t>
        </is>
      </c>
      <c r="BF129" s="49" t="inlineStr">
        <is>
          <t>IF(OR(F129="",AS129=""),"",IF(COUNT(AI129:AR129)=0,"",AS129-LOOKUP(2,1/(AI129:AR129&lt;&gt;""),AI129:AR129)))</t>
        </is>
      </c>
      <c r="BG129" s="49" t="inlineStr">
        <is>
          <t>IF(OR(F129="",AT129=""),"",IF(COUNT(AI129:AS129)=0,"",AT129-LOOKUP(2,1/(AI129:AS129&lt;&gt;""),AI129:AS129)))</t>
        </is>
      </c>
      <c r="BH129" s="49" t="inlineStr">
        <is>
          <t>IF(OR(F129="",AU129=""),"",IF(COUNT(AI129:AT129)=0,"",AU129-LOOKUP(2,1/(AI129:AT129&lt;&gt;""),AI129:AT129)))</t>
        </is>
      </c>
      <c r="BI129" s="49" t="inlineStr">
        <is>
          <t>IF(OR(F129="",AV129=""),"",IF(COUNT(AI129:AU129)=0,"",AV129-LOOKUP(2,1/(AI129:AU129&lt;&gt;""),AI129:AU129)))</t>
        </is>
      </c>
      <c r="BJ129" s="51" t="inlineStr">
        <is>
          <t>IF(J129="","All_Provinces",IFERROR(VLOOKUP(J129,'09_Lookups'!$A$4:$B$20,2,FALSE),"All_Provinces"))</t>
        </is>
      </c>
      <c r="BK129" s="51" t="inlineStr">
        <is>
          <t>IF(K129="","All_Districts",IFERROR(VLOOKUP(K129,'09_Lookups'!$E$4:$F$42,2,FALSE),"All_Districts"))</t>
        </is>
      </c>
    </row>
    <row r="130" outlineLevel="1" ht="18" customHeight="1">
      <c r="A130" s="42" t="inlineStr">
        <is>
          <t>IF(F130="","",ROW()-3)</t>
        </is>
      </c>
      <c r="B130" s="43" t="inlineStr">
        <is>
          <t>AF2-DIS-07</t>
        </is>
      </c>
      <c r="C130" s="43"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D130" s="43" t="inlineStr">
        <is>
          <t>9 of 9</t>
        </is>
      </c>
      <c r="E130" s="52" t="inlineStr">
        <is>
          <t>AF2-DIS-N-088</t>
        </is>
      </c>
      <c r="F130" s="52" t="inlineStr">
        <is>
          <t>Tilajat Drip Irrigation Scheme</t>
        </is>
      </c>
      <c r="G130" s="52" t="inlineStr">
        <is>
          <t>Drip Irrigation</t>
        </is>
      </c>
      <c r="H130" s="52" t="inlineStr">
        <is>
          <t>Drip Irrigation Plot</t>
        </is>
      </c>
      <c r="I130" s="52" t="inlineStr">
        <is>
          <t>Emergency Food Security Project (EFSP) – WBK/AF-2</t>
        </is>
      </c>
      <c r="J130" s="52" t="inlineStr">
        <is>
          <t>Northeast / Kunduz</t>
        </is>
      </c>
      <c r="K130" s="52" t="inlineStr">
        <is>
          <t>Takhar</t>
        </is>
      </c>
      <c r="L130" s="52" t="inlineStr">
        <is>
          <t>Rustaq</t>
        </is>
      </c>
      <c r="M130" s="52" t="inlineStr">
        <is>
          <t>Tilajat Baloch</t>
        </is>
      </c>
      <c r="N130" s="52" t="inlineStr">
        <is>
          <t>World Bank (WBK/AF-2)</t>
        </is>
      </c>
      <c r="O130" s="52" t="inlineStr">
        <is>
          <t>Not awarded</t>
        </is>
      </c>
      <c r="P130" s="52" t="inlineStr">
        <is>
          <t>5. Drip Irrigation systems</t>
        </is>
      </c>
      <c r="Q130" s="52" t="inlineStr">
        <is>
          <t>Fida Mohammad</t>
        </is>
      </c>
      <c r="R130" s="52" t="inlineStr"/>
      <c r="S130" s="53" t="n">
        <v>8500</v>
      </c>
      <c r="T130" s="46" t="inlineStr">
        <is>
          <t>IF(AQ130="","",AQ130)</t>
        </is>
      </c>
      <c r="U130" s="54" t="n">
        <v>46412</v>
      </c>
      <c r="V130" s="55" t="n">
        <v>6.2</v>
      </c>
      <c r="W130" s="54" t="n">
        <v>46602</v>
      </c>
      <c r="X130" s="46" t="inlineStr">
        <is>
          <t>IF(W130&lt;&gt;"",W130,IF(OR(T130="",V130=""),"",EDATE(T130,V130)))</t>
        </is>
      </c>
      <c r="Y130" s="54" t="n"/>
      <c r="Z130" s="55" t="n"/>
      <c r="AA130" s="52" t="inlineStr">
        <is>
          <t>Under Review of WRI</t>
        </is>
      </c>
      <c r="AB130" s="52" t="inlineStr">
        <is>
          <t>Construction period five months starting from March 2027. | Farmer: Fida Mohammad</t>
        </is>
      </c>
      <c r="AC130" s="42" t="inlineStr">
        <is>
          <t>IF(F130="","",IF(COUNT(AI130:AV130)=0,IF(AA130="","Not started",AA130),SUBSTITUTE(LOOKUP(2,1/(AI130:AV130&lt;&gt;""),$AI$3:$AV$3),"Date: ","")))</t>
        </is>
      </c>
      <c r="AD130" s="49" t="inlineStr">
        <is>
          <t>IF(OR(F130="",COUNT(AI130:AV130)=0),"",TODAY()-LOOKUP(2,1/(AI130:AV130&lt;&gt;""),AI130:AV130))</t>
        </is>
      </c>
      <c r="AE130" s="49" t="inlineStr">
        <is>
          <t>IF(OR(F130="",COUNT(AI130:AV130)&lt;2),"",LOOKUP(2,1/(AI130:AV130&lt;&gt;""),AI130:AV130)-MIN(AI130:AV130))</t>
        </is>
      </c>
      <c r="AF130" s="49" t="inlineStr">
        <is>
          <t>IF(OR(AD130="",AC130="Not started",AC130=""),"",IFERROR(AD130-IF(VLOOKUP(AC130,'06_Status_Pipeline'!$B$3:$E$20,4,FALSE)="",0,VLOOKUP(AC130,'06_Status_Pipeline'!$B$3:$E$20,4,FALSE)),""))</t>
        </is>
      </c>
      <c r="AG130" s="42" t="inlineStr">
        <is>
          <t>IF(F130="","",IF(OR(AA130="Cancelled",AC130="Cancelled"),"Cancelled",IF(OR(AC130="Completed / Handover",Y130&lt;&gt;"",Z130&gt;=100),"Completed — on track",IF(O130="Not awarded",IF(U130="",IF(X130="","No planned date",IF(TODAY()&gt;X130,"Behind — past planned date",IF(X130-TODAY()&lt;=30,"At risk — close to off track","On track"))),IF(TODAY()&gt;U130,"Behind — award date passed",IF(U130-TODAY()&lt;=30,"At risk — close to off track","On track"))),IF(X130="","No planned date",IF(AND(TODAY()&gt;X130,OR(Z130="",Z130&lt;100)),"Behind — past end date",IF(AND(T130&lt;&gt;"",X130&lt;&gt;"",Z130&lt;&gt;"",(Z130&lt;100),((TODAY()-T130)/MAX(X130-T130,1)*100)-Z130&gt;15),"Behind — progress lag",IF(AND(X130-TODAY()&lt;=30,X130-TODAY()&gt;=0,OR(Z130="",Z130&lt;90)),"At risk — close to off track","On track"))))))))</t>
        </is>
      </c>
      <c r="AH130" s="49" t="inlineStr">
        <is>
          <t>IF(OR(F130="",AC130="Completed / Handover",AC130="Cancelled"),"",IF(O130="Not awarded",IF(U130&lt;&gt;"",U130-TODAY(),IF(X130="","",X130-TODAY())),IF(X130="","",X130-TODAY())))</t>
        </is>
      </c>
      <c r="AI130" s="54" t="n"/>
      <c r="AJ130" s="54" t="n"/>
      <c r="AK130" s="54" t="n"/>
      <c r="AL130" s="54" t="n"/>
      <c r="AM130" s="54" t="n"/>
      <c r="AN130" s="54" t="n"/>
      <c r="AO130" s="54" t="n"/>
      <c r="AP130" s="54" t="n"/>
      <c r="AQ130" s="54" t="n"/>
      <c r="AR130" s="54" t="n"/>
      <c r="AS130" s="54" t="n"/>
      <c r="AT130" s="50" t="n"/>
      <c r="AU130" s="50" t="n"/>
      <c r="AV130" s="50" t="n"/>
      <c r="AW130" s="49" t="inlineStr">
        <is>
          <t>IF(OR(F130="",AJ130=""),"",IF(COUNT(AI130:AI130)=0,"",AJ130-LOOKUP(2,1/(AI130:AI130&lt;&gt;""),AI130:AI130)))</t>
        </is>
      </c>
      <c r="AX130" s="49" t="inlineStr">
        <is>
          <t>IF(OR(F130="",AK130=""),"",IF(COUNT(AI130:AJ130)=0,"",AK130-LOOKUP(2,1/(AI130:AJ130&lt;&gt;""),AI130:AJ130)))</t>
        </is>
      </c>
      <c r="AY130" s="49" t="inlineStr">
        <is>
          <t>IF(OR(F130="",AL130=""),"",IF(COUNT(AI130:AK130)=0,"",AL130-LOOKUP(2,1/(AI130:AK130&lt;&gt;""),AI130:AK130)))</t>
        </is>
      </c>
      <c r="AZ130" s="49" t="inlineStr">
        <is>
          <t>IF(OR(F130="",AM130=""),"",IF(COUNT(AI130:AL130)=0,"",AM130-LOOKUP(2,1/(AI130:AL130&lt;&gt;""),AI130:AL130)))</t>
        </is>
      </c>
      <c r="BA130" s="49" t="inlineStr">
        <is>
          <t>IF(OR(F130="",AN130=""),"",IF(COUNT(AI130:AM130)=0,"",AN130-LOOKUP(2,1/(AI130:AM130&lt;&gt;""),AI130:AM130)))</t>
        </is>
      </c>
      <c r="BB130" s="49" t="inlineStr">
        <is>
          <t>IF(OR(F130="",AO130=""),"",IF(COUNT(AI130:AN130)=0,"",AO130-LOOKUP(2,1/(AI130:AN130&lt;&gt;""),AI130:AN130)))</t>
        </is>
      </c>
      <c r="BC130" s="49" t="inlineStr">
        <is>
          <t>IF(OR(F130="",AP130=""),"",IF(COUNT(AI130:AO130)=0,"",AP130-LOOKUP(2,1/(AI130:AO130&lt;&gt;""),AI130:AO130)))</t>
        </is>
      </c>
      <c r="BD130" s="49" t="inlineStr">
        <is>
          <t>IF(OR(F130="",AQ130=""),"",IF(COUNT(AI130:AP130)=0,"",AQ130-LOOKUP(2,1/(AI130:AP130&lt;&gt;""),AI130:AP130)))</t>
        </is>
      </c>
      <c r="BE130" s="49" t="inlineStr">
        <is>
          <t>IF(OR(F130="",AR130=""),"",IF(COUNT(AI130:AQ130)=0,"",AR130-LOOKUP(2,1/(AI130:AQ130&lt;&gt;""),AI130:AQ130)))</t>
        </is>
      </c>
      <c r="BF130" s="49" t="inlineStr">
        <is>
          <t>IF(OR(F130="",AS130=""),"",IF(COUNT(AI130:AR130)=0,"",AS130-LOOKUP(2,1/(AI130:AR130&lt;&gt;""),AI130:AR130)))</t>
        </is>
      </c>
      <c r="BG130" s="49" t="inlineStr">
        <is>
          <t>IF(OR(F130="",AT130=""),"",IF(COUNT(AI130:AS130)=0,"",AT130-LOOKUP(2,1/(AI130:AS130&lt;&gt;""),AI130:AS130)))</t>
        </is>
      </c>
      <c r="BH130" s="49" t="inlineStr">
        <is>
          <t>IF(OR(F130="",AU130=""),"",IF(COUNT(AI130:AT130)=0,"",AU130-LOOKUP(2,1/(AI130:AT130&lt;&gt;""),AI130:AT130)))</t>
        </is>
      </c>
      <c r="BI130" s="49" t="inlineStr">
        <is>
          <t>IF(OR(F130="",AV130=""),"",IF(COUNT(AI130:AU130)=0,"",AV130-LOOKUP(2,1/(AI130:AU130&lt;&gt;""),AI130:AU130)))</t>
        </is>
      </c>
      <c r="BJ130" s="51" t="inlineStr">
        <is>
          <t>IF(J130="","All_Provinces",IFERROR(VLOOKUP(J130,'09_Lookups'!$A$4:$B$20,2,FALSE),"All_Provinces"))</t>
        </is>
      </c>
      <c r="BK130" s="51" t="inlineStr">
        <is>
          <t>IF(K130="","All_Districts",IFERROR(VLOOKUP(K130,'09_Lookups'!$E$4:$F$42,2,FALSE),"All_Districts"))</t>
        </is>
      </c>
    </row>
    <row r="131" ht="18" customHeight="1">
      <c r="A131" s="32" t="inlineStr">
        <is>
          <t>IF(F131="","",ROW()-3)</t>
        </is>
      </c>
      <c r="B131" s="56" t="inlineStr">
        <is>
          <t>AF2-DIS-08</t>
        </is>
      </c>
      <c r="C131" s="56"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1" s="56" t="inlineStr">
        <is>
          <t>1 of 12</t>
        </is>
      </c>
      <c r="E131" s="57" t="inlineStr">
        <is>
          <t>AF2-DIS-N-089</t>
        </is>
      </c>
      <c r="F131" s="57" t="inlineStr">
        <is>
          <t>Aybak drip irrigation</t>
        </is>
      </c>
      <c r="G131" s="57" t="inlineStr">
        <is>
          <t>Drip Irrigation</t>
        </is>
      </c>
      <c r="H131" s="57" t="inlineStr">
        <is>
          <t>Drip Irrigation Plot</t>
        </is>
      </c>
      <c r="I131" s="57" t="inlineStr">
        <is>
          <t>Emergency Food Security Project (EFSP) – WBK/AF-2</t>
        </is>
      </c>
      <c r="J131" s="57" t="inlineStr">
        <is>
          <t>North / Mazar</t>
        </is>
      </c>
      <c r="K131" s="57" t="inlineStr">
        <is>
          <t>Samangan</t>
        </is>
      </c>
      <c r="L131" s="57" t="inlineStr">
        <is>
          <t>Aybak</t>
        </is>
      </c>
      <c r="M131" s="57" t="inlineStr">
        <is>
          <t>Joy Zindan</t>
        </is>
      </c>
      <c r="N131" s="57" t="inlineStr">
        <is>
          <t>World Bank (WBK/AF-2)</t>
        </is>
      </c>
      <c r="O131" s="57" t="inlineStr">
        <is>
          <t>Not awarded</t>
        </is>
      </c>
      <c r="P131" s="57" t="inlineStr">
        <is>
          <t>5. Drip Irrigation systems</t>
        </is>
      </c>
      <c r="Q131" s="57" t="inlineStr"/>
      <c r="R131" s="57" t="inlineStr"/>
      <c r="S131" s="58" t="n">
        <v>4250</v>
      </c>
      <c r="T131" s="36" t="inlineStr">
        <is>
          <t>IF(AQ131="","",AQ131)</t>
        </is>
      </c>
      <c r="U131" s="59" t="n">
        <v>46042</v>
      </c>
      <c r="V131" s="60" t="n">
        <v>6.2</v>
      </c>
      <c r="W131" s="59" t="n">
        <v>46232</v>
      </c>
      <c r="X131" s="36" t="inlineStr">
        <is>
          <t>IF(W131&lt;&gt;"",W131,IF(OR(T131="",V131=""),"",EDATE(T131,V131)))</t>
        </is>
      </c>
      <c r="Y131" s="59" t="n"/>
      <c r="Z131" s="60" t="n"/>
      <c r="AA131" s="57" t="inlineStr">
        <is>
          <t>Under Review of WRI</t>
        </is>
      </c>
      <c r="AB131" s="57" t="inlineStr">
        <is>
          <t>Construction period five months starting from March 2027.</t>
        </is>
      </c>
      <c r="AC131" s="32" t="inlineStr">
        <is>
          <t>IF(F131="","",IF(COUNT(AI131:AV131)=0,IF(AA131="","Not started",AA131),SUBSTITUTE(LOOKUP(2,1/(AI131:AV131&lt;&gt;""),$AI$3:$AV$3),"Date: ","")))</t>
        </is>
      </c>
      <c r="AD131" s="39" t="inlineStr">
        <is>
          <t>IF(OR(F131="",COUNT(AI131:AV131)=0),"",TODAY()-LOOKUP(2,1/(AI131:AV131&lt;&gt;""),AI131:AV131))</t>
        </is>
      </c>
      <c r="AE131" s="39" t="inlineStr">
        <is>
          <t>IF(OR(F131="",COUNT(AI131:AV131)&lt;2),"",LOOKUP(2,1/(AI131:AV131&lt;&gt;""),AI131:AV131)-MIN(AI131:AV131))</t>
        </is>
      </c>
      <c r="AF131" s="39" t="inlineStr">
        <is>
          <t>IF(OR(AD131="",AC131="Not started",AC131=""),"",IFERROR(AD131-IF(VLOOKUP(AC131,'06_Status_Pipeline'!$B$3:$E$20,4,FALSE)="",0,VLOOKUP(AC131,'06_Status_Pipeline'!$B$3:$E$20,4,FALSE)),""))</t>
        </is>
      </c>
      <c r="AG131" s="32" t="inlineStr">
        <is>
          <t>IF(F131="","",IF(OR(AA131="Cancelled",AC131="Cancelled"),"Cancelled",IF(OR(AC131="Completed / Handover",Y131&lt;&gt;"",Z131&gt;=100),"Completed — on track",IF(O131="Not awarded",IF(U131="",IF(X131="","No planned date",IF(TODAY()&gt;X131,"Behind — past planned date",IF(X131-TODAY()&lt;=30,"At risk — close to off track","On track"))),IF(TODAY()&gt;U131,"Behind — award date passed",IF(U131-TODAY()&lt;=30,"At risk — close to off track","On track"))),IF(X131="","No planned date",IF(AND(TODAY()&gt;X131,OR(Z131="",Z131&lt;100)),"Behind — past end date",IF(AND(T131&lt;&gt;"",X131&lt;&gt;"",Z131&lt;&gt;"",(Z131&lt;100),((TODAY()-T131)/MAX(X131-T131,1)*100)-Z131&gt;15),"Behind — progress lag",IF(AND(X131-TODAY()&lt;=30,X131-TODAY()&gt;=0,OR(Z131="",Z131&lt;90)),"At risk — close to off track","On track"))))))))</t>
        </is>
      </c>
      <c r="AH131" s="39" t="inlineStr">
        <is>
          <t>IF(OR(F131="",AC131="Completed / Handover",AC131="Cancelled"),"",IF(O131="Not awarded",IF(U131&lt;&gt;"",U131-TODAY(),IF(X131="","",X131-TODAY())),IF(X131="","",X131-TODAY())))</t>
        </is>
      </c>
      <c r="AI131" s="59" t="n"/>
      <c r="AJ131" s="59" t="n"/>
      <c r="AK131" s="59" t="n"/>
      <c r="AL131" s="59" t="n"/>
      <c r="AM131" s="59" t="n"/>
      <c r="AN131" s="59" t="n"/>
      <c r="AO131" s="59" t="n"/>
      <c r="AP131" s="59" t="n"/>
      <c r="AQ131" s="59" t="n"/>
      <c r="AR131" s="59" t="n"/>
      <c r="AS131" s="59" t="n"/>
      <c r="AT131" s="40" t="n"/>
      <c r="AU131" s="40" t="n"/>
      <c r="AV131" s="40" t="n"/>
      <c r="AW131" s="39" t="inlineStr">
        <is>
          <t>IF(OR(F131="",AJ131=""),"",IF(COUNT(AI131:AI131)=0,"",AJ131-LOOKUP(2,1/(AI131:AI131&lt;&gt;""),AI131:AI131)))</t>
        </is>
      </c>
      <c r="AX131" s="39" t="inlineStr">
        <is>
          <t>IF(OR(F131="",AK131=""),"",IF(COUNT(AI131:AJ131)=0,"",AK131-LOOKUP(2,1/(AI131:AJ131&lt;&gt;""),AI131:AJ131)))</t>
        </is>
      </c>
      <c r="AY131" s="39" t="inlineStr">
        <is>
          <t>IF(OR(F131="",AL131=""),"",IF(COUNT(AI131:AK131)=0,"",AL131-LOOKUP(2,1/(AI131:AK131&lt;&gt;""),AI131:AK131)))</t>
        </is>
      </c>
      <c r="AZ131" s="39" t="inlineStr">
        <is>
          <t>IF(OR(F131="",AM131=""),"",IF(COUNT(AI131:AL131)=0,"",AM131-LOOKUP(2,1/(AI131:AL131&lt;&gt;""),AI131:AL131)))</t>
        </is>
      </c>
      <c r="BA131" s="39" t="inlineStr">
        <is>
          <t>IF(OR(F131="",AN131=""),"",IF(COUNT(AI131:AM131)=0,"",AN131-LOOKUP(2,1/(AI131:AM131&lt;&gt;""),AI131:AM131)))</t>
        </is>
      </c>
      <c r="BB131" s="39" t="inlineStr">
        <is>
          <t>IF(OR(F131="",AO131=""),"",IF(COUNT(AI131:AN131)=0,"",AO131-LOOKUP(2,1/(AI131:AN131&lt;&gt;""),AI131:AN131)))</t>
        </is>
      </c>
      <c r="BC131" s="39" t="inlineStr">
        <is>
          <t>IF(OR(F131="",AP131=""),"",IF(COUNT(AI131:AO131)=0,"",AP131-LOOKUP(2,1/(AI131:AO131&lt;&gt;""),AI131:AO131)))</t>
        </is>
      </c>
      <c r="BD131" s="39" t="inlineStr">
        <is>
          <t>IF(OR(F131="",AQ131=""),"",IF(COUNT(AI131:AP131)=0,"",AQ131-LOOKUP(2,1/(AI131:AP131&lt;&gt;""),AI131:AP131)))</t>
        </is>
      </c>
      <c r="BE131" s="39" t="inlineStr">
        <is>
          <t>IF(OR(F131="",AR131=""),"",IF(COUNT(AI131:AQ131)=0,"",AR131-LOOKUP(2,1/(AI131:AQ131&lt;&gt;""),AI131:AQ131)))</t>
        </is>
      </c>
      <c r="BF131" s="39" t="inlineStr">
        <is>
          <t>IF(OR(F131="",AS131=""),"",IF(COUNT(AI131:AR131)=0,"",AS131-LOOKUP(2,1/(AI131:AR131&lt;&gt;""),AI131:AR131)))</t>
        </is>
      </c>
      <c r="BG131" s="39" t="inlineStr">
        <is>
          <t>IF(OR(F131="",AT131=""),"",IF(COUNT(AI131:AS131)=0,"",AT131-LOOKUP(2,1/(AI131:AS131&lt;&gt;""),AI131:AS131)))</t>
        </is>
      </c>
      <c r="BH131" s="39" t="inlineStr">
        <is>
          <t>IF(OR(F131="",AU131=""),"",IF(COUNT(AI131:AT131)=0,"",AU131-LOOKUP(2,1/(AI131:AT131&lt;&gt;""),AI131:AT131)))</t>
        </is>
      </c>
      <c r="BI131" s="39" t="inlineStr">
        <is>
          <t>IF(OR(F131="",AV131=""),"",IF(COUNT(AI131:AU131)=0,"",AV131-LOOKUP(2,1/(AI131:AU131&lt;&gt;""),AI131:AU131)))</t>
        </is>
      </c>
      <c r="BJ131" s="41" t="inlineStr">
        <is>
          <t>IF(J131="","All_Provinces",IFERROR(VLOOKUP(J131,'09_Lookups'!$A$4:$B$20,2,FALSE),"All_Provinces"))</t>
        </is>
      </c>
      <c r="BK131" s="41" t="inlineStr">
        <is>
          <t>IF(K131="","All_Districts",IFERROR(VLOOKUP(K131,'09_Lookups'!$E$4:$F$42,2,FALSE),"All_Districts"))</t>
        </is>
      </c>
    </row>
    <row r="132" outlineLevel="1" ht="18" customHeight="1">
      <c r="A132" s="42" t="inlineStr">
        <is>
          <t>IF(F132="","",ROW()-3)</t>
        </is>
      </c>
      <c r="B132" s="61" t="inlineStr">
        <is>
          <t>AF2-DIS-08</t>
        </is>
      </c>
      <c r="C132"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2" s="61" t="inlineStr">
        <is>
          <t>2 of 12</t>
        </is>
      </c>
      <c r="E132" s="52" t="inlineStr">
        <is>
          <t>AF2-DIS-N-090</t>
        </is>
      </c>
      <c r="F132" s="52" t="inlineStr">
        <is>
          <t>Balkh Agriculture and Livestock drip irrigation 3</t>
        </is>
      </c>
      <c r="G132" s="52" t="inlineStr">
        <is>
          <t>Drip Irrigation</t>
        </is>
      </c>
      <c r="H132" s="52" t="inlineStr">
        <is>
          <t>Drip Irrigation Plot</t>
        </is>
      </c>
      <c r="I132" s="52" t="inlineStr">
        <is>
          <t>Emergency Food Security Project (EFSP) – WBK/AF-2</t>
        </is>
      </c>
      <c r="J132" s="52" t="inlineStr">
        <is>
          <t>North / Mazar</t>
        </is>
      </c>
      <c r="K132" s="52" t="inlineStr">
        <is>
          <t>Balkh</t>
        </is>
      </c>
      <c r="L132" s="52" t="inlineStr">
        <is>
          <t>Mazar-e-Sharif</t>
        </is>
      </c>
      <c r="M132" s="52" t="inlineStr">
        <is>
          <t>Center</t>
        </is>
      </c>
      <c r="N132" s="52" t="inlineStr">
        <is>
          <t>World Bank (WBK/AF-2)</t>
        </is>
      </c>
      <c r="O132" s="52" t="inlineStr">
        <is>
          <t>Not awarded</t>
        </is>
      </c>
      <c r="P132" s="52" t="inlineStr">
        <is>
          <t>5. Drip Irrigation systems</t>
        </is>
      </c>
      <c r="Q132" s="52" t="inlineStr"/>
      <c r="R132" s="52" t="inlineStr"/>
      <c r="S132" s="53" t="n">
        <v>8500</v>
      </c>
      <c r="T132" s="46" t="inlineStr">
        <is>
          <t>IF(AQ132="","",AQ132)</t>
        </is>
      </c>
      <c r="U132" s="54" t="n">
        <v>46042</v>
      </c>
      <c r="V132" s="55" t="n">
        <v>6.2</v>
      </c>
      <c r="W132" s="54" t="n">
        <v>46232</v>
      </c>
      <c r="X132" s="46" t="inlineStr">
        <is>
          <t>IF(W132&lt;&gt;"",W132,IF(OR(T132="",V132=""),"",EDATE(T132,V132)))</t>
        </is>
      </c>
      <c r="Y132" s="54" t="n"/>
      <c r="Z132" s="55" t="n"/>
      <c r="AA132" s="52" t="inlineStr">
        <is>
          <t>Under Review of WRI</t>
        </is>
      </c>
      <c r="AB132" s="52" t="inlineStr">
        <is>
          <t>Construction period five months starting from March 2027.</t>
        </is>
      </c>
      <c r="AC132" s="42" t="inlineStr">
        <is>
          <t>IF(F132="","",IF(COUNT(AI132:AV132)=0,IF(AA132="","Not started",AA132),SUBSTITUTE(LOOKUP(2,1/(AI132:AV132&lt;&gt;""),$AI$3:$AV$3),"Date: ","")))</t>
        </is>
      </c>
      <c r="AD132" s="49" t="inlineStr">
        <is>
          <t>IF(OR(F132="",COUNT(AI132:AV132)=0),"",TODAY()-LOOKUP(2,1/(AI132:AV132&lt;&gt;""),AI132:AV132))</t>
        </is>
      </c>
      <c r="AE132" s="49" t="inlineStr">
        <is>
          <t>IF(OR(F132="",COUNT(AI132:AV132)&lt;2),"",LOOKUP(2,1/(AI132:AV132&lt;&gt;""),AI132:AV132)-MIN(AI132:AV132))</t>
        </is>
      </c>
      <c r="AF132" s="49" t="inlineStr">
        <is>
          <t>IF(OR(AD132="",AC132="Not started",AC132=""),"",IFERROR(AD132-IF(VLOOKUP(AC132,'06_Status_Pipeline'!$B$3:$E$20,4,FALSE)="",0,VLOOKUP(AC132,'06_Status_Pipeline'!$B$3:$E$20,4,FALSE)),""))</t>
        </is>
      </c>
      <c r="AG132" s="42" t="inlineStr">
        <is>
          <t>IF(F132="","",IF(OR(AA132="Cancelled",AC132="Cancelled"),"Cancelled",IF(OR(AC132="Completed / Handover",Y132&lt;&gt;"",Z132&gt;=100),"Completed — on track",IF(O132="Not awarded",IF(U132="",IF(X132="","No planned date",IF(TODAY()&gt;X132,"Behind — past planned date",IF(X132-TODAY()&lt;=30,"At risk — close to off track","On track"))),IF(TODAY()&gt;U132,"Behind — award date passed",IF(U132-TODAY()&lt;=30,"At risk — close to off track","On track"))),IF(X132="","No planned date",IF(AND(TODAY()&gt;X132,OR(Z132="",Z132&lt;100)),"Behind — past end date",IF(AND(T132&lt;&gt;"",X132&lt;&gt;"",Z132&lt;&gt;"",(Z132&lt;100),((TODAY()-T132)/MAX(X132-T132,1)*100)-Z132&gt;15),"Behind — progress lag",IF(AND(X132-TODAY()&lt;=30,X132-TODAY()&gt;=0,OR(Z132="",Z132&lt;90)),"At risk — close to off track","On track"))))))))</t>
        </is>
      </c>
      <c r="AH132" s="49" t="inlineStr">
        <is>
          <t>IF(OR(F132="",AC132="Completed / Handover",AC132="Cancelled"),"",IF(O132="Not awarded",IF(U132&lt;&gt;"",U132-TODAY(),IF(X132="","",X132-TODAY())),IF(X132="","",X132-TODAY())))</t>
        </is>
      </c>
      <c r="AI132" s="54" t="n"/>
      <c r="AJ132" s="54" t="n"/>
      <c r="AK132" s="54" t="n"/>
      <c r="AL132" s="54" t="n"/>
      <c r="AM132" s="54" t="n"/>
      <c r="AN132" s="54" t="n"/>
      <c r="AO132" s="54" t="n"/>
      <c r="AP132" s="54" t="n"/>
      <c r="AQ132" s="54" t="n"/>
      <c r="AR132" s="54" t="n"/>
      <c r="AS132" s="54" t="n"/>
      <c r="AT132" s="50" t="n"/>
      <c r="AU132" s="50" t="n"/>
      <c r="AV132" s="50" t="n"/>
      <c r="AW132" s="49" t="inlineStr">
        <is>
          <t>IF(OR(F132="",AJ132=""),"",IF(COUNT(AI132:AI132)=0,"",AJ132-LOOKUP(2,1/(AI132:AI132&lt;&gt;""),AI132:AI132)))</t>
        </is>
      </c>
      <c r="AX132" s="49" t="inlineStr">
        <is>
          <t>IF(OR(F132="",AK132=""),"",IF(COUNT(AI132:AJ132)=0,"",AK132-LOOKUP(2,1/(AI132:AJ132&lt;&gt;""),AI132:AJ132)))</t>
        </is>
      </c>
      <c r="AY132" s="49" t="inlineStr">
        <is>
          <t>IF(OR(F132="",AL132=""),"",IF(COUNT(AI132:AK132)=0,"",AL132-LOOKUP(2,1/(AI132:AK132&lt;&gt;""),AI132:AK132)))</t>
        </is>
      </c>
      <c r="AZ132" s="49" t="inlineStr">
        <is>
          <t>IF(OR(F132="",AM132=""),"",IF(COUNT(AI132:AL132)=0,"",AM132-LOOKUP(2,1/(AI132:AL132&lt;&gt;""),AI132:AL132)))</t>
        </is>
      </c>
      <c r="BA132" s="49" t="inlineStr">
        <is>
          <t>IF(OR(F132="",AN132=""),"",IF(COUNT(AI132:AM132)=0,"",AN132-LOOKUP(2,1/(AI132:AM132&lt;&gt;""),AI132:AM132)))</t>
        </is>
      </c>
      <c r="BB132" s="49" t="inlineStr">
        <is>
          <t>IF(OR(F132="",AO132=""),"",IF(COUNT(AI132:AN132)=0,"",AO132-LOOKUP(2,1/(AI132:AN132&lt;&gt;""),AI132:AN132)))</t>
        </is>
      </c>
      <c r="BC132" s="49" t="inlineStr">
        <is>
          <t>IF(OR(F132="",AP132=""),"",IF(COUNT(AI132:AO132)=0,"",AP132-LOOKUP(2,1/(AI132:AO132&lt;&gt;""),AI132:AO132)))</t>
        </is>
      </c>
      <c r="BD132" s="49" t="inlineStr">
        <is>
          <t>IF(OR(F132="",AQ132=""),"",IF(COUNT(AI132:AP132)=0,"",AQ132-LOOKUP(2,1/(AI132:AP132&lt;&gt;""),AI132:AP132)))</t>
        </is>
      </c>
      <c r="BE132" s="49" t="inlineStr">
        <is>
          <t>IF(OR(F132="",AR132=""),"",IF(COUNT(AI132:AQ132)=0,"",AR132-LOOKUP(2,1/(AI132:AQ132&lt;&gt;""),AI132:AQ132)))</t>
        </is>
      </c>
      <c r="BF132" s="49" t="inlineStr">
        <is>
          <t>IF(OR(F132="",AS132=""),"",IF(COUNT(AI132:AR132)=0,"",AS132-LOOKUP(2,1/(AI132:AR132&lt;&gt;""),AI132:AR132)))</t>
        </is>
      </c>
      <c r="BG132" s="49" t="inlineStr">
        <is>
          <t>IF(OR(F132="",AT132=""),"",IF(COUNT(AI132:AS132)=0,"",AT132-LOOKUP(2,1/(AI132:AS132&lt;&gt;""),AI132:AS132)))</t>
        </is>
      </c>
      <c r="BH132" s="49" t="inlineStr">
        <is>
          <t>IF(OR(F132="",AU132=""),"",IF(COUNT(AI132:AT132)=0,"",AU132-LOOKUP(2,1/(AI132:AT132&lt;&gt;""),AI132:AT132)))</t>
        </is>
      </c>
      <c r="BI132" s="49" t="inlineStr">
        <is>
          <t>IF(OR(F132="",AV132=""),"",IF(COUNT(AI132:AU132)=0,"",AV132-LOOKUP(2,1/(AI132:AU132&lt;&gt;""),AI132:AU132)))</t>
        </is>
      </c>
      <c r="BJ132" s="51" t="inlineStr">
        <is>
          <t>IF(J132="","All_Provinces",IFERROR(VLOOKUP(J132,'09_Lookups'!$A$4:$B$20,2,FALSE),"All_Provinces"))</t>
        </is>
      </c>
      <c r="BK132" s="51" t="inlineStr">
        <is>
          <t>IF(K132="","All_Districts",IFERROR(VLOOKUP(K132,'09_Lookups'!$E$4:$F$42,2,FALSE),"All_Districts"))</t>
        </is>
      </c>
    </row>
    <row r="133" outlineLevel="1" ht="18" customHeight="1">
      <c r="A133" s="42" t="inlineStr">
        <is>
          <t>IF(F133="","",ROW()-3)</t>
        </is>
      </c>
      <c r="B133" s="61" t="inlineStr">
        <is>
          <t>AF2-DIS-08</t>
        </is>
      </c>
      <c r="C133"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3" s="61" t="inlineStr">
        <is>
          <t>3 of 12</t>
        </is>
      </c>
      <c r="E133" s="44" t="inlineStr">
        <is>
          <t>AF2-DIS-N-091</t>
        </is>
      </c>
      <c r="F133" s="44" t="inlineStr">
        <is>
          <t>Balkh university drip irrigation</t>
        </is>
      </c>
      <c r="G133" s="44" t="inlineStr">
        <is>
          <t>Drip Irrigation</t>
        </is>
      </c>
      <c r="H133" s="44" t="inlineStr">
        <is>
          <t>Drip Irrigation Plot</t>
        </is>
      </c>
      <c r="I133" s="44" t="inlineStr">
        <is>
          <t>Emergency Food Security Project (EFSP) – WBK/AF-2</t>
        </is>
      </c>
      <c r="J133" s="44" t="inlineStr">
        <is>
          <t>North / Mazar</t>
        </is>
      </c>
      <c r="K133" s="44" t="inlineStr">
        <is>
          <t>Balkh</t>
        </is>
      </c>
      <c r="L133" s="44" t="inlineStr">
        <is>
          <t>Mazar-e-Sharif</t>
        </is>
      </c>
      <c r="M133" s="44" t="inlineStr">
        <is>
          <t>Center</t>
        </is>
      </c>
      <c r="N133" s="44" t="inlineStr">
        <is>
          <t>World Bank (WBK/AF-2)</t>
        </is>
      </c>
      <c r="O133" s="44" t="inlineStr">
        <is>
          <t>Not awarded</t>
        </is>
      </c>
      <c r="P133" s="44" t="inlineStr">
        <is>
          <t>5. Drip Irrigation systems</t>
        </is>
      </c>
      <c r="Q133" s="44" t="inlineStr"/>
      <c r="R133" s="44" t="inlineStr"/>
      <c r="S133" s="45" t="n">
        <v>4250</v>
      </c>
      <c r="T133" s="46" t="inlineStr">
        <is>
          <t>IF(AQ133="","",AQ133)</t>
        </is>
      </c>
      <c r="U133" s="47" t="n">
        <v>46042</v>
      </c>
      <c r="V133" s="48" t="n">
        <v>6.2</v>
      </c>
      <c r="W133" s="47" t="n">
        <v>46232</v>
      </c>
      <c r="X133" s="46" t="inlineStr">
        <is>
          <t>IF(W133&lt;&gt;"",W133,IF(OR(T133="",V133=""),"",EDATE(T133,V133)))</t>
        </is>
      </c>
      <c r="Y133" s="47" t="n"/>
      <c r="Z133" s="48" t="n"/>
      <c r="AA133" s="44" t="inlineStr">
        <is>
          <t>Under Review of WRI</t>
        </is>
      </c>
      <c r="AB133" s="44" t="inlineStr">
        <is>
          <t>Construction period five months starting from March 2027.</t>
        </is>
      </c>
      <c r="AC133" s="42" t="inlineStr">
        <is>
          <t>IF(F133="","",IF(COUNT(AI133:AV133)=0,IF(AA133="","Not started",AA133),SUBSTITUTE(LOOKUP(2,1/(AI133:AV133&lt;&gt;""),$AI$3:$AV$3),"Date: ","")))</t>
        </is>
      </c>
      <c r="AD133" s="49" t="inlineStr">
        <is>
          <t>IF(OR(F133="",COUNT(AI133:AV133)=0),"",TODAY()-LOOKUP(2,1/(AI133:AV133&lt;&gt;""),AI133:AV133))</t>
        </is>
      </c>
      <c r="AE133" s="49" t="inlineStr">
        <is>
          <t>IF(OR(F133="",COUNT(AI133:AV133)&lt;2),"",LOOKUP(2,1/(AI133:AV133&lt;&gt;""),AI133:AV133)-MIN(AI133:AV133))</t>
        </is>
      </c>
      <c r="AF133" s="49" t="inlineStr">
        <is>
          <t>IF(OR(AD133="",AC133="Not started",AC133=""),"",IFERROR(AD133-IF(VLOOKUP(AC133,'06_Status_Pipeline'!$B$3:$E$20,4,FALSE)="",0,VLOOKUP(AC133,'06_Status_Pipeline'!$B$3:$E$20,4,FALSE)),""))</t>
        </is>
      </c>
      <c r="AG133" s="42" t="inlineStr">
        <is>
          <t>IF(F133="","",IF(OR(AA133="Cancelled",AC133="Cancelled"),"Cancelled",IF(OR(AC133="Completed / Handover",Y133&lt;&gt;"",Z133&gt;=100),"Completed — on track",IF(O133="Not awarded",IF(U133="",IF(X133="","No planned date",IF(TODAY()&gt;X133,"Behind — past planned date",IF(X133-TODAY()&lt;=30,"At risk — close to off track","On track"))),IF(TODAY()&gt;U133,"Behind — award date passed",IF(U133-TODAY()&lt;=30,"At risk — close to off track","On track"))),IF(X133="","No planned date",IF(AND(TODAY()&gt;X133,OR(Z133="",Z133&lt;100)),"Behind — past end date",IF(AND(T133&lt;&gt;"",X133&lt;&gt;"",Z133&lt;&gt;"",(Z133&lt;100),((TODAY()-T133)/MAX(X133-T133,1)*100)-Z133&gt;15),"Behind — progress lag",IF(AND(X133-TODAY()&lt;=30,X133-TODAY()&gt;=0,OR(Z133="",Z133&lt;90)),"At risk — close to off track","On track"))))))))</t>
        </is>
      </c>
      <c r="AH133" s="49" t="inlineStr">
        <is>
          <t>IF(OR(F133="",AC133="Completed / Handover",AC133="Cancelled"),"",IF(O133="Not awarded",IF(U133&lt;&gt;"",U133-TODAY(),IF(X133="","",X133-TODAY())),IF(X133="","",X133-TODAY())))</t>
        </is>
      </c>
      <c r="AI133" s="47" t="n"/>
      <c r="AJ133" s="47" t="n"/>
      <c r="AK133" s="47" t="n"/>
      <c r="AL133" s="47" t="n"/>
      <c r="AM133" s="47" t="n"/>
      <c r="AN133" s="47" t="n"/>
      <c r="AO133" s="47" t="n"/>
      <c r="AP133" s="47" t="n"/>
      <c r="AQ133" s="47" t="n"/>
      <c r="AR133" s="47" t="n"/>
      <c r="AS133" s="47" t="n"/>
      <c r="AT133" s="50" t="n"/>
      <c r="AU133" s="50" t="n"/>
      <c r="AV133" s="50" t="n"/>
      <c r="AW133" s="49" t="inlineStr">
        <is>
          <t>IF(OR(F133="",AJ133=""),"",IF(COUNT(AI133:AI133)=0,"",AJ133-LOOKUP(2,1/(AI133:AI133&lt;&gt;""),AI133:AI133)))</t>
        </is>
      </c>
      <c r="AX133" s="49" t="inlineStr">
        <is>
          <t>IF(OR(F133="",AK133=""),"",IF(COUNT(AI133:AJ133)=0,"",AK133-LOOKUP(2,1/(AI133:AJ133&lt;&gt;""),AI133:AJ133)))</t>
        </is>
      </c>
      <c r="AY133" s="49" t="inlineStr">
        <is>
          <t>IF(OR(F133="",AL133=""),"",IF(COUNT(AI133:AK133)=0,"",AL133-LOOKUP(2,1/(AI133:AK133&lt;&gt;""),AI133:AK133)))</t>
        </is>
      </c>
      <c r="AZ133" s="49" t="inlineStr">
        <is>
          <t>IF(OR(F133="",AM133=""),"",IF(COUNT(AI133:AL133)=0,"",AM133-LOOKUP(2,1/(AI133:AL133&lt;&gt;""),AI133:AL133)))</t>
        </is>
      </c>
      <c r="BA133" s="49" t="inlineStr">
        <is>
          <t>IF(OR(F133="",AN133=""),"",IF(COUNT(AI133:AM133)=0,"",AN133-LOOKUP(2,1/(AI133:AM133&lt;&gt;""),AI133:AM133)))</t>
        </is>
      </c>
      <c r="BB133" s="49" t="inlineStr">
        <is>
          <t>IF(OR(F133="",AO133=""),"",IF(COUNT(AI133:AN133)=0,"",AO133-LOOKUP(2,1/(AI133:AN133&lt;&gt;""),AI133:AN133)))</t>
        </is>
      </c>
      <c r="BC133" s="49" t="inlineStr">
        <is>
          <t>IF(OR(F133="",AP133=""),"",IF(COUNT(AI133:AO133)=0,"",AP133-LOOKUP(2,1/(AI133:AO133&lt;&gt;""),AI133:AO133)))</t>
        </is>
      </c>
      <c r="BD133" s="49" t="inlineStr">
        <is>
          <t>IF(OR(F133="",AQ133=""),"",IF(COUNT(AI133:AP133)=0,"",AQ133-LOOKUP(2,1/(AI133:AP133&lt;&gt;""),AI133:AP133)))</t>
        </is>
      </c>
      <c r="BE133" s="49" t="inlineStr">
        <is>
          <t>IF(OR(F133="",AR133=""),"",IF(COUNT(AI133:AQ133)=0,"",AR133-LOOKUP(2,1/(AI133:AQ133&lt;&gt;""),AI133:AQ133)))</t>
        </is>
      </c>
      <c r="BF133" s="49" t="inlineStr">
        <is>
          <t>IF(OR(F133="",AS133=""),"",IF(COUNT(AI133:AR133)=0,"",AS133-LOOKUP(2,1/(AI133:AR133&lt;&gt;""),AI133:AR133)))</t>
        </is>
      </c>
      <c r="BG133" s="49" t="inlineStr">
        <is>
          <t>IF(OR(F133="",AT133=""),"",IF(COUNT(AI133:AS133)=0,"",AT133-LOOKUP(2,1/(AI133:AS133&lt;&gt;""),AI133:AS133)))</t>
        </is>
      </c>
      <c r="BH133" s="49" t="inlineStr">
        <is>
          <t>IF(OR(F133="",AU133=""),"",IF(COUNT(AI133:AT133)=0,"",AU133-LOOKUP(2,1/(AI133:AT133&lt;&gt;""),AI133:AT133)))</t>
        </is>
      </c>
      <c r="BI133" s="49" t="inlineStr">
        <is>
          <t>IF(OR(F133="",AV133=""),"",IF(COUNT(AI133:AU133)=0,"",AV133-LOOKUP(2,1/(AI133:AU133&lt;&gt;""),AI133:AU133)))</t>
        </is>
      </c>
      <c r="BJ133" s="51" t="inlineStr">
        <is>
          <t>IF(J133="","All_Provinces",IFERROR(VLOOKUP(J133,'09_Lookups'!$A$4:$B$20,2,FALSE),"All_Provinces"))</t>
        </is>
      </c>
      <c r="BK133" s="51" t="inlineStr">
        <is>
          <t>IF(K133="","All_Districts",IFERROR(VLOOKUP(K133,'09_Lookups'!$E$4:$F$42,2,FALSE),"All_Districts"))</t>
        </is>
      </c>
    </row>
    <row r="134" outlineLevel="1" ht="18" customHeight="1">
      <c r="A134" s="42" t="inlineStr">
        <is>
          <t>IF(F134="","",ROW()-3)</t>
        </is>
      </c>
      <c r="B134" s="61" t="inlineStr">
        <is>
          <t>AF2-DIS-08</t>
        </is>
      </c>
      <c r="C134"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4" s="61" t="inlineStr">
        <is>
          <t>4 of 12</t>
        </is>
      </c>
      <c r="E134" s="52" t="inlineStr">
        <is>
          <t>AF2-DIS-N-092</t>
        </is>
      </c>
      <c r="F134" s="52" t="inlineStr">
        <is>
          <t>Charkent drip irrigation</t>
        </is>
      </c>
      <c r="G134" s="52" t="inlineStr">
        <is>
          <t>Drip Irrigation</t>
        </is>
      </c>
      <c r="H134" s="52" t="inlineStr">
        <is>
          <t>Drip Irrigation Plot</t>
        </is>
      </c>
      <c r="I134" s="52" t="inlineStr">
        <is>
          <t>Emergency Food Security Project (EFSP) – WBK/AF-2</t>
        </is>
      </c>
      <c r="J134" s="52" t="inlineStr">
        <is>
          <t>North / Mazar</t>
        </is>
      </c>
      <c r="K134" s="52" t="inlineStr">
        <is>
          <t>Balkh</t>
        </is>
      </c>
      <c r="L134" s="52" t="inlineStr">
        <is>
          <t>Charkent</t>
        </is>
      </c>
      <c r="M134" s="52" t="inlineStr">
        <is>
          <t>Modafean Payen</t>
        </is>
      </c>
      <c r="N134" s="52" t="inlineStr">
        <is>
          <t>World Bank (WBK/AF-2)</t>
        </is>
      </c>
      <c r="O134" s="52" t="inlineStr">
        <is>
          <t>Not awarded</t>
        </is>
      </c>
      <c r="P134" s="52" t="inlineStr">
        <is>
          <t>5. Drip Irrigation systems</t>
        </is>
      </c>
      <c r="Q134" s="52" t="inlineStr"/>
      <c r="R134" s="52" t="inlineStr"/>
      <c r="S134" s="53" t="n">
        <v>8500</v>
      </c>
      <c r="T134" s="46" t="inlineStr">
        <is>
          <t>IF(AQ134="","",AQ134)</t>
        </is>
      </c>
      <c r="U134" s="54" t="n">
        <v>46042</v>
      </c>
      <c r="V134" s="55" t="n">
        <v>6.2</v>
      </c>
      <c r="W134" s="54" t="n">
        <v>46232</v>
      </c>
      <c r="X134" s="46" t="inlineStr">
        <is>
          <t>IF(W134&lt;&gt;"",W134,IF(OR(T134="",V134=""),"",EDATE(T134,V134)))</t>
        </is>
      </c>
      <c r="Y134" s="54" t="n"/>
      <c r="Z134" s="55" t="n"/>
      <c r="AA134" s="52" t="inlineStr">
        <is>
          <t>Under Review of WRI</t>
        </is>
      </c>
      <c r="AB134" s="52" t="inlineStr">
        <is>
          <t>Construction period five months starting from March 2027.</t>
        </is>
      </c>
      <c r="AC134" s="42" t="inlineStr">
        <is>
          <t>IF(F134="","",IF(COUNT(AI134:AV134)=0,IF(AA134="","Not started",AA134),SUBSTITUTE(LOOKUP(2,1/(AI134:AV134&lt;&gt;""),$AI$3:$AV$3),"Date: ","")))</t>
        </is>
      </c>
      <c r="AD134" s="49" t="inlineStr">
        <is>
          <t>IF(OR(F134="",COUNT(AI134:AV134)=0),"",TODAY()-LOOKUP(2,1/(AI134:AV134&lt;&gt;""),AI134:AV134))</t>
        </is>
      </c>
      <c r="AE134" s="49" t="inlineStr">
        <is>
          <t>IF(OR(F134="",COUNT(AI134:AV134)&lt;2),"",LOOKUP(2,1/(AI134:AV134&lt;&gt;""),AI134:AV134)-MIN(AI134:AV134))</t>
        </is>
      </c>
      <c r="AF134" s="49" t="inlineStr">
        <is>
          <t>IF(OR(AD134="",AC134="Not started",AC134=""),"",IFERROR(AD134-IF(VLOOKUP(AC134,'06_Status_Pipeline'!$B$3:$E$20,4,FALSE)="",0,VLOOKUP(AC134,'06_Status_Pipeline'!$B$3:$E$20,4,FALSE)),""))</t>
        </is>
      </c>
      <c r="AG134" s="42" t="inlineStr">
        <is>
          <t>IF(F134="","",IF(OR(AA134="Cancelled",AC134="Cancelled"),"Cancelled",IF(OR(AC134="Completed / Handover",Y134&lt;&gt;"",Z134&gt;=100),"Completed — on track",IF(O134="Not awarded",IF(U134="",IF(X134="","No planned date",IF(TODAY()&gt;X134,"Behind — past planned date",IF(X134-TODAY()&lt;=30,"At risk — close to off track","On track"))),IF(TODAY()&gt;U134,"Behind — award date passed",IF(U134-TODAY()&lt;=30,"At risk — close to off track","On track"))),IF(X134="","No planned date",IF(AND(TODAY()&gt;X134,OR(Z134="",Z134&lt;100)),"Behind — past end date",IF(AND(T134&lt;&gt;"",X134&lt;&gt;"",Z134&lt;&gt;"",(Z134&lt;100),((TODAY()-T134)/MAX(X134-T134,1)*100)-Z134&gt;15),"Behind — progress lag",IF(AND(X134-TODAY()&lt;=30,X134-TODAY()&gt;=0,OR(Z134="",Z134&lt;90)),"At risk — close to off track","On track"))))))))</t>
        </is>
      </c>
      <c r="AH134" s="49" t="inlineStr">
        <is>
          <t>IF(OR(F134="",AC134="Completed / Handover",AC134="Cancelled"),"",IF(O134="Not awarded",IF(U134&lt;&gt;"",U134-TODAY(),IF(X134="","",X134-TODAY())),IF(X134="","",X134-TODAY())))</t>
        </is>
      </c>
      <c r="AI134" s="54" t="n"/>
      <c r="AJ134" s="54" t="n"/>
      <c r="AK134" s="54" t="n"/>
      <c r="AL134" s="54" t="n"/>
      <c r="AM134" s="54" t="n"/>
      <c r="AN134" s="54" t="n"/>
      <c r="AO134" s="54" t="n"/>
      <c r="AP134" s="54" t="n"/>
      <c r="AQ134" s="54" t="n"/>
      <c r="AR134" s="54" t="n"/>
      <c r="AS134" s="54" t="n"/>
      <c r="AT134" s="50" t="n"/>
      <c r="AU134" s="50" t="n"/>
      <c r="AV134" s="50" t="n"/>
      <c r="AW134" s="49" t="inlineStr">
        <is>
          <t>IF(OR(F134="",AJ134=""),"",IF(COUNT(AI134:AI134)=0,"",AJ134-LOOKUP(2,1/(AI134:AI134&lt;&gt;""),AI134:AI134)))</t>
        </is>
      </c>
      <c r="AX134" s="49" t="inlineStr">
        <is>
          <t>IF(OR(F134="",AK134=""),"",IF(COUNT(AI134:AJ134)=0,"",AK134-LOOKUP(2,1/(AI134:AJ134&lt;&gt;""),AI134:AJ134)))</t>
        </is>
      </c>
      <c r="AY134" s="49" t="inlineStr">
        <is>
          <t>IF(OR(F134="",AL134=""),"",IF(COUNT(AI134:AK134)=0,"",AL134-LOOKUP(2,1/(AI134:AK134&lt;&gt;""),AI134:AK134)))</t>
        </is>
      </c>
      <c r="AZ134" s="49" t="inlineStr">
        <is>
          <t>IF(OR(F134="",AM134=""),"",IF(COUNT(AI134:AL134)=0,"",AM134-LOOKUP(2,1/(AI134:AL134&lt;&gt;""),AI134:AL134)))</t>
        </is>
      </c>
      <c r="BA134" s="49" t="inlineStr">
        <is>
          <t>IF(OR(F134="",AN134=""),"",IF(COUNT(AI134:AM134)=0,"",AN134-LOOKUP(2,1/(AI134:AM134&lt;&gt;""),AI134:AM134)))</t>
        </is>
      </c>
      <c r="BB134" s="49" t="inlineStr">
        <is>
          <t>IF(OR(F134="",AO134=""),"",IF(COUNT(AI134:AN134)=0,"",AO134-LOOKUP(2,1/(AI134:AN134&lt;&gt;""),AI134:AN134)))</t>
        </is>
      </c>
      <c r="BC134" s="49" t="inlineStr">
        <is>
          <t>IF(OR(F134="",AP134=""),"",IF(COUNT(AI134:AO134)=0,"",AP134-LOOKUP(2,1/(AI134:AO134&lt;&gt;""),AI134:AO134)))</t>
        </is>
      </c>
      <c r="BD134" s="49" t="inlineStr">
        <is>
          <t>IF(OR(F134="",AQ134=""),"",IF(COUNT(AI134:AP134)=0,"",AQ134-LOOKUP(2,1/(AI134:AP134&lt;&gt;""),AI134:AP134)))</t>
        </is>
      </c>
      <c r="BE134" s="49" t="inlineStr">
        <is>
          <t>IF(OR(F134="",AR134=""),"",IF(COUNT(AI134:AQ134)=0,"",AR134-LOOKUP(2,1/(AI134:AQ134&lt;&gt;""),AI134:AQ134)))</t>
        </is>
      </c>
      <c r="BF134" s="49" t="inlineStr">
        <is>
          <t>IF(OR(F134="",AS134=""),"",IF(COUNT(AI134:AR134)=0,"",AS134-LOOKUP(2,1/(AI134:AR134&lt;&gt;""),AI134:AR134)))</t>
        </is>
      </c>
      <c r="BG134" s="49" t="inlineStr">
        <is>
          <t>IF(OR(F134="",AT134=""),"",IF(COUNT(AI134:AS134)=0,"",AT134-LOOKUP(2,1/(AI134:AS134&lt;&gt;""),AI134:AS134)))</t>
        </is>
      </c>
      <c r="BH134" s="49" t="inlineStr">
        <is>
          <t>IF(OR(F134="",AU134=""),"",IF(COUNT(AI134:AT134)=0,"",AU134-LOOKUP(2,1/(AI134:AT134&lt;&gt;""),AI134:AT134)))</t>
        </is>
      </c>
      <c r="BI134" s="49" t="inlineStr">
        <is>
          <t>IF(OR(F134="",AV134=""),"",IF(COUNT(AI134:AU134)=0,"",AV134-LOOKUP(2,1/(AI134:AU134&lt;&gt;""),AI134:AU134)))</t>
        </is>
      </c>
      <c r="BJ134" s="51" t="inlineStr">
        <is>
          <t>IF(J134="","All_Provinces",IFERROR(VLOOKUP(J134,'09_Lookups'!$A$4:$B$20,2,FALSE),"All_Provinces"))</t>
        </is>
      </c>
      <c r="BK134" s="51" t="inlineStr">
        <is>
          <t>IF(K134="","All_Districts",IFERROR(VLOOKUP(K134,'09_Lookups'!$E$4:$F$42,2,FALSE),"All_Districts"))</t>
        </is>
      </c>
    </row>
    <row r="135" outlineLevel="1" ht="18" customHeight="1">
      <c r="A135" s="42" t="inlineStr">
        <is>
          <t>IF(F135="","",ROW()-3)</t>
        </is>
      </c>
      <c r="B135" s="61" t="inlineStr">
        <is>
          <t>AF2-DIS-08</t>
        </is>
      </c>
      <c r="C135"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5" s="61" t="inlineStr">
        <is>
          <t>5 of 12</t>
        </is>
      </c>
      <c r="E135" s="44" t="inlineStr">
        <is>
          <t>AF2-DIS-N-093</t>
        </is>
      </c>
      <c r="F135" s="44" t="inlineStr">
        <is>
          <t>Dehdadi drip irrigation</t>
        </is>
      </c>
      <c r="G135" s="44" t="inlineStr">
        <is>
          <t>Drip Irrigation</t>
        </is>
      </c>
      <c r="H135" s="44" t="inlineStr">
        <is>
          <t>Drip Irrigation Plot</t>
        </is>
      </c>
      <c r="I135" s="44" t="inlineStr">
        <is>
          <t>Emergency Food Security Project (EFSP) – WBK/AF-2</t>
        </is>
      </c>
      <c r="J135" s="44" t="inlineStr">
        <is>
          <t>North / Mazar</t>
        </is>
      </c>
      <c r="K135" s="44" t="inlineStr">
        <is>
          <t>Balkh</t>
        </is>
      </c>
      <c r="L135" s="44" t="inlineStr">
        <is>
          <t>Dehdadi</t>
        </is>
      </c>
      <c r="M135" s="44" t="inlineStr">
        <is>
          <t>Sher Abad Olya</t>
        </is>
      </c>
      <c r="N135" s="44" t="inlineStr">
        <is>
          <t>World Bank (WBK/AF-2)</t>
        </is>
      </c>
      <c r="O135" s="44" t="inlineStr">
        <is>
          <t>Not awarded</t>
        </is>
      </c>
      <c r="P135" s="44" t="inlineStr">
        <is>
          <t>5. Drip Irrigation systems</t>
        </is>
      </c>
      <c r="Q135" s="44" t="inlineStr"/>
      <c r="R135" s="44" t="inlineStr"/>
      <c r="S135" s="45" t="n">
        <v>4250</v>
      </c>
      <c r="T135" s="46" t="inlineStr">
        <is>
          <t>IF(AQ135="","",AQ135)</t>
        </is>
      </c>
      <c r="U135" s="47" t="n">
        <v>46042</v>
      </c>
      <c r="V135" s="48" t="n">
        <v>6.2</v>
      </c>
      <c r="W135" s="47" t="n">
        <v>46232</v>
      </c>
      <c r="X135" s="46" t="inlineStr">
        <is>
          <t>IF(W135&lt;&gt;"",W135,IF(OR(T135="",V135=""),"",EDATE(T135,V135)))</t>
        </is>
      </c>
      <c r="Y135" s="47" t="n"/>
      <c r="Z135" s="48" t="n"/>
      <c r="AA135" s="44" t="inlineStr">
        <is>
          <t>Under Review of WRI</t>
        </is>
      </c>
      <c r="AB135" s="44" t="inlineStr">
        <is>
          <t>Construction period five months starting from March 2027.</t>
        </is>
      </c>
      <c r="AC135" s="42" t="inlineStr">
        <is>
          <t>IF(F135="","",IF(COUNT(AI135:AV135)=0,IF(AA135="","Not started",AA135),SUBSTITUTE(LOOKUP(2,1/(AI135:AV135&lt;&gt;""),$AI$3:$AV$3),"Date: ","")))</t>
        </is>
      </c>
      <c r="AD135" s="49" t="inlineStr">
        <is>
          <t>IF(OR(F135="",COUNT(AI135:AV135)=0),"",TODAY()-LOOKUP(2,1/(AI135:AV135&lt;&gt;""),AI135:AV135))</t>
        </is>
      </c>
      <c r="AE135" s="49" t="inlineStr">
        <is>
          <t>IF(OR(F135="",COUNT(AI135:AV135)&lt;2),"",LOOKUP(2,1/(AI135:AV135&lt;&gt;""),AI135:AV135)-MIN(AI135:AV135))</t>
        </is>
      </c>
      <c r="AF135" s="49" t="inlineStr">
        <is>
          <t>IF(OR(AD135="",AC135="Not started",AC135=""),"",IFERROR(AD135-IF(VLOOKUP(AC135,'06_Status_Pipeline'!$B$3:$E$20,4,FALSE)="",0,VLOOKUP(AC135,'06_Status_Pipeline'!$B$3:$E$20,4,FALSE)),""))</t>
        </is>
      </c>
      <c r="AG135" s="42" t="inlineStr">
        <is>
          <t>IF(F135="","",IF(OR(AA135="Cancelled",AC135="Cancelled"),"Cancelled",IF(OR(AC135="Completed / Handover",Y135&lt;&gt;"",Z135&gt;=100),"Completed — on track",IF(O135="Not awarded",IF(U135="",IF(X135="","No planned date",IF(TODAY()&gt;X135,"Behind — past planned date",IF(X135-TODAY()&lt;=30,"At risk — close to off track","On track"))),IF(TODAY()&gt;U135,"Behind — award date passed",IF(U135-TODAY()&lt;=30,"At risk — close to off track","On track"))),IF(X135="","No planned date",IF(AND(TODAY()&gt;X135,OR(Z135="",Z135&lt;100)),"Behind — past end date",IF(AND(T135&lt;&gt;"",X135&lt;&gt;"",Z135&lt;&gt;"",(Z135&lt;100),((TODAY()-T135)/MAX(X135-T135,1)*100)-Z135&gt;15),"Behind — progress lag",IF(AND(X135-TODAY()&lt;=30,X135-TODAY()&gt;=0,OR(Z135="",Z135&lt;90)),"At risk — close to off track","On track"))))))))</t>
        </is>
      </c>
      <c r="AH135" s="49" t="inlineStr">
        <is>
          <t>IF(OR(F135="",AC135="Completed / Handover",AC135="Cancelled"),"",IF(O135="Not awarded",IF(U135&lt;&gt;"",U135-TODAY(),IF(X135="","",X135-TODAY())),IF(X135="","",X135-TODAY())))</t>
        </is>
      </c>
      <c r="AI135" s="47" t="n"/>
      <c r="AJ135" s="47" t="n"/>
      <c r="AK135" s="47" t="n"/>
      <c r="AL135" s="47" t="n"/>
      <c r="AM135" s="47" t="n"/>
      <c r="AN135" s="47" t="n"/>
      <c r="AO135" s="47" t="n"/>
      <c r="AP135" s="47" t="n"/>
      <c r="AQ135" s="47" t="n"/>
      <c r="AR135" s="47" t="n"/>
      <c r="AS135" s="47" t="n"/>
      <c r="AT135" s="50" t="n"/>
      <c r="AU135" s="50" t="n"/>
      <c r="AV135" s="50" t="n"/>
      <c r="AW135" s="49" t="inlineStr">
        <is>
          <t>IF(OR(F135="",AJ135=""),"",IF(COUNT(AI135:AI135)=0,"",AJ135-LOOKUP(2,1/(AI135:AI135&lt;&gt;""),AI135:AI135)))</t>
        </is>
      </c>
      <c r="AX135" s="49" t="inlineStr">
        <is>
          <t>IF(OR(F135="",AK135=""),"",IF(COUNT(AI135:AJ135)=0,"",AK135-LOOKUP(2,1/(AI135:AJ135&lt;&gt;""),AI135:AJ135)))</t>
        </is>
      </c>
      <c r="AY135" s="49" t="inlineStr">
        <is>
          <t>IF(OR(F135="",AL135=""),"",IF(COUNT(AI135:AK135)=0,"",AL135-LOOKUP(2,1/(AI135:AK135&lt;&gt;""),AI135:AK135)))</t>
        </is>
      </c>
      <c r="AZ135" s="49" t="inlineStr">
        <is>
          <t>IF(OR(F135="",AM135=""),"",IF(COUNT(AI135:AL135)=0,"",AM135-LOOKUP(2,1/(AI135:AL135&lt;&gt;""),AI135:AL135)))</t>
        </is>
      </c>
      <c r="BA135" s="49" t="inlineStr">
        <is>
          <t>IF(OR(F135="",AN135=""),"",IF(COUNT(AI135:AM135)=0,"",AN135-LOOKUP(2,1/(AI135:AM135&lt;&gt;""),AI135:AM135)))</t>
        </is>
      </c>
      <c r="BB135" s="49" t="inlineStr">
        <is>
          <t>IF(OR(F135="",AO135=""),"",IF(COUNT(AI135:AN135)=0,"",AO135-LOOKUP(2,1/(AI135:AN135&lt;&gt;""),AI135:AN135)))</t>
        </is>
      </c>
      <c r="BC135" s="49" t="inlineStr">
        <is>
          <t>IF(OR(F135="",AP135=""),"",IF(COUNT(AI135:AO135)=0,"",AP135-LOOKUP(2,1/(AI135:AO135&lt;&gt;""),AI135:AO135)))</t>
        </is>
      </c>
      <c r="BD135" s="49" t="inlineStr">
        <is>
          <t>IF(OR(F135="",AQ135=""),"",IF(COUNT(AI135:AP135)=0,"",AQ135-LOOKUP(2,1/(AI135:AP135&lt;&gt;""),AI135:AP135)))</t>
        </is>
      </c>
      <c r="BE135" s="49" t="inlineStr">
        <is>
          <t>IF(OR(F135="",AR135=""),"",IF(COUNT(AI135:AQ135)=0,"",AR135-LOOKUP(2,1/(AI135:AQ135&lt;&gt;""),AI135:AQ135)))</t>
        </is>
      </c>
      <c r="BF135" s="49" t="inlineStr">
        <is>
          <t>IF(OR(F135="",AS135=""),"",IF(COUNT(AI135:AR135)=0,"",AS135-LOOKUP(2,1/(AI135:AR135&lt;&gt;""),AI135:AR135)))</t>
        </is>
      </c>
      <c r="BG135" s="49" t="inlineStr">
        <is>
          <t>IF(OR(F135="",AT135=""),"",IF(COUNT(AI135:AS135)=0,"",AT135-LOOKUP(2,1/(AI135:AS135&lt;&gt;""),AI135:AS135)))</t>
        </is>
      </c>
      <c r="BH135" s="49" t="inlineStr">
        <is>
          <t>IF(OR(F135="",AU135=""),"",IF(COUNT(AI135:AT135)=0,"",AU135-LOOKUP(2,1/(AI135:AT135&lt;&gt;""),AI135:AT135)))</t>
        </is>
      </c>
      <c r="BI135" s="49" t="inlineStr">
        <is>
          <t>IF(OR(F135="",AV135=""),"",IF(COUNT(AI135:AU135)=0,"",AV135-LOOKUP(2,1/(AI135:AU135&lt;&gt;""),AI135:AU135)))</t>
        </is>
      </c>
      <c r="BJ135" s="51" t="inlineStr">
        <is>
          <t>IF(J135="","All_Provinces",IFERROR(VLOOKUP(J135,'09_Lookups'!$A$4:$B$20,2,FALSE),"All_Provinces"))</t>
        </is>
      </c>
      <c r="BK135" s="51" t="inlineStr">
        <is>
          <t>IF(K135="","All_Districts",IFERROR(VLOOKUP(K135,'09_Lookups'!$E$4:$F$42,2,FALSE),"All_Districts"))</t>
        </is>
      </c>
    </row>
    <row r="136" outlineLevel="1" ht="18" customHeight="1">
      <c r="A136" s="42" t="inlineStr">
        <is>
          <t>IF(F136="","",ROW()-3)</t>
        </is>
      </c>
      <c r="B136" s="61" t="inlineStr">
        <is>
          <t>AF2-DIS-08</t>
        </is>
      </c>
      <c r="C136"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6" s="61" t="inlineStr">
        <is>
          <t>6 of 12</t>
        </is>
      </c>
      <c r="E136" s="52" t="inlineStr">
        <is>
          <t>AF2-DIS-N-094</t>
        </is>
      </c>
      <c r="F136" s="52" t="inlineStr">
        <is>
          <t>Had Bakhshy drip irrigation</t>
        </is>
      </c>
      <c r="G136" s="52" t="inlineStr">
        <is>
          <t>Drip Irrigation</t>
        </is>
      </c>
      <c r="H136" s="52" t="inlineStr">
        <is>
          <t>Drip Irrigation Plot</t>
        </is>
      </c>
      <c r="I136" s="52" t="inlineStr">
        <is>
          <t>Emergency Food Security Project (EFSP) – WBK/AF-2</t>
        </is>
      </c>
      <c r="J136" s="52" t="inlineStr">
        <is>
          <t>North / Mazar</t>
        </is>
      </c>
      <c r="K136" s="52" t="inlineStr">
        <is>
          <t>Sari Pul</t>
        </is>
      </c>
      <c r="L136" s="52" t="inlineStr">
        <is>
          <t>Sayed Abad</t>
        </is>
      </c>
      <c r="M136" s="52" t="inlineStr">
        <is>
          <t>Had Bakhshy</t>
        </is>
      </c>
      <c r="N136" s="52" t="inlineStr">
        <is>
          <t>World Bank (WBK/AF-2)</t>
        </is>
      </c>
      <c r="O136" s="52" t="inlineStr">
        <is>
          <t>Not awarded</t>
        </is>
      </c>
      <c r="P136" s="52" t="inlineStr">
        <is>
          <t>5. Drip Irrigation systems</t>
        </is>
      </c>
      <c r="Q136" s="52" t="inlineStr"/>
      <c r="R136" s="52" t="inlineStr"/>
      <c r="S136" s="53" t="n">
        <v>8500</v>
      </c>
      <c r="T136" s="46" t="inlineStr">
        <is>
          <t>IF(AQ136="","",AQ136)</t>
        </is>
      </c>
      <c r="U136" s="54" t="n">
        <v>46042</v>
      </c>
      <c r="V136" s="55" t="n">
        <v>6.2</v>
      </c>
      <c r="W136" s="54" t="n">
        <v>46232</v>
      </c>
      <c r="X136" s="46" t="inlineStr">
        <is>
          <t>IF(W136&lt;&gt;"",W136,IF(OR(T136="",V136=""),"",EDATE(T136,V136)))</t>
        </is>
      </c>
      <c r="Y136" s="54" t="n"/>
      <c r="Z136" s="55" t="n"/>
      <c r="AA136" s="52" t="inlineStr">
        <is>
          <t>Under Review of WRI</t>
        </is>
      </c>
      <c r="AB136" s="52" t="inlineStr">
        <is>
          <t>Construction period five months starting from March 2027.</t>
        </is>
      </c>
      <c r="AC136" s="42" t="inlineStr">
        <is>
          <t>IF(F136="","",IF(COUNT(AI136:AV136)=0,IF(AA136="","Not started",AA136),SUBSTITUTE(LOOKUP(2,1/(AI136:AV136&lt;&gt;""),$AI$3:$AV$3),"Date: ","")))</t>
        </is>
      </c>
      <c r="AD136" s="49" t="inlineStr">
        <is>
          <t>IF(OR(F136="",COUNT(AI136:AV136)=0),"",TODAY()-LOOKUP(2,1/(AI136:AV136&lt;&gt;""),AI136:AV136))</t>
        </is>
      </c>
      <c r="AE136" s="49" t="inlineStr">
        <is>
          <t>IF(OR(F136="",COUNT(AI136:AV136)&lt;2),"",LOOKUP(2,1/(AI136:AV136&lt;&gt;""),AI136:AV136)-MIN(AI136:AV136))</t>
        </is>
      </c>
      <c r="AF136" s="49" t="inlineStr">
        <is>
          <t>IF(OR(AD136="",AC136="Not started",AC136=""),"",IFERROR(AD136-IF(VLOOKUP(AC136,'06_Status_Pipeline'!$B$3:$E$20,4,FALSE)="",0,VLOOKUP(AC136,'06_Status_Pipeline'!$B$3:$E$20,4,FALSE)),""))</t>
        </is>
      </c>
      <c r="AG136" s="42" t="inlineStr">
        <is>
          <t>IF(F136="","",IF(OR(AA136="Cancelled",AC136="Cancelled"),"Cancelled",IF(OR(AC136="Completed / Handover",Y136&lt;&gt;"",Z136&gt;=100),"Completed — on track",IF(O136="Not awarded",IF(U136="",IF(X136="","No planned date",IF(TODAY()&gt;X136,"Behind — past planned date",IF(X136-TODAY()&lt;=30,"At risk — close to off track","On track"))),IF(TODAY()&gt;U136,"Behind — award date passed",IF(U136-TODAY()&lt;=30,"At risk — close to off track","On track"))),IF(X136="","No planned date",IF(AND(TODAY()&gt;X136,OR(Z136="",Z136&lt;100)),"Behind — past end date",IF(AND(T136&lt;&gt;"",X136&lt;&gt;"",Z136&lt;&gt;"",(Z136&lt;100),((TODAY()-T136)/MAX(X136-T136,1)*100)-Z136&gt;15),"Behind — progress lag",IF(AND(X136-TODAY()&lt;=30,X136-TODAY()&gt;=0,OR(Z136="",Z136&lt;90)),"At risk — close to off track","On track"))))))))</t>
        </is>
      </c>
      <c r="AH136" s="49" t="inlineStr">
        <is>
          <t>IF(OR(F136="",AC136="Completed / Handover",AC136="Cancelled"),"",IF(O136="Not awarded",IF(U136&lt;&gt;"",U136-TODAY(),IF(X136="","",X136-TODAY())),IF(X136="","",X136-TODAY())))</t>
        </is>
      </c>
      <c r="AI136" s="54" t="n"/>
      <c r="AJ136" s="54" t="n"/>
      <c r="AK136" s="54" t="n"/>
      <c r="AL136" s="54" t="n"/>
      <c r="AM136" s="54" t="n"/>
      <c r="AN136" s="54" t="n"/>
      <c r="AO136" s="54" t="n"/>
      <c r="AP136" s="54" t="n"/>
      <c r="AQ136" s="54" t="n"/>
      <c r="AR136" s="54" t="n"/>
      <c r="AS136" s="54" t="n"/>
      <c r="AT136" s="50" t="n"/>
      <c r="AU136" s="50" t="n"/>
      <c r="AV136" s="50" t="n"/>
      <c r="AW136" s="49" t="inlineStr">
        <is>
          <t>IF(OR(F136="",AJ136=""),"",IF(COUNT(AI136:AI136)=0,"",AJ136-LOOKUP(2,1/(AI136:AI136&lt;&gt;""),AI136:AI136)))</t>
        </is>
      </c>
      <c r="AX136" s="49" t="inlineStr">
        <is>
          <t>IF(OR(F136="",AK136=""),"",IF(COUNT(AI136:AJ136)=0,"",AK136-LOOKUP(2,1/(AI136:AJ136&lt;&gt;""),AI136:AJ136)))</t>
        </is>
      </c>
      <c r="AY136" s="49" t="inlineStr">
        <is>
          <t>IF(OR(F136="",AL136=""),"",IF(COUNT(AI136:AK136)=0,"",AL136-LOOKUP(2,1/(AI136:AK136&lt;&gt;""),AI136:AK136)))</t>
        </is>
      </c>
      <c r="AZ136" s="49" t="inlineStr">
        <is>
          <t>IF(OR(F136="",AM136=""),"",IF(COUNT(AI136:AL136)=0,"",AM136-LOOKUP(2,1/(AI136:AL136&lt;&gt;""),AI136:AL136)))</t>
        </is>
      </c>
      <c r="BA136" s="49" t="inlineStr">
        <is>
          <t>IF(OR(F136="",AN136=""),"",IF(COUNT(AI136:AM136)=0,"",AN136-LOOKUP(2,1/(AI136:AM136&lt;&gt;""),AI136:AM136)))</t>
        </is>
      </c>
      <c r="BB136" s="49" t="inlineStr">
        <is>
          <t>IF(OR(F136="",AO136=""),"",IF(COUNT(AI136:AN136)=0,"",AO136-LOOKUP(2,1/(AI136:AN136&lt;&gt;""),AI136:AN136)))</t>
        </is>
      </c>
      <c r="BC136" s="49" t="inlineStr">
        <is>
          <t>IF(OR(F136="",AP136=""),"",IF(COUNT(AI136:AO136)=0,"",AP136-LOOKUP(2,1/(AI136:AO136&lt;&gt;""),AI136:AO136)))</t>
        </is>
      </c>
      <c r="BD136" s="49" t="inlineStr">
        <is>
          <t>IF(OR(F136="",AQ136=""),"",IF(COUNT(AI136:AP136)=0,"",AQ136-LOOKUP(2,1/(AI136:AP136&lt;&gt;""),AI136:AP136)))</t>
        </is>
      </c>
      <c r="BE136" s="49" t="inlineStr">
        <is>
          <t>IF(OR(F136="",AR136=""),"",IF(COUNT(AI136:AQ136)=0,"",AR136-LOOKUP(2,1/(AI136:AQ136&lt;&gt;""),AI136:AQ136)))</t>
        </is>
      </c>
      <c r="BF136" s="49" t="inlineStr">
        <is>
          <t>IF(OR(F136="",AS136=""),"",IF(COUNT(AI136:AR136)=0,"",AS136-LOOKUP(2,1/(AI136:AR136&lt;&gt;""),AI136:AR136)))</t>
        </is>
      </c>
      <c r="BG136" s="49" t="inlineStr">
        <is>
          <t>IF(OR(F136="",AT136=""),"",IF(COUNT(AI136:AS136)=0,"",AT136-LOOKUP(2,1/(AI136:AS136&lt;&gt;""),AI136:AS136)))</t>
        </is>
      </c>
      <c r="BH136" s="49" t="inlineStr">
        <is>
          <t>IF(OR(F136="",AU136=""),"",IF(COUNT(AI136:AT136)=0,"",AU136-LOOKUP(2,1/(AI136:AT136&lt;&gt;""),AI136:AT136)))</t>
        </is>
      </c>
      <c r="BI136" s="49" t="inlineStr">
        <is>
          <t>IF(OR(F136="",AV136=""),"",IF(COUNT(AI136:AU136)=0,"",AV136-LOOKUP(2,1/(AI136:AU136&lt;&gt;""),AI136:AU136)))</t>
        </is>
      </c>
      <c r="BJ136" s="51" t="inlineStr">
        <is>
          <t>IF(J136="","All_Provinces",IFERROR(VLOOKUP(J136,'09_Lookups'!$A$4:$B$20,2,FALSE),"All_Provinces"))</t>
        </is>
      </c>
      <c r="BK136" s="51" t="inlineStr">
        <is>
          <t>IF(K136="","All_Districts",IFERROR(VLOOKUP(K136,'09_Lookups'!$E$4:$F$42,2,FALSE),"All_Districts"))</t>
        </is>
      </c>
    </row>
    <row r="137" outlineLevel="1" ht="18" customHeight="1">
      <c r="A137" s="42" t="inlineStr">
        <is>
          <t>IF(F137="","",ROW()-3)</t>
        </is>
      </c>
      <c r="B137" s="61" t="inlineStr">
        <is>
          <t>AF2-DIS-08</t>
        </is>
      </c>
      <c r="C137"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7" s="61" t="inlineStr">
        <is>
          <t>7 of 12</t>
        </is>
      </c>
      <c r="E137" s="44" t="inlineStr">
        <is>
          <t>AF2-DIS-N-095</t>
        </is>
      </c>
      <c r="F137" s="44" t="inlineStr">
        <is>
          <t>Hassan Tabin drip irrigation</t>
        </is>
      </c>
      <c r="G137" s="44" t="inlineStr">
        <is>
          <t>Drip Irrigation</t>
        </is>
      </c>
      <c r="H137" s="44" t="inlineStr">
        <is>
          <t>Drip Irrigation Plot</t>
        </is>
      </c>
      <c r="I137" s="44" t="inlineStr">
        <is>
          <t>Emergency Food Security Project (EFSP) – WBK/AF-2</t>
        </is>
      </c>
      <c r="J137" s="44" t="inlineStr">
        <is>
          <t>North / Mazar</t>
        </is>
      </c>
      <c r="K137" s="44" t="inlineStr">
        <is>
          <t>Jawzjan</t>
        </is>
      </c>
      <c r="L137" s="44" t="inlineStr">
        <is>
          <t>Sheberghan</t>
        </is>
      </c>
      <c r="M137" s="44" t="inlineStr">
        <is>
          <t>Hassan Tabin</t>
        </is>
      </c>
      <c r="N137" s="44" t="inlineStr">
        <is>
          <t>World Bank (WBK/AF-2)</t>
        </is>
      </c>
      <c r="O137" s="44" t="inlineStr">
        <is>
          <t>Not awarded</t>
        </is>
      </c>
      <c r="P137" s="44" t="inlineStr">
        <is>
          <t>5. Drip Irrigation systems</t>
        </is>
      </c>
      <c r="Q137" s="44" t="inlineStr"/>
      <c r="R137" s="44" t="inlineStr"/>
      <c r="S137" s="45" t="n">
        <v>8500</v>
      </c>
      <c r="T137" s="46" t="inlineStr">
        <is>
          <t>IF(AQ137="","",AQ137)</t>
        </is>
      </c>
      <c r="U137" s="47" t="n">
        <v>46042</v>
      </c>
      <c r="V137" s="48" t="n">
        <v>6.2</v>
      </c>
      <c r="W137" s="47" t="n">
        <v>46232</v>
      </c>
      <c r="X137" s="46" t="inlineStr">
        <is>
          <t>IF(W137&lt;&gt;"",W137,IF(OR(T137="",V137=""),"",EDATE(T137,V137)))</t>
        </is>
      </c>
      <c r="Y137" s="47" t="n"/>
      <c r="Z137" s="48" t="n"/>
      <c r="AA137" s="44" t="inlineStr">
        <is>
          <t>Under Review of WRI</t>
        </is>
      </c>
      <c r="AB137" s="44" t="inlineStr">
        <is>
          <t>Construction period five months starting from March 2027.</t>
        </is>
      </c>
      <c r="AC137" s="42" t="inlineStr">
        <is>
          <t>IF(F137="","",IF(COUNT(AI137:AV137)=0,IF(AA137="","Not started",AA137),SUBSTITUTE(LOOKUP(2,1/(AI137:AV137&lt;&gt;""),$AI$3:$AV$3),"Date: ","")))</t>
        </is>
      </c>
      <c r="AD137" s="49" t="inlineStr">
        <is>
          <t>IF(OR(F137="",COUNT(AI137:AV137)=0),"",TODAY()-LOOKUP(2,1/(AI137:AV137&lt;&gt;""),AI137:AV137))</t>
        </is>
      </c>
      <c r="AE137" s="49" t="inlineStr">
        <is>
          <t>IF(OR(F137="",COUNT(AI137:AV137)&lt;2),"",LOOKUP(2,1/(AI137:AV137&lt;&gt;""),AI137:AV137)-MIN(AI137:AV137))</t>
        </is>
      </c>
      <c r="AF137" s="49" t="inlineStr">
        <is>
          <t>IF(OR(AD137="",AC137="Not started",AC137=""),"",IFERROR(AD137-IF(VLOOKUP(AC137,'06_Status_Pipeline'!$B$3:$E$20,4,FALSE)="",0,VLOOKUP(AC137,'06_Status_Pipeline'!$B$3:$E$20,4,FALSE)),""))</t>
        </is>
      </c>
      <c r="AG137" s="42" t="inlineStr">
        <is>
          <t>IF(F137="","",IF(OR(AA137="Cancelled",AC137="Cancelled"),"Cancelled",IF(OR(AC137="Completed / Handover",Y137&lt;&gt;"",Z137&gt;=100),"Completed — on track",IF(O137="Not awarded",IF(U137="",IF(X137="","No planned date",IF(TODAY()&gt;X137,"Behind — past planned date",IF(X137-TODAY()&lt;=30,"At risk — close to off track","On track"))),IF(TODAY()&gt;U137,"Behind — award date passed",IF(U137-TODAY()&lt;=30,"At risk — close to off track","On track"))),IF(X137="","No planned date",IF(AND(TODAY()&gt;X137,OR(Z137="",Z137&lt;100)),"Behind — past end date",IF(AND(T137&lt;&gt;"",X137&lt;&gt;"",Z137&lt;&gt;"",(Z137&lt;100),((TODAY()-T137)/MAX(X137-T137,1)*100)-Z137&gt;15),"Behind — progress lag",IF(AND(X137-TODAY()&lt;=30,X137-TODAY()&gt;=0,OR(Z137="",Z137&lt;90)),"At risk — close to off track","On track"))))))))</t>
        </is>
      </c>
      <c r="AH137" s="49" t="inlineStr">
        <is>
          <t>IF(OR(F137="",AC137="Completed / Handover",AC137="Cancelled"),"",IF(O137="Not awarded",IF(U137&lt;&gt;"",U137-TODAY(),IF(X137="","",X137-TODAY())),IF(X137="","",X137-TODAY())))</t>
        </is>
      </c>
      <c r="AI137" s="47" t="n"/>
      <c r="AJ137" s="47" t="n"/>
      <c r="AK137" s="47" t="n"/>
      <c r="AL137" s="47" t="n"/>
      <c r="AM137" s="47" t="n"/>
      <c r="AN137" s="47" t="n"/>
      <c r="AO137" s="47" t="n"/>
      <c r="AP137" s="47" t="n"/>
      <c r="AQ137" s="47" t="n"/>
      <c r="AR137" s="47" t="n"/>
      <c r="AS137" s="47" t="n"/>
      <c r="AT137" s="50" t="n"/>
      <c r="AU137" s="50" t="n"/>
      <c r="AV137" s="50" t="n"/>
      <c r="AW137" s="49" t="inlineStr">
        <is>
          <t>IF(OR(F137="",AJ137=""),"",IF(COUNT(AI137:AI137)=0,"",AJ137-LOOKUP(2,1/(AI137:AI137&lt;&gt;""),AI137:AI137)))</t>
        </is>
      </c>
      <c r="AX137" s="49" t="inlineStr">
        <is>
          <t>IF(OR(F137="",AK137=""),"",IF(COUNT(AI137:AJ137)=0,"",AK137-LOOKUP(2,1/(AI137:AJ137&lt;&gt;""),AI137:AJ137)))</t>
        </is>
      </c>
      <c r="AY137" s="49" t="inlineStr">
        <is>
          <t>IF(OR(F137="",AL137=""),"",IF(COUNT(AI137:AK137)=0,"",AL137-LOOKUP(2,1/(AI137:AK137&lt;&gt;""),AI137:AK137)))</t>
        </is>
      </c>
      <c r="AZ137" s="49" t="inlineStr">
        <is>
          <t>IF(OR(F137="",AM137=""),"",IF(COUNT(AI137:AL137)=0,"",AM137-LOOKUP(2,1/(AI137:AL137&lt;&gt;""),AI137:AL137)))</t>
        </is>
      </c>
      <c r="BA137" s="49" t="inlineStr">
        <is>
          <t>IF(OR(F137="",AN137=""),"",IF(COUNT(AI137:AM137)=0,"",AN137-LOOKUP(2,1/(AI137:AM137&lt;&gt;""),AI137:AM137)))</t>
        </is>
      </c>
      <c r="BB137" s="49" t="inlineStr">
        <is>
          <t>IF(OR(F137="",AO137=""),"",IF(COUNT(AI137:AN137)=0,"",AO137-LOOKUP(2,1/(AI137:AN137&lt;&gt;""),AI137:AN137)))</t>
        </is>
      </c>
      <c r="BC137" s="49" t="inlineStr">
        <is>
          <t>IF(OR(F137="",AP137=""),"",IF(COUNT(AI137:AO137)=0,"",AP137-LOOKUP(2,1/(AI137:AO137&lt;&gt;""),AI137:AO137)))</t>
        </is>
      </c>
      <c r="BD137" s="49" t="inlineStr">
        <is>
          <t>IF(OR(F137="",AQ137=""),"",IF(COUNT(AI137:AP137)=0,"",AQ137-LOOKUP(2,1/(AI137:AP137&lt;&gt;""),AI137:AP137)))</t>
        </is>
      </c>
      <c r="BE137" s="49" t="inlineStr">
        <is>
          <t>IF(OR(F137="",AR137=""),"",IF(COUNT(AI137:AQ137)=0,"",AR137-LOOKUP(2,1/(AI137:AQ137&lt;&gt;""),AI137:AQ137)))</t>
        </is>
      </c>
      <c r="BF137" s="49" t="inlineStr">
        <is>
          <t>IF(OR(F137="",AS137=""),"",IF(COUNT(AI137:AR137)=0,"",AS137-LOOKUP(2,1/(AI137:AR137&lt;&gt;""),AI137:AR137)))</t>
        </is>
      </c>
      <c r="BG137" s="49" t="inlineStr">
        <is>
          <t>IF(OR(F137="",AT137=""),"",IF(COUNT(AI137:AS137)=0,"",AT137-LOOKUP(2,1/(AI137:AS137&lt;&gt;""),AI137:AS137)))</t>
        </is>
      </c>
      <c r="BH137" s="49" t="inlineStr">
        <is>
          <t>IF(OR(F137="",AU137=""),"",IF(COUNT(AI137:AT137)=0,"",AU137-LOOKUP(2,1/(AI137:AT137&lt;&gt;""),AI137:AT137)))</t>
        </is>
      </c>
      <c r="BI137" s="49" t="inlineStr">
        <is>
          <t>IF(OR(F137="",AV137=""),"",IF(COUNT(AI137:AU137)=0,"",AV137-LOOKUP(2,1/(AI137:AU137&lt;&gt;""),AI137:AU137)))</t>
        </is>
      </c>
      <c r="BJ137" s="51" t="inlineStr">
        <is>
          <t>IF(J137="","All_Provinces",IFERROR(VLOOKUP(J137,'09_Lookups'!$A$4:$B$20,2,FALSE),"All_Provinces"))</t>
        </is>
      </c>
      <c r="BK137" s="51" t="inlineStr">
        <is>
          <t>IF(K137="","All_Districts",IFERROR(VLOOKUP(K137,'09_Lookups'!$E$4:$F$42,2,FALSE),"All_Districts"))</t>
        </is>
      </c>
    </row>
    <row r="138" outlineLevel="1" ht="18" customHeight="1">
      <c r="A138" s="42" t="inlineStr">
        <is>
          <t>IF(F138="","",ROW()-3)</t>
        </is>
      </c>
      <c r="B138" s="61" t="inlineStr">
        <is>
          <t>AF2-DIS-08</t>
        </is>
      </c>
      <c r="C138"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8" s="61" t="inlineStr">
        <is>
          <t>8 of 12</t>
        </is>
      </c>
      <c r="E138" s="52" t="inlineStr">
        <is>
          <t>AF2-DIS-N-096</t>
        </is>
      </c>
      <c r="F138" s="52" t="inlineStr">
        <is>
          <t>Hazrat-e-Sultan drip irrigation</t>
        </is>
      </c>
      <c r="G138" s="52" t="inlineStr">
        <is>
          <t>Drip Irrigation</t>
        </is>
      </c>
      <c r="H138" s="52" t="inlineStr">
        <is>
          <t>Drip Irrigation Plot</t>
        </is>
      </c>
      <c r="I138" s="52" t="inlineStr">
        <is>
          <t>Emergency Food Security Project (EFSP) – WBK/AF-2</t>
        </is>
      </c>
      <c r="J138" s="52" t="inlineStr">
        <is>
          <t>North / Mazar</t>
        </is>
      </c>
      <c r="K138" s="52" t="inlineStr">
        <is>
          <t>Samangan</t>
        </is>
      </c>
      <c r="L138" s="52" t="inlineStr">
        <is>
          <t>Hazrat-e-Sultan</t>
        </is>
      </c>
      <c r="M138" s="52" t="inlineStr">
        <is>
          <t>Asiabad</t>
        </is>
      </c>
      <c r="N138" s="52" t="inlineStr">
        <is>
          <t>World Bank (WBK/AF-2)</t>
        </is>
      </c>
      <c r="O138" s="52" t="inlineStr">
        <is>
          <t>Not awarded</t>
        </is>
      </c>
      <c r="P138" s="52" t="inlineStr">
        <is>
          <t>5. Drip Irrigation systems</t>
        </is>
      </c>
      <c r="Q138" s="52" t="inlineStr"/>
      <c r="R138" s="52" t="inlineStr"/>
      <c r="S138" s="53" t="n">
        <v>8500</v>
      </c>
      <c r="T138" s="46" t="inlineStr">
        <is>
          <t>IF(AQ138="","",AQ138)</t>
        </is>
      </c>
      <c r="U138" s="54" t="n">
        <v>46042</v>
      </c>
      <c r="V138" s="55" t="n">
        <v>6.2</v>
      </c>
      <c r="W138" s="54" t="n">
        <v>46232</v>
      </c>
      <c r="X138" s="46" t="inlineStr">
        <is>
          <t>IF(W138&lt;&gt;"",W138,IF(OR(T138="",V138=""),"",EDATE(T138,V138)))</t>
        </is>
      </c>
      <c r="Y138" s="54" t="n"/>
      <c r="Z138" s="55" t="n"/>
      <c r="AA138" s="52" t="inlineStr">
        <is>
          <t>Under Review of WRI</t>
        </is>
      </c>
      <c r="AB138" s="52" t="inlineStr">
        <is>
          <t>Construction period five months starting from March 2027.</t>
        </is>
      </c>
      <c r="AC138" s="42" t="inlineStr">
        <is>
          <t>IF(F138="","",IF(COUNT(AI138:AV138)=0,IF(AA138="","Not started",AA138),SUBSTITUTE(LOOKUP(2,1/(AI138:AV138&lt;&gt;""),$AI$3:$AV$3),"Date: ","")))</t>
        </is>
      </c>
      <c r="AD138" s="49" t="inlineStr">
        <is>
          <t>IF(OR(F138="",COUNT(AI138:AV138)=0),"",TODAY()-LOOKUP(2,1/(AI138:AV138&lt;&gt;""),AI138:AV138))</t>
        </is>
      </c>
      <c r="AE138" s="49" t="inlineStr">
        <is>
          <t>IF(OR(F138="",COUNT(AI138:AV138)&lt;2),"",LOOKUP(2,1/(AI138:AV138&lt;&gt;""),AI138:AV138)-MIN(AI138:AV138))</t>
        </is>
      </c>
      <c r="AF138" s="49" t="inlineStr">
        <is>
          <t>IF(OR(AD138="",AC138="Not started",AC138=""),"",IFERROR(AD138-IF(VLOOKUP(AC138,'06_Status_Pipeline'!$B$3:$E$20,4,FALSE)="",0,VLOOKUP(AC138,'06_Status_Pipeline'!$B$3:$E$20,4,FALSE)),""))</t>
        </is>
      </c>
      <c r="AG138" s="42" t="inlineStr">
        <is>
          <t>IF(F138="","",IF(OR(AA138="Cancelled",AC138="Cancelled"),"Cancelled",IF(OR(AC138="Completed / Handover",Y138&lt;&gt;"",Z138&gt;=100),"Completed — on track",IF(O138="Not awarded",IF(U138="",IF(X138="","No planned date",IF(TODAY()&gt;X138,"Behind — past planned date",IF(X138-TODAY()&lt;=30,"At risk — close to off track","On track"))),IF(TODAY()&gt;U138,"Behind — award date passed",IF(U138-TODAY()&lt;=30,"At risk — close to off track","On track"))),IF(X138="","No planned date",IF(AND(TODAY()&gt;X138,OR(Z138="",Z138&lt;100)),"Behind — past end date",IF(AND(T138&lt;&gt;"",X138&lt;&gt;"",Z138&lt;&gt;"",(Z138&lt;100),((TODAY()-T138)/MAX(X138-T138,1)*100)-Z138&gt;15),"Behind — progress lag",IF(AND(X138-TODAY()&lt;=30,X138-TODAY()&gt;=0,OR(Z138="",Z138&lt;90)),"At risk — close to off track","On track"))))))))</t>
        </is>
      </c>
      <c r="AH138" s="49" t="inlineStr">
        <is>
          <t>IF(OR(F138="",AC138="Completed / Handover",AC138="Cancelled"),"",IF(O138="Not awarded",IF(U138&lt;&gt;"",U138-TODAY(),IF(X138="","",X138-TODAY())),IF(X138="","",X138-TODAY())))</t>
        </is>
      </c>
      <c r="AI138" s="54" t="n"/>
      <c r="AJ138" s="54" t="n"/>
      <c r="AK138" s="54" t="n"/>
      <c r="AL138" s="54" t="n"/>
      <c r="AM138" s="54" t="n"/>
      <c r="AN138" s="54" t="n"/>
      <c r="AO138" s="54" t="n"/>
      <c r="AP138" s="54" t="n"/>
      <c r="AQ138" s="54" t="n"/>
      <c r="AR138" s="54" t="n"/>
      <c r="AS138" s="54" t="n"/>
      <c r="AT138" s="50" t="n"/>
      <c r="AU138" s="50" t="n"/>
      <c r="AV138" s="50" t="n"/>
      <c r="AW138" s="49" t="inlineStr">
        <is>
          <t>IF(OR(F138="",AJ138=""),"",IF(COUNT(AI138:AI138)=0,"",AJ138-LOOKUP(2,1/(AI138:AI138&lt;&gt;""),AI138:AI138)))</t>
        </is>
      </c>
      <c r="AX138" s="49" t="inlineStr">
        <is>
          <t>IF(OR(F138="",AK138=""),"",IF(COUNT(AI138:AJ138)=0,"",AK138-LOOKUP(2,1/(AI138:AJ138&lt;&gt;""),AI138:AJ138)))</t>
        </is>
      </c>
      <c r="AY138" s="49" t="inlineStr">
        <is>
          <t>IF(OR(F138="",AL138=""),"",IF(COUNT(AI138:AK138)=0,"",AL138-LOOKUP(2,1/(AI138:AK138&lt;&gt;""),AI138:AK138)))</t>
        </is>
      </c>
      <c r="AZ138" s="49" t="inlineStr">
        <is>
          <t>IF(OR(F138="",AM138=""),"",IF(COUNT(AI138:AL138)=0,"",AM138-LOOKUP(2,1/(AI138:AL138&lt;&gt;""),AI138:AL138)))</t>
        </is>
      </c>
      <c r="BA138" s="49" t="inlineStr">
        <is>
          <t>IF(OR(F138="",AN138=""),"",IF(COUNT(AI138:AM138)=0,"",AN138-LOOKUP(2,1/(AI138:AM138&lt;&gt;""),AI138:AM138)))</t>
        </is>
      </c>
      <c r="BB138" s="49" t="inlineStr">
        <is>
          <t>IF(OR(F138="",AO138=""),"",IF(COUNT(AI138:AN138)=0,"",AO138-LOOKUP(2,1/(AI138:AN138&lt;&gt;""),AI138:AN138)))</t>
        </is>
      </c>
      <c r="BC138" s="49" t="inlineStr">
        <is>
          <t>IF(OR(F138="",AP138=""),"",IF(COUNT(AI138:AO138)=0,"",AP138-LOOKUP(2,1/(AI138:AO138&lt;&gt;""),AI138:AO138)))</t>
        </is>
      </c>
      <c r="BD138" s="49" t="inlineStr">
        <is>
          <t>IF(OR(F138="",AQ138=""),"",IF(COUNT(AI138:AP138)=0,"",AQ138-LOOKUP(2,1/(AI138:AP138&lt;&gt;""),AI138:AP138)))</t>
        </is>
      </c>
      <c r="BE138" s="49" t="inlineStr">
        <is>
          <t>IF(OR(F138="",AR138=""),"",IF(COUNT(AI138:AQ138)=0,"",AR138-LOOKUP(2,1/(AI138:AQ138&lt;&gt;""),AI138:AQ138)))</t>
        </is>
      </c>
      <c r="BF138" s="49" t="inlineStr">
        <is>
          <t>IF(OR(F138="",AS138=""),"",IF(COUNT(AI138:AR138)=0,"",AS138-LOOKUP(2,1/(AI138:AR138&lt;&gt;""),AI138:AR138)))</t>
        </is>
      </c>
      <c r="BG138" s="49" t="inlineStr">
        <is>
          <t>IF(OR(F138="",AT138=""),"",IF(COUNT(AI138:AS138)=0,"",AT138-LOOKUP(2,1/(AI138:AS138&lt;&gt;""),AI138:AS138)))</t>
        </is>
      </c>
      <c r="BH138" s="49" t="inlineStr">
        <is>
          <t>IF(OR(F138="",AU138=""),"",IF(COUNT(AI138:AT138)=0,"",AU138-LOOKUP(2,1/(AI138:AT138&lt;&gt;""),AI138:AT138)))</t>
        </is>
      </c>
      <c r="BI138" s="49" t="inlineStr">
        <is>
          <t>IF(OR(F138="",AV138=""),"",IF(COUNT(AI138:AU138)=0,"",AV138-LOOKUP(2,1/(AI138:AU138&lt;&gt;""),AI138:AU138)))</t>
        </is>
      </c>
      <c r="BJ138" s="51" t="inlineStr">
        <is>
          <t>IF(J138="","All_Provinces",IFERROR(VLOOKUP(J138,'09_Lookups'!$A$4:$B$20,2,FALSE),"All_Provinces"))</t>
        </is>
      </c>
      <c r="BK138" s="51" t="inlineStr">
        <is>
          <t>IF(K138="","All_Districts",IFERROR(VLOOKUP(K138,'09_Lookups'!$E$4:$F$42,2,FALSE),"All_Districts"))</t>
        </is>
      </c>
    </row>
    <row r="139" outlineLevel="1" ht="18" customHeight="1">
      <c r="A139" s="42" t="inlineStr">
        <is>
          <t>IF(F139="","",ROW()-3)</t>
        </is>
      </c>
      <c r="B139" s="61" t="inlineStr">
        <is>
          <t>AF2-DIS-08</t>
        </is>
      </c>
      <c r="C139"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39" s="61" t="inlineStr">
        <is>
          <t>9 of 12</t>
        </is>
      </c>
      <c r="E139" s="44" t="inlineStr">
        <is>
          <t>AF2-DIS-N-097</t>
        </is>
      </c>
      <c r="F139" s="44" t="inlineStr">
        <is>
          <t>Imam Jaffar drip irrigation</t>
        </is>
      </c>
      <c r="G139" s="44" t="inlineStr">
        <is>
          <t>Drip Irrigation</t>
        </is>
      </c>
      <c r="H139" s="44" t="inlineStr">
        <is>
          <t>Drip Irrigation Plot</t>
        </is>
      </c>
      <c r="I139" s="44" t="inlineStr">
        <is>
          <t>Emergency Food Security Project (EFSP) – WBK/AF-2</t>
        </is>
      </c>
      <c r="J139" s="44" t="inlineStr">
        <is>
          <t>North / Mazar</t>
        </is>
      </c>
      <c r="K139" s="44" t="inlineStr">
        <is>
          <t>Sari Pul</t>
        </is>
      </c>
      <c r="L139" s="44" t="inlineStr">
        <is>
          <t>Sayed Abad</t>
        </is>
      </c>
      <c r="M139" s="44" t="inlineStr">
        <is>
          <t>Imam Jaffar</t>
        </is>
      </c>
      <c r="N139" s="44" t="inlineStr">
        <is>
          <t>World Bank (WBK/AF-2)</t>
        </is>
      </c>
      <c r="O139" s="44" t="inlineStr">
        <is>
          <t>Not awarded</t>
        </is>
      </c>
      <c r="P139" s="44" t="inlineStr">
        <is>
          <t>5. Drip Irrigation systems</t>
        </is>
      </c>
      <c r="Q139" s="44" t="inlineStr"/>
      <c r="R139" s="44" t="inlineStr"/>
      <c r="S139" s="45" t="n">
        <v>4250</v>
      </c>
      <c r="T139" s="46" t="inlineStr">
        <is>
          <t>IF(AQ139="","",AQ139)</t>
        </is>
      </c>
      <c r="U139" s="47" t="n">
        <v>46042</v>
      </c>
      <c r="V139" s="48" t="n">
        <v>6.2</v>
      </c>
      <c r="W139" s="47" t="n">
        <v>46232</v>
      </c>
      <c r="X139" s="46" t="inlineStr">
        <is>
          <t>IF(W139&lt;&gt;"",W139,IF(OR(T139="",V139=""),"",EDATE(T139,V139)))</t>
        </is>
      </c>
      <c r="Y139" s="47" t="n"/>
      <c r="Z139" s="48" t="n"/>
      <c r="AA139" s="44" t="inlineStr">
        <is>
          <t>Under Review of WRI</t>
        </is>
      </c>
      <c r="AB139" s="44" t="inlineStr">
        <is>
          <t>Construction period five months starting from March 2027.</t>
        </is>
      </c>
      <c r="AC139" s="42" t="inlineStr">
        <is>
          <t>IF(F139="","",IF(COUNT(AI139:AV139)=0,IF(AA139="","Not started",AA139),SUBSTITUTE(LOOKUP(2,1/(AI139:AV139&lt;&gt;""),$AI$3:$AV$3),"Date: ","")))</t>
        </is>
      </c>
      <c r="AD139" s="49" t="inlineStr">
        <is>
          <t>IF(OR(F139="",COUNT(AI139:AV139)=0),"",TODAY()-LOOKUP(2,1/(AI139:AV139&lt;&gt;""),AI139:AV139))</t>
        </is>
      </c>
      <c r="AE139" s="49" t="inlineStr">
        <is>
          <t>IF(OR(F139="",COUNT(AI139:AV139)&lt;2),"",LOOKUP(2,1/(AI139:AV139&lt;&gt;""),AI139:AV139)-MIN(AI139:AV139))</t>
        </is>
      </c>
      <c r="AF139" s="49" t="inlineStr">
        <is>
          <t>IF(OR(AD139="",AC139="Not started",AC139=""),"",IFERROR(AD139-IF(VLOOKUP(AC139,'06_Status_Pipeline'!$B$3:$E$20,4,FALSE)="",0,VLOOKUP(AC139,'06_Status_Pipeline'!$B$3:$E$20,4,FALSE)),""))</t>
        </is>
      </c>
      <c r="AG139" s="42" t="inlineStr">
        <is>
          <t>IF(F139="","",IF(OR(AA139="Cancelled",AC139="Cancelled"),"Cancelled",IF(OR(AC139="Completed / Handover",Y139&lt;&gt;"",Z139&gt;=100),"Completed — on track",IF(O139="Not awarded",IF(U139="",IF(X139="","No planned date",IF(TODAY()&gt;X139,"Behind — past planned date",IF(X139-TODAY()&lt;=30,"At risk — close to off track","On track"))),IF(TODAY()&gt;U139,"Behind — award date passed",IF(U139-TODAY()&lt;=30,"At risk — close to off track","On track"))),IF(X139="","No planned date",IF(AND(TODAY()&gt;X139,OR(Z139="",Z139&lt;100)),"Behind — past end date",IF(AND(T139&lt;&gt;"",X139&lt;&gt;"",Z139&lt;&gt;"",(Z139&lt;100),((TODAY()-T139)/MAX(X139-T139,1)*100)-Z139&gt;15),"Behind — progress lag",IF(AND(X139-TODAY()&lt;=30,X139-TODAY()&gt;=0,OR(Z139="",Z139&lt;90)),"At risk — close to off track","On track"))))))))</t>
        </is>
      </c>
      <c r="AH139" s="49" t="inlineStr">
        <is>
          <t>IF(OR(F139="",AC139="Completed / Handover",AC139="Cancelled"),"",IF(O139="Not awarded",IF(U139&lt;&gt;"",U139-TODAY(),IF(X139="","",X139-TODAY())),IF(X139="","",X139-TODAY())))</t>
        </is>
      </c>
      <c r="AI139" s="47" t="n"/>
      <c r="AJ139" s="47" t="n"/>
      <c r="AK139" s="47" t="n"/>
      <c r="AL139" s="47" t="n"/>
      <c r="AM139" s="47" t="n"/>
      <c r="AN139" s="47" t="n"/>
      <c r="AO139" s="47" t="n"/>
      <c r="AP139" s="47" t="n"/>
      <c r="AQ139" s="47" t="n"/>
      <c r="AR139" s="47" t="n"/>
      <c r="AS139" s="47" t="n"/>
      <c r="AT139" s="50" t="n"/>
      <c r="AU139" s="50" t="n"/>
      <c r="AV139" s="50" t="n"/>
      <c r="AW139" s="49" t="inlineStr">
        <is>
          <t>IF(OR(F139="",AJ139=""),"",IF(COUNT(AI139:AI139)=0,"",AJ139-LOOKUP(2,1/(AI139:AI139&lt;&gt;""),AI139:AI139)))</t>
        </is>
      </c>
      <c r="AX139" s="49" t="inlineStr">
        <is>
          <t>IF(OR(F139="",AK139=""),"",IF(COUNT(AI139:AJ139)=0,"",AK139-LOOKUP(2,1/(AI139:AJ139&lt;&gt;""),AI139:AJ139)))</t>
        </is>
      </c>
      <c r="AY139" s="49" t="inlineStr">
        <is>
          <t>IF(OR(F139="",AL139=""),"",IF(COUNT(AI139:AK139)=0,"",AL139-LOOKUP(2,1/(AI139:AK139&lt;&gt;""),AI139:AK139)))</t>
        </is>
      </c>
      <c r="AZ139" s="49" t="inlineStr">
        <is>
          <t>IF(OR(F139="",AM139=""),"",IF(COUNT(AI139:AL139)=0,"",AM139-LOOKUP(2,1/(AI139:AL139&lt;&gt;""),AI139:AL139)))</t>
        </is>
      </c>
      <c r="BA139" s="49" t="inlineStr">
        <is>
          <t>IF(OR(F139="",AN139=""),"",IF(COUNT(AI139:AM139)=0,"",AN139-LOOKUP(2,1/(AI139:AM139&lt;&gt;""),AI139:AM139)))</t>
        </is>
      </c>
      <c r="BB139" s="49" t="inlineStr">
        <is>
          <t>IF(OR(F139="",AO139=""),"",IF(COUNT(AI139:AN139)=0,"",AO139-LOOKUP(2,1/(AI139:AN139&lt;&gt;""),AI139:AN139)))</t>
        </is>
      </c>
      <c r="BC139" s="49" t="inlineStr">
        <is>
          <t>IF(OR(F139="",AP139=""),"",IF(COUNT(AI139:AO139)=0,"",AP139-LOOKUP(2,1/(AI139:AO139&lt;&gt;""),AI139:AO139)))</t>
        </is>
      </c>
      <c r="BD139" s="49" t="inlineStr">
        <is>
          <t>IF(OR(F139="",AQ139=""),"",IF(COUNT(AI139:AP139)=0,"",AQ139-LOOKUP(2,1/(AI139:AP139&lt;&gt;""),AI139:AP139)))</t>
        </is>
      </c>
      <c r="BE139" s="49" t="inlineStr">
        <is>
          <t>IF(OR(F139="",AR139=""),"",IF(COUNT(AI139:AQ139)=0,"",AR139-LOOKUP(2,1/(AI139:AQ139&lt;&gt;""),AI139:AQ139)))</t>
        </is>
      </c>
      <c r="BF139" s="49" t="inlineStr">
        <is>
          <t>IF(OR(F139="",AS139=""),"",IF(COUNT(AI139:AR139)=0,"",AS139-LOOKUP(2,1/(AI139:AR139&lt;&gt;""),AI139:AR139)))</t>
        </is>
      </c>
      <c r="BG139" s="49" t="inlineStr">
        <is>
          <t>IF(OR(F139="",AT139=""),"",IF(COUNT(AI139:AS139)=0,"",AT139-LOOKUP(2,1/(AI139:AS139&lt;&gt;""),AI139:AS139)))</t>
        </is>
      </c>
      <c r="BH139" s="49" t="inlineStr">
        <is>
          <t>IF(OR(F139="",AU139=""),"",IF(COUNT(AI139:AT139)=0,"",AU139-LOOKUP(2,1/(AI139:AT139&lt;&gt;""),AI139:AT139)))</t>
        </is>
      </c>
      <c r="BI139" s="49" t="inlineStr">
        <is>
          <t>IF(OR(F139="",AV139=""),"",IF(COUNT(AI139:AU139)=0,"",AV139-LOOKUP(2,1/(AI139:AU139&lt;&gt;""),AI139:AU139)))</t>
        </is>
      </c>
      <c r="BJ139" s="51" t="inlineStr">
        <is>
          <t>IF(J139="","All_Provinces",IFERROR(VLOOKUP(J139,'09_Lookups'!$A$4:$B$20,2,FALSE),"All_Provinces"))</t>
        </is>
      </c>
      <c r="BK139" s="51" t="inlineStr">
        <is>
          <t>IF(K139="","All_Districts",IFERROR(VLOOKUP(K139,'09_Lookups'!$E$4:$F$42,2,FALSE),"All_Districts"))</t>
        </is>
      </c>
    </row>
    <row r="140" outlineLevel="1" ht="18" customHeight="1">
      <c r="A140" s="42" t="inlineStr">
        <is>
          <t>IF(F140="","",ROW()-3)</t>
        </is>
      </c>
      <c r="B140" s="61" t="inlineStr">
        <is>
          <t>AF2-DIS-08</t>
        </is>
      </c>
      <c r="C140"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40" s="61" t="inlineStr">
        <is>
          <t>10 of 12</t>
        </is>
      </c>
      <c r="E140" s="52" t="inlineStr">
        <is>
          <t>AF2-DIS-N-098</t>
        </is>
      </c>
      <c r="F140" s="52" t="inlineStr">
        <is>
          <t>Maimana drip irrigation</t>
        </is>
      </c>
      <c r="G140" s="52" t="inlineStr">
        <is>
          <t>Drip Irrigation</t>
        </is>
      </c>
      <c r="H140" s="52" t="inlineStr">
        <is>
          <t>Drip Irrigation Plot</t>
        </is>
      </c>
      <c r="I140" s="52" t="inlineStr">
        <is>
          <t>Emergency Food Security Project (EFSP) – WBK/AF-2</t>
        </is>
      </c>
      <c r="J140" s="52" t="inlineStr">
        <is>
          <t>North / Mazar</t>
        </is>
      </c>
      <c r="K140" s="52" t="inlineStr">
        <is>
          <t>Faryab</t>
        </is>
      </c>
      <c r="L140" s="52" t="inlineStr">
        <is>
          <t>Khwaja Sabz Posh</t>
        </is>
      </c>
      <c r="M140" s="52" t="inlineStr">
        <is>
          <t>Tepa Qishlaq</t>
        </is>
      </c>
      <c r="N140" s="52" t="inlineStr">
        <is>
          <t>World Bank (WBK/AF-2)</t>
        </is>
      </c>
      <c r="O140" s="52" t="inlineStr">
        <is>
          <t>Not awarded</t>
        </is>
      </c>
      <c r="P140" s="52" t="inlineStr">
        <is>
          <t>5. Drip Irrigation systems</t>
        </is>
      </c>
      <c r="Q140" s="52" t="inlineStr"/>
      <c r="R140" s="52" t="inlineStr"/>
      <c r="S140" s="53" t="n">
        <v>4250</v>
      </c>
      <c r="T140" s="46" t="inlineStr">
        <is>
          <t>IF(AQ140="","",AQ140)</t>
        </is>
      </c>
      <c r="U140" s="54" t="n">
        <v>46042</v>
      </c>
      <c r="V140" s="55" t="n">
        <v>6.2</v>
      </c>
      <c r="W140" s="54" t="n">
        <v>46232</v>
      </c>
      <c r="X140" s="46" t="inlineStr">
        <is>
          <t>IF(W140&lt;&gt;"",W140,IF(OR(T140="",V140=""),"",EDATE(T140,V140)))</t>
        </is>
      </c>
      <c r="Y140" s="54" t="n"/>
      <c r="Z140" s="55" t="n"/>
      <c r="AA140" s="52" t="inlineStr">
        <is>
          <t>Under Review of WRI</t>
        </is>
      </c>
      <c r="AB140" s="52" t="inlineStr">
        <is>
          <t>Construction period five months starting from March 2027.</t>
        </is>
      </c>
      <c r="AC140" s="42" t="inlineStr">
        <is>
          <t>IF(F140="","",IF(COUNT(AI140:AV140)=0,IF(AA140="","Not started",AA140),SUBSTITUTE(LOOKUP(2,1/(AI140:AV140&lt;&gt;""),$AI$3:$AV$3),"Date: ","")))</t>
        </is>
      </c>
      <c r="AD140" s="49" t="inlineStr">
        <is>
          <t>IF(OR(F140="",COUNT(AI140:AV140)=0),"",TODAY()-LOOKUP(2,1/(AI140:AV140&lt;&gt;""),AI140:AV140))</t>
        </is>
      </c>
      <c r="AE140" s="49" t="inlineStr">
        <is>
          <t>IF(OR(F140="",COUNT(AI140:AV140)&lt;2),"",LOOKUP(2,1/(AI140:AV140&lt;&gt;""),AI140:AV140)-MIN(AI140:AV140))</t>
        </is>
      </c>
      <c r="AF140" s="49" t="inlineStr">
        <is>
          <t>IF(OR(AD140="",AC140="Not started",AC140=""),"",IFERROR(AD140-IF(VLOOKUP(AC140,'06_Status_Pipeline'!$B$3:$E$20,4,FALSE)="",0,VLOOKUP(AC140,'06_Status_Pipeline'!$B$3:$E$20,4,FALSE)),""))</t>
        </is>
      </c>
      <c r="AG140" s="42" t="inlineStr">
        <is>
          <t>IF(F140="","",IF(OR(AA140="Cancelled",AC140="Cancelled"),"Cancelled",IF(OR(AC140="Completed / Handover",Y140&lt;&gt;"",Z140&gt;=100),"Completed — on track",IF(O140="Not awarded",IF(U140="",IF(X140="","No planned date",IF(TODAY()&gt;X140,"Behind — past planned date",IF(X140-TODAY()&lt;=30,"At risk — close to off track","On track"))),IF(TODAY()&gt;U140,"Behind — award date passed",IF(U140-TODAY()&lt;=30,"At risk — close to off track","On track"))),IF(X140="","No planned date",IF(AND(TODAY()&gt;X140,OR(Z140="",Z140&lt;100)),"Behind — past end date",IF(AND(T140&lt;&gt;"",X140&lt;&gt;"",Z140&lt;&gt;"",(Z140&lt;100),((TODAY()-T140)/MAX(X140-T140,1)*100)-Z140&gt;15),"Behind — progress lag",IF(AND(X140-TODAY()&lt;=30,X140-TODAY()&gt;=0,OR(Z140="",Z140&lt;90)),"At risk — close to off track","On track"))))))))</t>
        </is>
      </c>
      <c r="AH140" s="49" t="inlineStr">
        <is>
          <t>IF(OR(F140="",AC140="Completed / Handover",AC140="Cancelled"),"",IF(O140="Not awarded",IF(U140&lt;&gt;"",U140-TODAY(),IF(X140="","",X140-TODAY())),IF(X140="","",X140-TODAY())))</t>
        </is>
      </c>
      <c r="AI140" s="54" t="n"/>
      <c r="AJ140" s="54" t="n"/>
      <c r="AK140" s="54" t="n"/>
      <c r="AL140" s="54" t="n"/>
      <c r="AM140" s="54" t="n"/>
      <c r="AN140" s="54" t="n"/>
      <c r="AO140" s="54" t="n"/>
      <c r="AP140" s="54" t="n"/>
      <c r="AQ140" s="54" t="n"/>
      <c r="AR140" s="54" t="n"/>
      <c r="AS140" s="54" t="n"/>
      <c r="AT140" s="50" t="n"/>
      <c r="AU140" s="50" t="n"/>
      <c r="AV140" s="50" t="n"/>
      <c r="AW140" s="49" t="inlineStr">
        <is>
          <t>IF(OR(F140="",AJ140=""),"",IF(COUNT(AI140:AI140)=0,"",AJ140-LOOKUP(2,1/(AI140:AI140&lt;&gt;""),AI140:AI140)))</t>
        </is>
      </c>
      <c r="AX140" s="49" t="inlineStr">
        <is>
          <t>IF(OR(F140="",AK140=""),"",IF(COUNT(AI140:AJ140)=0,"",AK140-LOOKUP(2,1/(AI140:AJ140&lt;&gt;""),AI140:AJ140)))</t>
        </is>
      </c>
      <c r="AY140" s="49" t="inlineStr">
        <is>
          <t>IF(OR(F140="",AL140=""),"",IF(COUNT(AI140:AK140)=0,"",AL140-LOOKUP(2,1/(AI140:AK140&lt;&gt;""),AI140:AK140)))</t>
        </is>
      </c>
      <c r="AZ140" s="49" t="inlineStr">
        <is>
          <t>IF(OR(F140="",AM140=""),"",IF(COUNT(AI140:AL140)=0,"",AM140-LOOKUP(2,1/(AI140:AL140&lt;&gt;""),AI140:AL140)))</t>
        </is>
      </c>
      <c r="BA140" s="49" t="inlineStr">
        <is>
          <t>IF(OR(F140="",AN140=""),"",IF(COUNT(AI140:AM140)=0,"",AN140-LOOKUP(2,1/(AI140:AM140&lt;&gt;""),AI140:AM140)))</t>
        </is>
      </c>
      <c r="BB140" s="49" t="inlineStr">
        <is>
          <t>IF(OR(F140="",AO140=""),"",IF(COUNT(AI140:AN140)=0,"",AO140-LOOKUP(2,1/(AI140:AN140&lt;&gt;""),AI140:AN140)))</t>
        </is>
      </c>
      <c r="BC140" s="49" t="inlineStr">
        <is>
          <t>IF(OR(F140="",AP140=""),"",IF(COUNT(AI140:AO140)=0,"",AP140-LOOKUP(2,1/(AI140:AO140&lt;&gt;""),AI140:AO140)))</t>
        </is>
      </c>
      <c r="BD140" s="49" t="inlineStr">
        <is>
          <t>IF(OR(F140="",AQ140=""),"",IF(COUNT(AI140:AP140)=0,"",AQ140-LOOKUP(2,1/(AI140:AP140&lt;&gt;""),AI140:AP140)))</t>
        </is>
      </c>
      <c r="BE140" s="49" t="inlineStr">
        <is>
          <t>IF(OR(F140="",AR140=""),"",IF(COUNT(AI140:AQ140)=0,"",AR140-LOOKUP(2,1/(AI140:AQ140&lt;&gt;""),AI140:AQ140)))</t>
        </is>
      </c>
      <c r="BF140" s="49" t="inlineStr">
        <is>
          <t>IF(OR(F140="",AS140=""),"",IF(COUNT(AI140:AR140)=0,"",AS140-LOOKUP(2,1/(AI140:AR140&lt;&gt;""),AI140:AR140)))</t>
        </is>
      </c>
      <c r="BG140" s="49" t="inlineStr">
        <is>
          <t>IF(OR(F140="",AT140=""),"",IF(COUNT(AI140:AS140)=0,"",AT140-LOOKUP(2,1/(AI140:AS140&lt;&gt;""),AI140:AS140)))</t>
        </is>
      </c>
      <c r="BH140" s="49" t="inlineStr">
        <is>
          <t>IF(OR(F140="",AU140=""),"",IF(COUNT(AI140:AT140)=0,"",AU140-LOOKUP(2,1/(AI140:AT140&lt;&gt;""),AI140:AT140)))</t>
        </is>
      </c>
      <c r="BI140" s="49" t="inlineStr">
        <is>
          <t>IF(OR(F140="",AV140=""),"",IF(COUNT(AI140:AU140)=0,"",AV140-LOOKUP(2,1/(AI140:AU140&lt;&gt;""),AI140:AU140)))</t>
        </is>
      </c>
      <c r="BJ140" s="51" t="inlineStr">
        <is>
          <t>IF(J140="","All_Provinces",IFERROR(VLOOKUP(J140,'09_Lookups'!$A$4:$B$20,2,FALSE),"All_Provinces"))</t>
        </is>
      </c>
      <c r="BK140" s="51" t="inlineStr">
        <is>
          <t>IF(K140="","All_Districts",IFERROR(VLOOKUP(K140,'09_Lookups'!$E$4:$F$42,2,FALSE),"All_Districts"))</t>
        </is>
      </c>
    </row>
    <row r="141" outlineLevel="1" ht="18" customHeight="1">
      <c r="A141" s="42" t="inlineStr">
        <is>
          <t>IF(F141="","",ROW()-3)</t>
        </is>
      </c>
      <c r="B141" s="61" t="inlineStr">
        <is>
          <t>AF2-DIS-08</t>
        </is>
      </c>
      <c r="C141"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41" s="61" t="inlineStr">
        <is>
          <t>11 of 12</t>
        </is>
      </c>
      <c r="E141" s="44" t="inlineStr">
        <is>
          <t>AF2-DIS-N-099</t>
        </is>
      </c>
      <c r="F141" s="44" t="inlineStr">
        <is>
          <t>Nawabad Imam drip irrigation</t>
        </is>
      </c>
      <c r="G141" s="44" t="inlineStr">
        <is>
          <t>Drip Irrigation</t>
        </is>
      </c>
      <c r="H141" s="44" t="inlineStr">
        <is>
          <t>Drip Irrigation Plot</t>
        </is>
      </c>
      <c r="I141" s="44" t="inlineStr">
        <is>
          <t>Emergency Food Security Project (EFSP) – WBK/AF-2</t>
        </is>
      </c>
      <c r="J141" s="44" t="inlineStr">
        <is>
          <t>North / Mazar</t>
        </is>
      </c>
      <c r="K141" s="44" t="inlineStr">
        <is>
          <t>Sari Pul</t>
        </is>
      </c>
      <c r="L141" s="44" t="inlineStr">
        <is>
          <t>Center</t>
        </is>
      </c>
      <c r="M141" s="44" t="inlineStr">
        <is>
          <t>Nawabad Imam Kalan</t>
        </is>
      </c>
      <c r="N141" s="44" t="inlineStr">
        <is>
          <t>World Bank (WBK/AF-2)</t>
        </is>
      </c>
      <c r="O141" s="44" t="inlineStr">
        <is>
          <t>Not awarded</t>
        </is>
      </c>
      <c r="P141" s="44" t="inlineStr">
        <is>
          <t>5. Drip Irrigation systems</t>
        </is>
      </c>
      <c r="Q141" s="44" t="inlineStr"/>
      <c r="R141" s="44" t="inlineStr"/>
      <c r="S141" s="45" t="n">
        <v>4250</v>
      </c>
      <c r="T141" s="46" t="inlineStr">
        <is>
          <t>IF(AQ141="","",AQ141)</t>
        </is>
      </c>
      <c r="U141" s="47" t="n">
        <v>46042</v>
      </c>
      <c r="V141" s="48" t="n">
        <v>6.2</v>
      </c>
      <c r="W141" s="47" t="n">
        <v>46232</v>
      </c>
      <c r="X141" s="46" t="inlineStr">
        <is>
          <t>IF(W141&lt;&gt;"",W141,IF(OR(T141="",V141=""),"",EDATE(T141,V141)))</t>
        </is>
      </c>
      <c r="Y141" s="47" t="n"/>
      <c r="Z141" s="48" t="n"/>
      <c r="AA141" s="44" t="inlineStr">
        <is>
          <t>Under Review of WRI</t>
        </is>
      </c>
      <c r="AB141" s="44" t="inlineStr">
        <is>
          <t>Construction period five months starting from March 2027.</t>
        </is>
      </c>
      <c r="AC141" s="42" t="inlineStr">
        <is>
          <t>IF(F141="","",IF(COUNT(AI141:AV141)=0,IF(AA141="","Not started",AA141),SUBSTITUTE(LOOKUP(2,1/(AI141:AV141&lt;&gt;""),$AI$3:$AV$3),"Date: ","")))</t>
        </is>
      </c>
      <c r="AD141" s="49" t="inlineStr">
        <is>
          <t>IF(OR(F141="",COUNT(AI141:AV141)=0),"",TODAY()-LOOKUP(2,1/(AI141:AV141&lt;&gt;""),AI141:AV141))</t>
        </is>
      </c>
      <c r="AE141" s="49" t="inlineStr">
        <is>
          <t>IF(OR(F141="",COUNT(AI141:AV141)&lt;2),"",LOOKUP(2,1/(AI141:AV141&lt;&gt;""),AI141:AV141)-MIN(AI141:AV141))</t>
        </is>
      </c>
      <c r="AF141" s="49" t="inlineStr">
        <is>
          <t>IF(OR(AD141="",AC141="Not started",AC141=""),"",IFERROR(AD141-IF(VLOOKUP(AC141,'06_Status_Pipeline'!$B$3:$E$20,4,FALSE)="",0,VLOOKUP(AC141,'06_Status_Pipeline'!$B$3:$E$20,4,FALSE)),""))</t>
        </is>
      </c>
      <c r="AG141" s="42" t="inlineStr">
        <is>
          <t>IF(F141="","",IF(OR(AA141="Cancelled",AC141="Cancelled"),"Cancelled",IF(OR(AC141="Completed / Handover",Y141&lt;&gt;"",Z141&gt;=100),"Completed — on track",IF(O141="Not awarded",IF(U141="",IF(X141="","No planned date",IF(TODAY()&gt;X141,"Behind — past planned date",IF(X141-TODAY()&lt;=30,"At risk — close to off track","On track"))),IF(TODAY()&gt;U141,"Behind — award date passed",IF(U141-TODAY()&lt;=30,"At risk — close to off track","On track"))),IF(X141="","No planned date",IF(AND(TODAY()&gt;X141,OR(Z141="",Z141&lt;100)),"Behind — past end date",IF(AND(T141&lt;&gt;"",X141&lt;&gt;"",Z141&lt;&gt;"",(Z141&lt;100),((TODAY()-T141)/MAX(X141-T141,1)*100)-Z141&gt;15),"Behind — progress lag",IF(AND(X141-TODAY()&lt;=30,X141-TODAY()&gt;=0,OR(Z141="",Z141&lt;90)),"At risk — close to off track","On track"))))))))</t>
        </is>
      </c>
      <c r="AH141" s="49" t="inlineStr">
        <is>
          <t>IF(OR(F141="",AC141="Completed / Handover",AC141="Cancelled"),"",IF(O141="Not awarded",IF(U141&lt;&gt;"",U141-TODAY(),IF(X141="","",X141-TODAY())),IF(X141="","",X141-TODAY())))</t>
        </is>
      </c>
      <c r="AI141" s="47" t="n"/>
      <c r="AJ141" s="47" t="n"/>
      <c r="AK141" s="47" t="n"/>
      <c r="AL141" s="47" t="n"/>
      <c r="AM141" s="47" t="n"/>
      <c r="AN141" s="47" t="n"/>
      <c r="AO141" s="47" t="n"/>
      <c r="AP141" s="47" t="n"/>
      <c r="AQ141" s="47" t="n"/>
      <c r="AR141" s="47" t="n"/>
      <c r="AS141" s="47" t="n"/>
      <c r="AT141" s="50" t="n"/>
      <c r="AU141" s="50" t="n"/>
      <c r="AV141" s="50" t="n"/>
      <c r="AW141" s="49" t="inlineStr">
        <is>
          <t>IF(OR(F141="",AJ141=""),"",IF(COUNT(AI141:AI141)=0,"",AJ141-LOOKUP(2,1/(AI141:AI141&lt;&gt;""),AI141:AI141)))</t>
        </is>
      </c>
      <c r="AX141" s="49" t="inlineStr">
        <is>
          <t>IF(OR(F141="",AK141=""),"",IF(COUNT(AI141:AJ141)=0,"",AK141-LOOKUP(2,1/(AI141:AJ141&lt;&gt;""),AI141:AJ141)))</t>
        </is>
      </c>
      <c r="AY141" s="49" t="inlineStr">
        <is>
          <t>IF(OR(F141="",AL141=""),"",IF(COUNT(AI141:AK141)=0,"",AL141-LOOKUP(2,1/(AI141:AK141&lt;&gt;""),AI141:AK141)))</t>
        </is>
      </c>
      <c r="AZ141" s="49" t="inlineStr">
        <is>
          <t>IF(OR(F141="",AM141=""),"",IF(COUNT(AI141:AL141)=0,"",AM141-LOOKUP(2,1/(AI141:AL141&lt;&gt;""),AI141:AL141)))</t>
        </is>
      </c>
      <c r="BA141" s="49" t="inlineStr">
        <is>
          <t>IF(OR(F141="",AN141=""),"",IF(COUNT(AI141:AM141)=0,"",AN141-LOOKUP(2,1/(AI141:AM141&lt;&gt;""),AI141:AM141)))</t>
        </is>
      </c>
      <c r="BB141" s="49" t="inlineStr">
        <is>
          <t>IF(OR(F141="",AO141=""),"",IF(COUNT(AI141:AN141)=0,"",AO141-LOOKUP(2,1/(AI141:AN141&lt;&gt;""),AI141:AN141)))</t>
        </is>
      </c>
      <c r="BC141" s="49" t="inlineStr">
        <is>
          <t>IF(OR(F141="",AP141=""),"",IF(COUNT(AI141:AO141)=0,"",AP141-LOOKUP(2,1/(AI141:AO141&lt;&gt;""),AI141:AO141)))</t>
        </is>
      </c>
      <c r="BD141" s="49" t="inlineStr">
        <is>
          <t>IF(OR(F141="",AQ141=""),"",IF(COUNT(AI141:AP141)=0,"",AQ141-LOOKUP(2,1/(AI141:AP141&lt;&gt;""),AI141:AP141)))</t>
        </is>
      </c>
      <c r="BE141" s="49" t="inlineStr">
        <is>
          <t>IF(OR(F141="",AR141=""),"",IF(COUNT(AI141:AQ141)=0,"",AR141-LOOKUP(2,1/(AI141:AQ141&lt;&gt;""),AI141:AQ141)))</t>
        </is>
      </c>
      <c r="BF141" s="49" t="inlineStr">
        <is>
          <t>IF(OR(F141="",AS141=""),"",IF(COUNT(AI141:AR141)=0,"",AS141-LOOKUP(2,1/(AI141:AR141&lt;&gt;""),AI141:AR141)))</t>
        </is>
      </c>
      <c r="BG141" s="49" t="inlineStr">
        <is>
          <t>IF(OR(F141="",AT141=""),"",IF(COUNT(AI141:AS141)=0,"",AT141-LOOKUP(2,1/(AI141:AS141&lt;&gt;""),AI141:AS141)))</t>
        </is>
      </c>
      <c r="BH141" s="49" t="inlineStr">
        <is>
          <t>IF(OR(F141="",AU141=""),"",IF(COUNT(AI141:AT141)=0,"",AU141-LOOKUP(2,1/(AI141:AT141&lt;&gt;""),AI141:AT141)))</t>
        </is>
      </c>
      <c r="BI141" s="49" t="inlineStr">
        <is>
          <t>IF(OR(F141="",AV141=""),"",IF(COUNT(AI141:AU141)=0,"",AV141-LOOKUP(2,1/(AI141:AU141&lt;&gt;""),AI141:AU141)))</t>
        </is>
      </c>
      <c r="BJ141" s="51" t="inlineStr">
        <is>
          <t>IF(J141="","All_Provinces",IFERROR(VLOOKUP(J141,'09_Lookups'!$A$4:$B$20,2,FALSE),"All_Provinces"))</t>
        </is>
      </c>
      <c r="BK141" s="51" t="inlineStr">
        <is>
          <t>IF(K141="","All_Districts",IFERROR(VLOOKUP(K141,'09_Lookups'!$E$4:$F$42,2,FALSE),"All_Districts"))</t>
        </is>
      </c>
    </row>
    <row r="142" outlineLevel="1" ht="18" customHeight="1">
      <c r="A142" s="42" t="inlineStr">
        <is>
          <t>IF(F142="","",ROW()-3)</t>
        </is>
      </c>
      <c r="B142" s="61" t="inlineStr">
        <is>
          <t>AF2-DIS-08</t>
        </is>
      </c>
      <c r="C142" s="61"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D142" s="61" t="inlineStr">
        <is>
          <t>12 of 12</t>
        </is>
      </c>
      <c r="E142" s="52" t="inlineStr">
        <is>
          <t>AF2-DIS-N-100</t>
        </is>
      </c>
      <c r="F142" s="52" t="inlineStr">
        <is>
          <t>Uch Tepa drip irrigation</t>
        </is>
      </c>
      <c r="G142" s="52" t="inlineStr">
        <is>
          <t>Drip Irrigation</t>
        </is>
      </c>
      <c r="H142" s="52" t="inlineStr">
        <is>
          <t>Drip Irrigation Plot</t>
        </is>
      </c>
      <c r="I142" s="52" t="inlineStr">
        <is>
          <t>Emergency Food Security Project (EFSP) – WBK/AF-2</t>
        </is>
      </c>
      <c r="J142" s="52" t="inlineStr">
        <is>
          <t>North / Mazar</t>
        </is>
      </c>
      <c r="K142" s="52" t="inlineStr">
        <is>
          <t>Balkh</t>
        </is>
      </c>
      <c r="L142" s="52" t="inlineStr">
        <is>
          <t>Dehdadi</t>
        </is>
      </c>
      <c r="M142" s="52" t="inlineStr">
        <is>
          <t>Uch Tepa</t>
        </is>
      </c>
      <c r="N142" s="52" t="inlineStr">
        <is>
          <t>World Bank (WBK/AF-2)</t>
        </is>
      </c>
      <c r="O142" s="52" t="inlineStr">
        <is>
          <t>Not awarded</t>
        </is>
      </c>
      <c r="P142" s="52" t="inlineStr">
        <is>
          <t>5. Drip Irrigation systems</t>
        </is>
      </c>
      <c r="Q142" s="52" t="inlineStr"/>
      <c r="R142" s="52" t="inlineStr"/>
      <c r="S142" s="53" t="n">
        <v>8500</v>
      </c>
      <c r="T142" s="46" t="inlineStr">
        <is>
          <t>IF(AQ142="","",AQ142)</t>
        </is>
      </c>
      <c r="U142" s="54" t="n">
        <v>46042</v>
      </c>
      <c r="V142" s="55" t="n">
        <v>6.2</v>
      </c>
      <c r="W142" s="54" t="n">
        <v>46232</v>
      </c>
      <c r="X142" s="46" t="inlineStr">
        <is>
          <t>IF(W142&lt;&gt;"",W142,IF(OR(T142="",V142=""),"",EDATE(T142,V142)))</t>
        </is>
      </c>
      <c r="Y142" s="54" t="n"/>
      <c r="Z142" s="55" t="n"/>
      <c r="AA142" s="52" t="inlineStr">
        <is>
          <t>Under Review of WRI</t>
        </is>
      </c>
      <c r="AB142" s="52" t="inlineStr">
        <is>
          <t>Construction period five months starting from March 2027.</t>
        </is>
      </c>
      <c r="AC142" s="42" t="inlineStr">
        <is>
          <t>IF(F142="","",IF(COUNT(AI142:AV142)=0,IF(AA142="","Not started",AA142),SUBSTITUTE(LOOKUP(2,1/(AI142:AV142&lt;&gt;""),$AI$3:$AV$3),"Date: ","")))</t>
        </is>
      </c>
      <c r="AD142" s="49" t="inlineStr">
        <is>
          <t>IF(OR(F142="",COUNT(AI142:AV142)=0),"",TODAY()-LOOKUP(2,1/(AI142:AV142&lt;&gt;""),AI142:AV142))</t>
        </is>
      </c>
      <c r="AE142" s="49" t="inlineStr">
        <is>
          <t>IF(OR(F142="",COUNT(AI142:AV142)&lt;2),"",LOOKUP(2,1/(AI142:AV142&lt;&gt;""),AI142:AV142)-MIN(AI142:AV142))</t>
        </is>
      </c>
      <c r="AF142" s="49" t="inlineStr">
        <is>
          <t>IF(OR(AD142="",AC142="Not started",AC142=""),"",IFERROR(AD142-IF(VLOOKUP(AC142,'06_Status_Pipeline'!$B$3:$E$20,4,FALSE)="",0,VLOOKUP(AC142,'06_Status_Pipeline'!$B$3:$E$20,4,FALSE)),""))</t>
        </is>
      </c>
      <c r="AG142" s="42" t="inlineStr">
        <is>
          <t>IF(F142="","",IF(OR(AA142="Cancelled",AC142="Cancelled"),"Cancelled",IF(OR(AC142="Completed / Handover",Y142&lt;&gt;"",Z142&gt;=100),"Completed — on track",IF(O142="Not awarded",IF(U142="",IF(X142="","No planned date",IF(TODAY()&gt;X142,"Behind — past planned date",IF(X142-TODAY()&lt;=30,"At risk — close to off track","On track"))),IF(TODAY()&gt;U142,"Behind — award date passed",IF(U142-TODAY()&lt;=30,"At risk — close to off track","On track"))),IF(X142="","No planned date",IF(AND(TODAY()&gt;X142,OR(Z142="",Z142&lt;100)),"Behind — past end date",IF(AND(T142&lt;&gt;"",X142&lt;&gt;"",Z142&lt;&gt;"",(Z142&lt;100),((TODAY()-T142)/MAX(X142-T142,1)*100)-Z142&gt;15),"Behind — progress lag",IF(AND(X142-TODAY()&lt;=30,X142-TODAY()&gt;=0,OR(Z142="",Z142&lt;90)),"At risk — close to off track","On track"))))))))</t>
        </is>
      </c>
      <c r="AH142" s="49" t="inlineStr">
        <is>
          <t>IF(OR(F142="",AC142="Completed / Handover",AC142="Cancelled"),"",IF(O142="Not awarded",IF(U142&lt;&gt;"",U142-TODAY(),IF(X142="","",X142-TODAY())),IF(X142="","",X142-TODAY())))</t>
        </is>
      </c>
      <c r="AI142" s="54" t="n"/>
      <c r="AJ142" s="54" t="n"/>
      <c r="AK142" s="54" t="n"/>
      <c r="AL142" s="54" t="n"/>
      <c r="AM142" s="54" t="n"/>
      <c r="AN142" s="54" t="n"/>
      <c r="AO142" s="54" t="n"/>
      <c r="AP142" s="54" t="n"/>
      <c r="AQ142" s="54" t="n"/>
      <c r="AR142" s="54" t="n"/>
      <c r="AS142" s="54" t="n"/>
      <c r="AT142" s="50" t="n"/>
      <c r="AU142" s="50" t="n"/>
      <c r="AV142" s="50" t="n"/>
      <c r="AW142" s="49" t="inlineStr">
        <is>
          <t>IF(OR(F142="",AJ142=""),"",IF(COUNT(AI142:AI142)=0,"",AJ142-LOOKUP(2,1/(AI142:AI142&lt;&gt;""),AI142:AI142)))</t>
        </is>
      </c>
      <c r="AX142" s="49" t="inlineStr">
        <is>
          <t>IF(OR(F142="",AK142=""),"",IF(COUNT(AI142:AJ142)=0,"",AK142-LOOKUP(2,1/(AI142:AJ142&lt;&gt;""),AI142:AJ142)))</t>
        </is>
      </c>
      <c r="AY142" s="49" t="inlineStr">
        <is>
          <t>IF(OR(F142="",AL142=""),"",IF(COUNT(AI142:AK142)=0,"",AL142-LOOKUP(2,1/(AI142:AK142&lt;&gt;""),AI142:AK142)))</t>
        </is>
      </c>
      <c r="AZ142" s="49" t="inlineStr">
        <is>
          <t>IF(OR(F142="",AM142=""),"",IF(COUNT(AI142:AL142)=0,"",AM142-LOOKUP(2,1/(AI142:AL142&lt;&gt;""),AI142:AL142)))</t>
        </is>
      </c>
      <c r="BA142" s="49" t="inlineStr">
        <is>
          <t>IF(OR(F142="",AN142=""),"",IF(COUNT(AI142:AM142)=0,"",AN142-LOOKUP(2,1/(AI142:AM142&lt;&gt;""),AI142:AM142)))</t>
        </is>
      </c>
      <c r="BB142" s="49" t="inlineStr">
        <is>
          <t>IF(OR(F142="",AO142=""),"",IF(COUNT(AI142:AN142)=0,"",AO142-LOOKUP(2,1/(AI142:AN142&lt;&gt;""),AI142:AN142)))</t>
        </is>
      </c>
      <c r="BC142" s="49" t="inlineStr">
        <is>
          <t>IF(OR(F142="",AP142=""),"",IF(COUNT(AI142:AO142)=0,"",AP142-LOOKUP(2,1/(AI142:AO142&lt;&gt;""),AI142:AO142)))</t>
        </is>
      </c>
      <c r="BD142" s="49" t="inlineStr">
        <is>
          <t>IF(OR(F142="",AQ142=""),"",IF(COUNT(AI142:AP142)=0,"",AQ142-LOOKUP(2,1/(AI142:AP142&lt;&gt;""),AI142:AP142)))</t>
        </is>
      </c>
      <c r="BE142" s="49" t="inlineStr">
        <is>
          <t>IF(OR(F142="",AR142=""),"",IF(COUNT(AI142:AQ142)=0,"",AR142-LOOKUP(2,1/(AI142:AQ142&lt;&gt;""),AI142:AQ142)))</t>
        </is>
      </c>
      <c r="BF142" s="49" t="inlineStr">
        <is>
          <t>IF(OR(F142="",AS142=""),"",IF(COUNT(AI142:AR142)=0,"",AS142-LOOKUP(2,1/(AI142:AR142&lt;&gt;""),AI142:AR142)))</t>
        </is>
      </c>
      <c r="BG142" s="49" t="inlineStr">
        <is>
          <t>IF(OR(F142="",AT142=""),"",IF(COUNT(AI142:AS142)=0,"",AT142-LOOKUP(2,1/(AI142:AS142&lt;&gt;""),AI142:AS142)))</t>
        </is>
      </c>
      <c r="BH142" s="49" t="inlineStr">
        <is>
          <t>IF(OR(F142="",AU142=""),"",IF(COUNT(AI142:AT142)=0,"",AU142-LOOKUP(2,1/(AI142:AT142&lt;&gt;""),AI142:AT142)))</t>
        </is>
      </c>
      <c r="BI142" s="49" t="inlineStr">
        <is>
          <t>IF(OR(F142="",AV142=""),"",IF(COUNT(AI142:AU142)=0,"",AV142-LOOKUP(2,1/(AI142:AU142&lt;&gt;""),AI142:AU142)))</t>
        </is>
      </c>
      <c r="BJ142" s="51" t="inlineStr">
        <is>
          <t>IF(J142="","All_Provinces",IFERROR(VLOOKUP(J142,'09_Lookups'!$A$4:$B$20,2,FALSE),"All_Provinces"))</t>
        </is>
      </c>
      <c r="BK142" s="51" t="inlineStr">
        <is>
          <t>IF(K142="","All_Districts",IFERROR(VLOOKUP(K142,'09_Lookups'!$E$4:$F$42,2,FALSE),"All_Districts"))</t>
        </is>
      </c>
    </row>
    <row r="143" ht="18" customHeight="1">
      <c r="A143" s="32" t="inlineStr">
        <is>
          <t>IF(F143="","",ROW()-3)</t>
        </is>
      </c>
      <c r="B143" s="62" t="inlineStr">
        <is>
          <t>AF2-IS-01</t>
        </is>
      </c>
      <c r="C143" s="62" t="inlineStr">
        <is>
          <t>Package #1-AF2 IS: Rehabilitation of Joy Bazar irrigation scheme located in Obe district of Herat province.</t>
        </is>
      </c>
      <c r="D143" s="62" t="inlineStr">
        <is>
          <t>1 of 1</t>
        </is>
      </c>
      <c r="E143" s="57" t="inlineStr">
        <is>
          <t>AF2-IS-A-001</t>
        </is>
      </c>
      <c r="F143" s="57" t="inlineStr">
        <is>
          <t>Joy Bazar Canal irrigation Scheme</t>
        </is>
      </c>
      <c r="G143" s="57" t="inlineStr">
        <is>
          <t>Irrigation Scheme</t>
        </is>
      </c>
      <c r="H143" s="57" t="inlineStr">
        <is>
          <t>Irrigation Canal</t>
        </is>
      </c>
      <c r="I143" s="57" t="inlineStr">
        <is>
          <t>Emergency Food Security Project (EFSP) – WBK/AF-2</t>
        </is>
      </c>
      <c r="J143" s="57" t="inlineStr">
        <is>
          <t>West / Herat</t>
        </is>
      </c>
      <c r="K143" s="57" t="inlineStr">
        <is>
          <t>Herat</t>
        </is>
      </c>
      <c r="L143" s="57" t="inlineStr">
        <is>
          <t>Obeh</t>
        </is>
      </c>
      <c r="M143" s="57" t="inlineStr">
        <is>
          <t>Center</t>
        </is>
      </c>
      <c r="N143" s="57" t="inlineStr">
        <is>
          <t>World Bank (WBK/AF-2)</t>
        </is>
      </c>
      <c r="O143" s="57" t="inlineStr">
        <is>
          <t>Awarded</t>
        </is>
      </c>
      <c r="P143" s="57" t="inlineStr">
        <is>
          <t>1.Awarded contracts_On&amp;off-farm</t>
        </is>
      </c>
      <c r="Q143" s="57" t="inlineStr">
        <is>
          <t>Afghan Aakam Construction and Road Company C. JV with D-Amini Mashwani Construction Road Juroni and Construction Materials Production Company (AACRC&amp;JV DAMCC)</t>
        </is>
      </c>
      <c r="R143" s="57" t="inlineStr">
        <is>
          <t>050/2025</t>
        </is>
      </c>
      <c r="S143" s="58" t="n">
        <v>222241.38</v>
      </c>
      <c r="T143" s="36" t="inlineStr">
        <is>
          <t>IF(AQ143="","",AQ143)</t>
        </is>
      </c>
      <c r="U143" s="59" t="n"/>
      <c r="V143" s="60" t="n">
        <v>12</v>
      </c>
      <c r="W143" s="59" t="n">
        <v>46280</v>
      </c>
      <c r="X143" s="36" t="inlineStr">
        <is>
          <t>IF(W143&lt;&gt;"",W143,IF(OR(T143="",V143=""),"",EDATE(T143,V143)))</t>
        </is>
      </c>
      <c r="Y143" s="59" t="n"/>
      <c r="Z143" s="60" t="n">
        <v>100</v>
      </c>
      <c r="AA143" s="57" t="inlineStr">
        <is>
          <t>Completed / Handover</t>
        </is>
      </c>
      <c r="AB143" s="57" t="inlineStr">
        <is>
          <t>Completed in May 2026 | Actual completion: May, 2026</t>
        </is>
      </c>
      <c r="AC143" s="32" t="inlineStr">
        <is>
          <t>IF(F143="","",IF(COUNT(AI143:AV143)=0,IF(AA143="","Not started",AA143),SUBSTITUTE(LOOKUP(2,1/(AI143:AV143&lt;&gt;""),$AI$3:$AV$3),"Date: ","")))</t>
        </is>
      </c>
      <c r="AD143" s="39" t="inlineStr">
        <is>
          <t>IF(OR(F143="",COUNT(AI143:AV143)=0),"",TODAY()-LOOKUP(2,1/(AI143:AV143&lt;&gt;""),AI143:AV143))</t>
        </is>
      </c>
      <c r="AE143" s="39" t="inlineStr">
        <is>
          <t>IF(OR(F143="",COUNT(AI143:AV143)&lt;2),"",LOOKUP(2,1/(AI143:AV143&lt;&gt;""),AI143:AV143)-MIN(AI143:AV143))</t>
        </is>
      </c>
      <c r="AF143" s="39" t="inlineStr">
        <is>
          <t>IF(OR(AD143="",AC143="Not started",AC143=""),"",IFERROR(AD143-IF(VLOOKUP(AC143,'06_Status_Pipeline'!$B$3:$E$20,4,FALSE)="",0,VLOOKUP(AC143,'06_Status_Pipeline'!$B$3:$E$20,4,FALSE)),""))</t>
        </is>
      </c>
      <c r="AG143" s="32" t="inlineStr">
        <is>
          <t>IF(F143="","",IF(OR(AA143="Cancelled",AC143="Cancelled"),"Cancelled",IF(OR(AC143="Completed / Handover",Y143&lt;&gt;"",Z143&gt;=100),"Completed — on track",IF(O143="Not awarded",IF(U143="",IF(X143="","No planned date",IF(TODAY()&gt;X143,"Behind — past planned date",IF(X143-TODAY()&lt;=30,"At risk — close to off track","On track"))),IF(TODAY()&gt;U143,"Behind — award date passed",IF(U143-TODAY()&lt;=30,"At risk — close to off track","On track"))),IF(X143="","No planned date",IF(AND(TODAY()&gt;X143,OR(Z143="",Z143&lt;100)),"Behind — past end date",IF(AND(T143&lt;&gt;"",X143&lt;&gt;"",Z143&lt;&gt;"",(Z143&lt;100),((TODAY()-T143)/MAX(X143-T143,1)*100)-Z143&gt;15),"Behind — progress lag",IF(AND(X143-TODAY()&lt;=30,X143-TODAY()&gt;=0,OR(Z143="",Z143&lt;90)),"At risk — close to off track","On track"))))))))</t>
        </is>
      </c>
      <c r="AH143" s="39" t="inlineStr">
        <is>
          <t>IF(OR(F143="",AC143="Completed / Handover",AC143="Cancelled"),"",IF(O143="Not awarded",IF(U143&lt;&gt;"",U143-TODAY(),IF(X143="","",X143-TODAY())),IF(X143="","",X143-TODAY())))</t>
        </is>
      </c>
      <c r="AI143" s="66" t="n"/>
      <c r="AJ143" s="66" t="n"/>
      <c r="AK143" s="66" t="n"/>
      <c r="AL143" s="66" t="n"/>
      <c r="AM143" s="66" t="n"/>
      <c r="AN143" s="66" t="n"/>
      <c r="AO143" s="66" t="n"/>
      <c r="AP143" s="66" t="n"/>
      <c r="AQ143" s="66" t="n">
        <v>45916</v>
      </c>
      <c r="AR143" s="66" t="n">
        <v>45916</v>
      </c>
      <c r="AS143" s="66" t="n">
        <v>46280</v>
      </c>
      <c r="AT143" s="40" t="n"/>
      <c r="AU143" s="40" t="n"/>
      <c r="AV143" s="40" t="n"/>
      <c r="AW143" s="39" t="inlineStr">
        <is>
          <t>IF(OR(F143="",AJ143=""),"",IF(COUNT(AI143:AI143)=0,"",AJ143-LOOKUP(2,1/(AI143:AI143&lt;&gt;""),AI143:AI143)))</t>
        </is>
      </c>
      <c r="AX143" s="39" t="inlineStr">
        <is>
          <t>IF(OR(F143="",AK143=""),"",IF(COUNT(AI143:AJ143)=0,"",AK143-LOOKUP(2,1/(AI143:AJ143&lt;&gt;""),AI143:AJ143)))</t>
        </is>
      </c>
      <c r="AY143" s="39" t="inlineStr">
        <is>
          <t>IF(OR(F143="",AL143=""),"",IF(COUNT(AI143:AK143)=0,"",AL143-LOOKUP(2,1/(AI143:AK143&lt;&gt;""),AI143:AK143)))</t>
        </is>
      </c>
      <c r="AZ143" s="39" t="inlineStr">
        <is>
          <t>IF(OR(F143="",AM143=""),"",IF(COUNT(AI143:AL143)=0,"",AM143-LOOKUP(2,1/(AI143:AL143&lt;&gt;""),AI143:AL143)))</t>
        </is>
      </c>
      <c r="BA143" s="39" t="inlineStr">
        <is>
          <t>IF(OR(F143="",AN143=""),"",IF(COUNT(AI143:AM143)=0,"",AN143-LOOKUP(2,1/(AI143:AM143&lt;&gt;""),AI143:AM143)))</t>
        </is>
      </c>
      <c r="BB143" s="39" t="inlineStr">
        <is>
          <t>IF(OR(F143="",AO143=""),"",IF(COUNT(AI143:AN143)=0,"",AO143-LOOKUP(2,1/(AI143:AN143&lt;&gt;""),AI143:AN143)))</t>
        </is>
      </c>
      <c r="BC143" s="39" t="inlineStr">
        <is>
          <t>IF(OR(F143="",AP143=""),"",IF(COUNT(AI143:AO143)=0,"",AP143-LOOKUP(2,1/(AI143:AO143&lt;&gt;""),AI143:AO143)))</t>
        </is>
      </c>
      <c r="BD143" s="39" t="inlineStr">
        <is>
          <t>IF(OR(F143="",AQ143=""),"",IF(COUNT(AI143:AP143)=0,"",AQ143-LOOKUP(2,1/(AI143:AP143&lt;&gt;""),AI143:AP143)))</t>
        </is>
      </c>
      <c r="BE143" s="39" t="inlineStr">
        <is>
          <t>IF(OR(F143="",AR143=""),"",IF(COUNT(AI143:AQ143)=0,"",AR143-LOOKUP(2,1/(AI143:AQ143&lt;&gt;""),AI143:AQ143)))</t>
        </is>
      </c>
      <c r="BF143" s="39" t="inlineStr">
        <is>
          <t>IF(OR(F143="",AS143=""),"",IF(COUNT(AI143:AR143)=0,"",AS143-LOOKUP(2,1/(AI143:AR143&lt;&gt;""),AI143:AR143)))</t>
        </is>
      </c>
      <c r="BG143" s="39" t="inlineStr">
        <is>
          <t>IF(OR(F143="",AT143=""),"",IF(COUNT(AI143:AS143)=0,"",AT143-LOOKUP(2,1/(AI143:AS143&lt;&gt;""),AI143:AS143)))</t>
        </is>
      </c>
      <c r="BH143" s="39" t="inlineStr">
        <is>
          <t>IF(OR(F143="",AU143=""),"",IF(COUNT(AI143:AT143)=0,"",AU143-LOOKUP(2,1/(AI143:AT143&lt;&gt;""),AI143:AT143)))</t>
        </is>
      </c>
      <c r="BI143" s="39" t="inlineStr">
        <is>
          <t>IF(OR(F143="",AV143=""),"",IF(COUNT(AI143:AU143)=0,"",AV143-LOOKUP(2,1/(AI143:AU143&lt;&gt;""),AI143:AU143)))</t>
        </is>
      </c>
      <c r="BJ143" s="41" t="inlineStr">
        <is>
          <t>IF(J143="","All_Provinces",IFERROR(VLOOKUP(J143,'09_Lookups'!$A$4:$B$20,2,FALSE),"All_Provinces"))</t>
        </is>
      </c>
      <c r="BK143" s="41" t="inlineStr">
        <is>
          <t>IF(K143="","All_Districts",IFERROR(VLOOKUP(K143,'09_Lookups'!$E$4:$F$42,2,FALSE),"All_Districts"))</t>
        </is>
      </c>
    </row>
    <row r="144" ht="18" customHeight="1">
      <c r="A144" s="32" t="inlineStr">
        <is>
          <t>IF(F144="","",ROW()-3)</t>
        </is>
      </c>
      <c r="B144" s="64" t="inlineStr">
        <is>
          <t>AF2-IS-02</t>
        </is>
      </c>
      <c r="C144" s="64" t="inlineStr">
        <is>
          <t>Package # 2-AF2 IS: Rehabilitation of irrigation schemes of 1.Ali Mansoor Canal in Karukh district, 2.Joy Sork and 3.Sar Kari canals in Farsi districts of Herat province.</t>
        </is>
      </c>
      <c r="D144" s="64" t="inlineStr">
        <is>
          <t>1 of 3</t>
        </is>
      </c>
      <c r="E144" s="34" t="inlineStr">
        <is>
          <t>AF2-IS-A-002</t>
        </is>
      </c>
      <c r="F144" s="34" t="inlineStr">
        <is>
          <t>Ali Mansoor Canal Irrigation Scheme</t>
        </is>
      </c>
      <c r="G144" s="34" t="inlineStr">
        <is>
          <t>Irrigation Scheme</t>
        </is>
      </c>
      <c r="H144" s="34" t="inlineStr">
        <is>
          <t>Irrigation Canal</t>
        </is>
      </c>
      <c r="I144" s="34" t="inlineStr">
        <is>
          <t>Emergency Food Security Project (EFSP) – WBK/AF-2</t>
        </is>
      </c>
      <c r="J144" s="34" t="inlineStr">
        <is>
          <t>West / Herat</t>
        </is>
      </c>
      <c r="K144" s="34" t="inlineStr">
        <is>
          <t>Herat</t>
        </is>
      </c>
      <c r="L144" s="34" t="inlineStr">
        <is>
          <t>Karukh</t>
        </is>
      </c>
      <c r="M144" s="34" t="inlineStr">
        <is>
          <t>Dahan-e-Ghar Villages</t>
        </is>
      </c>
      <c r="N144" s="34" t="inlineStr">
        <is>
          <t>World Bank (WBK/AF-2)</t>
        </is>
      </c>
      <c r="O144" s="34" t="inlineStr">
        <is>
          <t>Awarded</t>
        </is>
      </c>
      <c r="P144" s="34" t="inlineStr">
        <is>
          <t>1.Awarded contracts_On&amp;off-farm</t>
        </is>
      </c>
      <c r="Q144" s="34" t="inlineStr">
        <is>
          <t>Arman Millad Construction Company (AMCC)</t>
        </is>
      </c>
      <c r="R144" s="34" t="inlineStr">
        <is>
          <t>046/2026</t>
        </is>
      </c>
      <c r="S144" s="35" t="n">
        <v>119404.61</v>
      </c>
      <c r="T144" s="36" t="inlineStr">
        <is>
          <t>IF(AQ144="","",AQ144)</t>
        </is>
      </c>
      <c r="U144" s="37" t="n"/>
      <c r="V144" s="38" t="n">
        <v>12</v>
      </c>
      <c r="W144" s="37" t="n">
        <v>46589</v>
      </c>
      <c r="X144" s="36" t="inlineStr">
        <is>
          <t>IF(W144&lt;&gt;"",W144,IF(OR(T144="",V144=""),"",EDATE(T144,V144)))</t>
        </is>
      </c>
      <c r="Y144" s="37" t="n"/>
      <c r="Z144" s="38" t="n">
        <v>45</v>
      </c>
      <c r="AA144" s="34" t="inlineStr">
        <is>
          <t>Under Construction</t>
        </is>
      </c>
      <c r="AB144" s="34" t="inlineStr">
        <is>
          <t>on track and will be completed by July 2027</t>
        </is>
      </c>
      <c r="AC144" s="32" t="inlineStr">
        <is>
          <t>IF(F144="","",IF(COUNT(AI144:AV144)=0,IF(AA144="","Not started",AA144),SUBSTITUTE(LOOKUP(2,1/(AI144:AV144&lt;&gt;""),$AI$3:$AV$3),"Date: ","")))</t>
        </is>
      </c>
      <c r="AD144" s="39" t="inlineStr">
        <is>
          <t>IF(OR(F144="",COUNT(AI144:AV144)=0),"",TODAY()-LOOKUP(2,1/(AI144:AV144&lt;&gt;""),AI144:AV144))</t>
        </is>
      </c>
      <c r="AE144" s="39" t="inlineStr">
        <is>
          <t>IF(OR(F144="",COUNT(AI144:AV144)&lt;2),"",LOOKUP(2,1/(AI144:AV144&lt;&gt;""),AI144:AV144)-MIN(AI144:AV144))</t>
        </is>
      </c>
      <c r="AF144" s="39" t="inlineStr">
        <is>
          <t>IF(OR(AD144="",AC144="Not started",AC144=""),"",IFERROR(AD144-IF(VLOOKUP(AC144,'06_Status_Pipeline'!$B$3:$E$20,4,FALSE)="",0,VLOOKUP(AC144,'06_Status_Pipeline'!$B$3:$E$20,4,FALSE)),""))</t>
        </is>
      </c>
      <c r="AG144" s="32" t="inlineStr">
        <is>
          <t>IF(F144="","",IF(OR(AA144="Cancelled",AC144="Cancelled"),"Cancelled",IF(OR(AC144="Completed / Handover",Y144&lt;&gt;"",Z144&gt;=100),"Completed — on track",IF(O144="Not awarded",IF(U144="",IF(X144="","No planned date",IF(TODAY()&gt;X144,"Behind — past planned date",IF(X144-TODAY()&lt;=30,"At risk — close to off track","On track"))),IF(TODAY()&gt;U144,"Behind — award date passed",IF(U144-TODAY()&lt;=30,"At risk — close to off track","On track"))),IF(X144="","No planned date",IF(AND(TODAY()&gt;X144,OR(Z144="",Z144&lt;100)),"Behind — past end date",IF(AND(T144&lt;&gt;"",X144&lt;&gt;"",Z144&lt;&gt;"",(Z144&lt;100),((TODAY()-T144)/MAX(X144-T144,1)*100)-Z144&gt;15),"Behind — progress lag",IF(AND(X144-TODAY()&lt;=30,X144-TODAY()&gt;=0,OR(Z144="",Z144&lt;90)),"At risk — close to off track","On track"))))))))</t>
        </is>
      </c>
      <c r="AH144" s="39" t="inlineStr">
        <is>
          <t>IF(OR(F144="",AC144="Completed / Handover",AC144="Cancelled"),"",IF(O144="Not awarded",IF(U144&lt;&gt;"",U144-TODAY(),IF(X144="","",X144-TODAY())),IF(X144="","",X144-TODAY())))</t>
        </is>
      </c>
      <c r="AI144" s="66" t="n"/>
      <c r="AJ144" s="66" t="n"/>
      <c r="AK144" s="66" t="n"/>
      <c r="AL144" s="66" t="n"/>
      <c r="AM144" s="66" t="n"/>
      <c r="AN144" s="66" t="n"/>
      <c r="AO144" s="66" t="n"/>
      <c r="AP144" s="66" t="n"/>
      <c r="AQ144" s="66" t="n">
        <v>46225</v>
      </c>
      <c r="AR144" s="66" t="n">
        <v>46225</v>
      </c>
      <c r="AS144" s="66" t="n"/>
      <c r="AT144" s="40" t="n"/>
      <c r="AU144" s="40" t="n"/>
      <c r="AV144" s="40" t="n"/>
      <c r="AW144" s="39" t="inlineStr">
        <is>
          <t>IF(OR(F144="",AJ144=""),"",IF(COUNT(AI144:AI144)=0,"",AJ144-LOOKUP(2,1/(AI144:AI144&lt;&gt;""),AI144:AI144)))</t>
        </is>
      </c>
      <c r="AX144" s="39" t="inlineStr">
        <is>
          <t>IF(OR(F144="",AK144=""),"",IF(COUNT(AI144:AJ144)=0,"",AK144-LOOKUP(2,1/(AI144:AJ144&lt;&gt;""),AI144:AJ144)))</t>
        </is>
      </c>
      <c r="AY144" s="39" t="inlineStr">
        <is>
          <t>IF(OR(F144="",AL144=""),"",IF(COUNT(AI144:AK144)=0,"",AL144-LOOKUP(2,1/(AI144:AK144&lt;&gt;""),AI144:AK144)))</t>
        </is>
      </c>
      <c r="AZ144" s="39" t="inlineStr">
        <is>
          <t>IF(OR(F144="",AM144=""),"",IF(COUNT(AI144:AL144)=0,"",AM144-LOOKUP(2,1/(AI144:AL144&lt;&gt;""),AI144:AL144)))</t>
        </is>
      </c>
      <c r="BA144" s="39" t="inlineStr">
        <is>
          <t>IF(OR(F144="",AN144=""),"",IF(COUNT(AI144:AM144)=0,"",AN144-LOOKUP(2,1/(AI144:AM144&lt;&gt;""),AI144:AM144)))</t>
        </is>
      </c>
      <c r="BB144" s="39" t="inlineStr">
        <is>
          <t>IF(OR(F144="",AO144=""),"",IF(COUNT(AI144:AN144)=0,"",AO144-LOOKUP(2,1/(AI144:AN144&lt;&gt;""),AI144:AN144)))</t>
        </is>
      </c>
      <c r="BC144" s="39" t="inlineStr">
        <is>
          <t>IF(OR(F144="",AP144=""),"",IF(COUNT(AI144:AO144)=0,"",AP144-LOOKUP(2,1/(AI144:AO144&lt;&gt;""),AI144:AO144)))</t>
        </is>
      </c>
      <c r="BD144" s="39" t="inlineStr">
        <is>
          <t>IF(OR(F144="",AQ144=""),"",IF(COUNT(AI144:AP144)=0,"",AQ144-LOOKUP(2,1/(AI144:AP144&lt;&gt;""),AI144:AP144)))</t>
        </is>
      </c>
      <c r="BE144" s="39" t="inlineStr">
        <is>
          <t>IF(OR(F144="",AR144=""),"",IF(COUNT(AI144:AQ144)=0,"",AR144-LOOKUP(2,1/(AI144:AQ144&lt;&gt;""),AI144:AQ144)))</t>
        </is>
      </c>
      <c r="BF144" s="39" t="inlineStr">
        <is>
          <t>IF(OR(F144="",AS144=""),"",IF(COUNT(AI144:AR144)=0,"",AS144-LOOKUP(2,1/(AI144:AR144&lt;&gt;""),AI144:AR144)))</t>
        </is>
      </c>
      <c r="BG144" s="39" t="inlineStr">
        <is>
          <t>IF(OR(F144="",AT144=""),"",IF(COUNT(AI144:AS144)=0,"",AT144-LOOKUP(2,1/(AI144:AS144&lt;&gt;""),AI144:AS144)))</t>
        </is>
      </c>
      <c r="BH144" s="39" t="inlineStr">
        <is>
          <t>IF(OR(F144="",AU144=""),"",IF(COUNT(AI144:AT144)=0,"",AU144-LOOKUP(2,1/(AI144:AT144&lt;&gt;""),AI144:AT144)))</t>
        </is>
      </c>
      <c r="BI144" s="39" t="inlineStr">
        <is>
          <t>IF(OR(F144="",AV144=""),"",IF(COUNT(AI144:AU144)=0,"",AV144-LOOKUP(2,1/(AI144:AU144&lt;&gt;""),AI144:AU144)))</t>
        </is>
      </c>
      <c r="BJ144" s="41" t="inlineStr">
        <is>
          <t>IF(J144="","All_Provinces",IFERROR(VLOOKUP(J144,'09_Lookups'!$A$4:$B$20,2,FALSE),"All_Provinces"))</t>
        </is>
      </c>
      <c r="BK144" s="41" t="inlineStr">
        <is>
          <t>IF(K144="","All_Districts",IFERROR(VLOOKUP(K144,'09_Lookups'!$E$4:$F$42,2,FALSE),"All_Districts"))</t>
        </is>
      </c>
    </row>
    <row r="145" outlineLevel="1" ht="18" customHeight="1">
      <c r="A145" s="42" t="inlineStr">
        <is>
          <t>IF(F145="","",ROW()-3)</t>
        </is>
      </c>
      <c r="B145" s="65" t="inlineStr">
        <is>
          <t>AF2-IS-02</t>
        </is>
      </c>
      <c r="C145" s="65" t="inlineStr">
        <is>
          <t>Package # 2-AF2 IS: Rehabilitation of irrigation schemes of 1.Ali Mansoor Canal in Karukh district, 2.Joy Sork and 3.Sar Kari canals in Farsi districts of Herat province.</t>
        </is>
      </c>
      <c r="D145" s="65" t="inlineStr">
        <is>
          <t>2 of 3</t>
        </is>
      </c>
      <c r="E145" s="44" t="inlineStr">
        <is>
          <t>AF2-IS-A-003</t>
        </is>
      </c>
      <c r="F145" s="44" t="inlineStr">
        <is>
          <t>Joy Sork Irrigation Schemes</t>
        </is>
      </c>
      <c r="G145" s="44" t="inlineStr">
        <is>
          <t>Irrigation Scheme</t>
        </is>
      </c>
      <c r="H145" s="44" t="inlineStr">
        <is>
          <t>Irrigation Canal</t>
        </is>
      </c>
      <c r="I145" s="44" t="inlineStr">
        <is>
          <t>Emergency Food Security Project (EFSP) – WBK/AF-2</t>
        </is>
      </c>
      <c r="J145" s="44" t="inlineStr">
        <is>
          <t>West / Herat</t>
        </is>
      </c>
      <c r="K145" s="44" t="inlineStr">
        <is>
          <t>Herat</t>
        </is>
      </c>
      <c r="L145" s="44" t="inlineStr">
        <is>
          <t>Farsi</t>
        </is>
      </c>
      <c r="M145" s="44" t="inlineStr">
        <is>
          <t>Peyazak and Joy Markaz villages</t>
        </is>
      </c>
      <c r="N145" s="44" t="inlineStr">
        <is>
          <t>World Bank (WBK/AF-2)</t>
        </is>
      </c>
      <c r="O145" s="44" t="inlineStr">
        <is>
          <t>Awarded</t>
        </is>
      </c>
      <c r="P145" s="44" t="inlineStr">
        <is>
          <t>1.Awarded contracts_On&amp;off-farm</t>
        </is>
      </c>
      <c r="Q145" s="44" t="inlineStr">
        <is>
          <t>Arman Millad Construction Company (AMCC)</t>
        </is>
      </c>
      <c r="R145" s="44" t="inlineStr">
        <is>
          <t>046/2026</t>
        </is>
      </c>
      <c r="S145" s="45" t="n">
        <v>127771.65</v>
      </c>
      <c r="T145" s="46" t="inlineStr">
        <is>
          <t>IF(AQ145="","",AQ145)</t>
        </is>
      </c>
      <c r="U145" s="47" t="n"/>
      <c r="V145" s="48" t="n">
        <v>12</v>
      </c>
      <c r="W145" s="47" t="n">
        <v>46589</v>
      </c>
      <c r="X145" s="46" t="inlineStr">
        <is>
          <t>IF(W145&lt;&gt;"",W145,IF(OR(T145="",V145=""),"",EDATE(T145,V145)))</t>
        </is>
      </c>
      <c r="Y145" s="47" t="n"/>
      <c r="Z145" s="48" t="n">
        <v>5</v>
      </c>
      <c r="AA145" s="44" t="inlineStr">
        <is>
          <t>Under Construction</t>
        </is>
      </c>
      <c r="AB145" s="44" t="inlineStr">
        <is>
          <t>on track and will be completed by July 2027</t>
        </is>
      </c>
      <c r="AC145" s="42" t="inlineStr">
        <is>
          <t>IF(F145="","",IF(COUNT(AI145:AV145)=0,IF(AA145="","Not started",AA145),SUBSTITUTE(LOOKUP(2,1/(AI145:AV145&lt;&gt;""),$AI$3:$AV$3),"Date: ","")))</t>
        </is>
      </c>
      <c r="AD145" s="49" t="inlineStr">
        <is>
          <t>IF(OR(F145="",COUNT(AI145:AV145)=0),"",TODAY()-LOOKUP(2,1/(AI145:AV145&lt;&gt;""),AI145:AV145))</t>
        </is>
      </c>
      <c r="AE145" s="49" t="inlineStr">
        <is>
          <t>IF(OR(F145="",COUNT(AI145:AV145)&lt;2),"",LOOKUP(2,1/(AI145:AV145&lt;&gt;""),AI145:AV145)-MIN(AI145:AV145))</t>
        </is>
      </c>
      <c r="AF145" s="49" t="inlineStr">
        <is>
          <t>IF(OR(AD145="",AC145="Not started",AC145=""),"",IFERROR(AD145-IF(VLOOKUP(AC145,'06_Status_Pipeline'!$B$3:$E$20,4,FALSE)="",0,VLOOKUP(AC145,'06_Status_Pipeline'!$B$3:$E$20,4,FALSE)),""))</t>
        </is>
      </c>
      <c r="AG145" s="42" t="inlineStr">
        <is>
          <t>IF(F145="","",IF(OR(AA145="Cancelled",AC145="Cancelled"),"Cancelled",IF(OR(AC145="Completed / Handover",Y145&lt;&gt;"",Z145&gt;=100),"Completed — on track",IF(O145="Not awarded",IF(U145="",IF(X145="","No planned date",IF(TODAY()&gt;X145,"Behind — past planned date",IF(X145-TODAY()&lt;=30,"At risk — close to off track","On track"))),IF(TODAY()&gt;U145,"Behind — award date passed",IF(U145-TODAY()&lt;=30,"At risk — close to off track","On track"))),IF(X145="","No planned date",IF(AND(TODAY()&gt;X145,OR(Z145="",Z145&lt;100)),"Behind — past end date",IF(AND(T145&lt;&gt;"",X145&lt;&gt;"",Z145&lt;&gt;"",(Z145&lt;100),((TODAY()-T145)/MAX(X145-T145,1)*100)-Z145&gt;15),"Behind — progress lag",IF(AND(X145-TODAY()&lt;=30,X145-TODAY()&gt;=0,OR(Z145="",Z145&lt;90)),"At risk — close to off track","On track"))))))))</t>
        </is>
      </c>
      <c r="AH145" s="49" t="inlineStr">
        <is>
          <t>IF(OR(F145="",AC145="Completed / Handover",AC145="Cancelled"),"",IF(O145="Not awarded",IF(U145&lt;&gt;"",U145-TODAY(),IF(X145="","",X145-TODAY())),IF(X145="","",X145-TODAY())))</t>
        </is>
      </c>
      <c r="AI145" s="67" t="n"/>
      <c r="AJ145" s="67" t="n"/>
      <c r="AK145" s="67" t="n"/>
      <c r="AL145" s="67" t="n"/>
      <c r="AM145" s="67" t="n"/>
      <c r="AN145" s="67" t="n"/>
      <c r="AO145" s="67" t="n"/>
      <c r="AP145" s="67" t="n"/>
      <c r="AQ145" s="67" t="n">
        <v>46225</v>
      </c>
      <c r="AR145" s="67" t="n">
        <v>46225</v>
      </c>
      <c r="AS145" s="67" t="n"/>
      <c r="AT145" s="50" t="n"/>
      <c r="AU145" s="50" t="n"/>
      <c r="AV145" s="50" t="n"/>
      <c r="AW145" s="49" t="inlineStr">
        <is>
          <t>IF(OR(F145="",AJ145=""),"",IF(COUNT(AI145:AI145)=0,"",AJ145-LOOKUP(2,1/(AI145:AI145&lt;&gt;""),AI145:AI145)))</t>
        </is>
      </c>
      <c r="AX145" s="49" t="inlineStr">
        <is>
          <t>IF(OR(F145="",AK145=""),"",IF(COUNT(AI145:AJ145)=0,"",AK145-LOOKUP(2,1/(AI145:AJ145&lt;&gt;""),AI145:AJ145)))</t>
        </is>
      </c>
      <c r="AY145" s="49" t="inlineStr">
        <is>
          <t>IF(OR(F145="",AL145=""),"",IF(COUNT(AI145:AK145)=0,"",AL145-LOOKUP(2,1/(AI145:AK145&lt;&gt;""),AI145:AK145)))</t>
        </is>
      </c>
      <c r="AZ145" s="49" t="inlineStr">
        <is>
          <t>IF(OR(F145="",AM145=""),"",IF(COUNT(AI145:AL145)=0,"",AM145-LOOKUP(2,1/(AI145:AL145&lt;&gt;""),AI145:AL145)))</t>
        </is>
      </c>
      <c r="BA145" s="49" t="inlineStr">
        <is>
          <t>IF(OR(F145="",AN145=""),"",IF(COUNT(AI145:AM145)=0,"",AN145-LOOKUP(2,1/(AI145:AM145&lt;&gt;""),AI145:AM145)))</t>
        </is>
      </c>
      <c r="BB145" s="49" t="inlineStr">
        <is>
          <t>IF(OR(F145="",AO145=""),"",IF(COUNT(AI145:AN145)=0,"",AO145-LOOKUP(2,1/(AI145:AN145&lt;&gt;""),AI145:AN145)))</t>
        </is>
      </c>
      <c r="BC145" s="49" t="inlineStr">
        <is>
          <t>IF(OR(F145="",AP145=""),"",IF(COUNT(AI145:AO145)=0,"",AP145-LOOKUP(2,1/(AI145:AO145&lt;&gt;""),AI145:AO145)))</t>
        </is>
      </c>
      <c r="BD145" s="49" t="inlineStr">
        <is>
          <t>IF(OR(F145="",AQ145=""),"",IF(COUNT(AI145:AP145)=0,"",AQ145-LOOKUP(2,1/(AI145:AP145&lt;&gt;""),AI145:AP145)))</t>
        </is>
      </c>
      <c r="BE145" s="49" t="inlineStr">
        <is>
          <t>IF(OR(F145="",AR145=""),"",IF(COUNT(AI145:AQ145)=0,"",AR145-LOOKUP(2,1/(AI145:AQ145&lt;&gt;""),AI145:AQ145)))</t>
        </is>
      </c>
      <c r="BF145" s="49" t="inlineStr">
        <is>
          <t>IF(OR(F145="",AS145=""),"",IF(COUNT(AI145:AR145)=0,"",AS145-LOOKUP(2,1/(AI145:AR145&lt;&gt;""),AI145:AR145)))</t>
        </is>
      </c>
      <c r="BG145" s="49" t="inlineStr">
        <is>
          <t>IF(OR(F145="",AT145=""),"",IF(COUNT(AI145:AS145)=0,"",AT145-LOOKUP(2,1/(AI145:AS145&lt;&gt;""),AI145:AS145)))</t>
        </is>
      </c>
      <c r="BH145" s="49" t="inlineStr">
        <is>
          <t>IF(OR(F145="",AU145=""),"",IF(COUNT(AI145:AT145)=0,"",AU145-LOOKUP(2,1/(AI145:AT145&lt;&gt;""),AI145:AT145)))</t>
        </is>
      </c>
      <c r="BI145" s="49" t="inlineStr">
        <is>
          <t>IF(OR(F145="",AV145=""),"",IF(COUNT(AI145:AU145)=0,"",AV145-LOOKUP(2,1/(AI145:AU145&lt;&gt;""),AI145:AU145)))</t>
        </is>
      </c>
      <c r="BJ145" s="51" t="inlineStr">
        <is>
          <t>IF(J145="","All_Provinces",IFERROR(VLOOKUP(J145,'09_Lookups'!$A$4:$B$20,2,FALSE),"All_Provinces"))</t>
        </is>
      </c>
      <c r="BK145" s="51" t="inlineStr">
        <is>
          <t>IF(K145="","All_Districts",IFERROR(VLOOKUP(K145,'09_Lookups'!$E$4:$F$42,2,FALSE),"All_Districts"))</t>
        </is>
      </c>
    </row>
    <row r="146" outlineLevel="1" ht="18" customHeight="1">
      <c r="A146" s="42" t="inlineStr">
        <is>
          <t>IF(F146="","",ROW()-3)</t>
        </is>
      </c>
      <c r="B146" s="65" t="inlineStr">
        <is>
          <t>AF2-IS-02</t>
        </is>
      </c>
      <c r="C146" s="65" t="inlineStr">
        <is>
          <t>Package # 2-AF2 IS: Rehabilitation of irrigation schemes of 1.Ali Mansoor Canal in Karukh district, 2.Joy Sork and 3.Sar Kari canals in Farsi districts of Herat province.</t>
        </is>
      </c>
      <c r="D146" s="65" t="inlineStr">
        <is>
          <t>3 of 3</t>
        </is>
      </c>
      <c r="E146" s="52" t="inlineStr">
        <is>
          <t>AF2-IS-A-004</t>
        </is>
      </c>
      <c r="F146" s="52" t="inlineStr">
        <is>
          <t>Sar Kari Irrigation Schemes</t>
        </is>
      </c>
      <c r="G146" s="52" t="inlineStr">
        <is>
          <t>Irrigation Scheme</t>
        </is>
      </c>
      <c r="H146" s="52" t="inlineStr">
        <is>
          <t>Irrigation Canal</t>
        </is>
      </c>
      <c r="I146" s="52" t="inlineStr">
        <is>
          <t>Emergency Food Security Project (EFSP) – WBK/AF-2</t>
        </is>
      </c>
      <c r="J146" s="52" t="inlineStr">
        <is>
          <t>West / Herat</t>
        </is>
      </c>
      <c r="K146" s="52" t="inlineStr">
        <is>
          <t>Herat</t>
        </is>
      </c>
      <c r="L146" s="52" t="inlineStr">
        <is>
          <t>Farsi</t>
        </is>
      </c>
      <c r="M146" s="52" t="inlineStr">
        <is>
          <t>Peyazak and Joy Markaz villages</t>
        </is>
      </c>
      <c r="N146" s="52" t="inlineStr">
        <is>
          <t>World Bank (WBK/AF-2)</t>
        </is>
      </c>
      <c r="O146" s="52" t="inlineStr">
        <is>
          <t>Awarded</t>
        </is>
      </c>
      <c r="P146" s="52" t="inlineStr">
        <is>
          <t>1.Awarded contracts_On&amp;off-farm</t>
        </is>
      </c>
      <c r="Q146" s="52" t="inlineStr">
        <is>
          <t>Arman Millad Construction Company (AMCC)</t>
        </is>
      </c>
      <c r="R146" s="52" t="inlineStr">
        <is>
          <t>046/2026</t>
        </is>
      </c>
      <c r="S146" s="53" t="n"/>
      <c r="T146" s="46" t="inlineStr">
        <is>
          <t>IF(AQ146="","",AQ146)</t>
        </is>
      </c>
      <c r="U146" s="54" t="n"/>
      <c r="V146" s="55" t="n">
        <v>12</v>
      </c>
      <c r="W146" s="54" t="n">
        <v>46589</v>
      </c>
      <c r="X146" s="46" t="inlineStr">
        <is>
          <t>IF(W146&lt;&gt;"",W146,IF(OR(T146="",V146=""),"",EDATE(T146,V146)))</t>
        </is>
      </c>
      <c r="Y146" s="54" t="n"/>
      <c r="Z146" s="55" t="n">
        <v>49</v>
      </c>
      <c r="AA146" s="52" t="inlineStr">
        <is>
          <t>Under Construction</t>
        </is>
      </c>
      <c r="AB146" s="52" t="inlineStr">
        <is>
          <t>on track and will be completed by July 2027</t>
        </is>
      </c>
      <c r="AC146" s="42" t="inlineStr">
        <is>
          <t>IF(F146="","",IF(COUNT(AI146:AV146)=0,IF(AA146="","Not started",AA146),SUBSTITUTE(LOOKUP(2,1/(AI146:AV146&lt;&gt;""),$AI$3:$AV$3),"Date: ","")))</t>
        </is>
      </c>
      <c r="AD146" s="49" t="inlineStr">
        <is>
          <t>IF(OR(F146="",COUNT(AI146:AV146)=0),"",TODAY()-LOOKUP(2,1/(AI146:AV146&lt;&gt;""),AI146:AV146))</t>
        </is>
      </c>
      <c r="AE146" s="49" t="inlineStr">
        <is>
          <t>IF(OR(F146="",COUNT(AI146:AV146)&lt;2),"",LOOKUP(2,1/(AI146:AV146&lt;&gt;""),AI146:AV146)-MIN(AI146:AV146))</t>
        </is>
      </c>
      <c r="AF146" s="49" t="inlineStr">
        <is>
          <t>IF(OR(AD146="",AC146="Not started",AC146=""),"",IFERROR(AD146-IF(VLOOKUP(AC146,'06_Status_Pipeline'!$B$3:$E$20,4,FALSE)="",0,VLOOKUP(AC146,'06_Status_Pipeline'!$B$3:$E$20,4,FALSE)),""))</t>
        </is>
      </c>
      <c r="AG146" s="42" t="inlineStr">
        <is>
          <t>IF(F146="","",IF(OR(AA146="Cancelled",AC146="Cancelled"),"Cancelled",IF(OR(AC146="Completed / Handover",Y146&lt;&gt;"",Z146&gt;=100),"Completed — on track",IF(O146="Not awarded",IF(U146="",IF(X146="","No planned date",IF(TODAY()&gt;X146,"Behind — past planned date",IF(X146-TODAY()&lt;=30,"At risk — close to off track","On track"))),IF(TODAY()&gt;U146,"Behind — award date passed",IF(U146-TODAY()&lt;=30,"At risk — close to off track","On track"))),IF(X146="","No planned date",IF(AND(TODAY()&gt;X146,OR(Z146="",Z146&lt;100)),"Behind — past end date",IF(AND(T146&lt;&gt;"",X146&lt;&gt;"",Z146&lt;&gt;"",(Z146&lt;100),((TODAY()-T146)/MAX(X146-T146,1)*100)-Z146&gt;15),"Behind — progress lag",IF(AND(X146-TODAY()&lt;=30,X146-TODAY()&gt;=0,OR(Z146="",Z146&lt;90)),"At risk — close to off track","On track"))))))))</t>
        </is>
      </c>
      <c r="AH146" s="49" t="inlineStr">
        <is>
          <t>IF(OR(F146="",AC146="Completed / Handover",AC146="Cancelled"),"",IF(O146="Not awarded",IF(U146&lt;&gt;"",U146-TODAY(),IF(X146="","",X146-TODAY())),IF(X146="","",X146-TODAY())))</t>
        </is>
      </c>
      <c r="AI146" s="67" t="n"/>
      <c r="AJ146" s="67" t="n"/>
      <c r="AK146" s="67" t="n"/>
      <c r="AL146" s="67" t="n"/>
      <c r="AM146" s="67" t="n"/>
      <c r="AN146" s="67" t="n"/>
      <c r="AO146" s="67" t="n"/>
      <c r="AP146" s="67" t="n"/>
      <c r="AQ146" s="67" t="n">
        <v>46225</v>
      </c>
      <c r="AR146" s="67" t="n">
        <v>46225</v>
      </c>
      <c r="AS146" s="67" t="n"/>
      <c r="AT146" s="50" t="n"/>
      <c r="AU146" s="50" t="n"/>
      <c r="AV146" s="50" t="n"/>
      <c r="AW146" s="49" t="inlineStr">
        <is>
          <t>IF(OR(F146="",AJ146=""),"",IF(COUNT(AI146:AI146)=0,"",AJ146-LOOKUP(2,1/(AI146:AI146&lt;&gt;""),AI146:AI146)))</t>
        </is>
      </c>
      <c r="AX146" s="49" t="inlineStr">
        <is>
          <t>IF(OR(F146="",AK146=""),"",IF(COUNT(AI146:AJ146)=0,"",AK146-LOOKUP(2,1/(AI146:AJ146&lt;&gt;""),AI146:AJ146)))</t>
        </is>
      </c>
      <c r="AY146" s="49" t="inlineStr">
        <is>
          <t>IF(OR(F146="",AL146=""),"",IF(COUNT(AI146:AK146)=0,"",AL146-LOOKUP(2,1/(AI146:AK146&lt;&gt;""),AI146:AK146)))</t>
        </is>
      </c>
      <c r="AZ146" s="49" t="inlineStr">
        <is>
          <t>IF(OR(F146="",AM146=""),"",IF(COUNT(AI146:AL146)=0,"",AM146-LOOKUP(2,1/(AI146:AL146&lt;&gt;""),AI146:AL146)))</t>
        </is>
      </c>
      <c r="BA146" s="49" t="inlineStr">
        <is>
          <t>IF(OR(F146="",AN146=""),"",IF(COUNT(AI146:AM146)=0,"",AN146-LOOKUP(2,1/(AI146:AM146&lt;&gt;""),AI146:AM146)))</t>
        </is>
      </c>
      <c r="BB146" s="49" t="inlineStr">
        <is>
          <t>IF(OR(F146="",AO146=""),"",IF(COUNT(AI146:AN146)=0,"",AO146-LOOKUP(2,1/(AI146:AN146&lt;&gt;""),AI146:AN146)))</t>
        </is>
      </c>
      <c r="BC146" s="49" t="inlineStr">
        <is>
          <t>IF(OR(F146="",AP146=""),"",IF(COUNT(AI146:AO146)=0,"",AP146-LOOKUP(2,1/(AI146:AO146&lt;&gt;""),AI146:AO146)))</t>
        </is>
      </c>
      <c r="BD146" s="49" t="inlineStr">
        <is>
          <t>IF(OR(F146="",AQ146=""),"",IF(COUNT(AI146:AP146)=0,"",AQ146-LOOKUP(2,1/(AI146:AP146&lt;&gt;""),AI146:AP146)))</t>
        </is>
      </c>
      <c r="BE146" s="49" t="inlineStr">
        <is>
          <t>IF(OR(F146="",AR146=""),"",IF(COUNT(AI146:AQ146)=0,"",AR146-LOOKUP(2,1/(AI146:AQ146&lt;&gt;""),AI146:AQ146)))</t>
        </is>
      </c>
      <c r="BF146" s="49" t="inlineStr">
        <is>
          <t>IF(OR(F146="",AS146=""),"",IF(COUNT(AI146:AR146)=0,"",AS146-LOOKUP(2,1/(AI146:AR146&lt;&gt;""),AI146:AR146)))</t>
        </is>
      </c>
      <c r="BG146" s="49" t="inlineStr">
        <is>
          <t>IF(OR(F146="",AT146=""),"",IF(COUNT(AI146:AS146)=0,"",AT146-LOOKUP(2,1/(AI146:AS146&lt;&gt;""),AI146:AS146)))</t>
        </is>
      </c>
      <c r="BH146" s="49" t="inlineStr">
        <is>
          <t>IF(OR(F146="",AU146=""),"",IF(COUNT(AI146:AT146)=0,"",AU146-LOOKUP(2,1/(AI146:AT146&lt;&gt;""),AI146:AT146)))</t>
        </is>
      </c>
      <c r="BI146" s="49" t="inlineStr">
        <is>
          <t>IF(OR(F146="",AV146=""),"",IF(COUNT(AI146:AU146)=0,"",AV146-LOOKUP(2,1/(AI146:AU146&lt;&gt;""),AI146:AU146)))</t>
        </is>
      </c>
      <c r="BJ146" s="51" t="inlineStr">
        <is>
          <t>IF(J146="","All_Provinces",IFERROR(VLOOKUP(J146,'09_Lookups'!$A$4:$B$20,2,FALSE),"All_Provinces"))</t>
        </is>
      </c>
      <c r="BK146" s="51" t="inlineStr">
        <is>
          <t>IF(K146="","All_Districts",IFERROR(VLOOKUP(K146,'09_Lookups'!$E$4:$F$42,2,FALSE),"All_Districts"))</t>
        </is>
      </c>
    </row>
    <row r="147" ht="18" customHeight="1">
      <c r="A147" s="32" t="inlineStr">
        <is>
          <t>IF(F147="","",ROW()-3)</t>
        </is>
      </c>
      <c r="B147" s="33" t="inlineStr">
        <is>
          <t>AF2-IS-03</t>
        </is>
      </c>
      <c r="C147" s="33" t="inlineStr">
        <is>
          <t>Package #3-AF2 IS: Rehabilitation of Yazdi irrigation scheme, located in Center Districts of Farah province.</t>
        </is>
      </c>
      <c r="D147" s="33" t="inlineStr">
        <is>
          <t>1 of 1</t>
        </is>
      </c>
      <c r="E147" s="57" t="inlineStr">
        <is>
          <t>AF2-IS-N-001</t>
        </is>
      </c>
      <c r="F147" s="57" t="inlineStr">
        <is>
          <t>Yazdeh Canal irrigation Scheme</t>
        </is>
      </c>
      <c r="G147" s="57" t="inlineStr">
        <is>
          <t>Irrigation Scheme</t>
        </is>
      </c>
      <c r="H147" s="57" t="inlineStr">
        <is>
          <t>Irrigation Canal</t>
        </is>
      </c>
      <c r="I147" s="57" t="inlineStr">
        <is>
          <t>Emergency Food Security Project (EFSP) – WBK/AF-2</t>
        </is>
      </c>
      <c r="J147" s="57" t="inlineStr">
        <is>
          <t>West / Herat</t>
        </is>
      </c>
      <c r="K147" s="57" t="inlineStr">
        <is>
          <t>Farah</t>
        </is>
      </c>
      <c r="L147" s="57" t="inlineStr">
        <is>
          <t>Center</t>
        </is>
      </c>
      <c r="M147" s="57" t="inlineStr">
        <is>
          <t>Yazdi</t>
        </is>
      </c>
      <c r="N147" s="57" t="inlineStr">
        <is>
          <t>World Bank (WBK/AF-2)</t>
        </is>
      </c>
      <c r="O147" s="57" t="inlineStr">
        <is>
          <t>Not awarded</t>
        </is>
      </c>
      <c r="P147" s="57" t="inlineStr">
        <is>
          <t>2.Remain contracts_On&amp;off-farm</t>
        </is>
      </c>
      <c r="Q147" s="57" t="inlineStr"/>
      <c r="R147" s="57" t="inlineStr"/>
      <c r="S147" s="58" t="n">
        <v>180000</v>
      </c>
      <c r="T147" s="36" t="inlineStr">
        <is>
          <t>IF(AQ147="","",AQ147)</t>
        </is>
      </c>
      <c r="U147" s="59" t="n">
        <v>46371</v>
      </c>
      <c r="V147" s="60" t="n">
        <v>9</v>
      </c>
      <c r="W147" s="59" t="n">
        <v>46644</v>
      </c>
      <c r="X147" s="36" t="inlineStr">
        <is>
          <t>IF(W147&lt;&gt;"",W147,IF(OR(T147="",V147=""),"",EDATE(T147,V147)))</t>
        </is>
      </c>
      <c r="Y147" s="59" t="n"/>
      <c r="Z147" s="60" t="n"/>
      <c r="AA147" s="57" t="inlineStr">
        <is>
          <t>Under Review of WRI</t>
        </is>
      </c>
      <c r="AB147" s="57" t="inlineStr">
        <is>
          <t>Two months slack period Mar-Apr during the flood. Seven months construction period. Explore split into 2 lots if needed</t>
        </is>
      </c>
      <c r="AC147" s="32" t="inlineStr">
        <is>
          <t>IF(F147="","",IF(COUNT(AI147:AV147)=0,IF(AA147="","Not started",AA147),SUBSTITUTE(LOOKUP(2,1/(AI147:AV147&lt;&gt;""),$AI$3:$AV$3),"Date: ","")))</t>
        </is>
      </c>
      <c r="AD147" s="39" t="inlineStr">
        <is>
          <t>IF(OR(F147="",COUNT(AI147:AV147)=0),"",TODAY()-LOOKUP(2,1/(AI147:AV147&lt;&gt;""),AI147:AV147))</t>
        </is>
      </c>
      <c r="AE147" s="39" t="inlineStr">
        <is>
          <t>IF(OR(F147="",COUNT(AI147:AV147)&lt;2),"",LOOKUP(2,1/(AI147:AV147&lt;&gt;""),AI147:AV147)-MIN(AI147:AV147))</t>
        </is>
      </c>
      <c r="AF147" s="39" t="inlineStr">
        <is>
          <t>IF(OR(AD147="",AC147="Not started",AC147=""),"",IFERROR(AD147-IF(VLOOKUP(AC147,'06_Status_Pipeline'!$B$3:$E$20,4,FALSE)="",0,VLOOKUP(AC147,'06_Status_Pipeline'!$B$3:$E$20,4,FALSE)),""))</t>
        </is>
      </c>
      <c r="AG147" s="32" t="inlineStr">
        <is>
          <t>IF(F147="","",IF(OR(AA147="Cancelled",AC147="Cancelled"),"Cancelled",IF(OR(AC147="Completed / Handover",Y147&lt;&gt;"",Z147&gt;=100),"Completed — on track",IF(O147="Not awarded",IF(U147="",IF(X147="","No planned date",IF(TODAY()&gt;X147,"Behind — past planned date",IF(X147-TODAY()&lt;=30,"At risk — close to off track","On track"))),IF(TODAY()&gt;U147,"Behind — award date passed",IF(U147-TODAY()&lt;=30,"At risk — close to off track","On track"))),IF(X147="","No planned date",IF(AND(TODAY()&gt;X147,OR(Z147="",Z147&lt;100)),"Behind — past end date",IF(AND(T147&lt;&gt;"",X147&lt;&gt;"",Z147&lt;&gt;"",(Z147&lt;100),((TODAY()-T147)/MAX(X147-T147,1)*100)-Z147&gt;15),"Behind — progress lag",IF(AND(X147-TODAY()&lt;=30,X147-TODAY()&gt;=0,OR(Z147="",Z147&lt;90)),"At risk — close to off track","On track"))))))))</t>
        </is>
      </c>
      <c r="AH147" s="39" t="inlineStr">
        <is>
          <t>IF(OR(F147="",AC147="Completed / Handover",AC147="Cancelled"),"",IF(O147="Not awarded",IF(U147&lt;&gt;"",U147-TODAY(),IF(X147="","",X147-TODAY())),IF(X147="","",X147-TODAY())))</t>
        </is>
      </c>
      <c r="AI147" s="59" t="n"/>
      <c r="AJ147" s="59" t="n"/>
      <c r="AK147" s="59" t="n"/>
      <c r="AL147" s="59" t="n"/>
      <c r="AM147" s="59" t="n"/>
      <c r="AN147" s="59" t="n"/>
      <c r="AO147" s="59" t="n"/>
      <c r="AP147" s="59" t="n"/>
      <c r="AQ147" s="59" t="n"/>
      <c r="AR147" s="59" t="n"/>
      <c r="AS147" s="59" t="n"/>
      <c r="AT147" s="40" t="n"/>
      <c r="AU147" s="40" t="n"/>
      <c r="AV147" s="40" t="n"/>
      <c r="AW147" s="39" t="inlineStr">
        <is>
          <t>IF(OR(F147="",AJ147=""),"",IF(COUNT(AI147:AI147)=0,"",AJ147-LOOKUP(2,1/(AI147:AI147&lt;&gt;""),AI147:AI147)))</t>
        </is>
      </c>
      <c r="AX147" s="39" t="inlineStr">
        <is>
          <t>IF(OR(F147="",AK147=""),"",IF(COUNT(AI147:AJ147)=0,"",AK147-LOOKUP(2,1/(AI147:AJ147&lt;&gt;""),AI147:AJ147)))</t>
        </is>
      </c>
      <c r="AY147" s="39" t="inlineStr">
        <is>
          <t>IF(OR(F147="",AL147=""),"",IF(COUNT(AI147:AK147)=0,"",AL147-LOOKUP(2,1/(AI147:AK147&lt;&gt;""),AI147:AK147)))</t>
        </is>
      </c>
      <c r="AZ147" s="39" t="inlineStr">
        <is>
          <t>IF(OR(F147="",AM147=""),"",IF(COUNT(AI147:AL147)=0,"",AM147-LOOKUP(2,1/(AI147:AL147&lt;&gt;""),AI147:AL147)))</t>
        </is>
      </c>
      <c r="BA147" s="39" t="inlineStr">
        <is>
          <t>IF(OR(F147="",AN147=""),"",IF(COUNT(AI147:AM147)=0,"",AN147-LOOKUP(2,1/(AI147:AM147&lt;&gt;""),AI147:AM147)))</t>
        </is>
      </c>
      <c r="BB147" s="39" t="inlineStr">
        <is>
          <t>IF(OR(F147="",AO147=""),"",IF(COUNT(AI147:AN147)=0,"",AO147-LOOKUP(2,1/(AI147:AN147&lt;&gt;""),AI147:AN147)))</t>
        </is>
      </c>
      <c r="BC147" s="39" t="inlineStr">
        <is>
          <t>IF(OR(F147="",AP147=""),"",IF(COUNT(AI147:AO147)=0,"",AP147-LOOKUP(2,1/(AI147:AO147&lt;&gt;""),AI147:AO147)))</t>
        </is>
      </c>
      <c r="BD147" s="39" t="inlineStr">
        <is>
          <t>IF(OR(F147="",AQ147=""),"",IF(COUNT(AI147:AP147)=0,"",AQ147-LOOKUP(2,1/(AI147:AP147&lt;&gt;""),AI147:AP147)))</t>
        </is>
      </c>
      <c r="BE147" s="39" t="inlineStr">
        <is>
          <t>IF(OR(F147="",AR147=""),"",IF(COUNT(AI147:AQ147)=0,"",AR147-LOOKUP(2,1/(AI147:AQ147&lt;&gt;""),AI147:AQ147)))</t>
        </is>
      </c>
      <c r="BF147" s="39" t="inlineStr">
        <is>
          <t>IF(OR(F147="",AS147=""),"",IF(COUNT(AI147:AR147)=0,"",AS147-LOOKUP(2,1/(AI147:AR147&lt;&gt;""),AI147:AR147)))</t>
        </is>
      </c>
      <c r="BG147" s="39" t="inlineStr">
        <is>
          <t>IF(OR(F147="",AT147=""),"",IF(COUNT(AI147:AS147)=0,"",AT147-LOOKUP(2,1/(AI147:AS147&lt;&gt;""),AI147:AS147)))</t>
        </is>
      </c>
      <c r="BH147" s="39" t="inlineStr">
        <is>
          <t>IF(OR(F147="",AU147=""),"",IF(COUNT(AI147:AT147)=0,"",AU147-LOOKUP(2,1/(AI147:AT147&lt;&gt;""),AI147:AT147)))</t>
        </is>
      </c>
      <c r="BI147" s="39" t="inlineStr">
        <is>
          <t>IF(OR(F147="",AV147=""),"",IF(COUNT(AI147:AU147)=0,"",AV147-LOOKUP(2,1/(AI147:AU147&lt;&gt;""),AI147:AU147)))</t>
        </is>
      </c>
      <c r="BJ147" s="41" t="inlineStr">
        <is>
          <t>IF(J147="","All_Provinces",IFERROR(VLOOKUP(J147,'09_Lookups'!$A$4:$B$20,2,FALSE),"All_Provinces"))</t>
        </is>
      </c>
      <c r="BK147" s="41" t="inlineStr">
        <is>
          <t>IF(K147="","All_Districts",IFERROR(VLOOKUP(K147,'09_Lookups'!$E$4:$F$42,2,FALSE),"All_Districts"))</t>
        </is>
      </c>
    </row>
    <row r="148" ht="18" customHeight="1">
      <c r="A148" s="32" t="inlineStr">
        <is>
          <t>IF(F148="","",ROW()-3)</t>
        </is>
      </c>
      <c r="B148" s="56" t="inlineStr">
        <is>
          <t>AF2-IS-04</t>
        </is>
      </c>
      <c r="C148" s="56" t="inlineStr">
        <is>
          <t>Package #4-AF2 IS: Rehabilitation of Joi Gang irrigation scheme in Bala Murghab districts of Badghis provinec.</t>
        </is>
      </c>
      <c r="D148" s="56" t="inlineStr">
        <is>
          <t>1 of 1</t>
        </is>
      </c>
      <c r="E148" s="34" t="inlineStr">
        <is>
          <t>AF2-IS-N-002</t>
        </is>
      </c>
      <c r="F148" s="34" t="inlineStr">
        <is>
          <t>Joi Ganj Canal irrigation Scheme</t>
        </is>
      </c>
      <c r="G148" s="34" t="inlineStr">
        <is>
          <t>Irrigation Scheme</t>
        </is>
      </c>
      <c r="H148" s="34" t="inlineStr">
        <is>
          <t>Irrigation Canal</t>
        </is>
      </c>
      <c r="I148" s="34" t="inlineStr">
        <is>
          <t>Emergency Food Security Project (EFSP) – WBK/AF-2</t>
        </is>
      </c>
      <c r="J148" s="34" t="inlineStr">
        <is>
          <t>West / Herat</t>
        </is>
      </c>
      <c r="K148" s="34" t="inlineStr">
        <is>
          <t>Badghis</t>
        </is>
      </c>
      <c r="L148" s="34" t="inlineStr">
        <is>
          <t>Bala Murghab</t>
        </is>
      </c>
      <c r="M148" s="34" t="inlineStr">
        <is>
          <t>Joi Ganj and Ludeenha</t>
        </is>
      </c>
      <c r="N148" s="34" t="inlineStr">
        <is>
          <t>World Bank (WBK/AF-2)</t>
        </is>
      </c>
      <c r="O148" s="34" t="inlineStr">
        <is>
          <t>Not awarded</t>
        </is>
      </c>
      <c r="P148" s="34" t="inlineStr">
        <is>
          <t>2.Remain contracts_On&amp;off-farm</t>
        </is>
      </c>
      <c r="Q148" s="34" t="inlineStr"/>
      <c r="R148" s="34" t="inlineStr"/>
      <c r="S148" s="35" t="n">
        <v>248511.19</v>
      </c>
      <c r="T148" s="36" t="inlineStr">
        <is>
          <t>IF(AQ148="","",AQ148)</t>
        </is>
      </c>
      <c r="U148" s="37" t="n">
        <v>46387</v>
      </c>
      <c r="V148" s="38" t="n">
        <v>9.9</v>
      </c>
      <c r="W148" s="37" t="n">
        <v>46687</v>
      </c>
      <c r="X148" s="36" t="inlineStr">
        <is>
          <t>IF(W148&lt;&gt;"",W148,IF(OR(T148="",V148=""),"",EDATE(T148,V148)))</t>
        </is>
      </c>
      <c r="Y148" s="37" t="n"/>
      <c r="Z148" s="38" t="n"/>
      <c r="AA148" s="34" t="inlineStr">
        <is>
          <t>PR to be Raised</t>
        </is>
      </c>
      <c r="AB148" s="34" t="inlineStr">
        <is>
          <t>Three months slack period Jan-Mar during winter. Seven months construction period required for two canals</t>
        </is>
      </c>
      <c r="AC148" s="32" t="inlineStr">
        <is>
          <t>IF(F148="","",IF(COUNT(AI148:AV148)=0,IF(AA148="","Not started",AA148),SUBSTITUTE(LOOKUP(2,1/(AI148:AV148&lt;&gt;""),$AI$3:$AV$3),"Date: ","")))</t>
        </is>
      </c>
      <c r="AD148" s="39" t="inlineStr">
        <is>
          <t>IF(OR(F148="",COUNT(AI148:AV148)=0),"",TODAY()-LOOKUP(2,1/(AI148:AV148&lt;&gt;""),AI148:AV148))</t>
        </is>
      </c>
      <c r="AE148" s="39" t="inlineStr">
        <is>
          <t>IF(OR(F148="",COUNT(AI148:AV148)&lt;2),"",LOOKUP(2,1/(AI148:AV148&lt;&gt;""),AI148:AV148)-MIN(AI148:AV148))</t>
        </is>
      </c>
      <c r="AF148" s="39" t="inlineStr">
        <is>
          <t>IF(OR(AD148="",AC148="Not started",AC148=""),"",IFERROR(AD148-IF(VLOOKUP(AC148,'06_Status_Pipeline'!$B$3:$E$20,4,FALSE)="",0,VLOOKUP(AC148,'06_Status_Pipeline'!$B$3:$E$20,4,FALSE)),""))</t>
        </is>
      </c>
      <c r="AG148" s="32" t="inlineStr">
        <is>
          <t>IF(F148="","",IF(OR(AA148="Cancelled",AC148="Cancelled"),"Cancelled",IF(OR(AC148="Completed / Handover",Y148&lt;&gt;"",Z148&gt;=100),"Completed — on track",IF(O148="Not awarded",IF(U148="",IF(X148="","No planned date",IF(TODAY()&gt;X148,"Behind — past planned date",IF(X148-TODAY()&lt;=30,"At risk — close to off track","On track"))),IF(TODAY()&gt;U148,"Behind — award date passed",IF(U148-TODAY()&lt;=30,"At risk — close to off track","On track"))),IF(X148="","No planned date",IF(AND(TODAY()&gt;X148,OR(Z148="",Z148&lt;100)),"Behind — past end date",IF(AND(T148&lt;&gt;"",X148&lt;&gt;"",Z148&lt;&gt;"",(Z148&lt;100),((TODAY()-T148)/MAX(X148-T148,1)*100)-Z148&gt;15),"Behind — progress lag",IF(AND(X148-TODAY()&lt;=30,X148-TODAY()&gt;=0,OR(Z148="",Z148&lt;90)),"At risk — close to off track","On track"))))))))</t>
        </is>
      </c>
      <c r="AH148" s="39" t="inlineStr">
        <is>
          <t>IF(OR(F148="",AC148="Completed / Handover",AC148="Cancelled"),"",IF(O148="Not awarded",IF(U148&lt;&gt;"",U148-TODAY(),IF(X148="","",X148-TODAY())),IF(X148="","",X148-TODAY())))</t>
        </is>
      </c>
      <c r="AI148" s="37" t="n"/>
      <c r="AJ148" s="37" t="n"/>
      <c r="AK148" s="37" t="n"/>
      <c r="AL148" s="37" t="n"/>
      <c r="AM148" s="37" t="n"/>
      <c r="AN148" s="37" t="n"/>
      <c r="AO148" s="37" t="n"/>
      <c r="AP148" s="37" t="n"/>
      <c r="AQ148" s="37" t="n"/>
      <c r="AR148" s="37" t="n"/>
      <c r="AS148" s="37" t="n"/>
      <c r="AT148" s="40" t="n"/>
      <c r="AU148" s="40" t="n"/>
      <c r="AV148" s="40" t="n"/>
      <c r="AW148" s="39" t="inlineStr">
        <is>
          <t>IF(OR(F148="",AJ148=""),"",IF(COUNT(AI148:AI148)=0,"",AJ148-LOOKUP(2,1/(AI148:AI148&lt;&gt;""),AI148:AI148)))</t>
        </is>
      </c>
      <c r="AX148" s="39" t="inlineStr">
        <is>
          <t>IF(OR(F148="",AK148=""),"",IF(COUNT(AI148:AJ148)=0,"",AK148-LOOKUP(2,1/(AI148:AJ148&lt;&gt;""),AI148:AJ148)))</t>
        </is>
      </c>
      <c r="AY148" s="39" t="inlineStr">
        <is>
          <t>IF(OR(F148="",AL148=""),"",IF(COUNT(AI148:AK148)=0,"",AL148-LOOKUP(2,1/(AI148:AK148&lt;&gt;""),AI148:AK148)))</t>
        </is>
      </c>
      <c r="AZ148" s="39" t="inlineStr">
        <is>
          <t>IF(OR(F148="",AM148=""),"",IF(COUNT(AI148:AL148)=0,"",AM148-LOOKUP(2,1/(AI148:AL148&lt;&gt;""),AI148:AL148)))</t>
        </is>
      </c>
      <c r="BA148" s="39" t="inlineStr">
        <is>
          <t>IF(OR(F148="",AN148=""),"",IF(COUNT(AI148:AM148)=0,"",AN148-LOOKUP(2,1/(AI148:AM148&lt;&gt;""),AI148:AM148)))</t>
        </is>
      </c>
      <c r="BB148" s="39" t="inlineStr">
        <is>
          <t>IF(OR(F148="",AO148=""),"",IF(COUNT(AI148:AN148)=0,"",AO148-LOOKUP(2,1/(AI148:AN148&lt;&gt;""),AI148:AN148)))</t>
        </is>
      </c>
      <c r="BC148" s="39" t="inlineStr">
        <is>
          <t>IF(OR(F148="",AP148=""),"",IF(COUNT(AI148:AO148)=0,"",AP148-LOOKUP(2,1/(AI148:AO148&lt;&gt;""),AI148:AO148)))</t>
        </is>
      </c>
      <c r="BD148" s="39" t="inlineStr">
        <is>
          <t>IF(OR(F148="",AQ148=""),"",IF(COUNT(AI148:AP148)=0,"",AQ148-LOOKUP(2,1/(AI148:AP148&lt;&gt;""),AI148:AP148)))</t>
        </is>
      </c>
      <c r="BE148" s="39" t="inlineStr">
        <is>
          <t>IF(OR(F148="",AR148=""),"",IF(COUNT(AI148:AQ148)=0,"",AR148-LOOKUP(2,1/(AI148:AQ148&lt;&gt;""),AI148:AQ148)))</t>
        </is>
      </c>
      <c r="BF148" s="39" t="inlineStr">
        <is>
          <t>IF(OR(F148="",AS148=""),"",IF(COUNT(AI148:AR148)=0,"",AS148-LOOKUP(2,1/(AI148:AR148&lt;&gt;""),AI148:AR148)))</t>
        </is>
      </c>
      <c r="BG148" s="39" t="inlineStr">
        <is>
          <t>IF(OR(F148="",AT148=""),"",IF(COUNT(AI148:AS148)=0,"",AT148-LOOKUP(2,1/(AI148:AS148&lt;&gt;""),AI148:AS148)))</t>
        </is>
      </c>
      <c r="BH148" s="39" t="inlineStr">
        <is>
          <t>IF(OR(F148="",AU148=""),"",IF(COUNT(AI148:AT148)=0,"",AU148-LOOKUP(2,1/(AI148:AT148&lt;&gt;""),AI148:AT148)))</t>
        </is>
      </c>
      <c r="BI148" s="39" t="inlineStr">
        <is>
          <t>IF(OR(F148="",AV148=""),"",IF(COUNT(AI148:AU148)=0,"",AV148-LOOKUP(2,1/(AI148:AU148&lt;&gt;""),AI148:AU148)))</t>
        </is>
      </c>
      <c r="BJ148" s="41" t="inlineStr">
        <is>
          <t>IF(J148="","All_Provinces",IFERROR(VLOOKUP(J148,'09_Lookups'!$A$4:$B$20,2,FALSE),"All_Provinces"))</t>
        </is>
      </c>
      <c r="BK148" s="41" t="inlineStr">
        <is>
          <t>IF(K148="","All_Districts",IFERROR(VLOOKUP(K148,'09_Lookups'!$E$4:$F$42,2,FALSE),"All_Districts"))</t>
        </is>
      </c>
    </row>
    <row r="149" ht="18" customHeight="1">
      <c r="A149" s="32" t="inlineStr">
        <is>
          <t>IF(F149="","",ROW()-3)</t>
        </is>
      </c>
      <c r="B149" s="62" t="inlineStr">
        <is>
          <t>AF2-IS-05</t>
        </is>
      </c>
      <c r="C149" s="62" t="inlineStr">
        <is>
          <t>Package #5-AF2 IS: Rehabilitation of Korakha irrigation scheme, located in Dawlatyar District of Ghor province.</t>
        </is>
      </c>
      <c r="D149" s="62" t="inlineStr">
        <is>
          <t>1 of 1</t>
        </is>
      </c>
      <c r="E149" s="57" t="inlineStr">
        <is>
          <t>AF2-IS-N-003</t>
        </is>
      </c>
      <c r="F149" s="57" t="inlineStr">
        <is>
          <t>Korakha Irrigation Scheme</t>
        </is>
      </c>
      <c r="G149" s="57" t="inlineStr">
        <is>
          <t>Irrigation Scheme</t>
        </is>
      </c>
      <c r="H149" s="57" t="inlineStr">
        <is>
          <t>Irrigation Canal</t>
        </is>
      </c>
      <c r="I149" s="57" t="inlineStr">
        <is>
          <t>Emergency Food Security Project (EFSP) – WBK/AF-2</t>
        </is>
      </c>
      <c r="J149" s="57" t="inlineStr">
        <is>
          <t>West / Herat</t>
        </is>
      </c>
      <c r="K149" s="57" t="inlineStr">
        <is>
          <t>Ghor</t>
        </is>
      </c>
      <c r="L149" s="57" t="inlineStr">
        <is>
          <t>Dawlatyar</t>
        </is>
      </c>
      <c r="M149" s="57" t="inlineStr">
        <is>
          <t>Sumak</t>
        </is>
      </c>
      <c r="N149" s="57" t="inlineStr">
        <is>
          <t>World Bank (WBK/AF-2)</t>
        </is>
      </c>
      <c r="O149" s="57" t="inlineStr">
        <is>
          <t>Not awarded</t>
        </is>
      </c>
      <c r="P149" s="57" t="inlineStr">
        <is>
          <t>2.Remain contracts_On&amp;off-farm</t>
        </is>
      </c>
      <c r="Q149" s="57" t="inlineStr"/>
      <c r="R149" s="57" t="inlineStr"/>
      <c r="S149" s="58" t="n">
        <v>101250</v>
      </c>
      <c r="T149" s="36" t="inlineStr">
        <is>
          <t>IF(AQ149="","",AQ149)</t>
        </is>
      </c>
      <c r="U149" s="59" t="n">
        <v>46381</v>
      </c>
      <c r="V149" s="60" t="n">
        <v>7.6</v>
      </c>
      <c r="W149" s="59" t="n">
        <v>46611</v>
      </c>
      <c r="X149" s="36" t="inlineStr">
        <is>
          <t>IF(W149&lt;&gt;"",W149,IF(OR(T149="",V149=""),"",EDATE(T149,V149)))</t>
        </is>
      </c>
      <c r="Y149" s="59" t="n"/>
      <c r="Z149" s="60" t="n"/>
      <c r="AA149" s="57" t="inlineStr">
        <is>
          <t>PR to be Raised</t>
        </is>
      </c>
      <c r="AB149" s="57" t="inlineStr">
        <is>
          <t>Three months slack period Jan-Mar during winter. Five months construction period required for two canals</t>
        </is>
      </c>
      <c r="AC149" s="32" t="inlineStr">
        <is>
          <t>IF(F149="","",IF(COUNT(AI149:AV149)=0,IF(AA149="","Not started",AA149),SUBSTITUTE(LOOKUP(2,1/(AI149:AV149&lt;&gt;""),$AI$3:$AV$3),"Date: ","")))</t>
        </is>
      </c>
      <c r="AD149" s="39" t="inlineStr">
        <is>
          <t>IF(OR(F149="",COUNT(AI149:AV149)=0),"",TODAY()-LOOKUP(2,1/(AI149:AV149&lt;&gt;""),AI149:AV149))</t>
        </is>
      </c>
      <c r="AE149" s="39" t="inlineStr">
        <is>
          <t>IF(OR(F149="",COUNT(AI149:AV149)&lt;2),"",LOOKUP(2,1/(AI149:AV149&lt;&gt;""),AI149:AV149)-MIN(AI149:AV149))</t>
        </is>
      </c>
      <c r="AF149" s="39" t="inlineStr">
        <is>
          <t>IF(OR(AD149="",AC149="Not started",AC149=""),"",IFERROR(AD149-IF(VLOOKUP(AC149,'06_Status_Pipeline'!$B$3:$E$20,4,FALSE)="",0,VLOOKUP(AC149,'06_Status_Pipeline'!$B$3:$E$20,4,FALSE)),""))</t>
        </is>
      </c>
      <c r="AG149" s="32" t="inlineStr">
        <is>
          <t>IF(F149="","",IF(OR(AA149="Cancelled",AC149="Cancelled"),"Cancelled",IF(OR(AC149="Completed / Handover",Y149&lt;&gt;"",Z149&gt;=100),"Completed — on track",IF(O149="Not awarded",IF(U149="",IF(X149="","No planned date",IF(TODAY()&gt;X149,"Behind — past planned date",IF(X149-TODAY()&lt;=30,"At risk — close to off track","On track"))),IF(TODAY()&gt;U149,"Behind — award date passed",IF(U149-TODAY()&lt;=30,"At risk — close to off track","On track"))),IF(X149="","No planned date",IF(AND(TODAY()&gt;X149,OR(Z149="",Z149&lt;100)),"Behind — past end date",IF(AND(T149&lt;&gt;"",X149&lt;&gt;"",Z149&lt;&gt;"",(Z149&lt;100),((TODAY()-T149)/MAX(X149-T149,1)*100)-Z149&gt;15),"Behind — progress lag",IF(AND(X149-TODAY()&lt;=30,X149-TODAY()&gt;=0,OR(Z149="",Z149&lt;90)),"At risk — close to off track","On track"))))))))</t>
        </is>
      </c>
      <c r="AH149" s="39" t="inlineStr">
        <is>
          <t>IF(OR(F149="",AC149="Completed / Handover",AC149="Cancelled"),"",IF(O149="Not awarded",IF(U149&lt;&gt;"",U149-TODAY(),IF(X149="","",X149-TODAY())),IF(X149="","",X149-TODAY())))</t>
        </is>
      </c>
      <c r="AI149" s="59" t="n"/>
      <c r="AJ149" s="59" t="n"/>
      <c r="AK149" s="59" t="n"/>
      <c r="AL149" s="59" t="n"/>
      <c r="AM149" s="59" t="n"/>
      <c r="AN149" s="59" t="n"/>
      <c r="AO149" s="59" t="n"/>
      <c r="AP149" s="59" t="n"/>
      <c r="AQ149" s="59" t="n"/>
      <c r="AR149" s="59" t="n"/>
      <c r="AS149" s="59" t="n"/>
      <c r="AT149" s="40" t="n"/>
      <c r="AU149" s="40" t="n"/>
      <c r="AV149" s="40" t="n"/>
      <c r="AW149" s="39" t="inlineStr">
        <is>
          <t>IF(OR(F149="",AJ149=""),"",IF(COUNT(AI149:AI149)=0,"",AJ149-LOOKUP(2,1/(AI149:AI149&lt;&gt;""),AI149:AI149)))</t>
        </is>
      </c>
      <c r="AX149" s="39" t="inlineStr">
        <is>
          <t>IF(OR(F149="",AK149=""),"",IF(COUNT(AI149:AJ149)=0,"",AK149-LOOKUP(2,1/(AI149:AJ149&lt;&gt;""),AI149:AJ149)))</t>
        </is>
      </c>
      <c r="AY149" s="39" t="inlineStr">
        <is>
          <t>IF(OR(F149="",AL149=""),"",IF(COUNT(AI149:AK149)=0,"",AL149-LOOKUP(2,1/(AI149:AK149&lt;&gt;""),AI149:AK149)))</t>
        </is>
      </c>
      <c r="AZ149" s="39" t="inlineStr">
        <is>
          <t>IF(OR(F149="",AM149=""),"",IF(COUNT(AI149:AL149)=0,"",AM149-LOOKUP(2,1/(AI149:AL149&lt;&gt;""),AI149:AL149)))</t>
        </is>
      </c>
      <c r="BA149" s="39" t="inlineStr">
        <is>
          <t>IF(OR(F149="",AN149=""),"",IF(COUNT(AI149:AM149)=0,"",AN149-LOOKUP(2,1/(AI149:AM149&lt;&gt;""),AI149:AM149)))</t>
        </is>
      </c>
      <c r="BB149" s="39" t="inlineStr">
        <is>
          <t>IF(OR(F149="",AO149=""),"",IF(COUNT(AI149:AN149)=0,"",AO149-LOOKUP(2,1/(AI149:AN149&lt;&gt;""),AI149:AN149)))</t>
        </is>
      </c>
      <c r="BC149" s="39" t="inlineStr">
        <is>
          <t>IF(OR(F149="",AP149=""),"",IF(COUNT(AI149:AO149)=0,"",AP149-LOOKUP(2,1/(AI149:AO149&lt;&gt;""),AI149:AO149)))</t>
        </is>
      </c>
      <c r="BD149" s="39" t="inlineStr">
        <is>
          <t>IF(OR(F149="",AQ149=""),"",IF(COUNT(AI149:AP149)=0,"",AQ149-LOOKUP(2,1/(AI149:AP149&lt;&gt;""),AI149:AP149)))</t>
        </is>
      </c>
      <c r="BE149" s="39" t="inlineStr">
        <is>
          <t>IF(OR(F149="",AR149=""),"",IF(COUNT(AI149:AQ149)=0,"",AR149-LOOKUP(2,1/(AI149:AQ149&lt;&gt;""),AI149:AQ149)))</t>
        </is>
      </c>
      <c r="BF149" s="39" t="inlineStr">
        <is>
          <t>IF(OR(F149="",AS149=""),"",IF(COUNT(AI149:AR149)=0,"",AS149-LOOKUP(2,1/(AI149:AR149&lt;&gt;""),AI149:AR149)))</t>
        </is>
      </c>
      <c r="BG149" s="39" t="inlineStr">
        <is>
          <t>IF(OR(F149="",AT149=""),"",IF(COUNT(AI149:AS149)=0,"",AT149-LOOKUP(2,1/(AI149:AS149&lt;&gt;""),AI149:AS149)))</t>
        </is>
      </c>
      <c r="BH149" s="39" t="inlineStr">
        <is>
          <t>IF(OR(F149="",AU149=""),"",IF(COUNT(AI149:AT149)=0,"",AU149-LOOKUP(2,1/(AI149:AT149&lt;&gt;""),AI149:AT149)))</t>
        </is>
      </c>
      <c r="BI149" s="39" t="inlineStr">
        <is>
          <t>IF(OR(F149="",AV149=""),"",IF(COUNT(AI149:AU149)=0,"",AV149-LOOKUP(2,1/(AI149:AU149&lt;&gt;""),AI149:AU149)))</t>
        </is>
      </c>
      <c r="BJ149" s="41" t="inlineStr">
        <is>
          <t>IF(J149="","All_Provinces",IFERROR(VLOOKUP(J149,'09_Lookups'!$A$4:$B$20,2,FALSE),"All_Provinces"))</t>
        </is>
      </c>
      <c r="BK149" s="41" t="inlineStr">
        <is>
          <t>IF(K149="","All_Districts",IFERROR(VLOOKUP(K149,'09_Lookups'!$E$4:$F$42,2,FALSE),"All_Districts"))</t>
        </is>
      </c>
    </row>
    <row r="150" ht="18" customHeight="1">
      <c r="A150" s="32" t="inlineStr">
        <is>
          <t>IF(F150="","",ROW()-3)</t>
        </is>
      </c>
      <c r="B150" s="64" t="inlineStr">
        <is>
          <t>AF2-IS-06</t>
        </is>
      </c>
      <c r="C150" s="64" t="inlineStr">
        <is>
          <t>Package #6-AF2 IS: Rehabilitation of Kushtal Canal, Checknawar canal, and Patikhirrki canal irrigation schemes, located in Lalpora ,Spinghar and Khogyani districts of Nangarhar province.</t>
        </is>
      </c>
      <c r="D150" s="64" t="inlineStr">
        <is>
          <t>1 of 3</t>
        </is>
      </c>
      <c r="E150" s="34" t="inlineStr">
        <is>
          <t>AF2-IS-A-005</t>
        </is>
      </c>
      <c r="F150" s="34" t="inlineStr">
        <is>
          <t>Checknawar canal irrigation scheme</t>
        </is>
      </c>
      <c r="G150" s="34" t="inlineStr">
        <is>
          <t>Irrigation Scheme</t>
        </is>
      </c>
      <c r="H150" s="34" t="inlineStr">
        <is>
          <t>Irrigation Canal</t>
        </is>
      </c>
      <c r="I150" s="34" t="inlineStr">
        <is>
          <t>Emergency Food Security Project (EFSP) – WBK/AF-2</t>
        </is>
      </c>
      <c r="J150" s="34" t="inlineStr">
        <is>
          <t>East / Jalalabad</t>
        </is>
      </c>
      <c r="K150" s="34" t="inlineStr">
        <is>
          <t>Nangarhar</t>
        </is>
      </c>
      <c r="L150" s="34" t="inlineStr">
        <is>
          <t>Spinghar</t>
        </is>
      </c>
      <c r="M150" s="34" t="inlineStr">
        <is>
          <t>Kushtal</t>
        </is>
      </c>
      <c r="N150" s="34" t="inlineStr">
        <is>
          <t>World Bank (WBK/AF-2)</t>
        </is>
      </c>
      <c r="O150" s="34" t="inlineStr">
        <is>
          <t>Awarded</t>
        </is>
      </c>
      <c r="P150" s="34" t="inlineStr">
        <is>
          <t>1.Awarded contracts_On&amp;off-farm</t>
        </is>
      </c>
      <c r="Q150" s="34" t="inlineStr">
        <is>
          <t>Shirali Khan Barakatzai Construction Company (SBCC)</t>
        </is>
      </c>
      <c r="R150" s="34" t="inlineStr">
        <is>
          <t>054/2025</t>
        </is>
      </c>
      <c r="S150" s="35" t="n">
        <v>221002.97</v>
      </c>
      <c r="T150" s="36" t="inlineStr">
        <is>
          <t>IF(AQ150="","",AQ150)</t>
        </is>
      </c>
      <c r="U150" s="37" t="n"/>
      <c r="V150" s="38" t="n">
        <v>12</v>
      </c>
      <c r="W150" s="37" t="n">
        <v>46319</v>
      </c>
      <c r="X150" s="36" t="inlineStr">
        <is>
          <t>IF(W150&lt;&gt;"",W150,IF(OR(T150="",V150=""),"",EDATE(T150,V150)))</t>
        </is>
      </c>
      <c r="Y150" s="37" t="n"/>
      <c r="Z150" s="38" t="n">
        <v>90</v>
      </c>
      <c r="AA150" s="34" t="inlineStr">
        <is>
          <t>Under Construction</t>
        </is>
      </c>
      <c r="AB150" s="34" t="inlineStr">
        <is>
          <t>on track and will be completed by Oct. 2026</t>
        </is>
      </c>
      <c r="AC150" s="32" t="inlineStr">
        <is>
          <t>IF(F150="","",IF(COUNT(AI150:AV150)=0,IF(AA150="","Not started",AA150),SUBSTITUTE(LOOKUP(2,1/(AI150:AV150&lt;&gt;""),$AI$3:$AV$3),"Date: ","")))</t>
        </is>
      </c>
      <c r="AD150" s="39" t="inlineStr">
        <is>
          <t>IF(OR(F150="",COUNT(AI150:AV150)=0),"",TODAY()-LOOKUP(2,1/(AI150:AV150&lt;&gt;""),AI150:AV150))</t>
        </is>
      </c>
      <c r="AE150" s="39" t="inlineStr">
        <is>
          <t>IF(OR(F150="",COUNT(AI150:AV150)&lt;2),"",LOOKUP(2,1/(AI150:AV150&lt;&gt;""),AI150:AV150)-MIN(AI150:AV150))</t>
        </is>
      </c>
      <c r="AF150" s="39" t="inlineStr">
        <is>
          <t>IF(OR(AD150="",AC150="Not started",AC150=""),"",IFERROR(AD150-IF(VLOOKUP(AC150,'06_Status_Pipeline'!$B$3:$E$20,4,FALSE)="",0,VLOOKUP(AC150,'06_Status_Pipeline'!$B$3:$E$20,4,FALSE)),""))</t>
        </is>
      </c>
      <c r="AG150" s="32" t="inlineStr">
        <is>
          <t>IF(F150="","",IF(OR(AA150="Cancelled",AC150="Cancelled"),"Cancelled",IF(OR(AC150="Completed / Handover",Y150&lt;&gt;"",Z150&gt;=100),"Completed — on track",IF(O150="Not awarded",IF(U150="",IF(X150="","No planned date",IF(TODAY()&gt;X150,"Behind — past planned date",IF(X150-TODAY()&lt;=30,"At risk — close to off track","On track"))),IF(TODAY()&gt;U150,"Behind — award date passed",IF(U150-TODAY()&lt;=30,"At risk — close to off track","On track"))),IF(X150="","No planned date",IF(AND(TODAY()&gt;X150,OR(Z150="",Z150&lt;100)),"Behind — past end date",IF(AND(T150&lt;&gt;"",X150&lt;&gt;"",Z150&lt;&gt;"",(Z150&lt;100),((TODAY()-T150)/MAX(X150-T150,1)*100)-Z150&gt;15),"Behind — progress lag",IF(AND(X150-TODAY()&lt;=30,X150-TODAY()&gt;=0,OR(Z150="",Z150&lt;90)),"At risk — close to off track","On track"))))))))</t>
        </is>
      </c>
      <c r="AH150" s="39" t="inlineStr">
        <is>
          <t>IF(OR(F150="",AC150="Completed / Handover",AC150="Cancelled"),"",IF(O150="Not awarded",IF(U150&lt;&gt;"",U150-TODAY(),IF(X150="","",X150-TODAY())),IF(X150="","",X150-TODAY())))</t>
        </is>
      </c>
      <c r="AI150" s="66" t="n"/>
      <c r="AJ150" s="66" t="n"/>
      <c r="AK150" s="66" t="n"/>
      <c r="AL150" s="66" t="n"/>
      <c r="AM150" s="66" t="n"/>
      <c r="AN150" s="66" t="n"/>
      <c r="AO150" s="66" t="n"/>
      <c r="AP150" s="66" t="n"/>
      <c r="AQ150" s="66" t="n">
        <v>45955</v>
      </c>
      <c r="AR150" s="66" t="n">
        <v>45955</v>
      </c>
      <c r="AS150" s="66" t="n"/>
      <c r="AT150" s="40" t="n"/>
      <c r="AU150" s="40" t="n"/>
      <c r="AV150" s="40" t="n"/>
      <c r="AW150" s="39" t="inlineStr">
        <is>
          <t>IF(OR(F150="",AJ150=""),"",IF(COUNT(AI150:AI150)=0,"",AJ150-LOOKUP(2,1/(AI150:AI150&lt;&gt;""),AI150:AI150)))</t>
        </is>
      </c>
      <c r="AX150" s="39" t="inlineStr">
        <is>
          <t>IF(OR(F150="",AK150=""),"",IF(COUNT(AI150:AJ150)=0,"",AK150-LOOKUP(2,1/(AI150:AJ150&lt;&gt;""),AI150:AJ150)))</t>
        </is>
      </c>
      <c r="AY150" s="39" t="inlineStr">
        <is>
          <t>IF(OR(F150="",AL150=""),"",IF(COUNT(AI150:AK150)=0,"",AL150-LOOKUP(2,1/(AI150:AK150&lt;&gt;""),AI150:AK150)))</t>
        </is>
      </c>
      <c r="AZ150" s="39" t="inlineStr">
        <is>
          <t>IF(OR(F150="",AM150=""),"",IF(COUNT(AI150:AL150)=0,"",AM150-LOOKUP(2,1/(AI150:AL150&lt;&gt;""),AI150:AL150)))</t>
        </is>
      </c>
      <c r="BA150" s="39" t="inlineStr">
        <is>
          <t>IF(OR(F150="",AN150=""),"",IF(COUNT(AI150:AM150)=0,"",AN150-LOOKUP(2,1/(AI150:AM150&lt;&gt;""),AI150:AM150)))</t>
        </is>
      </c>
      <c r="BB150" s="39" t="inlineStr">
        <is>
          <t>IF(OR(F150="",AO150=""),"",IF(COUNT(AI150:AN150)=0,"",AO150-LOOKUP(2,1/(AI150:AN150&lt;&gt;""),AI150:AN150)))</t>
        </is>
      </c>
      <c r="BC150" s="39" t="inlineStr">
        <is>
          <t>IF(OR(F150="",AP150=""),"",IF(COUNT(AI150:AO150)=0,"",AP150-LOOKUP(2,1/(AI150:AO150&lt;&gt;""),AI150:AO150)))</t>
        </is>
      </c>
      <c r="BD150" s="39" t="inlineStr">
        <is>
          <t>IF(OR(F150="",AQ150=""),"",IF(COUNT(AI150:AP150)=0,"",AQ150-LOOKUP(2,1/(AI150:AP150&lt;&gt;""),AI150:AP150)))</t>
        </is>
      </c>
      <c r="BE150" s="39" t="inlineStr">
        <is>
          <t>IF(OR(F150="",AR150=""),"",IF(COUNT(AI150:AQ150)=0,"",AR150-LOOKUP(2,1/(AI150:AQ150&lt;&gt;""),AI150:AQ150)))</t>
        </is>
      </c>
      <c r="BF150" s="39" t="inlineStr">
        <is>
          <t>IF(OR(F150="",AS150=""),"",IF(COUNT(AI150:AR150)=0,"",AS150-LOOKUP(2,1/(AI150:AR150&lt;&gt;""),AI150:AR150)))</t>
        </is>
      </c>
      <c r="BG150" s="39" t="inlineStr">
        <is>
          <t>IF(OR(F150="",AT150=""),"",IF(COUNT(AI150:AS150)=0,"",AT150-LOOKUP(2,1/(AI150:AS150&lt;&gt;""),AI150:AS150)))</t>
        </is>
      </c>
      <c r="BH150" s="39" t="inlineStr">
        <is>
          <t>IF(OR(F150="",AU150=""),"",IF(COUNT(AI150:AT150)=0,"",AU150-LOOKUP(2,1/(AI150:AT150&lt;&gt;""),AI150:AT150)))</t>
        </is>
      </c>
      <c r="BI150" s="39" t="inlineStr">
        <is>
          <t>IF(OR(F150="",AV150=""),"",IF(COUNT(AI150:AU150)=0,"",AV150-LOOKUP(2,1/(AI150:AU150&lt;&gt;""),AI150:AU150)))</t>
        </is>
      </c>
      <c r="BJ150" s="41" t="inlineStr">
        <is>
          <t>IF(J150="","All_Provinces",IFERROR(VLOOKUP(J150,'09_Lookups'!$A$4:$B$20,2,FALSE),"All_Provinces"))</t>
        </is>
      </c>
      <c r="BK150" s="41" t="inlineStr">
        <is>
          <t>IF(K150="","All_Districts",IFERROR(VLOOKUP(K150,'09_Lookups'!$E$4:$F$42,2,FALSE),"All_Districts"))</t>
        </is>
      </c>
    </row>
    <row r="151" outlineLevel="1" ht="18" customHeight="1">
      <c r="A151" s="42" t="inlineStr">
        <is>
          <t>IF(F151="","",ROW()-3)</t>
        </is>
      </c>
      <c r="B151" s="65" t="inlineStr">
        <is>
          <t>AF2-IS-06</t>
        </is>
      </c>
      <c r="C151" s="65" t="inlineStr">
        <is>
          <t>Package #6-AF2 IS: Rehabilitation of Kushtal Canal, Checknawar canal, and Patikhirrki canal irrigation schemes, located in Lalpora ,Spinghar and Khogyani districts of Nangarhar province.</t>
        </is>
      </c>
      <c r="D151" s="65" t="inlineStr">
        <is>
          <t>2 of 3</t>
        </is>
      </c>
      <c r="E151" s="44" t="inlineStr">
        <is>
          <t>AF2-IS-A-006</t>
        </is>
      </c>
      <c r="F151" s="44" t="inlineStr">
        <is>
          <t>Kushtal canal irrigation Scheme</t>
        </is>
      </c>
      <c r="G151" s="44" t="inlineStr">
        <is>
          <t>Irrigation Scheme</t>
        </is>
      </c>
      <c r="H151" s="44" t="inlineStr">
        <is>
          <t>Irrigation Canal</t>
        </is>
      </c>
      <c r="I151" s="44" t="inlineStr">
        <is>
          <t>Emergency Food Security Project (EFSP) – WBK/AF-2</t>
        </is>
      </c>
      <c r="J151" s="44" t="inlineStr">
        <is>
          <t>East / Jalalabad</t>
        </is>
      </c>
      <c r="K151" s="44" t="inlineStr">
        <is>
          <t>Nangarhar</t>
        </is>
      </c>
      <c r="L151" s="44" t="inlineStr">
        <is>
          <t>Lalpora</t>
        </is>
      </c>
      <c r="M151" s="44" t="inlineStr">
        <is>
          <t>Checknawar</t>
        </is>
      </c>
      <c r="N151" s="44" t="inlineStr">
        <is>
          <t>World Bank (WBK/AF-2)</t>
        </is>
      </c>
      <c r="O151" s="44" t="inlineStr">
        <is>
          <t>Awarded</t>
        </is>
      </c>
      <c r="P151" s="44" t="inlineStr">
        <is>
          <t>1.Awarded contracts_On&amp;off-farm</t>
        </is>
      </c>
      <c r="Q151" s="44" t="inlineStr">
        <is>
          <t>Shirali Khan Barakatzai Construction Company (SBCC)</t>
        </is>
      </c>
      <c r="R151" s="44" t="inlineStr">
        <is>
          <t>054/2025</t>
        </is>
      </c>
      <c r="S151" s="45" t="n">
        <v>57919.77</v>
      </c>
      <c r="T151" s="46" t="inlineStr">
        <is>
          <t>IF(AQ151="","",AQ151)</t>
        </is>
      </c>
      <c r="U151" s="47" t="n"/>
      <c r="V151" s="48" t="n">
        <v>12</v>
      </c>
      <c r="W151" s="47" t="n">
        <v>46319</v>
      </c>
      <c r="X151" s="46" t="inlineStr">
        <is>
          <t>IF(W151&lt;&gt;"",W151,IF(OR(T151="",V151=""),"",EDATE(T151,V151)))</t>
        </is>
      </c>
      <c r="Y151" s="47" t="n"/>
      <c r="Z151" s="48" t="n">
        <v>95</v>
      </c>
      <c r="AA151" s="44" t="inlineStr">
        <is>
          <t>Under Construction</t>
        </is>
      </c>
      <c r="AB151" s="44" t="inlineStr">
        <is>
          <t>on track and will be completed by Oct. 2026</t>
        </is>
      </c>
      <c r="AC151" s="42" t="inlineStr">
        <is>
          <t>IF(F151="","",IF(COUNT(AI151:AV151)=0,IF(AA151="","Not started",AA151),SUBSTITUTE(LOOKUP(2,1/(AI151:AV151&lt;&gt;""),$AI$3:$AV$3),"Date: ","")))</t>
        </is>
      </c>
      <c r="AD151" s="49" t="inlineStr">
        <is>
          <t>IF(OR(F151="",COUNT(AI151:AV151)=0),"",TODAY()-LOOKUP(2,1/(AI151:AV151&lt;&gt;""),AI151:AV151))</t>
        </is>
      </c>
      <c r="AE151" s="49" t="inlineStr">
        <is>
          <t>IF(OR(F151="",COUNT(AI151:AV151)&lt;2),"",LOOKUP(2,1/(AI151:AV151&lt;&gt;""),AI151:AV151)-MIN(AI151:AV151))</t>
        </is>
      </c>
      <c r="AF151" s="49" t="inlineStr">
        <is>
          <t>IF(OR(AD151="",AC151="Not started",AC151=""),"",IFERROR(AD151-IF(VLOOKUP(AC151,'06_Status_Pipeline'!$B$3:$E$20,4,FALSE)="",0,VLOOKUP(AC151,'06_Status_Pipeline'!$B$3:$E$20,4,FALSE)),""))</t>
        </is>
      </c>
      <c r="AG151" s="42" t="inlineStr">
        <is>
          <t>IF(F151="","",IF(OR(AA151="Cancelled",AC151="Cancelled"),"Cancelled",IF(OR(AC151="Completed / Handover",Y151&lt;&gt;"",Z151&gt;=100),"Completed — on track",IF(O151="Not awarded",IF(U151="",IF(X151="","No planned date",IF(TODAY()&gt;X151,"Behind — past planned date",IF(X151-TODAY()&lt;=30,"At risk — close to off track","On track"))),IF(TODAY()&gt;U151,"Behind — award date passed",IF(U151-TODAY()&lt;=30,"At risk — close to off track","On track"))),IF(X151="","No planned date",IF(AND(TODAY()&gt;X151,OR(Z151="",Z151&lt;100)),"Behind — past end date",IF(AND(T151&lt;&gt;"",X151&lt;&gt;"",Z151&lt;&gt;"",(Z151&lt;100),((TODAY()-T151)/MAX(X151-T151,1)*100)-Z151&gt;15),"Behind — progress lag",IF(AND(X151-TODAY()&lt;=30,X151-TODAY()&gt;=0,OR(Z151="",Z151&lt;90)),"At risk — close to off track","On track"))))))))</t>
        </is>
      </c>
      <c r="AH151" s="49" t="inlineStr">
        <is>
          <t>IF(OR(F151="",AC151="Completed / Handover",AC151="Cancelled"),"",IF(O151="Not awarded",IF(U151&lt;&gt;"",U151-TODAY(),IF(X151="","",X151-TODAY())),IF(X151="","",X151-TODAY())))</t>
        </is>
      </c>
      <c r="AI151" s="67" t="n"/>
      <c r="AJ151" s="67" t="n"/>
      <c r="AK151" s="67" t="n"/>
      <c r="AL151" s="67" t="n"/>
      <c r="AM151" s="67" t="n"/>
      <c r="AN151" s="67" t="n"/>
      <c r="AO151" s="67" t="n"/>
      <c r="AP151" s="67" t="n"/>
      <c r="AQ151" s="67" t="n">
        <v>45955</v>
      </c>
      <c r="AR151" s="67" t="n">
        <v>45955</v>
      </c>
      <c r="AS151" s="67" t="n"/>
      <c r="AT151" s="50" t="n"/>
      <c r="AU151" s="50" t="n"/>
      <c r="AV151" s="50" t="n"/>
      <c r="AW151" s="49" t="inlineStr">
        <is>
          <t>IF(OR(F151="",AJ151=""),"",IF(COUNT(AI151:AI151)=0,"",AJ151-LOOKUP(2,1/(AI151:AI151&lt;&gt;""),AI151:AI151)))</t>
        </is>
      </c>
      <c r="AX151" s="49" t="inlineStr">
        <is>
          <t>IF(OR(F151="",AK151=""),"",IF(COUNT(AI151:AJ151)=0,"",AK151-LOOKUP(2,1/(AI151:AJ151&lt;&gt;""),AI151:AJ151)))</t>
        </is>
      </c>
      <c r="AY151" s="49" t="inlineStr">
        <is>
          <t>IF(OR(F151="",AL151=""),"",IF(COUNT(AI151:AK151)=0,"",AL151-LOOKUP(2,1/(AI151:AK151&lt;&gt;""),AI151:AK151)))</t>
        </is>
      </c>
      <c r="AZ151" s="49" t="inlineStr">
        <is>
          <t>IF(OR(F151="",AM151=""),"",IF(COUNT(AI151:AL151)=0,"",AM151-LOOKUP(2,1/(AI151:AL151&lt;&gt;""),AI151:AL151)))</t>
        </is>
      </c>
      <c r="BA151" s="49" t="inlineStr">
        <is>
          <t>IF(OR(F151="",AN151=""),"",IF(COUNT(AI151:AM151)=0,"",AN151-LOOKUP(2,1/(AI151:AM151&lt;&gt;""),AI151:AM151)))</t>
        </is>
      </c>
      <c r="BB151" s="49" t="inlineStr">
        <is>
          <t>IF(OR(F151="",AO151=""),"",IF(COUNT(AI151:AN151)=0,"",AO151-LOOKUP(2,1/(AI151:AN151&lt;&gt;""),AI151:AN151)))</t>
        </is>
      </c>
      <c r="BC151" s="49" t="inlineStr">
        <is>
          <t>IF(OR(F151="",AP151=""),"",IF(COUNT(AI151:AO151)=0,"",AP151-LOOKUP(2,1/(AI151:AO151&lt;&gt;""),AI151:AO151)))</t>
        </is>
      </c>
      <c r="BD151" s="49" t="inlineStr">
        <is>
          <t>IF(OR(F151="",AQ151=""),"",IF(COUNT(AI151:AP151)=0,"",AQ151-LOOKUP(2,1/(AI151:AP151&lt;&gt;""),AI151:AP151)))</t>
        </is>
      </c>
      <c r="BE151" s="49" t="inlineStr">
        <is>
          <t>IF(OR(F151="",AR151=""),"",IF(COUNT(AI151:AQ151)=0,"",AR151-LOOKUP(2,1/(AI151:AQ151&lt;&gt;""),AI151:AQ151)))</t>
        </is>
      </c>
      <c r="BF151" s="49" t="inlineStr">
        <is>
          <t>IF(OR(F151="",AS151=""),"",IF(COUNT(AI151:AR151)=0,"",AS151-LOOKUP(2,1/(AI151:AR151&lt;&gt;""),AI151:AR151)))</t>
        </is>
      </c>
      <c r="BG151" s="49" t="inlineStr">
        <is>
          <t>IF(OR(F151="",AT151=""),"",IF(COUNT(AI151:AS151)=0,"",AT151-LOOKUP(2,1/(AI151:AS151&lt;&gt;""),AI151:AS151)))</t>
        </is>
      </c>
      <c r="BH151" s="49" t="inlineStr">
        <is>
          <t>IF(OR(F151="",AU151=""),"",IF(COUNT(AI151:AT151)=0,"",AU151-LOOKUP(2,1/(AI151:AT151&lt;&gt;""),AI151:AT151)))</t>
        </is>
      </c>
      <c r="BI151" s="49" t="inlineStr">
        <is>
          <t>IF(OR(F151="",AV151=""),"",IF(COUNT(AI151:AU151)=0,"",AV151-LOOKUP(2,1/(AI151:AU151&lt;&gt;""),AI151:AU151)))</t>
        </is>
      </c>
      <c r="BJ151" s="51" t="inlineStr">
        <is>
          <t>IF(J151="","All_Provinces",IFERROR(VLOOKUP(J151,'09_Lookups'!$A$4:$B$20,2,FALSE),"All_Provinces"))</t>
        </is>
      </c>
      <c r="BK151" s="51" t="inlineStr">
        <is>
          <t>IF(K151="","All_Districts",IFERROR(VLOOKUP(K151,'09_Lookups'!$E$4:$F$42,2,FALSE),"All_Districts"))</t>
        </is>
      </c>
    </row>
    <row r="152" outlineLevel="1" ht="18" customHeight="1">
      <c r="A152" s="42" t="inlineStr">
        <is>
          <t>IF(F152="","",ROW()-3)</t>
        </is>
      </c>
      <c r="B152" s="65" t="inlineStr">
        <is>
          <t>AF2-IS-06</t>
        </is>
      </c>
      <c r="C152" s="65" t="inlineStr">
        <is>
          <t>Package #6-AF2 IS: Rehabilitation of Kushtal Canal, Checknawar canal, and Patikhirrki canal irrigation schemes, located in Lalpora ,Spinghar and Khogyani districts of Nangarhar province.</t>
        </is>
      </c>
      <c r="D152" s="65" t="inlineStr">
        <is>
          <t>3 of 3</t>
        </is>
      </c>
      <c r="E152" s="52" t="inlineStr">
        <is>
          <t>AF2-IS-A-007</t>
        </is>
      </c>
      <c r="F152" s="52" t="inlineStr">
        <is>
          <t>Patikhirki canal irrigation Scheme</t>
        </is>
      </c>
      <c r="G152" s="52" t="inlineStr">
        <is>
          <t>Irrigation Scheme</t>
        </is>
      </c>
      <c r="H152" s="52" t="inlineStr">
        <is>
          <t>Irrigation Canal</t>
        </is>
      </c>
      <c r="I152" s="52" t="inlineStr">
        <is>
          <t>Emergency Food Security Project (EFSP) – WBK/AF-2</t>
        </is>
      </c>
      <c r="J152" s="52" t="inlineStr">
        <is>
          <t>East / Jalalabad</t>
        </is>
      </c>
      <c r="K152" s="52" t="inlineStr">
        <is>
          <t>Nangarhar</t>
        </is>
      </c>
      <c r="L152" s="52" t="inlineStr">
        <is>
          <t>Khogyani</t>
        </is>
      </c>
      <c r="M152" s="52" t="inlineStr">
        <is>
          <t>Patikhirrki</t>
        </is>
      </c>
      <c r="N152" s="52" t="inlineStr">
        <is>
          <t>World Bank (WBK/AF-2)</t>
        </is>
      </c>
      <c r="O152" s="52" t="inlineStr">
        <is>
          <t>Awarded</t>
        </is>
      </c>
      <c r="P152" s="52" t="inlineStr">
        <is>
          <t>1.Awarded contracts_On&amp;off-farm</t>
        </is>
      </c>
      <c r="Q152" s="52" t="inlineStr">
        <is>
          <t>Shirali Khan Barakatzai Construction Company (SBCC)</t>
        </is>
      </c>
      <c r="R152" s="52" t="inlineStr">
        <is>
          <t>054/2025</t>
        </is>
      </c>
      <c r="S152" s="53" t="n">
        <v>96234.39999999999</v>
      </c>
      <c r="T152" s="46" t="inlineStr">
        <is>
          <t>IF(AQ152="","",AQ152)</t>
        </is>
      </c>
      <c r="U152" s="54" t="n"/>
      <c r="V152" s="55" t="n">
        <v>12</v>
      </c>
      <c r="W152" s="54" t="n">
        <v>46319</v>
      </c>
      <c r="X152" s="46" t="inlineStr">
        <is>
          <t>IF(W152&lt;&gt;"",W152,IF(OR(T152="",V152=""),"",EDATE(T152,V152)))</t>
        </is>
      </c>
      <c r="Y152" s="54" t="n"/>
      <c r="Z152" s="55" t="n">
        <v>90</v>
      </c>
      <c r="AA152" s="52" t="inlineStr">
        <is>
          <t>Under Construction</t>
        </is>
      </c>
      <c r="AB152" s="52" t="inlineStr">
        <is>
          <t>on track and will be completed by Oct. 2026</t>
        </is>
      </c>
      <c r="AC152" s="42" t="inlineStr">
        <is>
          <t>IF(F152="","",IF(COUNT(AI152:AV152)=0,IF(AA152="","Not started",AA152),SUBSTITUTE(LOOKUP(2,1/(AI152:AV152&lt;&gt;""),$AI$3:$AV$3),"Date: ","")))</t>
        </is>
      </c>
      <c r="AD152" s="49" t="inlineStr">
        <is>
          <t>IF(OR(F152="",COUNT(AI152:AV152)=0),"",TODAY()-LOOKUP(2,1/(AI152:AV152&lt;&gt;""),AI152:AV152))</t>
        </is>
      </c>
      <c r="AE152" s="49" t="inlineStr">
        <is>
          <t>IF(OR(F152="",COUNT(AI152:AV152)&lt;2),"",LOOKUP(2,1/(AI152:AV152&lt;&gt;""),AI152:AV152)-MIN(AI152:AV152))</t>
        </is>
      </c>
      <c r="AF152" s="49" t="inlineStr">
        <is>
          <t>IF(OR(AD152="",AC152="Not started",AC152=""),"",IFERROR(AD152-IF(VLOOKUP(AC152,'06_Status_Pipeline'!$B$3:$E$20,4,FALSE)="",0,VLOOKUP(AC152,'06_Status_Pipeline'!$B$3:$E$20,4,FALSE)),""))</t>
        </is>
      </c>
      <c r="AG152" s="42" t="inlineStr">
        <is>
          <t>IF(F152="","",IF(OR(AA152="Cancelled",AC152="Cancelled"),"Cancelled",IF(OR(AC152="Completed / Handover",Y152&lt;&gt;"",Z152&gt;=100),"Completed — on track",IF(O152="Not awarded",IF(U152="",IF(X152="","No planned date",IF(TODAY()&gt;X152,"Behind — past planned date",IF(X152-TODAY()&lt;=30,"At risk — close to off track","On track"))),IF(TODAY()&gt;U152,"Behind — award date passed",IF(U152-TODAY()&lt;=30,"At risk — close to off track","On track"))),IF(X152="","No planned date",IF(AND(TODAY()&gt;X152,OR(Z152="",Z152&lt;100)),"Behind — past end date",IF(AND(T152&lt;&gt;"",X152&lt;&gt;"",Z152&lt;&gt;"",(Z152&lt;100),((TODAY()-T152)/MAX(X152-T152,1)*100)-Z152&gt;15),"Behind — progress lag",IF(AND(X152-TODAY()&lt;=30,X152-TODAY()&gt;=0,OR(Z152="",Z152&lt;90)),"At risk — close to off track","On track"))))))))</t>
        </is>
      </c>
      <c r="AH152" s="49" t="inlineStr">
        <is>
          <t>IF(OR(F152="",AC152="Completed / Handover",AC152="Cancelled"),"",IF(O152="Not awarded",IF(U152&lt;&gt;"",U152-TODAY(),IF(X152="","",X152-TODAY())),IF(X152="","",X152-TODAY())))</t>
        </is>
      </c>
      <c r="AI152" s="67" t="n"/>
      <c r="AJ152" s="67" t="n"/>
      <c r="AK152" s="67" t="n"/>
      <c r="AL152" s="67" t="n"/>
      <c r="AM152" s="67" t="n"/>
      <c r="AN152" s="67" t="n"/>
      <c r="AO152" s="67" t="n"/>
      <c r="AP152" s="67" t="n"/>
      <c r="AQ152" s="67" t="n">
        <v>45955</v>
      </c>
      <c r="AR152" s="67" t="n">
        <v>45955</v>
      </c>
      <c r="AS152" s="67" t="n"/>
      <c r="AT152" s="50" t="n"/>
      <c r="AU152" s="50" t="n"/>
      <c r="AV152" s="50" t="n"/>
      <c r="AW152" s="49" t="inlineStr">
        <is>
          <t>IF(OR(F152="",AJ152=""),"",IF(COUNT(AI152:AI152)=0,"",AJ152-LOOKUP(2,1/(AI152:AI152&lt;&gt;""),AI152:AI152)))</t>
        </is>
      </c>
      <c r="AX152" s="49" t="inlineStr">
        <is>
          <t>IF(OR(F152="",AK152=""),"",IF(COUNT(AI152:AJ152)=0,"",AK152-LOOKUP(2,1/(AI152:AJ152&lt;&gt;""),AI152:AJ152)))</t>
        </is>
      </c>
      <c r="AY152" s="49" t="inlineStr">
        <is>
          <t>IF(OR(F152="",AL152=""),"",IF(COUNT(AI152:AK152)=0,"",AL152-LOOKUP(2,1/(AI152:AK152&lt;&gt;""),AI152:AK152)))</t>
        </is>
      </c>
      <c r="AZ152" s="49" t="inlineStr">
        <is>
          <t>IF(OR(F152="",AM152=""),"",IF(COUNT(AI152:AL152)=0,"",AM152-LOOKUP(2,1/(AI152:AL152&lt;&gt;""),AI152:AL152)))</t>
        </is>
      </c>
      <c r="BA152" s="49" t="inlineStr">
        <is>
          <t>IF(OR(F152="",AN152=""),"",IF(COUNT(AI152:AM152)=0,"",AN152-LOOKUP(2,1/(AI152:AM152&lt;&gt;""),AI152:AM152)))</t>
        </is>
      </c>
      <c r="BB152" s="49" t="inlineStr">
        <is>
          <t>IF(OR(F152="",AO152=""),"",IF(COUNT(AI152:AN152)=0,"",AO152-LOOKUP(2,1/(AI152:AN152&lt;&gt;""),AI152:AN152)))</t>
        </is>
      </c>
      <c r="BC152" s="49" t="inlineStr">
        <is>
          <t>IF(OR(F152="",AP152=""),"",IF(COUNT(AI152:AO152)=0,"",AP152-LOOKUP(2,1/(AI152:AO152&lt;&gt;""),AI152:AO152)))</t>
        </is>
      </c>
      <c r="BD152" s="49" t="inlineStr">
        <is>
          <t>IF(OR(F152="",AQ152=""),"",IF(COUNT(AI152:AP152)=0,"",AQ152-LOOKUP(2,1/(AI152:AP152&lt;&gt;""),AI152:AP152)))</t>
        </is>
      </c>
      <c r="BE152" s="49" t="inlineStr">
        <is>
          <t>IF(OR(F152="",AR152=""),"",IF(COUNT(AI152:AQ152)=0,"",AR152-LOOKUP(2,1/(AI152:AQ152&lt;&gt;""),AI152:AQ152)))</t>
        </is>
      </c>
      <c r="BF152" s="49" t="inlineStr">
        <is>
          <t>IF(OR(F152="",AS152=""),"",IF(COUNT(AI152:AR152)=0,"",AS152-LOOKUP(2,1/(AI152:AR152&lt;&gt;""),AI152:AR152)))</t>
        </is>
      </c>
      <c r="BG152" s="49" t="inlineStr">
        <is>
          <t>IF(OR(F152="",AT152=""),"",IF(COUNT(AI152:AS152)=0,"",AT152-LOOKUP(2,1/(AI152:AS152&lt;&gt;""),AI152:AS152)))</t>
        </is>
      </c>
      <c r="BH152" s="49" t="inlineStr">
        <is>
          <t>IF(OR(F152="",AU152=""),"",IF(COUNT(AI152:AT152)=0,"",AU152-LOOKUP(2,1/(AI152:AT152&lt;&gt;""),AI152:AT152)))</t>
        </is>
      </c>
      <c r="BI152" s="49" t="inlineStr">
        <is>
          <t>IF(OR(F152="",AV152=""),"",IF(COUNT(AI152:AU152)=0,"",AV152-LOOKUP(2,1/(AI152:AU152&lt;&gt;""),AI152:AU152)))</t>
        </is>
      </c>
      <c r="BJ152" s="51" t="inlineStr">
        <is>
          <t>IF(J152="","All_Provinces",IFERROR(VLOOKUP(J152,'09_Lookups'!$A$4:$B$20,2,FALSE),"All_Provinces"))</t>
        </is>
      </c>
      <c r="BK152" s="51" t="inlineStr">
        <is>
          <t>IF(K152="","All_Districts",IFERROR(VLOOKUP(K152,'09_Lookups'!$E$4:$F$42,2,FALSE),"All_Districts"))</t>
        </is>
      </c>
    </row>
    <row r="153" ht="18" customHeight="1">
      <c r="A153" s="32" t="inlineStr">
        <is>
          <t>IF(F153="","",ROW()-3)</t>
        </is>
      </c>
      <c r="B153" s="33" t="inlineStr">
        <is>
          <t>AF2-IS-07</t>
        </is>
      </c>
      <c r="C153" s="33" t="inlineStr">
        <is>
          <t>Package #7-AF2 IS: Rehabilitation of Kham Canal and Shandi Toot canal irrigation schemes, located in Dehbala and Sherzad districts of Nangarhar provinces.</t>
        </is>
      </c>
      <c r="D153" s="33" t="inlineStr">
        <is>
          <t>1 of 2</t>
        </is>
      </c>
      <c r="E153" s="57" t="inlineStr">
        <is>
          <t>AF2-IS-N-004</t>
        </is>
      </c>
      <c r="F153" s="57" t="inlineStr">
        <is>
          <t>Kham canal irrigation Scheme</t>
        </is>
      </c>
      <c r="G153" s="57" t="inlineStr">
        <is>
          <t>Irrigation Scheme</t>
        </is>
      </c>
      <c r="H153" s="57" t="inlineStr">
        <is>
          <t>Irrigation Canal</t>
        </is>
      </c>
      <c r="I153" s="57" t="inlineStr">
        <is>
          <t>Emergency Food Security Project (EFSP) – WBK/AF-2</t>
        </is>
      </c>
      <c r="J153" s="57" t="inlineStr">
        <is>
          <t>East / Jalalabad</t>
        </is>
      </c>
      <c r="K153" s="57" t="inlineStr">
        <is>
          <t>Nangarhar</t>
        </is>
      </c>
      <c r="L153" s="57" t="inlineStr">
        <is>
          <t>Dehbala</t>
        </is>
      </c>
      <c r="M153" s="57" t="inlineStr">
        <is>
          <t>Kham Kali and 6 tiny villages</t>
        </is>
      </c>
      <c r="N153" s="57" t="inlineStr">
        <is>
          <t>World Bank (WBK/AF-2)</t>
        </is>
      </c>
      <c r="O153" s="57" t="inlineStr">
        <is>
          <t>Not awarded</t>
        </is>
      </c>
      <c r="P153" s="57" t="inlineStr">
        <is>
          <t>2.Remain contracts_On&amp;off-farm</t>
        </is>
      </c>
      <c r="Q153" s="57" t="inlineStr"/>
      <c r="R153" s="57" t="inlineStr"/>
      <c r="S153" s="58" t="n">
        <v>270698.1</v>
      </c>
      <c r="T153" s="36" t="inlineStr">
        <is>
          <t>IF(AQ153="","",AQ153)</t>
        </is>
      </c>
      <c r="U153" s="59" t="n">
        <v>46325</v>
      </c>
      <c r="V153" s="60" t="n">
        <v>6.9</v>
      </c>
      <c r="W153" s="59" t="n">
        <v>46535</v>
      </c>
      <c r="X153" s="36" t="inlineStr">
        <is>
          <t>IF(W153&lt;&gt;"",W153,IF(OR(T153="",V153=""),"",EDATE(T153,V153)))</t>
        </is>
      </c>
      <c r="Y153" s="59" t="n"/>
      <c r="Z153" s="60" t="n"/>
      <c r="AA153" s="57" t="inlineStr">
        <is>
          <t>Under Technical Evaluation</t>
        </is>
      </c>
      <c r="AB153" s="57" t="inlineStr">
        <is>
          <t>Seven months construction period required for two canals</t>
        </is>
      </c>
      <c r="AC153" s="32" t="inlineStr">
        <is>
          <t>IF(F153="","",IF(COUNT(AI153:AV153)=0,IF(AA153="","Not started",AA153),SUBSTITUTE(LOOKUP(2,1/(AI153:AV153&lt;&gt;""),$AI$3:$AV$3),"Date: ","")))</t>
        </is>
      </c>
      <c r="AD153" s="39" t="inlineStr">
        <is>
          <t>IF(OR(F153="",COUNT(AI153:AV153)=0),"",TODAY()-LOOKUP(2,1/(AI153:AV153&lt;&gt;""),AI153:AV153))</t>
        </is>
      </c>
      <c r="AE153" s="39" t="inlineStr">
        <is>
          <t>IF(OR(F153="",COUNT(AI153:AV153)&lt;2),"",LOOKUP(2,1/(AI153:AV153&lt;&gt;""),AI153:AV153)-MIN(AI153:AV153))</t>
        </is>
      </c>
      <c r="AF153" s="39" t="inlineStr">
        <is>
          <t>IF(OR(AD153="",AC153="Not started",AC153=""),"",IFERROR(AD153-IF(VLOOKUP(AC153,'06_Status_Pipeline'!$B$3:$E$20,4,FALSE)="",0,VLOOKUP(AC153,'06_Status_Pipeline'!$B$3:$E$20,4,FALSE)),""))</t>
        </is>
      </c>
      <c r="AG153" s="32" t="inlineStr">
        <is>
          <t>IF(F153="","",IF(OR(AA153="Cancelled",AC153="Cancelled"),"Cancelled",IF(OR(AC153="Completed / Handover",Y153&lt;&gt;"",Z153&gt;=100),"Completed — on track",IF(O153="Not awarded",IF(U153="",IF(X153="","No planned date",IF(TODAY()&gt;X153,"Behind — past planned date",IF(X153-TODAY()&lt;=30,"At risk — close to off track","On track"))),IF(TODAY()&gt;U153,"Behind — award date passed",IF(U153-TODAY()&lt;=30,"At risk — close to off track","On track"))),IF(X153="","No planned date",IF(AND(TODAY()&gt;X153,OR(Z153="",Z153&lt;100)),"Behind — past end date",IF(AND(T153&lt;&gt;"",X153&lt;&gt;"",Z153&lt;&gt;"",(Z153&lt;100),((TODAY()-T153)/MAX(X153-T153,1)*100)-Z153&gt;15),"Behind — progress lag",IF(AND(X153-TODAY()&lt;=30,X153-TODAY()&gt;=0,OR(Z153="",Z153&lt;90)),"At risk — close to off track","On track"))))))))</t>
        </is>
      </c>
      <c r="AH153" s="39" t="inlineStr">
        <is>
          <t>IF(OR(F153="",AC153="Completed / Handover",AC153="Cancelled"),"",IF(O153="Not awarded",IF(U153&lt;&gt;"",U153-TODAY(),IF(X153="","",X153-TODAY())),IF(X153="","",X153-TODAY())))</t>
        </is>
      </c>
      <c r="AI153" s="59" t="n"/>
      <c r="AJ153" s="59" t="n"/>
      <c r="AK153" s="59" t="n"/>
      <c r="AL153" s="59" t="n"/>
      <c r="AM153" s="59" t="n"/>
      <c r="AN153" s="59" t="n"/>
      <c r="AO153" s="59" t="n"/>
      <c r="AP153" s="59" t="n"/>
      <c r="AQ153" s="59" t="n"/>
      <c r="AR153" s="59" t="n"/>
      <c r="AS153" s="59" t="n"/>
      <c r="AT153" s="40" t="n"/>
      <c r="AU153" s="40" t="n"/>
      <c r="AV153" s="40" t="n"/>
      <c r="AW153" s="39" t="inlineStr">
        <is>
          <t>IF(OR(F153="",AJ153=""),"",IF(COUNT(AI153:AI153)=0,"",AJ153-LOOKUP(2,1/(AI153:AI153&lt;&gt;""),AI153:AI153)))</t>
        </is>
      </c>
      <c r="AX153" s="39" t="inlineStr">
        <is>
          <t>IF(OR(F153="",AK153=""),"",IF(COUNT(AI153:AJ153)=0,"",AK153-LOOKUP(2,1/(AI153:AJ153&lt;&gt;""),AI153:AJ153)))</t>
        </is>
      </c>
      <c r="AY153" s="39" t="inlineStr">
        <is>
          <t>IF(OR(F153="",AL153=""),"",IF(COUNT(AI153:AK153)=0,"",AL153-LOOKUP(2,1/(AI153:AK153&lt;&gt;""),AI153:AK153)))</t>
        </is>
      </c>
      <c r="AZ153" s="39" t="inlineStr">
        <is>
          <t>IF(OR(F153="",AM153=""),"",IF(COUNT(AI153:AL153)=0,"",AM153-LOOKUP(2,1/(AI153:AL153&lt;&gt;""),AI153:AL153)))</t>
        </is>
      </c>
      <c r="BA153" s="39" t="inlineStr">
        <is>
          <t>IF(OR(F153="",AN153=""),"",IF(COUNT(AI153:AM153)=0,"",AN153-LOOKUP(2,1/(AI153:AM153&lt;&gt;""),AI153:AM153)))</t>
        </is>
      </c>
      <c r="BB153" s="39" t="inlineStr">
        <is>
          <t>IF(OR(F153="",AO153=""),"",IF(COUNT(AI153:AN153)=0,"",AO153-LOOKUP(2,1/(AI153:AN153&lt;&gt;""),AI153:AN153)))</t>
        </is>
      </c>
      <c r="BC153" s="39" t="inlineStr">
        <is>
          <t>IF(OR(F153="",AP153=""),"",IF(COUNT(AI153:AO153)=0,"",AP153-LOOKUP(2,1/(AI153:AO153&lt;&gt;""),AI153:AO153)))</t>
        </is>
      </c>
      <c r="BD153" s="39" t="inlineStr">
        <is>
          <t>IF(OR(F153="",AQ153=""),"",IF(COUNT(AI153:AP153)=0,"",AQ153-LOOKUP(2,1/(AI153:AP153&lt;&gt;""),AI153:AP153)))</t>
        </is>
      </c>
      <c r="BE153" s="39" t="inlineStr">
        <is>
          <t>IF(OR(F153="",AR153=""),"",IF(COUNT(AI153:AQ153)=0,"",AR153-LOOKUP(2,1/(AI153:AQ153&lt;&gt;""),AI153:AQ153)))</t>
        </is>
      </c>
      <c r="BF153" s="39" t="inlineStr">
        <is>
          <t>IF(OR(F153="",AS153=""),"",IF(COUNT(AI153:AR153)=0,"",AS153-LOOKUP(2,1/(AI153:AR153&lt;&gt;""),AI153:AR153)))</t>
        </is>
      </c>
      <c r="BG153" s="39" t="inlineStr">
        <is>
          <t>IF(OR(F153="",AT153=""),"",IF(COUNT(AI153:AS153)=0,"",AT153-LOOKUP(2,1/(AI153:AS153&lt;&gt;""),AI153:AS153)))</t>
        </is>
      </c>
      <c r="BH153" s="39" t="inlineStr">
        <is>
          <t>IF(OR(F153="",AU153=""),"",IF(COUNT(AI153:AT153)=0,"",AU153-LOOKUP(2,1/(AI153:AT153&lt;&gt;""),AI153:AT153)))</t>
        </is>
      </c>
      <c r="BI153" s="39" t="inlineStr">
        <is>
          <t>IF(OR(F153="",AV153=""),"",IF(COUNT(AI153:AU153)=0,"",AV153-LOOKUP(2,1/(AI153:AU153&lt;&gt;""),AI153:AU153)))</t>
        </is>
      </c>
      <c r="BJ153" s="41" t="inlineStr">
        <is>
          <t>IF(J153="","All_Provinces",IFERROR(VLOOKUP(J153,'09_Lookups'!$A$4:$B$20,2,FALSE),"All_Provinces"))</t>
        </is>
      </c>
      <c r="BK153" s="41" t="inlineStr">
        <is>
          <t>IF(K153="","All_Districts",IFERROR(VLOOKUP(K153,'09_Lookups'!$E$4:$F$42,2,FALSE),"All_Districts"))</t>
        </is>
      </c>
    </row>
    <row r="154" outlineLevel="1" ht="18" customHeight="1">
      <c r="A154" s="42" t="inlineStr">
        <is>
          <t>IF(F154="","",ROW()-3)</t>
        </is>
      </c>
      <c r="B154" s="43" t="inlineStr">
        <is>
          <t>AF2-IS-07</t>
        </is>
      </c>
      <c r="C154" s="43" t="inlineStr">
        <is>
          <t>Package #7-AF2 IS: Rehabilitation of Kham Canal and Shandi Toot canal irrigation schemes, located in Dehbala and Sherzad districts of Nangarhar provinces.</t>
        </is>
      </c>
      <c r="D154" s="43" t="inlineStr">
        <is>
          <t>2 of 2</t>
        </is>
      </c>
      <c r="E154" s="52" t="inlineStr">
        <is>
          <t>AF2-IS-N-005</t>
        </is>
      </c>
      <c r="F154" s="52" t="inlineStr">
        <is>
          <t>Shandi Toot Canal irrigation Scheme</t>
        </is>
      </c>
      <c r="G154" s="52" t="inlineStr">
        <is>
          <t>Irrigation Scheme</t>
        </is>
      </c>
      <c r="H154" s="52" t="inlineStr">
        <is>
          <t>Irrigation Canal</t>
        </is>
      </c>
      <c r="I154" s="52" t="inlineStr">
        <is>
          <t>Emergency Food Security Project (EFSP) – WBK/AF-2</t>
        </is>
      </c>
      <c r="J154" s="52" t="inlineStr">
        <is>
          <t>East / Jalalabad</t>
        </is>
      </c>
      <c r="K154" s="52" t="inlineStr">
        <is>
          <t>Nangarhar</t>
        </is>
      </c>
      <c r="L154" s="52" t="inlineStr">
        <is>
          <t>Sherzad</t>
        </is>
      </c>
      <c r="M154" s="52" t="inlineStr">
        <is>
          <t>Markikhil/Shandi Toot and 14 tiny villages</t>
        </is>
      </c>
      <c r="N154" s="52" t="inlineStr">
        <is>
          <t>World Bank (WBK/AF-2)</t>
        </is>
      </c>
      <c r="O154" s="52" t="inlineStr">
        <is>
          <t>Not awarded</t>
        </is>
      </c>
      <c r="P154" s="52" t="inlineStr">
        <is>
          <t>2.Remain contracts_On&amp;off-farm</t>
        </is>
      </c>
      <c r="Q154" s="52" t="inlineStr"/>
      <c r="R154" s="52" t="inlineStr"/>
      <c r="S154" s="53" t="n">
        <v>270698.1</v>
      </c>
      <c r="T154" s="46" t="inlineStr">
        <is>
          <t>IF(AQ154="","",AQ154)</t>
        </is>
      </c>
      <c r="U154" s="54" t="n">
        <v>46325</v>
      </c>
      <c r="V154" s="55" t="n">
        <v>6.9</v>
      </c>
      <c r="W154" s="54" t="n">
        <v>46535</v>
      </c>
      <c r="X154" s="46" t="inlineStr">
        <is>
          <t>IF(W154&lt;&gt;"",W154,IF(OR(T154="",V154=""),"",EDATE(T154,V154)))</t>
        </is>
      </c>
      <c r="Y154" s="54" t="n"/>
      <c r="Z154" s="55" t="n"/>
      <c r="AA154" s="52" t="inlineStr">
        <is>
          <t>Under Technical Evaluation</t>
        </is>
      </c>
      <c r="AB154" s="52" t="inlineStr">
        <is>
          <t>Seven months construction period required for two canals</t>
        </is>
      </c>
      <c r="AC154" s="42" t="inlineStr">
        <is>
          <t>IF(F154="","",IF(COUNT(AI154:AV154)=0,IF(AA154="","Not started",AA154),SUBSTITUTE(LOOKUP(2,1/(AI154:AV154&lt;&gt;""),$AI$3:$AV$3),"Date: ","")))</t>
        </is>
      </c>
      <c r="AD154" s="49" t="inlineStr">
        <is>
          <t>IF(OR(F154="",COUNT(AI154:AV154)=0),"",TODAY()-LOOKUP(2,1/(AI154:AV154&lt;&gt;""),AI154:AV154))</t>
        </is>
      </c>
      <c r="AE154" s="49" t="inlineStr">
        <is>
          <t>IF(OR(F154="",COUNT(AI154:AV154)&lt;2),"",LOOKUP(2,1/(AI154:AV154&lt;&gt;""),AI154:AV154)-MIN(AI154:AV154))</t>
        </is>
      </c>
      <c r="AF154" s="49" t="inlineStr">
        <is>
          <t>IF(OR(AD154="",AC154="Not started",AC154=""),"",IFERROR(AD154-IF(VLOOKUP(AC154,'06_Status_Pipeline'!$B$3:$E$20,4,FALSE)="",0,VLOOKUP(AC154,'06_Status_Pipeline'!$B$3:$E$20,4,FALSE)),""))</t>
        </is>
      </c>
      <c r="AG154" s="42" t="inlineStr">
        <is>
          <t>IF(F154="","",IF(OR(AA154="Cancelled",AC154="Cancelled"),"Cancelled",IF(OR(AC154="Completed / Handover",Y154&lt;&gt;"",Z154&gt;=100),"Completed — on track",IF(O154="Not awarded",IF(U154="",IF(X154="","No planned date",IF(TODAY()&gt;X154,"Behind — past planned date",IF(X154-TODAY()&lt;=30,"At risk — close to off track","On track"))),IF(TODAY()&gt;U154,"Behind — award date passed",IF(U154-TODAY()&lt;=30,"At risk — close to off track","On track"))),IF(X154="","No planned date",IF(AND(TODAY()&gt;X154,OR(Z154="",Z154&lt;100)),"Behind — past end date",IF(AND(T154&lt;&gt;"",X154&lt;&gt;"",Z154&lt;&gt;"",(Z154&lt;100),((TODAY()-T154)/MAX(X154-T154,1)*100)-Z154&gt;15),"Behind — progress lag",IF(AND(X154-TODAY()&lt;=30,X154-TODAY()&gt;=0,OR(Z154="",Z154&lt;90)),"At risk — close to off track","On track"))))))))</t>
        </is>
      </c>
      <c r="AH154" s="49" t="inlineStr">
        <is>
          <t>IF(OR(F154="",AC154="Completed / Handover",AC154="Cancelled"),"",IF(O154="Not awarded",IF(U154&lt;&gt;"",U154-TODAY(),IF(X154="","",X154-TODAY())),IF(X154="","",X154-TODAY())))</t>
        </is>
      </c>
      <c r="AI154" s="54" t="n"/>
      <c r="AJ154" s="54" t="n"/>
      <c r="AK154" s="54" t="n"/>
      <c r="AL154" s="54" t="n"/>
      <c r="AM154" s="54" t="n"/>
      <c r="AN154" s="54" t="n"/>
      <c r="AO154" s="54" t="n"/>
      <c r="AP154" s="54" t="n"/>
      <c r="AQ154" s="54" t="n"/>
      <c r="AR154" s="54" t="n"/>
      <c r="AS154" s="54" t="n"/>
      <c r="AT154" s="50" t="n"/>
      <c r="AU154" s="50" t="n"/>
      <c r="AV154" s="50" t="n"/>
      <c r="AW154" s="49" t="inlineStr">
        <is>
          <t>IF(OR(F154="",AJ154=""),"",IF(COUNT(AI154:AI154)=0,"",AJ154-LOOKUP(2,1/(AI154:AI154&lt;&gt;""),AI154:AI154)))</t>
        </is>
      </c>
      <c r="AX154" s="49" t="inlineStr">
        <is>
          <t>IF(OR(F154="",AK154=""),"",IF(COUNT(AI154:AJ154)=0,"",AK154-LOOKUP(2,1/(AI154:AJ154&lt;&gt;""),AI154:AJ154)))</t>
        </is>
      </c>
      <c r="AY154" s="49" t="inlineStr">
        <is>
          <t>IF(OR(F154="",AL154=""),"",IF(COUNT(AI154:AK154)=0,"",AL154-LOOKUP(2,1/(AI154:AK154&lt;&gt;""),AI154:AK154)))</t>
        </is>
      </c>
      <c r="AZ154" s="49" t="inlineStr">
        <is>
          <t>IF(OR(F154="",AM154=""),"",IF(COUNT(AI154:AL154)=0,"",AM154-LOOKUP(2,1/(AI154:AL154&lt;&gt;""),AI154:AL154)))</t>
        </is>
      </c>
      <c r="BA154" s="49" t="inlineStr">
        <is>
          <t>IF(OR(F154="",AN154=""),"",IF(COUNT(AI154:AM154)=0,"",AN154-LOOKUP(2,1/(AI154:AM154&lt;&gt;""),AI154:AM154)))</t>
        </is>
      </c>
      <c r="BB154" s="49" t="inlineStr">
        <is>
          <t>IF(OR(F154="",AO154=""),"",IF(COUNT(AI154:AN154)=0,"",AO154-LOOKUP(2,1/(AI154:AN154&lt;&gt;""),AI154:AN154)))</t>
        </is>
      </c>
      <c r="BC154" s="49" t="inlineStr">
        <is>
          <t>IF(OR(F154="",AP154=""),"",IF(COUNT(AI154:AO154)=0,"",AP154-LOOKUP(2,1/(AI154:AO154&lt;&gt;""),AI154:AO154)))</t>
        </is>
      </c>
      <c r="BD154" s="49" t="inlineStr">
        <is>
          <t>IF(OR(F154="",AQ154=""),"",IF(COUNT(AI154:AP154)=0,"",AQ154-LOOKUP(2,1/(AI154:AP154&lt;&gt;""),AI154:AP154)))</t>
        </is>
      </c>
      <c r="BE154" s="49" t="inlineStr">
        <is>
          <t>IF(OR(F154="",AR154=""),"",IF(COUNT(AI154:AQ154)=0,"",AR154-LOOKUP(2,1/(AI154:AQ154&lt;&gt;""),AI154:AQ154)))</t>
        </is>
      </c>
      <c r="BF154" s="49" t="inlineStr">
        <is>
          <t>IF(OR(F154="",AS154=""),"",IF(COUNT(AI154:AR154)=0,"",AS154-LOOKUP(2,1/(AI154:AR154&lt;&gt;""),AI154:AR154)))</t>
        </is>
      </c>
      <c r="BG154" s="49" t="inlineStr">
        <is>
          <t>IF(OR(F154="",AT154=""),"",IF(COUNT(AI154:AS154)=0,"",AT154-LOOKUP(2,1/(AI154:AS154&lt;&gt;""),AI154:AS154)))</t>
        </is>
      </c>
      <c r="BH154" s="49" t="inlineStr">
        <is>
          <t>IF(OR(F154="",AU154=""),"",IF(COUNT(AI154:AT154)=0,"",AU154-LOOKUP(2,1/(AI154:AT154&lt;&gt;""),AI154:AT154)))</t>
        </is>
      </c>
      <c r="BI154" s="49" t="inlineStr">
        <is>
          <t>IF(OR(F154="",AV154=""),"",IF(COUNT(AI154:AU154)=0,"",AV154-LOOKUP(2,1/(AI154:AU154&lt;&gt;""),AI154:AU154)))</t>
        </is>
      </c>
      <c r="BJ154" s="51" t="inlineStr">
        <is>
          <t>IF(J154="","All_Provinces",IFERROR(VLOOKUP(J154,'09_Lookups'!$A$4:$B$20,2,FALSE),"All_Provinces"))</t>
        </is>
      </c>
      <c r="BK154" s="51" t="inlineStr">
        <is>
          <t>IF(K154="","All_Districts",IFERROR(VLOOKUP(K154,'09_Lookups'!$E$4:$F$42,2,FALSE),"All_Districts"))</t>
        </is>
      </c>
    </row>
    <row r="155" ht="18" customHeight="1">
      <c r="A155" s="32" t="inlineStr">
        <is>
          <t>IF(F155="","",ROW()-3)</t>
        </is>
      </c>
      <c r="B155" s="56" t="inlineStr">
        <is>
          <t>AF2-IS-08</t>
        </is>
      </c>
      <c r="C155" s="56" t="inlineStr">
        <is>
          <t>Package #8-AF2 IS: Rehabilitation of Khas Kunar Lower canal and Bahrabad canal irrigation schemes, located in Khas Kunar district of Kunar and Behsood district of Nangarhar provinces.</t>
        </is>
      </c>
      <c r="D155" s="56" t="inlineStr">
        <is>
          <t>1 of 2</t>
        </is>
      </c>
      <c r="E155" s="57" t="inlineStr">
        <is>
          <t>AF2-IS-A-008</t>
        </is>
      </c>
      <c r="F155" s="57" t="inlineStr">
        <is>
          <t>Bahrabad Canal irrigation Scheme</t>
        </is>
      </c>
      <c r="G155" s="57" t="inlineStr">
        <is>
          <t>Irrigation Scheme</t>
        </is>
      </c>
      <c r="H155" s="57" t="inlineStr">
        <is>
          <t>Irrigation Canal</t>
        </is>
      </c>
      <c r="I155" s="57" t="inlineStr">
        <is>
          <t>Emergency Food Security Project (EFSP) – WBK/AF-2</t>
        </is>
      </c>
      <c r="J155" s="57" t="inlineStr">
        <is>
          <t>East / Jalalabad</t>
        </is>
      </c>
      <c r="K155" s="57" t="inlineStr">
        <is>
          <t>Nangarhar</t>
        </is>
      </c>
      <c r="L155" s="57" t="inlineStr">
        <is>
          <t>Behsood</t>
        </is>
      </c>
      <c r="M155" s="57" t="inlineStr">
        <is>
          <t>Bahrabad</t>
        </is>
      </c>
      <c r="N155" s="57" t="inlineStr">
        <is>
          <t>World Bank (WBK/AF-2)</t>
        </is>
      </c>
      <c r="O155" s="57" t="inlineStr">
        <is>
          <t>Awarded</t>
        </is>
      </c>
      <c r="P155" s="57" t="inlineStr">
        <is>
          <t>1.Awarded contracts_On&amp;off-farm</t>
        </is>
      </c>
      <c r="Q155" s="57" t="inlineStr">
        <is>
          <t>Awrish builder construction company (ABCC)</t>
        </is>
      </c>
      <c r="R155" s="57" t="inlineStr">
        <is>
          <t>055/2026</t>
        </is>
      </c>
      <c r="S155" s="58" t="n">
        <v>155202.17</v>
      </c>
      <c r="T155" s="36" t="inlineStr">
        <is>
          <t>IF(AQ155="","",AQ155)</t>
        </is>
      </c>
      <c r="U155" s="59" t="n"/>
      <c r="V155" s="60" t="n">
        <v>12</v>
      </c>
      <c r="W155" s="59" t="n">
        <v>46618</v>
      </c>
      <c r="X155" s="36" t="inlineStr">
        <is>
          <t>IF(W155&lt;&gt;"",W155,IF(OR(T155="",V155=""),"",EDATE(T155,V155)))</t>
        </is>
      </c>
      <c r="Y155" s="59" t="n"/>
      <c r="Z155" s="60" t="n">
        <v>2</v>
      </c>
      <c r="AA155" s="57" t="inlineStr">
        <is>
          <t>Under Construction</t>
        </is>
      </c>
      <c r="AB155" s="57" t="inlineStr">
        <is>
          <t>on track and will be completed by August 2027</t>
        </is>
      </c>
      <c r="AC155" s="32" t="inlineStr">
        <is>
          <t>IF(F155="","",IF(COUNT(AI155:AV155)=0,IF(AA155="","Not started",AA155),SUBSTITUTE(LOOKUP(2,1/(AI155:AV155&lt;&gt;""),$AI$3:$AV$3),"Date: ","")))</t>
        </is>
      </c>
      <c r="AD155" s="39" t="inlineStr">
        <is>
          <t>IF(OR(F155="",COUNT(AI155:AV155)=0),"",TODAY()-LOOKUP(2,1/(AI155:AV155&lt;&gt;""),AI155:AV155))</t>
        </is>
      </c>
      <c r="AE155" s="39" t="inlineStr">
        <is>
          <t>IF(OR(F155="",COUNT(AI155:AV155)&lt;2),"",LOOKUP(2,1/(AI155:AV155&lt;&gt;""),AI155:AV155)-MIN(AI155:AV155))</t>
        </is>
      </c>
      <c r="AF155" s="39" t="inlineStr">
        <is>
          <t>IF(OR(AD155="",AC155="Not started",AC155=""),"",IFERROR(AD155-IF(VLOOKUP(AC155,'06_Status_Pipeline'!$B$3:$E$20,4,FALSE)="",0,VLOOKUP(AC155,'06_Status_Pipeline'!$B$3:$E$20,4,FALSE)),""))</t>
        </is>
      </c>
      <c r="AG155" s="32" t="inlineStr">
        <is>
          <t>IF(F155="","",IF(OR(AA155="Cancelled",AC155="Cancelled"),"Cancelled",IF(OR(AC155="Completed / Handover",Y155&lt;&gt;"",Z155&gt;=100),"Completed — on track",IF(O155="Not awarded",IF(U155="",IF(X155="","No planned date",IF(TODAY()&gt;X155,"Behind — past planned date",IF(X155-TODAY()&lt;=30,"At risk — close to off track","On track"))),IF(TODAY()&gt;U155,"Behind — award date passed",IF(U155-TODAY()&lt;=30,"At risk — close to off track","On track"))),IF(X155="","No planned date",IF(AND(TODAY()&gt;X155,OR(Z155="",Z155&lt;100)),"Behind — past end date",IF(AND(T155&lt;&gt;"",X155&lt;&gt;"",Z155&lt;&gt;"",(Z155&lt;100),((TODAY()-T155)/MAX(X155-T155,1)*100)-Z155&gt;15),"Behind — progress lag",IF(AND(X155-TODAY()&lt;=30,X155-TODAY()&gt;=0,OR(Z155="",Z155&lt;90)),"At risk — close to off track","On track"))))))))</t>
        </is>
      </c>
      <c r="AH155" s="39" t="inlineStr">
        <is>
          <t>IF(OR(F155="",AC155="Completed / Handover",AC155="Cancelled"),"",IF(O155="Not awarded",IF(U155&lt;&gt;"",U155-TODAY(),IF(X155="","",X155-TODAY())),IF(X155="","",X155-TODAY())))</t>
        </is>
      </c>
      <c r="AI155" s="66" t="n"/>
      <c r="AJ155" s="66" t="n"/>
      <c r="AK155" s="66" t="n"/>
      <c r="AL155" s="66" t="n"/>
      <c r="AM155" s="66" t="n"/>
      <c r="AN155" s="66" t="n"/>
      <c r="AO155" s="66" t="n"/>
      <c r="AP155" s="66" t="n"/>
      <c r="AQ155" s="66" t="n">
        <v>46254</v>
      </c>
      <c r="AR155" s="66" t="n">
        <v>46254</v>
      </c>
      <c r="AS155" s="66" t="n"/>
      <c r="AT155" s="40" t="n"/>
      <c r="AU155" s="40" t="n"/>
      <c r="AV155" s="40" t="n"/>
      <c r="AW155" s="39" t="inlineStr">
        <is>
          <t>IF(OR(F155="",AJ155=""),"",IF(COUNT(AI155:AI155)=0,"",AJ155-LOOKUP(2,1/(AI155:AI155&lt;&gt;""),AI155:AI155)))</t>
        </is>
      </c>
      <c r="AX155" s="39" t="inlineStr">
        <is>
          <t>IF(OR(F155="",AK155=""),"",IF(COUNT(AI155:AJ155)=0,"",AK155-LOOKUP(2,1/(AI155:AJ155&lt;&gt;""),AI155:AJ155)))</t>
        </is>
      </c>
      <c r="AY155" s="39" t="inlineStr">
        <is>
          <t>IF(OR(F155="",AL155=""),"",IF(COUNT(AI155:AK155)=0,"",AL155-LOOKUP(2,1/(AI155:AK155&lt;&gt;""),AI155:AK155)))</t>
        </is>
      </c>
      <c r="AZ155" s="39" t="inlineStr">
        <is>
          <t>IF(OR(F155="",AM155=""),"",IF(COUNT(AI155:AL155)=0,"",AM155-LOOKUP(2,1/(AI155:AL155&lt;&gt;""),AI155:AL155)))</t>
        </is>
      </c>
      <c r="BA155" s="39" t="inlineStr">
        <is>
          <t>IF(OR(F155="",AN155=""),"",IF(COUNT(AI155:AM155)=0,"",AN155-LOOKUP(2,1/(AI155:AM155&lt;&gt;""),AI155:AM155)))</t>
        </is>
      </c>
      <c r="BB155" s="39" t="inlineStr">
        <is>
          <t>IF(OR(F155="",AO155=""),"",IF(COUNT(AI155:AN155)=0,"",AO155-LOOKUP(2,1/(AI155:AN155&lt;&gt;""),AI155:AN155)))</t>
        </is>
      </c>
      <c r="BC155" s="39" t="inlineStr">
        <is>
          <t>IF(OR(F155="",AP155=""),"",IF(COUNT(AI155:AO155)=0,"",AP155-LOOKUP(2,1/(AI155:AO155&lt;&gt;""),AI155:AO155)))</t>
        </is>
      </c>
      <c r="BD155" s="39" t="inlineStr">
        <is>
          <t>IF(OR(F155="",AQ155=""),"",IF(COUNT(AI155:AP155)=0,"",AQ155-LOOKUP(2,1/(AI155:AP155&lt;&gt;""),AI155:AP155)))</t>
        </is>
      </c>
      <c r="BE155" s="39" t="inlineStr">
        <is>
          <t>IF(OR(F155="",AR155=""),"",IF(COUNT(AI155:AQ155)=0,"",AR155-LOOKUP(2,1/(AI155:AQ155&lt;&gt;""),AI155:AQ155)))</t>
        </is>
      </c>
      <c r="BF155" s="39" t="inlineStr">
        <is>
          <t>IF(OR(F155="",AS155=""),"",IF(COUNT(AI155:AR155)=0,"",AS155-LOOKUP(2,1/(AI155:AR155&lt;&gt;""),AI155:AR155)))</t>
        </is>
      </c>
      <c r="BG155" s="39" t="inlineStr">
        <is>
          <t>IF(OR(F155="",AT155=""),"",IF(COUNT(AI155:AS155)=0,"",AT155-LOOKUP(2,1/(AI155:AS155&lt;&gt;""),AI155:AS155)))</t>
        </is>
      </c>
      <c r="BH155" s="39" t="inlineStr">
        <is>
          <t>IF(OR(F155="",AU155=""),"",IF(COUNT(AI155:AT155)=0,"",AU155-LOOKUP(2,1/(AI155:AT155&lt;&gt;""),AI155:AT155)))</t>
        </is>
      </c>
      <c r="BI155" s="39" t="inlineStr">
        <is>
          <t>IF(OR(F155="",AV155=""),"",IF(COUNT(AI155:AU155)=0,"",AV155-LOOKUP(2,1/(AI155:AU155&lt;&gt;""),AI155:AU155)))</t>
        </is>
      </c>
      <c r="BJ155" s="41" t="inlineStr">
        <is>
          <t>IF(J155="","All_Provinces",IFERROR(VLOOKUP(J155,'09_Lookups'!$A$4:$B$20,2,FALSE),"All_Provinces"))</t>
        </is>
      </c>
      <c r="BK155" s="41" t="inlineStr">
        <is>
          <t>IF(K155="","All_Districts",IFERROR(VLOOKUP(K155,'09_Lookups'!$E$4:$F$42,2,FALSE),"All_Districts"))</t>
        </is>
      </c>
    </row>
    <row r="156" outlineLevel="1" ht="18" customHeight="1">
      <c r="A156" s="42" t="inlineStr">
        <is>
          <t>IF(F156="","",ROW()-3)</t>
        </is>
      </c>
      <c r="B156" s="61" t="inlineStr">
        <is>
          <t>AF2-IS-08</t>
        </is>
      </c>
      <c r="C156" s="61" t="inlineStr">
        <is>
          <t>Package #8-AF2 IS: Rehabilitation of Khas Kunar Lower canal and Bahrabad canal irrigation schemes, located in Khas Kunar district of Kunar and Behsood district of Nangarhar provinces.</t>
        </is>
      </c>
      <c r="D156" s="61" t="inlineStr">
        <is>
          <t>2 of 2</t>
        </is>
      </c>
      <c r="E156" s="52" t="inlineStr">
        <is>
          <t>AF2-IS-A-009</t>
        </is>
      </c>
      <c r="F156" s="52" t="inlineStr">
        <is>
          <t>Khas Kunar Lower Canal irrigation Scheme</t>
        </is>
      </c>
      <c r="G156" s="52" t="inlineStr">
        <is>
          <t>Irrigation Scheme</t>
        </is>
      </c>
      <c r="H156" s="52" t="inlineStr">
        <is>
          <t>Irrigation Canal</t>
        </is>
      </c>
      <c r="I156" s="52" t="inlineStr">
        <is>
          <t>Emergency Food Security Project (EFSP) – WBK/AF-2</t>
        </is>
      </c>
      <c r="J156" s="52" t="inlineStr">
        <is>
          <t>East / Jalalabad</t>
        </is>
      </c>
      <c r="K156" s="52" t="inlineStr">
        <is>
          <t>Kunar</t>
        </is>
      </c>
      <c r="L156" s="52" t="inlineStr">
        <is>
          <t>Khas Kunar</t>
        </is>
      </c>
      <c r="M156" s="52" t="inlineStr">
        <is>
          <t>Khas Kunar 36 tiny villages</t>
        </is>
      </c>
      <c r="N156" s="52" t="inlineStr">
        <is>
          <t>World Bank (WBK/AF-2)</t>
        </is>
      </c>
      <c r="O156" s="52" t="inlineStr">
        <is>
          <t>Awarded</t>
        </is>
      </c>
      <c r="P156" s="52" t="inlineStr">
        <is>
          <t>1.Awarded contracts_On&amp;off-farm</t>
        </is>
      </c>
      <c r="Q156" s="52" t="inlineStr">
        <is>
          <t>Awrish builder construction company (ABCC)</t>
        </is>
      </c>
      <c r="R156" s="52" t="inlineStr">
        <is>
          <t>055/2026</t>
        </is>
      </c>
      <c r="S156" s="53" t="n">
        <v>428653.6</v>
      </c>
      <c r="T156" s="46" t="inlineStr">
        <is>
          <t>IF(AQ156="","",AQ156)</t>
        </is>
      </c>
      <c r="U156" s="54" t="n"/>
      <c r="V156" s="55" t="n">
        <v>12</v>
      </c>
      <c r="W156" s="54" t="n">
        <v>46618</v>
      </c>
      <c r="X156" s="46" t="inlineStr">
        <is>
          <t>IF(W156&lt;&gt;"",W156,IF(OR(T156="",V156=""),"",EDATE(T156,V156)))</t>
        </is>
      </c>
      <c r="Y156" s="54" t="n"/>
      <c r="Z156" s="55" t="n">
        <v>1</v>
      </c>
      <c r="AA156" s="52" t="inlineStr">
        <is>
          <t>Under Construction</t>
        </is>
      </c>
      <c r="AB156" s="52" t="inlineStr">
        <is>
          <t>on track and will be completed by August 2027</t>
        </is>
      </c>
      <c r="AC156" s="42" t="inlineStr">
        <is>
          <t>IF(F156="","",IF(COUNT(AI156:AV156)=0,IF(AA156="","Not started",AA156),SUBSTITUTE(LOOKUP(2,1/(AI156:AV156&lt;&gt;""),$AI$3:$AV$3),"Date: ","")))</t>
        </is>
      </c>
      <c r="AD156" s="49" t="inlineStr">
        <is>
          <t>IF(OR(F156="",COUNT(AI156:AV156)=0),"",TODAY()-LOOKUP(2,1/(AI156:AV156&lt;&gt;""),AI156:AV156))</t>
        </is>
      </c>
      <c r="AE156" s="49" t="inlineStr">
        <is>
          <t>IF(OR(F156="",COUNT(AI156:AV156)&lt;2),"",LOOKUP(2,1/(AI156:AV156&lt;&gt;""),AI156:AV156)-MIN(AI156:AV156))</t>
        </is>
      </c>
      <c r="AF156" s="49" t="inlineStr">
        <is>
          <t>IF(OR(AD156="",AC156="Not started",AC156=""),"",IFERROR(AD156-IF(VLOOKUP(AC156,'06_Status_Pipeline'!$B$3:$E$20,4,FALSE)="",0,VLOOKUP(AC156,'06_Status_Pipeline'!$B$3:$E$20,4,FALSE)),""))</t>
        </is>
      </c>
      <c r="AG156" s="42" t="inlineStr">
        <is>
          <t>IF(F156="","",IF(OR(AA156="Cancelled",AC156="Cancelled"),"Cancelled",IF(OR(AC156="Completed / Handover",Y156&lt;&gt;"",Z156&gt;=100),"Completed — on track",IF(O156="Not awarded",IF(U156="",IF(X156="","No planned date",IF(TODAY()&gt;X156,"Behind — past planned date",IF(X156-TODAY()&lt;=30,"At risk — close to off track","On track"))),IF(TODAY()&gt;U156,"Behind — award date passed",IF(U156-TODAY()&lt;=30,"At risk — close to off track","On track"))),IF(X156="","No planned date",IF(AND(TODAY()&gt;X156,OR(Z156="",Z156&lt;100)),"Behind — past end date",IF(AND(T156&lt;&gt;"",X156&lt;&gt;"",Z156&lt;&gt;"",(Z156&lt;100),((TODAY()-T156)/MAX(X156-T156,1)*100)-Z156&gt;15),"Behind — progress lag",IF(AND(X156-TODAY()&lt;=30,X156-TODAY()&gt;=0,OR(Z156="",Z156&lt;90)),"At risk — close to off track","On track"))))))))</t>
        </is>
      </c>
      <c r="AH156" s="49" t="inlineStr">
        <is>
          <t>IF(OR(F156="",AC156="Completed / Handover",AC156="Cancelled"),"",IF(O156="Not awarded",IF(U156&lt;&gt;"",U156-TODAY(),IF(X156="","",X156-TODAY())),IF(X156="","",X156-TODAY())))</t>
        </is>
      </c>
      <c r="AI156" s="67" t="n"/>
      <c r="AJ156" s="67" t="n"/>
      <c r="AK156" s="67" t="n"/>
      <c r="AL156" s="67" t="n"/>
      <c r="AM156" s="67" t="n"/>
      <c r="AN156" s="67" t="n"/>
      <c r="AO156" s="67" t="n"/>
      <c r="AP156" s="67" t="n"/>
      <c r="AQ156" s="67" t="n">
        <v>46254</v>
      </c>
      <c r="AR156" s="67" t="n">
        <v>46254</v>
      </c>
      <c r="AS156" s="67" t="n"/>
      <c r="AT156" s="50" t="n"/>
      <c r="AU156" s="50" t="n"/>
      <c r="AV156" s="50" t="n"/>
      <c r="AW156" s="49" t="inlineStr">
        <is>
          <t>IF(OR(F156="",AJ156=""),"",IF(COUNT(AI156:AI156)=0,"",AJ156-LOOKUP(2,1/(AI156:AI156&lt;&gt;""),AI156:AI156)))</t>
        </is>
      </c>
      <c r="AX156" s="49" t="inlineStr">
        <is>
          <t>IF(OR(F156="",AK156=""),"",IF(COUNT(AI156:AJ156)=0,"",AK156-LOOKUP(2,1/(AI156:AJ156&lt;&gt;""),AI156:AJ156)))</t>
        </is>
      </c>
      <c r="AY156" s="49" t="inlineStr">
        <is>
          <t>IF(OR(F156="",AL156=""),"",IF(COUNT(AI156:AK156)=0,"",AL156-LOOKUP(2,1/(AI156:AK156&lt;&gt;""),AI156:AK156)))</t>
        </is>
      </c>
      <c r="AZ156" s="49" t="inlineStr">
        <is>
          <t>IF(OR(F156="",AM156=""),"",IF(COUNT(AI156:AL156)=0,"",AM156-LOOKUP(2,1/(AI156:AL156&lt;&gt;""),AI156:AL156)))</t>
        </is>
      </c>
      <c r="BA156" s="49" t="inlineStr">
        <is>
          <t>IF(OR(F156="",AN156=""),"",IF(COUNT(AI156:AM156)=0,"",AN156-LOOKUP(2,1/(AI156:AM156&lt;&gt;""),AI156:AM156)))</t>
        </is>
      </c>
      <c r="BB156" s="49" t="inlineStr">
        <is>
          <t>IF(OR(F156="",AO156=""),"",IF(COUNT(AI156:AN156)=0,"",AO156-LOOKUP(2,1/(AI156:AN156&lt;&gt;""),AI156:AN156)))</t>
        </is>
      </c>
      <c r="BC156" s="49" t="inlineStr">
        <is>
          <t>IF(OR(F156="",AP156=""),"",IF(COUNT(AI156:AO156)=0,"",AP156-LOOKUP(2,1/(AI156:AO156&lt;&gt;""),AI156:AO156)))</t>
        </is>
      </c>
      <c r="BD156" s="49" t="inlineStr">
        <is>
          <t>IF(OR(F156="",AQ156=""),"",IF(COUNT(AI156:AP156)=0,"",AQ156-LOOKUP(2,1/(AI156:AP156&lt;&gt;""),AI156:AP156)))</t>
        </is>
      </c>
      <c r="BE156" s="49" t="inlineStr">
        <is>
          <t>IF(OR(F156="",AR156=""),"",IF(COUNT(AI156:AQ156)=0,"",AR156-LOOKUP(2,1/(AI156:AQ156&lt;&gt;""),AI156:AQ156)))</t>
        </is>
      </c>
      <c r="BF156" s="49" t="inlineStr">
        <is>
          <t>IF(OR(F156="",AS156=""),"",IF(COUNT(AI156:AR156)=0,"",AS156-LOOKUP(2,1/(AI156:AR156&lt;&gt;""),AI156:AR156)))</t>
        </is>
      </c>
      <c r="BG156" s="49" t="inlineStr">
        <is>
          <t>IF(OR(F156="",AT156=""),"",IF(COUNT(AI156:AS156)=0,"",AT156-LOOKUP(2,1/(AI156:AS156&lt;&gt;""),AI156:AS156)))</t>
        </is>
      </c>
      <c r="BH156" s="49" t="inlineStr">
        <is>
          <t>IF(OR(F156="",AU156=""),"",IF(COUNT(AI156:AT156)=0,"",AU156-LOOKUP(2,1/(AI156:AT156&lt;&gt;""),AI156:AT156)))</t>
        </is>
      </c>
      <c r="BI156" s="49" t="inlineStr">
        <is>
          <t>IF(OR(F156="",AV156=""),"",IF(COUNT(AI156:AU156)=0,"",AV156-LOOKUP(2,1/(AI156:AU156&lt;&gt;""),AI156:AU156)))</t>
        </is>
      </c>
      <c r="BJ156" s="51" t="inlineStr">
        <is>
          <t>IF(J156="","All_Provinces",IFERROR(VLOOKUP(J156,'09_Lookups'!$A$4:$B$20,2,FALSE),"All_Provinces"))</t>
        </is>
      </c>
      <c r="BK156" s="51" t="inlineStr">
        <is>
          <t>IF(K156="","All_Districts",IFERROR(VLOOKUP(K156,'09_Lookups'!$E$4:$F$42,2,FALSE),"All_Districts"))</t>
        </is>
      </c>
    </row>
    <row r="157" ht="18" customHeight="1">
      <c r="A157" s="32" t="inlineStr">
        <is>
          <t>IF(F157="","",ROW()-3)</t>
        </is>
      </c>
      <c r="B157" s="62" t="inlineStr">
        <is>
          <t>AF2-IS-09</t>
        </is>
      </c>
      <c r="C157" s="62" t="inlineStr">
        <is>
          <t>Package #9-AF2 IS: Rehabilitation of Akchori canal irrigation scheme, located in Waigal districts of Nuristan provinces.</t>
        </is>
      </c>
      <c r="D157" s="62" t="inlineStr">
        <is>
          <t>1 of 1</t>
        </is>
      </c>
      <c r="E157" s="57" t="inlineStr">
        <is>
          <t>AF2-IS-N-006</t>
        </is>
      </c>
      <c r="F157" s="57" t="inlineStr">
        <is>
          <t>Akchori Canal irrigation Scheme</t>
        </is>
      </c>
      <c r="G157" s="57" t="inlineStr">
        <is>
          <t>Irrigation Scheme</t>
        </is>
      </c>
      <c r="H157" s="57" t="inlineStr">
        <is>
          <t>Irrigation Canal</t>
        </is>
      </c>
      <c r="I157" s="57" t="inlineStr">
        <is>
          <t>Emergency Food Security Project (EFSP) – WBK/AF-2</t>
        </is>
      </c>
      <c r="J157" s="57" t="inlineStr">
        <is>
          <t>East / Jalalabad</t>
        </is>
      </c>
      <c r="K157" s="57" t="inlineStr">
        <is>
          <t>Nuristan</t>
        </is>
      </c>
      <c r="L157" s="57" t="inlineStr">
        <is>
          <t>Waigal</t>
        </is>
      </c>
      <c r="M157" s="57" t="inlineStr">
        <is>
          <t>Akchori two main and 9 tiny villages</t>
        </is>
      </c>
      <c r="N157" s="57" t="inlineStr">
        <is>
          <t>World Bank (WBK/AF-2)</t>
        </is>
      </c>
      <c r="O157" s="57" t="inlineStr">
        <is>
          <t>Not awarded</t>
        </is>
      </c>
      <c r="P157" s="57" t="inlineStr">
        <is>
          <t>2.Remain contracts_On&amp;off-farm</t>
        </is>
      </c>
      <c r="Q157" s="57" t="inlineStr"/>
      <c r="R157" s="57" t="inlineStr"/>
      <c r="S157" s="58" t="n">
        <v>101175</v>
      </c>
      <c r="T157" s="36" t="inlineStr">
        <is>
          <t>IF(AQ157="","",AQ157)</t>
        </is>
      </c>
      <c r="U157" s="59" t="n">
        <v>46353</v>
      </c>
      <c r="V157" s="60" t="n">
        <v>10</v>
      </c>
      <c r="W157" s="59" t="n">
        <v>46656</v>
      </c>
      <c r="X157" s="36" t="inlineStr">
        <is>
          <t>IF(W157&lt;&gt;"",W157,IF(OR(T157="",V157=""),"",EDATE(T157,V157)))</t>
        </is>
      </c>
      <c r="Y157" s="59" t="n"/>
      <c r="Z157" s="60" t="n"/>
      <c r="AA157" s="57" t="inlineStr">
        <is>
          <t>ITB Launched</t>
        </is>
      </c>
      <c r="AB157" s="57" t="inlineStr">
        <is>
          <t>Five months slack period Dec-Apr during winter Five months construction period required for the canals</t>
        </is>
      </c>
      <c r="AC157" s="32" t="inlineStr">
        <is>
          <t>IF(F157="","",IF(COUNT(AI157:AV157)=0,IF(AA157="","Not started",AA157),SUBSTITUTE(LOOKUP(2,1/(AI157:AV157&lt;&gt;""),$AI$3:$AV$3),"Date: ","")))</t>
        </is>
      </c>
      <c r="AD157" s="39" t="inlineStr">
        <is>
          <t>IF(OR(F157="",COUNT(AI157:AV157)=0),"",TODAY()-LOOKUP(2,1/(AI157:AV157&lt;&gt;""),AI157:AV157))</t>
        </is>
      </c>
      <c r="AE157" s="39" t="inlineStr">
        <is>
          <t>IF(OR(F157="",COUNT(AI157:AV157)&lt;2),"",LOOKUP(2,1/(AI157:AV157&lt;&gt;""),AI157:AV157)-MIN(AI157:AV157))</t>
        </is>
      </c>
      <c r="AF157" s="39" t="inlineStr">
        <is>
          <t>IF(OR(AD157="",AC157="Not started",AC157=""),"",IFERROR(AD157-IF(VLOOKUP(AC157,'06_Status_Pipeline'!$B$3:$E$20,4,FALSE)="",0,VLOOKUP(AC157,'06_Status_Pipeline'!$B$3:$E$20,4,FALSE)),""))</t>
        </is>
      </c>
      <c r="AG157" s="32" t="inlineStr">
        <is>
          <t>IF(F157="","",IF(OR(AA157="Cancelled",AC157="Cancelled"),"Cancelled",IF(OR(AC157="Completed / Handover",Y157&lt;&gt;"",Z157&gt;=100),"Completed — on track",IF(O157="Not awarded",IF(U157="",IF(X157="","No planned date",IF(TODAY()&gt;X157,"Behind — past planned date",IF(X157-TODAY()&lt;=30,"At risk — close to off track","On track"))),IF(TODAY()&gt;U157,"Behind — award date passed",IF(U157-TODAY()&lt;=30,"At risk — close to off track","On track"))),IF(X157="","No planned date",IF(AND(TODAY()&gt;X157,OR(Z157="",Z157&lt;100)),"Behind — past end date",IF(AND(T157&lt;&gt;"",X157&lt;&gt;"",Z157&lt;&gt;"",(Z157&lt;100),((TODAY()-T157)/MAX(X157-T157,1)*100)-Z157&gt;15),"Behind — progress lag",IF(AND(X157-TODAY()&lt;=30,X157-TODAY()&gt;=0,OR(Z157="",Z157&lt;90)),"At risk — close to off track","On track"))))))))</t>
        </is>
      </c>
      <c r="AH157" s="39" t="inlineStr">
        <is>
          <t>IF(OR(F157="",AC157="Completed / Handover",AC157="Cancelled"),"",IF(O157="Not awarded",IF(U157&lt;&gt;"",U157-TODAY(),IF(X157="","",X157-TODAY())),IF(X157="","",X157-TODAY())))</t>
        </is>
      </c>
      <c r="AI157" s="59" t="n"/>
      <c r="AJ157" s="59" t="n"/>
      <c r="AK157" s="59" t="n"/>
      <c r="AL157" s="59" t="n"/>
      <c r="AM157" s="59" t="n"/>
      <c r="AN157" s="59" t="n"/>
      <c r="AO157" s="59" t="n"/>
      <c r="AP157" s="59" t="n"/>
      <c r="AQ157" s="59" t="n"/>
      <c r="AR157" s="59" t="n"/>
      <c r="AS157" s="59" t="n"/>
      <c r="AT157" s="40" t="n"/>
      <c r="AU157" s="40" t="n"/>
      <c r="AV157" s="40" t="n"/>
      <c r="AW157" s="39" t="inlineStr">
        <is>
          <t>IF(OR(F157="",AJ157=""),"",IF(COUNT(AI157:AI157)=0,"",AJ157-LOOKUP(2,1/(AI157:AI157&lt;&gt;""),AI157:AI157)))</t>
        </is>
      </c>
      <c r="AX157" s="39" t="inlineStr">
        <is>
          <t>IF(OR(F157="",AK157=""),"",IF(COUNT(AI157:AJ157)=0,"",AK157-LOOKUP(2,1/(AI157:AJ157&lt;&gt;""),AI157:AJ157)))</t>
        </is>
      </c>
      <c r="AY157" s="39" t="inlineStr">
        <is>
          <t>IF(OR(F157="",AL157=""),"",IF(COUNT(AI157:AK157)=0,"",AL157-LOOKUP(2,1/(AI157:AK157&lt;&gt;""),AI157:AK157)))</t>
        </is>
      </c>
      <c r="AZ157" s="39" t="inlineStr">
        <is>
          <t>IF(OR(F157="",AM157=""),"",IF(COUNT(AI157:AL157)=0,"",AM157-LOOKUP(2,1/(AI157:AL157&lt;&gt;""),AI157:AL157)))</t>
        </is>
      </c>
      <c r="BA157" s="39" t="inlineStr">
        <is>
          <t>IF(OR(F157="",AN157=""),"",IF(COUNT(AI157:AM157)=0,"",AN157-LOOKUP(2,1/(AI157:AM157&lt;&gt;""),AI157:AM157)))</t>
        </is>
      </c>
      <c r="BB157" s="39" t="inlineStr">
        <is>
          <t>IF(OR(F157="",AO157=""),"",IF(COUNT(AI157:AN157)=0,"",AO157-LOOKUP(2,1/(AI157:AN157&lt;&gt;""),AI157:AN157)))</t>
        </is>
      </c>
      <c r="BC157" s="39" t="inlineStr">
        <is>
          <t>IF(OR(F157="",AP157=""),"",IF(COUNT(AI157:AO157)=0,"",AP157-LOOKUP(2,1/(AI157:AO157&lt;&gt;""),AI157:AO157)))</t>
        </is>
      </c>
      <c r="BD157" s="39" t="inlineStr">
        <is>
          <t>IF(OR(F157="",AQ157=""),"",IF(COUNT(AI157:AP157)=0,"",AQ157-LOOKUP(2,1/(AI157:AP157&lt;&gt;""),AI157:AP157)))</t>
        </is>
      </c>
      <c r="BE157" s="39" t="inlineStr">
        <is>
          <t>IF(OR(F157="",AR157=""),"",IF(COUNT(AI157:AQ157)=0,"",AR157-LOOKUP(2,1/(AI157:AQ157&lt;&gt;""),AI157:AQ157)))</t>
        </is>
      </c>
      <c r="BF157" s="39" t="inlineStr">
        <is>
          <t>IF(OR(F157="",AS157=""),"",IF(COUNT(AI157:AR157)=0,"",AS157-LOOKUP(2,1/(AI157:AR157&lt;&gt;""),AI157:AR157)))</t>
        </is>
      </c>
      <c r="BG157" s="39" t="inlineStr">
        <is>
          <t>IF(OR(F157="",AT157=""),"",IF(COUNT(AI157:AS157)=0,"",AT157-LOOKUP(2,1/(AI157:AS157&lt;&gt;""),AI157:AS157)))</t>
        </is>
      </c>
      <c r="BH157" s="39" t="inlineStr">
        <is>
          <t>IF(OR(F157="",AU157=""),"",IF(COUNT(AI157:AT157)=0,"",AU157-LOOKUP(2,1/(AI157:AT157&lt;&gt;""),AI157:AT157)))</t>
        </is>
      </c>
      <c r="BI157" s="39" t="inlineStr">
        <is>
          <t>IF(OR(F157="",AV157=""),"",IF(COUNT(AI157:AU157)=0,"",AV157-LOOKUP(2,1/(AI157:AU157&lt;&gt;""),AI157:AU157)))</t>
        </is>
      </c>
      <c r="BJ157" s="41" t="inlineStr">
        <is>
          <t>IF(J157="","All_Provinces",IFERROR(VLOOKUP(J157,'09_Lookups'!$A$4:$B$20,2,FALSE),"All_Provinces"))</t>
        </is>
      </c>
      <c r="BK157" s="41" t="inlineStr">
        <is>
          <t>IF(K157="","All_Districts",IFERROR(VLOOKUP(K157,'09_Lookups'!$E$4:$F$42,2,FALSE),"All_Districts"))</t>
        </is>
      </c>
    </row>
    <row r="158" ht="18" customHeight="1">
      <c r="A158" s="32" t="inlineStr">
        <is>
          <t>IF(F158="","",ROW()-3)</t>
        </is>
      </c>
      <c r="B158" s="64" t="inlineStr">
        <is>
          <t>AF2-IS-10</t>
        </is>
      </c>
      <c r="C158" s="64" t="inlineStr">
        <is>
          <t>Package #10-AF2 IS: Rehabilitation of 1.Baraki canal, 2. Darbal canal, 3. Nawikhar canal and 4. Mangali canal irrigation schemes, located in Sayed Abad, Chak and Jaghato districts of Wardak province.</t>
        </is>
      </c>
      <c r="D158" s="64" t="inlineStr">
        <is>
          <t>1 of 4</t>
        </is>
      </c>
      <c r="E158" s="34" t="inlineStr">
        <is>
          <t>AF2-IS-A-010</t>
        </is>
      </c>
      <c r="F158" s="34" t="inlineStr">
        <is>
          <t>Baraki Canal irrigation Scheme</t>
        </is>
      </c>
      <c r="G158" s="34" t="inlineStr">
        <is>
          <t>Irrigation Scheme</t>
        </is>
      </c>
      <c r="H158" s="34" t="inlineStr">
        <is>
          <t>Irrigation Canal</t>
        </is>
      </c>
      <c r="I158" s="34" t="inlineStr">
        <is>
          <t>Emergency Food Security Project (EFSP) – WBK/AF-2</t>
        </is>
      </c>
      <c r="J158" s="34" t="inlineStr">
        <is>
          <t>Central / Kabul</t>
        </is>
      </c>
      <c r="K158" s="34" t="inlineStr">
        <is>
          <t>Wardak</t>
        </is>
      </c>
      <c r="L158" s="34" t="inlineStr">
        <is>
          <t>Sayed Abad</t>
        </is>
      </c>
      <c r="M158" s="34" t="inlineStr">
        <is>
          <t>Patan khil, Barat khil, Shadi khil, Sado khil and Laram</t>
        </is>
      </c>
      <c r="N158" s="34" t="inlineStr">
        <is>
          <t>World Bank (WBK/AF-2)</t>
        </is>
      </c>
      <c r="O158" s="34" t="inlineStr">
        <is>
          <t>Awarded</t>
        </is>
      </c>
      <c r="P158" s="34" t="inlineStr">
        <is>
          <t>1.Awarded contracts_On&amp;off-farm</t>
        </is>
      </c>
      <c r="Q158" s="34" t="inlineStr">
        <is>
          <t>Zahid Saeed Engineering and Construction Company (ZSCC)</t>
        </is>
      </c>
      <c r="R158" s="34" t="inlineStr">
        <is>
          <t>057/2025</t>
        </is>
      </c>
      <c r="S158" s="35" t="n">
        <v>112870.51</v>
      </c>
      <c r="T158" s="36" t="inlineStr">
        <is>
          <t>IF(AQ158="","",AQ158)</t>
        </is>
      </c>
      <c r="U158" s="37" t="n"/>
      <c r="V158" s="38" t="n">
        <v>12</v>
      </c>
      <c r="W158" s="37" t="n">
        <v>46343</v>
      </c>
      <c r="X158" s="36" t="inlineStr">
        <is>
          <t>IF(W158&lt;&gt;"",W158,IF(OR(T158="",V158=""),"",EDATE(T158,V158)))</t>
        </is>
      </c>
      <c r="Y158" s="37" t="n"/>
      <c r="Z158" s="38" t="n">
        <v>100</v>
      </c>
      <c r="AA158" s="34" t="inlineStr">
        <is>
          <t>Completed / Handover</t>
        </is>
      </c>
      <c r="AB158" s="34" t="inlineStr">
        <is>
          <t>partly on track, one package will need NCE and works will be completed by May/June 2027 | Actual completion: Sep, 2026</t>
        </is>
      </c>
      <c r="AC158" s="32" t="inlineStr">
        <is>
          <t>IF(F158="","",IF(COUNT(AI158:AV158)=0,IF(AA158="","Not started",AA158),SUBSTITUTE(LOOKUP(2,1/(AI158:AV158&lt;&gt;""),$AI$3:$AV$3),"Date: ","")))</t>
        </is>
      </c>
      <c r="AD158" s="39" t="inlineStr">
        <is>
          <t>IF(OR(F158="",COUNT(AI158:AV158)=0),"",TODAY()-LOOKUP(2,1/(AI158:AV158&lt;&gt;""),AI158:AV158))</t>
        </is>
      </c>
      <c r="AE158" s="39" t="inlineStr">
        <is>
          <t>IF(OR(F158="",COUNT(AI158:AV158)&lt;2),"",LOOKUP(2,1/(AI158:AV158&lt;&gt;""),AI158:AV158)-MIN(AI158:AV158))</t>
        </is>
      </c>
      <c r="AF158" s="39" t="inlineStr">
        <is>
          <t>IF(OR(AD158="",AC158="Not started",AC158=""),"",IFERROR(AD158-IF(VLOOKUP(AC158,'06_Status_Pipeline'!$B$3:$E$20,4,FALSE)="",0,VLOOKUP(AC158,'06_Status_Pipeline'!$B$3:$E$20,4,FALSE)),""))</t>
        </is>
      </c>
      <c r="AG158" s="32" t="inlineStr">
        <is>
          <t>IF(F158="","",IF(OR(AA158="Cancelled",AC158="Cancelled"),"Cancelled",IF(OR(AC158="Completed / Handover",Y158&lt;&gt;"",Z158&gt;=100),"Completed — on track",IF(O158="Not awarded",IF(U158="",IF(X158="","No planned date",IF(TODAY()&gt;X158,"Behind — past planned date",IF(X158-TODAY()&lt;=30,"At risk — close to off track","On track"))),IF(TODAY()&gt;U158,"Behind — award date passed",IF(U158-TODAY()&lt;=30,"At risk — close to off track","On track"))),IF(X158="","No planned date",IF(AND(TODAY()&gt;X158,OR(Z158="",Z158&lt;100)),"Behind — past end date",IF(AND(T158&lt;&gt;"",X158&lt;&gt;"",Z158&lt;&gt;"",(Z158&lt;100),((TODAY()-T158)/MAX(X158-T158,1)*100)-Z158&gt;15),"Behind — progress lag",IF(AND(X158-TODAY()&lt;=30,X158-TODAY()&gt;=0,OR(Z158="",Z158&lt;90)),"At risk — close to off track","On track"))))))))</t>
        </is>
      </c>
      <c r="AH158" s="39" t="inlineStr">
        <is>
          <t>IF(OR(F158="",AC158="Completed / Handover",AC158="Cancelled"),"",IF(O158="Not awarded",IF(U158&lt;&gt;"",U158-TODAY(),IF(X158="","",X158-TODAY())),IF(X158="","",X158-TODAY())))</t>
        </is>
      </c>
      <c r="AI158" s="66" t="n"/>
      <c r="AJ158" s="66" t="n"/>
      <c r="AK158" s="66" t="n"/>
      <c r="AL158" s="66" t="n"/>
      <c r="AM158" s="66" t="n"/>
      <c r="AN158" s="66" t="n"/>
      <c r="AO158" s="66" t="n"/>
      <c r="AP158" s="66" t="n"/>
      <c r="AQ158" s="66" t="n">
        <v>45979</v>
      </c>
      <c r="AR158" s="66" t="n">
        <v>45979</v>
      </c>
      <c r="AS158" s="66" t="n">
        <v>46343</v>
      </c>
      <c r="AT158" s="40" t="n"/>
      <c r="AU158" s="40" t="n"/>
      <c r="AV158" s="40" t="n"/>
      <c r="AW158" s="39" t="inlineStr">
        <is>
          <t>IF(OR(F158="",AJ158=""),"",IF(COUNT(AI158:AI158)=0,"",AJ158-LOOKUP(2,1/(AI158:AI158&lt;&gt;""),AI158:AI158)))</t>
        </is>
      </c>
      <c r="AX158" s="39" t="inlineStr">
        <is>
          <t>IF(OR(F158="",AK158=""),"",IF(COUNT(AI158:AJ158)=0,"",AK158-LOOKUP(2,1/(AI158:AJ158&lt;&gt;""),AI158:AJ158)))</t>
        </is>
      </c>
      <c r="AY158" s="39" t="inlineStr">
        <is>
          <t>IF(OR(F158="",AL158=""),"",IF(COUNT(AI158:AK158)=0,"",AL158-LOOKUP(2,1/(AI158:AK158&lt;&gt;""),AI158:AK158)))</t>
        </is>
      </c>
      <c r="AZ158" s="39" t="inlineStr">
        <is>
          <t>IF(OR(F158="",AM158=""),"",IF(COUNT(AI158:AL158)=0,"",AM158-LOOKUP(2,1/(AI158:AL158&lt;&gt;""),AI158:AL158)))</t>
        </is>
      </c>
      <c r="BA158" s="39" t="inlineStr">
        <is>
          <t>IF(OR(F158="",AN158=""),"",IF(COUNT(AI158:AM158)=0,"",AN158-LOOKUP(2,1/(AI158:AM158&lt;&gt;""),AI158:AM158)))</t>
        </is>
      </c>
      <c r="BB158" s="39" t="inlineStr">
        <is>
          <t>IF(OR(F158="",AO158=""),"",IF(COUNT(AI158:AN158)=0,"",AO158-LOOKUP(2,1/(AI158:AN158&lt;&gt;""),AI158:AN158)))</t>
        </is>
      </c>
      <c r="BC158" s="39" t="inlineStr">
        <is>
          <t>IF(OR(F158="",AP158=""),"",IF(COUNT(AI158:AO158)=0,"",AP158-LOOKUP(2,1/(AI158:AO158&lt;&gt;""),AI158:AO158)))</t>
        </is>
      </c>
      <c r="BD158" s="39" t="inlineStr">
        <is>
          <t>IF(OR(F158="",AQ158=""),"",IF(COUNT(AI158:AP158)=0,"",AQ158-LOOKUP(2,1/(AI158:AP158&lt;&gt;""),AI158:AP158)))</t>
        </is>
      </c>
      <c r="BE158" s="39" t="inlineStr">
        <is>
          <t>IF(OR(F158="",AR158=""),"",IF(COUNT(AI158:AQ158)=0,"",AR158-LOOKUP(2,1/(AI158:AQ158&lt;&gt;""),AI158:AQ158)))</t>
        </is>
      </c>
      <c r="BF158" s="39" t="inlineStr">
        <is>
          <t>IF(OR(F158="",AS158=""),"",IF(COUNT(AI158:AR158)=0,"",AS158-LOOKUP(2,1/(AI158:AR158&lt;&gt;""),AI158:AR158)))</t>
        </is>
      </c>
      <c r="BG158" s="39" t="inlineStr">
        <is>
          <t>IF(OR(F158="",AT158=""),"",IF(COUNT(AI158:AS158)=0,"",AT158-LOOKUP(2,1/(AI158:AS158&lt;&gt;""),AI158:AS158)))</t>
        </is>
      </c>
      <c r="BH158" s="39" t="inlineStr">
        <is>
          <t>IF(OR(F158="",AU158=""),"",IF(COUNT(AI158:AT158)=0,"",AU158-LOOKUP(2,1/(AI158:AT158&lt;&gt;""),AI158:AT158)))</t>
        </is>
      </c>
      <c r="BI158" s="39" t="inlineStr">
        <is>
          <t>IF(OR(F158="",AV158=""),"",IF(COUNT(AI158:AU158)=0,"",AV158-LOOKUP(2,1/(AI158:AU158&lt;&gt;""),AI158:AU158)))</t>
        </is>
      </c>
      <c r="BJ158" s="41" t="inlineStr">
        <is>
          <t>IF(J158="","All_Provinces",IFERROR(VLOOKUP(J158,'09_Lookups'!$A$4:$B$20,2,FALSE),"All_Provinces"))</t>
        </is>
      </c>
      <c r="BK158" s="41" t="inlineStr">
        <is>
          <t>IF(K158="","All_Districts",IFERROR(VLOOKUP(K158,'09_Lookups'!$E$4:$F$42,2,FALSE),"All_Districts"))</t>
        </is>
      </c>
    </row>
    <row r="159" outlineLevel="1" ht="18" customHeight="1">
      <c r="A159" s="42" t="inlineStr">
        <is>
          <t>IF(F159="","",ROW()-3)</t>
        </is>
      </c>
      <c r="B159" s="65" t="inlineStr">
        <is>
          <t>AF2-IS-10</t>
        </is>
      </c>
      <c r="C159" s="65" t="inlineStr">
        <is>
          <t>Package #10-AF2 IS: Rehabilitation of 1.Baraki canal, 2. Darbal canal, 3. Nawikhar canal and 4. Mangali canal irrigation schemes, located in Sayed Abad, Chak and Jaghato districts of Wardak province.</t>
        </is>
      </c>
      <c r="D159" s="65" t="inlineStr">
        <is>
          <t>2 of 4</t>
        </is>
      </c>
      <c r="E159" s="44" t="inlineStr">
        <is>
          <t>AF2-IS-A-011</t>
        </is>
      </c>
      <c r="F159" s="44" t="inlineStr">
        <is>
          <t>Darbal canal irrigation Scheme</t>
        </is>
      </c>
      <c r="G159" s="44" t="inlineStr">
        <is>
          <t>Irrigation Scheme</t>
        </is>
      </c>
      <c r="H159" s="44" t="inlineStr">
        <is>
          <t>Irrigation Canal</t>
        </is>
      </c>
      <c r="I159" s="44" t="inlineStr">
        <is>
          <t>Emergency Food Security Project (EFSP) – WBK/AF-2</t>
        </is>
      </c>
      <c r="J159" s="44" t="inlineStr">
        <is>
          <t>Central / Kabul</t>
        </is>
      </c>
      <c r="K159" s="44" t="inlineStr">
        <is>
          <t>Wardak</t>
        </is>
      </c>
      <c r="L159" s="44" t="inlineStr">
        <is>
          <t>Chak</t>
        </is>
      </c>
      <c r="M159" s="44" t="inlineStr">
        <is>
          <t>Darbal</t>
        </is>
      </c>
      <c r="N159" s="44" t="inlineStr">
        <is>
          <t>World Bank (WBK/AF-2)</t>
        </is>
      </c>
      <c r="O159" s="44" t="inlineStr">
        <is>
          <t>Awarded</t>
        </is>
      </c>
      <c r="P159" s="44" t="inlineStr">
        <is>
          <t>1.Awarded contracts_On&amp;off-farm</t>
        </is>
      </c>
      <c r="Q159" s="44" t="inlineStr">
        <is>
          <t>Zahid Saeed Engineering and Construction Company (ZSCC)</t>
        </is>
      </c>
      <c r="R159" s="44" t="inlineStr">
        <is>
          <t>057/2025</t>
        </is>
      </c>
      <c r="S159" s="45" t="n">
        <v>102415.9</v>
      </c>
      <c r="T159" s="46" t="inlineStr">
        <is>
          <t>IF(AQ159="","",AQ159)</t>
        </is>
      </c>
      <c r="U159" s="47" t="n"/>
      <c r="V159" s="48" t="n">
        <v>12</v>
      </c>
      <c r="W159" s="47" t="n">
        <v>46343</v>
      </c>
      <c r="X159" s="46" t="inlineStr">
        <is>
          <t>IF(W159&lt;&gt;"",W159,IF(OR(T159="",V159=""),"",EDATE(T159,V159)))</t>
        </is>
      </c>
      <c r="Y159" s="47" t="n"/>
      <c r="Z159" s="48" t="n">
        <v>0</v>
      </c>
      <c r="AA159" s="44" t="inlineStr">
        <is>
          <t>Awarded</t>
        </is>
      </c>
      <c r="AB159" s="44" t="inlineStr">
        <is>
          <t>partly on track, one package will need NCE and works will be completed by May/June 2027 | Actual completion: Sep, 2026</t>
        </is>
      </c>
      <c r="AC159" s="42" t="inlineStr">
        <is>
          <t>IF(F159="","",IF(COUNT(AI159:AV159)=0,IF(AA159="","Not started",AA159),SUBSTITUTE(LOOKUP(2,1/(AI159:AV159&lt;&gt;""),$AI$3:$AV$3),"Date: ","")))</t>
        </is>
      </c>
      <c r="AD159" s="49" t="inlineStr">
        <is>
          <t>IF(OR(F159="",COUNT(AI159:AV159)=0),"",TODAY()-LOOKUP(2,1/(AI159:AV159&lt;&gt;""),AI159:AV159))</t>
        </is>
      </c>
      <c r="AE159" s="49" t="inlineStr">
        <is>
          <t>IF(OR(F159="",COUNT(AI159:AV159)&lt;2),"",LOOKUP(2,1/(AI159:AV159&lt;&gt;""),AI159:AV159)-MIN(AI159:AV159))</t>
        </is>
      </c>
      <c r="AF159" s="49" t="inlineStr">
        <is>
          <t>IF(OR(AD159="",AC159="Not started",AC159=""),"",IFERROR(AD159-IF(VLOOKUP(AC159,'06_Status_Pipeline'!$B$3:$E$20,4,FALSE)="",0,VLOOKUP(AC159,'06_Status_Pipeline'!$B$3:$E$20,4,FALSE)),""))</t>
        </is>
      </c>
      <c r="AG159" s="42" t="inlineStr">
        <is>
          <t>IF(F159="","",IF(OR(AA159="Cancelled",AC159="Cancelled"),"Cancelled",IF(OR(AC159="Completed / Handover",Y159&lt;&gt;"",Z159&gt;=100),"Completed — on track",IF(O159="Not awarded",IF(U159="",IF(X159="","No planned date",IF(TODAY()&gt;X159,"Behind — past planned date",IF(X159-TODAY()&lt;=30,"At risk — close to off track","On track"))),IF(TODAY()&gt;U159,"Behind — award date passed",IF(U159-TODAY()&lt;=30,"At risk — close to off track","On track"))),IF(X159="","No planned date",IF(AND(TODAY()&gt;X159,OR(Z159="",Z159&lt;100)),"Behind — past end date",IF(AND(T159&lt;&gt;"",X159&lt;&gt;"",Z159&lt;&gt;"",(Z159&lt;100),((TODAY()-T159)/MAX(X159-T159,1)*100)-Z159&gt;15),"Behind — progress lag",IF(AND(X159-TODAY()&lt;=30,X159-TODAY()&gt;=0,OR(Z159="",Z159&lt;90)),"At risk — close to off track","On track"))))))))</t>
        </is>
      </c>
      <c r="AH159" s="49" t="inlineStr">
        <is>
          <t>IF(OR(F159="",AC159="Completed / Handover",AC159="Cancelled"),"",IF(O159="Not awarded",IF(U159&lt;&gt;"",U159-TODAY(),IF(X159="","",X159-TODAY())),IF(X159="","",X159-TODAY())))</t>
        </is>
      </c>
      <c r="AI159" s="67" t="n"/>
      <c r="AJ159" s="67" t="n"/>
      <c r="AK159" s="67" t="n"/>
      <c r="AL159" s="67" t="n"/>
      <c r="AM159" s="67" t="n"/>
      <c r="AN159" s="67" t="n"/>
      <c r="AO159" s="67" t="n"/>
      <c r="AP159" s="67" t="n"/>
      <c r="AQ159" s="67" t="n">
        <v>45979</v>
      </c>
      <c r="AR159" s="67" t="n"/>
      <c r="AS159" s="67" t="n"/>
      <c r="AT159" s="50" t="n"/>
      <c r="AU159" s="50" t="n"/>
      <c r="AV159" s="50" t="n"/>
      <c r="AW159" s="49" t="inlineStr">
        <is>
          <t>IF(OR(F159="",AJ159=""),"",IF(COUNT(AI159:AI159)=0,"",AJ159-LOOKUP(2,1/(AI159:AI159&lt;&gt;""),AI159:AI159)))</t>
        </is>
      </c>
      <c r="AX159" s="49" t="inlineStr">
        <is>
          <t>IF(OR(F159="",AK159=""),"",IF(COUNT(AI159:AJ159)=0,"",AK159-LOOKUP(2,1/(AI159:AJ159&lt;&gt;""),AI159:AJ159)))</t>
        </is>
      </c>
      <c r="AY159" s="49" t="inlineStr">
        <is>
          <t>IF(OR(F159="",AL159=""),"",IF(COUNT(AI159:AK159)=0,"",AL159-LOOKUP(2,1/(AI159:AK159&lt;&gt;""),AI159:AK159)))</t>
        </is>
      </c>
      <c r="AZ159" s="49" t="inlineStr">
        <is>
          <t>IF(OR(F159="",AM159=""),"",IF(COUNT(AI159:AL159)=0,"",AM159-LOOKUP(2,1/(AI159:AL159&lt;&gt;""),AI159:AL159)))</t>
        </is>
      </c>
      <c r="BA159" s="49" t="inlineStr">
        <is>
          <t>IF(OR(F159="",AN159=""),"",IF(COUNT(AI159:AM159)=0,"",AN159-LOOKUP(2,1/(AI159:AM159&lt;&gt;""),AI159:AM159)))</t>
        </is>
      </c>
      <c r="BB159" s="49" t="inlineStr">
        <is>
          <t>IF(OR(F159="",AO159=""),"",IF(COUNT(AI159:AN159)=0,"",AO159-LOOKUP(2,1/(AI159:AN159&lt;&gt;""),AI159:AN159)))</t>
        </is>
      </c>
      <c r="BC159" s="49" t="inlineStr">
        <is>
          <t>IF(OR(F159="",AP159=""),"",IF(COUNT(AI159:AO159)=0,"",AP159-LOOKUP(2,1/(AI159:AO159&lt;&gt;""),AI159:AO159)))</t>
        </is>
      </c>
      <c r="BD159" s="49" t="inlineStr">
        <is>
          <t>IF(OR(F159="",AQ159=""),"",IF(COUNT(AI159:AP159)=0,"",AQ159-LOOKUP(2,1/(AI159:AP159&lt;&gt;""),AI159:AP159)))</t>
        </is>
      </c>
      <c r="BE159" s="49" t="inlineStr">
        <is>
          <t>IF(OR(F159="",AR159=""),"",IF(COUNT(AI159:AQ159)=0,"",AR159-LOOKUP(2,1/(AI159:AQ159&lt;&gt;""),AI159:AQ159)))</t>
        </is>
      </c>
      <c r="BF159" s="49" t="inlineStr">
        <is>
          <t>IF(OR(F159="",AS159=""),"",IF(COUNT(AI159:AR159)=0,"",AS159-LOOKUP(2,1/(AI159:AR159&lt;&gt;""),AI159:AR159)))</t>
        </is>
      </c>
      <c r="BG159" s="49" t="inlineStr">
        <is>
          <t>IF(OR(F159="",AT159=""),"",IF(COUNT(AI159:AS159)=0,"",AT159-LOOKUP(2,1/(AI159:AS159&lt;&gt;""),AI159:AS159)))</t>
        </is>
      </c>
      <c r="BH159" s="49" t="inlineStr">
        <is>
          <t>IF(OR(F159="",AU159=""),"",IF(COUNT(AI159:AT159)=0,"",AU159-LOOKUP(2,1/(AI159:AT159&lt;&gt;""),AI159:AT159)))</t>
        </is>
      </c>
      <c r="BI159" s="49" t="inlineStr">
        <is>
          <t>IF(OR(F159="",AV159=""),"",IF(COUNT(AI159:AU159)=0,"",AV159-LOOKUP(2,1/(AI159:AU159&lt;&gt;""),AI159:AU159)))</t>
        </is>
      </c>
      <c r="BJ159" s="51" t="inlineStr">
        <is>
          <t>IF(J159="","All_Provinces",IFERROR(VLOOKUP(J159,'09_Lookups'!$A$4:$B$20,2,FALSE),"All_Provinces"))</t>
        </is>
      </c>
      <c r="BK159" s="51" t="inlineStr">
        <is>
          <t>IF(K159="","All_Districts",IFERROR(VLOOKUP(K159,'09_Lookups'!$E$4:$F$42,2,FALSE),"All_Districts"))</t>
        </is>
      </c>
    </row>
    <row r="160" outlineLevel="1" ht="18" customHeight="1">
      <c r="A160" s="42" t="inlineStr">
        <is>
          <t>IF(F160="","",ROW()-3)</t>
        </is>
      </c>
      <c r="B160" s="65" t="inlineStr">
        <is>
          <t>AF2-IS-10</t>
        </is>
      </c>
      <c r="C160" s="65" t="inlineStr">
        <is>
          <t>Package #10-AF2 IS: Rehabilitation of 1.Baraki canal, 2. Darbal canal, 3. Nawikhar canal and 4. Mangali canal irrigation schemes, located in Sayed Abad, Chak and Jaghato districts of Wardak province.</t>
        </is>
      </c>
      <c r="D160" s="65" t="inlineStr">
        <is>
          <t>3 of 4</t>
        </is>
      </c>
      <c r="E160" s="52" t="inlineStr">
        <is>
          <t>AF2-IS-A-012</t>
        </is>
      </c>
      <c r="F160" s="52" t="inlineStr">
        <is>
          <t>Mangali Canal irrigation Scheme</t>
        </is>
      </c>
      <c r="G160" s="52" t="inlineStr">
        <is>
          <t>Irrigation Scheme</t>
        </is>
      </c>
      <c r="H160" s="52" t="inlineStr">
        <is>
          <t>Irrigation Canal</t>
        </is>
      </c>
      <c r="I160" s="52" t="inlineStr">
        <is>
          <t>Emergency Food Security Project (EFSP) – WBK/AF-2</t>
        </is>
      </c>
      <c r="J160" s="52" t="inlineStr">
        <is>
          <t>Central / Kabul</t>
        </is>
      </c>
      <c r="K160" s="52" t="inlineStr">
        <is>
          <t>Wardak</t>
        </is>
      </c>
      <c r="L160" s="52" t="inlineStr">
        <is>
          <t>Jaghato</t>
        </is>
      </c>
      <c r="M160" s="52" t="inlineStr">
        <is>
          <t>Mamal khil, Mushangai, Adena and Mangali</t>
        </is>
      </c>
      <c r="N160" s="52" t="inlineStr">
        <is>
          <t>World Bank (WBK/AF-2)</t>
        </is>
      </c>
      <c r="O160" s="52" t="inlineStr">
        <is>
          <t>Awarded</t>
        </is>
      </c>
      <c r="P160" s="52" t="inlineStr">
        <is>
          <t>1.Awarded contracts_On&amp;off-farm</t>
        </is>
      </c>
      <c r="Q160" s="52" t="inlineStr">
        <is>
          <t>Zahid Saeed Engineering and Construction Company (ZSCC)</t>
        </is>
      </c>
      <c r="R160" s="52" t="inlineStr">
        <is>
          <t>057/2025</t>
        </is>
      </c>
      <c r="S160" s="53" t="n">
        <v>16116.33</v>
      </c>
      <c r="T160" s="46" t="inlineStr">
        <is>
          <t>IF(AQ160="","",AQ160)</t>
        </is>
      </c>
      <c r="U160" s="54" t="n"/>
      <c r="V160" s="55" t="n">
        <v>12</v>
      </c>
      <c r="W160" s="54" t="n">
        <v>46343</v>
      </c>
      <c r="X160" s="46" t="inlineStr">
        <is>
          <t>IF(W160&lt;&gt;"",W160,IF(OR(T160="",V160=""),"",EDATE(T160,V160)))</t>
        </is>
      </c>
      <c r="Y160" s="54" t="n"/>
      <c r="Z160" s="55" t="n">
        <v>0</v>
      </c>
      <c r="AA160" s="52" t="inlineStr">
        <is>
          <t>Awarded</t>
        </is>
      </c>
      <c r="AB160" s="52" t="inlineStr">
        <is>
          <t>partly on track, one package will need NCE and works will be completed by May/June 2027 | Actual completion: Sep, 2026</t>
        </is>
      </c>
      <c r="AC160" s="42" t="inlineStr">
        <is>
          <t>IF(F160="","",IF(COUNT(AI160:AV160)=0,IF(AA160="","Not started",AA160),SUBSTITUTE(LOOKUP(2,1/(AI160:AV160&lt;&gt;""),$AI$3:$AV$3),"Date: ","")))</t>
        </is>
      </c>
      <c r="AD160" s="49" t="inlineStr">
        <is>
          <t>IF(OR(F160="",COUNT(AI160:AV160)=0),"",TODAY()-LOOKUP(2,1/(AI160:AV160&lt;&gt;""),AI160:AV160))</t>
        </is>
      </c>
      <c r="AE160" s="49" t="inlineStr">
        <is>
          <t>IF(OR(F160="",COUNT(AI160:AV160)&lt;2),"",LOOKUP(2,1/(AI160:AV160&lt;&gt;""),AI160:AV160)-MIN(AI160:AV160))</t>
        </is>
      </c>
      <c r="AF160" s="49" t="inlineStr">
        <is>
          <t>IF(OR(AD160="",AC160="Not started",AC160=""),"",IFERROR(AD160-IF(VLOOKUP(AC160,'06_Status_Pipeline'!$B$3:$E$20,4,FALSE)="",0,VLOOKUP(AC160,'06_Status_Pipeline'!$B$3:$E$20,4,FALSE)),""))</t>
        </is>
      </c>
      <c r="AG160" s="42" t="inlineStr">
        <is>
          <t>IF(F160="","",IF(OR(AA160="Cancelled",AC160="Cancelled"),"Cancelled",IF(OR(AC160="Completed / Handover",Y160&lt;&gt;"",Z160&gt;=100),"Completed — on track",IF(O160="Not awarded",IF(U160="",IF(X160="","No planned date",IF(TODAY()&gt;X160,"Behind — past planned date",IF(X160-TODAY()&lt;=30,"At risk — close to off track","On track"))),IF(TODAY()&gt;U160,"Behind — award date passed",IF(U160-TODAY()&lt;=30,"At risk — close to off track","On track"))),IF(X160="","No planned date",IF(AND(TODAY()&gt;X160,OR(Z160="",Z160&lt;100)),"Behind — past end date",IF(AND(T160&lt;&gt;"",X160&lt;&gt;"",Z160&lt;&gt;"",(Z160&lt;100),((TODAY()-T160)/MAX(X160-T160,1)*100)-Z160&gt;15),"Behind — progress lag",IF(AND(X160-TODAY()&lt;=30,X160-TODAY()&gt;=0,OR(Z160="",Z160&lt;90)),"At risk — close to off track","On track"))))))))</t>
        </is>
      </c>
      <c r="AH160" s="49" t="inlineStr">
        <is>
          <t>IF(OR(F160="",AC160="Completed / Handover",AC160="Cancelled"),"",IF(O160="Not awarded",IF(U160&lt;&gt;"",U160-TODAY(),IF(X160="","",X160-TODAY())),IF(X160="","",X160-TODAY())))</t>
        </is>
      </c>
      <c r="AI160" s="67" t="n"/>
      <c r="AJ160" s="67" t="n"/>
      <c r="AK160" s="67" t="n"/>
      <c r="AL160" s="67" t="n"/>
      <c r="AM160" s="67" t="n"/>
      <c r="AN160" s="67" t="n"/>
      <c r="AO160" s="67" t="n"/>
      <c r="AP160" s="67" t="n"/>
      <c r="AQ160" s="67" t="n">
        <v>45979</v>
      </c>
      <c r="AR160" s="67" t="n"/>
      <c r="AS160" s="67" t="n"/>
      <c r="AT160" s="50" t="n"/>
      <c r="AU160" s="50" t="n"/>
      <c r="AV160" s="50" t="n"/>
      <c r="AW160" s="49" t="inlineStr">
        <is>
          <t>IF(OR(F160="",AJ160=""),"",IF(COUNT(AI160:AI160)=0,"",AJ160-LOOKUP(2,1/(AI160:AI160&lt;&gt;""),AI160:AI160)))</t>
        </is>
      </c>
      <c r="AX160" s="49" t="inlineStr">
        <is>
          <t>IF(OR(F160="",AK160=""),"",IF(COUNT(AI160:AJ160)=0,"",AK160-LOOKUP(2,1/(AI160:AJ160&lt;&gt;""),AI160:AJ160)))</t>
        </is>
      </c>
      <c r="AY160" s="49" t="inlineStr">
        <is>
          <t>IF(OR(F160="",AL160=""),"",IF(COUNT(AI160:AK160)=0,"",AL160-LOOKUP(2,1/(AI160:AK160&lt;&gt;""),AI160:AK160)))</t>
        </is>
      </c>
      <c r="AZ160" s="49" t="inlineStr">
        <is>
          <t>IF(OR(F160="",AM160=""),"",IF(COUNT(AI160:AL160)=0,"",AM160-LOOKUP(2,1/(AI160:AL160&lt;&gt;""),AI160:AL160)))</t>
        </is>
      </c>
      <c r="BA160" s="49" t="inlineStr">
        <is>
          <t>IF(OR(F160="",AN160=""),"",IF(COUNT(AI160:AM160)=0,"",AN160-LOOKUP(2,1/(AI160:AM160&lt;&gt;""),AI160:AM160)))</t>
        </is>
      </c>
      <c r="BB160" s="49" t="inlineStr">
        <is>
          <t>IF(OR(F160="",AO160=""),"",IF(COUNT(AI160:AN160)=0,"",AO160-LOOKUP(2,1/(AI160:AN160&lt;&gt;""),AI160:AN160)))</t>
        </is>
      </c>
      <c r="BC160" s="49" t="inlineStr">
        <is>
          <t>IF(OR(F160="",AP160=""),"",IF(COUNT(AI160:AO160)=0,"",AP160-LOOKUP(2,1/(AI160:AO160&lt;&gt;""),AI160:AO160)))</t>
        </is>
      </c>
      <c r="BD160" s="49" t="inlineStr">
        <is>
          <t>IF(OR(F160="",AQ160=""),"",IF(COUNT(AI160:AP160)=0,"",AQ160-LOOKUP(2,1/(AI160:AP160&lt;&gt;""),AI160:AP160)))</t>
        </is>
      </c>
      <c r="BE160" s="49" t="inlineStr">
        <is>
          <t>IF(OR(F160="",AR160=""),"",IF(COUNT(AI160:AQ160)=0,"",AR160-LOOKUP(2,1/(AI160:AQ160&lt;&gt;""),AI160:AQ160)))</t>
        </is>
      </c>
      <c r="BF160" s="49" t="inlineStr">
        <is>
          <t>IF(OR(F160="",AS160=""),"",IF(COUNT(AI160:AR160)=0,"",AS160-LOOKUP(2,1/(AI160:AR160&lt;&gt;""),AI160:AR160)))</t>
        </is>
      </c>
      <c r="BG160" s="49" t="inlineStr">
        <is>
          <t>IF(OR(F160="",AT160=""),"",IF(COUNT(AI160:AS160)=0,"",AT160-LOOKUP(2,1/(AI160:AS160&lt;&gt;""),AI160:AS160)))</t>
        </is>
      </c>
      <c r="BH160" s="49" t="inlineStr">
        <is>
          <t>IF(OR(F160="",AU160=""),"",IF(COUNT(AI160:AT160)=0,"",AU160-LOOKUP(2,1/(AI160:AT160&lt;&gt;""),AI160:AT160)))</t>
        </is>
      </c>
      <c r="BI160" s="49" t="inlineStr">
        <is>
          <t>IF(OR(F160="",AV160=""),"",IF(COUNT(AI160:AU160)=0,"",AV160-LOOKUP(2,1/(AI160:AU160&lt;&gt;""),AI160:AU160)))</t>
        </is>
      </c>
      <c r="BJ160" s="51" t="inlineStr">
        <is>
          <t>IF(J160="","All_Provinces",IFERROR(VLOOKUP(J160,'09_Lookups'!$A$4:$B$20,2,FALSE),"All_Provinces"))</t>
        </is>
      </c>
      <c r="BK160" s="51" t="inlineStr">
        <is>
          <t>IF(K160="","All_Districts",IFERROR(VLOOKUP(K160,'09_Lookups'!$E$4:$F$42,2,FALSE),"All_Districts"))</t>
        </is>
      </c>
    </row>
    <row r="161" outlineLevel="1" ht="18" customHeight="1">
      <c r="A161" s="42" t="inlineStr">
        <is>
          <t>IF(F161="","",ROW()-3)</t>
        </is>
      </c>
      <c r="B161" s="65" t="inlineStr">
        <is>
          <t>AF2-IS-10</t>
        </is>
      </c>
      <c r="C161" s="65" t="inlineStr">
        <is>
          <t>Package #10-AF2 IS: Rehabilitation of 1.Baraki canal, 2. Darbal canal, 3. Nawikhar canal and 4. Mangali canal irrigation schemes, located in Sayed Abad, Chak and Jaghato districts of Wardak province.</t>
        </is>
      </c>
      <c r="D161" s="65" t="inlineStr">
        <is>
          <t>4 of 4</t>
        </is>
      </c>
      <c r="E161" s="44" t="inlineStr">
        <is>
          <t>AF2-IS-A-013</t>
        </is>
      </c>
      <c r="F161" s="44" t="inlineStr">
        <is>
          <t>Nawikhar canal irrigation scheme</t>
        </is>
      </c>
      <c r="G161" s="44" t="inlineStr">
        <is>
          <t>Irrigation Scheme</t>
        </is>
      </c>
      <c r="H161" s="44" t="inlineStr">
        <is>
          <t>Irrigation Canal</t>
        </is>
      </c>
      <c r="I161" s="44" t="inlineStr">
        <is>
          <t>Emergency Food Security Project (EFSP) – WBK/AF-2</t>
        </is>
      </c>
      <c r="J161" s="44" t="inlineStr">
        <is>
          <t>Central / Kabul</t>
        </is>
      </c>
      <c r="K161" s="44" t="inlineStr">
        <is>
          <t>Wardak</t>
        </is>
      </c>
      <c r="L161" s="44" t="inlineStr">
        <is>
          <t>Jaghato</t>
        </is>
      </c>
      <c r="M161" s="44" t="inlineStr">
        <is>
          <t>Nawikhar</t>
        </is>
      </c>
      <c r="N161" s="44" t="inlineStr">
        <is>
          <t>World Bank (WBK/AF-2)</t>
        </is>
      </c>
      <c r="O161" s="44" t="inlineStr">
        <is>
          <t>Awarded</t>
        </is>
      </c>
      <c r="P161" s="44" t="inlineStr">
        <is>
          <t>1.Awarded contracts_On&amp;off-farm</t>
        </is>
      </c>
      <c r="Q161" s="44" t="inlineStr">
        <is>
          <t>Zahid Saeed Engineering and Construction Company (ZSCC)</t>
        </is>
      </c>
      <c r="R161" s="44" t="inlineStr">
        <is>
          <t>057/2025</t>
        </is>
      </c>
      <c r="S161" s="45" t="n">
        <v>77263.89</v>
      </c>
      <c r="T161" s="46" t="inlineStr">
        <is>
          <t>IF(AQ161="","",AQ161)</t>
        </is>
      </c>
      <c r="U161" s="47" t="n"/>
      <c r="V161" s="48" t="n">
        <v>12</v>
      </c>
      <c r="W161" s="47" t="n">
        <v>46343</v>
      </c>
      <c r="X161" s="46" t="inlineStr">
        <is>
          <t>IF(W161&lt;&gt;"",W161,IF(OR(T161="",V161=""),"",EDATE(T161,V161)))</t>
        </is>
      </c>
      <c r="Y161" s="47" t="n"/>
      <c r="Z161" s="48" t="n">
        <v>20</v>
      </c>
      <c r="AA161" s="44" t="inlineStr">
        <is>
          <t>Under Construction</t>
        </is>
      </c>
      <c r="AB161" s="44" t="inlineStr">
        <is>
          <t>partly on track, one package will need NCE and works will be completed by May/June 2027 | Actual completion: Sep, 2026</t>
        </is>
      </c>
      <c r="AC161" s="42" t="inlineStr">
        <is>
          <t>IF(F161="","",IF(COUNT(AI161:AV161)=0,IF(AA161="","Not started",AA161),SUBSTITUTE(LOOKUP(2,1/(AI161:AV161&lt;&gt;""),$AI$3:$AV$3),"Date: ","")))</t>
        </is>
      </c>
      <c r="AD161" s="49" t="inlineStr">
        <is>
          <t>IF(OR(F161="",COUNT(AI161:AV161)=0),"",TODAY()-LOOKUP(2,1/(AI161:AV161&lt;&gt;""),AI161:AV161))</t>
        </is>
      </c>
      <c r="AE161" s="49" t="inlineStr">
        <is>
          <t>IF(OR(F161="",COUNT(AI161:AV161)&lt;2),"",LOOKUP(2,1/(AI161:AV161&lt;&gt;""),AI161:AV161)-MIN(AI161:AV161))</t>
        </is>
      </c>
      <c r="AF161" s="49" t="inlineStr">
        <is>
          <t>IF(OR(AD161="",AC161="Not started",AC161=""),"",IFERROR(AD161-IF(VLOOKUP(AC161,'06_Status_Pipeline'!$B$3:$E$20,4,FALSE)="",0,VLOOKUP(AC161,'06_Status_Pipeline'!$B$3:$E$20,4,FALSE)),""))</t>
        </is>
      </c>
      <c r="AG161" s="42" t="inlineStr">
        <is>
          <t>IF(F161="","",IF(OR(AA161="Cancelled",AC161="Cancelled"),"Cancelled",IF(OR(AC161="Completed / Handover",Y161&lt;&gt;"",Z161&gt;=100),"Completed — on track",IF(O161="Not awarded",IF(U161="",IF(X161="","No planned date",IF(TODAY()&gt;X161,"Behind — past planned date",IF(X161-TODAY()&lt;=30,"At risk — close to off track","On track"))),IF(TODAY()&gt;U161,"Behind — award date passed",IF(U161-TODAY()&lt;=30,"At risk — close to off track","On track"))),IF(X161="","No planned date",IF(AND(TODAY()&gt;X161,OR(Z161="",Z161&lt;100)),"Behind — past end date",IF(AND(T161&lt;&gt;"",X161&lt;&gt;"",Z161&lt;&gt;"",(Z161&lt;100),((TODAY()-T161)/MAX(X161-T161,1)*100)-Z161&gt;15),"Behind — progress lag",IF(AND(X161-TODAY()&lt;=30,X161-TODAY()&gt;=0,OR(Z161="",Z161&lt;90)),"At risk — close to off track","On track"))))))))</t>
        </is>
      </c>
      <c r="AH161" s="49" t="inlineStr">
        <is>
          <t>IF(OR(F161="",AC161="Completed / Handover",AC161="Cancelled"),"",IF(O161="Not awarded",IF(U161&lt;&gt;"",U161-TODAY(),IF(X161="","",X161-TODAY())),IF(X161="","",X161-TODAY())))</t>
        </is>
      </c>
      <c r="AI161" s="67" t="n"/>
      <c r="AJ161" s="67" t="n"/>
      <c r="AK161" s="67" t="n"/>
      <c r="AL161" s="67" t="n"/>
      <c r="AM161" s="67" t="n"/>
      <c r="AN161" s="67" t="n"/>
      <c r="AO161" s="67" t="n"/>
      <c r="AP161" s="67" t="n"/>
      <c r="AQ161" s="67" t="n">
        <v>45979</v>
      </c>
      <c r="AR161" s="67" t="n">
        <v>45979</v>
      </c>
      <c r="AS161" s="67" t="n"/>
      <c r="AT161" s="50" t="n"/>
      <c r="AU161" s="50" t="n"/>
      <c r="AV161" s="50" t="n"/>
      <c r="AW161" s="49" t="inlineStr">
        <is>
          <t>IF(OR(F161="",AJ161=""),"",IF(COUNT(AI161:AI161)=0,"",AJ161-LOOKUP(2,1/(AI161:AI161&lt;&gt;""),AI161:AI161)))</t>
        </is>
      </c>
      <c r="AX161" s="49" t="inlineStr">
        <is>
          <t>IF(OR(F161="",AK161=""),"",IF(COUNT(AI161:AJ161)=0,"",AK161-LOOKUP(2,1/(AI161:AJ161&lt;&gt;""),AI161:AJ161)))</t>
        </is>
      </c>
      <c r="AY161" s="49" t="inlineStr">
        <is>
          <t>IF(OR(F161="",AL161=""),"",IF(COUNT(AI161:AK161)=0,"",AL161-LOOKUP(2,1/(AI161:AK161&lt;&gt;""),AI161:AK161)))</t>
        </is>
      </c>
      <c r="AZ161" s="49" t="inlineStr">
        <is>
          <t>IF(OR(F161="",AM161=""),"",IF(COUNT(AI161:AL161)=0,"",AM161-LOOKUP(2,1/(AI161:AL161&lt;&gt;""),AI161:AL161)))</t>
        </is>
      </c>
      <c r="BA161" s="49" t="inlineStr">
        <is>
          <t>IF(OR(F161="",AN161=""),"",IF(COUNT(AI161:AM161)=0,"",AN161-LOOKUP(2,1/(AI161:AM161&lt;&gt;""),AI161:AM161)))</t>
        </is>
      </c>
      <c r="BB161" s="49" t="inlineStr">
        <is>
          <t>IF(OR(F161="",AO161=""),"",IF(COUNT(AI161:AN161)=0,"",AO161-LOOKUP(2,1/(AI161:AN161&lt;&gt;""),AI161:AN161)))</t>
        </is>
      </c>
      <c r="BC161" s="49" t="inlineStr">
        <is>
          <t>IF(OR(F161="",AP161=""),"",IF(COUNT(AI161:AO161)=0,"",AP161-LOOKUP(2,1/(AI161:AO161&lt;&gt;""),AI161:AO161)))</t>
        </is>
      </c>
      <c r="BD161" s="49" t="inlineStr">
        <is>
          <t>IF(OR(F161="",AQ161=""),"",IF(COUNT(AI161:AP161)=0,"",AQ161-LOOKUP(2,1/(AI161:AP161&lt;&gt;""),AI161:AP161)))</t>
        </is>
      </c>
      <c r="BE161" s="49" t="inlineStr">
        <is>
          <t>IF(OR(F161="",AR161=""),"",IF(COUNT(AI161:AQ161)=0,"",AR161-LOOKUP(2,1/(AI161:AQ161&lt;&gt;""),AI161:AQ161)))</t>
        </is>
      </c>
      <c r="BF161" s="49" t="inlineStr">
        <is>
          <t>IF(OR(F161="",AS161=""),"",IF(COUNT(AI161:AR161)=0,"",AS161-LOOKUP(2,1/(AI161:AR161&lt;&gt;""),AI161:AR161)))</t>
        </is>
      </c>
      <c r="BG161" s="49" t="inlineStr">
        <is>
          <t>IF(OR(F161="",AT161=""),"",IF(COUNT(AI161:AS161)=0,"",AT161-LOOKUP(2,1/(AI161:AS161&lt;&gt;""),AI161:AS161)))</t>
        </is>
      </c>
      <c r="BH161" s="49" t="inlineStr">
        <is>
          <t>IF(OR(F161="",AU161=""),"",IF(COUNT(AI161:AT161)=0,"",AU161-LOOKUP(2,1/(AI161:AT161&lt;&gt;""),AI161:AT161)))</t>
        </is>
      </c>
      <c r="BI161" s="49" t="inlineStr">
        <is>
          <t>IF(OR(F161="",AV161=""),"",IF(COUNT(AI161:AU161)=0,"",AV161-LOOKUP(2,1/(AI161:AU161&lt;&gt;""),AI161:AU161)))</t>
        </is>
      </c>
      <c r="BJ161" s="51" t="inlineStr">
        <is>
          <t>IF(J161="","All_Provinces",IFERROR(VLOOKUP(J161,'09_Lookups'!$A$4:$B$20,2,FALSE),"All_Provinces"))</t>
        </is>
      </c>
      <c r="BK161" s="51" t="inlineStr">
        <is>
          <t>IF(K161="","All_Districts",IFERROR(VLOOKUP(K161,'09_Lookups'!$E$4:$F$42,2,FALSE),"All_Districts"))</t>
        </is>
      </c>
    </row>
    <row r="162" ht="18" customHeight="1">
      <c r="A162" s="32" t="inlineStr">
        <is>
          <t>IF(F162="","",ROW()-3)</t>
        </is>
      </c>
      <c r="B162" s="33" t="inlineStr">
        <is>
          <t>AF2-IS-11</t>
        </is>
      </c>
      <c r="C162" s="33" t="inlineStr">
        <is>
          <t>Package #11-AF2 IS: Rehabilitation of Musahi Sufla canal irrigation schemes, located in Musahi districts of Kabul province.</t>
        </is>
      </c>
      <c r="D162" s="33" t="inlineStr">
        <is>
          <t>1 of 1</t>
        </is>
      </c>
      <c r="E162" s="34" t="inlineStr">
        <is>
          <t>AF2-IS-A-014</t>
        </is>
      </c>
      <c r="F162" s="34" t="inlineStr">
        <is>
          <t>Musahi Sufla Canal irrigation Scheme</t>
        </is>
      </c>
      <c r="G162" s="34" t="inlineStr">
        <is>
          <t>Irrigation Scheme</t>
        </is>
      </c>
      <c r="H162" s="34" t="inlineStr">
        <is>
          <t>Irrigation Canal</t>
        </is>
      </c>
      <c r="I162" s="34" t="inlineStr">
        <is>
          <t>Emergency Food Security Project (EFSP) – WBK/AF-2</t>
        </is>
      </c>
      <c r="J162" s="34" t="inlineStr">
        <is>
          <t>Central / Kabul</t>
        </is>
      </c>
      <c r="K162" s="34" t="inlineStr">
        <is>
          <t>Kabul</t>
        </is>
      </c>
      <c r="L162" s="34" t="inlineStr">
        <is>
          <t>Musahi</t>
        </is>
      </c>
      <c r="M162" s="34" t="inlineStr">
        <is>
          <t>Musahi Sufla</t>
        </is>
      </c>
      <c r="N162" s="34" t="inlineStr">
        <is>
          <t>World Bank (WBK/AF-2)</t>
        </is>
      </c>
      <c r="O162" s="34" t="inlineStr">
        <is>
          <t>Awarded</t>
        </is>
      </c>
      <c r="P162" s="34" t="inlineStr">
        <is>
          <t>1.Awarded contracts_On&amp;off-farm</t>
        </is>
      </c>
      <c r="Q162" s="34" t="inlineStr">
        <is>
          <t>Seddiq Amini Construction and Logistic Services (SACC)</t>
        </is>
      </c>
      <c r="R162" s="34" t="inlineStr">
        <is>
          <t>056/2025</t>
        </is>
      </c>
      <c r="S162" s="35" t="n">
        <v>196473.81</v>
      </c>
      <c r="T162" s="36" t="inlineStr">
        <is>
          <t>IF(AQ162="","",AQ162)</t>
        </is>
      </c>
      <c r="U162" s="37" t="n"/>
      <c r="V162" s="38" t="n">
        <v>12</v>
      </c>
      <c r="W162" s="37" t="n">
        <v>46321</v>
      </c>
      <c r="X162" s="36" t="inlineStr">
        <is>
          <t>IF(W162&lt;&gt;"",W162,IF(OR(T162="",V162=""),"",EDATE(T162,V162)))</t>
        </is>
      </c>
      <c r="Y162" s="37" t="n"/>
      <c r="Z162" s="38" t="n">
        <v>98</v>
      </c>
      <c r="AA162" s="34" t="inlineStr">
        <is>
          <t>Under Construction</t>
        </is>
      </c>
      <c r="AB162" s="34" t="inlineStr">
        <is>
          <t>on track and will be completed in Oct. 2026</t>
        </is>
      </c>
      <c r="AC162" s="32" t="inlineStr">
        <is>
          <t>IF(F162="","",IF(COUNT(AI162:AV162)=0,IF(AA162="","Not started",AA162),SUBSTITUTE(LOOKUP(2,1/(AI162:AV162&lt;&gt;""),$AI$3:$AV$3),"Date: ","")))</t>
        </is>
      </c>
      <c r="AD162" s="39" t="inlineStr">
        <is>
          <t>IF(OR(F162="",COUNT(AI162:AV162)=0),"",TODAY()-LOOKUP(2,1/(AI162:AV162&lt;&gt;""),AI162:AV162))</t>
        </is>
      </c>
      <c r="AE162" s="39" t="inlineStr">
        <is>
          <t>IF(OR(F162="",COUNT(AI162:AV162)&lt;2),"",LOOKUP(2,1/(AI162:AV162&lt;&gt;""),AI162:AV162)-MIN(AI162:AV162))</t>
        </is>
      </c>
      <c r="AF162" s="39" t="inlineStr">
        <is>
          <t>IF(OR(AD162="",AC162="Not started",AC162=""),"",IFERROR(AD162-IF(VLOOKUP(AC162,'06_Status_Pipeline'!$B$3:$E$20,4,FALSE)="",0,VLOOKUP(AC162,'06_Status_Pipeline'!$B$3:$E$20,4,FALSE)),""))</t>
        </is>
      </c>
      <c r="AG162" s="32" t="inlineStr">
        <is>
          <t>IF(F162="","",IF(OR(AA162="Cancelled",AC162="Cancelled"),"Cancelled",IF(OR(AC162="Completed / Handover",Y162&lt;&gt;"",Z162&gt;=100),"Completed — on track",IF(O162="Not awarded",IF(U162="",IF(X162="","No planned date",IF(TODAY()&gt;X162,"Behind — past planned date",IF(X162-TODAY()&lt;=30,"At risk — close to off track","On track"))),IF(TODAY()&gt;U162,"Behind — award date passed",IF(U162-TODAY()&lt;=30,"At risk — close to off track","On track"))),IF(X162="","No planned date",IF(AND(TODAY()&gt;X162,OR(Z162="",Z162&lt;100)),"Behind — past end date",IF(AND(T162&lt;&gt;"",X162&lt;&gt;"",Z162&lt;&gt;"",(Z162&lt;100),((TODAY()-T162)/MAX(X162-T162,1)*100)-Z162&gt;15),"Behind — progress lag",IF(AND(X162-TODAY()&lt;=30,X162-TODAY()&gt;=0,OR(Z162="",Z162&lt;90)),"At risk — close to off track","On track"))))))))</t>
        </is>
      </c>
      <c r="AH162" s="39" t="inlineStr">
        <is>
          <t>IF(OR(F162="",AC162="Completed / Handover",AC162="Cancelled"),"",IF(O162="Not awarded",IF(U162&lt;&gt;"",U162-TODAY(),IF(X162="","",X162-TODAY())),IF(X162="","",X162-TODAY())))</t>
        </is>
      </c>
      <c r="AI162" s="66" t="n"/>
      <c r="AJ162" s="66" t="n"/>
      <c r="AK162" s="66" t="n"/>
      <c r="AL162" s="66" t="n"/>
      <c r="AM162" s="66" t="n"/>
      <c r="AN162" s="66" t="n"/>
      <c r="AO162" s="66" t="n"/>
      <c r="AP162" s="66" t="n"/>
      <c r="AQ162" s="66" t="n">
        <v>45957</v>
      </c>
      <c r="AR162" s="66" t="n">
        <v>45957</v>
      </c>
      <c r="AS162" s="66" t="n"/>
      <c r="AT162" s="40" t="n"/>
      <c r="AU162" s="40" t="n"/>
      <c r="AV162" s="40" t="n"/>
      <c r="AW162" s="39" t="inlineStr">
        <is>
          <t>IF(OR(F162="",AJ162=""),"",IF(COUNT(AI162:AI162)=0,"",AJ162-LOOKUP(2,1/(AI162:AI162&lt;&gt;""),AI162:AI162)))</t>
        </is>
      </c>
      <c r="AX162" s="39" t="inlineStr">
        <is>
          <t>IF(OR(F162="",AK162=""),"",IF(COUNT(AI162:AJ162)=0,"",AK162-LOOKUP(2,1/(AI162:AJ162&lt;&gt;""),AI162:AJ162)))</t>
        </is>
      </c>
      <c r="AY162" s="39" t="inlineStr">
        <is>
          <t>IF(OR(F162="",AL162=""),"",IF(COUNT(AI162:AK162)=0,"",AL162-LOOKUP(2,1/(AI162:AK162&lt;&gt;""),AI162:AK162)))</t>
        </is>
      </c>
      <c r="AZ162" s="39" t="inlineStr">
        <is>
          <t>IF(OR(F162="",AM162=""),"",IF(COUNT(AI162:AL162)=0,"",AM162-LOOKUP(2,1/(AI162:AL162&lt;&gt;""),AI162:AL162)))</t>
        </is>
      </c>
      <c r="BA162" s="39" t="inlineStr">
        <is>
          <t>IF(OR(F162="",AN162=""),"",IF(COUNT(AI162:AM162)=0,"",AN162-LOOKUP(2,1/(AI162:AM162&lt;&gt;""),AI162:AM162)))</t>
        </is>
      </c>
      <c r="BB162" s="39" t="inlineStr">
        <is>
          <t>IF(OR(F162="",AO162=""),"",IF(COUNT(AI162:AN162)=0,"",AO162-LOOKUP(2,1/(AI162:AN162&lt;&gt;""),AI162:AN162)))</t>
        </is>
      </c>
      <c r="BC162" s="39" t="inlineStr">
        <is>
          <t>IF(OR(F162="",AP162=""),"",IF(COUNT(AI162:AO162)=0,"",AP162-LOOKUP(2,1/(AI162:AO162&lt;&gt;""),AI162:AO162)))</t>
        </is>
      </c>
      <c r="BD162" s="39" t="inlineStr">
        <is>
          <t>IF(OR(F162="",AQ162=""),"",IF(COUNT(AI162:AP162)=0,"",AQ162-LOOKUP(2,1/(AI162:AP162&lt;&gt;""),AI162:AP162)))</t>
        </is>
      </c>
      <c r="BE162" s="39" t="inlineStr">
        <is>
          <t>IF(OR(F162="",AR162=""),"",IF(COUNT(AI162:AQ162)=0,"",AR162-LOOKUP(2,1/(AI162:AQ162&lt;&gt;""),AI162:AQ162)))</t>
        </is>
      </c>
      <c r="BF162" s="39" t="inlineStr">
        <is>
          <t>IF(OR(F162="",AS162=""),"",IF(COUNT(AI162:AR162)=0,"",AS162-LOOKUP(2,1/(AI162:AR162&lt;&gt;""),AI162:AR162)))</t>
        </is>
      </c>
      <c r="BG162" s="39" t="inlineStr">
        <is>
          <t>IF(OR(F162="",AT162=""),"",IF(COUNT(AI162:AS162)=0,"",AT162-LOOKUP(2,1/(AI162:AS162&lt;&gt;""),AI162:AS162)))</t>
        </is>
      </c>
      <c r="BH162" s="39" t="inlineStr">
        <is>
          <t>IF(OR(F162="",AU162=""),"",IF(COUNT(AI162:AT162)=0,"",AU162-LOOKUP(2,1/(AI162:AT162&lt;&gt;""),AI162:AT162)))</t>
        </is>
      </c>
      <c r="BI162" s="39" t="inlineStr">
        <is>
          <t>IF(OR(F162="",AV162=""),"",IF(COUNT(AI162:AU162)=0,"",AV162-LOOKUP(2,1/(AI162:AU162&lt;&gt;""),AI162:AU162)))</t>
        </is>
      </c>
      <c r="BJ162" s="41" t="inlineStr">
        <is>
          <t>IF(J162="","All_Provinces",IFERROR(VLOOKUP(J162,'09_Lookups'!$A$4:$B$20,2,FALSE),"All_Provinces"))</t>
        </is>
      </c>
      <c r="BK162" s="41" t="inlineStr">
        <is>
          <t>IF(K162="","All_Districts",IFERROR(VLOOKUP(K162,'09_Lookups'!$E$4:$F$42,2,FALSE),"All_Districts"))</t>
        </is>
      </c>
    </row>
    <row r="163" ht="18" customHeight="1">
      <c r="A163" s="32" t="inlineStr">
        <is>
          <t>IF(F163="","",ROW()-3)</t>
        </is>
      </c>
      <c r="B163" s="56" t="inlineStr">
        <is>
          <t>AF2-IS-12</t>
        </is>
      </c>
      <c r="C163" s="56" t="inlineStr">
        <is>
          <t>Package #12-AF2 IS: Rehabilitation of Tapa-e-Ahmad Big canal and Shahre Beland canal irrigation schemes, located in Nijrab and Paryan districts of Kapisa and Panjsher provinces.</t>
        </is>
      </c>
      <c r="D163" s="56" t="inlineStr">
        <is>
          <t>1 of 2</t>
        </is>
      </c>
      <c r="E163" s="57" t="inlineStr">
        <is>
          <t>AF2-IS-N-007</t>
        </is>
      </c>
      <c r="F163" s="57" t="inlineStr">
        <is>
          <t>Shahre Beland Canal irrigation Scheme</t>
        </is>
      </c>
      <c r="G163" s="57" t="inlineStr">
        <is>
          <t>Irrigation Scheme</t>
        </is>
      </c>
      <c r="H163" s="57" t="inlineStr">
        <is>
          <t>Irrigation Canal</t>
        </is>
      </c>
      <c r="I163" s="57" t="inlineStr">
        <is>
          <t>Emergency Food Security Project (EFSP) – WBK/AF-2</t>
        </is>
      </c>
      <c r="J163" s="57" t="inlineStr">
        <is>
          <t>Central / Kabul</t>
        </is>
      </c>
      <c r="K163" s="57" t="inlineStr">
        <is>
          <t>Panjshir</t>
        </is>
      </c>
      <c r="L163" s="57" t="inlineStr">
        <is>
          <t>Paryan</t>
        </is>
      </c>
      <c r="M163" s="57" t="inlineStr">
        <is>
          <t>Shahre Beland</t>
        </is>
      </c>
      <c r="N163" s="57" t="inlineStr">
        <is>
          <t>World Bank (WBK/AF-2)</t>
        </is>
      </c>
      <c r="O163" s="57" t="inlineStr">
        <is>
          <t>Not awarded</t>
        </is>
      </c>
      <c r="P163" s="57" t="inlineStr">
        <is>
          <t>2.Remain contracts_On&amp;off-farm</t>
        </is>
      </c>
      <c r="Q163" s="57" t="inlineStr"/>
      <c r="R163" s="57" t="inlineStr"/>
      <c r="S163" s="58" t="n">
        <v>191270</v>
      </c>
      <c r="T163" s="36" t="inlineStr">
        <is>
          <t>IF(AQ163="","",AQ163)</t>
        </is>
      </c>
      <c r="U163" s="59" t="n">
        <v>46327</v>
      </c>
      <c r="V163" s="60" t="n">
        <v>8.9</v>
      </c>
      <c r="W163" s="59" t="n">
        <v>46597</v>
      </c>
      <c r="X163" s="36" t="inlineStr">
        <is>
          <t>IF(W163&lt;&gt;"",W163,IF(OR(T163="",V163=""),"",EDATE(T163,V163)))</t>
        </is>
      </c>
      <c r="Y163" s="59" t="n"/>
      <c r="Z163" s="60" t="n"/>
      <c r="AA163" s="57" t="inlineStr">
        <is>
          <t>Under Technical Evaluation</t>
        </is>
      </c>
      <c r="AB163" s="57" t="inlineStr">
        <is>
          <t>Four months slack period Dec-Mar during winter. Five months construction period required for two canals</t>
        </is>
      </c>
      <c r="AC163" s="32" t="inlineStr">
        <is>
          <t>IF(F163="","",IF(COUNT(AI163:AV163)=0,IF(AA163="","Not started",AA163),SUBSTITUTE(LOOKUP(2,1/(AI163:AV163&lt;&gt;""),$AI$3:$AV$3),"Date: ","")))</t>
        </is>
      </c>
      <c r="AD163" s="39" t="inlineStr">
        <is>
          <t>IF(OR(F163="",COUNT(AI163:AV163)=0),"",TODAY()-LOOKUP(2,1/(AI163:AV163&lt;&gt;""),AI163:AV163))</t>
        </is>
      </c>
      <c r="AE163" s="39" t="inlineStr">
        <is>
          <t>IF(OR(F163="",COUNT(AI163:AV163)&lt;2),"",LOOKUP(2,1/(AI163:AV163&lt;&gt;""),AI163:AV163)-MIN(AI163:AV163))</t>
        </is>
      </c>
      <c r="AF163" s="39" t="inlineStr">
        <is>
          <t>IF(OR(AD163="",AC163="Not started",AC163=""),"",IFERROR(AD163-IF(VLOOKUP(AC163,'06_Status_Pipeline'!$B$3:$E$20,4,FALSE)="",0,VLOOKUP(AC163,'06_Status_Pipeline'!$B$3:$E$20,4,FALSE)),""))</t>
        </is>
      </c>
      <c r="AG163" s="32" t="inlineStr">
        <is>
          <t>IF(F163="","",IF(OR(AA163="Cancelled",AC163="Cancelled"),"Cancelled",IF(OR(AC163="Completed / Handover",Y163&lt;&gt;"",Z163&gt;=100),"Completed — on track",IF(O163="Not awarded",IF(U163="",IF(X163="","No planned date",IF(TODAY()&gt;X163,"Behind — past planned date",IF(X163-TODAY()&lt;=30,"At risk — close to off track","On track"))),IF(TODAY()&gt;U163,"Behind — award date passed",IF(U163-TODAY()&lt;=30,"At risk — close to off track","On track"))),IF(X163="","No planned date",IF(AND(TODAY()&gt;X163,OR(Z163="",Z163&lt;100)),"Behind — past end date",IF(AND(T163&lt;&gt;"",X163&lt;&gt;"",Z163&lt;&gt;"",(Z163&lt;100),((TODAY()-T163)/MAX(X163-T163,1)*100)-Z163&gt;15),"Behind — progress lag",IF(AND(X163-TODAY()&lt;=30,X163-TODAY()&gt;=0,OR(Z163="",Z163&lt;90)),"At risk — close to off track","On track"))))))))</t>
        </is>
      </c>
      <c r="AH163" s="39" t="inlineStr">
        <is>
          <t>IF(OR(F163="",AC163="Completed / Handover",AC163="Cancelled"),"",IF(O163="Not awarded",IF(U163&lt;&gt;"",U163-TODAY(),IF(X163="","",X163-TODAY())),IF(X163="","",X163-TODAY())))</t>
        </is>
      </c>
      <c r="AI163" s="59" t="n"/>
      <c r="AJ163" s="59" t="n"/>
      <c r="AK163" s="59" t="n"/>
      <c r="AL163" s="59" t="n"/>
      <c r="AM163" s="59" t="n"/>
      <c r="AN163" s="59" t="n"/>
      <c r="AO163" s="59" t="n"/>
      <c r="AP163" s="59" t="n"/>
      <c r="AQ163" s="59" t="n"/>
      <c r="AR163" s="59" t="n"/>
      <c r="AS163" s="59" t="n"/>
      <c r="AT163" s="40" t="n"/>
      <c r="AU163" s="40" t="n"/>
      <c r="AV163" s="40" t="n"/>
      <c r="AW163" s="39" t="inlineStr">
        <is>
          <t>IF(OR(F163="",AJ163=""),"",IF(COUNT(AI163:AI163)=0,"",AJ163-LOOKUP(2,1/(AI163:AI163&lt;&gt;""),AI163:AI163)))</t>
        </is>
      </c>
      <c r="AX163" s="39" t="inlineStr">
        <is>
          <t>IF(OR(F163="",AK163=""),"",IF(COUNT(AI163:AJ163)=0,"",AK163-LOOKUP(2,1/(AI163:AJ163&lt;&gt;""),AI163:AJ163)))</t>
        </is>
      </c>
      <c r="AY163" s="39" t="inlineStr">
        <is>
          <t>IF(OR(F163="",AL163=""),"",IF(COUNT(AI163:AK163)=0,"",AL163-LOOKUP(2,1/(AI163:AK163&lt;&gt;""),AI163:AK163)))</t>
        </is>
      </c>
      <c r="AZ163" s="39" t="inlineStr">
        <is>
          <t>IF(OR(F163="",AM163=""),"",IF(COUNT(AI163:AL163)=0,"",AM163-LOOKUP(2,1/(AI163:AL163&lt;&gt;""),AI163:AL163)))</t>
        </is>
      </c>
      <c r="BA163" s="39" t="inlineStr">
        <is>
          <t>IF(OR(F163="",AN163=""),"",IF(COUNT(AI163:AM163)=0,"",AN163-LOOKUP(2,1/(AI163:AM163&lt;&gt;""),AI163:AM163)))</t>
        </is>
      </c>
      <c r="BB163" s="39" t="inlineStr">
        <is>
          <t>IF(OR(F163="",AO163=""),"",IF(COUNT(AI163:AN163)=0,"",AO163-LOOKUP(2,1/(AI163:AN163&lt;&gt;""),AI163:AN163)))</t>
        </is>
      </c>
      <c r="BC163" s="39" t="inlineStr">
        <is>
          <t>IF(OR(F163="",AP163=""),"",IF(COUNT(AI163:AO163)=0,"",AP163-LOOKUP(2,1/(AI163:AO163&lt;&gt;""),AI163:AO163)))</t>
        </is>
      </c>
      <c r="BD163" s="39" t="inlineStr">
        <is>
          <t>IF(OR(F163="",AQ163=""),"",IF(COUNT(AI163:AP163)=0,"",AQ163-LOOKUP(2,1/(AI163:AP163&lt;&gt;""),AI163:AP163)))</t>
        </is>
      </c>
      <c r="BE163" s="39" t="inlineStr">
        <is>
          <t>IF(OR(F163="",AR163=""),"",IF(COUNT(AI163:AQ163)=0,"",AR163-LOOKUP(2,1/(AI163:AQ163&lt;&gt;""),AI163:AQ163)))</t>
        </is>
      </c>
      <c r="BF163" s="39" t="inlineStr">
        <is>
          <t>IF(OR(F163="",AS163=""),"",IF(COUNT(AI163:AR163)=0,"",AS163-LOOKUP(2,1/(AI163:AR163&lt;&gt;""),AI163:AR163)))</t>
        </is>
      </c>
      <c r="BG163" s="39" t="inlineStr">
        <is>
          <t>IF(OR(F163="",AT163=""),"",IF(COUNT(AI163:AS163)=0,"",AT163-LOOKUP(2,1/(AI163:AS163&lt;&gt;""),AI163:AS163)))</t>
        </is>
      </c>
      <c r="BH163" s="39" t="inlineStr">
        <is>
          <t>IF(OR(F163="",AU163=""),"",IF(COUNT(AI163:AT163)=0,"",AU163-LOOKUP(2,1/(AI163:AT163&lt;&gt;""),AI163:AT163)))</t>
        </is>
      </c>
      <c r="BI163" s="39" t="inlineStr">
        <is>
          <t>IF(OR(F163="",AV163=""),"",IF(COUNT(AI163:AU163)=0,"",AV163-LOOKUP(2,1/(AI163:AU163&lt;&gt;""),AI163:AU163)))</t>
        </is>
      </c>
      <c r="BJ163" s="41" t="inlineStr">
        <is>
          <t>IF(J163="","All_Provinces",IFERROR(VLOOKUP(J163,'09_Lookups'!$A$4:$B$20,2,FALSE),"All_Provinces"))</t>
        </is>
      </c>
      <c r="BK163" s="41" t="inlineStr">
        <is>
          <t>IF(K163="","All_Districts",IFERROR(VLOOKUP(K163,'09_Lookups'!$E$4:$F$42,2,FALSE),"All_Districts"))</t>
        </is>
      </c>
    </row>
    <row r="164" outlineLevel="1" ht="18" customHeight="1">
      <c r="A164" s="42" t="inlineStr">
        <is>
          <t>IF(F164="","",ROW()-3)</t>
        </is>
      </c>
      <c r="B164" s="61" t="inlineStr">
        <is>
          <t>AF2-IS-12</t>
        </is>
      </c>
      <c r="C164" s="61" t="inlineStr">
        <is>
          <t>Package #12-AF2 IS: Rehabilitation of Tapa-e-Ahmad Big canal and Shahre Beland canal irrigation schemes, located in Nijrab and Paryan districts of Kapisa and Panjsher provinces.</t>
        </is>
      </c>
      <c r="D164" s="61" t="inlineStr">
        <is>
          <t>2 of 2</t>
        </is>
      </c>
      <c r="E164" s="52" t="inlineStr">
        <is>
          <t>AF2-IS-N-008</t>
        </is>
      </c>
      <c r="F164" s="52" t="inlineStr">
        <is>
          <t>Tapa e- Ahmad Big Canal</t>
        </is>
      </c>
      <c r="G164" s="52" t="inlineStr">
        <is>
          <t>Irrigation Scheme</t>
        </is>
      </c>
      <c r="H164" s="52" t="inlineStr">
        <is>
          <t>Irrigation Canal</t>
        </is>
      </c>
      <c r="I164" s="52" t="inlineStr">
        <is>
          <t>Emergency Food Security Project (EFSP) – WBK/AF-2</t>
        </is>
      </c>
      <c r="J164" s="52" t="inlineStr">
        <is>
          <t>Central / Kabul</t>
        </is>
      </c>
      <c r="K164" s="52" t="inlineStr">
        <is>
          <t>Kapisa</t>
        </is>
      </c>
      <c r="L164" s="52" t="inlineStr">
        <is>
          <t>Nijrab</t>
        </is>
      </c>
      <c r="M164" s="52" t="inlineStr">
        <is>
          <t>Tapa e Ahmad Big, Shahre Naw</t>
        </is>
      </c>
      <c r="N164" s="52" t="inlineStr">
        <is>
          <t>World Bank (WBK/AF-2)</t>
        </is>
      </c>
      <c r="O164" s="52" t="inlineStr">
        <is>
          <t>Not awarded</t>
        </is>
      </c>
      <c r="P164" s="52" t="inlineStr">
        <is>
          <t>2.Remain contracts_On&amp;off-farm</t>
        </is>
      </c>
      <c r="Q164" s="52" t="inlineStr"/>
      <c r="R164" s="52" t="inlineStr"/>
      <c r="S164" s="53" t="n">
        <v>191270</v>
      </c>
      <c r="T164" s="46" t="inlineStr">
        <is>
          <t>IF(AQ164="","",AQ164)</t>
        </is>
      </c>
      <c r="U164" s="54" t="n">
        <v>46327</v>
      </c>
      <c r="V164" s="55" t="n">
        <v>8.9</v>
      </c>
      <c r="W164" s="54" t="n">
        <v>46597</v>
      </c>
      <c r="X164" s="46" t="inlineStr">
        <is>
          <t>IF(W164&lt;&gt;"",W164,IF(OR(T164="",V164=""),"",EDATE(T164,V164)))</t>
        </is>
      </c>
      <c r="Y164" s="54" t="n"/>
      <c r="Z164" s="55" t="n"/>
      <c r="AA164" s="52" t="inlineStr">
        <is>
          <t>Under Technical Evaluation</t>
        </is>
      </c>
      <c r="AB164" s="52" t="inlineStr">
        <is>
          <t>Four months slack period Dec-Mar during winter. Five months construction period required for two canals</t>
        </is>
      </c>
      <c r="AC164" s="42" t="inlineStr">
        <is>
          <t>IF(F164="","",IF(COUNT(AI164:AV164)=0,IF(AA164="","Not started",AA164),SUBSTITUTE(LOOKUP(2,1/(AI164:AV164&lt;&gt;""),$AI$3:$AV$3),"Date: ","")))</t>
        </is>
      </c>
      <c r="AD164" s="49" t="inlineStr">
        <is>
          <t>IF(OR(F164="",COUNT(AI164:AV164)=0),"",TODAY()-LOOKUP(2,1/(AI164:AV164&lt;&gt;""),AI164:AV164))</t>
        </is>
      </c>
      <c r="AE164" s="49" t="inlineStr">
        <is>
          <t>IF(OR(F164="",COUNT(AI164:AV164)&lt;2),"",LOOKUP(2,1/(AI164:AV164&lt;&gt;""),AI164:AV164)-MIN(AI164:AV164))</t>
        </is>
      </c>
      <c r="AF164" s="49" t="inlineStr">
        <is>
          <t>IF(OR(AD164="",AC164="Not started",AC164=""),"",IFERROR(AD164-IF(VLOOKUP(AC164,'06_Status_Pipeline'!$B$3:$E$20,4,FALSE)="",0,VLOOKUP(AC164,'06_Status_Pipeline'!$B$3:$E$20,4,FALSE)),""))</t>
        </is>
      </c>
      <c r="AG164" s="42" t="inlineStr">
        <is>
          <t>IF(F164="","",IF(OR(AA164="Cancelled",AC164="Cancelled"),"Cancelled",IF(OR(AC164="Completed / Handover",Y164&lt;&gt;"",Z164&gt;=100),"Completed — on track",IF(O164="Not awarded",IF(U164="",IF(X164="","No planned date",IF(TODAY()&gt;X164,"Behind — past planned date",IF(X164-TODAY()&lt;=30,"At risk — close to off track","On track"))),IF(TODAY()&gt;U164,"Behind — award date passed",IF(U164-TODAY()&lt;=30,"At risk — close to off track","On track"))),IF(X164="","No planned date",IF(AND(TODAY()&gt;X164,OR(Z164="",Z164&lt;100)),"Behind — past end date",IF(AND(T164&lt;&gt;"",X164&lt;&gt;"",Z164&lt;&gt;"",(Z164&lt;100),((TODAY()-T164)/MAX(X164-T164,1)*100)-Z164&gt;15),"Behind — progress lag",IF(AND(X164-TODAY()&lt;=30,X164-TODAY()&gt;=0,OR(Z164="",Z164&lt;90)),"At risk — close to off track","On track"))))))))</t>
        </is>
      </c>
      <c r="AH164" s="49" t="inlineStr">
        <is>
          <t>IF(OR(F164="",AC164="Completed / Handover",AC164="Cancelled"),"",IF(O164="Not awarded",IF(U164&lt;&gt;"",U164-TODAY(),IF(X164="","",X164-TODAY())),IF(X164="","",X164-TODAY())))</t>
        </is>
      </c>
      <c r="AI164" s="54" t="n"/>
      <c r="AJ164" s="54" t="n"/>
      <c r="AK164" s="54" t="n"/>
      <c r="AL164" s="54" t="n"/>
      <c r="AM164" s="54" t="n"/>
      <c r="AN164" s="54" t="n"/>
      <c r="AO164" s="54" t="n"/>
      <c r="AP164" s="54" t="n"/>
      <c r="AQ164" s="54" t="n"/>
      <c r="AR164" s="54" t="n"/>
      <c r="AS164" s="54" t="n"/>
      <c r="AT164" s="50" t="n"/>
      <c r="AU164" s="50" t="n"/>
      <c r="AV164" s="50" t="n"/>
      <c r="AW164" s="49" t="inlineStr">
        <is>
          <t>IF(OR(F164="",AJ164=""),"",IF(COUNT(AI164:AI164)=0,"",AJ164-LOOKUP(2,1/(AI164:AI164&lt;&gt;""),AI164:AI164)))</t>
        </is>
      </c>
      <c r="AX164" s="49" t="inlineStr">
        <is>
          <t>IF(OR(F164="",AK164=""),"",IF(COUNT(AI164:AJ164)=0,"",AK164-LOOKUP(2,1/(AI164:AJ164&lt;&gt;""),AI164:AJ164)))</t>
        </is>
      </c>
      <c r="AY164" s="49" t="inlineStr">
        <is>
          <t>IF(OR(F164="",AL164=""),"",IF(COUNT(AI164:AK164)=0,"",AL164-LOOKUP(2,1/(AI164:AK164&lt;&gt;""),AI164:AK164)))</t>
        </is>
      </c>
      <c r="AZ164" s="49" t="inlineStr">
        <is>
          <t>IF(OR(F164="",AM164=""),"",IF(COUNT(AI164:AL164)=0,"",AM164-LOOKUP(2,1/(AI164:AL164&lt;&gt;""),AI164:AL164)))</t>
        </is>
      </c>
      <c r="BA164" s="49" t="inlineStr">
        <is>
          <t>IF(OR(F164="",AN164=""),"",IF(COUNT(AI164:AM164)=0,"",AN164-LOOKUP(2,1/(AI164:AM164&lt;&gt;""),AI164:AM164)))</t>
        </is>
      </c>
      <c r="BB164" s="49" t="inlineStr">
        <is>
          <t>IF(OR(F164="",AO164=""),"",IF(COUNT(AI164:AN164)=0,"",AO164-LOOKUP(2,1/(AI164:AN164&lt;&gt;""),AI164:AN164)))</t>
        </is>
      </c>
      <c r="BC164" s="49" t="inlineStr">
        <is>
          <t>IF(OR(F164="",AP164=""),"",IF(COUNT(AI164:AO164)=0,"",AP164-LOOKUP(2,1/(AI164:AO164&lt;&gt;""),AI164:AO164)))</t>
        </is>
      </c>
      <c r="BD164" s="49" t="inlineStr">
        <is>
          <t>IF(OR(F164="",AQ164=""),"",IF(COUNT(AI164:AP164)=0,"",AQ164-LOOKUP(2,1/(AI164:AP164&lt;&gt;""),AI164:AP164)))</t>
        </is>
      </c>
      <c r="BE164" s="49" t="inlineStr">
        <is>
          <t>IF(OR(F164="",AR164=""),"",IF(COUNT(AI164:AQ164)=0,"",AR164-LOOKUP(2,1/(AI164:AQ164&lt;&gt;""),AI164:AQ164)))</t>
        </is>
      </c>
      <c r="BF164" s="49" t="inlineStr">
        <is>
          <t>IF(OR(F164="",AS164=""),"",IF(COUNT(AI164:AR164)=0,"",AS164-LOOKUP(2,1/(AI164:AR164&lt;&gt;""),AI164:AR164)))</t>
        </is>
      </c>
      <c r="BG164" s="49" t="inlineStr">
        <is>
          <t>IF(OR(F164="",AT164=""),"",IF(COUNT(AI164:AS164)=0,"",AT164-LOOKUP(2,1/(AI164:AS164&lt;&gt;""),AI164:AS164)))</t>
        </is>
      </c>
      <c r="BH164" s="49" t="inlineStr">
        <is>
          <t>IF(OR(F164="",AU164=""),"",IF(COUNT(AI164:AT164)=0,"",AU164-LOOKUP(2,1/(AI164:AT164&lt;&gt;""),AI164:AT164)))</t>
        </is>
      </c>
      <c r="BI164" s="49" t="inlineStr">
        <is>
          <t>IF(OR(F164="",AV164=""),"",IF(COUNT(AI164:AU164)=0,"",AV164-LOOKUP(2,1/(AI164:AU164&lt;&gt;""),AI164:AU164)))</t>
        </is>
      </c>
      <c r="BJ164" s="51" t="inlineStr">
        <is>
          <t>IF(J164="","All_Provinces",IFERROR(VLOOKUP(J164,'09_Lookups'!$A$4:$B$20,2,FALSE),"All_Provinces"))</t>
        </is>
      </c>
      <c r="BK164" s="51" t="inlineStr">
        <is>
          <t>IF(K164="","All_Districts",IFERROR(VLOOKUP(K164,'09_Lookups'!$E$4:$F$42,2,FALSE),"All_Districts"))</t>
        </is>
      </c>
    </row>
    <row r="165" ht="18" customHeight="1">
      <c r="A165" s="32" t="inlineStr">
        <is>
          <t>IF(F165="","",ROW()-3)</t>
        </is>
      </c>
      <c r="B165" s="62" t="inlineStr">
        <is>
          <t>AF2-IS-13</t>
        </is>
      </c>
      <c r="C165" s="62" t="inlineStr">
        <is>
          <t>Package #13-AF2 IS: Rehabilitation of Kamar China canal, Khenkot canal, and Zargara irrigation schemes, located in Sarobi, Chahar Asiab and Paghman districts of Kabul province.</t>
        </is>
      </c>
      <c r="D165" s="62" t="inlineStr">
        <is>
          <t>1 of 3</t>
        </is>
      </c>
      <c r="E165" s="57" t="inlineStr">
        <is>
          <t>AF2-IS-N-009</t>
        </is>
      </c>
      <c r="F165" s="57" t="inlineStr">
        <is>
          <t>Kamar China Canal irrigation Scheme</t>
        </is>
      </c>
      <c r="G165" s="57" t="inlineStr">
        <is>
          <t>Irrigation Scheme</t>
        </is>
      </c>
      <c r="H165" s="57" t="inlineStr">
        <is>
          <t>Irrigation Canal</t>
        </is>
      </c>
      <c r="I165" s="57" t="inlineStr">
        <is>
          <t>Emergency Food Security Project (EFSP) – WBK/AF-2</t>
        </is>
      </c>
      <c r="J165" s="57" t="inlineStr">
        <is>
          <t>Central / Kabul</t>
        </is>
      </c>
      <c r="K165" s="57" t="inlineStr">
        <is>
          <t>Kabul</t>
        </is>
      </c>
      <c r="L165" s="57" t="inlineStr">
        <is>
          <t>Sarobi</t>
        </is>
      </c>
      <c r="M165" s="57" t="inlineStr">
        <is>
          <t>Warkhralah</t>
        </is>
      </c>
      <c r="N165" s="57" t="inlineStr">
        <is>
          <t>World Bank (WBK/AF-2)</t>
        </is>
      </c>
      <c r="O165" s="57" t="inlineStr">
        <is>
          <t>Not awarded</t>
        </is>
      </c>
      <c r="P165" s="57" t="inlineStr">
        <is>
          <t>2.Remain contracts_On&amp;off-farm</t>
        </is>
      </c>
      <c r="Q165" s="57" t="inlineStr"/>
      <c r="R165" s="57" t="inlineStr"/>
      <c r="S165" s="58" t="n">
        <v>290000</v>
      </c>
      <c r="T165" s="36" t="inlineStr">
        <is>
          <t>IF(AQ165="","",AQ165)</t>
        </is>
      </c>
      <c r="U165" s="59" t="n">
        <v>46336</v>
      </c>
      <c r="V165" s="60" t="n">
        <v>7.9</v>
      </c>
      <c r="W165" s="59" t="n">
        <v>46576</v>
      </c>
      <c r="X165" s="36" t="inlineStr">
        <is>
          <t>IF(W165&lt;&gt;"",W165,IF(OR(T165="",V165=""),"",EDATE(T165,V165)))</t>
        </is>
      </c>
      <c r="Y165" s="59" t="n"/>
      <c r="Z165" s="60" t="n"/>
      <c r="AA165" s="57" t="inlineStr">
        <is>
          <t>Under Technical Evaluation</t>
        </is>
      </c>
      <c r="AB165" s="57" t="inlineStr">
        <is>
          <t>Three months slack period Jan-Mar during winter. Five months construction period required for three canals</t>
        </is>
      </c>
      <c r="AC165" s="32" t="inlineStr">
        <is>
          <t>IF(F165="","",IF(COUNT(AI165:AV165)=0,IF(AA165="","Not started",AA165),SUBSTITUTE(LOOKUP(2,1/(AI165:AV165&lt;&gt;""),$AI$3:$AV$3),"Date: ","")))</t>
        </is>
      </c>
      <c r="AD165" s="39" t="inlineStr">
        <is>
          <t>IF(OR(F165="",COUNT(AI165:AV165)=0),"",TODAY()-LOOKUP(2,1/(AI165:AV165&lt;&gt;""),AI165:AV165))</t>
        </is>
      </c>
      <c r="AE165" s="39" t="inlineStr">
        <is>
          <t>IF(OR(F165="",COUNT(AI165:AV165)&lt;2),"",LOOKUP(2,1/(AI165:AV165&lt;&gt;""),AI165:AV165)-MIN(AI165:AV165))</t>
        </is>
      </c>
      <c r="AF165" s="39" t="inlineStr">
        <is>
          <t>IF(OR(AD165="",AC165="Not started",AC165=""),"",IFERROR(AD165-IF(VLOOKUP(AC165,'06_Status_Pipeline'!$B$3:$E$20,4,FALSE)="",0,VLOOKUP(AC165,'06_Status_Pipeline'!$B$3:$E$20,4,FALSE)),""))</t>
        </is>
      </c>
      <c r="AG165" s="32" t="inlineStr">
        <is>
          <t>IF(F165="","",IF(OR(AA165="Cancelled",AC165="Cancelled"),"Cancelled",IF(OR(AC165="Completed / Handover",Y165&lt;&gt;"",Z165&gt;=100),"Completed — on track",IF(O165="Not awarded",IF(U165="",IF(X165="","No planned date",IF(TODAY()&gt;X165,"Behind — past planned date",IF(X165-TODAY()&lt;=30,"At risk — close to off track","On track"))),IF(TODAY()&gt;U165,"Behind — award date passed",IF(U165-TODAY()&lt;=30,"At risk — close to off track","On track"))),IF(X165="","No planned date",IF(AND(TODAY()&gt;X165,OR(Z165="",Z165&lt;100)),"Behind — past end date",IF(AND(T165&lt;&gt;"",X165&lt;&gt;"",Z165&lt;&gt;"",(Z165&lt;100),((TODAY()-T165)/MAX(X165-T165,1)*100)-Z165&gt;15),"Behind — progress lag",IF(AND(X165-TODAY()&lt;=30,X165-TODAY()&gt;=0,OR(Z165="",Z165&lt;90)),"At risk — close to off track","On track"))))))))</t>
        </is>
      </c>
      <c r="AH165" s="39" t="inlineStr">
        <is>
          <t>IF(OR(F165="",AC165="Completed / Handover",AC165="Cancelled"),"",IF(O165="Not awarded",IF(U165&lt;&gt;"",U165-TODAY(),IF(X165="","",X165-TODAY())),IF(X165="","",X165-TODAY())))</t>
        </is>
      </c>
      <c r="AI165" s="59" t="n"/>
      <c r="AJ165" s="59" t="n"/>
      <c r="AK165" s="59" t="n"/>
      <c r="AL165" s="59" t="n"/>
      <c r="AM165" s="59" t="n"/>
      <c r="AN165" s="59" t="n"/>
      <c r="AO165" s="59" t="n"/>
      <c r="AP165" s="59" t="n"/>
      <c r="AQ165" s="59" t="n"/>
      <c r="AR165" s="59" t="n"/>
      <c r="AS165" s="59" t="n"/>
      <c r="AT165" s="40" t="n"/>
      <c r="AU165" s="40" t="n"/>
      <c r="AV165" s="40" t="n"/>
      <c r="AW165" s="39" t="inlineStr">
        <is>
          <t>IF(OR(F165="",AJ165=""),"",IF(COUNT(AI165:AI165)=0,"",AJ165-LOOKUP(2,1/(AI165:AI165&lt;&gt;""),AI165:AI165)))</t>
        </is>
      </c>
      <c r="AX165" s="39" t="inlineStr">
        <is>
          <t>IF(OR(F165="",AK165=""),"",IF(COUNT(AI165:AJ165)=0,"",AK165-LOOKUP(2,1/(AI165:AJ165&lt;&gt;""),AI165:AJ165)))</t>
        </is>
      </c>
      <c r="AY165" s="39" t="inlineStr">
        <is>
          <t>IF(OR(F165="",AL165=""),"",IF(COUNT(AI165:AK165)=0,"",AL165-LOOKUP(2,1/(AI165:AK165&lt;&gt;""),AI165:AK165)))</t>
        </is>
      </c>
      <c r="AZ165" s="39" t="inlineStr">
        <is>
          <t>IF(OR(F165="",AM165=""),"",IF(COUNT(AI165:AL165)=0,"",AM165-LOOKUP(2,1/(AI165:AL165&lt;&gt;""),AI165:AL165)))</t>
        </is>
      </c>
      <c r="BA165" s="39" t="inlineStr">
        <is>
          <t>IF(OR(F165="",AN165=""),"",IF(COUNT(AI165:AM165)=0,"",AN165-LOOKUP(2,1/(AI165:AM165&lt;&gt;""),AI165:AM165)))</t>
        </is>
      </c>
      <c r="BB165" s="39" t="inlineStr">
        <is>
          <t>IF(OR(F165="",AO165=""),"",IF(COUNT(AI165:AN165)=0,"",AO165-LOOKUP(2,1/(AI165:AN165&lt;&gt;""),AI165:AN165)))</t>
        </is>
      </c>
      <c r="BC165" s="39" t="inlineStr">
        <is>
          <t>IF(OR(F165="",AP165=""),"",IF(COUNT(AI165:AO165)=0,"",AP165-LOOKUP(2,1/(AI165:AO165&lt;&gt;""),AI165:AO165)))</t>
        </is>
      </c>
      <c r="BD165" s="39" t="inlineStr">
        <is>
          <t>IF(OR(F165="",AQ165=""),"",IF(COUNT(AI165:AP165)=0,"",AQ165-LOOKUP(2,1/(AI165:AP165&lt;&gt;""),AI165:AP165)))</t>
        </is>
      </c>
      <c r="BE165" s="39" t="inlineStr">
        <is>
          <t>IF(OR(F165="",AR165=""),"",IF(COUNT(AI165:AQ165)=0,"",AR165-LOOKUP(2,1/(AI165:AQ165&lt;&gt;""),AI165:AQ165)))</t>
        </is>
      </c>
      <c r="BF165" s="39" t="inlineStr">
        <is>
          <t>IF(OR(F165="",AS165=""),"",IF(COUNT(AI165:AR165)=0,"",AS165-LOOKUP(2,1/(AI165:AR165&lt;&gt;""),AI165:AR165)))</t>
        </is>
      </c>
      <c r="BG165" s="39" t="inlineStr">
        <is>
          <t>IF(OR(F165="",AT165=""),"",IF(COUNT(AI165:AS165)=0,"",AT165-LOOKUP(2,1/(AI165:AS165&lt;&gt;""),AI165:AS165)))</t>
        </is>
      </c>
      <c r="BH165" s="39" t="inlineStr">
        <is>
          <t>IF(OR(F165="",AU165=""),"",IF(COUNT(AI165:AT165)=0,"",AU165-LOOKUP(2,1/(AI165:AT165&lt;&gt;""),AI165:AT165)))</t>
        </is>
      </c>
      <c r="BI165" s="39" t="inlineStr">
        <is>
          <t>IF(OR(F165="",AV165=""),"",IF(COUNT(AI165:AU165)=0,"",AV165-LOOKUP(2,1/(AI165:AU165&lt;&gt;""),AI165:AU165)))</t>
        </is>
      </c>
      <c r="BJ165" s="41" t="inlineStr">
        <is>
          <t>IF(J165="","All_Provinces",IFERROR(VLOOKUP(J165,'09_Lookups'!$A$4:$B$20,2,FALSE),"All_Provinces"))</t>
        </is>
      </c>
      <c r="BK165" s="41" t="inlineStr">
        <is>
          <t>IF(K165="","All_Districts",IFERROR(VLOOKUP(K165,'09_Lookups'!$E$4:$F$42,2,FALSE),"All_Districts"))</t>
        </is>
      </c>
    </row>
    <row r="166" outlineLevel="1" ht="18" customHeight="1">
      <c r="A166" s="42" t="inlineStr">
        <is>
          <t>IF(F166="","",ROW()-3)</t>
        </is>
      </c>
      <c r="B166" s="63" t="inlineStr">
        <is>
          <t>AF2-IS-13</t>
        </is>
      </c>
      <c r="C166" s="63" t="inlineStr">
        <is>
          <t>Package #13-AF2 IS: Rehabilitation of Kamar China canal, Khenkot canal, and Zargara irrigation schemes, located in Sarobi, Chahar Asiab and Paghman districts of Kabul province.</t>
        </is>
      </c>
      <c r="D166" s="63" t="inlineStr">
        <is>
          <t>2 of 3</t>
        </is>
      </c>
      <c r="E166" s="52" t="inlineStr">
        <is>
          <t>AF2-IS-N-010</t>
        </is>
      </c>
      <c r="F166" s="52" t="inlineStr">
        <is>
          <t>Khenkot irrigation Scheme</t>
        </is>
      </c>
      <c r="G166" s="52" t="inlineStr">
        <is>
          <t>Irrigation Scheme</t>
        </is>
      </c>
      <c r="H166" s="52" t="inlineStr">
        <is>
          <t>Irrigation Canal</t>
        </is>
      </c>
      <c r="I166" s="52" t="inlineStr">
        <is>
          <t>Emergency Food Security Project (EFSP) – WBK/AF-2</t>
        </is>
      </c>
      <c r="J166" s="52" t="inlineStr">
        <is>
          <t>Central / Kabul</t>
        </is>
      </c>
      <c r="K166" s="52" t="inlineStr"/>
      <c r="L166" s="52" t="inlineStr">
        <is>
          <t>Chahar Asiab</t>
        </is>
      </c>
      <c r="M166" s="52" t="inlineStr">
        <is>
          <t>Shah Toot</t>
        </is>
      </c>
      <c r="N166" s="52" t="inlineStr">
        <is>
          <t>World Bank (WBK/AF-2)</t>
        </is>
      </c>
      <c r="O166" s="52" t="inlineStr">
        <is>
          <t>Not awarded</t>
        </is>
      </c>
      <c r="P166" s="52" t="inlineStr">
        <is>
          <t>2.Remain contracts_On&amp;off-farm</t>
        </is>
      </c>
      <c r="Q166" s="52" t="inlineStr"/>
      <c r="R166" s="52" t="inlineStr"/>
      <c r="S166" s="53" t="n">
        <v>290000</v>
      </c>
      <c r="T166" s="46" t="inlineStr">
        <is>
          <t>IF(AQ166="","",AQ166)</t>
        </is>
      </c>
      <c r="U166" s="54" t="n">
        <v>46336</v>
      </c>
      <c r="V166" s="55" t="n">
        <v>7.9</v>
      </c>
      <c r="W166" s="54" t="n">
        <v>46576</v>
      </c>
      <c r="X166" s="46" t="inlineStr">
        <is>
          <t>IF(W166&lt;&gt;"",W166,IF(OR(T166="",V166=""),"",EDATE(T166,V166)))</t>
        </is>
      </c>
      <c r="Y166" s="54" t="n"/>
      <c r="Z166" s="55" t="n"/>
      <c r="AA166" s="52" t="inlineStr">
        <is>
          <t>Under Technical Evaluation</t>
        </is>
      </c>
      <c r="AB166" s="52" t="inlineStr">
        <is>
          <t>Three months slack period Jan-Mar during winter. Five months construction period required for three canals</t>
        </is>
      </c>
      <c r="AC166" s="42" t="inlineStr">
        <is>
          <t>IF(F166="","",IF(COUNT(AI166:AV166)=0,IF(AA166="","Not started",AA166),SUBSTITUTE(LOOKUP(2,1/(AI166:AV166&lt;&gt;""),$AI$3:$AV$3),"Date: ","")))</t>
        </is>
      </c>
      <c r="AD166" s="49" t="inlineStr">
        <is>
          <t>IF(OR(F166="",COUNT(AI166:AV166)=0),"",TODAY()-LOOKUP(2,1/(AI166:AV166&lt;&gt;""),AI166:AV166))</t>
        </is>
      </c>
      <c r="AE166" s="49" t="inlineStr">
        <is>
          <t>IF(OR(F166="",COUNT(AI166:AV166)&lt;2),"",LOOKUP(2,1/(AI166:AV166&lt;&gt;""),AI166:AV166)-MIN(AI166:AV166))</t>
        </is>
      </c>
      <c r="AF166" s="49" t="inlineStr">
        <is>
          <t>IF(OR(AD166="",AC166="Not started",AC166=""),"",IFERROR(AD166-IF(VLOOKUP(AC166,'06_Status_Pipeline'!$B$3:$E$20,4,FALSE)="",0,VLOOKUP(AC166,'06_Status_Pipeline'!$B$3:$E$20,4,FALSE)),""))</t>
        </is>
      </c>
      <c r="AG166" s="42" t="inlineStr">
        <is>
          <t>IF(F166="","",IF(OR(AA166="Cancelled",AC166="Cancelled"),"Cancelled",IF(OR(AC166="Completed / Handover",Y166&lt;&gt;"",Z166&gt;=100),"Completed — on track",IF(O166="Not awarded",IF(U166="",IF(X166="","No planned date",IF(TODAY()&gt;X166,"Behind — past planned date",IF(X166-TODAY()&lt;=30,"At risk — close to off track","On track"))),IF(TODAY()&gt;U166,"Behind — award date passed",IF(U166-TODAY()&lt;=30,"At risk — close to off track","On track"))),IF(X166="","No planned date",IF(AND(TODAY()&gt;X166,OR(Z166="",Z166&lt;100)),"Behind — past end date",IF(AND(T166&lt;&gt;"",X166&lt;&gt;"",Z166&lt;&gt;"",(Z166&lt;100),((TODAY()-T166)/MAX(X166-T166,1)*100)-Z166&gt;15),"Behind — progress lag",IF(AND(X166-TODAY()&lt;=30,X166-TODAY()&gt;=0,OR(Z166="",Z166&lt;90)),"At risk — close to off track","On track"))))))))</t>
        </is>
      </c>
      <c r="AH166" s="49" t="inlineStr">
        <is>
          <t>IF(OR(F166="",AC166="Completed / Handover",AC166="Cancelled"),"",IF(O166="Not awarded",IF(U166&lt;&gt;"",U166-TODAY(),IF(X166="","",X166-TODAY())),IF(X166="","",X166-TODAY())))</t>
        </is>
      </c>
      <c r="AI166" s="54" t="n"/>
      <c r="AJ166" s="54" t="n"/>
      <c r="AK166" s="54" t="n"/>
      <c r="AL166" s="54" t="n"/>
      <c r="AM166" s="54" t="n"/>
      <c r="AN166" s="54" t="n"/>
      <c r="AO166" s="54" t="n"/>
      <c r="AP166" s="54" t="n"/>
      <c r="AQ166" s="54" t="n"/>
      <c r="AR166" s="54" t="n"/>
      <c r="AS166" s="54" t="n"/>
      <c r="AT166" s="50" t="n"/>
      <c r="AU166" s="50" t="n"/>
      <c r="AV166" s="50" t="n"/>
      <c r="AW166" s="49" t="inlineStr">
        <is>
          <t>IF(OR(F166="",AJ166=""),"",IF(COUNT(AI166:AI166)=0,"",AJ166-LOOKUP(2,1/(AI166:AI166&lt;&gt;""),AI166:AI166)))</t>
        </is>
      </c>
      <c r="AX166" s="49" t="inlineStr">
        <is>
          <t>IF(OR(F166="",AK166=""),"",IF(COUNT(AI166:AJ166)=0,"",AK166-LOOKUP(2,1/(AI166:AJ166&lt;&gt;""),AI166:AJ166)))</t>
        </is>
      </c>
      <c r="AY166" s="49" t="inlineStr">
        <is>
          <t>IF(OR(F166="",AL166=""),"",IF(COUNT(AI166:AK166)=0,"",AL166-LOOKUP(2,1/(AI166:AK166&lt;&gt;""),AI166:AK166)))</t>
        </is>
      </c>
      <c r="AZ166" s="49" t="inlineStr">
        <is>
          <t>IF(OR(F166="",AM166=""),"",IF(COUNT(AI166:AL166)=0,"",AM166-LOOKUP(2,1/(AI166:AL166&lt;&gt;""),AI166:AL166)))</t>
        </is>
      </c>
      <c r="BA166" s="49" t="inlineStr">
        <is>
          <t>IF(OR(F166="",AN166=""),"",IF(COUNT(AI166:AM166)=0,"",AN166-LOOKUP(2,1/(AI166:AM166&lt;&gt;""),AI166:AM166)))</t>
        </is>
      </c>
      <c r="BB166" s="49" t="inlineStr">
        <is>
          <t>IF(OR(F166="",AO166=""),"",IF(COUNT(AI166:AN166)=0,"",AO166-LOOKUP(2,1/(AI166:AN166&lt;&gt;""),AI166:AN166)))</t>
        </is>
      </c>
      <c r="BC166" s="49" t="inlineStr">
        <is>
          <t>IF(OR(F166="",AP166=""),"",IF(COUNT(AI166:AO166)=0,"",AP166-LOOKUP(2,1/(AI166:AO166&lt;&gt;""),AI166:AO166)))</t>
        </is>
      </c>
      <c r="BD166" s="49" t="inlineStr">
        <is>
          <t>IF(OR(F166="",AQ166=""),"",IF(COUNT(AI166:AP166)=0,"",AQ166-LOOKUP(2,1/(AI166:AP166&lt;&gt;""),AI166:AP166)))</t>
        </is>
      </c>
      <c r="BE166" s="49" t="inlineStr">
        <is>
          <t>IF(OR(F166="",AR166=""),"",IF(COUNT(AI166:AQ166)=0,"",AR166-LOOKUP(2,1/(AI166:AQ166&lt;&gt;""),AI166:AQ166)))</t>
        </is>
      </c>
      <c r="BF166" s="49" t="inlineStr">
        <is>
          <t>IF(OR(F166="",AS166=""),"",IF(COUNT(AI166:AR166)=0,"",AS166-LOOKUP(2,1/(AI166:AR166&lt;&gt;""),AI166:AR166)))</t>
        </is>
      </c>
      <c r="BG166" s="49" t="inlineStr">
        <is>
          <t>IF(OR(F166="",AT166=""),"",IF(COUNT(AI166:AS166)=0,"",AT166-LOOKUP(2,1/(AI166:AS166&lt;&gt;""),AI166:AS166)))</t>
        </is>
      </c>
      <c r="BH166" s="49" t="inlineStr">
        <is>
          <t>IF(OR(F166="",AU166=""),"",IF(COUNT(AI166:AT166)=0,"",AU166-LOOKUP(2,1/(AI166:AT166&lt;&gt;""),AI166:AT166)))</t>
        </is>
      </c>
      <c r="BI166" s="49" t="inlineStr">
        <is>
          <t>IF(OR(F166="",AV166=""),"",IF(COUNT(AI166:AU166)=0,"",AV166-LOOKUP(2,1/(AI166:AU166&lt;&gt;""),AI166:AU166)))</t>
        </is>
      </c>
      <c r="BJ166" s="51" t="inlineStr">
        <is>
          <t>IF(J166="","All_Provinces",IFERROR(VLOOKUP(J166,'09_Lookups'!$A$4:$B$20,2,FALSE),"All_Provinces"))</t>
        </is>
      </c>
      <c r="BK166" s="51" t="inlineStr">
        <is>
          <t>IF(K166="","All_Districts",IFERROR(VLOOKUP(K166,'09_Lookups'!$E$4:$F$42,2,FALSE),"All_Districts"))</t>
        </is>
      </c>
    </row>
    <row r="167" outlineLevel="1" ht="18" customHeight="1">
      <c r="A167" s="42" t="inlineStr">
        <is>
          <t>IF(F167="","",ROW()-3)</t>
        </is>
      </c>
      <c r="B167" s="63" t="inlineStr">
        <is>
          <t>AF2-IS-13</t>
        </is>
      </c>
      <c r="C167" s="63" t="inlineStr">
        <is>
          <t>Package #13-AF2 IS: Rehabilitation of Kamar China canal, Khenkot canal, and Zargara irrigation schemes, located in Sarobi, Chahar Asiab and Paghman districts of Kabul province.</t>
        </is>
      </c>
      <c r="D167" s="63" t="inlineStr">
        <is>
          <t>3 of 3</t>
        </is>
      </c>
      <c r="E167" s="44" t="inlineStr">
        <is>
          <t>AF2-IS-N-011</t>
        </is>
      </c>
      <c r="F167" s="44" t="inlineStr">
        <is>
          <t>Zargara canal irrigation Scheme</t>
        </is>
      </c>
      <c r="G167" s="44" t="inlineStr">
        <is>
          <t>Irrigation Scheme</t>
        </is>
      </c>
      <c r="H167" s="44" t="inlineStr">
        <is>
          <t>Irrigation Canal</t>
        </is>
      </c>
      <c r="I167" s="44" t="inlineStr">
        <is>
          <t>Emergency Food Security Project (EFSP) – WBK/AF-2</t>
        </is>
      </c>
      <c r="J167" s="44" t="inlineStr">
        <is>
          <t>Central / Kabul</t>
        </is>
      </c>
      <c r="K167" s="44" t="inlineStr"/>
      <c r="L167" s="44" t="inlineStr">
        <is>
          <t>Paghman</t>
        </is>
      </c>
      <c r="M167" s="44" t="inlineStr">
        <is>
          <t>Qla-e- Hakeem, Somochak and Ala Bala</t>
        </is>
      </c>
      <c r="N167" s="44" t="inlineStr">
        <is>
          <t>World Bank (WBK/AF-2)</t>
        </is>
      </c>
      <c r="O167" s="44" t="inlineStr">
        <is>
          <t>Not awarded</t>
        </is>
      </c>
      <c r="P167" s="44" t="inlineStr">
        <is>
          <t>2.Remain contracts_On&amp;off-farm</t>
        </is>
      </c>
      <c r="Q167" s="44" t="inlineStr"/>
      <c r="R167" s="44" t="inlineStr"/>
      <c r="S167" s="45" t="n">
        <v>290000</v>
      </c>
      <c r="T167" s="46" t="inlineStr">
        <is>
          <t>IF(AQ167="","",AQ167)</t>
        </is>
      </c>
      <c r="U167" s="47" t="n">
        <v>46336</v>
      </c>
      <c r="V167" s="48" t="n">
        <v>7.9</v>
      </c>
      <c r="W167" s="47" t="n">
        <v>46576</v>
      </c>
      <c r="X167" s="46" t="inlineStr">
        <is>
          <t>IF(W167&lt;&gt;"",W167,IF(OR(T167="",V167=""),"",EDATE(T167,V167)))</t>
        </is>
      </c>
      <c r="Y167" s="47" t="n"/>
      <c r="Z167" s="48" t="n"/>
      <c r="AA167" s="44" t="inlineStr">
        <is>
          <t>Under Technical Evaluation</t>
        </is>
      </c>
      <c r="AB167" s="44" t="inlineStr">
        <is>
          <t>Three months slack period Jan-Mar during winter. Five months construction period required for three canals</t>
        </is>
      </c>
      <c r="AC167" s="42" t="inlineStr">
        <is>
          <t>IF(F167="","",IF(COUNT(AI167:AV167)=0,IF(AA167="","Not started",AA167),SUBSTITUTE(LOOKUP(2,1/(AI167:AV167&lt;&gt;""),$AI$3:$AV$3),"Date: ","")))</t>
        </is>
      </c>
      <c r="AD167" s="49" t="inlineStr">
        <is>
          <t>IF(OR(F167="",COUNT(AI167:AV167)=0),"",TODAY()-LOOKUP(2,1/(AI167:AV167&lt;&gt;""),AI167:AV167))</t>
        </is>
      </c>
      <c r="AE167" s="49" t="inlineStr">
        <is>
          <t>IF(OR(F167="",COUNT(AI167:AV167)&lt;2),"",LOOKUP(2,1/(AI167:AV167&lt;&gt;""),AI167:AV167)-MIN(AI167:AV167))</t>
        </is>
      </c>
      <c r="AF167" s="49" t="inlineStr">
        <is>
          <t>IF(OR(AD167="",AC167="Not started",AC167=""),"",IFERROR(AD167-IF(VLOOKUP(AC167,'06_Status_Pipeline'!$B$3:$E$20,4,FALSE)="",0,VLOOKUP(AC167,'06_Status_Pipeline'!$B$3:$E$20,4,FALSE)),""))</t>
        </is>
      </c>
      <c r="AG167" s="42" t="inlineStr">
        <is>
          <t>IF(F167="","",IF(OR(AA167="Cancelled",AC167="Cancelled"),"Cancelled",IF(OR(AC167="Completed / Handover",Y167&lt;&gt;"",Z167&gt;=100),"Completed — on track",IF(O167="Not awarded",IF(U167="",IF(X167="","No planned date",IF(TODAY()&gt;X167,"Behind — past planned date",IF(X167-TODAY()&lt;=30,"At risk — close to off track","On track"))),IF(TODAY()&gt;U167,"Behind — award date passed",IF(U167-TODAY()&lt;=30,"At risk — close to off track","On track"))),IF(X167="","No planned date",IF(AND(TODAY()&gt;X167,OR(Z167="",Z167&lt;100)),"Behind — past end date",IF(AND(T167&lt;&gt;"",X167&lt;&gt;"",Z167&lt;&gt;"",(Z167&lt;100),((TODAY()-T167)/MAX(X167-T167,1)*100)-Z167&gt;15),"Behind — progress lag",IF(AND(X167-TODAY()&lt;=30,X167-TODAY()&gt;=0,OR(Z167="",Z167&lt;90)),"At risk — close to off track","On track"))))))))</t>
        </is>
      </c>
      <c r="AH167" s="49" t="inlineStr">
        <is>
          <t>IF(OR(F167="",AC167="Completed / Handover",AC167="Cancelled"),"",IF(O167="Not awarded",IF(U167&lt;&gt;"",U167-TODAY(),IF(X167="","",X167-TODAY())),IF(X167="","",X167-TODAY())))</t>
        </is>
      </c>
      <c r="AI167" s="47" t="n"/>
      <c r="AJ167" s="47" t="n"/>
      <c r="AK167" s="47" t="n"/>
      <c r="AL167" s="47" t="n"/>
      <c r="AM167" s="47" t="n"/>
      <c r="AN167" s="47" t="n"/>
      <c r="AO167" s="47" t="n"/>
      <c r="AP167" s="47" t="n"/>
      <c r="AQ167" s="47" t="n"/>
      <c r="AR167" s="47" t="n"/>
      <c r="AS167" s="47" t="n"/>
      <c r="AT167" s="50" t="n"/>
      <c r="AU167" s="50" t="n"/>
      <c r="AV167" s="50" t="n"/>
      <c r="AW167" s="49" t="inlineStr">
        <is>
          <t>IF(OR(F167="",AJ167=""),"",IF(COUNT(AI167:AI167)=0,"",AJ167-LOOKUP(2,1/(AI167:AI167&lt;&gt;""),AI167:AI167)))</t>
        </is>
      </c>
      <c r="AX167" s="49" t="inlineStr">
        <is>
          <t>IF(OR(F167="",AK167=""),"",IF(COUNT(AI167:AJ167)=0,"",AK167-LOOKUP(2,1/(AI167:AJ167&lt;&gt;""),AI167:AJ167)))</t>
        </is>
      </c>
      <c r="AY167" s="49" t="inlineStr">
        <is>
          <t>IF(OR(F167="",AL167=""),"",IF(COUNT(AI167:AK167)=0,"",AL167-LOOKUP(2,1/(AI167:AK167&lt;&gt;""),AI167:AK167)))</t>
        </is>
      </c>
      <c r="AZ167" s="49" t="inlineStr">
        <is>
          <t>IF(OR(F167="",AM167=""),"",IF(COUNT(AI167:AL167)=0,"",AM167-LOOKUP(2,1/(AI167:AL167&lt;&gt;""),AI167:AL167)))</t>
        </is>
      </c>
      <c r="BA167" s="49" t="inlineStr">
        <is>
          <t>IF(OR(F167="",AN167=""),"",IF(COUNT(AI167:AM167)=0,"",AN167-LOOKUP(2,1/(AI167:AM167&lt;&gt;""),AI167:AM167)))</t>
        </is>
      </c>
      <c r="BB167" s="49" t="inlineStr">
        <is>
          <t>IF(OR(F167="",AO167=""),"",IF(COUNT(AI167:AN167)=0,"",AO167-LOOKUP(2,1/(AI167:AN167&lt;&gt;""),AI167:AN167)))</t>
        </is>
      </c>
      <c r="BC167" s="49" t="inlineStr">
        <is>
          <t>IF(OR(F167="",AP167=""),"",IF(COUNT(AI167:AO167)=0,"",AP167-LOOKUP(2,1/(AI167:AO167&lt;&gt;""),AI167:AO167)))</t>
        </is>
      </c>
      <c r="BD167" s="49" t="inlineStr">
        <is>
          <t>IF(OR(F167="",AQ167=""),"",IF(COUNT(AI167:AP167)=0,"",AQ167-LOOKUP(2,1/(AI167:AP167&lt;&gt;""),AI167:AP167)))</t>
        </is>
      </c>
      <c r="BE167" s="49" t="inlineStr">
        <is>
          <t>IF(OR(F167="",AR167=""),"",IF(COUNT(AI167:AQ167)=0,"",AR167-LOOKUP(2,1/(AI167:AQ167&lt;&gt;""),AI167:AQ167)))</t>
        </is>
      </c>
      <c r="BF167" s="49" t="inlineStr">
        <is>
          <t>IF(OR(F167="",AS167=""),"",IF(COUNT(AI167:AR167)=0,"",AS167-LOOKUP(2,1/(AI167:AR167&lt;&gt;""),AI167:AR167)))</t>
        </is>
      </c>
      <c r="BG167" s="49" t="inlineStr">
        <is>
          <t>IF(OR(F167="",AT167=""),"",IF(COUNT(AI167:AS167)=0,"",AT167-LOOKUP(2,1/(AI167:AS167&lt;&gt;""),AI167:AS167)))</t>
        </is>
      </c>
      <c r="BH167" s="49" t="inlineStr">
        <is>
          <t>IF(OR(F167="",AU167=""),"",IF(COUNT(AI167:AT167)=0,"",AU167-LOOKUP(2,1/(AI167:AT167&lt;&gt;""),AI167:AT167)))</t>
        </is>
      </c>
      <c r="BI167" s="49" t="inlineStr">
        <is>
          <t>IF(OR(F167="",AV167=""),"",IF(COUNT(AI167:AU167)=0,"",AV167-LOOKUP(2,1/(AI167:AU167&lt;&gt;""),AI167:AU167)))</t>
        </is>
      </c>
      <c r="BJ167" s="51" t="inlineStr">
        <is>
          <t>IF(J167="","All_Provinces",IFERROR(VLOOKUP(J167,'09_Lookups'!$A$4:$B$20,2,FALSE),"All_Provinces"))</t>
        </is>
      </c>
      <c r="BK167" s="51" t="inlineStr">
        <is>
          <t>IF(K167="","All_Districts",IFERROR(VLOOKUP(K167,'09_Lookups'!$E$4:$F$42,2,FALSE),"All_Districts"))</t>
        </is>
      </c>
    </row>
    <row r="168" ht="18" customHeight="1">
      <c r="A168" s="32" t="inlineStr">
        <is>
          <t>IF(F168="","",ROW()-3)</t>
        </is>
      </c>
      <c r="B168" s="64" t="inlineStr">
        <is>
          <t>AF2-IS-14</t>
        </is>
      </c>
      <c r="C168" s="64" t="inlineStr">
        <is>
          <t>Package #14-AF2 IS: Rehabilitation of Zard Sang and Topchi Cluster Canal Irrigation scheme, located in Center district of Bamyan province.</t>
        </is>
      </c>
      <c r="D168" s="64" t="inlineStr">
        <is>
          <t>1 of 2</t>
        </is>
      </c>
      <c r="E168" s="34" t="inlineStr">
        <is>
          <t>AF2-IS-A-015</t>
        </is>
      </c>
      <c r="F168" s="34" t="inlineStr">
        <is>
          <t>Sar Qul Topchi canal irrigation schemes</t>
        </is>
      </c>
      <c r="G168" s="34" t="inlineStr">
        <is>
          <t>Irrigation Scheme</t>
        </is>
      </c>
      <c r="H168" s="34" t="inlineStr">
        <is>
          <t>Irrigation Canal</t>
        </is>
      </c>
      <c r="I168" s="34" t="inlineStr">
        <is>
          <t>Emergency Food Security Project (EFSP) – WBK/AF-2</t>
        </is>
      </c>
      <c r="J168" s="34" t="inlineStr">
        <is>
          <t>Central Highland / Bamyan</t>
        </is>
      </c>
      <c r="K168" s="34" t="inlineStr">
        <is>
          <t>Bamyan</t>
        </is>
      </c>
      <c r="L168" s="34" t="inlineStr">
        <is>
          <t>Center</t>
        </is>
      </c>
      <c r="M168" s="34" t="inlineStr">
        <is>
          <t>Topchi</t>
        </is>
      </c>
      <c r="N168" s="34" t="inlineStr">
        <is>
          <t>World Bank (WBK/AF-2)</t>
        </is>
      </c>
      <c r="O168" s="34" t="inlineStr">
        <is>
          <t>Awarded</t>
        </is>
      </c>
      <c r="P168" s="34" t="inlineStr">
        <is>
          <t>1.Awarded contracts_On&amp;off-farm</t>
        </is>
      </c>
      <c r="Q168" s="34" t="inlineStr">
        <is>
          <t>Nomae Shahr Construction Company (NSCC)</t>
        </is>
      </c>
      <c r="R168" s="34" t="inlineStr">
        <is>
          <t>002/2026</t>
        </is>
      </c>
      <c r="S168" s="35" t="n">
        <v>165609.67</v>
      </c>
      <c r="T168" s="36" t="inlineStr">
        <is>
          <t>IF(AQ168="","",AQ168)</t>
        </is>
      </c>
      <c r="U168" s="37" t="n"/>
      <c r="V168" s="38" t="n">
        <v>12</v>
      </c>
      <c r="W168" s="37" t="n">
        <v>46410</v>
      </c>
      <c r="X168" s="36" t="inlineStr">
        <is>
          <t>IF(W168&lt;&gt;"",W168,IF(OR(T168="",V168=""),"",EDATE(T168,V168)))</t>
        </is>
      </c>
      <c r="Y168" s="37" t="n"/>
      <c r="Z168" s="38" t="n">
        <v>85</v>
      </c>
      <c r="AA168" s="34" t="inlineStr">
        <is>
          <t>Under Construction</t>
        </is>
      </c>
      <c r="AB168" s="34" t="inlineStr">
        <is>
          <t>on track and will be completed in 2026</t>
        </is>
      </c>
      <c r="AC168" s="32" t="inlineStr">
        <is>
          <t>IF(F168="","",IF(COUNT(AI168:AV168)=0,IF(AA168="","Not started",AA168),SUBSTITUTE(LOOKUP(2,1/(AI168:AV168&lt;&gt;""),$AI$3:$AV$3),"Date: ","")))</t>
        </is>
      </c>
      <c r="AD168" s="39" t="inlineStr">
        <is>
          <t>IF(OR(F168="",COUNT(AI168:AV168)=0),"",TODAY()-LOOKUP(2,1/(AI168:AV168&lt;&gt;""),AI168:AV168))</t>
        </is>
      </c>
      <c r="AE168" s="39" t="inlineStr">
        <is>
          <t>IF(OR(F168="",COUNT(AI168:AV168)&lt;2),"",LOOKUP(2,1/(AI168:AV168&lt;&gt;""),AI168:AV168)-MIN(AI168:AV168))</t>
        </is>
      </c>
      <c r="AF168" s="39" t="inlineStr">
        <is>
          <t>IF(OR(AD168="",AC168="Not started",AC168=""),"",IFERROR(AD168-IF(VLOOKUP(AC168,'06_Status_Pipeline'!$B$3:$E$20,4,FALSE)="",0,VLOOKUP(AC168,'06_Status_Pipeline'!$B$3:$E$20,4,FALSE)),""))</t>
        </is>
      </c>
      <c r="AG168" s="32" t="inlineStr">
        <is>
          <t>IF(F168="","",IF(OR(AA168="Cancelled",AC168="Cancelled"),"Cancelled",IF(OR(AC168="Completed / Handover",Y168&lt;&gt;"",Z168&gt;=100),"Completed — on track",IF(O168="Not awarded",IF(U168="",IF(X168="","No planned date",IF(TODAY()&gt;X168,"Behind — past planned date",IF(X168-TODAY()&lt;=30,"At risk — close to off track","On track"))),IF(TODAY()&gt;U168,"Behind — award date passed",IF(U168-TODAY()&lt;=30,"At risk — close to off track","On track"))),IF(X168="","No planned date",IF(AND(TODAY()&gt;X168,OR(Z168="",Z168&lt;100)),"Behind — past end date",IF(AND(T168&lt;&gt;"",X168&lt;&gt;"",Z168&lt;&gt;"",(Z168&lt;100),((TODAY()-T168)/MAX(X168-T168,1)*100)-Z168&gt;15),"Behind — progress lag",IF(AND(X168-TODAY()&lt;=30,X168-TODAY()&gt;=0,OR(Z168="",Z168&lt;90)),"At risk — close to off track","On track"))))))))</t>
        </is>
      </c>
      <c r="AH168" s="39" t="inlineStr">
        <is>
          <t>IF(OR(F168="",AC168="Completed / Handover",AC168="Cancelled"),"",IF(O168="Not awarded",IF(U168&lt;&gt;"",U168-TODAY(),IF(X168="","",X168-TODAY())),IF(X168="","",X168-TODAY())))</t>
        </is>
      </c>
      <c r="AI168" s="66" t="n"/>
      <c r="AJ168" s="66" t="n"/>
      <c r="AK168" s="66" t="n"/>
      <c r="AL168" s="66" t="n"/>
      <c r="AM168" s="66" t="n"/>
      <c r="AN168" s="66" t="n"/>
      <c r="AO168" s="66" t="n"/>
      <c r="AP168" s="66" t="n"/>
      <c r="AQ168" s="66" t="n">
        <v>46046</v>
      </c>
      <c r="AR168" s="66" t="n">
        <v>46046</v>
      </c>
      <c r="AS168" s="66" t="n"/>
      <c r="AT168" s="40" t="n"/>
      <c r="AU168" s="40" t="n"/>
      <c r="AV168" s="40" t="n"/>
      <c r="AW168" s="39" t="inlineStr">
        <is>
          <t>IF(OR(F168="",AJ168=""),"",IF(COUNT(AI168:AI168)=0,"",AJ168-LOOKUP(2,1/(AI168:AI168&lt;&gt;""),AI168:AI168)))</t>
        </is>
      </c>
      <c r="AX168" s="39" t="inlineStr">
        <is>
          <t>IF(OR(F168="",AK168=""),"",IF(COUNT(AI168:AJ168)=0,"",AK168-LOOKUP(2,1/(AI168:AJ168&lt;&gt;""),AI168:AJ168)))</t>
        </is>
      </c>
      <c r="AY168" s="39" t="inlineStr">
        <is>
          <t>IF(OR(F168="",AL168=""),"",IF(COUNT(AI168:AK168)=0,"",AL168-LOOKUP(2,1/(AI168:AK168&lt;&gt;""),AI168:AK168)))</t>
        </is>
      </c>
      <c r="AZ168" s="39" t="inlineStr">
        <is>
          <t>IF(OR(F168="",AM168=""),"",IF(COUNT(AI168:AL168)=0,"",AM168-LOOKUP(2,1/(AI168:AL168&lt;&gt;""),AI168:AL168)))</t>
        </is>
      </c>
      <c r="BA168" s="39" t="inlineStr">
        <is>
          <t>IF(OR(F168="",AN168=""),"",IF(COUNT(AI168:AM168)=0,"",AN168-LOOKUP(2,1/(AI168:AM168&lt;&gt;""),AI168:AM168)))</t>
        </is>
      </c>
      <c r="BB168" s="39" t="inlineStr">
        <is>
          <t>IF(OR(F168="",AO168=""),"",IF(COUNT(AI168:AN168)=0,"",AO168-LOOKUP(2,1/(AI168:AN168&lt;&gt;""),AI168:AN168)))</t>
        </is>
      </c>
      <c r="BC168" s="39" t="inlineStr">
        <is>
          <t>IF(OR(F168="",AP168=""),"",IF(COUNT(AI168:AO168)=0,"",AP168-LOOKUP(2,1/(AI168:AO168&lt;&gt;""),AI168:AO168)))</t>
        </is>
      </c>
      <c r="BD168" s="39" t="inlineStr">
        <is>
          <t>IF(OR(F168="",AQ168=""),"",IF(COUNT(AI168:AP168)=0,"",AQ168-LOOKUP(2,1/(AI168:AP168&lt;&gt;""),AI168:AP168)))</t>
        </is>
      </c>
      <c r="BE168" s="39" t="inlineStr">
        <is>
          <t>IF(OR(F168="",AR168=""),"",IF(COUNT(AI168:AQ168)=0,"",AR168-LOOKUP(2,1/(AI168:AQ168&lt;&gt;""),AI168:AQ168)))</t>
        </is>
      </c>
      <c r="BF168" s="39" t="inlineStr">
        <is>
          <t>IF(OR(F168="",AS168=""),"",IF(COUNT(AI168:AR168)=0,"",AS168-LOOKUP(2,1/(AI168:AR168&lt;&gt;""),AI168:AR168)))</t>
        </is>
      </c>
      <c r="BG168" s="39" t="inlineStr">
        <is>
          <t>IF(OR(F168="",AT168=""),"",IF(COUNT(AI168:AS168)=0,"",AT168-LOOKUP(2,1/(AI168:AS168&lt;&gt;""),AI168:AS168)))</t>
        </is>
      </c>
      <c r="BH168" s="39" t="inlineStr">
        <is>
          <t>IF(OR(F168="",AU168=""),"",IF(COUNT(AI168:AT168)=0,"",AU168-LOOKUP(2,1/(AI168:AT168&lt;&gt;""),AI168:AT168)))</t>
        </is>
      </c>
      <c r="BI168" s="39" t="inlineStr">
        <is>
          <t>IF(OR(F168="",AV168=""),"",IF(COUNT(AI168:AU168)=0,"",AV168-LOOKUP(2,1/(AI168:AU168&lt;&gt;""),AI168:AU168)))</t>
        </is>
      </c>
      <c r="BJ168" s="41" t="inlineStr">
        <is>
          <t>IF(J168="","All_Provinces",IFERROR(VLOOKUP(J168,'09_Lookups'!$A$4:$B$20,2,FALSE),"All_Provinces"))</t>
        </is>
      </c>
      <c r="BK168" s="41" t="inlineStr">
        <is>
          <t>IF(K168="","All_Districts",IFERROR(VLOOKUP(K168,'09_Lookups'!$E$4:$F$42,2,FALSE),"All_Districts"))</t>
        </is>
      </c>
    </row>
    <row r="169" outlineLevel="1" ht="18" customHeight="1">
      <c r="A169" s="42" t="inlineStr">
        <is>
          <t>IF(F169="","",ROW()-3)</t>
        </is>
      </c>
      <c r="B169" s="65" t="inlineStr">
        <is>
          <t>AF2-IS-14</t>
        </is>
      </c>
      <c r="C169" s="65" t="inlineStr">
        <is>
          <t>Package #14-AF2 IS: Rehabilitation of Zard Sang and Topchi Cluster Canal Irrigation scheme, located in Center district of Bamyan province.</t>
        </is>
      </c>
      <c r="D169" s="65" t="inlineStr">
        <is>
          <t>2 of 2</t>
        </is>
      </c>
      <c r="E169" s="44" t="inlineStr">
        <is>
          <t>AF2-IS-A-016</t>
        </is>
      </c>
      <c r="F169" s="44" t="inlineStr">
        <is>
          <t>Zard Sang canal irrigation schemes</t>
        </is>
      </c>
      <c r="G169" s="44" t="inlineStr">
        <is>
          <t>Irrigation Scheme</t>
        </is>
      </c>
      <c r="H169" s="44" t="inlineStr">
        <is>
          <t>Irrigation Canal</t>
        </is>
      </c>
      <c r="I169" s="44" t="inlineStr">
        <is>
          <t>Emergency Food Security Project (EFSP) – WBK/AF-2</t>
        </is>
      </c>
      <c r="J169" s="44" t="inlineStr">
        <is>
          <t>Central Highland / Bamyan</t>
        </is>
      </c>
      <c r="K169" s="44" t="inlineStr"/>
      <c r="L169" s="44" t="inlineStr"/>
      <c r="M169" s="44" t="inlineStr">
        <is>
          <t>Zard Sang</t>
        </is>
      </c>
      <c r="N169" s="44" t="inlineStr">
        <is>
          <t>World Bank (WBK/AF-2)</t>
        </is>
      </c>
      <c r="O169" s="44" t="inlineStr">
        <is>
          <t>Awarded</t>
        </is>
      </c>
      <c r="P169" s="44" t="inlineStr">
        <is>
          <t>1.Awarded contracts_On&amp;off-farm</t>
        </is>
      </c>
      <c r="Q169" s="44" t="inlineStr">
        <is>
          <t>Nomae Shahr Construction Company (NSCC)</t>
        </is>
      </c>
      <c r="R169" s="44" t="inlineStr">
        <is>
          <t>002/2026</t>
        </is>
      </c>
      <c r="S169" s="45" t="n">
        <v>143050.83</v>
      </c>
      <c r="T169" s="46" t="inlineStr">
        <is>
          <t>IF(AQ169="","",AQ169)</t>
        </is>
      </c>
      <c r="U169" s="47" t="n"/>
      <c r="V169" s="48" t="n">
        <v>12</v>
      </c>
      <c r="W169" s="47" t="n">
        <v>46410</v>
      </c>
      <c r="X169" s="46" t="inlineStr">
        <is>
          <t>IF(W169&lt;&gt;"",W169,IF(OR(T169="",V169=""),"",EDATE(T169,V169)))</t>
        </is>
      </c>
      <c r="Y169" s="47" t="n"/>
      <c r="Z169" s="48" t="n">
        <v>70</v>
      </c>
      <c r="AA169" s="44" t="inlineStr">
        <is>
          <t>Under Construction</t>
        </is>
      </c>
      <c r="AB169" s="44" t="inlineStr">
        <is>
          <t>on track and will be completed in 2027</t>
        </is>
      </c>
      <c r="AC169" s="42" t="inlineStr">
        <is>
          <t>IF(F169="","",IF(COUNT(AI169:AV169)=0,IF(AA169="","Not started",AA169),SUBSTITUTE(LOOKUP(2,1/(AI169:AV169&lt;&gt;""),$AI$3:$AV$3),"Date: ","")))</t>
        </is>
      </c>
      <c r="AD169" s="49" t="inlineStr">
        <is>
          <t>IF(OR(F169="",COUNT(AI169:AV169)=0),"",TODAY()-LOOKUP(2,1/(AI169:AV169&lt;&gt;""),AI169:AV169))</t>
        </is>
      </c>
      <c r="AE169" s="49" t="inlineStr">
        <is>
          <t>IF(OR(F169="",COUNT(AI169:AV169)&lt;2),"",LOOKUP(2,1/(AI169:AV169&lt;&gt;""),AI169:AV169)-MIN(AI169:AV169))</t>
        </is>
      </c>
      <c r="AF169" s="49" t="inlineStr">
        <is>
          <t>IF(OR(AD169="",AC169="Not started",AC169=""),"",IFERROR(AD169-IF(VLOOKUP(AC169,'06_Status_Pipeline'!$B$3:$E$20,4,FALSE)="",0,VLOOKUP(AC169,'06_Status_Pipeline'!$B$3:$E$20,4,FALSE)),""))</t>
        </is>
      </c>
      <c r="AG169" s="42" t="inlineStr">
        <is>
          <t>IF(F169="","",IF(OR(AA169="Cancelled",AC169="Cancelled"),"Cancelled",IF(OR(AC169="Completed / Handover",Y169&lt;&gt;"",Z169&gt;=100),"Completed — on track",IF(O169="Not awarded",IF(U169="",IF(X169="","No planned date",IF(TODAY()&gt;X169,"Behind — past planned date",IF(X169-TODAY()&lt;=30,"At risk — close to off track","On track"))),IF(TODAY()&gt;U169,"Behind — award date passed",IF(U169-TODAY()&lt;=30,"At risk — close to off track","On track"))),IF(X169="","No planned date",IF(AND(TODAY()&gt;X169,OR(Z169="",Z169&lt;100)),"Behind — past end date",IF(AND(T169&lt;&gt;"",X169&lt;&gt;"",Z169&lt;&gt;"",(Z169&lt;100),((TODAY()-T169)/MAX(X169-T169,1)*100)-Z169&gt;15),"Behind — progress lag",IF(AND(X169-TODAY()&lt;=30,X169-TODAY()&gt;=0,OR(Z169="",Z169&lt;90)),"At risk — close to off track","On track"))))))))</t>
        </is>
      </c>
      <c r="AH169" s="49" t="inlineStr">
        <is>
          <t>IF(OR(F169="",AC169="Completed / Handover",AC169="Cancelled"),"",IF(O169="Not awarded",IF(U169&lt;&gt;"",U169-TODAY(),IF(X169="","",X169-TODAY())),IF(X169="","",X169-TODAY())))</t>
        </is>
      </c>
      <c r="AI169" s="67" t="n"/>
      <c r="AJ169" s="67" t="n"/>
      <c r="AK169" s="67" t="n"/>
      <c r="AL169" s="67" t="n"/>
      <c r="AM169" s="67" t="n"/>
      <c r="AN169" s="67" t="n"/>
      <c r="AO169" s="67" t="n"/>
      <c r="AP169" s="67" t="n"/>
      <c r="AQ169" s="67" t="n">
        <v>46046</v>
      </c>
      <c r="AR169" s="67" t="n">
        <v>46046</v>
      </c>
      <c r="AS169" s="67" t="n"/>
      <c r="AT169" s="50" t="n"/>
      <c r="AU169" s="50" t="n"/>
      <c r="AV169" s="50" t="n"/>
      <c r="AW169" s="49" t="inlineStr">
        <is>
          <t>IF(OR(F169="",AJ169=""),"",IF(COUNT(AI169:AI169)=0,"",AJ169-LOOKUP(2,1/(AI169:AI169&lt;&gt;""),AI169:AI169)))</t>
        </is>
      </c>
      <c r="AX169" s="49" t="inlineStr">
        <is>
          <t>IF(OR(F169="",AK169=""),"",IF(COUNT(AI169:AJ169)=0,"",AK169-LOOKUP(2,1/(AI169:AJ169&lt;&gt;""),AI169:AJ169)))</t>
        </is>
      </c>
      <c r="AY169" s="49" t="inlineStr">
        <is>
          <t>IF(OR(F169="",AL169=""),"",IF(COUNT(AI169:AK169)=0,"",AL169-LOOKUP(2,1/(AI169:AK169&lt;&gt;""),AI169:AK169)))</t>
        </is>
      </c>
      <c r="AZ169" s="49" t="inlineStr">
        <is>
          <t>IF(OR(F169="",AM169=""),"",IF(COUNT(AI169:AL169)=0,"",AM169-LOOKUP(2,1/(AI169:AL169&lt;&gt;""),AI169:AL169)))</t>
        </is>
      </c>
      <c r="BA169" s="49" t="inlineStr">
        <is>
          <t>IF(OR(F169="",AN169=""),"",IF(COUNT(AI169:AM169)=0,"",AN169-LOOKUP(2,1/(AI169:AM169&lt;&gt;""),AI169:AM169)))</t>
        </is>
      </c>
      <c r="BB169" s="49" t="inlineStr">
        <is>
          <t>IF(OR(F169="",AO169=""),"",IF(COUNT(AI169:AN169)=0,"",AO169-LOOKUP(2,1/(AI169:AN169&lt;&gt;""),AI169:AN169)))</t>
        </is>
      </c>
      <c r="BC169" s="49" t="inlineStr">
        <is>
          <t>IF(OR(F169="",AP169=""),"",IF(COUNT(AI169:AO169)=0,"",AP169-LOOKUP(2,1/(AI169:AO169&lt;&gt;""),AI169:AO169)))</t>
        </is>
      </c>
      <c r="BD169" s="49" t="inlineStr">
        <is>
          <t>IF(OR(F169="",AQ169=""),"",IF(COUNT(AI169:AP169)=0,"",AQ169-LOOKUP(2,1/(AI169:AP169&lt;&gt;""),AI169:AP169)))</t>
        </is>
      </c>
      <c r="BE169" s="49" t="inlineStr">
        <is>
          <t>IF(OR(F169="",AR169=""),"",IF(COUNT(AI169:AQ169)=0,"",AR169-LOOKUP(2,1/(AI169:AQ169&lt;&gt;""),AI169:AQ169)))</t>
        </is>
      </c>
      <c r="BF169" s="49" t="inlineStr">
        <is>
          <t>IF(OR(F169="",AS169=""),"",IF(COUNT(AI169:AR169)=0,"",AS169-LOOKUP(2,1/(AI169:AR169&lt;&gt;""),AI169:AR169)))</t>
        </is>
      </c>
      <c r="BG169" s="49" t="inlineStr">
        <is>
          <t>IF(OR(F169="",AT169=""),"",IF(COUNT(AI169:AS169)=0,"",AT169-LOOKUP(2,1/(AI169:AS169&lt;&gt;""),AI169:AS169)))</t>
        </is>
      </c>
      <c r="BH169" s="49" t="inlineStr">
        <is>
          <t>IF(OR(F169="",AU169=""),"",IF(COUNT(AI169:AT169)=0,"",AU169-LOOKUP(2,1/(AI169:AT169&lt;&gt;""),AI169:AT169)))</t>
        </is>
      </c>
      <c r="BI169" s="49" t="inlineStr">
        <is>
          <t>IF(OR(F169="",AV169=""),"",IF(COUNT(AI169:AU169)=0,"",AV169-LOOKUP(2,1/(AI169:AU169&lt;&gt;""),AI169:AU169)))</t>
        </is>
      </c>
      <c r="BJ169" s="51" t="inlineStr">
        <is>
          <t>IF(J169="","All_Provinces",IFERROR(VLOOKUP(J169,'09_Lookups'!$A$4:$B$20,2,FALSE),"All_Provinces"))</t>
        </is>
      </c>
      <c r="BK169" s="51" t="inlineStr">
        <is>
          <t>IF(K169="","All_Districts",IFERROR(VLOOKUP(K169,'09_Lookups'!$E$4:$F$42,2,FALSE),"All_Districts"))</t>
        </is>
      </c>
    </row>
    <row r="170" ht="18" customHeight="1">
      <c r="A170" s="32" t="inlineStr">
        <is>
          <t>IF(F170="","",ROW()-3)</t>
        </is>
      </c>
      <c r="B170" s="33" t="inlineStr">
        <is>
          <t>AF2-IS-15</t>
        </is>
      </c>
      <c r="C170" s="33" t="inlineStr">
        <is>
          <t>Package #15-AF2 IS: Rehabilitation of Pitab joy and Sorkh Kawak Cluster Canal Irrigation scheme, located in Waras districts of Bamyan province.</t>
        </is>
      </c>
      <c r="D170" s="33" t="inlineStr">
        <is>
          <t>1 of 2</t>
        </is>
      </c>
      <c r="E170" s="34" t="inlineStr">
        <is>
          <t>AF2-IS-N-012</t>
        </is>
      </c>
      <c r="F170" s="34" t="inlineStr">
        <is>
          <t>Pitab Joy Cluster canal irrigation schemce</t>
        </is>
      </c>
      <c r="G170" s="34" t="inlineStr">
        <is>
          <t>Irrigation Scheme</t>
        </is>
      </c>
      <c r="H170" s="34" t="inlineStr">
        <is>
          <t>Irrigation Canal</t>
        </is>
      </c>
      <c r="I170" s="34" t="inlineStr">
        <is>
          <t>Emergency Food Security Project (EFSP) – WBK/AF-2</t>
        </is>
      </c>
      <c r="J170" s="34" t="inlineStr">
        <is>
          <t>Central Highland / Bamyan</t>
        </is>
      </c>
      <c r="K170" s="34" t="inlineStr">
        <is>
          <t>Bamyan</t>
        </is>
      </c>
      <c r="L170" s="34" t="inlineStr">
        <is>
          <t>Waras</t>
        </is>
      </c>
      <c r="M170" s="34" t="inlineStr">
        <is>
          <t>Pitab and 6 tiny villages</t>
        </is>
      </c>
      <c r="N170" s="34" t="inlineStr">
        <is>
          <t>World Bank (WBK/AF-2)</t>
        </is>
      </c>
      <c r="O170" s="34" t="inlineStr">
        <is>
          <t>Not awarded</t>
        </is>
      </c>
      <c r="P170" s="34" t="inlineStr">
        <is>
          <t>2.Remain contracts_On&amp;off-farm</t>
        </is>
      </c>
      <c r="Q170" s="34" t="inlineStr"/>
      <c r="R170" s="34" t="inlineStr"/>
      <c r="S170" s="35" t="n">
        <v>335855.17</v>
      </c>
      <c r="T170" s="36" t="inlineStr">
        <is>
          <t>IF(AQ170="","",AQ170)</t>
        </is>
      </c>
      <c r="U170" s="37" t="n">
        <v>46371</v>
      </c>
      <c r="V170" s="38" t="n">
        <v>9.199999999999999</v>
      </c>
      <c r="W170" s="37" t="n">
        <v>46651</v>
      </c>
      <c r="X170" s="36" t="inlineStr">
        <is>
          <t>IF(W170&lt;&gt;"",W170,IF(OR(T170="",V170=""),"",EDATE(T170,V170)))</t>
        </is>
      </c>
      <c r="Y170" s="37" t="n"/>
      <c r="Z170" s="38" t="n"/>
      <c r="AA170" s="34" t="inlineStr">
        <is>
          <t>Retendered (Re-ITB)</t>
        </is>
      </c>
      <c r="AB170" s="34" t="inlineStr">
        <is>
          <t>Three months slack period Jan-Mar during winter. Eight months construction period required for two canals. Explore possibility of BAFO and split to 2 contracts based on the outcome of the reITB</t>
        </is>
      </c>
      <c r="AC170" s="32" t="inlineStr">
        <is>
          <t>IF(F170="","",IF(COUNT(AI170:AV170)=0,IF(AA170="","Not started",AA170),SUBSTITUTE(LOOKUP(2,1/(AI170:AV170&lt;&gt;""),$AI$3:$AV$3),"Date: ","")))</t>
        </is>
      </c>
      <c r="AD170" s="39" t="inlineStr">
        <is>
          <t>IF(OR(F170="",COUNT(AI170:AV170)=0),"",TODAY()-LOOKUP(2,1/(AI170:AV170&lt;&gt;""),AI170:AV170))</t>
        </is>
      </c>
      <c r="AE170" s="39" t="inlineStr">
        <is>
          <t>IF(OR(F170="",COUNT(AI170:AV170)&lt;2),"",LOOKUP(2,1/(AI170:AV170&lt;&gt;""),AI170:AV170)-MIN(AI170:AV170))</t>
        </is>
      </c>
      <c r="AF170" s="39" t="inlineStr">
        <is>
          <t>IF(OR(AD170="",AC170="Not started",AC170=""),"",IFERROR(AD170-IF(VLOOKUP(AC170,'06_Status_Pipeline'!$B$3:$E$20,4,FALSE)="",0,VLOOKUP(AC170,'06_Status_Pipeline'!$B$3:$E$20,4,FALSE)),""))</t>
        </is>
      </c>
      <c r="AG170" s="32" t="inlineStr">
        <is>
          <t>IF(F170="","",IF(OR(AA170="Cancelled",AC170="Cancelled"),"Cancelled",IF(OR(AC170="Completed / Handover",Y170&lt;&gt;"",Z170&gt;=100),"Completed — on track",IF(O170="Not awarded",IF(U170="",IF(X170="","No planned date",IF(TODAY()&gt;X170,"Behind — past planned date",IF(X170-TODAY()&lt;=30,"At risk — close to off track","On track"))),IF(TODAY()&gt;U170,"Behind — award date passed",IF(U170-TODAY()&lt;=30,"At risk — close to off track","On track"))),IF(X170="","No planned date",IF(AND(TODAY()&gt;X170,OR(Z170="",Z170&lt;100)),"Behind — past end date",IF(AND(T170&lt;&gt;"",X170&lt;&gt;"",Z170&lt;&gt;"",(Z170&lt;100),((TODAY()-T170)/MAX(X170-T170,1)*100)-Z170&gt;15),"Behind — progress lag",IF(AND(X170-TODAY()&lt;=30,X170-TODAY()&gt;=0,OR(Z170="",Z170&lt;90)),"At risk — close to off track","On track"))))))))</t>
        </is>
      </c>
      <c r="AH170" s="39" t="inlineStr">
        <is>
          <t>IF(OR(F170="",AC170="Completed / Handover",AC170="Cancelled"),"",IF(O170="Not awarded",IF(U170&lt;&gt;"",U170-TODAY(),IF(X170="","",X170-TODAY())),IF(X170="","",X170-TODAY())))</t>
        </is>
      </c>
      <c r="AI170" s="37" t="n"/>
      <c r="AJ170" s="37" t="n"/>
      <c r="AK170" s="37" t="n"/>
      <c r="AL170" s="37" t="n"/>
      <c r="AM170" s="37" t="n"/>
      <c r="AN170" s="37" t="n"/>
      <c r="AO170" s="37" t="n"/>
      <c r="AP170" s="37" t="n"/>
      <c r="AQ170" s="37" t="n"/>
      <c r="AR170" s="37" t="n"/>
      <c r="AS170" s="37" t="n"/>
      <c r="AT170" s="40" t="n"/>
      <c r="AU170" s="40" t="n"/>
      <c r="AV170" s="40" t="n"/>
      <c r="AW170" s="39" t="inlineStr">
        <is>
          <t>IF(OR(F170="",AJ170=""),"",IF(COUNT(AI170:AI170)=0,"",AJ170-LOOKUP(2,1/(AI170:AI170&lt;&gt;""),AI170:AI170)))</t>
        </is>
      </c>
      <c r="AX170" s="39" t="inlineStr">
        <is>
          <t>IF(OR(F170="",AK170=""),"",IF(COUNT(AI170:AJ170)=0,"",AK170-LOOKUP(2,1/(AI170:AJ170&lt;&gt;""),AI170:AJ170)))</t>
        </is>
      </c>
      <c r="AY170" s="39" t="inlineStr">
        <is>
          <t>IF(OR(F170="",AL170=""),"",IF(COUNT(AI170:AK170)=0,"",AL170-LOOKUP(2,1/(AI170:AK170&lt;&gt;""),AI170:AK170)))</t>
        </is>
      </c>
      <c r="AZ170" s="39" t="inlineStr">
        <is>
          <t>IF(OR(F170="",AM170=""),"",IF(COUNT(AI170:AL170)=0,"",AM170-LOOKUP(2,1/(AI170:AL170&lt;&gt;""),AI170:AL170)))</t>
        </is>
      </c>
      <c r="BA170" s="39" t="inlineStr">
        <is>
          <t>IF(OR(F170="",AN170=""),"",IF(COUNT(AI170:AM170)=0,"",AN170-LOOKUP(2,1/(AI170:AM170&lt;&gt;""),AI170:AM170)))</t>
        </is>
      </c>
      <c r="BB170" s="39" t="inlineStr">
        <is>
          <t>IF(OR(F170="",AO170=""),"",IF(COUNT(AI170:AN170)=0,"",AO170-LOOKUP(2,1/(AI170:AN170&lt;&gt;""),AI170:AN170)))</t>
        </is>
      </c>
      <c r="BC170" s="39" t="inlineStr">
        <is>
          <t>IF(OR(F170="",AP170=""),"",IF(COUNT(AI170:AO170)=0,"",AP170-LOOKUP(2,1/(AI170:AO170&lt;&gt;""),AI170:AO170)))</t>
        </is>
      </c>
      <c r="BD170" s="39" t="inlineStr">
        <is>
          <t>IF(OR(F170="",AQ170=""),"",IF(COUNT(AI170:AP170)=0,"",AQ170-LOOKUP(2,1/(AI170:AP170&lt;&gt;""),AI170:AP170)))</t>
        </is>
      </c>
      <c r="BE170" s="39" t="inlineStr">
        <is>
          <t>IF(OR(F170="",AR170=""),"",IF(COUNT(AI170:AQ170)=0,"",AR170-LOOKUP(2,1/(AI170:AQ170&lt;&gt;""),AI170:AQ170)))</t>
        </is>
      </c>
      <c r="BF170" s="39" t="inlineStr">
        <is>
          <t>IF(OR(F170="",AS170=""),"",IF(COUNT(AI170:AR170)=0,"",AS170-LOOKUP(2,1/(AI170:AR170&lt;&gt;""),AI170:AR170)))</t>
        </is>
      </c>
      <c r="BG170" s="39" t="inlineStr">
        <is>
          <t>IF(OR(F170="",AT170=""),"",IF(COUNT(AI170:AS170)=0,"",AT170-LOOKUP(2,1/(AI170:AS170&lt;&gt;""),AI170:AS170)))</t>
        </is>
      </c>
      <c r="BH170" s="39" t="inlineStr">
        <is>
          <t>IF(OR(F170="",AU170=""),"",IF(COUNT(AI170:AT170)=0,"",AU170-LOOKUP(2,1/(AI170:AT170&lt;&gt;""),AI170:AT170)))</t>
        </is>
      </c>
      <c r="BI170" s="39" t="inlineStr">
        <is>
          <t>IF(OR(F170="",AV170=""),"",IF(COUNT(AI170:AU170)=0,"",AV170-LOOKUP(2,1/(AI170:AU170&lt;&gt;""),AI170:AU170)))</t>
        </is>
      </c>
      <c r="BJ170" s="41" t="inlineStr">
        <is>
          <t>IF(J170="","All_Provinces",IFERROR(VLOOKUP(J170,'09_Lookups'!$A$4:$B$20,2,FALSE),"All_Provinces"))</t>
        </is>
      </c>
      <c r="BK170" s="41" t="inlineStr">
        <is>
          <t>IF(K170="","All_Districts",IFERROR(VLOOKUP(K170,'09_Lookups'!$E$4:$F$42,2,FALSE),"All_Districts"))</t>
        </is>
      </c>
    </row>
    <row r="171" outlineLevel="1" ht="18" customHeight="1">
      <c r="A171" s="42" t="inlineStr">
        <is>
          <t>IF(F171="","",ROW()-3)</t>
        </is>
      </c>
      <c r="B171" s="43" t="inlineStr">
        <is>
          <t>AF2-IS-15</t>
        </is>
      </c>
      <c r="C171" s="43" t="inlineStr">
        <is>
          <t>Package #15-AF2 IS: Rehabilitation of Pitab joy and Sorkh Kawak Cluster Canal Irrigation scheme, located in Waras districts of Bamyan province.</t>
        </is>
      </c>
      <c r="D171" s="43" t="inlineStr">
        <is>
          <t>2 of 2</t>
        </is>
      </c>
      <c r="E171" s="44" t="inlineStr">
        <is>
          <t>AF2-IS-N-013</t>
        </is>
      </c>
      <c r="F171" s="44" t="inlineStr">
        <is>
          <t>Sorkh Kawak Cluster canal irrigation schemce</t>
        </is>
      </c>
      <c r="G171" s="44" t="inlineStr">
        <is>
          <t>Irrigation Scheme</t>
        </is>
      </c>
      <c r="H171" s="44" t="inlineStr">
        <is>
          <t>Irrigation Canal</t>
        </is>
      </c>
      <c r="I171" s="44" t="inlineStr">
        <is>
          <t>Emergency Food Security Project (EFSP) – WBK/AF-2</t>
        </is>
      </c>
      <c r="J171" s="44" t="inlineStr">
        <is>
          <t>Central Highland / Bamyan</t>
        </is>
      </c>
      <c r="K171" s="44" t="inlineStr"/>
      <c r="L171" s="44" t="inlineStr"/>
      <c r="M171" s="44" t="inlineStr">
        <is>
          <t>SorKh kawak and 6 tiny villages</t>
        </is>
      </c>
      <c r="N171" s="44" t="inlineStr">
        <is>
          <t>World Bank (WBK/AF-2)</t>
        </is>
      </c>
      <c r="O171" s="44" t="inlineStr">
        <is>
          <t>Not awarded</t>
        </is>
      </c>
      <c r="P171" s="44" t="inlineStr">
        <is>
          <t>2.Remain contracts_On&amp;off-farm</t>
        </is>
      </c>
      <c r="Q171" s="44" t="inlineStr"/>
      <c r="R171" s="44" t="inlineStr"/>
      <c r="S171" s="45" t="n">
        <v>335855.17</v>
      </c>
      <c r="T171" s="46" t="inlineStr">
        <is>
          <t>IF(AQ171="","",AQ171)</t>
        </is>
      </c>
      <c r="U171" s="47" t="n">
        <v>46371</v>
      </c>
      <c r="V171" s="48" t="n">
        <v>9.199999999999999</v>
      </c>
      <c r="W171" s="47" t="n">
        <v>46651</v>
      </c>
      <c r="X171" s="46" t="inlineStr">
        <is>
          <t>IF(W171&lt;&gt;"",W171,IF(OR(T171="",V171=""),"",EDATE(T171,V171)))</t>
        </is>
      </c>
      <c r="Y171" s="47" t="n"/>
      <c r="Z171" s="48" t="n"/>
      <c r="AA171" s="44" t="inlineStr">
        <is>
          <t>Retendered (Re-ITB)</t>
        </is>
      </c>
      <c r="AB171" s="44" t="inlineStr">
        <is>
          <t>Three months slack period Jan-Mar during winter. Eight months construction period required for two canals. Explore possibility of BAFO and split to 2 contracts based on the outcome of the reITB</t>
        </is>
      </c>
      <c r="AC171" s="42" t="inlineStr">
        <is>
          <t>IF(F171="","",IF(COUNT(AI171:AV171)=0,IF(AA171="","Not started",AA171),SUBSTITUTE(LOOKUP(2,1/(AI171:AV171&lt;&gt;""),$AI$3:$AV$3),"Date: ","")))</t>
        </is>
      </c>
      <c r="AD171" s="49" t="inlineStr">
        <is>
          <t>IF(OR(F171="",COUNT(AI171:AV171)=0),"",TODAY()-LOOKUP(2,1/(AI171:AV171&lt;&gt;""),AI171:AV171))</t>
        </is>
      </c>
      <c r="AE171" s="49" t="inlineStr">
        <is>
          <t>IF(OR(F171="",COUNT(AI171:AV171)&lt;2),"",LOOKUP(2,1/(AI171:AV171&lt;&gt;""),AI171:AV171)-MIN(AI171:AV171))</t>
        </is>
      </c>
      <c r="AF171" s="49" t="inlineStr">
        <is>
          <t>IF(OR(AD171="",AC171="Not started",AC171=""),"",IFERROR(AD171-IF(VLOOKUP(AC171,'06_Status_Pipeline'!$B$3:$E$20,4,FALSE)="",0,VLOOKUP(AC171,'06_Status_Pipeline'!$B$3:$E$20,4,FALSE)),""))</t>
        </is>
      </c>
      <c r="AG171" s="42" t="inlineStr">
        <is>
          <t>IF(F171="","",IF(OR(AA171="Cancelled",AC171="Cancelled"),"Cancelled",IF(OR(AC171="Completed / Handover",Y171&lt;&gt;"",Z171&gt;=100),"Completed — on track",IF(O171="Not awarded",IF(U171="",IF(X171="","No planned date",IF(TODAY()&gt;X171,"Behind — past planned date",IF(X171-TODAY()&lt;=30,"At risk — close to off track","On track"))),IF(TODAY()&gt;U171,"Behind — award date passed",IF(U171-TODAY()&lt;=30,"At risk — close to off track","On track"))),IF(X171="","No planned date",IF(AND(TODAY()&gt;X171,OR(Z171="",Z171&lt;100)),"Behind — past end date",IF(AND(T171&lt;&gt;"",X171&lt;&gt;"",Z171&lt;&gt;"",(Z171&lt;100),((TODAY()-T171)/MAX(X171-T171,1)*100)-Z171&gt;15),"Behind — progress lag",IF(AND(X171-TODAY()&lt;=30,X171-TODAY()&gt;=0,OR(Z171="",Z171&lt;90)),"At risk — close to off track","On track"))))))))</t>
        </is>
      </c>
      <c r="AH171" s="49" t="inlineStr">
        <is>
          <t>IF(OR(F171="",AC171="Completed / Handover",AC171="Cancelled"),"",IF(O171="Not awarded",IF(U171&lt;&gt;"",U171-TODAY(),IF(X171="","",X171-TODAY())),IF(X171="","",X171-TODAY())))</t>
        </is>
      </c>
      <c r="AI171" s="47" t="n"/>
      <c r="AJ171" s="47" t="n"/>
      <c r="AK171" s="47" t="n"/>
      <c r="AL171" s="47" t="n"/>
      <c r="AM171" s="47" t="n"/>
      <c r="AN171" s="47" t="n"/>
      <c r="AO171" s="47" t="n"/>
      <c r="AP171" s="47" t="n"/>
      <c r="AQ171" s="47" t="n"/>
      <c r="AR171" s="47" t="n"/>
      <c r="AS171" s="47" t="n"/>
      <c r="AT171" s="50" t="n"/>
      <c r="AU171" s="50" t="n"/>
      <c r="AV171" s="50" t="n"/>
      <c r="AW171" s="49" t="inlineStr">
        <is>
          <t>IF(OR(F171="",AJ171=""),"",IF(COUNT(AI171:AI171)=0,"",AJ171-LOOKUP(2,1/(AI171:AI171&lt;&gt;""),AI171:AI171)))</t>
        </is>
      </c>
      <c r="AX171" s="49" t="inlineStr">
        <is>
          <t>IF(OR(F171="",AK171=""),"",IF(COUNT(AI171:AJ171)=0,"",AK171-LOOKUP(2,1/(AI171:AJ171&lt;&gt;""),AI171:AJ171)))</t>
        </is>
      </c>
      <c r="AY171" s="49" t="inlineStr">
        <is>
          <t>IF(OR(F171="",AL171=""),"",IF(COUNT(AI171:AK171)=0,"",AL171-LOOKUP(2,1/(AI171:AK171&lt;&gt;""),AI171:AK171)))</t>
        </is>
      </c>
      <c r="AZ171" s="49" t="inlineStr">
        <is>
          <t>IF(OR(F171="",AM171=""),"",IF(COUNT(AI171:AL171)=0,"",AM171-LOOKUP(2,1/(AI171:AL171&lt;&gt;""),AI171:AL171)))</t>
        </is>
      </c>
      <c r="BA171" s="49" t="inlineStr">
        <is>
          <t>IF(OR(F171="",AN171=""),"",IF(COUNT(AI171:AM171)=0,"",AN171-LOOKUP(2,1/(AI171:AM171&lt;&gt;""),AI171:AM171)))</t>
        </is>
      </c>
      <c r="BB171" s="49" t="inlineStr">
        <is>
          <t>IF(OR(F171="",AO171=""),"",IF(COUNT(AI171:AN171)=0,"",AO171-LOOKUP(2,1/(AI171:AN171&lt;&gt;""),AI171:AN171)))</t>
        </is>
      </c>
      <c r="BC171" s="49" t="inlineStr">
        <is>
          <t>IF(OR(F171="",AP171=""),"",IF(COUNT(AI171:AO171)=0,"",AP171-LOOKUP(2,1/(AI171:AO171&lt;&gt;""),AI171:AO171)))</t>
        </is>
      </c>
      <c r="BD171" s="49" t="inlineStr">
        <is>
          <t>IF(OR(F171="",AQ171=""),"",IF(COUNT(AI171:AP171)=0,"",AQ171-LOOKUP(2,1/(AI171:AP171&lt;&gt;""),AI171:AP171)))</t>
        </is>
      </c>
      <c r="BE171" s="49" t="inlineStr">
        <is>
          <t>IF(OR(F171="",AR171=""),"",IF(COUNT(AI171:AQ171)=0,"",AR171-LOOKUP(2,1/(AI171:AQ171&lt;&gt;""),AI171:AQ171)))</t>
        </is>
      </c>
      <c r="BF171" s="49" t="inlineStr">
        <is>
          <t>IF(OR(F171="",AS171=""),"",IF(COUNT(AI171:AR171)=0,"",AS171-LOOKUP(2,1/(AI171:AR171&lt;&gt;""),AI171:AR171)))</t>
        </is>
      </c>
      <c r="BG171" s="49" t="inlineStr">
        <is>
          <t>IF(OR(F171="",AT171=""),"",IF(COUNT(AI171:AS171)=0,"",AT171-LOOKUP(2,1/(AI171:AS171&lt;&gt;""),AI171:AS171)))</t>
        </is>
      </c>
      <c r="BH171" s="49" t="inlineStr">
        <is>
          <t>IF(OR(F171="",AU171=""),"",IF(COUNT(AI171:AT171)=0,"",AU171-LOOKUP(2,1/(AI171:AT171&lt;&gt;""),AI171:AT171)))</t>
        </is>
      </c>
      <c r="BI171" s="49" t="inlineStr">
        <is>
          <t>IF(OR(F171="",AV171=""),"",IF(COUNT(AI171:AU171)=0,"",AV171-LOOKUP(2,1/(AI171:AU171&lt;&gt;""),AI171:AU171)))</t>
        </is>
      </c>
      <c r="BJ171" s="51" t="inlineStr">
        <is>
          <t>IF(J171="","All_Provinces",IFERROR(VLOOKUP(J171,'09_Lookups'!$A$4:$B$20,2,FALSE),"All_Provinces"))</t>
        </is>
      </c>
      <c r="BK171" s="51" t="inlineStr">
        <is>
          <t>IF(K171="","All_Districts",IFERROR(VLOOKUP(K171,'09_Lookups'!$E$4:$F$42,2,FALSE),"All_Districts"))</t>
        </is>
      </c>
    </row>
    <row r="172" ht="18" customHeight="1">
      <c r="A172" s="32" t="inlineStr">
        <is>
          <t>IF(F172="","",ROW()-3)</t>
        </is>
      </c>
      <c r="B172" s="56" t="inlineStr">
        <is>
          <t>AF2-IS-16</t>
        </is>
      </c>
      <c r="C172" s="56" t="inlineStr">
        <is>
          <t>Package #16-AF2 IS: Rehabilitation of Pato (Paye Raqul, Sangchal Takhomak and Kadalak) Cluster canal irrigation scheme in Pato district of Daykundi province</t>
        </is>
      </c>
      <c r="D172" s="56" t="inlineStr">
        <is>
          <t>1 of 1</t>
        </is>
      </c>
      <c r="E172" s="34" t="inlineStr">
        <is>
          <t>AF2-IS-A-017</t>
        </is>
      </c>
      <c r="F172" s="34" t="inlineStr">
        <is>
          <t>Pato Irrigation Canal Cluster of (Paye Raqul, Sangchal Takhomak and Kadalak)</t>
        </is>
      </c>
      <c r="G172" s="34" t="inlineStr">
        <is>
          <t>Irrigation Scheme</t>
        </is>
      </c>
      <c r="H172" s="34" t="inlineStr">
        <is>
          <t>Irrigation Canal</t>
        </is>
      </c>
      <c r="I172" s="34" t="inlineStr">
        <is>
          <t>Emergency Food Security Project (EFSP) – WBK/AF-2</t>
        </is>
      </c>
      <c r="J172" s="34" t="inlineStr">
        <is>
          <t>Central Highland / Bamyan</t>
        </is>
      </c>
      <c r="K172" s="34" t="inlineStr">
        <is>
          <t>Daykundi</t>
        </is>
      </c>
      <c r="L172" s="34" t="inlineStr">
        <is>
          <t>Pato</t>
        </is>
      </c>
      <c r="M172" s="34" t="inlineStr">
        <is>
          <t>Paye Raqul, Sangchal Takhomak and Kadalak</t>
        </is>
      </c>
      <c r="N172" s="34" t="inlineStr">
        <is>
          <t>World Bank (WBK/AF-2)</t>
        </is>
      </c>
      <c r="O172" s="34" t="inlineStr">
        <is>
          <t>Awarded</t>
        </is>
      </c>
      <c r="P172" s="34" t="inlineStr">
        <is>
          <t>1.Awarded contracts_On&amp;off-farm</t>
        </is>
      </c>
      <c r="Q172" s="34" t="inlineStr">
        <is>
          <t>Estehkam Baba Construction Company JV Tamadon Bamik Construction Company (EBCC)</t>
        </is>
      </c>
      <c r="R172" s="34" t="inlineStr">
        <is>
          <t>007/2026</t>
        </is>
      </c>
      <c r="S172" s="35" t="n">
        <v>232647.5</v>
      </c>
      <c r="T172" s="36" t="inlineStr">
        <is>
          <t>IF(AQ172="","",AQ172)</t>
        </is>
      </c>
      <c r="U172" s="37" t="n"/>
      <c r="V172" s="38" t="n">
        <v>12</v>
      </c>
      <c r="W172" s="37" t="n">
        <v>46407</v>
      </c>
      <c r="X172" s="36" t="inlineStr">
        <is>
          <t>IF(W172&lt;&gt;"",W172,IF(OR(T172="",V172=""),"",EDATE(T172,V172)))</t>
        </is>
      </c>
      <c r="Y172" s="37" t="n"/>
      <c r="Z172" s="38" t="n">
        <v>100</v>
      </c>
      <c r="AA172" s="34" t="inlineStr">
        <is>
          <t>Completed / Handover</t>
        </is>
      </c>
      <c r="AB172" s="34" t="inlineStr">
        <is>
          <t>Completed in July 2026. | Actual completion: July. 2026</t>
        </is>
      </c>
      <c r="AC172" s="32" t="inlineStr">
        <is>
          <t>IF(F172="","",IF(COUNT(AI172:AV172)=0,IF(AA172="","Not started",AA172),SUBSTITUTE(LOOKUP(2,1/(AI172:AV172&lt;&gt;""),$AI$3:$AV$3),"Date: ","")))</t>
        </is>
      </c>
      <c r="AD172" s="39" t="inlineStr">
        <is>
          <t>IF(OR(F172="",COUNT(AI172:AV172)=0),"",TODAY()-LOOKUP(2,1/(AI172:AV172&lt;&gt;""),AI172:AV172))</t>
        </is>
      </c>
      <c r="AE172" s="39" t="inlineStr">
        <is>
          <t>IF(OR(F172="",COUNT(AI172:AV172)&lt;2),"",LOOKUP(2,1/(AI172:AV172&lt;&gt;""),AI172:AV172)-MIN(AI172:AV172))</t>
        </is>
      </c>
      <c r="AF172" s="39" t="inlineStr">
        <is>
          <t>IF(OR(AD172="",AC172="Not started",AC172=""),"",IFERROR(AD172-IF(VLOOKUP(AC172,'06_Status_Pipeline'!$B$3:$E$20,4,FALSE)="",0,VLOOKUP(AC172,'06_Status_Pipeline'!$B$3:$E$20,4,FALSE)),""))</t>
        </is>
      </c>
      <c r="AG172" s="32" t="inlineStr">
        <is>
          <t>IF(F172="","",IF(OR(AA172="Cancelled",AC172="Cancelled"),"Cancelled",IF(OR(AC172="Completed / Handover",Y172&lt;&gt;"",Z172&gt;=100),"Completed — on track",IF(O172="Not awarded",IF(U172="",IF(X172="","No planned date",IF(TODAY()&gt;X172,"Behind — past planned date",IF(X172-TODAY()&lt;=30,"At risk — close to off track","On track"))),IF(TODAY()&gt;U172,"Behind — award date passed",IF(U172-TODAY()&lt;=30,"At risk — close to off track","On track"))),IF(X172="","No planned date",IF(AND(TODAY()&gt;X172,OR(Z172="",Z172&lt;100)),"Behind — past end date",IF(AND(T172&lt;&gt;"",X172&lt;&gt;"",Z172&lt;&gt;"",(Z172&lt;100),((TODAY()-T172)/MAX(X172-T172,1)*100)-Z172&gt;15),"Behind — progress lag",IF(AND(X172-TODAY()&lt;=30,X172-TODAY()&gt;=0,OR(Z172="",Z172&lt;90)),"At risk — close to off track","On track"))))))))</t>
        </is>
      </c>
      <c r="AH172" s="39" t="inlineStr">
        <is>
          <t>IF(OR(F172="",AC172="Completed / Handover",AC172="Cancelled"),"",IF(O172="Not awarded",IF(U172&lt;&gt;"",U172-TODAY(),IF(X172="","",X172-TODAY())),IF(X172="","",X172-TODAY())))</t>
        </is>
      </c>
      <c r="AI172" s="66" t="n"/>
      <c r="AJ172" s="66" t="n"/>
      <c r="AK172" s="66" t="n"/>
      <c r="AL172" s="66" t="n"/>
      <c r="AM172" s="66" t="n"/>
      <c r="AN172" s="66" t="n"/>
      <c r="AO172" s="66" t="n"/>
      <c r="AP172" s="66" t="n"/>
      <c r="AQ172" s="66" t="n">
        <v>46043</v>
      </c>
      <c r="AR172" s="66" t="n">
        <v>46043</v>
      </c>
      <c r="AS172" s="66" t="n">
        <v>46407</v>
      </c>
      <c r="AT172" s="40" t="n"/>
      <c r="AU172" s="40" t="n"/>
      <c r="AV172" s="40" t="n"/>
      <c r="AW172" s="39" t="inlineStr">
        <is>
          <t>IF(OR(F172="",AJ172=""),"",IF(COUNT(AI172:AI172)=0,"",AJ172-LOOKUP(2,1/(AI172:AI172&lt;&gt;""),AI172:AI172)))</t>
        </is>
      </c>
      <c r="AX172" s="39" t="inlineStr">
        <is>
          <t>IF(OR(F172="",AK172=""),"",IF(COUNT(AI172:AJ172)=0,"",AK172-LOOKUP(2,1/(AI172:AJ172&lt;&gt;""),AI172:AJ172)))</t>
        </is>
      </c>
      <c r="AY172" s="39" t="inlineStr">
        <is>
          <t>IF(OR(F172="",AL172=""),"",IF(COUNT(AI172:AK172)=0,"",AL172-LOOKUP(2,1/(AI172:AK172&lt;&gt;""),AI172:AK172)))</t>
        </is>
      </c>
      <c r="AZ172" s="39" t="inlineStr">
        <is>
          <t>IF(OR(F172="",AM172=""),"",IF(COUNT(AI172:AL172)=0,"",AM172-LOOKUP(2,1/(AI172:AL172&lt;&gt;""),AI172:AL172)))</t>
        </is>
      </c>
      <c r="BA172" s="39" t="inlineStr">
        <is>
          <t>IF(OR(F172="",AN172=""),"",IF(COUNT(AI172:AM172)=0,"",AN172-LOOKUP(2,1/(AI172:AM172&lt;&gt;""),AI172:AM172)))</t>
        </is>
      </c>
      <c r="BB172" s="39" t="inlineStr">
        <is>
          <t>IF(OR(F172="",AO172=""),"",IF(COUNT(AI172:AN172)=0,"",AO172-LOOKUP(2,1/(AI172:AN172&lt;&gt;""),AI172:AN172)))</t>
        </is>
      </c>
      <c r="BC172" s="39" t="inlineStr">
        <is>
          <t>IF(OR(F172="",AP172=""),"",IF(COUNT(AI172:AO172)=0,"",AP172-LOOKUP(2,1/(AI172:AO172&lt;&gt;""),AI172:AO172)))</t>
        </is>
      </c>
      <c r="BD172" s="39" t="inlineStr">
        <is>
          <t>IF(OR(F172="",AQ172=""),"",IF(COUNT(AI172:AP172)=0,"",AQ172-LOOKUP(2,1/(AI172:AP172&lt;&gt;""),AI172:AP172)))</t>
        </is>
      </c>
      <c r="BE172" s="39" t="inlineStr">
        <is>
          <t>IF(OR(F172="",AR172=""),"",IF(COUNT(AI172:AQ172)=0,"",AR172-LOOKUP(2,1/(AI172:AQ172&lt;&gt;""),AI172:AQ172)))</t>
        </is>
      </c>
      <c r="BF172" s="39" t="inlineStr">
        <is>
          <t>IF(OR(F172="",AS172=""),"",IF(COUNT(AI172:AR172)=0,"",AS172-LOOKUP(2,1/(AI172:AR172&lt;&gt;""),AI172:AR172)))</t>
        </is>
      </c>
      <c r="BG172" s="39" t="inlineStr">
        <is>
          <t>IF(OR(F172="",AT172=""),"",IF(COUNT(AI172:AS172)=0,"",AT172-LOOKUP(2,1/(AI172:AS172&lt;&gt;""),AI172:AS172)))</t>
        </is>
      </c>
      <c r="BH172" s="39" t="inlineStr">
        <is>
          <t>IF(OR(F172="",AU172=""),"",IF(COUNT(AI172:AT172)=0,"",AU172-LOOKUP(2,1/(AI172:AT172&lt;&gt;""),AI172:AT172)))</t>
        </is>
      </c>
      <c r="BI172" s="39" t="inlineStr">
        <is>
          <t>IF(OR(F172="",AV172=""),"",IF(COUNT(AI172:AU172)=0,"",AV172-LOOKUP(2,1/(AI172:AU172&lt;&gt;""),AI172:AU172)))</t>
        </is>
      </c>
      <c r="BJ172" s="41" t="inlineStr">
        <is>
          <t>IF(J172="","All_Provinces",IFERROR(VLOOKUP(J172,'09_Lookups'!$A$4:$B$20,2,FALSE),"All_Provinces"))</t>
        </is>
      </c>
      <c r="BK172" s="41" t="inlineStr">
        <is>
          <t>IF(K172="","All_Districts",IFERROR(VLOOKUP(K172,'09_Lookups'!$E$4:$F$42,2,FALSE),"All_Districts"))</t>
        </is>
      </c>
    </row>
    <row r="173" ht="18" customHeight="1">
      <c r="A173" s="32" t="inlineStr">
        <is>
          <t>IF(F173="","",ROW()-3)</t>
        </is>
      </c>
      <c r="B173" s="62" t="inlineStr">
        <is>
          <t>AF2-IS-17</t>
        </is>
      </c>
      <c r="C173" s="62" t="inlineStr">
        <is>
          <t>Package #17-AF2 IS: Rehabilitation of Hezhdi- Nilli, Cluster Canal irrigation schemes, located in Nilli district of Daykundi province.</t>
        </is>
      </c>
      <c r="D173" s="62" t="inlineStr">
        <is>
          <t>1 of 1</t>
        </is>
      </c>
      <c r="E173" s="57" t="inlineStr">
        <is>
          <t>AF2-IS-N-014</t>
        </is>
      </c>
      <c r="F173" s="57" t="inlineStr">
        <is>
          <t>Hezhdi- Nilli Charsapan Cluster Canal irrigation schemes</t>
        </is>
      </c>
      <c r="G173" s="57" t="inlineStr">
        <is>
          <t>Irrigation Scheme</t>
        </is>
      </c>
      <c r="H173" s="57" t="inlineStr">
        <is>
          <t>Irrigation Canal</t>
        </is>
      </c>
      <c r="I173" s="57" t="inlineStr">
        <is>
          <t>Emergency Food Security Project (EFSP) – WBK/AF-2</t>
        </is>
      </c>
      <c r="J173" s="57" t="inlineStr">
        <is>
          <t>Central Highland / Bamyan</t>
        </is>
      </c>
      <c r="K173" s="57" t="inlineStr">
        <is>
          <t>Daykundi</t>
        </is>
      </c>
      <c r="L173" s="57" t="inlineStr">
        <is>
          <t>Nilli</t>
        </is>
      </c>
      <c r="M173" s="57" t="inlineStr">
        <is>
          <t>Hezhdi</t>
        </is>
      </c>
      <c r="N173" s="57" t="inlineStr">
        <is>
          <t>World Bank (WBK/AF-2)</t>
        </is>
      </c>
      <c r="O173" s="57" t="inlineStr">
        <is>
          <t>Not awarded</t>
        </is>
      </c>
      <c r="P173" s="57" t="inlineStr">
        <is>
          <t>2.Remain contracts_On&amp;off-farm</t>
        </is>
      </c>
      <c r="Q173" s="57" t="inlineStr"/>
      <c r="R173" s="57" t="inlineStr"/>
      <c r="S173" s="58" t="n">
        <v>94951</v>
      </c>
      <c r="T173" s="36" t="inlineStr">
        <is>
          <t>IF(AQ173="","",AQ173)</t>
        </is>
      </c>
      <c r="U173" s="59" t="n">
        <v>46371</v>
      </c>
      <c r="V173" s="60" t="n">
        <v>8.9</v>
      </c>
      <c r="W173" s="59" t="n">
        <v>46641</v>
      </c>
      <c r="X173" s="36" t="inlineStr">
        <is>
          <t>IF(W173&lt;&gt;"",W173,IF(OR(T173="",V173=""),"",EDATE(T173,V173)))</t>
        </is>
      </c>
      <c r="Y173" s="59" t="n"/>
      <c r="Z173" s="60" t="n"/>
      <c r="AA173" s="57" t="inlineStr">
        <is>
          <t>Retendered (Re-ITB)</t>
        </is>
      </c>
      <c r="AB173" s="57" t="inlineStr">
        <is>
          <t>Three months slack period Jan-Mar during winter. Eight months construction period required for two canals. Explore possibility of BAFO and split to 2 contracts based on the outcome of the reITB</t>
        </is>
      </c>
      <c r="AC173" s="32" t="inlineStr">
        <is>
          <t>IF(F173="","",IF(COUNT(AI173:AV173)=0,IF(AA173="","Not started",AA173),SUBSTITUTE(LOOKUP(2,1/(AI173:AV173&lt;&gt;""),$AI$3:$AV$3),"Date: ","")))</t>
        </is>
      </c>
      <c r="AD173" s="39" t="inlineStr">
        <is>
          <t>IF(OR(F173="",COUNT(AI173:AV173)=0),"",TODAY()-LOOKUP(2,1/(AI173:AV173&lt;&gt;""),AI173:AV173))</t>
        </is>
      </c>
      <c r="AE173" s="39" t="inlineStr">
        <is>
          <t>IF(OR(F173="",COUNT(AI173:AV173)&lt;2),"",LOOKUP(2,1/(AI173:AV173&lt;&gt;""),AI173:AV173)-MIN(AI173:AV173))</t>
        </is>
      </c>
      <c r="AF173" s="39" t="inlineStr">
        <is>
          <t>IF(OR(AD173="",AC173="Not started",AC173=""),"",IFERROR(AD173-IF(VLOOKUP(AC173,'06_Status_Pipeline'!$B$3:$E$20,4,FALSE)="",0,VLOOKUP(AC173,'06_Status_Pipeline'!$B$3:$E$20,4,FALSE)),""))</t>
        </is>
      </c>
      <c r="AG173" s="32" t="inlineStr">
        <is>
          <t>IF(F173="","",IF(OR(AA173="Cancelled",AC173="Cancelled"),"Cancelled",IF(OR(AC173="Completed / Handover",Y173&lt;&gt;"",Z173&gt;=100),"Completed — on track",IF(O173="Not awarded",IF(U173="",IF(X173="","No planned date",IF(TODAY()&gt;X173,"Behind — past planned date",IF(X173-TODAY()&lt;=30,"At risk — close to off track","On track"))),IF(TODAY()&gt;U173,"Behind — award date passed",IF(U173-TODAY()&lt;=30,"At risk — close to off track","On track"))),IF(X173="","No planned date",IF(AND(TODAY()&gt;X173,OR(Z173="",Z173&lt;100)),"Behind — past end date",IF(AND(T173&lt;&gt;"",X173&lt;&gt;"",Z173&lt;&gt;"",(Z173&lt;100),((TODAY()-T173)/MAX(X173-T173,1)*100)-Z173&gt;15),"Behind — progress lag",IF(AND(X173-TODAY()&lt;=30,X173-TODAY()&gt;=0,OR(Z173="",Z173&lt;90)),"At risk — close to off track","On track"))))))))</t>
        </is>
      </c>
      <c r="AH173" s="39" t="inlineStr">
        <is>
          <t>IF(OR(F173="",AC173="Completed / Handover",AC173="Cancelled"),"",IF(O173="Not awarded",IF(U173&lt;&gt;"",U173-TODAY(),IF(X173="","",X173-TODAY())),IF(X173="","",X173-TODAY())))</t>
        </is>
      </c>
      <c r="AI173" s="59" t="n"/>
      <c r="AJ173" s="59" t="n"/>
      <c r="AK173" s="59" t="n"/>
      <c r="AL173" s="59" t="n"/>
      <c r="AM173" s="59" t="n"/>
      <c r="AN173" s="59" t="n"/>
      <c r="AO173" s="59" t="n"/>
      <c r="AP173" s="59" t="n"/>
      <c r="AQ173" s="59" t="n"/>
      <c r="AR173" s="59" t="n"/>
      <c r="AS173" s="59" t="n"/>
      <c r="AT173" s="40" t="n"/>
      <c r="AU173" s="40" t="n"/>
      <c r="AV173" s="40" t="n"/>
      <c r="AW173" s="39" t="inlineStr">
        <is>
          <t>IF(OR(F173="",AJ173=""),"",IF(COUNT(AI173:AI173)=0,"",AJ173-LOOKUP(2,1/(AI173:AI173&lt;&gt;""),AI173:AI173)))</t>
        </is>
      </c>
      <c r="AX173" s="39" t="inlineStr">
        <is>
          <t>IF(OR(F173="",AK173=""),"",IF(COUNT(AI173:AJ173)=0,"",AK173-LOOKUP(2,1/(AI173:AJ173&lt;&gt;""),AI173:AJ173)))</t>
        </is>
      </c>
      <c r="AY173" s="39" t="inlineStr">
        <is>
          <t>IF(OR(F173="",AL173=""),"",IF(COUNT(AI173:AK173)=0,"",AL173-LOOKUP(2,1/(AI173:AK173&lt;&gt;""),AI173:AK173)))</t>
        </is>
      </c>
      <c r="AZ173" s="39" t="inlineStr">
        <is>
          <t>IF(OR(F173="",AM173=""),"",IF(COUNT(AI173:AL173)=0,"",AM173-LOOKUP(2,1/(AI173:AL173&lt;&gt;""),AI173:AL173)))</t>
        </is>
      </c>
      <c r="BA173" s="39" t="inlineStr">
        <is>
          <t>IF(OR(F173="",AN173=""),"",IF(COUNT(AI173:AM173)=0,"",AN173-LOOKUP(2,1/(AI173:AM173&lt;&gt;""),AI173:AM173)))</t>
        </is>
      </c>
      <c r="BB173" s="39" t="inlineStr">
        <is>
          <t>IF(OR(F173="",AO173=""),"",IF(COUNT(AI173:AN173)=0,"",AO173-LOOKUP(2,1/(AI173:AN173&lt;&gt;""),AI173:AN173)))</t>
        </is>
      </c>
      <c r="BC173" s="39" t="inlineStr">
        <is>
          <t>IF(OR(F173="",AP173=""),"",IF(COUNT(AI173:AO173)=0,"",AP173-LOOKUP(2,1/(AI173:AO173&lt;&gt;""),AI173:AO173)))</t>
        </is>
      </c>
      <c r="BD173" s="39" t="inlineStr">
        <is>
          <t>IF(OR(F173="",AQ173=""),"",IF(COUNT(AI173:AP173)=0,"",AQ173-LOOKUP(2,1/(AI173:AP173&lt;&gt;""),AI173:AP173)))</t>
        </is>
      </c>
      <c r="BE173" s="39" t="inlineStr">
        <is>
          <t>IF(OR(F173="",AR173=""),"",IF(COUNT(AI173:AQ173)=0,"",AR173-LOOKUP(2,1/(AI173:AQ173&lt;&gt;""),AI173:AQ173)))</t>
        </is>
      </c>
      <c r="BF173" s="39" t="inlineStr">
        <is>
          <t>IF(OR(F173="",AS173=""),"",IF(COUNT(AI173:AR173)=0,"",AS173-LOOKUP(2,1/(AI173:AR173&lt;&gt;""),AI173:AR173)))</t>
        </is>
      </c>
      <c r="BG173" s="39" t="inlineStr">
        <is>
          <t>IF(OR(F173="",AT173=""),"",IF(COUNT(AI173:AS173)=0,"",AT173-LOOKUP(2,1/(AI173:AS173&lt;&gt;""),AI173:AS173)))</t>
        </is>
      </c>
      <c r="BH173" s="39" t="inlineStr">
        <is>
          <t>IF(OR(F173="",AU173=""),"",IF(COUNT(AI173:AT173)=0,"",AU173-LOOKUP(2,1/(AI173:AT173&lt;&gt;""),AI173:AT173)))</t>
        </is>
      </c>
      <c r="BI173" s="39" t="inlineStr">
        <is>
          <t>IF(OR(F173="",AV173=""),"",IF(COUNT(AI173:AU173)=0,"",AV173-LOOKUP(2,1/(AI173:AU173&lt;&gt;""),AI173:AU173)))</t>
        </is>
      </c>
      <c r="BJ173" s="41" t="inlineStr">
        <is>
          <t>IF(J173="","All_Provinces",IFERROR(VLOOKUP(J173,'09_Lookups'!$A$4:$B$20,2,FALSE),"All_Provinces"))</t>
        </is>
      </c>
      <c r="BK173" s="41" t="inlineStr">
        <is>
          <t>IF(K173="","All_Districts",IFERROR(VLOOKUP(K173,'09_Lookups'!$E$4:$F$42,2,FALSE),"All_Districts"))</t>
        </is>
      </c>
    </row>
    <row r="174" ht="18" customHeight="1">
      <c r="A174" s="32" t="inlineStr">
        <is>
          <t>IF(F174="","",ROW()-3)</t>
        </is>
      </c>
      <c r="B174" s="64" t="inlineStr">
        <is>
          <t>AF2-IS-18</t>
        </is>
      </c>
      <c r="C174" s="64" t="inlineStr">
        <is>
          <t>Package #18-AF2 IS: Rehabilitation of Drang canal irrigation schemes, located in Zurmat district of Paktya province.</t>
        </is>
      </c>
      <c r="D174" s="64" t="inlineStr">
        <is>
          <t>1 of 1</t>
        </is>
      </c>
      <c r="E174" s="34" t="inlineStr">
        <is>
          <t>AF2-IS-N-015</t>
        </is>
      </c>
      <c r="F174" s="34" t="inlineStr">
        <is>
          <t>Drang canal irrigation Scheme (On-FWM Project)</t>
        </is>
      </c>
      <c r="G174" s="34" t="inlineStr">
        <is>
          <t>Irrigation Scheme</t>
        </is>
      </c>
      <c r="H174" s="34" t="inlineStr">
        <is>
          <t>Irrigation Canal</t>
        </is>
      </c>
      <c r="I174" s="34" t="inlineStr">
        <is>
          <t>Emergency Food Security Project (EFSP) – WBK/AF-2</t>
        </is>
      </c>
      <c r="J174" s="34" t="inlineStr">
        <is>
          <t>Central Highland / Bamyan</t>
        </is>
      </c>
      <c r="K174" s="34" t="inlineStr">
        <is>
          <t>Paktya</t>
        </is>
      </c>
      <c r="L174" s="34" t="inlineStr">
        <is>
          <t>Zurmat</t>
        </is>
      </c>
      <c r="M174" s="34" t="inlineStr">
        <is>
          <t>Drang</t>
        </is>
      </c>
      <c r="N174" s="34" t="inlineStr">
        <is>
          <t>World Bank (WBK/AF-2)</t>
        </is>
      </c>
      <c r="O174" s="34" t="inlineStr">
        <is>
          <t>Not awarded</t>
        </is>
      </c>
      <c r="P174" s="34" t="inlineStr">
        <is>
          <t>2.Remain contracts_On&amp;off-farm</t>
        </is>
      </c>
      <c r="Q174" s="34" t="inlineStr"/>
      <c r="R174" s="34" t="inlineStr"/>
      <c r="S174" s="35" t="n">
        <v>393953</v>
      </c>
      <c r="T174" s="36" t="inlineStr">
        <is>
          <t>IF(AQ174="","",AQ174)</t>
        </is>
      </c>
      <c r="U174" s="37" t="n">
        <v>46356</v>
      </c>
      <c r="V174" s="38" t="n">
        <v>11</v>
      </c>
      <c r="W174" s="37" t="n">
        <v>46689</v>
      </c>
      <c r="X174" s="36" t="inlineStr">
        <is>
          <t>IF(W174&lt;&gt;"",W174,IF(OR(T174="",V174=""),"",EDATE(T174,V174)))</t>
        </is>
      </c>
      <c r="Y174" s="37" t="n"/>
      <c r="Z174" s="38" t="n"/>
      <c r="AA174" s="34" t="inlineStr">
        <is>
          <t>ITB Launched</t>
        </is>
      </c>
      <c r="AB174" s="34" t="inlineStr">
        <is>
          <t>Three months slack period Jan-Mar during winter. Nine months construction period required for the cluster canals in two districts</t>
        </is>
      </c>
      <c r="AC174" s="32" t="inlineStr">
        <is>
          <t>IF(F174="","",IF(COUNT(AI174:AV174)=0,IF(AA174="","Not started",AA174),SUBSTITUTE(LOOKUP(2,1/(AI174:AV174&lt;&gt;""),$AI$3:$AV$3),"Date: ","")))</t>
        </is>
      </c>
      <c r="AD174" s="39" t="inlineStr">
        <is>
          <t>IF(OR(F174="",COUNT(AI174:AV174)=0),"",TODAY()-LOOKUP(2,1/(AI174:AV174&lt;&gt;""),AI174:AV174))</t>
        </is>
      </c>
      <c r="AE174" s="39" t="inlineStr">
        <is>
          <t>IF(OR(F174="",COUNT(AI174:AV174)&lt;2),"",LOOKUP(2,1/(AI174:AV174&lt;&gt;""),AI174:AV174)-MIN(AI174:AV174))</t>
        </is>
      </c>
      <c r="AF174" s="39" t="inlineStr">
        <is>
          <t>IF(OR(AD174="",AC174="Not started",AC174=""),"",IFERROR(AD174-IF(VLOOKUP(AC174,'06_Status_Pipeline'!$B$3:$E$20,4,FALSE)="",0,VLOOKUP(AC174,'06_Status_Pipeline'!$B$3:$E$20,4,FALSE)),""))</t>
        </is>
      </c>
      <c r="AG174" s="32" t="inlineStr">
        <is>
          <t>IF(F174="","",IF(OR(AA174="Cancelled",AC174="Cancelled"),"Cancelled",IF(OR(AC174="Completed / Handover",Y174&lt;&gt;"",Z174&gt;=100),"Completed — on track",IF(O174="Not awarded",IF(U174="",IF(X174="","No planned date",IF(TODAY()&gt;X174,"Behind — past planned date",IF(X174-TODAY()&lt;=30,"At risk — close to off track","On track"))),IF(TODAY()&gt;U174,"Behind — award date passed",IF(U174-TODAY()&lt;=30,"At risk — close to off track","On track"))),IF(X174="","No planned date",IF(AND(TODAY()&gt;X174,OR(Z174="",Z174&lt;100)),"Behind — past end date",IF(AND(T174&lt;&gt;"",X174&lt;&gt;"",Z174&lt;&gt;"",(Z174&lt;100),((TODAY()-T174)/MAX(X174-T174,1)*100)-Z174&gt;15),"Behind — progress lag",IF(AND(X174-TODAY()&lt;=30,X174-TODAY()&gt;=0,OR(Z174="",Z174&lt;90)),"At risk — close to off track","On track"))))))))</t>
        </is>
      </c>
      <c r="AH174" s="39" t="inlineStr">
        <is>
          <t>IF(OR(F174="",AC174="Completed / Handover",AC174="Cancelled"),"",IF(O174="Not awarded",IF(U174&lt;&gt;"",U174-TODAY(),IF(X174="","",X174-TODAY())),IF(X174="","",X174-TODAY())))</t>
        </is>
      </c>
      <c r="AI174" s="37" t="n"/>
      <c r="AJ174" s="37" t="n"/>
      <c r="AK174" s="37" t="n"/>
      <c r="AL174" s="37" t="n"/>
      <c r="AM174" s="37" t="n"/>
      <c r="AN174" s="37" t="n"/>
      <c r="AO174" s="37" t="n"/>
      <c r="AP174" s="37" t="n"/>
      <c r="AQ174" s="37" t="n"/>
      <c r="AR174" s="37" t="n"/>
      <c r="AS174" s="37" t="n"/>
      <c r="AT174" s="40" t="n"/>
      <c r="AU174" s="40" t="n"/>
      <c r="AV174" s="40" t="n"/>
      <c r="AW174" s="39" t="inlineStr">
        <is>
          <t>IF(OR(F174="",AJ174=""),"",IF(COUNT(AI174:AI174)=0,"",AJ174-LOOKUP(2,1/(AI174:AI174&lt;&gt;""),AI174:AI174)))</t>
        </is>
      </c>
      <c r="AX174" s="39" t="inlineStr">
        <is>
          <t>IF(OR(F174="",AK174=""),"",IF(COUNT(AI174:AJ174)=0,"",AK174-LOOKUP(2,1/(AI174:AJ174&lt;&gt;""),AI174:AJ174)))</t>
        </is>
      </c>
      <c r="AY174" s="39" t="inlineStr">
        <is>
          <t>IF(OR(F174="",AL174=""),"",IF(COUNT(AI174:AK174)=0,"",AL174-LOOKUP(2,1/(AI174:AK174&lt;&gt;""),AI174:AK174)))</t>
        </is>
      </c>
      <c r="AZ174" s="39" t="inlineStr">
        <is>
          <t>IF(OR(F174="",AM174=""),"",IF(COUNT(AI174:AL174)=0,"",AM174-LOOKUP(2,1/(AI174:AL174&lt;&gt;""),AI174:AL174)))</t>
        </is>
      </c>
      <c r="BA174" s="39" t="inlineStr">
        <is>
          <t>IF(OR(F174="",AN174=""),"",IF(COUNT(AI174:AM174)=0,"",AN174-LOOKUP(2,1/(AI174:AM174&lt;&gt;""),AI174:AM174)))</t>
        </is>
      </c>
      <c r="BB174" s="39" t="inlineStr">
        <is>
          <t>IF(OR(F174="",AO174=""),"",IF(COUNT(AI174:AN174)=0,"",AO174-LOOKUP(2,1/(AI174:AN174&lt;&gt;""),AI174:AN174)))</t>
        </is>
      </c>
      <c r="BC174" s="39" t="inlineStr">
        <is>
          <t>IF(OR(F174="",AP174=""),"",IF(COUNT(AI174:AO174)=0,"",AP174-LOOKUP(2,1/(AI174:AO174&lt;&gt;""),AI174:AO174)))</t>
        </is>
      </c>
      <c r="BD174" s="39" t="inlineStr">
        <is>
          <t>IF(OR(F174="",AQ174=""),"",IF(COUNT(AI174:AP174)=0,"",AQ174-LOOKUP(2,1/(AI174:AP174&lt;&gt;""),AI174:AP174)))</t>
        </is>
      </c>
      <c r="BE174" s="39" t="inlineStr">
        <is>
          <t>IF(OR(F174="",AR174=""),"",IF(COUNT(AI174:AQ174)=0,"",AR174-LOOKUP(2,1/(AI174:AQ174&lt;&gt;""),AI174:AQ174)))</t>
        </is>
      </c>
      <c r="BF174" s="39" t="inlineStr">
        <is>
          <t>IF(OR(F174="",AS174=""),"",IF(COUNT(AI174:AR174)=0,"",AS174-LOOKUP(2,1/(AI174:AR174&lt;&gt;""),AI174:AR174)))</t>
        </is>
      </c>
      <c r="BG174" s="39" t="inlineStr">
        <is>
          <t>IF(OR(F174="",AT174=""),"",IF(COUNT(AI174:AS174)=0,"",AT174-LOOKUP(2,1/(AI174:AS174&lt;&gt;""),AI174:AS174)))</t>
        </is>
      </c>
      <c r="BH174" s="39" t="inlineStr">
        <is>
          <t>IF(OR(F174="",AU174=""),"",IF(COUNT(AI174:AT174)=0,"",AU174-LOOKUP(2,1/(AI174:AT174&lt;&gt;""),AI174:AT174)))</t>
        </is>
      </c>
      <c r="BI174" s="39" t="inlineStr">
        <is>
          <t>IF(OR(F174="",AV174=""),"",IF(COUNT(AI174:AU174)=0,"",AV174-LOOKUP(2,1/(AI174:AU174&lt;&gt;""),AI174:AU174)))</t>
        </is>
      </c>
      <c r="BJ174" s="41" t="inlineStr">
        <is>
          <t>IF(J174="","All_Provinces",IFERROR(VLOOKUP(J174,'09_Lookups'!$A$4:$B$20,2,FALSE),"All_Provinces"))</t>
        </is>
      </c>
      <c r="BK174" s="41" t="inlineStr">
        <is>
          <t>IF(K174="","All_Districts",IFERROR(VLOOKUP(K174,'09_Lookups'!$E$4:$F$42,2,FALSE),"All_Districts"))</t>
        </is>
      </c>
    </row>
    <row r="175" ht="18" customHeight="1">
      <c r="A175" s="32" t="inlineStr">
        <is>
          <t>IF(F175="","",ROW()-3)</t>
        </is>
      </c>
      <c r="B175" s="33" t="inlineStr">
        <is>
          <t>AF2-IS-19</t>
        </is>
      </c>
      <c r="C175" s="33" t="inlineStr">
        <is>
          <t>Package #19-AF2 IS: Rehabilitation of Khwaja Angor canal and Qalai Wazir canal irrigation schemes located in Kharwar and Pol-i-Alam districts of Logar province.</t>
        </is>
      </c>
      <c r="D175" s="33" t="inlineStr">
        <is>
          <t>1 of 2</t>
        </is>
      </c>
      <c r="E175" s="57" t="inlineStr">
        <is>
          <t>AF2-IS-A-018</t>
        </is>
      </c>
      <c r="F175" s="57" t="inlineStr">
        <is>
          <t>Khwaja Angor Irrigation Scheme (OFWM Project)</t>
        </is>
      </c>
      <c r="G175" s="57" t="inlineStr">
        <is>
          <t>Irrigation Scheme</t>
        </is>
      </c>
      <c r="H175" s="57" t="inlineStr">
        <is>
          <t>Irrigation Canal</t>
        </is>
      </c>
      <c r="I175" s="57" t="inlineStr">
        <is>
          <t>Emergency Food Security Project (EFSP) – WBK/AF-2</t>
        </is>
      </c>
      <c r="J175" s="57" t="inlineStr">
        <is>
          <t>Southeast / Gardez</t>
        </is>
      </c>
      <c r="K175" s="57" t="inlineStr">
        <is>
          <t>Logar</t>
        </is>
      </c>
      <c r="L175" s="57" t="inlineStr">
        <is>
          <t>Kharwar</t>
        </is>
      </c>
      <c r="M175" s="57" t="inlineStr">
        <is>
          <t>Khwaja Angor</t>
        </is>
      </c>
      <c r="N175" s="57" t="inlineStr">
        <is>
          <t>World Bank (WBK/AF-2)</t>
        </is>
      </c>
      <c r="O175" s="57" t="inlineStr">
        <is>
          <t>Awarded</t>
        </is>
      </c>
      <c r="P175" s="57" t="inlineStr">
        <is>
          <t>1.Awarded contracts_On&amp;off-farm</t>
        </is>
      </c>
      <c r="Q175" s="57" t="inlineStr">
        <is>
          <t>Unique Wahaj Construction Company (UWCC)</t>
        </is>
      </c>
      <c r="R175" s="57" t="inlineStr">
        <is>
          <t>074/2026</t>
        </is>
      </c>
      <c r="S175" s="58" t="n">
        <v>143249.77</v>
      </c>
      <c r="T175" s="36" t="inlineStr">
        <is>
          <t>IF(AQ175="","",AQ175)</t>
        </is>
      </c>
      <c r="U175" s="59" t="n"/>
      <c r="V175" s="60" t="n">
        <v>12</v>
      </c>
      <c r="W175" s="59" t="n">
        <v>46386</v>
      </c>
      <c r="X175" s="36" t="inlineStr">
        <is>
          <t>IF(W175&lt;&gt;"",W175,IF(OR(T175="",V175=""),"",EDATE(T175,V175)))</t>
        </is>
      </c>
      <c r="Y175" s="59" t="n"/>
      <c r="Z175" s="60" t="n">
        <v>98</v>
      </c>
      <c r="AA175" s="57" t="inlineStr">
        <is>
          <t>Under Construction</t>
        </is>
      </c>
      <c r="AB175" s="57" t="inlineStr">
        <is>
          <t>on track and will be completed in 2026</t>
        </is>
      </c>
      <c r="AC175" s="32" t="inlineStr">
        <is>
          <t>IF(F175="","",IF(COUNT(AI175:AV175)=0,IF(AA175="","Not started",AA175),SUBSTITUTE(LOOKUP(2,1/(AI175:AV175&lt;&gt;""),$AI$3:$AV$3),"Date: ","")))</t>
        </is>
      </c>
      <c r="AD175" s="39" t="inlineStr">
        <is>
          <t>IF(OR(F175="",COUNT(AI175:AV175)=0),"",TODAY()-LOOKUP(2,1/(AI175:AV175&lt;&gt;""),AI175:AV175))</t>
        </is>
      </c>
      <c r="AE175" s="39" t="inlineStr">
        <is>
          <t>IF(OR(F175="",COUNT(AI175:AV175)&lt;2),"",LOOKUP(2,1/(AI175:AV175&lt;&gt;""),AI175:AV175)-MIN(AI175:AV175))</t>
        </is>
      </c>
      <c r="AF175" s="39" t="inlineStr">
        <is>
          <t>IF(OR(AD175="",AC175="Not started",AC175=""),"",IFERROR(AD175-IF(VLOOKUP(AC175,'06_Status_Pipeline'!$B$3:$E$20,4,FALSE)="",0,VLOOKUP(AC175,'06_Status_Pipeline'!$B$3:$E$20,4,FALSE)),""))</t>
        </is>
      </c>
      <c r="AG175" s="32" t="inlineStr">
        <is>
          <t>IF(F175="","",IF(OR(AA175="Cancelled",AC175="Cancelled"),"Cancelled",IF(OR(AC175="Completed / Handover",Y175&lt;&gt;"",Z175&gt;=100),"Completed — on track",IF(O175="Not awarded",IF(U175="",IF(X175="","No planned date",IF(TODAY()&gt;X175,"Behind — past planned date",IF(X175-TODAY()&lt;=30,"At risk — close to off track","On track"))),IF(TODAY()&gt;U175,"Behind — award date passed",IF(U175-TODAY()&lt;=30,"At risk — close to off track","On track"))),IF(X175="","No planned date",IF(AND(TODAY()&gt;X175,OR(Z175="",Z175&lt;100)),"Behind — past end date",IF(AND(T175&lt;&gt;"",X175&lt;&gt;"",Z175&lt;&gt;"",(Z175&lt;100),((TODAY()-T175)/MAX(X175-T175,1)*100)-Z175&gt;15),"Behind — progress lag",IF(AND(X175-TODAY()&lt;=30,X175-TODAY()&gt;=0,OR(Z175="",Z175&lt;90)),"At risk — close to off track","On track"))))))))</t>
        </is>
      </c>
      <c r="AH175" s="39" t="inlineStr">
        <is>
          <t>IF(OR(F175="",AC175="Completed / Handover",AC175="Cancelled"),"",IF(O175="Not awarded",IF(U175&lt;&gt;"",U175-TODAY(),IF(X175="","",X175-TODAY())),IF(X175="","",X175-TODAY())))</t>
        </is>
      </c>
      <c r="AI175" s="66" t="n"/>
      <c r="AJ175" s="66" t="n"/>
      <c r="AK175" s="66" t="n"/>
      <c r="AL175" s="66" t="n"/>
      <c r="AM175" s="66" t="n"/>
      <c r="AN175" s="66" t="n"/>
      <c r="AO175" s="66" t="n"/>
      <c r="AP175" s="66" t="n"/>
      <c r="AQ175" s="66" t="n">
        <v>46022</v>
      </c>
      <c r="AR175" s="66" t="n">
        <v>46022</v>
      </c>
      <c r="AS175" s="66" t="n"/>
      <c r="AT175" s="40" t="n"/>
      <c r="AU175" s="40" t="n"/>
      <c r="AV175" s="40" t="n"/>
      <c r="AW175" s="39" t="inlineStr">
        <is>
          <t>IF(OR(F175="",AJ175=""),"",IF(COUNT(AI175:AI175)=0,"",AJ175-LOOKUP(2,1/(AI175:AI175&lt;&gt;""),AI175:AI175)))</t>
        </is>
      </c>
      <c r="AX175" s="39" t="inlineStr">
        <is>
          <t>IF(OR(F175="",AK175=""),"",IF(COUNT(AI175:AJ175)=0,"",AK175-LOOKUP(2,1/(AI175:AJ175&lt;&gt;""),AI175:AJ175)))</t>
        </is>
      </c>
      <c r="AY175" s="39" t="inlineStr">
        <is>
          <t>IF(OR(F175="",AL175=""),"",IF(COUNT(AI175:AK175)=0,"",AL175-LOOKUP(2,1/(AI175:AK175&lt;&gt;""),AI175:AK175)))</t>
        </is>
      </c>
      <c r="AZ175" s="39" t="inlineStr">
        <is>
          <t>IF(OR(F175="",AM175=""),"",IF(COUNT(AI175:AL175)=0,"",AM175-LOOKUP(2,1/(AI175:AL175&lt;&gt;""),AI175:AL175)))</t>
        </is>
      </c>
      <c r="BA175" s="39" t="inlineStr">
        <is>
          <t>IF(OR(F175="",AN175=""),"",IF(COUNT(AI175:AM175)=0,"",AN175-LOOKUP(2,1/(AI175:AM175&lt;&gt;""),AI175:AM175)))</t>
        </is>
      </c>
      <c r="BB175" s="39" t="inlineStr">
        <is>
          <t>IF(OR(F175="",AO175=""),"",IF(COUNT(AI175:AN175)=0,"",AO175-LOOKUP(2,1/(AI175:AN175&lt;&gt;""),AI175:AN175)))</t>
        </is>
      </c>
      <c r="BC175" s="39" t="inlineStr">
        <is>
          <t>IF(OR(F175="",AP175=""),"",IF(COUNT(AI175:AO175)=0,"",AP175-LOOKUP(2,1/(AI175:AO175&lt;&gt;""),AI175:AO175)))</t>
        </is>
      </c>
      <c r="BD175" s="39" t="inlineStr">
        <is>
          <t>IF(OR(F175="",AQ175=""),"",IF(COUNT(AI175:AP175)=0,"",AQ175-LOOKUP(2,1/(AI175:AP175&lt;&gt;""),AI175:AP175)))</t>
        </is>
      </c>
      <c r="BE175" s="39" t="inlineStr">
        <is>
          <t>IF(OR(F175="",AR175=""),"",IF(COUNT(AI175:AQ175)=0,"",AR175-LOOKUP(2,1/(AI175:AQ175&lt;&gt;""),AI175:AQ175)))</t>
        </is>
      </c>
      <c r="BF175" s="39" t="inlineStr">
        <is>
          <t>IF(OR(F175="",AS175=""),"",IF(COUNT(AI175:AR175)=0,"",AS175-LOOKUP(2,1/(AI175:AR175&lt;&gt;""),AI175:AR175)))</t>
        </is>
      </c>
      <c r="BG175" s="39" t="inlineStr">
        <is>
          <t>IF(OR(F175="",AT175=""),"",IF(COUNT(AI175:AS175)=0,"",AT175-LOOKUP(2,1/(AI175:AS175&lt;&gt;""),AI175:AS175)))</t>
        </is>
      </c>
      <c r="BH175" s="39" t="inlineStr">
        <is>
          <t>IF(OR(F175="",AU175=""),"",IF(COUNT(AI175:AT175)=0,"",AU175-LOOKUP(2,1/(AI175:AT175&lt;&gt;""),AI175:AT175)))</t>
        </is>
      </c>
      <c r="BI175" s="39" t="inlineStr">
        <is>
          <t>IF(OR(F175="",AV175=""),"",IF(COUNT(AI175:AU175)=0,"",AV175-LOOKUP(2,1/(AI175:AU175&lt;&gt;""),AI175:AU175)))</t>
        </is>
      </c>
      <c r="BJ175" s="41" t="inlineStr">
        <is>
          <t>IF(J175="","All_Provinces",IFERROR(VLOOKUP(J175,'09_Lookups'!$A$4:$B$20,2,FALSE),"All_Provinces"))</t>
        </is>
      </c>
      <c r="BK175" s="41" t="inlineStr">
        <is>
          <t>IF(K175="","All_Districts",IFERROR(VLOOKUP(K175,'09_Lookups'!$E$4:$F$42,2,FALSE),"All_Districts"))</t>
        </is>
      </c>
    </row>
    <row r="176" outlineLevel="1" ht="18" customHeight="1">
      <c r="A176" s="42" t="inlineStr">
        <is>
          <t>IF(F176="","",ROW()-3)</t>
        </is>
      </c>
      <c r="B176" s="43" t="inlineStr">
        <is>
          <t>AF2-IS-19</t>
        </is>
      </c>
      <c r="C176" s="43" t="inlineStr">
        <is>
          <t>Package #19-AF2 IS: Rehabilitation of Khwaja Angor canal and Qalai Wazir canal irrigation schemes located in Kharwar and Pol-i-Alam districts of Logar province.</t>
        </is>
      </c>
      <c r="D176" s="43" t="inlineStr">
        <is>
          <t>2 of 2</t>
        </is>
      </c>
      <c r="E176" s="52" t="inlineStr">
        <is>
          <t>AF2-IS-A-019</t>
        </is>
      </c>
      <c r="F176" s="52" t="inlineStr">
        <is>
          <t>Qalai Wazir Irrigation Scheme (OFWM Project)</t>
        </is>
      </c>
      <c r="G176" s="52" t="inlineStr">
        <is>
          <t>Irrigation Scheme</t>
        </is>
      </c>
      <c r="H176" s="52" t="inlineStr">
        <is>
          <t>Irrigation Canal</t>
        </is>
      </c>
      <c r="I176" s="52" t="inlineStr">
        <is>
          <t>Emergency Food Security Project (EFSP) – WBK/AF-2</t>
        </is>
      </c>
      <c r="J176" s="52" t="inlineStr">
        <is>
          <t>Southeast / Gardez</t>
        </is>
      </c>
      <c r="K176" s="52" t="inlineStr"/>
      <c r="L176" s="52" t="inlineStr">
        <is>
          <t>Pol-i-Alam</t>
        </is>
      </c>
      <c r="M176" s="52" t="inlineStr">
        <is>
          <t>Qalai Wazir</t>
        </is>
      </c>
      <c r="N176" s="52" t="inlineStr">
        <is>
          <t>World Bank (WBK/AF-2)</t>
        </is>
      </c>
      <c r="O176" s="52" t="inlineStr">
        <is>
          <t>Awarded</t>
        </is>
      </c>
      <c r="P176" s="52" t="inlineStr">
        <is>
          <t>1.Awarded contracts_On&amp;off-farm</t>
        </is>
      </c>
      <c r="Q176" s="52" t="inlineStr">
        <is>
          <t>Unique Wahaj Construction Company (UWCC)</t>
        </is>
      </c>
      <c r="R176" s="52" t="inlineStr">
        <is>
          <t>074/2026</t>
        </is>
      </c>
      <c r="S176" s="53" t="n">
        <v>239337.2</v>
      </c>
      <c r="T176" s="46" t="inlineStr">
        <is>
          <t>IF(AQ176="","",AQ176)</t>
        </is>
      </c>
      <c r="U176" s="54" t="n"/>
      <c r="V176" s="55" t="n">
        <v>12</v>
      </c>
      <c r="W176" s="54" t="n">
        <v>46386</v>
      </c>
      <c r="X176" s="46" t="inlineStr">
        <is>
          <t>IF(W176&lt;&gt;"",W176,IF(OR(T176="",V176=""),"",EDATE(T176,V176)))</t>
        </is>
      </c>
      <c r="Y176" s="54" t="n"/>
      <c r="Z176" s="55" t="n">
        <v>100</v>
      </c>
      <c r="AA176" s="52" t="inlineStr">
        <is>
          <t>Completed / Handover</t>
        </is>
      </c>
      <c r="AB176" s="52" t="inlineStr">
        <is>
          <t>Actual completion: Sep, 2026</t>
        </is>
      </c>
      <c r="AC176" s="42" t="inlineStr">
        <is>
          <t>IF(F176="","",IF(COUNT(AI176:AV176)=0,IF(AA176="","Not started",AA176),SUBSTITUTE(LOOKUP(2,1/(AI176:AV176&lt;&gt;""),$AI$3:$AV$3),"Date: ","")))</t>
        </is>
      </c>
      <c r="AD176" s="49" t="inlineStr">
        <is>
          <t>IF(OR(F176="",COUNT(AI176:AV176)=0),"",TODAY()-LOOKUP(2,1/(AI176:AV176&lt;&gt;""),AI176:AV176))</t>
        </is>
      </c>
      <c r="AE176" s="49" t="inlineStr">
        <is>
          <t>IF(OR(F176="",COUNT(AI176:AV176)&lt;2),"",LOOKUP(2,1/(AI176:AV176&lt;&gt;""),AI176:AV176)-MIN(AI176:AV176))</t>
        </is>
      </c>
      <c r="AF176" s="49" t="inlineStr">
        <is>
          <t>IF(OR(AD176="",AC176="Not started",AC176=""),"",IFERROR(AD176-IF(VLOOKUP(AC176,'06_Status_Pipeline'!$B$3:$E$20,4,FALSE)="",0,VLOOKUP(AC176,'06_Status_Pipeline'!$B$3:$E$20,4,FALSE)),""))</t>
        </is>
      </c>
      <c r="AG176" s="42" t="inlineStr">
        <is>
          <t>IF(F176="","",IF(OR(AA176="Cancelled",AC176="Cancelled"),"Cancelled",IF(OR(AC176="Completed / Handover",Y176&lt;&gt;"",Z176&gt;=100),"Completed — on track",IF(O176="Not awarded",IF(U176="",IF(X176="","No planned date",IF(TODAY()&gt;X176,"Behind — past planned date",IF(X176-TODAY()&lt;=30,"At risk — close to off track","On track"))),IF(TODAY()&gt;U176,"Behind — award date passed",IF(U176-TODAY()&lt;=30,"At risk — close to off track","On track"))),IF(X176="","No planned date",IF(AND(TODAY()&gt;X176,OR(Z176="",Z176&lt;100)),"Behind — past end date",IF(AND(T176&lt;&gt;"",X176&lt;&gt;"",Z176&lt;&gt;"",(Z176&lt;100),((TODAY()-T176)/MAX(X176-T176,1)*100)-Z176&gt;15),"Behind — progress lag",IF(AND(X176-TODAY()&lt;=30,X176-TODAY()&gt;=0,OR(Z176="",Z176&lt;90)),"At risk — close to off track","On track"))))))))</t>
        </is>
      </c>
      <c r="AH176" s="49" t="inlineStr">
        <is>
          <t>IF(OR(F176="",AC176="Completed / Handover",AC176="Cancelled"),"",IF(O176="Not awarded",IF(U176&lt;&gt;"",U176-TODAY(),IF(X176="","",X176-TODAY())),IF(X176="","",X176-TODAY())))</t>
        </is>
      </c>
      <c r="AI176" s="67" t="n"/>
      <c r="AJ176" s="67" t="n"/>
      <c r="AK176" s="67" t="n"/>
      <c r="AL176" s="67" t="n"/>
      <c r="AM176" s="67" t="n"/>
      <c r="AN176" s="67" t="n"/>
      <c r="AO176" s="67" t="n"/>
      <c r="AP176" s="67" t="n"/>
      <c r="AQ176" s="67" t="n">
        <v>46022</v>
      </c>
      <c r="AR176" s="67" t="n">
        <v>46022</v>
      </c>
      <c r="AS176" s="67" t="n">
        <v>46386</v>
      </c>
      <c r="AT176" s="50" t="n"/>
      <c r="AU176" s="50" t="n"/>
      <c r="AV176" s="50" t="n"/>
      <c r="AW176" s="49" t="inlineStr">
        <is>
          <t>IF(OR(F176="",AJ176=""),"",IF(COUNT(AI176:AI176)=0,"",AJ176-LOOKUP(2,1/(AI176:AI176&lt;&gt;""),AI176:AI176)))</t>
        </is>
      </c>
      <c r="AX176" s="49" t="inlineStr">
        <is>
          <t>IF(OR(F176="",AK176=""),"",IF(COUNT(AI176:AJ176)=0,"",AK176-LOOKUP(2,1/(AI176:AJ176&lt;&gt;""),AI176:AJ176)))</t>
        </is>
      </c>
      <c r="AY176" s="49" t="inlineStr">
        <is>
          <t>IF(OR(F176="",AL176=""),"",IF(COUNT(AI176:AK176)=0,"",AL176-LOOKUP(2,1/(AI176:AK176&lt;&gt;""),AI176:AK176)))</t>
        </is>
      </c>
      <c r="AZ176" s="49" t="inlineStr">
        <is>
          <t>IF(OR(F176="",AM176=""),"",IF(COUNT(AI176:AL176)=0,"",AM176-LOOKUP(2,1/(AI176:AL176&lt;&gt;""),AI176:AL176)))</t>
        </is>
      </c>
      <c r="BA176" s="49" t="inlineStr">
        <is>
          <t>IF(OR(F176="",AN176=""),"",IF(COUNT(AI176:AM176)=0,"",AN176-LOOKUP(2,1/(AI176:AM176&lt;&gt;""),AI176:AM176)))</t>
        </is>
      </c>
      <c r="BB176" s="49" t="inlineStr">
        <is>
          <t>IF(OR(F176="",AO176=""),"",IF(COUNT(AI176:AN176)=0,"",AO176-LOOKUP(2,1/(AI176:AN176&lt;&gt;""),AI176:AN176)))</t>
        </is>
      </c>
      <c r="BC176" s="49" t="inlineStr">
        <is>
          <t>IF(OR(F176="",AP176=""),"",IF(COUNT(AI176:AO176)=0,"",AP176-LOOKUP(2,1/(AI176:AO176&lt;&gt;""),AI176:AO176)))</t>
        </is>
      </c>
      <c r="BD176" s="49" t="inlineStr">
        <is>
          <t>IF(OR(F176="",AQ176=""),"",IF(COUNT(AI176:AP176)=0,"",AQ176-LOOKUP(2,1/(AI176:AP176&lt;&gt;""),AI176:AP176)))</t>
        </is>
      </c>
      <c r="BE176" s="49" t="inlineStr">
        <is>
          <t>IF(OR(F176="",AR176=""),"",IF(COUNT(AI176:AQ176)=0,"",AR176-LOOKUP(2,1/(AI176:AQ176&lt;&gt;""),AI176:AQ176)))</t>
        </is>
      </c>
      <c r="BF176" s="49" t="inlineStr">
        <is>
          <t>IF(OR(F176="",AS176=""),"",IF(COUNT(AI176:AR176)=0,"",AS176-LOOKUP(2,1/(AI176:AR176&lt;&gt;""),AI176:AR176)))</t>
        </is>
      </c>
      <c r="BG176" s="49" t="inlineStr">
        <is>
          <t>IF(OR(F176="",AT176=""),"",IF(COUNT(AI176:AS176)=0,"",AT176-LOOKUP(2,1/(AI176:AS176&lt;&gt;""),AI176:AS176)))</t>
        </is>
      </c>
      <c r="BH176" s="49" t="inlineStr">
        <is>
          <t>IF(OR(F176="",AU176=""),"",IF(COUNT(AI176:AT176)=0,"",AU176-LOOKUP(2,1/(AI176:AT176&lt;&gt;""),AI176:AT176)))</t>
        </is>
      </c>
      <c r="BI176" s="49" t="inlineStr">
        <is>
          <t>IF(OR(F176="",AV176=""),"",IF(COUNT(AI176:AU176)=0,"",AV176-LOOKUP(2,1/(AI176:AU176&lt;&gt;""),AI176:AU176)))</t>
        </is>
      </c>
      <c r="BJ176" s="51" t="inlineStr">
        <is>
          <t>IF(J176="","All_Provinces",IFERROR(VLOOKUP(J176,'09_Lookups'!$A$4:$B$20,2,FALSE),"All_Provinces"))</t>
        </is>
      </c>
      <c r="BK176" s="51" t="inlineStr">
        <is>
          <t>IF(K176="","All_Districts",IFERROR(VLOOKUP(K176,'09_Lookups'!$E$4:$F$42,2,FALSE),"All_Districts"))</t>
        </is>
      </c>
    </row>
    <row r="177" ht="18" customHeight="1">
      <c r="A177" s="32" t="inlineStr">
        <is>
          <t>IF(F177="","",ROW()-3)</t>
        </is>
      </c>
      <c r="B177" s="56" t="inlineStr">
        <is>
          <t>AF2-IS-20</t>
        </is>
      </c>
      <c r="C177" s="56" t="inlineStr">
        <is>
          <t>Package #20-AF2 IS: Rehabilitation of Welgai irrigation system, located in Matoon district of Khost province.</t>
        </is>
      </c>
      <c r="D177" s="56" t="inlineStr">
        <is>
          <t>1 of 1</t>
        </is>
      </c>
      <c r="E177" s="57" t="inlineStr">
        <is>
          <t>AF2-IS-A-020</t>
        </is>
      </c>
      <c r="F177" s="57" t="inlineStr">
        <is>
          <t>Welgai (Off-Farm &amp; On-Farm Project)</t>
        </is>
      </c>
      <c r="G177" s="57" t="inlineStr">
        <is>
          <t>Irrigation Scheme</t>
        </is>
      </c>
      <c r="H177" s="57" t="inlineStr">
        <is>
          <t>Irrigation Canal</t>
        </is>
      </c>
      <c r="I177" s="57" t="inlineStr">
        <is>
          <t>Emergency Food Security Project (EFSP) – WBK/AF-2</t>
        </is>
      </c>
      <c r="J177" s="57" t="inlineStr">
        <is>
          <t>Southeast / Gardez</t>
        </is>
      </c>
      <c r="K177" s="57" t="inlineStr">
        <is>
          <t>Khost</t>
        </is>
      </c>
      <c r="L177" s="57" t="inlineStr">
        <is>
          <t>Matoon</t>
        </is>
      </c>
      <c r="M177" s="57" t="inlineStr">
        <is>
          <t>Shamal Piran</t>
        </is>
      </c>
      <c r="N177" s="57" t="inlineStr">
        <is>
          <t>World Bank (WBK/AF-2)</t>
        </is>
      </c>
      <c r="O177" s="57" t="inlineStr">
        <is>
          <t>Awarded</t>
        </is>
      </c>
      <c r="P177" s="57" t="inlineStr">
        <is>
          <t>1.Awarded contracts_On&amp;off-farm</t>
        </is>
      </c>
      <c r="Q177" s="57" t="inlineStr">
        <is>
          <t>Mahmood Raqi Nawin Construction &amp; Road Building Company (MRCC)</t>
        </is>
      </c>
      <c r="R177" s="57" t="inlineStr">
        <is>
          <t>053/2025</t>
        </is>
      </c>
      <c r="S177" s="58" t="n">
        <v>229783.31</v>
      </c>
      <c r="T177" s="36" t="inlineStr">
        <is>
          <t>IF(AQ177="","",AQ177)</t>
        </is>
      </c>
      <c r="U177" s="59" t="n"/>
      <c r="V177" s="60" t="n">
        <v>12</v>
      </c>
      <c r="W177" s="59" t="n">
        <v>46306</v>
      </c>
      <c r="X177" s="36" t="inlineStr">
        <is>
          <t>IF(W177&lt;&gt;"",W177,IF(OR(T177="",V177=""),"",EDATE(T177,V177)))</t>
        </is>
      </c>
      <c r="Y177" s="59" t="n"/>
      <c r="Z177" s="60" t="n">
        <v>100</v>
      </c>
      <c r="AA177" s="57" t="inlineStr">
        <is>
          <t>Completed / Handover</t>
        </is>
      </c>
      <c r="AB177" s="57" t="inlineStr">
        <is>
          <t>Completed in June 2026. | Actual completion: June, 2026</t>
        </is>
      </c>
      <c r="AC177" s="32" t="inlineStr">
        <is>
          <t>IF(F177="","",IF(COUNT(AI177:AV177)=0,IF(AA177="","Not started",AA177),SUBSTITUTE(LOOKUP(2,1/(AI177:AV177&lt;&gt;""),$AI$3:$AV$3),"Date: ","")))</t>
        </is>
      </c>
      <c r="AD177" s="39" t="inlineStr">
        <is>
          <t>IF(OR(F177="",COUNT(AI177:AV177)=0),"",TODAY()-LOOKUP(2,1/(AI177:AV177&lt;&gt;""),AI177:AV177))</t>
        </is>
      </c>
      <c r="AE177" s="39" t="inlineStr">
        <is>
          <t>IF(OR(F177="",COUNT(AI177:AV177)&lt;2),"",LOOKUP(2,1/(AI177:AV177&lt;&gt;""),AI177:AV177)-MIN(AI177:AV177))</t>
        </is>
      </c>
      <c r="AF177" s="39" t="inlineStr">
        <is>
          <t>IF(OR(AD177="",AC177="Not started",AC177=""),"",IFERROR(AD177-IF(VLOOKUP(AC177,'06_Status_Pipeline'!$B$3:$E$20,4,FALSE)="",0,VLOOKUP(AC177,'06_Status_Pipeline'!$B$3:$E$20,4,FALSE)),""))</t>
        </is>
      </c>
      <c r="AG177" s="32" t="inlineStr">
        <is>
          <t>IF(F177="","",IF(OR(AA177="Cancelled",AC177="Cancelled"),"Cancelled",IF(OR(AC177="Completed / Handover",Y177&lt;&gt;"",Z177&gt;=100),"Completed — on track",IF(O177="Not awarded",IF(U177="",IF(X177="","No planned date",IF(TODAY()&gt;X177,"Behind — past planned date",IF(X177-TODAY()&lt;=30,"At risk — close to off track","On track"))),IF(TODAY()&gt;U177,"Behind — award date passed",IF(U177-TODAY()&lt;=30,"At risk — close to off track","On track"))),IF(X177="","No planned date",IF(AND(TODAY()&gt;X177,OR(Z177="",Z177&lt;100)),"Behind — past end date",IF(AND(T177&lt;&gt;"",X177&lt;&gt;"",Z177&lt;&gt;"",(Z177&lt;100),((TODAY()-T177)/MAX(X177-T177,1)*100)-Z177&gt;15),"Behind — progress lag",IF(AND(X177-TODAY()&lt;=30,X177-TODAY()&gt;=0,OR(Z177="",Z177&lt;90)),"At risk — close to off track","On track"))))))))</t>
        </is>
      </c>
      <c r="AH177" s="39" t="inlineStr">
        <is>
          <t>IF(OR(F177="",AC177="Completed / Handover",AC177="Cancelled"),"",IF(O177="Not awarded",IF(U177&lt;&gt;"",U177-TODAY(),IF(X177="","",X177-TODAY())),IF(X177="","",X177-TODAY())))</t>
        </is>
      </c>
      <c r="AI177" s="66" t="n"/>
      <c r="AJ177" s="66" t="n"/>
      <c r="AK177" s="66" t="n"/>
      <c r="AL177" s="66" t="n"/>
      <c r="AM177" s="66" t="n"/>
      <c r="AN177" s="66" t="n"/>
      <c r="AO177" s="66" t="n"/>
      <c r="AP177" s="66" t="n"/>
      <c r="AQ177" s="66" t="n">
        <v>45942</v>
      </c>
      <c r="AR177" s="66" t="n">
        <v>45942</v>
      </c>
      <c r="AS177" s="66" t="n">
        <v>46306</v>
      </c>
      <c r="AT177" s="40" t="n"/>
      <c r="AU177" s="40" t="n"/>
      <c r="AV177" s="40" t="n"/>
      <c r="AW177" s="39" t="inlineStr">
        <is>
          <t>IF(OR(F177="",AJ177=""),"",IF(COUNT(AI177:AI177)=0,"",AJ177-LOOKUP(2,1/(AI177:AI177&lt;&gt;""),AI177:AI177)))</t>
        </is>
      </c>
      <c r="AX177" s="39" t="inlineStr">
        <is>
          <t>IF(OR(F177="",AK177=""),"",IF(COUNT(AI177:AJ177)=0,"",AK177-LOOKUP(2,1/(AI177:AJ177&lt;&gt;""),AI177:AJ177)))</t>
        </is>
      </c>
      <c r="AY177" s="39" t="inlineStr">
        <is>
          <t>IF(OR(F177="",AL177=""),"",IF(COUNT(AI177:AK177)=0,"",AL177-LOOKUP(2,1/(AI177:AK177&lt;&gt;""),AI177:AK177)))</t>
        </is>
      </c>
      <c r="AZ177" s="39" t="inlineStr">
        <is>
          <t>IF(OR(F177="",AM177=""),"",IF(COUNT(AI177:AL177)=0,"",AM177-LOOKUP(2,1/(AI177:AL177&lt;&gt;""),AI177:AL177)))</t>
        </is>
      </c>
      <c r="BA177" s="39" t="inlineStr">
        <is>
          <t>IF(OR(F177="",AN177=""),"",IF(COUNT(AI177:AM177)=0,"",AN177-LOOKUP(2,1/(AI177:AM177&lt;&gt;""),AI177:AM177)))</t>
        </is>
      </c>
      <c r="BB177" s="39" t="inlineStr">
        <is>
          <t>IF(OR(F177="",AO177=""),"",IF(COUNT(AI177:AN177)=0,"",AO177-LOOKUP(2,1/(AI177:AN177&lt;&gt;""),AI177:AN177)))</t>
        </is>
      </c>
      <c r="BC177" s="39" t="inlineStr">
        <is>
          <t>IF(OR(F177="",AP177=""),"",IF(COUNT(AI177:AO177)=0,"",AP177-LOOKUP(2,1/(AI177:AO177&lt;&gt;""),AI177:AO177)))</t>
        </is>
      </c>
      <c r="BD177" s="39" t="inlineStr">
        <is>
          <t>IF(OR(F177="",AQ177=""),"",IF(COUNT(AI177:AP177)=0,"",AQ177-LOOKUP(2,1/(AI177:AP177&lt;&gt;""),AI177:AP177)))</t>
        </is>
      </c>
      <c r="BE177" s="39" t="inlineStr">
        <is>
          <t>IF(OR(F177="",AR177=""),"",IF(COUNT(AI177:AQ177)=0,"",AR177-LOOKUP(2,1/(AI177:AQ177&lt;&gt;""),AI177:AQ177)))</t>
        </is>
      </c>
      <c r="BF177" s="39" t="inlineStr">
        <is>
          <t>IF(OR(F177="",AS177=""),"",IF(COUNT(AI177:AR177)=0,"",AS177-LOOKUP(2,1/(AI177:AR177&lt;&gt;""),AI177:AR177)))</t>
        </is>
      </c>
      <c r="BG177" s="39" t="inlineStr">
        <is>
          <t>IF(OR(F177="",AT177=""),"",IF(COUNT(AI177:AS177)=0,"",AT177-LOOKUP(2,1/(AI177:AS177&lt;&gt;""),AI177:AS177)))</t>
        </is>
      </c>
      <c r="BH177" s="39" t="inlineStr">
        <is>
          <t>IF(OR(F177="",AU177=""),"",IF(COUNT(AI177:AT177)=0,"",AU177-LOOKUP(2,1/(AI177:AT177&lt;&gt;""),AI177:AT177)))</t>
        </is>
      </c>
      <c r="BI177" s="39" t="inlineStr">
        <is>
          <t>IF(OR(F177="",AV177=""),"",IF(COUNT(AI177:AU177)=0,"",AV177-LOOKUP(2,1/(AI177:AU177&lt;&gt;""),AI177:AU177)))</t>
        </is>
      </c>
      <c r="BJ177" s="41" t="inlineStr">
        <is>
          <t>IF(J177="","All_Provinces",IFERROR(VLOOKUP(J177,'09_Lookups'!$A$4:$B$20,2,FALSE),"All_Provinces"))</t>
        </is>
      </c>
      <c r="BK177" s="41" t="inlineStr">
        <is>
          <t>IF(K177="","All_Districts",IFERROR(VLOOKUP(K177,'09_Lookups'!$E$4:$F$42,2,FALSE),"All_Districts"))</t>
        </is>
      </c>
    </row>
    <row r="178" ht="18" customHeight="1">
      <c r="A178" s="32" t="inlineStr">
        <is>
          <t>IF(F178="","",ROW()-3)</t>
        </is>
      </c>
      <c r="B178" s="62" t="inlineStr">
        <is>
          <t>AF2-IS-21</t>
        </is>
      </c>
      <c r="C178" s="62" t="inlineStr">
        <is>
          <t>Package # 21-AF2 IS: Rehabilitation of Markazi Ziruk and Mulakh canal irrigation schemes, located in Ziruk and Yousaf Khil districts of Pakteka province.</t>
        </is>
      </c>
      <c r="D178" s="62" t="inlineStr">
        <is>
          <t>1 of 2</t>
        </is>
      </c>
      <c r="E178" s="34" t="inlineStr">
        <is>
          <t>AF2-IS-A-021</t>
        </is>
      </c>
      <c r="F178" s="34" t="inlineStr">
        <is>
          <t>Markazi Ziruk Irrigation Scheme (Off &amp; On-Farm Project)</t>
        </is>
      </c>
      <c r="G178" s="34" t="inlineStr">
        <is>
          <t>Irrigation Scheme</t>
        </is>
      </c>
      <c r="H178" s="34" t="inlineStr">
        <is>
          <t>Irrigation Canal</t>
        </is>
      </c>
      <c r="I178" s="34" t="inlineStr">
        <is>
          <t>Emergency Food Security Project (EFSP) – WBK/AF-2</t>
        </is>
      </c>
      <c r="J178" s="34" t="inlineStr">
        <is>
          <t>Southeast / Gardez</t>
        </is>
      </c>
      <c r="K178" s="34" t="inlineStr">
        <is>
          <t>Pakteka</t>
        </is>
      </c>
      <c r="L178" s="34" t="inlineStr">
        <is>
          <t>Ziruk</t>
        </is>
      </c>
      <c r="M178" s="34" t="inlineStr">
        <is>
          <t>Markazi Ziruk</t>
        </is>
      </c>
      <c r="N178" s="34" t="inlineStr">
        <is>
          <t>World Bank (WBK/AF-2)</t>
        </is>
      </c>
      <c r="O178" s="34" t="inlineStr">
        <is>
          <t>Awarded</t>
        </is>
      </c>
      <c r="P178" s="34" t="inlineStr">
        <is>
          <t>1.Awarded contracts_On&amp;off-farm</t>
        </is>
      </c>
      <c r="Q178" s="34" t="inlineStr">
        <is>
          <t>Farhad Matoonyar Construction Company (FMCC)</t>
        </is>
      </c>
      <c r="R178" s="34" t="inlineStr">
        <is>
          <t>038/2026</t>
        </is>
      </c>
      <c r="S178" s="35" t="n">
        <v>94650.11</v>
      </c>
      <c r="T178" s="36" t="inlineStr">
        <is>
          <t>IF(AQ178="","",AQ178)</t>
        </is>
      </c>
      <c r="U178" s="37" t="n"/>
      <c r="V178" s="38" t="n">
        <v>12</v>
      </c>
      <c r="W178" s="37" t="n">
        <v>46543</v>
      </c>
      <c r="X178" s="36" t="inlineStr">
        <is>
          <t>IF(W178&lt;&gt;"",W178,IF(OR(T178="",V178=""),"",EDATE(T178,V178)))</t>
        </is>
      </c>
      <c r="Y178" s="37" t="n"/>
      <c r="Z178" s="38" t="n">
        <v>20</v>
      </c>
      <c r="AA178" s="34" t="inlineStr">
        <is>
          <t>Under Construction</t>
        </is>
      </c>
      <c r="AB178" s="34" t="inlineStr">
        <is>
          <t>on track and will be completed by June 2027</t>
        </is>
      </c>
      <c r="AC178" s="32" t="inlineStr">
        <is>
          <t>IF(F178="","",IF(COUNT(AI178:AV178)=0,IF(AA178="","Not started",AA178),SUBSTITUTE(LOOKUP(2,1/(AI178:AV178&lt;&gt;""),$AI$3:$AV$3),"Date: ","")))</t>
        </is>
      </c>
      <c r="AD178" s="39" t="inlineStr">
        <is>
          <t>IF(OR(F178="",COUNT(AI178:AV178)=0),"",TODAY()-LOOKUP(2,1/(AI178:AV178&lt;&gt;""),AI178:AV178))</t>
        </is>
      </c>
      <c r="AE178" s="39" t="inlineStr">
        <is>
          <t>IF(OR(F178="",COUNT(AI178:AV178)&lt;2),"",LOOKUP(2,1/(AI178:AV178&lt;&gt;""),AI178:AV178)-MIN(AI178:AV178))</t>
        </is>
      </c>
      <c r="AF178" s="39" t="inlineStr">
        <is>
          <t>IF(OR(AD178="",AC178="Not started",AC178=""),"",IFERROR(AD178-IF(VLOOKUP(AC178,'06_Status_Pipeline'!$B$3:$E$20,4,FALSE)="",0,VLOOKUP(AC178,'06_Status_Pipeline'!$B$3:$E$20,4,FALSE)),""))</t>
        </is>
      </c>
      <c r="AG178" s="32" t="inlineStr">
        <is>
          <t>IF(F178="","",IF(OR(AA178="Cancelled",AC178="Cancelled"),"Cancelled",IF(OR(AC178="Completed / Handover",Y178&lt;&gt;"",Z178&gt;=100),"Completed — on track",IF(O178="Not awarded",IF(U178="",IF(X178="","No planned date",IF(TODAY()&gt;X178,"Behind — past planned date",IF(X178-TODAY()&lt;=30,"At risk — close to off track","On track"))),IF(TODAY()&gt;U178,"Behind — award date passed",IF(U178-TODAY()&lt;=30,"At risk — close to off track","On track"))),IF(X178="","No planned date",IF(AND(TODAY()&gt;X178,OR(Z178="",Z178&lt;100)),"Behind — past end date",IF(AND(T178&lt;&gt;"",X178&lt;&gt;"",Z178&lt;&gt;"",(Z178&lt;100),((TODAY()-T178)/MAX(X178-T178,1)*100)-Z178&gt;15),"Behind — progress lag",IF(AND(X178-TODAY()&lt;=30,X178-TODAY()&gt;=0,OR(Z178="",Z178&lt;90)),"At risk — close to off track","On track"))))))))</t>
        </is>
      </c>
      <c r="AH178" s="39" t="inlineStr">
        <is>
          <t>IF(OR(F178="",AC178="Completed / Handover",AC178="Cancelled"),"",IF(O178="Not awarded",IF(U178&lt;&gt;"",U178-TODAY(),IF(X178="","",X178-TODAY())),IF(X178="","",X178-TODAY())))</t>
        </is>
      </c>
      <c r="AI178" s="66" t="n"/>
      <c r="AJ178" s="66" t="n"/>
      <c r="AK178" s="66" t="n"/>
      <c r="AL178" s="66" t="n"/>
      <c r="AM178" s="66" t="n"/>
      <c r="AN178" s="66" t="n"/>
      <c r="AO178" s="66" t="n"/>
      <c r="AP178" s="66" t="n"/>
      <c r="AQ178" s="66" t="n">
        <v>46179</v>
      </c>
      <c r="AR178" s="66" t="n">
        <v>46179</v>
      </c>
      <c r="AS178" s="66" t="n"/>
      <c r="AT178" s="40" t="n"/>
      <c r="AU178" s="40" t="n"/>
      <c r="AV178" s="40" t="n"/>
      <c r="AW178" s="39" t="inlineStr">
        <is>
          <t>IF(OR(F178="",AJ178=""),"",IF(COUNT(AI178:AI178)=0,"",AJ178-LOOKUP(2,1/(AI178:AI178&lt;&gt;""),AI178:AI178)))</t>
        </is>
      </c>
      <c r="AX178" s="39" t="inlineStr">
        <is>
          <t>IF(OR(F178="",AK178=""),"",IF(COUNT(AI178:AJ178)=0,"",AK178-LOOKUP(2,1/(AI178:AJ178&lt;&gt;""),AI178:AJ178)))</t>
        </is>
      </c>
      <c r="AY178" s="39" t="inlineStr">
        <is>
          <t>IF(OR(F178="",AL178=""),"",IF(COUNT(AI178:AK178)=0,"",AL178-LOOKUP(2,1/(AI178:AK178&lt;&gt;""),AI178:AK178)))</t>
        </is>
      </c>
      <c r="AZ178" s="39" t="inlineStr">
        <is>
          <t>IF(OR(F178="",AM178=""),"",IF(COUNT(AI178:AL178)=0,"",AM178-LOOKUP(2,1/(AI178:AL178&lt;&gt;""),AI178:AL178)))</t>
        </is>
      </c>
      <c r="BA178" s="39" t="inlineStr">
        <is>
          <t>IF(OR(F178="",AN178=""),"",IF(COUNT(AI178:AM178)=0,"",AN178-LOOKUP(2,1/(AI178:AM178&lt;&gt;""),AI178:AM178)))</t>
        </is>
      </c>
      <c r="BB178" s="39" t="inlineStr">
        <is>
          <t>IF(OR(F178="",AO178=""),"",IF(COUNT(AI178:AN178)=0,"",AO178-LOOKUP(2,1/(AI178:AN178&lt;&gt;""),AI178:AN178)))</t>
        </is>
      </c>
      <c r="BC178" s="39" t="inlineStr">
        <is>
          <t>IF(OR(F178="",AP178=""),"",IF(COUNT(AI178:AO178)=0,"",AP178-LOOKUP(2,1/(AI178:AO178&lt;&gt;""),AI178:AO178)))</t>
        </is>
      </c>
      <c r="BD178" s="39" t="inlineStr">
        <is>
          <t>IF(OR(F178="",AQ178=""),"",IF(COUNT(AI178:AP178)=0,"",AQ178-LOOKUP(2,1/(AI178:AP178&lt;&gt;""),AI178:AP178)))</t>
        </is>
      </c>
      <c r="BE178" s="39" t="inlineStr">
        <is>
          <t>IF(OR(F178="",AR178=""),"",IF(COUNT(AI178:AQ178)=0,"",AR178-LOOKUP(2,1/(AI178:AQ178&lt;&gt;""),AI178:AQ178)))</t>
        </is>
      </c>
      <c r="BF178" s="39" t="inlineStr">
        <is>
          <t>IF(OR(F178="",AS178=""),"",IF(COUNT(AI178:AR178)=0,"",AS178-LOOKUP(2,1/(AI178:AR178&lt;&gt;""),AI178:AR178)))</t>
        </is>
      </c>
      <c r="BG178" s="39" t="inlineStr">
        <is>
          <t>IF(OR(F178="",AT178=""),"",IF(COUNT(AI178:AS178)=0,"",AT178-LOOKUP(2,1/(AI178:AS178&lt;&gt;""),AI178:AS178)))</t>
        </is>
      </c>
      <c r="BH178" s="39" t="inlineStr">
        <is>
          <t>IF(OR(F178="",AU178=""),"",IF(COUNT(AI178:AT178)=0,"",AU178-LOOKUP(2,1/(AI178:AT178&lt;&gt;""),AI178:AT178)))</t>
        </is>
      </c>
      <c r="BI178" s="39" t="inlineStr">
        <is>
          <t>IF(OR(F178="",AV178=""),"",IF(COUNT(AI178:AU178)=0,"",AV178-LOOKUP(2,1/(AI178:AU178&lt;&gt;""),AI178:AU178)))</t>
        </is>
      </c>
      <c r="BJ178" s="41" t="inlineStr">
        <is>
          <t>IF(J178="","All_Provinces",IFERROR(VLOOKUP(J178,'09_Lookups'!$A$4:$B$20,2,FALSE),"All_Provinces"))</t>
        </is>
      </c>
      <c r="BK178" s="41" t="inlineStr">
        <is>
          <t>IF(K178="","All_Districts",IFERROR(VLOOKUP(K178,'09_Lookups'!$E$4:$F$42,2,FALSE),"All_Districts"))</t>
        </is>
      </c>
    </row>
    <row r="179" outlineLevel="1" ht="18" customHeight="1">
      <c r="A179" s="42" t="inlineStr">
        <is>
          <t>IF(F179="","",ROW()-3)</t>
        </is>
      </c>
      <c r="B179" s="63" t="inlineStr">
        <is>
          <t>AF2-IS-21</t>
        </is>
      </c>
      <c r="C179" s="63" t="inlineStr">
        <is>
          <t>Package # 21-AF2 IS: Rehabilitation of Markazi Ziruk and Mulakh canal irrigation schemes, located in Ziruk and Yousaf Khil districts of Pakteka province.</t>
        </is>
      </c>
      <c r="D179" s="63" t="inlineStr">
        <is>
          <t>2 of 2</t>
        </is>
      </c>
      <c r="E179" s="44" t="inlineStr">
        <is>
          <t>AF2-IS-A-022</t>
        </is>
      </c>
      <c r="F179" s="44" t="inlineStr">
        <is>
          <t>Mulakh Irrigation Scheme (On- Farm Project)</t>
        </is>
      </c>
      <c r="G179" s="44" t="inlineStr">
        <is>
          <t>Irrigation Scheme</t>
        </is>
      </c>
      <c r="H179" s="44" t="inlineStr">
        <is>
          <t>Irrigation Canal</t>
        </is>
      </c>
      <c r="I179" s="44" t="inlineStr">
        <is>
          <t>Emergency Food Security Project (EFSP) – WBK/AF-2</t>
        </is>
      </c>
      <c r="J179" s="44" t="inlineStr">
        <is>
          <t>Southeast / Gardez</t>
        </is>
      </c>
      <c r="K179" s="44" t="inlineStr"/>
      <c r="L179" s="44" t="inlineStr">
        <is>
          <t>Yousaf Khil</t>
        </is>
      </c>
      <c r="M179" s="44" t="inlineStr">
        <is>
          <t>Mest</t>
        </is>
      </c>
      <c r="N179" s="44" t="inlineStr">
        <is>
          <t>World Bank (WBK/AF-2)</t>
        </is>
      </c>
      <c r="O179" s="44" t="inlineStr">
        <is>
          <t>Awarded</t>
        </is>
      </c>
      <c r="P179" s="44" t="inlineStr">
        <is>
          <t>1.Awarded contracts_On&amp;off-farm</t>
        </is>
      </c>
      <c r="Q179" s="44" t="inlineStr">
        <is>
          <t>Farhad Matoonyar Construction Company (FMCC)</t>
        </is>
      </c>
      <c r="R179" s="44" t="inlineStr">
        <is>
          <t>038/2026</t>
        </is>
      </c>
      <c r="S179" s="45" t="n">
        <v>239482.14</v>
      </c>
      <c r="T179" s="46" t="inlineStr">
        <is>
          <t>IF(AQ179="","",AQ179)</t>
        </is>
      </c>
      <c r="U179" s="47" t="n"/>
      <c r="V179" s="48" t="n">
        <v>12</v>
      </c>
      <c r="W179" s="47" t="n">
        <v>46543</v>
      </c>
      <c r="X179" s="46" t="inlineStr">
        <is>
          <t>IF(W179&lt;&gt;"",W179,IF(OR(T179="",V179=""),"",EDATE(T179,V179)))</t>
        </is>
      </c>
      <c r="Y179" s="47" t="n"/>
      <c r="Z179" s="48" t="n">
        <v>30</v>
      </c>
      <c r="AA179" s="44" t="inlineStr">
        <is>
          <t>Under Construction</t>
        </is>
      </c>
      <c r="AB179" s="44" t="inlineStr">
        <is>
          <t>on track and will be completed by June 2027</t>
        </is>
      </c>
      <c r="AC179" s="42" t="inlineStr">
        <is>
          <t>IF(F179="","",IF(COUNT(AI179:AV179)=0,IF(AA179="","Not started",AA179),SUBSTITUTE(LOOKUP(2,1/(AI179:AV179&lt;&gt;""),$AI$3:$AV$3),"Date: ","")))</t>
        </is>
      </c>
      <c r="AD179" s="49" t="inlineStr">
        <is>
          <t>IF(OR(F179="",COUNT(AI179:AV179)=0),"",TODAY()-LOOKUP(2,1/(AI179:AV179&lt;&gt;""),AI179:AV179))</t>
        </is>
      </c>
      <c r="AE179" s="49" t="inlineStr">
        <is>
          <t>IF(OR(F179="",COUNT(AI179:AV179)&lt;2),"",LOOKUP(2,1/(AI179:AV179&lt;&gt;""),AI179:AV179)-MIN(AI179:AV179))</t>
        </is>
      </c>
      <c r="AF179" s="49" t="inlineStr">
        <is>
          <t>IF(OR(AD179="",AC179="Not started",AC179=""),"",IFERROR(AD179-IF(VLOOKUP(AC179,'06_Status_Pipeline'!$B$3:$E$20,4,FALSE)="",0,VLOOKUP(AC179,'06_Status_Pipeline'!$B$3:$E$20,4,FALSE)),""))</t>
        </is>
      </c>
      <c r="AG179" s="42" t="inlineStr">
        <is>
          <t>IF(F179="","",IF(OR(AA179="Cancelled",AC179="Cancelled"),"Cancelled",IF(OR(AC179="Completed / Handover",Y179&lt;&gt;"",Z179&gt;=100),"Completed — on track",IF(O179="Not awarded",IF(U179="",IF(X179="","No planned date",IF(TODAY()&gt;X179,"Behind — past planned date",IF(X179-TODAY()&lt;=30,"At risk — close to off track","On track"))),IF(TODAY()&gt;U179,"Behind — award date passed",IF(U179-TODAY()&lt;=30,"At risk — close to off track","On track"))),IF(X179="","No planned date",IF(AND(TODAY()&gt;X179,OR(Z179="",Z179&lt;100)),"Behind — past end date",IF(AND(T179&lt;&gt;"",X179&lt;&gt;"",Z179&lt;&gt;"",(Z179&lt;100),((TODAY()-T179)/MAX(X179-T179,1)*100)-Z179&gt;15),"Behind — progress lag",IF(AND(X179-TODAY()&lt;=30,X179-TODAY()&gt;=0,OR(Z179="",Z179&lt;90)),"At risk — close to off track","On track"))))))))</t>
        </is>
      </c>
      <c r="AH179" s="49" t="inlineStr">
        <is>
          <t>IF(OR(F179="",AC179="Completed / Handover",AC179="Cancelled"),"",IF(O179="Not awarded",IF(U179&lt;&gt;"",U179-TODAY(),IF(X179="","",X179-TODAY())),IF(X179="","",X179-TODAY())))</t>
        </is>
      </c>
      <c r="AI179" s="67" t="n"/>
      <c r="AJ179" s="67" t="n"/>
      <c r="AK179" s="67" t="n"/>
      <c r="AL179" s="67" t="n"/>
      <c r="AM179" s="67" t="n"/>
      <c r="AN179" s="67" t="n"/>
      <c r="AO179" s="67" t="n"/>
      <c r="AP179" s="67" t="n"/>
      <c r="AQ179" s="67" t="n">
        <v>46179</v>
      </c>
      <c r="AR179" s="67" t="n">
        <v>46179</v>
      </c>
      <c r="AS179" s="67" t="n"/>
      <c r="AT179" s="50" t="n"/>
      <c r="AU179" s="50" t="n"/>
      <c r="AV179" s="50" t="n"/>
      <c r="AW179" s="49" t="inlineStr">
        <is>
          <t>IF(OR(F179="",AJ179=""),"",IF(COUNT(AI179:AI179)=0,"",AJ179-LOOKUP(2,1/(AI179:AI179&lt;&gt;""),AI179:AI179)))</t>
        </is>
      </c>
      <c r="AX179" s="49" t="inlineStr">
        <is>
          <t>IF(OR(F179="",AK179=""),"",IF(COUNT(AI179:AJ179)=0,"",AK179-LOOKUP(2,1/(AI179:AJ179&lt;&gt;""),AI179:AJ179)))</t>
        </is>
      </c>
      <c r="AY179" s="49" t="inlineStr">
        <is>
          <t>IF(OR(F179="",AL179=""),"",IF(COUNT(AI179:AK179)=0,"",AL179-LOOKUP(2,1/(AI179:AK179&lt;&gt;""),AI179:AK179)))</t>
        </is>
      </c>
      <c r="AZ179" s="49" t="inlineStr">
        <is>
          <t>IF(OR(F179="",AM179=""),"",IF(COUNT(AI179:AL179)=0,"",AM179-LOOKUP(2,1/(AI179:AL179&lt;&gt;""),AI179:AL179)))</t>
        </is>
      </c>
      <c r="BA179" s="49" t="inlineStr">
        <is>
          <t>IF(OR(F179="",AN179=""),"",IF(COUNT(AI179:AM179)=0,"",AN179-LOOKUP(2,1/(AI179:AM179&lt;&gt;""),AI179:AM179)))</t>
        </is>
      </c>
      <c r="BB179" s="49" t="inlineStr">
        <is>
          <t>IF(OR(F179="",AO179=""),"",IF(COUNT(AI179:AN179)=0,"",AO179-LOOKUP(2,1/(AI179:AN179&lt;&gt;""),AI179:AN179)))</t>
        </is>
      </c>
      <c r="BC179" s="49" t="inlineStr">
        <is>
          <t>IF(OR(F179="",AP179=""),"",IF(COUNT(AI179:AO179)=0,"",AP179-LOOKUP(2,1/(AI179:AO179&lt;&gt;""),AI179:AO179)))</t>
        </is>
      </c>
      <c r="BD179" s="49" t="inlineStr">
        <is>
          <t>IF(OR(F179="",AQ179=""),"",IF(COUNT(AI179:AP179)=0,"",AQ179-LOOKUP(2,1/(AI179:AP179&lt;&gt;""),AI179:AP179)))</t>
        </is>
      </c>
      <c r="BE179" s="49" t="inlineStr">
        <is>
          <t>IF(OR(F179="",AR179=""),"",IF(COUNT(AI179:AQ179)=0,"",AR179-LOOKUP(2,1/(AI179:AQ179&lt;&gt;""),AI179:AQ179)))</t>
        </is>
      </c>
      <c r="BF179" s="49" t="inlineStr">
        <is>
          <t>IF(OR(F179="",AS179=""),"",IF(COUNT(AI179:AR179)=0,"",AS179-LOOKUP(2,1/(AI179:AR179&lt;&gt;""),AI179:AR179)))</t>
        </is>
      </c>
      <c r="BG179" s="49" t="inlineStr">
        <is>
          <t>IF(OR(F179="",AT179=""),"",IF(COUNT(AI179:AS179)=0,"",AT179-LOOKUP(2,1/(AI179:AS179&lt;&gt;""),AI179:AS179)))</t>
        </is>
      </c>
      <c r="BH179" s="49" t="inlineStr">
        <is>
          <t>IF(OR(F179="",AU179=""),"",IF(COUNT(AI179:AT179)=0,"",AU179-LOOKUP(2,1/(AI179:AT179&lt;&gt;""),AI179:AT179)))</t>
        </is>
      </c>
      <c r="BI179" s="49" t="inlineStr">
        <is>
          <t>IF(OR(F179="",AV179=""),"",IF(COUNT(AI179:AU179)=0,"",AV179-LOOKUP(2,1/(AI179:AU179&lt;&gt;""),AI179:AU179)))</t>
        </is>
      </c>
      <c r="BJ179" s="51" t="inlineStr">
        <is>
          <t>IF(J179="","All_Provinces",IFERROR(VLOOKUP(J179,'09_Lookups'!$A$4:$B$20,2,FALSE),"All_Provinces"))</t>
        </is>
      </c>
      <c r="BK179" s="51" t="inlineStr">
        <is>
          <t>IF(K179="","All_Districts",IFERROR(VLOOKUP(K179,'09_Lookups'!$E$4:$F$42,2,FALSE),"All_Districts"))</t>
        </is>
      </c>
    </row>
    <row r="180" ht="18" customHeight="1">
      <c r="A180" s="32" t="inlineStr">
        <is>
          <t>IF(F180="","",ROW()-3)</t>
        </is>
      </c>
      <c r="B180" s="64" t="inlineStr">
        <is>
          <t>AF2-IS-22</t>
        </is>
      </c>
      <c r="C180" s="64" t="inlineStr">
        <is>
          <t>Package # 22-AF2 IS: Rehabilitation of Gero canal irrigation scheme, located in Center and Qarabagh districts of Ghazni province.</t>
        </is>
      </c>
      <c r="D180" s="64" t="inlineStr">
        <is>
          <t>1 of 1</t>
        </is>
      </c>
      <c r="E180" s="34" t="inlineStr">
        <is>
          <t>AF2-IS-N-016</t>
        </is>
      </c>
      <c r="F180" s="34" t="inlineStr">
        <is>
          <t>Gero Irrigation Scheme (Off &amp; On-Farm Project) Gero&amp;Qarabagh</t>
        </is>
      </c>
      <c r="G180" s="34" t="inlineStr">
        <is>
          <t>Irrigation Scheme</t>
        </is>
      </c>
      <c r="H180" s="34" t="inlineStr">
        <is>
          <t>Irrigation Canal</t>
        </is>
      </c>
      <c r="I180" s="34" t="inlineStr">
        <is>
          <t>Emergency Food Security Project (EFSP) – WBK/AF-2</t>
        </is>
      </c>
      <c r="J180" s="34" t="inlineStr">
        <is>
          <t>Central Highland / Bamyan</t>
        </is>
      </c>
      <c r="K180" s="34" t="inlineStr">
        <is>
          <t>Ghazni</t>
        </is>
      </c>
      <c r="L180" s="34" t="inlineStr">
        <is>
          <t>Center</t>
        </is>
      </c>
      <c r="M180" s="34" t="inlineStr">
        <is>
          <t>Gero</t>
        </is>
      </c>
      <c r="N180" s="34" t="inlineStr">
        <is>
          <t>World Bank (WBK/AF-2)</t>
        </is>
      </c>
      <c r="O180" s="34" t="inlineStr">
        <is>
          <t>Not awarded</t>
        </is>
      </c>
      <c r="P180" s="34" t="inlineStr">
        <is>
          <t>2.Remain contracts_On&amp;off-farm</t>
        </is>
      </c>
      <c r="Q180" s="34" t="inlineStr"/>
      <c r="R180" s="34" t="inlineStr"/>
      <c r="S180" s="35" t="n">
        <v>290000</v>
      </c>
      <c r="T180" s="36" t="inlineStr">
        <is>
          <t>IF(AQ180="","",AQ180)</t>
        </is>
      </c>
      <c r="U180" s="37" t="n">
        <v>46384</v>
      </c>
      <c r="V180" s="38" t="n">
        <v>9.9</v>
      </c>
      <c r="W180" s="37" t="n">
        <v>46684</v>
      </c>
      <c r="X180" s="36" t="inlineStr">
        <is>
          <t>IF(W180&lt;&gt;"",W180,IF(OR(T180="",V180=""),"",EDATE(T180,V180)))</t>
        </is>
      </c>
      <c r="Y180" s="37" t="n"/>
      <c r="Z180" s="38" t="n"/>
      <c r="AA180" s="34" t="inlineStr">
        <is>
          <t>Under LTO Review</t>
        </is>
      </c>
      <c r="AB180" s="34" t="inlineStr">
        <is>
          <t>Three months slack period Jan-Mar during winter. Seven months construction period required for two canals in two districts</t>
        </is>
      </c>
      <c r="AC180" s="32" t="inlineStr">
        <is>
          <t>IF(F180="","",IF(COUNT(AI180:AV180)=0,IF(AA180="","Not started",AA180),SUBSTITUTE(LOOKUP(2,1/(AI180:AV180&lt;&gt;""),$AI$3:$AV$3),"Date: ","")))</t>
        </is>
      </c>
      <c r="AD180" s="39" t="inlineStr">
        <is>
          <t>IF(OR(F180="",COUNT(AI180:AV180)=0),"",TODAY()-LOOKUP(2,1/(AI180:AV180&lt;&gt;""),AI180:AV180))</t>
        </is>
      </c>
      <c r="AE180" s="39" t="inlineStr">
        <is>
          <t>IF(OR(F180="",COUNT(AI180:AV180)&lt;2),"",LOOKUP(2,1/(AI180:AV180&lt;&gt;""),AI180:AV180)-MIN(AI180:AV180))</t>
        </is>
      </c>
      <c r="AF180" s="39" t="inlineStr">
        <is>
          <t>IF(OR(AD180="",AC180="Not started",AC180=""),"",IFERROR(AD180-IF(VLOOKUP(AC180,'06_Status_Pipeline'!$B$3:$E$20,4,FALSE)="",0,VLOOKUP(AC180,'06_Status_Pipeline'!$B$3:$E$20,4,FALSE)),""))</t>
        </is>
      </c>
      <c r="AG180" s="32" t="inlineStr">
        <is>
          <t>IF(F180="","",IF(OR(AA180="Cancelled",AC180="Cancelled"),"Cancelled",IF(OR(AC180="Completed / Handover",Y180&lt;&gt;"",Z180&gt;=100),"Completed — on track",IF(O180="Not awarded",IF(U180="",IF(X180="","No planned date",IF(TODAY()&gt;X180,"Behind — past planned date",IF(X180-TODAY()&lt;=30,"At risk — close to off track","On track"))),IF(TODAY()&gt;U180,"Behind — award date passed",IF(U180-TODAY()&lt;=30,"At risk — close to off track","On track"))),IF(X180="","No planned date",IF(AND(TODAY()&gt;X180,OR(Z180="",Z180&lt;100)),"Behind — past end date",IF(AND(T180&lt;&gt;"",X180&lt;&gt;"",Z180&lt;&gt;"",(Z180&lt;100),((TODAY()-T180)/MAX(X180-T180,1)*100)-Z180&gt;15),"Behind — progress lag",IF(AND(X180-TODAY()&lt;=30,X180-TODAY()&gt;=0,OR(Z180="",Z180&lt;90)),"At risk — close to off track","On track"))))))))</t>
        </is>
      </c>
      <c r="AH180" s="39" t="inlineStr">
        <is>
          <t>IF(OR(F180="",AC180="Completed / Handover",AC180="Cancelled"),"",IF(O180="Not awarded",IF(U180&lt;&gt;"",U180-TODAY(),IF(X180="","",X180-TODAY())),IF(X180="","",X180-TODAY())))</t>
        </is>
      </c>
      <c r="AI180" s="37" t="n"/>
      <c r="AJ180" s="37" t="n"/>
      <c r="AK180" s="37" t="n"/>
      <c r="AL180" s="37" t="n"/>
      <c r="AM180" s="37" t="n"/>
      <c r="AN180" s="37" t="n"/>
      <c r="AO180" s="37" t="n"/>
      <c r="AP180" s="37" t="n"/>
      <c r="AQ180" s="37" t="n"/>
      <c r="AR180" s="37" t="n"/>
      <c r="AS180" s="37" t="n"/>
      <c r="AT180" s="40" t="n"/>
      <c r="AU180" s="40" t="n"/>
      <c r="AV180" s="40" t="n"/>
      <c r="AW180" s="39" t="inlineStr">
        <is>
          <t>IF(OR(F180="",AJ180=""),"",IF(COUNT(AI180:AI180)=0,"",AJ180-LOOKUP(2,1/(AI180:AI180&lt;&gt;""),AI180:AI180)))</t>
        </is>
      </c>
      <c r="AX180" s="39" t="inlineStr">
        <is>
          <t>IF(OR(F180="",AK180=""),"",IF(COUNT(AI180:AJ180)=0,"",AK180-LOOKUP(2,1/(AI180:AJ180&lt;&gt;""),AI180:AJ180)))</t>
        </is>
      </c>
      <c r="AY180" s="39" t="inlineStr">
        <is>
          <t>IF(OR(F180="",AL180=""),"",IF(COUNT(AI180:AK180)=0,"",AL180-LOOKUP(2,1/(AI180:AK180&lt;&gt;""),AI180:AK180)))</t>
        </is>
      </c>
      <c r="AZ180" s="39" t="inlineStr">
        <is>
          <t>IF(OR(F180="",AM180=""),"",IF(COUNT(AI180:AL180)=0,"",AM180-LOOKUP(2,1/(AI180:AL180&lt;&gt;""),AI180:AL180)))</t>
        </is>
      </c>
      <c r="BA180" s="39" t="inlineStr">
        <is>
          <t>IF(OR(F180="",AN180=""),"",IF(COUNT(AI180:AM180)=0,"",AN180-LOOKUP(2,1/(AI180:AM180&lt;&gt;""),AI180:AM180)))</t>
        </is>
      </c>
      <c r="BB180" s="39" t="inlineStr">
        <is>
          <t>IF(OR(F180="",AO180=""),"",IF(COUNT(AI180:AN180)=0,"",AO180-LOOKUP(2,1/(AI180:AN180&lt;&gt;""),AI180:AN180)))</t>
        </is>
      </c>
      <c r="BC180" s="39" t="inlineStr">
        <is>
          <t>IF(OR(F180="",AP180=""),"",IF(COUNT(AI180:AO180)=0,"",AP180-LOOKUP(2,1/(AI180:AO180&lt;&gt;""),AI180:AO180)))</t>
        </is>
      </c>
      <c r="BD180" s="39" t="inlineStr">
        <is>
          <t>IF(OR(F180="",AQ180=""),"",IF(COUNT(AI180:AP180)=0,"",AQ180-LOOKUP(2,1/(AI180:AP180&lt;&gt;""),AI180:AP180)))</t>
        </is>
      </c>
      <c r="BE180" s="39" t="inlineStr">
        <is>
          <t>IF(OR(F180="",AR180=""),"",IF(COUNT(AI180:AQ180)=0,"",AR180-LOOKUP(2,1/(AI180:AQ180&lt;&gt;""),AI180:AQ180)))</t>
        </is>
      </c>
      <c r="BF180" s="39" t="inlineStr">
        <is>
          <t>IF(OR(F180="",AS180=""),"",IF(COUNT(AI180:AR180)=0,"",AS180-LOOKUP(2,1/(AI180:AR180&lt;&gt;""),AI180:AR180)))</t>
        </is>
      </c>
      <c r="BG180" s="39" t="inlineStr">
        <is>
          <t>IF(OR(F180="",AT180=""),"",IF(COUNT(AI180:AS180)=0,"",AT180-LOOKUP(2,1/(AI180:AS180&lt;&gt;""),AI180:AS180)))</t>
        </is>
      </c>
      <c r="BH180" s="39" t="inlineStr">
        <is>
          <t>IF(OR(F180="",AU180=""),"",IF(COUNT(AI180:AT180)=0,"",AU180-LOOKUP(2,1/(AI180:AT180&lt;&gt;""),AI180:AT180)))</t>
        </is>
      </c>
      <c r="BI180" s="39" t="inlineStr">
        <is>
          <t>IF(OR(F180="",AV180=""),"",IF(COUNT(AI180:AU180)=0,"",AV180-LOOKUP(2,1/(AI180:AU180&lt;&gt;""),AI180:AU180)))</t>
        </is>
      </c>
      <c r="BJ180" s="41" t="inlineStr">
        <is>
          <t>IF(J180="","All_Provinces",IFERROR(VLOOKUP(J180,'09_Lookups'!$A$4:$B$20,2,FALSE),"All_Provinces"))</t>
        </is>
      </c>
      <c r="BK180" s="41" t="inlineStr">
        <is>
          <t>IF(K180="","All_Districts",IFERROR(VLOOKUP(K180,'09_Lookups'!$E$4:$F$42,2,FALSE),"All_Districts"))</t>
        </is>
      </c>
    </row>
    <row r="181" ht="18" customHeight="1">
      <c r="A181" s="32" t="inlineStr">
        <is>
          <t>IF(F181="","",ROW()-3)</t>
        </is>
      </c>
      <c r="B181" s="33" t="inlineStr">
        <is>
          <t>AF2-IS-23</t>
        </is>
      </c>
      <c r="C181" s="33" t="inlineStr">
        <is>
          <t>Package #23-AF2 IS: Rehabilitation of Patab canal irrigation schemes, located in Khas Urozgan of Urozgan province.</t>
        </is>
      </c>
      <c r="D181" s="33" t="inlineStr">
        <is>
          <t>1 of 1</t>
        </is>
      </c>
      <c r="E181" s="57" t="inlineStr">
        <is>
          <t>AF2-IS-N-017</t>
        </is>
      </c>
      <c r="F181" s="57" t="inlineStr">
        <is>
          <t>Patab Irrigation Schem</t>
        </is>
      </c>
      <c r="G181" s="57" t="inlineStr">
        <is>
          <t>Irrigation Scheme</t>
        </is>
      </c>
      <c r="H181" s="57" t="inlineStr">
        <is>
          <t>Irrigation Canal</t>
        </is>
      </c>
      <c r="I181" s="57" t="inlineStr">
        <is>
          <t>Emergency Food Security Project (EFSP) – WBK/AF-2</t>
        </is>
      </c>
      <c r="J181" s="57" t="inlineStr">
        <is>
          <t>Central Highland / Bamyan</t>
        </is>
      </c>
      <c r="K181" s="57" t="inlineStr">
        <is>
          <t>Urozgan</t>
        </is>
      </c>
      <c r="L181" s="57" t="inlineStr">
        <is>
          <t>Khas Urozgan</t>
        </is>
      </c>
      <c r="M181" s="57" t="inlineStr">
        <is>
          <t>Patab</t>
        </is>
      </c>
      <c r="N181" s="57" t="inlineStr">
        <is>
          <t>World Bank (WBK/AF-2)</t>
        </is>
      </c>
      <c r="O181" s="57" t="inlineStr">
        <is>
          <t>Not awarded</t>
        </is>
      </c>
      <c r="P181" s="57" t="inlineStr">
        <is>
          <t>2.Remain contracts_On&amp;off-farm</t>
        </is>
      </c>
      <c r="Q181" s="57" t="inlineStr"/>
      <c r="R181" s="57" t="inlineStr"/>
      <c r="S181" s="58" t="n">
        <v>290442.55</v>
      </c>
      <c r="T181" s="36" t="inlineStr">
        <is>
          <t>IF(AQ181="","",AQ181)</t>
        </is>
      </c>
      <c r="U181" s="59" t="n">
        <v>46371</v>
      </c>
      <c r="V181" s="60" t="n">
        <v>8.9</v>
      </c>
      <c r="W181" s="59" t="n">
        <v>46641</v>
      </c>
      <c r="X181" s="36" t="inlineStr">
        <is>
          <t>IF(W181&lt;&gt;"",W181,IF(OR(T181="",V181=""),"",EDATE(T181,V181)))</t>
        </is>
      </c>
      <c r="Y181" s="59" t="n"/>
      <c r="Z181" s="60" t="n"/>
      <c r="AA181" s="57" t="inlineStr">
        <is>
          <t>Retendered (Re-ITB)</t>
        </is>
      </c>
      <c r="AB181" s="57" t="inlineStr">
        <is>
          <t>The submitted work plan to be revised</t>
        </is>
      </c>
      <c r="AC181" s="32" t="inlineStr">
        <is>
          <t>IF(F181="","",IF(COUNT(AI181:AV181)=0,IF(AA181="","Not started",AA181),SUBSTITUTE(LOOKUP(2,1/(AI181:AV181&lt;&gt;""),$AI$3:$AV$3),"Date: ","")))</t>
        </is>
      </c>
      <c r="AD181" s="39" t="inlineStr">
        <is>
          <t>IF(OR(F181="",COUNT(AI181:AV181)=0),"",TODAY()-LOOKUP(2,1/(AI181:AV181&lt;&gt;""),AI181:AV181))</t>
        </is>
      </c>
      <c r="AE181" s="39" t="inlineStr">
        <is>
          <t>IF(OR(F181="",COUNT(AI181:AV181)&lt;2),"",LOOKUP(2,1/(AI181:AV181&lt;&gt;""),AI181:AV181)-MIN(AI181:AV181))</t>
        </is>
      </c>
      <c r="AF181" s="39" t="inlineStr">
        <is>
          <t>IF(OR(AD181="",AC181="Not started",AC181=""),"",IFERROR(AD181-IF(VLOOKUP(AC181,'06_Status_Pipeline'!$B$3:$E$20,4,FALSE)="",0,VLOOKUP(AC181,'06_Status_Pipeline'!$B$3:$E$20,4,FALSE)),""))</t>
        </is>
      </c>
      <c r="AG181" s="32" t="inlineStr">
        <is>
          <t>IF(F181="","",IF(OR(AA181="Cancelled",AC181="Cancelled"),"Cancelled",IF(OR(AC181="Completed / Handover",Y181&lt;&gt;"",Z181&gt;=100),"Completed — on track",IF(O181="Not awarded",IF(U181="",IF(X181="","No planned date",IF(TODAY()&gt;X181,"Behind — past planned date",IF(X181-TODAY()&lt;=30,"At risk — close to off track","On track"))),IF(TODAY()&gt;U181,"Behind — award date passed",IF(U181-TODAY()&lt;=30,"At risk — close to off track","On track"))),IF(X181="","No planned date",IF(AND(TODAY()&gt;X181,OR(Z181="",Z181&lt;100)),"Behind — past end date",IF(AND(T181&lt;&gt;"",X181&lt;&gt;"",Z181&lt;&gt;"",(Z181&lt;100),((TODAY()-T181)/MAX(X181-T181,1)*100)-Z181&gt;15),"Behind — progress lag",IF(AND(X181-TODAY()&lt;=30,X181-TODAY()&gt;=0,OR(Z181="",Z181&lt;90)),"At risk — close to off track","On track"))))))))</t>
        </is>
      </c>
      <c r="AH181" s="39" t="inlineStr">
        <is>
          <t>IF(OR(F181="",AC181="Completed / Handover",AC181="Cancelled"),"",IF(O181="Not awarded",IF(U181&lt;&gt;"",U181-TODAY(),IF(X181="","",X181-TODAY())),IF(X181="","",X181-TODAY())))</t>
        </is>
      </c>
      <c r="AI181" s="59" t="n"/>
      <c r="AJ181" s="59" t="n"/>
      <c r="AK181" s="59" t="n"/>
      <c r="AL181" s="59" t="n"/>
      <c r="AM181" s="59" t="n"/>
      <c r="AN181" s="59" t="n"/>
      <c r="AO181" s="59" t="n"/>
      <c r="AP181" s="59" t="n"/>
      <c r="AQ181" s="59" t="n"/>
      <c r="AR181" s="59" t="n"/>
      <c r="AS181" s="59" t="n"/>
      <c r="AT181" s="40" t="n"/>
      <c r="AU181" s="40" t="n"/>
      <c r="AV181" s="40" t="n"/>
      <c r="AW181" s="39" t="inlineStr">
        <is>
          <t>IF(OR(F181="",AJ181=""),"",IF(COUNT(AI181:AI181)=0,"",AJ181-LOOKUP(2,1/(AI181:AI181&lt;&gt;""),AI181:AI181)))</t>
        </is>
      </c>
      <c r="AX181" s="39" t="inlineStr">
        <is>
          <t>IF(OR(F181="",AK181=""),"",IF(COUNT(AI181:AJ181)=0,"",AK181-LOOKUP(2,1/(AI181:AJ181&lt;&gt;""),AI181:AJ181)))</t>
        </is>
      </c>
      <c r="AY181" s="39" t="inlineStr">
        <is>
          <t>IF(OR(F181="",AL181=""),"",IF(COUNT(AI181:AK181)=0,"",AL181-LOOKUP(2,1/(AI181:AK181&lt;&gt;""),AI181:AK181)))</t>
        </is>
      </c>
      <c r="AZ181" s="39" t="inlineStr">
        <is>
          <t>IF(OR(F181="",AM181=""),"",IF(COUNT(AI181:AL181)=0,"",AM181-LOOKUP(2,1/(AI181:AL181&lt;&gt;""),AI181:AL181)))</t>
        </is>
      </c>
      <c r="BA181" s="39" t="inlineStr">
        <is>
          <t>IF(OR(F181="",AN181=""),"",IF(COUNT(AI181:AM181)=0,"",AN181-LOOKUP(2,1/(AI181:AM181&lt;&gt;""),AI181:AM181)))</t>
        </is>
      </c>
      <c r="BB181" s="39" t="inlineStr">
        <is>
          <t>IF(OR(F181="",AO181=""),"",IF(COUNT(AI181:AN181)=0,"",AO181-LOOKUP(2,1/(AI181:AN181&lt;&gt;""),AI181:AN181)))</t>
        </is>
      </c>
      <c r="BC181" s="39" t="inlineStr">
        <is>
          <t>IF(OR(F181="",AP181=""),"",IF(COUNT(AI181:AO181)=0,"",AP181-LOOKUP(2,1/(AI181:AO181&lt;&gt;""),AI181:AO181)))</t>
        </is>
      </c>
      <c r="BD181" s="39" t="inlineStr">
        <is>
          <t>IF(OR(F181="",AQ181=""),"",IF(COUNT(AI181:AP181)=0,"",AQ181-LOOKUP(2,1/(AI181:AP181&lt;&gt;""),AI181:AP181)))</t>
        </is>
      </c>
      <c r="BE181" s="39" t="inlineStr">
        <is>
          <t>IF(OR(F181="",AR181=""),"",IF(COUNT(AI181:AQ181)=0,"",AR181-LOOKUP(2,1/(AI181:AQ181&lt;&gt;""),AI181:AQ181)))</t>
        </is>
      </c>
      <c r="BF181" s="39" t="inlineStr">
        <is>
          <t>IF(OR(F181="",AS181=""),"",IF(COUNT(AI181:AR181)=0,"",AS181-LOOKUP(2,1/(AI181:AR181&lt;&gt;""),AI181:AR181)))</t>
        </is>
      </c>
      <c r="BG181" s="39" t="inlineStr">
        <is>
          <t>IF(OR(F181="",AT181=""),"",IF(COUNT(AI181:AS181)=0,"",AT181-LOOKUP(2,1/(AI181:AS181&lt;&gt;""),AI181:AS181)))</t>
        </is>
      </c>
      <c r="BH181" s="39" t="inlineStr">
        <is>
          <t>IF(OR(F181="",AU181=""),"",IF(COUNT(AI181:AT181)=0,"",AU181-LOOKUP(2,1/(AI181:AT181&lt;&gt;""),AI181:AT181)))</t>
        </is>
      </c>
      <c r="BI181" s="39" t="inlineStr">
        <is>
          <t>IF(OR(F181="",AV181=""),"",IF(COUNT(AI181:AU181)=0,"",AV181-LOOKUP(2,1/(AI181:AU181&lt;&gt;""),AI181:AU181)))</t>
        </is>
      </c>
      <c r="BJ181" s="41" t="inlineStr">
        <is>
          <t>IF(J181="","All_Provinces",IFERROR(VLOOKUP(J181,'09_Lookups'!$A$4:$B$20,2,FALSE),"All_Provinces"))</t>
        </is>
      </c>
      <c r="BK181" s="41" t="inlineStr">
        <is>
          <t>IF(K181="","All_Districts",IFERROR(VLOOKUP(K181,'09_Lookups'!$E$4:$F$42,2,FALSE),"All_Districts"))</t>
        </is>
      </c>
    </row>
    <row r="182" ht="18" customHeight="1">
      <c r="A182" s="32" t="inlineStr">
        <is>
          <t>IF(F182="","",ROW()-3)</t>
        </is>
      </c>
      <c r="B182" s="56" t="inlineStr">
        <is>
          <t>AF2-IS-24</t>
        </is>
      </c>
      <c r="C182" s="56" t="inlineStr">
        <is>
          <t>Package #24-AF2 IS: Rehabilitation of Shajoy canal irrigation scheme, located in Dayee Chopan districts of Zabul province.</t>
        </is>
      </c>
      <c r="D182" s="56" t="inlineStr">
        <is>
          <t>1 of 1</t>
        </is>
      </c>
      <c r="E182" s="34" t="inlineStr">
        <is>
          <t>AF2-IS-N-018</t>
        </is>
      </c>
      <c r="F182" s="34" t="inlineStr">
        <is>
          <t>Shajoy Canal Irrigation Scheme</t>
        </is>
      </c>
      <c r="G182" s="34" t="inlineStr">
        <is>
          <t>Irrigation Scheme</t>
        </is>
      </c>
      <c r="H182" s="34" t="inlineStr">
        <is>
          <t>Irrigation Canal</t>
        </is>
      </c>
      <c r="I182" s="34" t="inlineStr">
        <is>
          <t>Emergency Food Security Project (EFSP) – WBK/AF-2</t>
        </is>
      </c>
      <c r="J182" s="34" t="inlineStr">
        <is>
          <t>Central Highland / Bamyan</t>
        </is>
      </c>
      <c r="K182" s="34" t="inlineStr">
        <is>
          <t>Zabul</t>
        </is>
      </c>
      <c r="L182" s="34" t="inlineStr">
        <is>
          <t>Dayee Chopan</t>
        </is>
      </c>
      <c r="M182" s="34" t="inlineStr">
        <is>
          <t>-</t>
        </is>
      </c>
      <c r="N182" s="34" t="inlineStr">
        <is>
          <t>World Bank (WBK/AF-2)</t>
        </is>
      </c>
      <c r="O182" s="34" t="inlineStr">
        <is>
          <t>Not awarded</t>
        </is>
      </c>
      <c r="P182" s="34" t="inlineStr">
        <is>
          <t>2.Remain contracts_On&amp;off-farm</t>
        </is>
      </c>
      <c r="Q182" s="34" t="inlineStr"/>
      <c r="R182" s="34" t="inlineStr"/>
      <c r="S182" s="35" t="n">
        <v>155000</v>
      </c>
      <c r="T182" s="36" t="inlineStr">
        <is>
          <t>IF(AQ182="","",AQ182)</t>
        </is>
      </c>
      <c r="U182" s="37" t="n">
        <v>46376</v>
      </c>
      <c r="V182" s="38" t="n">
        <v>8.9</v>
      </c>
      <c r="W182" s="37" t="n">
        <v>46646</v>
      </c>
      <c r="X182" s="36" t="inlineStr">
        <is>
          <t>IF(W182&lt;&gt;"",W182,IF(OR(T182="",V182=""),"",EDATE(T182,V182)))</t>
        </is>
      </c>
      <c r="Y182" s="37" t="n"/>
      <c r="Z182" s="38" t="n"/>
      <c r="AA182" s="34" t="inlineStr">
        <is>
          <t>Under Design</t>
        </is>
      </c>
      <c r="AB182" s="34" t="inlineStr">
        <is>
          <t>Three months slack period Jan-Mar during winter. Six months construction period required for two canals in two districts. Explore splitting into two lots and if one lot ready then raise PR.</t>
        </is>
      </c>
      <c r="AC182" s="32" t="inlineStr">
        <is>
          <t>IF(F182="","",IF(COUNT(AI182:AV182)=0,IF(AA182="","Not started",AA182),SUBSTITUTE(LOOKUP(2,1/(AI182:AV182&lt;&gt;""),$AI$3:$AV$3),"Date: ","")))</t>
        </is>
      </c>
      <c r="AD182" s="39" t="inlineStr">
        <is>
          <t>IF(OR(F182="",COUNT(AI182:AV182)=0),"",TODAY()-LOOKUP(2,1/(AI182:AV182&lt;&gt;""),AI182:AV182))</t>
        </is>
      </c>
      <c r="AE182" s="39" t="inlineStr">
        <is>
          <t>IF(OR(F182="",COUNT(AI182:AV182)&lt;2),"",LOOKUP(2,1/(AI182:AV182&lt;&gt;""),AI182:AV182)-MIN(AI182:AV182))</t>
        </is>
      </c>
      <c r="AF182" s="39" t="inlineStr">
        <is>
          <t>IF(OR(AD182="",AC182="Not started",AC182=""),"",IFERROR(AD182-IF(VLOOKUP(AC182,'06_Status_Pipeline'!$B$3:$E$20,4,FALSE)="",0,VLOOKUP(AC182,'06_Status_Pipeline'!$B$3:$E$20,4,FALSE)),""))</t>
        </is>
      </c>
      <c r="AG182" s="32" t="inlineStr">
        <is>
          <t>IF(F182="","",IF(OR(AA182="Cancelled",AC182="Cancelled"),"Cancelled",IF(OR(AC182="Completed / Handover",Y182&lt;&gt;"",Z182&gt;=100),"Completed — on track",IF(O182="Not awarded",IF(U182="",IF(X182="","No planned date",IF(TODAY()&gt;X182,"Behind — past planned date",IF(X182-TODAY()&lt;=30,"At risk — close to off track","On track"))),IF(TODAY()&gt;U182,"Behind — award date passed",IF(U182-TODAY()&lt;=30,"At risk — close to off track","On track"))),IF(X182="","No planned date",IF(AND(TODAY()&gt;X182,OR(Z182="",Z182&lt;100)),"Behind — past end date",IF(AND(T182&lt;&gt;"",X182&lt;&gt;"",Z182&lt;&gt;"",(Z182&lt;100),((TODAY()-T182)/MAX(X182-T182,1)*100)-Z182&gt;15),"Behind — progress lag",IF(AND(X182-TODAY()&lt;=30,X182-TODAY()&gt;=0,OR(Z182="",Z182&lt;90)),"At risk — close to off track","On track"))))))))</t>
        </is>
      </c>
      <c r="AH182" s="39" t="inlineStr">
        <is>
          <t>IF(OR(F182="",AC182="Completed / Handover",AC182="Cancelled"),"",IF(O182="Not awarded",IF(U182&lt;&gt;"",U182-TODAY(),IF(X182="","",X182-TODAY())),IF(X182="","",X182-TODAY())))</t>
        </is>
      </c>
      <c r="AI182" s="37" t="n"/>
      <c r="AJ182" s="37" t="n"/>
      <c r="AK182" s="37" t="n"/>
      <c r="AL182" s="37" t="n"/>
      <c r="AM182" s="37" t="n"/>
      <c r="AN182" s="37" t="n"/>
      <c r="AO182" s="37" t="n"/>
      <c r="AP182" s="37" t="n"/>
      <c r="AQ182" s="37" t="n"/>
      <c r="AR182" s="37" t="n"/>
      <c r="AS182" s="37" t="n"/>
      <c r="AT182" s="40" t="n"/>
      <c r="AU182" s="40" t="n"/>
      <c r="AV182" s="40" t="n"/>
      <c r="AW182" s="39" t="inlineStr">
        <is>
          <t>IF(OR(F182="",AJ182=""),"",IF(COUNT(AI182:AI182)=0,"",AJ182-LOOKUP(2,1/(AI182:AI182&lt;&gt;""),AI182:AI182)))</t>
        </is>
      </c>
      <c r="AX182" s="39" t="inlineStr">
        <is>
          <t>IF(OR(F182="",AK182=""),"",IF(COUNT(AI182:AJ182)=0,"",AK182-LOOKUP(2,1/(AI182:AJ182&lt;&gt;""),AI182:AJ182)))</t>
        </is>
      </c>
      <c r="AY182" s="39" t="inlineStr">
        <is>
          <t>IF(OR(F182="",AL182=""),"",IF(COUNT(AI182:AK182)=0,"",AL182-LOOKUP(2,1/(AI182:AK182&lt;&gt;""),AI182:AK182)))</t>
        </is>
      </c>
      <c r="AZ182" s="39" t="inlineStr">
        <is>
          <t>IF(OR(F182="",AM182=""),"",IF(COUNT(AI182:AL182)=0,"",AM182-LOOKUP(2,1/(AI182:AL182&lt;&gt;""),AI182:AL182)))</t>
        </is>
      </c>
      <c r="BA182" s="39" t="inlineStr">
        <is>
          <t>IF(OR(F182="",AN182=""),"",IF(COUNT(AI182:AM182)=0,"",AN182-LOOKUP(2,1/(AI182:AM182&lt;&gt;""),AI182:AM182)))</t>
        </is>
      </c>
      <c r="BB182" s="39" t="inlineStr">
        <is>
          <t>IF(OR(F182="",AO182=""),"",IF(COUNT(AI182:AN182)=0,"",AO182-LOOKUP(2,1/(AI182:AN182&lt;&gt;""),AI182:AN182)))</t>
        </is>
      </c>
      <c r="BC182" s="39" t="inlineStr">
        <is>
          <t>IF(OR(F182="",AP182=""),"",IF(COUNT(AI182:AO182)=0,"",AP182-LOOKUP(2,1/(AI182:AO182&lt;&gt;""),AI182:AO182)))</t>
        </is>
      </c>
      <c r="BD182" s="39" t="inlineStr">
        <is>
          <t>IF(OR(F182="",AQ182=""),"",IF(COUNT(AI182:AP182)=0,"",AQ182-LOOKUP(2,1/(AI182:AP182&lt;&gt;""),AI182:AP182)))</t>
        </is>
      </c>
      <c r="BE182" s="39" t="inlineStr">
        <is>
          <t>IF(OR(F182="",AR182=""),"",IF(COUNT(AI182:AQ182)=0,"",AR182-LOOKUP(2,1/(AI182:AQ182&lt;&gt;""),AI182:AQ182)))</t>
        </is>
      </c>
      <c r="BF182" s="39" t="inlineStr">
        <is>
          <t>IF(OR(F182="",AS182=""),"",IF(COUNT(AI182:AR182)=0,"",AS182-LOOKUP(2,1/(AI182:AR182&lt;&gt;""),AI182:AR182)))</t>
        </is>
      </c>
      <c r="BG182" s="39" t="inlineStr">
        <is>
          <t>IF(OR(F182="",AT182=""),"",IF(COUNT(AI182:AS182)=0,"",AT182-LOOKUP(2,1/(AI182:AS182&lt;&gt;""),AI182:AS182)))</t>
        </is>
      </c>
      <c r="BH182" s="39" t="inlineStr">
        <is>
          <t>IF(OR(F182="",AU182=""),"",IF(COUNT(AI182:AT182)=0,"",AU182-LOOKUP(2,1/(AI182:AT182&lt;&gt;""),AI182:AT182)))</t>
        </is>
      </c>
      <c r="BI182" s="39" t="inlineStr">
        <is>
          <t>IF(OR(F182="",AV182=""),"",IF(COUNT(AI182:AU182)=0,"",AV182-LOOKUP(2,1/(AI182:AU182&lt;&gt;""),AI182:AU182)))</t>
        </is>
      </c>
      <c r="BJ182" s="41" t="inlineStr">
        <is>
          <t>IF(J182="","All_Provinces",IFERROR(VLOOKUP(J182,'09_Lookups'!$A$4:$B$20,2,FALSE),"All_Provinces"))</t>
        </is>
      </c>
      <c r="BK182" s="41" t="inlineStr">
        <is>
          <t>IF(K182="","All_Districts",IFERROR(VLOOKUP(K182,'09_Lookups'!$E$4:$F$42,2,FALSE),"All_Districts"))</t>
        </is>
      </c>
    </row>
    <row r="183" ht="18" customHeight="1">
      <c r="A183" s="32" t="inlineStr">
        <is>
          <t>IF(F183="","",ROW()-3)</t>
        </is>
      </c>
      <c r="B183" s="62" t="inlineStr">
        <is>
          <t>AF2-IS-25</t>
        </is>
      </c>
      <c r="C183" s="62" t="inlineStr">
        <is>
          <t>Package #25-AF2 IS: Rehabilitation of Urdo Kas canal and Sarkay Lazhey canal irrigation schemes, located in Sha Wali Kot and Boldak districts of Kandahar province.</t>
        </is>
      </c>
      <c r="D183" s="62" t="inlineStr">
        <is>
          <t>1 of 2</t>
        </is>
      </c>
      <c r="E183" s="57" t="inlineStr">
        <is>
          <t>AF2-IS-A-023</t>
        </is>
      </c>
      <c r="F183" s="57" t="inlineStr">
        <is>
          <t>Sarkay Lazhey Canal Irrigation Scheme</t>
        </is>
      </c>
      <c r="G183" s="57" t="inlineStr">
        <is>
          <t>Irrigation Scheme</t>
        </is>
      </c>
      <c r="H183" s="57" t="inlineStr">
        <is>
          <t>Irrigation Canal</t>
        </is>
      </c>
      <c r="I183" s="57" t="inlineStr">
        <is>
          <t>Emergency Food Security Project (EFSP) – WBK/AF-2</t>
        </is>
      </c>
      <c r="J183" s="57" t="inlineStr">
        <is>
          <t>South / Kandahar</t>
        </is>
      </c>
      <c r="K183" s="57" t="inlineStr">
        <is>
          <t>Kandahar</t>
        </is>
      </c>
      <c r="L183" s="57" t="inlineStr">
        <is>
          <t>Boldak</t>
        </is>
      </c>
      <c r="M183" s="57" t="inlineStr">
        <is>
          <t>Sarkay Lazhey</t>
        </is>
      </c>
      <c r="N183" s="57" t="inlineStr">
        <is>
          <t>World Bank (WBK/AF-2)</t>
        </is>
      </c>
      <c r="O183" s="57" t="inlineStr">
        <is>
          <t>Awarded</t>
        </is>
      </c>
      <c r="P183" s="57" t="inlineStr">
        <is>
          <t>1.Awarded contracts_On&amp;off-farm</t>
        </is>
      </c>
      <c r="Q183" s="57" t="inlineStr">
        <is>
          <t>Wasif Construction Company</t>
        </is>
      </c>
      <c r="R183" s="57" t="inlineStr">
        <is>
          <t>012/2026</t>
        </is>
      </c>
      <c r="S183" s="58" t="n">
        <v>235424.79</v>
      </c>
      <c r="T183" s="36" t="inlineStr">
        <is>
          <t>IF(AQ183="","",AQ183)</t>
        </is>
      </c>
      <c r="U183" s="59" t="n"/>
      <c r="V183" s="60" t="n">
        <v>9.9</v>
      </c>
      <c r="W183" s="59" t="n">
        <v>46364</v>
      </c>
      <c r="X183" s="36" t="inlineStr">
        <is>
          <t>IF(W183&lt;&gt;"",W183,IF(OR(T183="",V183=""),"",EDATE(T183,V183)))</t>
        </is>
      </c>
      <c r="Y183" s="59" t="n"/>
      <c r="Z183" s="60" t="n">
        <v>10</v>
      </c>
      <c r="AA183" s="57" t="inlineStr">
        <is>
          <t>Under Construction</t>
        </is>
      </c>
      <c r="AB183" s="57" t="inlineStr">
        <is>
          <t>Needs NCE and work will be completed by June 2027</t>
        </is>
      </c>
      <c r="AC183" s="32" t="inlineStr">
        <is>
          <t>IF(F183="","",IF(COUNT(AI183:AV183)=0,IF(AA183="","Not started",AA183),SUBSTITUTE(LOOKUP(2,1/(AI183:AV183&lt;&gt;""),$AI$3:$AV$3),"Date: ","")))</t>
        </is>
      </c>
      <c r="AD183" s="39" t="inlineStr">
        <is>
          <t>IF(OR(F183="",COUNT(AI183:AV183)=0),"",TODAY()-LOOKUP(2,1/(AI183:AV183&lt;&gt;""),AI183:AV183))</t>
        </is>
      </c>
      <c r="AE183" s="39" t="inlineStr">
        <is>
          <t>IF(OR(F183="",COUNT(AI183:AV183)&lt;2),"",LOOKUP(2,1/(AI183:AV183&lt;&gt;""),AI183:AV183)-MIN(AI183:AV183))</t>
        </is>
      </c>
      <c r="AF183" s="39" t="inlineStr">
        <is>
          <t>IF(OR(AD183="",AC183="Not started",AC183=""),"",IFERROR(AD183-IF(VLOOKUP(AC183,'06_Status_Pipeline'!$B$3:$E$20,4,FALSE)="",0,VLOOKUP(AC183,'06_Status_Pipeline'!$B$3:$E$20,4,FALSE)),""))</t>
        </is>
      </c>
      <c r="AG183" s="32" t="inlineStr">
        <is>
          <t>IF(F183="","",IF(OR(AA183="Cancelled",AC183="Cancelled"),"Cancelled",IF(OR(AC183="Completed / Handover",Y183&lt;&gt;"",Z183&gt;=100),"Completed — on track",IF(O183="Not awarded",IF(U183="",IF(X183="","No planned date",IF(TODAY()&gt;X183,"Behind — past planned date",IF(X183-TODAY()&lt;=30,"At risk — close to off track","On track"))),IF(TODAY()&gt;U183,"Behind — award date passed",IF(U183-TODAY()&lt;=30,"At risk — close to off track","On track"))),IF(X183="","No planned date",IF(AND(TODAY()&gt;X183,OR(Z183="",Z183&lt;100)),"Behind — past end date",IF(AND(T183&lt;&gt;"",X183&lt;&gt;"",Z183&lt;&gt;"",(Z183&lt;100),((TODAY()-T183)/MAX(X183-T183,1)*100)-Z183&gt;15),"Behind — progress lag",IF(AND(X183-TODAY()&lt;=30,X183-TODAY()&gt;=0,OR(Z183="",Z183&lt;90)),"At risk — close to off track","On track"))))))))</t>
        </is>
      </c>
      <c r="AH183" s="39" t="inlineStr">
        <is>
          <t>IF(OR(F183="",AC183="Completed / Handover",AC183="Cancelled"),"",IF(O183="Not awarded",IF(U183&lt;&gt;"",U183-TODAY(),IF(X183="","",X183-TODAY())),IF(X183="","",X183-TODAY())))</t>
        </is>
      </c>
      <c r="AI183" s="66" t="n"/>
      <c r="AJ183" s="66" t="n"/>
      <c r="AK183" s="66" t="n"/>
      <c r="AL183" s="66" t="n"/>
      <c r="AM183" s="66" t="n"/>
      <c r="AN183" s="66" t="n"/>
      <c r="AO183" s="66" t="n"/>
      <c r="AP183" s="66" t="n"/>
      <c r="AQ183" s="66" t="n">
        <v>46062</v>
      </c>
      <c r="AR183" s="66" t="n">
        <v>46062</v>
      </c>
      <c r="AS183" s="66" t="n"/>
      <c r="AT183" s="40" t="n"/>
      <c r="AU183" s="40" t="n"/>
      <c r="AV183" s="40" t="n"/>
      <c r="AW183" s="39" t="inlineStr">
        <is>
          <t>IF(OR(F183="",AJ183=""),"",IF(COUNT(AI183:AI183)=0,"",AJ183-LOOKUP(2,1/(AI183:AI183&lt;&gt;""),AI183:AI183)))</t>
        </is>
      </c>
      <c r="AX183" s="39" t="inlineStr">
        <is>
          <t>IF(OR(F183="",AK183=""),"",IF(COUNT(AI183:AJ183)=0,"",AK183-LOOKUP(2,1/(AI183:AJ183&lt;&gt;""),AI183:AJ183)))</t>
        </is>
      </c>
      <c r="AY183" s="39" t="inlineStr">
        <is>
          <t>IF(OR(F183="",AL183=""),"",IF(COUNT(AI183:AK183)=0,"",AL183-LOOKUP(2,1/(AI183:AK183&lt;&gt;""),AI183:AK183)))</t>
        </is>
      </c>
      <c r="AZ183" s="39" t="inlineStr">
        <is>
          <t>IF(OR(F183="",AM183=""),"",IF(COUNT(AI183:AL183)=0,"",AM183-LOOKUP(2,1/(AI183:AL183&lt;&gt;""),AI183:AL183)))</t>
        </is>
      </c>
      <c r="BA183" s="39" t="inlineStr">
        <is>
          <t>IF(OR(F183="",AN183=""),"",IF(COUNT(AI183:AM183)=0,"",AN183-LOOKUP(2,1/(AI183:AM183&lt;&gt;""),AI183:AM183)))</t>
        </is>
      </c>
      <c r="BB183" s="39" t="inlineStr">
        <is>
          <t>IF(OR(F183="",AO183=""),"",IF(COUNT(AI183:AN183)=0,"",AO183-LOOKUP(2,1/(AI183:AN183&lt;&gt;""),AI183:AN183)))</t>
        </is>
      </c>
      <c r="BC183" s="39" t="inlineStr">
        <is>
          <t>IF(OR(F183="",AP183=""),"",IF(COUNT(AI183:AO183)=0,"",AP183-LOOKUP(2,1/(AI183:AO183&lt;&gt;""),AI183:AO183)))</t>
        </is>
      </c>
      <c r="BD183" s="39" t="inlineStr">
        <is>
          <t>IF(OR(F183="",AQ183=""),"",IF(COUNT(AI183:AP183)=0,"",AQ183-LOOKUP(2,1/(AI183:AP183&lt;&gt;""),AI183:AP183)))</t>
        </is>
      </c>
      <c r="BE183" s="39" t="inlineStr">
        <is>
          <t>IF(OR(F183="",AR183=""),"",IF(COUNT(AI183:AQ183)=0,"",AR183-LOOKUP(2,1/(AI183:AQ183&lt;&gt;""),AI183:AQ183)))</t>
        </is>
      </c>
      <c r="BF183" s="39" t="inlineStr">
        <is>
          <t>IF(OR(F183="",AS183=""),"",IF(COUNT(AI183:AR183)=0,"",AS183-LOOKUP(2,1/(AI183:AR183&lt;&gt;""),AI183:AR183)))</t>
        </is>
      </c>
      <c r="BG183" s="39" t="inlineStr">
        <is>
          <t>IF(OR(F183="",AT183=""),"",IF(COUNT(AI183:AS183)=0,"",AT183-LOOKUP(2,1/(AI183:AS183&lt;&gt;""),AI183:AS183)))</t>
        </is>
      </c>
      <c r="BH183" s="39" t="inlineStr">
        <is>
          <t>IF(OR(F183="",AU183=""),"",IF(COUNT(AI183:AT183)=0,"",AU183-LOOKUP(2,1/(AI183:AT183&lt;&gt;""),AI183:AT183)))</t>
        </is>
      </c>
      <c r="BI183" s="39" t="inlineStr">
        <is>
          <t>IF(OR(F183="",AV183=""),"",IF(COUNT(AI183:AU183)=0,"",AV183-LOOKUP(2,1/(AI183:AU183&lt;&gt;""),AI183:AU183)))</t>
        </is>
      </c>
      <c r="BJ183" s="41" t="inlineStr">
        <is>
          <t>IF(J183="","All_Provinces",IFERROR(VLOOKUP(J183,'09_Lookups'!$A$4:$B$20,2,FALSE),"All_Provinces"))</t>
        </is>
      </c>
      <c r="BK183" s="41" t="inlineStr">
        <is>
          <t>IF(K183="","All_Districts",IFERROR(VLOOKUP(K183,'09_Lookups'!$E$4:$F$42,2,FALSE),"All_Districts"))</t>
        </is>
      </c>
    </row>
    <row r="184" outlineLevel="1" ht="18" customHeight="1">
      <c r="A184" s="42" t="inlineStr">
        <is>
          <t>IF(F184="","",ROW()-3)</t>
        </is>
      </c>
      <c r="B184" s="63" t="inlineStr">
        <is>
          <t>AF2-IS-25</t>
        </is>
      </c>
      <c r="C184" s="63" t="inlineStr">
        <is>
          <t>Package #25-AF2 IS: Rehabilitation of Urdo Kas canal and Sarkay Lazhey canal irrigation schemes, located in Sha Wali Kot and Boldak districts of Kandahar province.</t>
        </is>
      </c>
      <c r="D184" s="63" t="inlineStr">
        <is>
          <t>2 of 2</t>
        </is>
      </c>
      <c r="E184" s="52" t="inlineStr">
        <is>
          <t>AF2-IS-A-024</t>
        </is>
      </c>
      <c r="F184" s="52" t="inlineStr">
        <is>
          <t>Urdo Kas Irrigation Scheme</t>
        </is>
      </c>
      <c r="G184" s="52" t="inlineStr">
        <is>
          <t>Irrigation Scheme</t>
        </is>
      </c>
      <c r="H184" s="52" t="inlineStr">
        <is>
          <t>Irrigation Canal</t>
        </is>
      </c>
      <c r="I184" s="52" t="inlineStr">
        <is>
          <t>Emergency Food Security Project (EFSP) – WBK/AF-2</t>
        </is>
      </c>
      <c r="J184" s="52" t="inlineStr">
        <is>
          <t>South / Kandahar</t>
        </is>
      </c>
      <c r="K184" s="52" t="inlineStr">
        <is>
          <t>Kandahar</t>
        </is>
      </c>
      <c r="L184" s="52" t="inlineStr">
        <is>
          <t>Sha Wali Kot</t>
        </is>
      </c>
      <c r="M184" s="52" t="inlineStr">
        <is>
          <t>Urdo Kas</t>
        </is>
      </c>
      <c r="N184" s="52" t="inlineStr">
        <is>
          <t>World Bank (WBK/AF-2)</t>
        </is>
      </c>
      <c r="O184" s="52" t="inlineStr">
        <is>
          <t>Awarded</t>
        </is>
      </c>
      <c r="P184" s="52" t="inlineStr">
        <is>
          <t>1.Awarded contracts_On&amp;off-farm</t>
        </is>
      </c>
      <c r="Q184" s="52" t="inlineStr">
        <is>
          <t>Wasif Construction Company</t>
        </is>
      </c>
      <c r="R184" s="52" t="inlineStr">
        <is>
          <t>012/2026</t>
        </is>
      </c>
      <c r="S184" s="53" t="n">
        <v>90157.45</v>
      </c>
      <c r="T184" s="46" t="inlineStr">
        <is>
          <t>IF(AQ184="","",AQ184)</t>
        </is>
      </c>
      <c r="U184" s="54" t="n"/>
      <c r="V184" s="55" t="n">
        <v>9.9</v>
      </c>
      <c r="W184" s="54" t="n">
        <v>46364</v>
      </c>
      <c r="X184" s="46" t="inlineStr">
        <is>
          <t>IF(W184&lt;&gt;"",W184,IF(OR(T184="",V184=""),"",EDATE(T184,V184)))</t>
        </is>
      </c>
      <c r="Y184" s="54" t="n"/>
      <c r="Z184" s="55" t="n">
        <v>15</v>
      </c>
      <c r="AA184" s="52" t="inlineStr">
        <is>
          <t>Under Construction</t>
        </is>
      </c>
      <c r="AB184" s="52" t="inlineStr">
        <is>
          <t>Needs NCE and work will be completed by June 2027</t>
        </is>
      </c>
      <c r="AC184" s="42" t="inlineStr">
        <is>
          <t>IF(F184="","",IF(COUNT(AI184:AV184)=0,IF(AA184="","Not started",AA184),SUBSTITUTE(LOOKUP(2,1/(AI184:AV184&lt;&gt;""),$AI$3:$AV$3),"Date: ","")))</t>
        </is>
      </c>
      <c r="AD184" s="49" t="inlineStr">
        <is>
          <t>IF(OR(F184="",COUNT(AI184:AV184)=0),"",TODAY()-LOOKUP(2,1/(AI184:AV184&lt;&gt;""),AI184:AV184))</t>
        </is>
      </c>
      <c r="AE184" s="49" t="inlineStr">
        <is>
          <t>IF(OR(F184="",COUNT(AI184:AV184)&lt;2),"",LOOKUP(2,1/(AI184:AV184&lt;&gt;""),AI184:AV184)-MIN(AI184:AV184))</t>
        </is>
      </c>
      <c r="AF184" s="49" t="inlineStr">
        <is>
          <t>IF(OR(AD184="",AC184="Not started",AC184=""),"",IFERROR(AD184-IF(VLOOKUP(AC184,'06_Status_Pipeline'!$B$3:$E$20,4,FALSE)="",0,VLOOKUP(AC184,'06_Status_Pipeline'!$B$3:$E$20,4,FALSE)),""))</t>
        </is>
      </c>
      <c r="AG184" s="42" t="inlineStr">
        <is>
          <t>IF(F184="","",IF(OR(AA184="Cancelled",AC184="Cancelled"),"Cancelled",IF(OR(AC184="Completed / Handover",Y184&lt;&gt;"",Z184&gt;=100),"Completed — on track",IF(O184="Not awarded",IF(U184="",IF(X184="","No planned date",IF(TODAY()&gt;X184,"Behind — past planned date",IF(X184-TODAY()&lt;=30,"At risk — close to off track","On track"))),IF(TODAY()&gt;U184,"Behind — award date passed",IF(U184-TODAY()&lt;=30,"At risk — close to off track","On track"))),IF(X184="","No planned date",IF(AND(TODAY()&gt;X184,OR(Z184="",Z184&lt;100)),"Behind — past end date",IF(AND(T184&lt;&gt;"",X184&lt;&gt;"",Z184&lt;&gt;"",(Z184&lt;100),((TODAY()-T184)/MAX(X184-T184,1)*100)-Z184&gt;15),"Behind — progress lag",IF(AND(X184-TODAY()&lt;=30,X184-TODAY()&gt;=0,OR(Z184="",Z184&lt;90)),"At risk — close to off track","On track"))))))))</t>
        </is>
      </c>
      <c r="AH184" s="49" t="inlineStr">
        <is>
          <t>IF(OR(F184="",AC184="Completed / Handover",AC184="Cancelled"),"",IF(O184="Not awarded",IF(U184&lt;&gt;"",U184-TODAY(),IF(X184="","",X184-TODAY())),IF(X184="","",X184-TODAY())))</t>
        </is>
      </c>
      <c r="AI184" s="67" t="n"/>
      <c r="AJ184" s="67" t="n"/>
      <c r="AK184" s="67" t="n"/>
      <c r="AL184" s="67" t="n"/>
      <c r="AM184" s="67" t="n"/>
      <c r="AN184" s="67" t="n"/>
      <c r="AO184" s="67" t="n"/>
      <c r="AP184" s="67" t="n"/>
      <c r="AQ184" s="67" t="n">
        <v>46062</v>
      </c>
      <c r="AR184" s="67" t="n">
        <v>46062</v>
      </c>
      <c r="AS184" s="67" t="n"/>
      <c r="AT184" s="50" t="n"/>
      <c r="AU184" s="50" t="n"/>
      <c r="AV184" s="50" t="n"/>
      <c r="AW184" s="49" t="inlineStr">
        <is>
          <t>IF(OR(F184="",AJ184=""),"",IF(COUNT(AI184:AI184)=0,"",AJ184-LOOKUP(2,1/(AI184:AI184&lt;&gt;""),AI184:AI184)))</t>
        </is>
      </c>
      <c r="AX184" s="49" t="inlineStr">
        <is>
          <t>IF(OR(F184="",AK184=""),"",IF(COUNT(AI184:AJ184)=0,"",AK184-LOOKUP(2,1/(AI184:AJ184&lt;&gt;""),AI184:AJ184)))</t>
        </is>
      </c>
      <c r="AY184" s="49" t="inlineStr">
        <is>
          <t>IF(OR(F184="",AL184=""),"",IF(COUNT(AI184:AK184)=0,"",AL184-LOOKUP(2,1/(AI184:AK184&lt;&gt;""),AI184:AK184)))</t>
        </is>
      </c>
      <c r="AZ184" s="49" t="inlineStr">
        <is>
          <t>IF(OR(F184="",AM184=""),"",IF(COUNT(AI184:AL184)=0,"",AM184-LOOKUP(2,1/(AI184:AL184&lt;&gt;""),AI184:AL184)))</t>
        </is>
      </c>
      <c r="BA184" s="49" t="inlineStr">
        <is>
          <t>IF(OR(F184="",AN184=""),"",IF(COUNT(AI184:AM184)=0,"",AN184-LOOKUP(2,1/(AI184:AM184&lt;&gt;""),AI184:AM184)))</t>
        </is>
      </c>
      <c r="BB184" s="49" t="inlineStr">
        <is>
          <t>IF(OR(F184="",AO184=""),"",IF(COUNT(AI184:AN184)=0,"",AO184-LOOKUP(2,1/(AI184:AN184&lt;&gt;""),AI184:AN184)))</t>
        </is>
      </c>
      <c r="BC184" s="49" t="inlineStr">
        <is>
          <t>IF(OR(F184="",AP184=""),"",IF(COUNT(AI184:AO184)=0,"",AP184-LOOKUP(2,1/(AI184:AO184&lt;&gt;""),AI184:AO184)))</t>
        </is>
      </c>
      <c r="BD184" s="49" t="inlineStr">
        <is>
          <t>IF(OR(F184="",AQ184=""),"",IF(COUNT(AI184:AP184)=0,"",AQ184-LOOKUP(2,1/(AI184:AP184&lt;&gt;""),AI184:AP184)))</t>
        </is>
      </c>
      <c r="BE184" s="49" t="inlineStr">
        <is>
          <t>IF(OR(F184="",AR184=""),"",IF(COUNT(AI184:AQ184)=0,"",AR184-LOOKUP(2,1/(AI184:AQ184&lt;&gt;""),AI184:AQ184)))</t>
        </is>
      </c>
      <c r="BF184" s="49" t="inlineStr">
        <is>
          <t>IF(OR(F184="",AS184=""),"",IF(COUNT(AI184:AR184)=0,"",AS184-LOOKUP(2,1/(AI184:AR184&lt;&gt;""),AI184:AR184)))</t>
        </is>
      </c>
      <c r="BG184" s="49" t="inlineStr">
        <is>
          <t>IF(OR(F184="",AT184=""),"",IF(COUNT(AI184:AS184)=0,"",AT184-LOOKUP(2,1/(AI184:AS184&lt;&gt;""),AI184:AS184)))</t>
        </is>
      </c>
      <c r="BH184" s="49" t="inlineStr">
        <is>
          <t>IF(OR(F184="",AU184=""),"",IF(COUNT(AI184:AT184)=0,"",AU184-LOOKUP(2,1/(AI184:AT184&lt;&gt;""),AI184:AT184)))</t>
        </is>
      </c>
      <c r="BI184" s="49" t="inlineStr">
        <is>
          <t>IF(OR(F184="",AV184=""),"",IF(COUNT(AI184:AU184)=0,"",AV184-LOOKUP(2,1/(AI184:AU184&lt;&gt;""),AI184:AU184)))</t>
        </is>
      </c>
      <c r="BJ184" s="51" t="inlineStr">
        <is>
          <t>IF(J184="","All_Provinces",IFERROR(VLOOKUP(J184,'09_Lookups'!$A$4:$B$20,2,FALSE),"All_Provinces"))</t>
        </is>
      </c>
      <c r="BK184" s="51" t="inlineStr">
        <is>
          <t>IF(K184="","All_Districts",IFERROR(VLOOKUP(K184,'09_Lookups'!$E$4:$F$42,2,FALSE),"All_Districts"))</t>
        </is>
      </c>
    </row>
    <row r="185" ht="18" customHeight="1">
      <c r="A185" s="32" t="inlineStr">
        <is>
          <t>IF(F185="","",ROW()-3)</t>
        </is>
      </c>
      <c r="B185" s="64" t="inlineStr">
        <is>
          <t>AF2-IS-26</t>
        </is>
      </c>
      <c r="C185" s="64" t="inlineStr">
        <is>
          <t>Package #26-AF2 IS: Rehabilitation of Sarwan Qala canal irrigation schemes, located in Sangin district of Kandahar province.</t>
        </is>
      </c>
      <c r="D185" s="64" t="inlineStr">
        <is>
          <t>1 of 1</t>
        </is>
      </c>
      <c r="E185" s="57" t="inlineStr">
        <is>
          <t>AF2-IS-A-025</t>
        </is>
      </c>
      <c r="F185" s="57" t="inlineStr">
        <is>
          <t>Sarwan Qala Canal Irrigation Scheme</t>
        </is>
      </c>
      <c r="G185" s="57" t="inlineStr">
        <is>
          <t>Irrigation Scheme</t>
        </is>
      </c>
      <c r="H185" s="57" t="inlineStr">
        <is>
          <t>Irrigation Canal</t>
        </is>
      </c>
      <c r="I185" s="57" t="inlineStr">
        <is>
          <t>Emergency Food Security Project (EFSP) – WBK/AF-2</t>
        </is>
      </c>
      <c r="J185" s="57" t="inlineStr">
        <is>
          <t>South / Kandahar</t>
        </is>
      </c>
      <c r="K185" s="57" t="inlineStr">
        <is>
          <t>Helmand</t>
        </is>
      </c>
      <c r="L185" s="57" t="inlineStr">
        <is>
          <t>Sangin</t>
        </is>
      </c>
      <c r="M185" s="57" t="inlineStr">
        <is>
          <t>Sarwan Qala</t>
        </is>
      </c>
      <c r="N185" s="57" t="inlineStr">
        <is>
          <t>World Bank (WBK/AF-2)</t>
        </is>
      </c>
      <c r="O185" s="57" t="inlineStr">
        <is>
          <t>Awarded</t>
        </is>
      </c>
      <c r="P185" s="57" t="inlineStr">
        <is>
          <t>1.Awarded contracts_On&amp;off-farm</t>
        </is>
      </c>
      <c r="Q185" s="57" t="inlineStr">
        <is>
          <t>New Safi Zada Construction &amp; Road Building Company JV with Elyas Aryoubi Constructin Road building and Logistic Company (NSZ&amp;EACC)</t>
        </is>
      </c>
      <c r="R185" s="57" t="inlineStr">
        <is>
          <t>019/2026</t>
        </is>
      </c>
      <c r="S185" s="58" t="n">
        <v>351552.71</v>
      </c>
      <c r="T185" s="36" t="inlineStr">
        <is>
          <t>IF(AQ185="","",AQ185)</t>
        </is>
      </c>
      <c r="U185" s="59" t="n"/>
      <c r="V185" s="60" t="n">
        <v>12</v>
      </c>
      <c r="W185" s="59" t="n">
        <v>46448</v>
      </c>
      <c r="X185" s="36" t="inlineStr">
        <is>
          <t>IF(W185&lt;&gt;"",W185,IF(OR(T185="",V185=""),"",EDATE(T185,V185)))</t>
        </is>
      </c>
      <c r="Y185" s="59" t="n"/>
      <c r="Z185" s="60" t="n">
        <v>0</v>
      </c>
      <c r="AA185" s="57" t="inlineStr">
        <is>
          <t>Cancelled</t>
        </is>
      </c>
      <c r="AB185" s="57" t="inlineStr">
        <is>
          <t>package / contract cancelled</t>
        </is>
      </c>
      <c r="AC185" s="32" t="inlineStr">
        <is>
          <t>IF(F185="","",IF(COUNT(AI185:AV185)=0,IF(AA185="","Not started",AA185),SUBSTITUTE(LOOKUP(2,1/(AI185:AV185&lt;&gt;""),$AI$3:$AV$3),"Date: ","")))</t>
        </is>
      </c>
      <c r="AD185" s="39" t="inlineStr">
        <is>
          <t>IF(OR(F185="",COUNT(AI185:AV185)=0),"",TODAY()-LOOKUP(2,1/(AI185:AV185&lt;&gt;""),AI185:AV185))</t>
        </is>
      </c>
      <c r="AE185" s="39" t="inlineStr">
        <is>
          <t>IF(OR(F185="",COUNT(AI185:AV185)&lt;2),"",LOOKUP(2,1/(AI185:AV185&lt;&gt;""),AI185:AV185)-MIN(AI185:AV185))</t>
        </is>
      </c>
      <c r="AF185" s="39" t="inlineStr">
        <is>
          <t>IF(OR(AD185="",AC185="Not started",AC185=""),"",IFERROR(AD185-IF(VLOOKUP(AC185,'06_Status_Pipeline'!$B$3:$E$20,4,FALSE)="",0,VLOOKUP(AC185,'06_Status_Pipeline'!$B$3:$E$20,4,FALSE)),""))</t>
        </is>
      </c>
      <c r="AG185" s="32" t="inlineStr">
        <is>
          <t>IF(F185="","",IF(OR(AA185="Cancelled",AC185="Cancelled"),"Cancelled",IF(OR(AC185="Completed / Handover",Y185&lt;&gt;"",Z185&gt;=100),"Completed — on track",IF(O185="Not awarded",IF(U185="",IF(X185="","No planned date",IF(TODAY()&gt;X185,"Behind — past planned date",IF(X185-TODAY()&lt;=30,"At risk — close to off track","On track"))),IF(TODAY()&gt;U185,"Behind — award date passed",IF(U185-TODAY()&lt;=30,"At risk — close to off track","On track"))),IF(X185="","No planned date",IF(AND(TODAY()&gt;X185,OR(Z185="",Z185&lt;100)),"Behind — past end date",IF(AND(T185&lt;&gt;"",X185&lt;&gt;"",Z185&lt;&gt;"",(Z185&lt;100),((TODAY()-T185)/MAX(X185-T185,1)*100)-Z185&gt;15),"Behind — progress lag",IF(AND(X185-TODAY()&lt;=30,X185-TODAY()&gt;=0,OR(Z185="",Z185&lt;90)),"At risk — close to off track","On track"))))))))</t>
        </is>
      </c>
      <c r="AH185" s="39" t="inlineStr">
        <is>
          <t>IF(OR(F185="",AC185="Completed / Handover",AC185="Cancelled"),"",IF(O185="Not awarded",IF(U185&lt;&gt;"",U185-TODAY(),IF(X185="","",X185-TODAY())),IF(X185="","",X185-TODAY())))</t>
        </is>
      </c>
      <c r="AI185" s="66" t="n"/>
      <c r="AJ185" s="66" t="n"/>
      <c r="AK185" s="66" t="n"/>
      <c r="AL185" s="66" t="n"/>
      <c r="AM185" s="66" t="n"/>
      <c r="AN185" s="66" t="n"/>
      <c r="AO185" s="66" t="n"/>
      <c r="AP185" s="66" t="n"/>
      <c r="AQ185" s="66" t="n">
        <v>46084</v>
      </c>
      <c r="AR185" s="66" t="n"/>
      <c r="AS185" s="66" t="n"/>
      <c r="AT185" s="40" t="n"/>
      <c r="AU185" s="40" t="n"/>
      <c r="AV185" s="40" t="n"/>
      <c r="AW185" s="39" t="inlineStr">
        <is>
          <t>IF(OR(F185="",AJ185=""),"",IF(COUNT(AI185:AI185)=0,"",AJ185-LOOKUP(2,1/(AI185:AI185&lt;&gt;""),AI185:AI185)))</t>
        </is>
      </c>
      <c r="AX185" s="39" t="inlineStr">
        <is>
          <t>IF(OR(F185="",AK185=""),"",IF(COUNT(AI185:AJ185)=0,"",AK185-LOOKUP(2,1/(AI185:AJ185&lt;&gt;""),AI185:AJ185)))</t>
        </is>
      </c>
      <c r="AY185" s="39" t="inlineStr">
        <is>
          <t>IF(OR(F185="",AL185=""),"",IF(COUNT(AI185:AK185)=0,"",AL185-LOOKUP(2,1/(AI185:AK185&lt;&gt;""),AI185:AK185)))</t>
        </is>
      </c>
      <c r="AZ185" s="39" t="inlineStr">
        <is>
          <t>IF(OR(F185="",AM185=""),"",IF(COUNT(AI185:AL185)=0,"",AM185-LOOKUP(2,1/(AI185:AL185&lt;&gt;""),AI185:AL185)))</t>
        </is>
      </c>
      <c r="BA185" s="39" t="inlineStr">
        <is>
          <t>IF(OR(F185="",AN185=""),"",IF(COUNT(AI185:AM185)=0,"",AN185-LOOKUP(2,1/(AI185:AM185&lt;&gt;""),AI185:AM185)))</t>
        </is>
      </c>
      <c r="BB185" s="39" t="inlineStr">
        <is>
          <t>IF(OR(F185="",AO185=""),"",IF(COUNT(AI185:AN185)=0,"",AO185-LOOKUP(2,1/(AI185:AN185&lt;&gt;""),AI185:AN185)))</t>
        </is>
      </c>
      <c r="BC185" s="39" t="inlineStr">
        <is>
          <t>IF(OR(F185="",AP185=""),"",IF(COUNT(AI185:AO185)=0,"",AP185-LOOKUP(2,1/(AI185:AO185&lt;&gt;""),AI185:AO185)))</t>
        </is>
      </c>
      <c r="BD185" s="39" t="inlineStr">
        <is>
          <t>IF(OR(F185="",AQ185=""),"",IF(COUNT(AI185:AP185)=0,"",AQ185-LOOKUP(2,1/(AI185:AP185&lt;&gt;""),AI185:AP185)))</t>
        </is>
      </c>
      <c r="BE185" s="39" t="inlineStr">
        <is>
          <t>IF(OR(F185="",AR185=""),"",IF(COUNT(AI185:AQ185)=0,"",AR185-LOOKUP(2,1/(AI185:AQ185&lt;&gt;""),AI185:AQ185)))</t>
        </is>
      </c>
      <c r="BF185" s="39" t="inlineStr">
        <is>
          <t>IF(OR(F185="",AS185=""),"",IF(COUNT(AI185:AR185)=0,"",AS185-LOOKUP(2,1/(AI185:AR185&lt;&gt;""),AI185:AR185)))</t>
        </is>
      </c>
      <c r="BG185" s="39" t="inlineStr">
        <is>
          <t>IF(OR(F185="",AT185=""),"",IF(COUNT(AI185:AS185)=0,"",AT185-LOOKUP(2,1/(AI185:AS185&lt;&gt;""),AI185:AS185)))</t>
        </is>
      </c>
      <c r="BH185" s="39" t="inlineStr">
        <is>
          <t>IF(OR(F185="",AU185=""),"",IF(COUNT(AI185:AT185)=0,"",AU185-LOOKUP(2,1/(AI185:AT185&lt;&gt;""),AI185:AT185)))</t>
        </is>
      </c>
      <c r="BI185" s="39" t="inlineStr">
        <is>
          <t>IF(OR(F185="",AV185=""),"",IF(COUNT(AI185:AU185)=0,"",AV185-LOOKUP(2,1/(AI185:AU185&lt;&gt;""),AI185:AU185)))</t>
        </is>
      </c>
      <c r="BJ185" s="41" t="inlineStr">
        <is>
          <t>IF(J185="","All_Provinces",IFERROR(VLOOKUP(J185,'09_Lookups'!$A$4:$B$20,2,FALSE),"All_Provinces"))</t>
        </is>
      </c>
      <c r="BK185" s="41" t="inlineStr">
        <is>
          <t>IF(K185="","All_Districts",IFERROR(VLOOKUP(K185,'09_Lookups'!$E$4:$F$42,2,FALSE),"All_Districts"))</t>
        </is>
      </c>
    </row>
    <row r="186" ht="18" customHeight="1">
      <c r="A186" s="32" t="inlineStr">
        <is>
          <t>IF(F186="","",ROW()-3)</t>
        </is>
      </c>
      <c r="B186" s="33" t="inlineStr">
        <is>
          <t>AF2-IS-27</t>
        </is>
      </c>
      <c r="C186" s="33" t="inlineStr">
        <is>
          <t>Package # 27-AF2 IS: Rehabilitation of Firozi canal irrigation scheme, located in Delaram districts of Nimroz province.</t>
        </is>
      </c>
      <c r="D186" s="33" t="inlineStr">
        <is>
          <t>1 of 1</t>
        </is>
      </c>
      <c r="E186" s="34" t="inlineStr">
        <is>
          <t>AF2-IS-N-019</t>
        </is>
      </c>
      <c r="F186" s="34" t="inlineStr">
        <is>
          <t>Firozi Canal Irrigation Schem</t>
        </is>
      </c>
      <c r="G186" s="34" t="inlineStr">
        <is>
          <t>Irrigation Scheme</t>
        </is>
      </c>
      <c r="H186" s="34" t="inlineStr">
        <is>
          <t>Irrigation Canal</t>
        </is>
      </c>
      <c r="I186" s="34" t="inlineStr">
        <is>
          <t>Emergency Food Security Project (EFSP) – WBK/AF-2</t>
        </is>
      </c>
      <c r="J186" s="34" t="inlineStr">
        <is>
          <t>Central Highland / Bamyan</t>
        </is>
      </c>
      <c r="K186" s="34" t="inlineStr">
        <is>
          <t>Nimruz</t>
        </is>
      </c>
      <c r="L186" s="34" t="inlineStr">
        <is>
          <t>Delaram</t>
        </is>
      </c>
      <c r="M186" s="34" t="inlineStr">
        <is>
          <t>-</t>
        </is>
      </c>
      <c r="N186" s="34" t="inlineStr">
        <is>
          <t>World Bank (WBK/AF-2)</t>
        </is>
      </c>
      <c r="O186" s="34" t="inlineStr">
        <is>
          <t>Not awarded</t>
        </is>
      </c>
      <c r="P186" s="34" t="inlineStr">
        <is>
          <t>2.Remain contracts_On&amp;off-farm</t>
        </is>
      </c>
      <c r="Q186" s="34" t="inlineStr"/>
      <c r="R186" s="34" t="inlineStr"/>
      <c r="S186" s="35" t="n">
        <v>195000</v>
      </c>
      <c r="T186" s="36" t="inlineStr">
        <is>
          <t>IF(AQ186="","",AQ186)</t>
        </is>
      </c>
      <c r="U186" s="37" t="n">
        <v>46381</v>
      </c>
      <c r="V186" s="38" t="n">
        <v>8.9</v>
      </c>
      <c r="W186" s="37" t="n">
        <v>46651</v>
      </c>
      <c r="X186" s="36" t="inlineStr">
        <is>
          <t>IF(W186&lt;&gt;"",W186,IF(OR(T186="",V186=""),"",EDATE(T186,V186)))</t>
        </is>
      </c>
      <c r="Y186" s="37" t="n"/>
      <c r="Z186" s="38" t="n"/>
      <c r="AA186" s="34" t="inlineStr">
        <is>
          <t>Under Review of WRI</t>
        </is>
      </c>
      <c r="AB186" s="34" t="inlineStr">
        <is>
          <t>Nine months construction period required for the canal</t>
        </is>
      </c>
      <c r="AC186" s="32" t="inlineStr">
        <is>
          <t>IF(F186="","",IF(COUNT(AI186:AV186)=0,IF(AA186="","Not started",AA186),SUBSTITUTE(LOOKUP(2,1/(AI186:AV186&lt;&gt;""),$AI$3:$AV$3),"Date: ","")))</t>
        </is>
      </c>
      <c r="AD186" s="39" t="inlineStr">
        <is>
          <t>IF(OR(F186="",COUNT(AI186:AV186)=0),"",TODAY()-LOOKUP(2,1/(AI186:AV186&lt;&gt;""),AI186:AV186))</t>
        </is>
      </c>
      <c r="AE186" s="39" t="inlineStr">
        <is>
          <t>IF(OR(F186="",COUNT(AI186:AV186)&lt;2),"",LOOKUP(2,1/(AI186:AV186&lt;&gt;""),AI186:AV186)-MIN(AI186:AV186))</t>
        </is>
      </c>
      <c r="AF186" s="39" t="inlineStr">
        <is>
          <t>IF(OR(AD186="",AC186="Not started",AC186=""),"",IFERROR(AD186-IF(VLOOKUP(AC186,'06_Status_Pipeline'!$B$3:$E$20,4,FALSE)="",0,VLOOKUP(AC186,'06_Status_Pipeline'!$B$3:$E$20,4,FALSE)),""))</t>
        </is>
      </c>
      <c r="AG186" s="32" t="inlineStr">
        <is>
          <t>IF(F186="","",IF(OR(AA186="Cancelled",AC186="Cancelled"),"Cancelled",IF(OR(AC186="Completed / Handover",Y186&lt;&gt;"",Z186&gt;=100),"Completed — on track",IF(O186="Not awarded",IF(U186="",IF(X186="","No planned date",IF(TODAY()&gt;X186,"Behind — past planned date",IF(X186-TODAY()&lt;=30,"At risk — close to off track","On track"))),IF(TODAY()&gt;U186,"Behind — award date passed",IF(U186-TODAY()&lt;=30,"At risk — close to off track","On track"))),IF(X186="","No planned date",IF(AND(TODAY()&gt;X186,OR(Z186="",Z186&lt;100)),"Behind — past end date",IF(AND(T186&lt;&gt;"",X186&lt;&gt;"",Z186&lt;&gt;"",(Z186&lt;100),((TODAY()-T186)/MAX(X186-T186,1)*100)-Z186&gt;15),"Behind — progress lag",IF(AND(X186-TODAY()&lt;=30,X186-TODAY()&gt;=0,OR(Z186="",Z186&lt;90)),"At risk — close to off track","On track"))))))))</t>
        </is>
      </c>
      <c r="AH186" s="39" t="inlineStr">
        <is>
          <t>IF(OR(F186="",AC186="Completed / Handover",AC186="Cancelled"),"",IF(O186="Not awarded",IF(U186&lt;&gt;"",U186-TODAY(),IF(X186="","",X186-TODAY())),IF(X186="","",X186-TODAY())))</t>
        </is>
      </c>
      <c r="AI186" s="37" t="n"/>
      <c r="AJ186" s="37" t="n"/>
      <c r="AK186" s="37" t="n"/>
      <c r="AL186" s="37" t="n"/>
      <c r="AM186" s="37" t="n"/>
      <c r="AN186" s="37" t="n"/>
      <c r="AO186" s="37" t="n"/>
      <c r="AP186" s="37" t="n"/>
      <c r="AQ186" s="37" t="n"/>
      <c r="AR186" s="37" t="n"/>
      <c r="AS186" s="37" t="n"/>
      <c r="AT186" s="40" t="n"/>
      <c r="AU186" s="40" t="n"/>
      <c r="AV186" s="40" t="n"/>
      <c r="AW186" s="39" t="inlineStr">
        <is>
          <t>IF(OR(F186="",AJ186=""),"",IF(COUNT(AI186:AI186)=0,"",AJ186-LOOKUP(2,1/(AI186:AI186&lt;&gt;""),AI186:AI186)))</t>
        </is>
      </c>
      <c r="AX186" s="39" t="inlineStr">
        <is>
          <t>IF(OR(F186="",AK186=""),"",IF(COUNT(AI186:AJ186)=0,"",AK186-LOOKUP(2,1/(AI186:AJ186&lt;&gt;""),AI186:AJ186)))</t>
        </is>
      </c>
      <c r="AY186" s="39" t="inlineStr">
        <is>
          <t>IF(OR(F186="",AL186=""),"",IF(COUNT(AI186:AK186)=0,"",AL186-LOOKUP(2,1/(AI186:AK186&lt;&gt;""),AI186:AK186)))</t>
        </is>
      </c>
      <c r="AZ186" s="39" t="inlineStr">
        <is>
          <t>IF(OR(F186="",AM186=""),"",IF(COUNT(AI186:AL186)=0,"",AM186-LOOKUP(2,1/(AI186:AL186&lt;&gt;""),AI186:AL186)))</t>
        </is>
      </c>
      <c r="BA186" s="39" t="inlineStr">
        <is>
          <t>IF(OR(F186="",AN186=""),"",IF(COUNT(AI186:AM186)=0,"",AN186-LOOKUP(2,1/(AI186:AM186&lt;&gt;""),AI186:AM186)))</t>
        </is>
      </c>
      <c r="BB186" s="39" t="inlineStr">
        <is>
          <t>IF(OR(F186="",AO186=""),"",IF(COUNT(AI186:AN186)=0,"",AO186-LOOKUP(2,1/(AI186:AN186&lt;&gt;""),AI186:AN186)))</t>
        </is>
      </c>
      <c r="BC186" s="39" t="inlineStr">
        <is>
          <t>IF(OR(F186="",AP186=""),"",IF(COUNT(AI186:AO186)=0,"",AP186-LOOKUP(2,1/(AI186:AO186&lt;&gt;""),AI186:AO186)))</t>
        </is>
      </c>
      <c r="BD186" s="39" t="inlineStr">
        <is>
          <t>IF(OR(F186="",AQ186=""),"",IF(COUNT(AI186:AP186)=0,"",AQ186-LOOKUP(2,1/(AI186:AP186&lt;&gt;""),AI186:AP186)))</t>
        </is>
      </c>
      <c r="BE186" s="39" t="inlineStr">
        <is>
          <t>IF(OR(F186="",AR186=""),"",IF(COUNT(AI186:AQ186)=0,"",AR186-LOOKUP(2,1/(AI186:AQ186&lt;&gt;""),AI186:AQ186)))</t>
        </is>
      </c>
      <c r="BF186" s="39" t="inlineStr">
        <is>
          <t>IF(OR(F186="",AS186=""),"",IF(COUNT(AI186:AR186)=0,"",AS186-LOOKUP(2,1/(AI186:AR186&lt;&gt;""),AI186:AR186)))</t>
        </is>
      </c>
      <c r="BG186" s="39" t="inlineStr">
        <is>
          <t>IF(OR(F186="",AT186=""),"",IF(COUNT(AI186:AS186)=0,"",AT186-LOOKUP(2,1/(AI186:AS186&lt;&gt;""),AI186:AS186)))</t>
        </is>
      </c>
      <c r="BH186" s="39" t="inlineStr">
        <is>
          <t>IF(OR(F186="",AU186=""),"",IF(COUNT(AI186:AT186)=0,"",AU186-LOOKUP(2,1/(AI186:AT186&lt;&gt;""),AI186:AT186)))</t>
        </is>
      </c>
      <c r="BI186" s="39" t="inlineStr">
        <is>
          <t>IF(OR(F186="",AV186=""),"",IF(COUNT(AI186:AU186)=0,"",AV186-LOOKUP(2,1/(AI186:AU186&lt;&gt;""),AI186:AU186)))</t>
        </is>
      </c>
      <c r="BJ186" s="41" t="inlineStr">
        <is>
          <t>IF(J186="","All_Provinces",IFERROR(VLOOKUP(J186,'09_Lookups'!$A$4:$B$20,2,FALSE),"All_Provinces"))</t>
        </is>
      </c>
      <c r="BK186" s="41" t="inlineStr">
        <is>
          <t>IF(K186="","All_Districts",IFERROR(VLOOKUP(K186,'09_Lookups'!$E$4:$F$42,2,FALSE),"All_Districts"))</t>
        </is>
      </c>
    </row>
    <row r="187" ht="18" customHeight="1">
      <c r="A187" s="32" t="inlineStr">
        <is>
          <t>IF(F187="","",ROW()-3)</t>
        </is>
      </c>
      <c r="B187" s="56" t="inlineStr">
        <is>
          <t>AF2-IS-28</t>
        </is>
      </c>
      <c r="C187" s="56" t="inlineStr">
        <is>
          <t>Package # 28 – AF2 IS: Rehabilitation of Irrigation Schemes of 1. Abil Aroq (Qanjogha), 2. Shaitan Aroq Cluster Canals in Khwaja Ghar District and 3. Kalta Aroq, 4. Pacha Khail, and 5. Sayed Miran (Khar Kar) Cluster Canals in Eshkamish District of Takhar Province</t>
        </is>
      </c>
      <c r="D187" s="56" t="inlineStr">
        <is>
          <t>1 of 2</t>
        </is>
      </c>
      <c r="E187" s="57" t="inlineStr">
        <is>
          <t>AF2-IS-A-026</t>
        </is>
      </c>
      <c r="F187" s="57" t="inlineStr">
        <is>
          <t>Abil Aroq (Qanjugh) and Shaitan Aroq Cluster Canal Irrigation Schemes</t>
        </is>
      </c>
      <c r="G187" s="57" t="inlineStr">
        <is>
          <t>Irrigation Scheme</t>
        </is>
      </c>
      <c r="H187" s="57" t="inlineStr">
        <is>
          <t>Irrigation Canal</t>
        </is>
      </c>
      <c r="I187" s="57" t="inlineStr">
        <is>
          <t>Emergency Food Security Project (EFSP) – WBK/AF-2</t>
        </is>
      </c>
      <c r="J187" s="57" t="inlineStr">
        <is>
          <t>Northeast / Kunduz</t>
        </is>
      </c>
      <c r="K187" s="57" t="inlineStr">
        <is>
          <t>Takhar</t>
        </is>
      </c>
      <c r="L187" s="57" t="inlineStr">
        <is>
          <t>Khwaja Ghar</t>
        </is>
      </c>
      <c r="M187" s="57" t="inlineStr">
        <is>
          <t>Qanjogha</t>
        </is>
      </c>
      <c r="N187" s="57" t="inlineStr">
        <is>
          <t>World Bank (WBK/AF-2)</t>
        </is>
      </c>
      <c r="O187" s="57" t="inlineStr">
        <is>
          <t>Awarded</t>
        </is>
      </c>
      <c r="P187" s="57" t="inlineStr">
        <is>
          <t>1.Awarded contracts_On&amp;off-farm</t>
        </is>
      </c>
      <c r="Q187" s="57" t="inlineStr">
        <is>
          <t>SHAMAL KARDAN ROAD CONSTRUCTION AND LOGISTIC SERVICES COMPANY LTD (SKRCC)</t>
        </is>
      </c>
      <c r="R187" s="57" t="inlineStr">
        <is>
          <t>067/2025</t>
        </is>
      </c>
      <c r="S187" s="58" t="n">
        <v>159788.8</v>
      </c>
      <c r="T187" s="36" t="inlineStr">
        <is>
          <t>IF(AQ187="","",AQ187)</t>
        </is>
      </c>
      <c r="U187" s="59" t="n"/>
      <c r="V187" s="60" t="n">
        <v>12</v>
      </c>
      <c r="W187" s="59" t="n">
        <v>46377</v>
      </c>
      <c r="X187" s="36" t="inlineStr">
        <is>
          <t>IF(W187&lt;&gt;"",W187,IF(OR(T187="",V187=""),"",EDATE(T187,V187)))</t>
        </is>
      </c>
      <c r="Y187" s="59" t="n"/>
      <c r="Z187" s="60" t="n">
        <v>0</v>
      </c>
      <c r="AA187" s="57" t="inlineStr">
        <is>
          <t>Awarded</t>
        </is>
      </c>
      <c r="AB187" s="57" t="inlineStr">
        <is>
          <t>off track and close follow up to ensure completion by June 2027 after potential NCE</t>
        </is>
      </c>
      <c r="AC187" s="32" t="inlineStr">
        <is>
          <t>IF(F187="","",IF(COUNT(AI187:AV187)=0,IF(AA187="","Not started",AA187),SUBSTITUTE(LOOKUP(2,1/(AI187:AV187&lt;&gt;""),$AI$3:$AV$3),"Date: ","")))</t>
        </is>
      </c>
      <c r="AD187" s="39" t="inlineStr">
        <is>
          <t>IF(OR(F187="",COUNT(AI187:AV187)=0),"",TODAY()-LOOKUP(2,1/(AI187:AV187&lt;&gt;""),AI187:AV187))</t>
        </is>
      </c>
      <c r="AE187" s="39" t="inlineStr">
        <is>
          <t>IF(OR(F187="",COUNT(AI187:AV187)&lt;2),"",LOOKUP(2,1/(AI187:AV187&lt;&gt;""),AI187:AV187)-MIN(AI187:AV187))</t>
        </is>
      </c>
      <c r="AF187" s="39" t="inlineStr">
        <is>
          <t>IF(OR(AD187="",AC187="Not started",AC187=""),"",IFERROR(AD187-IF(VLOOKUP(AC187,'06_Status_Pipeline'!$B$3:$E$20,4,FALSE)="",0,VLOOKUP(AC187,'06_Status_Pipeline'!$B$3:$E$20,4,FALSE)),""))</t>
        </is>
      </c>
      <c r="AG187" s="32" t="inlineStr">
        <is>
          <t>IF(F187="","",IF(OR(AA187="Cancelled",AC187="Cancelled"),"Cancelled",IF(OR(AC187="Completed / Handover",Y187&lt;&gt;"",Z187&gt;=100),"Completed — on track",IF(O187="Not awarded",IF(U187="",IF(X187="","No planned date",IF(TODAY()&gt;X187,"Behind — past planned date",IF(X187-TODAY()&lt;=30,"At risk — close to off track","On track"))),IF(TODAY()&gt;U187,"Behind — award date passed",IF(U187-TODAY()&lt;=30,"At risk — close to off track","On track"))),IF(X187="","No planned date",IF(AND(TODAY()&gt;X187,OR(Z187="",Z187&lt;100)),"Behind — past end date",IF(AND(T187&lt;&gt;"",X187&lt;&gt;"",Z187&lt;&gt;"",(Z187&lt;100),((TODAY()-T187)/MAX(X187-T187,1)*100)-Z187&gt;15),"Behind — progress lag",IF(AND(X187-TODAY()&lt;=30,X187-TODAY()&gt;=0,OR(Z187="",Z187&lt;90)),"At risk — close to off track","On track"))))))))</t>
        </is>
      </c>
      <c r="AH187" s="39" t="inlineStr">
        <is>
          <t>IF(OR(F187="",AC187="Completed / Handover",AC187="Cancelled"),"",IF(O187="Not awarded",IF(U187&lt;&gt;"",U187-TODAY(),IF(X187="","",X187-TODAY())),IF(X187="","",X187-TODAY())))</t>
        </is>
      </c>
      <c r="AI187" s="66" t="n"/>
      <c r="AJ187" s="66" t="n"/>
      <c r="AK187" s="66" t="n"/>
      <c r="AL187" s="66" t="n"/>
      <c r="AM187" s="66" t="n"/>
      <c r="AN187" s="66" t="n"/>
      <c r="AO187" s="66" t="n"/>
      <c r="AP187" s="66" t="n"/>
      <c r="AQ187" s="66" t="n">
        <v>46013</v>
      </c>
      <c r="AR187" s="66" t="n"/>
      <c r="AS187" s="66" t="n"/>
      <c r="AT187" s="40" t="n"/>
      <c r="AU187" s="40" t="n"/>
      <c r="AV187" s="40" t="n"/>
      <c r="AW187" s="39" t="inlineStr">
        <is>
          <t>IF(OR(F187="",AJ187=""),"",IF(COUNT(AI187:AI187)=0,"",AJ187-LOOKUP(2,1/(AI187:AI187&lt;&gt;""),AI187:AI187)))</t>
        </is>
      </c>
      <c r="AX187" s="39" t="inlineStr">
        <is>
          <t>IF(OR(F187="",AK187=""),"",IF(COUNT(AI187:AJ187)=0,"",AK187-LOOKUP(2,1/(AI187:AJ187&lt;&gt;""),AI187:AJ187)))</t>
        </is>
      </c>
      <c r="AY187" s="39" t="inlineStr">
        <is>
          <t>IF(OR(F187="",AL187=""),"",IF(COUNT(AI187:AK187)=0,"",AL187-LOOKUP(2,1/(AI187:AK187&lt;&gt;""),AI187:AK187)))</t>
        </is>
      </c>
      <c r="AZ187" s="39" t="inlineStr">
        <is>
          <t>IF(OR(F187="",AM187=""),"",IF(COUNT(AI187:AL187)=0,"",AM187-LOOKUP(2,1/(AI187:AL187&lt;&gt;""),AI187:AL187)))</t>
        </is>
      </c>
      <c r="BA187" s="39" t="inlineStr">
        <is>
          <t>IF(OR(F187="",AN187=""),"",IF(COUNT(AI187:AM187)=0,"",AN187-LOOKUP(2,1/(AI187:AM187&lt;&gt;""),AI187:AM187)))</t>
        </is>
      </c>
      <c r="BB187" s="39" t="inlineStr">
        <is>
          <t>IF(OR(F187="",AO187=""),"",IF(COUNT(AI187:AN187)=0,"",AO187-LOOKUP(2,1/(AI187:AN187&lt;&gt;""),AI187:AN187)))</t>
        </is>
      </c>
      <c r="BC187" s="39" t="inlineStr">
        <is>
          <t>IF(OR(F187="",AP187=""),"",IF(COUNT(AI187:AO187)=0,"",AP187-LOOKUP(2,1/(AI187:AO187&lt;&gt;""),AI187:AO187)))</t>
        </is>
      </c>
      <c r="BD187" s="39" t="inlineStr">
        <is>
          <t>IF(OR(F187="",AQ187=""),"",IF(COUNT(AI187:AP187)=0,"",AQ187-LOOKUP(2,1/(AI187:AP187&lt;&gt;""),AI187:AP187)))</t>
        </is>
      </c>
      <c r="BE187" s="39" t="inlineStr">
        <is>
          <t>IF(OR(F187="",AR187=""),"",IF(COUNT(AI187:AQ187)=0,"",AR187-LOOKUP(2,1/(AI187:AQ187&lt;&gt;""),AI187:AQ187)))</t>
        </is>
      </c>
      <c r="BF187" s="39" t="inlineStr">
        <is>
          <t>IF(OR(F187="",AS187=""),"",IF(COUNT(AI187:AR187)=0,"",AS187-LOOKUP(2,1/(AI187:AR187&lt;&gt;""),AI187:AR187)))</t>
        </is>
      </c>
      <c r="BG187" s="39" t="inlineStr">
        <is>
          <t>IF(OR(F187="",AT187=""),"",IF(COUNT(AI187:AS187)=0,"",AT187-LOOKUP(2,1/(AI187:AS187&lt;&gt;""),AI187:AS187)))</t>
        </is>
      </c>
      <c r="BH187" s="39" t="inlineStr">
        <is>
          <t>IF(OR(F187="",AU187=""),"",IF(COUNT(AI187:AT187)=0,"",AU187-LOOKUP(2,1/(AI187:AT187&lt;&gt;""),AI187:AT187)))</t>
        </is>
      </c>
      <c r="BI187" s="39" t="inlineStr">
        <is>
          <t>IF(OR(F187="",AV187=""),"",IF(COUNT(AI187:AU187)=0,"",AV187-LOOKUP(2,1/(AI187:AU187&lt;&gt;""),AI187:AU187)))</t>
        </is>
      </c>
      <c r="BJ187" s="41" t="inlineStr">
        <is>
          <t>IF(J187="","All_Provinces",IFERROR(VLOOKUP(J187,'09_Lookups'!$A$4:$B$20,2,FALSE),"All_Provinces"))</t>
        </is>
      </c>
      <c r="BK187" s="41" t="inlineStr">
        <is>
          <t>IF(K187="","All_Districts",IFERROR(VLOOKUP(K187,'09_Lookups'!$E$4:$F$42,2,FALSE),"All_Districts"))</t>
        </is>
      </c>
    </row>
    <row r="188" outlineLevel="1" ht="18" customHeight="1">
      <c r="A188" s="42" t="inlineStr">
        <is>
          <t>IF(F188="","",ROW()-3)</t>
        </is>
      </c>
      <c r="B188" s="61" t="inlineStr">
        <is>
          <t>AF2-IS-28</t>
        </is>
      </c>
      <c r="C188" s="61" t="inlineStr">
        <is>
          <t>Package # 28 – AF2 IS: Rehabilitation of Irrigation Schemes of 1. Abil Aroq (Qanjogha), 2. Shaitan Aroq Cluster Canals in Khwaja Ghar District and 3. Kalta Aroq, 4. Pacha Khail, and 5. Sayed Miran (Khar Kar) Cluster Canals in Eshkamish District of Takhar Province</t>
        </is>
      </c>
      <c r="D188" s="61" t="inlineStr">
        <is>
          <t>2 of 2</t>
        </is>
      </c>
      <c r="E188" s="52" t="inlineStr">
        <is>
          <t>AF2-IS-A-027</t>
        </is>
      </c>
      <c r="F188" s="52" t="inlineStr">
        <is>
          <t>Khar Kar (Kalta Aroq, Pacha Khail and Sayed Miran) Cluster Canal Irrigation Schemes</t>
        </is>
      </c>
      <c r="G188" s="52" t="inlineStr">
        <is>
          <t>Irrigation Scheme</t>
        </is>
      </c>
      <c r="H188" s="52" t="inlineStr">
        <is>
          <t>Irrigation Canal</t>
        </is>
      </c>
      <c r="I188" s="52" t="inlineStr">
        <is>
          <t>Emergency Food Security Project (EFSP) – WBK/AF-2</t>
        </is>
      </c>
      <c r="J188" s="52" t="inlineStr">
        <is>
          <t>Northeast / Kunduz</t>
        </is>
      </c>
      <c r="K188" s="52" t="inlineStr">
        <is>
          <t>Takhar</t>
        </is>
      </c>
      <c r="L188" s="52" t="inlineStr">
        <is>
          <t>Eshkamish</t>
        </is>
      </c>
      <c r="M188" s="52" t="inlineStr">
        <is>
          <t>Kat Qurugh</t>
        </is>
      </c>
      <c r="N188" s="52" t="inlineStr">
        <is>
          <t>World Bank (WBK/AF-2)</t>
        </is>
      </c>
      <c r="O188" s="52" t="inlineStr">
        <is>
          <t>Awarded</t>
        </is>
      </c>
      <c r="P188" s="52" t="inlineStr">
        <is>
          <t>1.Awarded contracts_On&amp;off-farm</t>
        </is>
      </c>
      <c r="Q188" s="52" t="inlineStr">
        <is>
          <t>SHAMAL KARDAN ROAD CONSTRUCTION AND LOGISTIC SERVICES COMPANY LTD (SKRCC)</t>
        </is>
      </c>
      <c r="R188" s="52" t="inlineStr">
        <is>
          <t>067/2025</t>
        </is>
      </c>
      <c r="S188" s="53" t="n">
        <v>89881.2</v>
      </c>
      <c r="T188" s="46" t="inlineStr">
        <is>
          <t>IF(AQ188="","",AQ188)</t>
        </is>
      </c>
      <c r="U188" s="54" t="n"/>
      <c r="V188" s="55" t="n">
        <v>12</v>
      </c>
      <c r="W188" s="54" t="n">
        <v>46377</v>
      </c>
      <c r="X188" s="46" t="inlineStr">
        <is>
          <t>IF(W188&lt;&gt;"",W188,IF(OR(T188="",V188=""),"",EDATE(T188,V188)))</t>
        </is>
      </c>
      <c r="Y188" s="54" t="n"/>
      <c r="Z188" s="55" t="n">
        <v>80</v>
      </c>
      <c r="AA188" s="52" t="inlineStr">
        <is>
          <t>Under Construction</t>
        </is>
      </c>
      <c r="AB188" s="52" t="inlineStr">
        <is>
          <t>on track and will be completed by Dec. 2026</t>
        </is>
      </c>
      <c r="AC188" s="42" t="inlineStr">
        <is>
          <t>IF(F188="","",IF(COUNT(AI188:AV188)=0,IF(AA188="","Not started",AA188),SUBSTITUTE(LOOKUP(2,1/(AI188:AV188&lt;&gt;""),$AI$3:$AV$3),"Date: ","")))</t>
        </is>
      </c>
      <c r="AD188" s="49" t="inlineStr">
        <is>
          <t>IF(OR(F188="",COUNT(AI188:AV188)=0),"",TODAY()-LOOKUP(2,1/(AI188:AV188&lt;&gt;""),AI188:AV188))</t>
        </is>
      </c>
      <c r="AE188" s="49" t="inlineStr">
        <is>
          <t>IF(OR(F188="",COUNT(AI188:AV188)&lt;2),"",LOOKUP(2,1/(AI188:AV188&lt;&gt;""),AI188:AV188)-MIN(AI188:AV188))</t>
        </is>
      </c>
      <c r="AF188" s="49" t="inlineStr">
        <is>
          <t>IF(OR(AD188="",AC188="Not started",AC188=""),"",IFERROR(AD188-IF(VLOOKUP(AC188,'06_Status_Pipeline'!$B$3:$E$20,4,FALSE)="",0,VLOOKUP(AC188,'06_Status_Pipeline'!$B$3:$E$20,4,FALSE)),""))</t>
        </is>
      </c>
      <c r="AG188" s="42" t="inlineStr">
        <is>
          <t>IF(F188="","",IF(OR(AA188="Cancelled",AC188="Cancelled"),"Cancelled",IF(OR(AC188="Completed / Handover",Y188&lt;&gt;"",Z188&gt;=100),"Completed — on track",IF(O188="Not awarded",IF(U188="",IF(X188="","No planned date",IF(TODAY()&gt;X188,"Behind — past planned date",IF(X188-TODAY()&lt;=30,"At risk — close to off track","On track"))),IF(TODAY()&gt;U188,"Behind — award date passed",IF(U188-TODAY()&lt;=30,"At risk — close to off track","On track"))),IF(X188="","No planned date",IF(AND(TODAY()&gt;X188,OR(Z188="",Z188&lt;100)),"Behind — past end date",IF(AND(T188&lt;&gt;"",X188&lt;&gt;"",Z188&lt;&gt;"",(Z188&lt;100),((TODAY()-T188)/MAX(X188-T188,1)*100)-Z188&gt;15),"Behind — progress lag",IF(AND(X188-TODAY()&lt;=30,X188-TODAY()&gt;=0,OR(Z188="",Z188&lt;90)),"At risk — close to off track","On track"))))))))</t>
        </is>
      </c>
      <c r="AH188" s="49" t="inlineStr">
        <is>
          <t>IF(OR(F188="",AC188="Completed / Handover",AC188="Cancelled"),"",IF(O188="Not awarded",IF(U188&lt;&gt;"",U188-TODAY(),IF(X188="","",X188-TODAY())),IF(X188="","",X188-TODAY())))</t>
        </is>
      </c>
      <c r="AI188" s="67" t="n"/>
      <c r="AJ188" s="67" t="n"/>
      <c r="AK188" s="67" t="n"/>
      <c r="AL188" s="67" t="n"/>
      <c r="AM188" s="67" t="n"/>
      <c r="AN188" s="67" t="n"/>
      <c r="AO188" s="67" t="n"/>
      <c r="AP188" s="67" t="n"/>
      <c r="AQ188" s="67" t="n">
        <v>46013</v>
      </c>
      <c r="AR188" s="67" t="n">
        <v>46013</v>
      </c>
      <c r="AS188" s="67" t="n"/>
      <c r="AT188" s="50" t="n"/>
      <c r="AU188" s="50" t="n"/>
      <c r="AV188" s="50" t="n"/>
      <c r="AW188" s="49" t="inlineStr">
        <is>
          <t>IF(OR(F188="",AJ188=""),"",IF(COUNT(AI188:AI188)=0,"",AJ188-LOOKUP(2,1/(AI188:AI188&lt;&gt;""),AI188:AI188)))</t>
        </is>
      </c>
      <c r="AX188" s="49" t="inlineStr">
        <is>
          <t>IF(OR(F188="",AK188=""),"",IF(COUNT(AI188:AJ188)=0,"",AK188-LOOKUP(2,1/(AI188:AJ188&lt;&gt;""),AI188:AJ188)))</t>
        </is>
      </c>
      <c r="AY188" s="49" t="inlineStr">
        <is>
          <t>IF(OR(F188="",AL188=""),"",IF(COUNT(AI188:AK188)=0,"",AL188-LOOKUP(2,1/(AI188:AK188&lt;&gt;""),AI188:AK188)))</t>
        </is>
      </c>
      <c r="AZ188" s="49" t="inlineStr">
        <is>
          <t>IF(OR(F188="",AM188=""),"",IF(COUNT(AI188:AL188)=0,"",AM188-LOOKUP(2,1/(AI188:AL188&lt;&gt;""),AI188:AL188)))</t>
        </is>
      </c>
      <c r="BA188" s="49" t="inlineStr">
        <is>
          <t>IF(OR(F188="",AN188=""),"",IF(COUNT(AI188:AM188)=0,"",AN188-LOOKUP(2,1/(AI188:AM188&lt;&gt;""),AI188:AM188)))</t>
        </is>
      </c>
      <c r="BB188" s="49" t="inlineStr">
        <is>
          <t>IF(OR(F188="",AO188=""),"",IF(COUNT(AI188:AN188)=0,"",AO188-LOOKUP(2,1/(AI188:AN188&lt;&gt;""),AI188:AN188)))</t>
        </is>
      </c>
      <c r="BC188" s="49" t="inlineStr">
        <is>
          <t>IF(OR(F188="",AP188=""),"",IF(COUNT(AI188:AO188)=0,"",AP188-LOOKUP(2,1/(AI188:AO188&lt;&gt;""),AI188:AO188)))</t>
        </is>
      </c>
      <c r="BD188" s="49" t="inlineStr">
        <is>
          <t>IF(OR(F188="",AQ188=""),"",IF(COUNT(AI188:AP188)=0,"",AQ188-LOOKUP(2,1/(AI188:AP188&lt;&gt;""),AI188:AP188)))</t>
        </is>
      </c>
      <c r="BE188" s="49" t="inlineStr">
        <is>
          <t>IF(OR(F188="",AR188=""),"",IF(COUNT(AI188:AQ188)=0,"",AR188-LOOKUP(2,1/(AI188:AQ188&lt;&gt;""),AI188:AQ188)))</t>
        </is>
      </c>
      <c r="BF188" s="49" t="inlineStr">
        <is>
          <t>IF(OR(F188="",AS188=""),"",IF(COUNT(AI188:AR188)=0,"",AS188-LOOKUP(2,1/(AI188:AR188&lt;&gt;""),AI188:AR188)))</t>
        </is>
      </c>
      <c r="BG188" s="49" t="inlineStr">
        <is>
          <t>IF(OR(F188="",AT188=""),"",IF(COUNT(AI188:AS188)=0,"",AT188-LOOKUP(2,1/(AI188:AS188&lt;&gt;""),AI188:AS188)))</t>
        </is>
      </c>
      <c r="BH188" s="49" t="inlineStr">
        <is>
          <t>IF(OR(F188="",AU188=""),"",IF(COUNT(AI188:AT188)=0,"",AU188-LOOKUP(2,1/(AI188:AT188&lt;&gt;""),AI188:AT188)))</t>
        </is>
      </c>
      <c r="BI188" s="49" t="inlineStr">
        <is>
          <t>IF(OR(F188="",AV188=""),"",IF(COUNT(AI188:AU188)=0,"",AV188-LOOKUP(2,1/(AI188:AU188&lt;&gt;""),AI188:AU188)))</t>
        </is>
      </c>
      <c r="BJ188" s="51" t="inlineStr">
        <is>
          <t>IF(J188="","All_Provinces",IFERROR(VLOOKUP(J188,'09_Lookups'!$A$4:$B$20,2,FALSE),"All_Provinces"))</t>
        </is>
      </c>
      <c r="BK188" s="51" t="inlineStr">
        <is>
          <t>IF(K188="","All_Districts",IFERROR(VLOOKUP(K188,'09_Lookups'!$E$4:$F$42,2,FALSE),"All_Districts"))</t>
        </is>
      </c>
    </row>
    <row r="189" ht="18" customHeight="1">
      <c r="A189" s="32" t="inlineStr">
        <is>
          <t>IF(F189="","",ROW()-3)</t>
        </is>
      </c>
      <c r="B189" s="62" t="inlineStr">
        <is>
          <t>AF2-IS-29</t>
        </is>
      </c>
      <c r="C189" s="62" t="inlineStr">
        <is>
          <t>Package #29-AF2 IS: Rehabilitation of Dagh Aruq canal irrigation scheme, located in Chahar Dara district of Kunduz province.</t>
        </is>
      </c>
      <c r="D189" s="62" t="inlineStr">
        <is>
          <t>1 of 1</t>
        </is>
      </c>
      <c r="E189" s="57" t="inlineStr">
        <is>
          <t>AF2-IS-N-020</t>
        </is>
      </c>
      <c r="F189" s="57" t="inlineStr">
        <is>
          <t>Dagh Aruq Canal Irrigation Scheme</t>
        </is>
      </c>
      <c r="G189" s="57" t="inlineStr">
        <is>
          <t>Irrigation Scheme</t>
        </is>
      </c>
      <c r="H189" s="57" t="inlineStr">
        <is>
          <t>Irrigation Canal</t>
        </is>
      </c>
      <c r="I189" s="57" t="inlineStr">
        <is>
          <t>Emergency Food Security Project (EFSP) – WBK/AF-2</t>
        </is>
      </c>
      <c r="J189" s="57" t="inlineStr">
        <is>
          <t>Central Highland / Bamyan</t>
        </is>
      </c>
      <c r="K189" s="57" t="inlineStr">
        <is>
          <t>Kunduz</t>
        </is>
      </c>
      <c r="L189" s="57" t="inlineStr">
        <is>
          <t>Chahar Dara</t>
        </is>
      </c>
      <c r="M189" s="57" t="inlineStr">
        <is>
          <t>Dagh Aruq</t>
        </is>
      </c>
      <c r="N189" s="57" t="inlineStr">
        <is>
          <t>World Bank (WBK/AF-2)</t>
        </is>
      </c>
      <c r="O189" s="57" t="inlineStr">
        <is>
          <t>Not awarded</t>
        </is>
      </c>
      <c r="P189" s="57" t="inlineStr">
        <is>
          <t>2.Remain contracts_On&amp;off-farm</t>
        </is>
      </c>
      <c r="Q189" s="57" t="inlineStr"/>
      <c r="R189" s="57" t="inlineStr"/>
      <c r="S189" s="58" t="n">
        <v>200000</v>
      </c>
      <c r="T189" s="36" t="inlineStr">
        <is>
          <t>IF(AQ189="","",AQ189)</t>
        </is>
      </c>
      <c r="U189" s="59" t="n">
        <v>46351</v>
      </c>
      <c r="V189" s="60" t="n">
        <v>9.9</v>
      </c>
      <c r="W189" s="59" t="n">
        <v>46651</v>
      </c>
      <c r="X189" s="36" t="inlineStr">
        <is>
          <t>IF(W189&lt;&gt;"",W189,IF(OR(T189="",V189=""),"",EDATE(T189,V189)))</t>
        </is>
      </c>
      <c r="Y189" s="59" t="n"/>
      <c r="Z189" s="60" t="n"/>
      <c r="AA189" s="57" t="inlineStr">
        <is>
          <t>PR to be Raised</t>
        </is>
      </c>
      <c r="AB189" s="57" t="inlineStr">
        <is>
          <t>Three months slack period Jan-Mar during winter. Seven months construction period required for two canals. Split into 2 lots and make 2 PRs</t>
        </is>
      </c>
      <c r="AC189" s="32" t="inlineStr">
        <is>
          <t>IF(F189="","",IF(COUNT(AI189:AV189)=0,IF(AA189="","Not started",AA189),SUBSTITUTE(LOOKUP(2,1/(AI189:AV189&lt;&gt;""),$AI$3:$AV$3),"Date: ","")))</t>
        </is>
      </c>
      <c r="AD189" s="39" t="inlineStr">
        <is>
          <t>IF(OR(F189="",COUNT(AI189:AV189)=0),"",TODAY()-LOOKUP(2,1/(AI189:AV189&lt;&gt;""),AI189:AV189))</t>
        </is>
      </c>
      <c r="AE189" s="39" t="inlineStr">
        <is>
          <t>IF(OR(F189="",COUNT(AI189:AV189)&lt;2),"",LOOKUP(2,1/(AI189:AV189&lt;&gt;""),AI189:AV189)-MIN(AI189:AV189))</t>
        </is>
      </c>
      <c r="AF189" s="39" t="inlineStr">
        <is>
          <t>IF(OR(AD189="",AC189="Not started",AC189=""),"",IFERROR(AD189-IF(VLOOKUP(AC189,'06_Status_Pipeline'!$B$3:$E$20,4,FALSE)="",0,VLOOKUP(AC189,'06_Status_Pipeline'!$B$3:$E$20,4,FALSE)),""))</t>
        </is>
      </c>
      <c r="AG189" s="32" t="inlineStr">
        <is>
          <t>IF(F189="","",IF(OR(AA189="Cancelled",AC189="Cancelled"),"Cancelled",IF(OR(AC189="Completed / Handover",Y189&lt;&gt;"",Z189&gt;=100),"Completed — on track",IF(O189="Not awarded",IF(U189="",IF(X189="","No planned date",IF(TODAY()&gt;X189,"Behind — past planned date",IF(X189-TODAY()&lt;=30,"At risk — close to off track","On track"))),IF(TODAY()&gt;U189,"Behind — award date passed",IF(U189-TODAY()&lt;=30,"At risk — close to off track","On track"))),IF(X189="","No planned date",IF(AND(TODAY()&gt;X189,OR(Z189="",Z189&lt;100)),"Behind — past end date",IF(AND(T189&lt;&gt;"",X189&lt;&gt;"",Z189&lt;&gt;"",(Z189&lt;100),((TODAY()-T189)/MAX(X189-T189,1)*100)-Z189&gt;15),"Behind — progress lag",IF(AND(X189-TODAY()&lt;=30,X189-TODAY()&gt;=0,OR(Z189="",Z189&lt;90)),"At risk — close to off track","On track"))))))))</t>
        </is>
      </c>
      <c r="AH189" s="39" t="inlineStr">
        <is>
          <t>IF(OR(F189="",AC189="Completed / Handover",AC189="Cancelled"),"",IF(O189="Not awarded",IF(U189&lt;&gt;"",U189-TODAY(),IF(X189="","",X189-TODAY())),IF(X189="","",X189-TODAY())))</t>
        </is>
      </c>
      <c r="AI189" s="59" t="n"/>
      <c r="AJ189" s="59" t="n"/>
      <c r="AK189" s="59" t="n"/>
      <c r="AL189" s="59" t="n"/>
      <c r="AM189" s="59" t="n"/>
      <c r="AN189" s="59" t="n"/>
      <c r="AO189" s="59" t="n"/>
      <c r="AP189" s="59" t="n"/>
      <c r="AQ189" s="59" t="n"/>
      <c r="AR189" s="59" t="n"/>
      <c r="AS189" s="59" t="n"/>
      <c r="AT189" s="40" t="n"/>
      <c r="AU189" s="40" t="n"/>
      <c r="AV189" s="40" t="n"/>
      <c r="AW189" s="39" t="inlineStr">
        <is>
          <t>IF(OR(F189="",AJ189=""),"",IF(COUNT(AI189:AI189)=0,"",AJ189-LOOKUP(2,1/(AI189:AI189&lt;&gt;""),AI189:AI189)))</t>
        </is>
      </c>
      <c r="AX189" s="39" t="inlineStr">
        <is>
          <t>IF(OR(F189="",AK189=""),"",IF(COUNT(AI189:AJ189)=0,"",AK189-LOOKUP(2,1/(AI189:AJ189&lt;&gt;""),AI189:AJ189)))</t>
        </is>
      </c>
      <c r="AY189" s="39" t="inlineStr">
        <is>
          <t>IF(OR(F189="",AL189=""),"",IF(COUNT(AI189:AK189)=0,"",AL189-LOOKUP(2,1/(AI189:AK189&lt;&gt;""),AI189:AK189)))</t>
        </is>
      </c>
      <c r="AZ189" s="39" t="inlineStr">
        <is>
          <t>IF(OR(F189="",AM189=""),"",IF(COUNT(AI189:AL189)=0,"",AM189-LOOKUP(2,1/(AI189:AL189&lt;&gt;""),AI189:AL189)))</t>
        </is>
      </c>
      <c r="BA189" s="39" t="inlineStr">
        <is>
          <t>IF(OR(F189="",AN189=""),"",IF(COUNT(AI189:AM189)=0,"",AN189-LOOKUP(2,1/(AI189:AM189&lt;&gt;""),AI189:AM189)))</t>
        </is>
      </c>
      <c r="BB189" s="39" t="inlineStr">
        <is>
          <t>IF(OR(F189="",AO189=""),"",IF(COUNT(AI189:AN189)=0,"",AO189-LOOKUP(2,1/(AI189:AN189&lt;&gt;""),AI189:AN189)))</t>
        </is>
      </c>
      <c r="BC189" s="39" t="inlineStr">
        <is>
          <t>IF(OR(F189="",AP189=""),"",IF(COUNT(AI189:AO189)=0,"",AP189-LOOKUP(2,1/(AI189:AO189&lt;&gt;""),AI189:AO189)))</t>
        </is>
      </c>
      <c r="BD189" s="39" t="inlineStr">
        <is>
          <t>IF(OR(F189="",AQ189=""),"",IF(COUNT(AI189:AP189)=0,"",AQ189-LOOKUP(2,1/(AI189:AP189&lt;&gt;""),AI189:AP189)))</t>
        </is>
      </c>
      <c r="BE189" s="39" t="inlineStr">
        <is>
          <t>IF(OR(F189="",AR189=""),"",IF(COUNT(AI189:AQ189)=0,"",AR189-LOOKUP(2,1/(AI189:AQ189&lt;&gt;""),AI189:AQ189)))</t>
        </is>
      </c>
      <c r="BF189" s="39" t="inlineStr">
        <is>
          <t>IF(OR(F189="",AS189=""),"",IF(COUNT(AI189:AR189)=0,"",AS189-LOOKUP(2,1/(AI189:AR189&lt;&gt;""),AI189:AR189)))</t>
        </is>
      </c>
      <c r="BG189" s="39" t="inlineStr">
        <is>
          <t>IF(OR(F189="",AT189=""),"",IF(COUNT(AI189:AS189)=0,"",AT189-LOOKUP(2,1/(AI189:AS189&lt;&gt;""),AI189:AS189)))</t>
        </is>
      </c>
      <c r="BH189" s="39" t="inlineStr">
        <is>
          <t>IF(OR(F189="",AU189=""),"",IF(COUNT(AI189:AT189)=0,"",AU189-LOOKUP(2,1/(AI189:AT189&lt;&gt;""),AI189:AT189)))</t>
        </is>
      </c>
      <c r="BI189" s="39" t="inlineStr">
        <is>
          <t>IF(OR(F189="",AV189=""),"",IF(COUNT(AI189:AU189)=0,"",AV189-LOOKUP(2,1/(AI189:AU189&lt;&gt;""),AI189:AU189)))</t>
        </is>
      </c>
      <c r="BJ189" s="41" t="inlineStr">
        <is>
          <t>IF(J189="","All_Provinces",IFERROR(VLOOKUP(J189,'09_Lookups'!$A$4:$B$20,2,FALSE),"All_Provinces"))</t>
        </is>
      </c>
      <c r="BK189" s="41" t="inlineStr">
        <is>
          <t>IF(K189="","All_Districts",IFERROR(VLOOKUP(K189,'09_Lookups'!$E$4:$F$42,2,FALSE),"All_Districts"))</t>
        </is>
      </c>
    </row>
    <row r="190" ht="18" customHeight="1">
      <c r="A190" s="32" t="inlineStr">
        <is>
          <t>IF(F190="","",ROW()-3)</t>
        </is>
      </c>
      <c r="B190" s="64" t="inlineStr">
        <is>
          <t>AF2-IS-30</t>
        </is>
      </c>
      <c r="C190" s="64" t="inlineStr">
        <is>
          <t>Package # 30-AF2 IS: Rehabilitation of Teshkhan canal canals irrigation scheme, located in Ishkashim districts of Badakhshan province.</t>
        </is>
      </c>
      <c r="D190" s="64" t="inlineStr">
        <is>
          <t>1 of 1</t>
        </is>
      </c>
      <c r="E190" s="34" t="inlineStr">
        <is>
          <t>AF2-IS-N-021</t>
        </is>
      </c>
      <c r="F190" s="34" t="inlineStr">
        <is>
          <t>Teshkhan Canal Irrigation Scheme</t>
        </is>
      </c>
      <c r="G190" s="34" t="inlineStr">
        <is>
          <t>Irrigation Scheme</t>
        </is>
      </c>
      <c r="H190" s="34" t="inlineStr">
        <is>
          <t>Irrigation Canal</t>
        </is>
      </c>
      <c r="I190" s="34" t="inlineStr">
        <is>
          <t>Emergency Food Security Project (EFSP) – WBK/AF-2</t>
        </is>
      </c>
      <c r="J190" s="34" t="inlineStr">
        <is>
          <t>Central Highland / Bamyan</t>
        </is>
      </c>
      <c r="K190" s="34" t="inlineStr">
        <is>
          <t>Badakhshan</t>
        </is>
      </c>
      <c r="L190" s="34" t="inlineStr">
        <is>
          <t>Ishkashim</t>
        </is>
      </c>
      <c r="M190" s="34" t="inlineStr">
        <is>
          <t>Teshkhan</t>
        </is>
      </c>
      <c r="N190" s="34" t="inlineStr">
        <is>
          <t>World Bank (WBK/AF-2)</t>
        </is>
      </c>
      <c r="O190" s="34" t="inlineStr">
        <is>
          <t>Not awarded</t>
        </is>
      </c>
      <c r="P190" s="34" t="inlineStr">
        <is>
          <t>2.Remain contracts_On&amp;off-farm</t>
        </is>
      </c>
      <c r="Q190" s="34" t="inlineStr"/>
      <c r="R190" s="34" t="inlineStr"/>
      <c r="S190" s="35" t="n">
        <v>126516.45</v>
      </c>
      <c r="T190" s="36" t="inlineStr">
        <is>
          <t>IF(AQ190="","",AQ190)</t>
        </is>
      </c>
      <c r="U190" s="37" t="n">
        <v>46399</v>
      </c>
      <c r="V190" s="38" t="n">
        <v>8.9</v>
      </c>
      <c r="W190" s="37" t="n">
        <v>46669</v>
      </c>
      <c r="X190" s="36" t="inlineStr">
        <is>
          <t>IF(W190&lt;&gt;"",W190,IF(OR(T190="",V190=""),"",EDATE(T190,V190)))</t>
        </is>
      </c>
      <c r="Y190" s="37" t="n"/>
      <c r="Z190" s="38" t="n"/>
      <c r="AA190" s="34" t="inlineStr">
        <is>
          <t>PR to be Raised</t>
        </is>
      </c>
      <c r="AB190" s="34" t="inlineStr">
        <is>
          <t>Three months slack period Jan-Mar during winter. Six months construction period required for two canals</t>
        </is>
      </c>
      <c r="AC190" s="32" t="inlineStr">
        <is>
          <t>IF(F190="","",IF(COUNT(AI190:AV190)=0,IF(AA190="","Not started",AA190),SUBSTITUTE(LOOKUP(2,1/(AI190:AV190&lt;&gt;""),$AI$3:$AV$3),"Date: ","")))</t>
        </is>
      </c>
      <c r="AD190" s="39" t="inlineStr">
        <is>
          <t>IF(OR(F190="",COUNT(AI190:AV190)=0),"",TODAY()-LOOKUP(2,1/(AI190:AV190&lt;&gt;""),AI190:AV190))</t>
        </is>
      </c>
      <c r="AE190" s="39" t="inlineStr">
        <is>
          <t>IF(OR(F190="",COUNT(AI190:AV190)&lt;2),"",LOOKUP(2,1/(AI190:AV190&lt;&gt;""),AI190:AV190)-MIN(AI190:AV190))</t>
        </is>
      </c>
      <c r="AF190" s="39" t="inlineStr">
        <is>
          <t>IF(OR(AD190="",AC190="Not started",AC190=""),"",IFERROR(AD190-IF(VLOOKUP(AC190,'06_Status_Pipeline'!$B$3:$E$20,4,FALSE)="",0,VLOOKUP(AC190,'06_Status_Pipeline'!$B$3:$E$20,4,FALSE)),""))</t>
        </is>
      </c>
      <c r="AG190" s="32" t="inlineStr">
        <is>
          <t>IF(F190="","",IF(OR(AA190="Cancelled",AC190="Cancelled"),"Cancelled",IF(OR(AC190="Completed / Handover",Y190&lt;&gt;"",Z190&gt;=100),"Completed — on track",IF(O190="Not awarded",IF(U190="",IF(X190="","No planned date",IF(TODAY()&gt;X190,"Behind — past planned date",IF(X190-TODAY()&lt;=30,"At risk — close to off track","On track"))),IF(TODAY()&gt;U190,"Behind — award date passed",IF(U190-TODAY()&lt;=30,"At risk — close to off track","On track"))),IF(X190="","No planned date",IF(AND(TODAY()&gt;X190,OR(Z190="",Z190&lt;100)),"Behind — past end date",IF(AND(T190&lt;&gt;"",X190&lt;&gt;"",Z190&lt;&gt;"",(Z190&lt;100),((TODAY()-T190)/MAX(X190-T190,1)*100)-Z190&gt;15),"Behind — progress lag",IF(AND(X190-TODAY()&lt;=30,X190-TODAY()&gt;=0,OR(Z190="",Z190&lt;90)),"At risk — close to off track","On track"))))))))</t>
        </is>
      </c>
      <c r="AH190" s="39" t="inlineStr">
        <is>
          <t>IF(OR(F190="",AC190="Completed / Handover",AC190="Cancelled"),"",IF(O190="Not awarded",IF(U190&lt;&gt;"",U190-TODAY(),IF(X190="","",X190-TODAY())),IF(X190="","",X190-TODAY())))</t>
        </is>
      </c>
      <c r="AI190" s="37" t="n"/>
      <c r="AJ190" s="37" t="n"/>
      <c r="AK190" s="37" t="n"/>
      <c r="AL190" s="37" t="n"/>
      <c r="AM190" s="37" t="n"/>
      <c r="AN190" s="37" t="n"/>
      <c r="AO190" s="37" t="n"/>
      <c r="AP190" s="37" t="n"/>
      <c r="AQ190" s="37" t="n"/>
      <c r="AR190" s="37" t="n"/>
      <c r="AS190" s="37" t="n"/>
      <c r="AT190" s="40" t="n"/>
      <c r="AU190" s="40" t="n"/>
      <c r="AV190" s="40" t="n"/>
      <c r="AW190" s="39" t="inlineStr">
        <is>
          <t>IF(OR(F190="",AJ190=""),"",IF(COUNT(AI190:AI190)=0,"",AJ190-LOOKUP(2,1/(AI190:AI190&lt;&gt;""),AI190:AI190)))</t>
        </is>
      </c>
      <c r="AX190" s="39" t="inlineStr">
        <is>
          <t>IF(OR(F190="",AK190=""),"",IF(COUNT(AI190:AJ190)=0,"",AK190-LOOKUP(2,1/(AI190:AJ190&lt;&gt;""),AI190:AJ190)))</t>
        </is>
      </c>
      <c r="AY190" s="39" t="inlineStr">
        <is>
          <t>IF(OR(F190="",AL190=""),"",IF(COUNT(AI190:AK190)=0,"",AL190-LOOKUP(2,1/(AI190:AK190&lt;&gt;""),AI190:AK190)))</t>
        </is>
      </c>
      <c r="AZ190" s="39" t="inlineStr">
        <is>
          <t>IF(OR(F190="",AM190=""),"",IF(COUNT(AI190:AL190)=0,"",AM190-LOOKUP(2,1/(AI190:AL190&lt;&gt;""),AI190:AL190)))</t>
        </is>
      </c>
      <c r="BA190" s="39" t="inlineStr">
        <is>
          <t>IF(OR(F190="",AN190=""),"",IF(COUNT(AI190:AM190)=0,"",AN190-LOOKUP(2,1/(AI190:AM190&lt;&gt;""),AI190:AM190)))</t>
        </is>
      </c>
      <c r="BB190" s="39" t="inlineStr">
        <is>
          <t>IF(OR(F190="",AO190=""),"",IF(COUNT(AI190:AN190)=0,"",AO190-LOOKUP(2,1/(AI190:AN190&lt;&gt;""),AI190:AN190)))</t>
        </is>
      </c>
      <c r="BC190" s="39" t="inlineStr">
        <is>
          <t>IF(OR(F190="",AP190=""),"",IF(COUNT(AI190:AO190)=0,"",AP190-LOOKUP(2,1/(AI190:AO190&lt;&gt;""),AI190:AO190)))</t>
        </is>
      </c>
      <c r="BD190" s="39" t="inlineStr">
        <is>
          <t>IF(OR(F190="",AQ190=""),"",IF(COUNT(AI190:AP190)=0,"",AQ190-LOOKUP(2,1/(AI190:AP190&lt;&gt;""),AI190:AP190)))</t>
        </is>
      </c>
      <c r="BE190" s="39" t="inlineStr">
        <is>
          <t>IF(OR(F190="",AR190=""),"",IF(COUNT(AI190:AQ190)=0,"",AR190-LOOKUP(2,1/(AI190:AQ190&lt;&gt;""),AI190:AQ190)))</t>
        </is>
      </c>
      <c r="BF190" s="39" t="inlineStr">
        <is>
          <t>IF(OR(F190="",AS190=""),"",IF(COUNT(AI190:AR190)=0,"",AS190-LOOKUP(2,1/(AI190:AR190&lt;&gt;""),AI190:AR190)))</t>
        </is>
      </c>
      <c r="BG190" s="39" t="inlineStr">
        <is>
          <t>IF(OR(F190="",AT190=""),"",IF(COUNT(AI190:AS190)=0,"",AT190-LOOKUP(2,1/(AI190:AS190&lt;&gt;""),AI190:AS190)))</t>
        </is>
      </c>
      <c r="BH190" s="39" t="inlineStr">
        <is>
          <t>IF(OR(F190="",AU190=""),"",IF(COUNT(AI190:AT190)=0,"",AU190-LOOKUP(2,1/(AI190:AT190&lt;&gt;""),AI190:AT190)))</t>
        </is>
      </c>
      <c r="BI190" s="39" t="inlineStr">
        <is>
          <t>IF(OR(F190="",AV190=""),"",IF(COUNT(AI190:AU190)=0,"",AV190-LOOKUP(2,1/(AI190:AU190&lt;&gt;""),AI190:AU190)))</t>
        </is>
      </c>
      <c r="BJ190" s="41" t="inlineStr">
        <is>
          <t>IF(J190="","All_Provinces",IFERROR(VLOOKUP(J190,'09_Lookups'!$A$4:$B$20,2,FALSE),"All_Provinces"))</t>
        </is>
      </c>
      <c r="BK190" s="41" t="inlineStr">
        <is>
          <t>IF(K190="","All_Districts",IFERROR(VLOOKUP(K190,'09_Lookups'!$E$4:$F$42,2,FALSE),"All_Districts"))</t>
        </is>
      </c>
    </row>
    <row r="191" ht="18" customHeight="1">
      <c r="A191" s="32" t="inlineStr">
        <is>
          <t>IF(F191="","",ROW()-3)</t>
        </is>
      </c>
      <c r="B191" s="33" t="inlineStr">
        <is>
          <t>AF2-IS-31</t>
        </is>
      </c>
      <c r="C191" s="33" t="inlineStr">
        <is>
          <t>Package #31-AF2 IS: Rehabilitation of 1. Shahidan &amp;Dasht-e Lajam Canal schems in Tala wa barfak district, 2.Sardar Ha canal scheme in Deh Salah district, and 3. Kambilan cluster canal schemes in Fring districts of Baghlan province.</t>
        </is>
      </c>
      <c r="D191" s="33" t="inlineStr">
        <is>
          <t>1 of 3</t>
        </is>
      </c>
      <c r="E191" s="57" t="inlineStr">
        <is>
          <t>AF2-IS-A-028</t>
        </is>
      </c>
      <c r="F191" s="57" t="inlineStr">
        <is>
          <t>Juybar-e-Maidan (Payendakhail), Nahr-e-Salih, Khambilan, Dara-e-Bazar Irrigation Schemes</t>
        </is>
      </c>
      <c r="G191" s="57" t="inlineStr">
        <is>
          <t>Irrigation Scheme</t>
        </is>
      </c>
      <c r="H191" s="57" t="inlineStr">
        <is>
          <t>Irrigation Canal</t>
        </is>
      </c>
      <c r="I191" s="57" t="inlineStr">
        <is>
          <t>Emergency Food Security Project (EFSP) – WBK/AF-2</t>
        </is>
      </c>
      <c r="J191" s="57" t="inlineStr">
        <is>
          <t>Northeast / Kunduz</t>
        </is>
      </c>
      <c r="K191" s="57" t="inlineStr">
        <is>
          <t>Baghlan</t>
        </is>
      </c>
      <c r="L191" s="57" t="inlineStr">
        <is>
          <t>Fring</t>
        </is>
      </c>
      <c r="M191" s="57" t="inlineStr">
        <is>
          <t>Juybar-e-Maidan (Payendakhail), Salih, Khambilan, Dara-e-Bazar</t>
        </is>
      </c>
      <c r="N191" s="57" t="inlineStr">
        <is>
          <t>World Bank (WBK/AF-2)</t>
        </is>
      </c>
      <c r="O191" s="57" t="inlineStr">
        <is>
          <t>Awarded</t>
        </is>
      </c>
      <c r="P191" s="57" t="inlineStr">
        <is>
          <t>1.Awarded contracts_On&amp;off-farm</t>
        </is>
      </c>
      <c r="Q191" s="57" t="inlineStr">
        <is>
          <t>Afghan Eithad construction and Road Building company (AECC)</t>
        </is>
      </c>
      <c r="R191" s="57" t="inlineStr">
        <is>
          <t>009/2026</t>
        </is>
      </c>
      <c r="S191" s="58" t="n">
        <v>120795.68</v>
      </c>
      <c r="T191" s="36" t="inlineStr">
        <is>
          <t>IF(AQ191="","",AQ191)</t>
        </is>
      </c>
      <c r="U191" s="59" t="n"/>
      <c r="V191" s="60" t="n">
        <v>10</v>
      </c>
      <c r="W191" s="59" t="n">
        <v>46354</v>
      </c>
      <c r="X191" s="36" t="inlineStr">
        <is>
          <t>IF(W191&lt;&gt;"",W191,IF(OR(T191="",V191=""),"",EDATE(T191,V191)))</t>
        </is>
      </c>
      <c r="Y191" s="59" t="n"/>
      <c r="Z191" s="60" t="n">
        <v>100</v>
      </c>
      <c r="AA191" s="57" t="inlineStr">
        <is>
          <t>Completed / Handover</t>
        </is>
      </c>
      <c r="AB191" s="57" t="inlineStr">
        <is>
          <t>Actual completion: August, 2026</t>
        </is>
      </c>
      <c r="AC191" s="32" t="inlineStr">
        <is>
          <t>IF(F191="","",IF(COUNT(AI191:AV191)=0,IF(AA191="","Not started",AA191),SUBSTITUTE(LOOKUP(2,1/(AI191:AV191&lt;&gt;""),$AI$3:$AV$3),"Date: ","")))</t>
        </is>
      </c>
      <c r="AD191" s="39" t="inlineStr">
        <is>
          <t>IF(OR(F191="",COUNT(AI191:AV191)=0),"",TODAY()-LOOKUP(2,1/(AI191:AV191&lt;&gt;""),AI191:AV191))</t>
        </is>
      </c>
      <c r="AE191" s="39" t="inlineStr">
        <is>
          <t>IF(OR(F191="",COUNT(AI191:AV191)&lt;2),"",LOOKUP(2,1/(AI191:AV191&lt;&gt;""),AI191:AV191)-MIN(AI191:AV191))</t>
        </is>
      </c>
      <c r="AF191" s="39" t="inlineStr">
        <is>
          <t>IF(OR(AD191="",AC191="Not started",AC191=""),"",IFERROR(AD191-IF(VLOOKUP(AC191,'06_Status_Pipeline'!$B$3:$E$20,4,FALSE)="",0,VLOOKUP(AC191,'06_Status_Pipeline'!$B$3:$E$20,4,FALSE)),""))</t>
        </is>
      </c>
      <c r="AG191" s="32" t="inlineStr">
        <is>
          <t>IF(F191="","",IF(OR(AA191="Cancelled",AC191="Cancelled"),"Cancelled",IF(OR(AC191="Completed / Handover",Y191&lt;&gt;"",Z191&gt;=100),"Completed — on track",IF(O191="Not awarded",IF(U191="",IF(X191="","No planned date",IF(TODAY()&gt;X191,"Behind — past planned date",IF(X191-TODAY()&lt;=30,"At risk — close to off track","On track"))),IF(TODAY()&gt;U191,"Behind — award date passed",IF(U191-TODAY()&lt;=30,"At risk — close to off track","On track"))),IF(X191="","No planned date",IF(AND(TODAY()&gt;X191,OR(Z191="",Z191&lt;100)),"Behind — past end date",IF(AND(T191&lt;&gt;"",X191&lt;&gt;"",Z191&lt;&gt;"",(Z191&lt;100),((TODAY()-T191)/MAX(X191-T191,1)*100)-Z191&gt;15),"Behind — progress lag",IF(AND(X191-TODAY()&lt;=30,X191-TODAY()&gt;=0,OR(Z191="",Z191&lt;90)),"At risk — close to off track","On track"))))))))</t>
        </is>
      </c>
      <c r="AH191" s="39" t="inlineStr">
        <is>
          <t>IF(OR(F191="",AC191="Completed / Handover",AC191="Cancelled"),"",IF(O191="Not awarded",IF(U191&lt;&gt;"",U191-TODAY(),IF(X191="","",X191-TODAY())),IF(X191="","",X191-TODAY())))</t>
        </is>
      </c>
      <c r="AI191" s="66" t="n"/>
      <c r="AJ191" s="66" t="n"/>
      <c r="AK191" s="66" t="n"/>
      <c r="AL191" s="66" t="n"/>
      <c r="AM191" s="66" t="n"/>
      <c r="AN191" s="66" t="n"/>
      <c r="AO191" s="66" t="n"/>
      <c r="AP191" s="66" t="n"/>
      <c r="AQ191" s="66" t="n">
        <v>46051</v>
      </c>
      <c r="AR191" s="66" t="n">
        <v>46051</v>
      </c>
      <c r="AS191" s="66" t="n">
        <v>46354</v>
      </c>
      <c r="AT191" s="40" t="n"/>
      <c r="AU191" s="40" t="n"/>
      <c r="AV191" s="40" t="n"/>
      <c r="AW191" s="39" t="inlineStr">
        <is>
          <t>IF(OR(F191="",AJ191=""),"",IF(COUNT(AI191:AI191)=0,"",AJ191-LOOKUP(2,1/(AI191:AI191&lt;&gt;""),AI191:AI191)))</t>
        </is>
      </c>
      <c r="AX191" s="39" t="inlineStr">
        <is>
          <t>IF(OR(F191="",AK191=""),"",IF(COUNT(AI191:AJ191)=0,"",AK191-LOOKUP(2,1/(AI191:AJ191&lt;&gt;""),AI191:AJ191)))</t>
        </is>
      </c>
      <c r="AY191" s="39" t="inlineStr">
        <is>
          <t>IF(OR(F191="",AL191=""),"",IF(COUNT(AI191:AK191)=0,"",AL191-LOOKUP(2,1/(AI191:AK191&lt;&gt;""),AI191:AK191)))</t>
        </is>
      </c>
      <c r="AZ191" s="39" t="inlineStr">
        <is>
          <t>IF(OR(F191="",AM191=""),"",IF(COUNT(AI191:AL191)=0,"",AM191-LOOKUP(2,1/(AI191:AL191&lt;&gt;""),AI191:AL191)))</t>
        </is>
      </c>
      <c r="BA191" s="39" t="inlineStr">
        <is>
          <t>IF(OR(F191="",AN191=""),"",IF(COUNT(AI191:AM191)=0,"",AN191-LOOKUP(2,1/(AI191:AM191&lt;&gt;""),AI191:AM191)))</t>
        </is>
      </c>
      <c r="BB191" s="39" t="inlineStr">
        <is>
          <t>IF(OR(F191="",AO191=""),"",IF(COUNT(AI191:AN191)=0,"",AO191-LOOKUP(2,1/(AI191:AN191&lt;&gt;""),AI191:AN191)))</t>
        </is>
      </c>
      <c r="BC191" s="39" t="inlineStr">
        <is>
          <t>IF(OR(F191="",AP191=""),"",IF(COUNT(AI191:AO191)=0,"",AP191-LOOKUP(2,1/(AI191:AO191&lt;&gt;""),AI191:AO191)))</t>
        </is>
      </c>
      <c r="BD191" s="39" t="inlineStr">
        <is>
          <t>IF(OR(F191="",AQ191=""),"",IF(COUNT(AI191:AP191)=0,"",AQ191-LOOKUP(2,1/(AI191:AP191&lt;&gt;""),AI191:AP191)))</t>
        </is>
      </c>
      <c r="BE191" s="39" t="inlineStr">
        <is>
          <t>IF(OR(F191="",AR191=""),"",IF(COUNT(AI191:AQ191)=0,"",AR191-LOOKUP(2,1/(AI191:AQ191&lt;&gt;""),AI191:AQ191)))</t>
        </is>
      </c>
      <c r="BF191" s="39" t="inlineStr">
        <is>
          <t>IF(OR(F191="",AS191=""),"",IF(COUNT(AI191:AR191)=0,"",AS191-LOOKUP(2,1/(AI191:AR191&lt;&gt;""),AI191:AR191)))</t>
        </is>
      </c>
      <c r="BG191" s="39" t="inlineStr">
        <is>
          <t>IF(OR(F191="",AT191=""),"",IF(COUNT(AI191:AS191)=0,"",AT191-LOOKUP(2,1/(AI191:AS191&lt;&gt;""),AI191:AS191)))</t>
        </is>
      </c>
      <c r="BH191" s="39" t="inlineStr">
        <is>
          <t>IF(OR(F191="",AU191=""),"",IF(COUNT(AI191:AT191)=0,"",AU191-LOOKUP(2,1/(AI191:AT191&lt;&gt;""),AI191:AT191)))</t>
        </is>
      </c>
      <c r="BI191" s="39" t="inlineStr">
        <is>
          <t>IF(OR(F191="",AV191=""),"",IF(COUNT(AI191:AU191)=0,"",AV191-LOOKUP(2,1/(AI191:AU191&lt;&gt;""),AI191:AU191)))</t>
        </is>
      </c>
      <c r="BJ191" s="41" t="inlineStr">
        <is>
          <t>IF(J191="","All_Provinces",IFERROR(VLOOKUP(J191,'09_Lookups'!$A$4:$B$20,2,FALSE),"All_Provinces"))</t>
        </is>
      </c>
      <c r="BK191" s="41" t="inlineStr">
        <is>
          <t>IF(K191="","All_Districts",IFERROR(VLOOKUP(K191,'09_Lookups'!$E$4:$F$42,2,FALSE),"All_Districts"))</t>
        </is>
      </c>
    </row>
    <row r="192" outlineLevel="1" ht="18" customHeight="1">
      <c r="A192" s="42" t="inlineStr">
        <is>
          <t>IF(F192="","",ROW()-3)</t>
        </is>
      </c>
      <c r="B192" s="43" t="inlineStr">
        <is>
          <t>AF2-IS-31</t>
        </is>
      </c>
      <c r="C192" s="43" t="inlineStr">
        <is>
          <t>Package #31-AF2 IS: Rehabilitation of 1. Shahidan &amp;Dasht-e Lajam Canal schems in Tala wa barfak district, 2.Sardar Ha canal scheme in Deh Salah district, and 3. Kambilan cluster canal schemes in Fring districts of Baghlan province.</t>
        </is>
      </c>
      <c r="D192" s="43" t="inlineStr">
        <is>
          <t>2 of 3</t>
        </is>
      </c>
      <c r="E192" s="52" t="inlineStr">
        <is>
          <t>AF2-IS-A-029</t>
        </is>
      </c>
      <c r="F192" s="52" t="inlineStr">
        <is>
          <t>Sardara Canal Irrigation scheme</t>
        </is>
      </c>
      <c r="G192" s="52" t="inlineStr">
        <is>
          <t>Irrigation Scheme</t>
        </is>
      </c>
      <c r="H192" s="52" t="inlineStr">
        <is>
          <t>Irrigation Canal</t>
        </is>
      </c>
      <c r="I192" s="52" t="inlineStr">
        <is>
          <t>Emergency Food Security Project (EFSP) – WBK/AF-2</t>
        </is>
      </c>
      <c r="J192" s="52" t="inlineStr">
        <is>
          <t>Northeast / Kunduz</t>
        </is>
      </c>
      <c r="K192" s="52" t="inlineStr">
        <is>
          <t>Baghlan</t>
        </is>
      </c>
      <c r="L192" s="52" t="inlineStr">
        <is>
          <t>Deh Salah</t>
        </is>
      </c>
      <c r="M192" s="52" t="inlineStr">
        <is>
          <t>Sardara</t>
        </is>
      </c>
      <c r="N192" s="52" t="inlineStr">
        <is>
          <t>World Bank (WBK/AF-2)</t>
        </is>
      </c>
      <c r="O192" s="52" t="inlineStr">
        <is>
          <t>Awarded</t>
        </is>
      </c>
      <c r="P192" s="52" t="inlineStr">
        <is>
          <t>1.Awarded contracts_On&amp;off-farm</t>
        </is>
      </c>
      <c r="Q192" s="52" t="inlineStr">
        <is>
          <t>Afghan Eithad construction and Road Building company (AECC)</t>
        </is>
      </c>
      <c r="R192" s="52" t="inlineStr">
        <is>
          <t>009/2026</t>
        </is>
      </c>
      <c r="S192" s="53" t="n">
        <v>167265.54</v>
      </c>
      <c r="T192" s="46" t="inlineStr">
        <is>
          <t>IF(AQ192="","",AQ192)</t>
        </is>
      </c>
      <c r="U192" s="54" t="n"/>
      <c r="V192" s="55" t="n">
        <v>10</v>
      </c>
      <c r="W192" s="54" t="n">
        <v>46354</v>
      </c>
      <c r="X192" s="46" t="inlineStr">
        <is>
          <t>IF(W192&lt;&gt;"",W192,IF(OR(T192="",V192=""),"",EDATE(T192,V192)))</t>
        </is>
      </c>
      <c r="Y192" s="54" t="n"/>
      <c r="Z192" s="55" t="n">
        <v>90</v>
      </c>
      <c r="AA192" s="52" t="inlineStr">
        <is>
          <t>Under Construction</t>
        </is>
      </c>
      <c r="AB192" s="52" t="inlineStr">
        <is>
          <t>on track and will be completed by Nov. 2026 | Actual completion: July. 2025</t>
        </is>
      </c>
      <c r="AC192" s="42" t="inlineStr">
        <is>
          <t>IF(F192="","",IF(COUNT(AI192:AV192)=0,IF(AA192="","Not started",AA192),SUBSTITUTE(LOOKUP(2,1/(AI192:AV192&lt;&gt;""),$AI$3:$AV$3),"Date: ","")))</t>
        </is>
      </c>
      <c r="AD192" s="49" t="inlineStr">
        <is>
          <t>IF(OR(F192="",COUNT(AI192:AV192)=0),"",TODAY()-LOOKUP(2,1/(AI192:AV192&lt;&gt;""),AI192:AV192))</t>
        </is>
      </c>
      <c r="AE192" s="49" t="inlineStr">
        <is>
          <t>IF(OR(F192="",COUNT(AI192:AV192)&lt;2),"",LOOKUP(2,1/(AI192:AV192&lt;&gt;""),AI192:AV192)-MIN(AI192:AV192))</t>
        </is>
      </c>
      <c r="AF192" s="49" t="inlineStr">
        <is>
          <t>IF(OR(AD192="",AC192="Not started",AC192=""),"",IFERROR(AD192-IF(VLOOKUP(AC192,'06_Status_Pipeline'!$B$3:$E$20,4,FALSE)="",0,VLOOKUP(AC192,'06_Status_Pipeline'!$B$3:$E$20,4,FALSE)),""))</t>
        </is>
      </c>
      <c r="AG192" s="42" t="inlineStr">
        <is>
          <t>IF(F192="","",IF(OR(AA192="Cancelled",AC192="Cancelled"),"Cancelled",IF(OR(AC192="Completed / Handover",Y192&lt;&gt;"",Z192&gt;=100),"Completed — on track",IF(O192="Not awarded",IF(U192="",IF(X192="","No planned date",IF(TODAY()&gt;X192,"Behind — past planned date",IF(X192-TODAY()&lt;=30,"At risk — close to off track","On track"))),IF(TODAY()&gt;U192,"Behind — award date passed",IF(U192-TODAY()&lt;=30,"At risk — close to off track","On track"))),IF(X192="","No planned date",IF(AND(TODAY()&gt;X192,OR(Z192="",Z192&lt;100)),"Behind — past end date",IF(AND(T192&lt;&gt;"",X192&lt;&gt;"",Z192&lt;&gt;"",(Z192&lt;100),((TODAY()-T192)/MAX(X192-T192,1)*100)-Z192&gt;15),"Behind — progress lag",IF(AND(X192-TODAY()&lt;=30,X192-TODAY()&gt;=0,OR(Z192="",Z192&lt;90)),"At risk — close to off track","On track"))))))))</t>
        </is>
      </c>
      <c r="AH192" s="49" t="inlineStr">
        <is>
          <t>IF(OR(F192="",AC192="Completed / Handover",AC192="Cancelled"),"",IF(O192="Not awarded",IF(U192&lt;&gt;"",U192-TODAY(),IF(X192="","",X192-TODAY())),IF(X192="","",X192-TODAY())))</t>
        </is>
      </c>
      <c r="AI192" s="67" t="n"/>
      <c r="AJ192" s="67" t="n"/>
      <c r="AK192" s="67" t="n"/>
      <c r="AL192" s="67" t="n"/>
      <c r="AM192" s="67" t="n"/>
      <c r="AN192" s="67" t="n"/>
      <c r="AO192" s="67" t="n"/>
      <c r="AP192" s="67" t="n"/>
      <c r="AQ192" s="67" t="n">
        <v>46051</v>
      </c>
      <c r="AR192" s="67" t="n">
        <v>46051</v>
      </c>
      <c r="AS192" s="67" t="n"/>
      <c r="AT192" s="50" t="n"/>
      <c r="AU192" s="50" t="n"/>
      <c r="AV192" s="50" t="n"/>
      <c r="AW192" s="49" t="inlineStr">
        <is>
          <t>IF(OR(F192="",AJ192=""),"",IF(COUNT(AI192:AI192)=0,"",AJ192-LOOKUP(2,1/(AI192:AI192&lt;&gt;""),AI192:AI192)))</t>
        </is>
      </c>
      <c r="AX192" s="49" t="inlineStr">
        <is>
          <t>IF(OR(F192="",AK192=""),"",IF(COUNT(AI192:AJ192)=0,"",AK192-LOOKUP(2,1/(AI192:AJ192&lt;&gt;""),AI192:AJ192)))</t>
        </is>
      </c>
      <c r="AY192" s="49" t="inlineStr">
        <is>
          <t>IF(OR(F192="",AL192=""),"",IF(COUNT(AI192:AK192)=0,"",AL192-LOOKUP(2,1/(AI192:AK192&lt;&gt;""),AI192:AK192)))</t>
        </is>
      </c>
      <c r="AZ192" s="49" t="inlineStr">
        <is>
          <t>IF(OR(F192="",AM192=""),"",IF(COUNT(AI192:AL192)=0,"",AM192-LOOKUP(2,1/(AI192:AL192&lt;&gt;""),AI192:AL192)))</t>
        </is>
      </c>
      <c r="BA192" s="49" t="inlineStr">
        <is>
          <t>IF(OR(F192="",AN192=""),"",IF(COUNT(AI192:AM192)=0,"",AN192-LOOKUP(2,1/(AI192:AM192&lt;&gt;""),AI192:AM192)))</t>
        </is>
      </c>
      <c r="BB192" s="49" t="inlineStr">
        <is>
          <t>IF(OR(F192="",AO192=""),"",IF(COUNT(AI192:AN192)=0,"",AO192-LOOKUP(2,1/(AI192:AN192&lt;&gt;""),AI192:AN192)))</t>
        </is>
      </c>
      <c r="BC192" s="49" t="inlineStr">
        <is>
          <t>IF(OR(F192="",AP192=""),"",IF(COUNT(AI192:AO192)=0,"",AP192-LOOKUP(2,1/(AI192:AO192&lt;&gt;""),AI192:AO192)))</t>
        </is>
      </c>
      <c r="BD192" s="49" t="inlineStr">
        <is>
          <t>IF(OR(F192="",AQ192=""),"",IF(COUNT(AI192:AP192)=0,"",AQ192-LOOKUP(2,1/(AI192:AP192&lt;&gt;""),AI192:AP192)))</t>
        </is>
      </c>
      <c r="BE192" s="49" t="inlineStr">
        <is>
          <t>IF(OR(F192="",AR192=""),"",IF(COUNT(AI192:AQ192)=0,"",AR192-LOOKUP(2,1/(AI192:AQ192&lt;&gt;""),AI192:AQ192)))</t>
        </is>
      </c>
      <c r="BF192" s="49" t="inlineStr">
        <is>
          <t>IF(OR(F192="",AS192=""),"",IF(COUNT(AI192:AR192)=0,"",AS192-LOOKUP(2,1/(AI192:AR192&lt;&gt;""),AI192:AR192)))</t>
        </is>
      </c>
      <c r="BG192" s="49" t="inlineStr">
        <is>
          <t>IF(OR(F192="",AT192=""),"",IF(COUNT(AI192:AS192)=0,"",AT192-LOOKUP(2,1/(AI192:AS192&lt;&gt;""),AI192:AS192)))</t>
        </is>
      </c>
      <c r="BH192" s="49" t="inlineStr">
        <is>
          <t>IF(OR(F192="",AU192=""),"",IF(COUNT(AI192:AT192)=0,"",AU192-LOOKUP(2,1/(AI192:AT192&lt;&gt;""),AI192:AT192)))</t>
        </is>
      </c>
      <c r="BI192" s="49" t="inlineStr">
        <is>
          <t>IF(OR(F192="",AV192=""),"",IF(COUNT(AI192:AU192)=0,"",AV192-LOOKUP(2,1/(AI192:AU192&lt;&gt;""),AI192:AU192)))</t>
        </is>
      </c>
      <c r="BJ192" s="51" t="inlineStr">
        <is>
          <t>IF(J192="","All_Provinces",IFERROR(VLOOKUP(J192,'09_Lookups'!$A$4:$B$20,2,FALSE),"All_Provinces"))</t>
        </is>
      </c>
      <c r="BK192" s="51" t="inlineStr">
        <is>
          <t>IF(K192="","All_Districts",IFERROR(VLOOKUP(K192,'09_Lookups'!$E$4:$F$42,2,FALSE),"All_Districts"))</t>
        </is>
      </c>
    </row>
    <row r="193" outlineLevel="1" ht="18" customHeight="1">
      <c r="A193" s="42" t="inlineStr">
        <is>
          <t>IF(F193="","",ROW()-3)</t>
        </is>
      </c>
      <c r="B193" s="43" t="inlineStr">
        <is>
          <t>AF2-IS-31</t>
        </is>
      </c>
      <c r="C193" s="43" t="inlineStr">
        <is>
          <t>Package #31-AF2 IS: Rehabilitation of 1. Shahidan &amp;Dasht-e Lajam Canal schems in Tala wa barfak district, 2.Sardar Ha canal scheme in Deh Salah district, and 3. Kambilan cluster canal schemes in Fring districts of Baghlan province.</t>
        </is>
      </c>
      <c r="D193" s="43" t="inlineStr">
        <is>
          <t>3 of 3</t>
        </is>
      </c>
      <c r="E193" s="44" t="inlineStr">
        <is>
          <t>AF2-IS-A-030</t>
        </is>
      </c>
      <c r="F193" s="44" t="inlineStr">
        <is>
          <t>Shahidan &amp; Dasht-e Lajam Canals</t>
        </is>
      </c>
      <c r="G193" s="44" t="inlineStr">
        <is>
          <t>Irrigation Scheme</t>
        </is>
      </c>
      <c r="H193" s="44" t="inlineStr">
        <is>
          <t>Irrigation Canal</t>
        </is>
      </c>
      <c r="I193" s="44" t="inlineStr">
        <is>
          <t>Emergency Food Security Project (EFSP) – WBK/AF-2</t>
        </is>
      </c>
      <c r="J193" s="44" t="inlineStr">
        <is>
          <t>Northeast / Kunduz</t>
        </is>
      </c>
      <c r="K193" s="44" t="inlineStr">
        <is>
          <t>Baghlan</t>
        </is>
      </c>
      <c r="L193" s="44" t="inlineStr">
        <is>
          <t>Tala wa barfak</t>
        </is>
      </c>
      <c r="M193" s="44" t="inlineStr">
        <is>
          <t>Shahidan &amp; Dast-e-Lajam</t>
        </is>
      </c>
      <c r="N193" s="44" t="inlineStr">
        <is>
          <t>World Bank (WBK/AF-2)</t>
        </is>
      </c>
      <c r="O193" s="44" t="inlineStr">
        <is>
          <t>Awarded</t>
        </is>
      </c>
      <c r="P193" s="44" t="inlineStr">
        <is>
          <t>1.Awarded contracts_On&amp;off-farm</t>
        </is>
      </c>
      <c r="Q193" s="44" t="inlineStr">
        <is>
          <t>Afghan Eithad construction and Road Building company (AECC)</t>
        </is>
      </c>
      <c r="R193" s="44" t="inlineStr">
        <is>
          <t>009/2026</t>
        </is>
      </c>
      <c r="S193" s="45" t="n">
        <v>190128.77</v>
      </c>
      <c r="T193" s="46" t="inlineStr">
        <is>
          <t>IF(AQ193="","",AQ193)</t>
        </is>
      </c>
      <c r="U193" s="47" t="n"/>
      <c r="V193" s="48" t="n">
        <v>10</v>
      </c>
      <c r="W193" s="47" t="n">
        <v>46354</v>
      </c>
      <c r="X193" s="46" t="inlineStr">
        <is>
          <t>IF(W193&lt;&gt;"",W193,IF(OR(T193="",V193=""),"",EDATE(T193,V193)))</t>
        </is>
      </c>
      <c r="Y193" s="47" t="n"/>
      <c r="Z193" s="48" t="n">
        <v>100</v>
      </c>
      <c r="AA193" s="44" t="inlineStr">
        <is>
          <t>Completed / Handover</t>
        </is>
      </c>
      <c r="AB193" s="44" t="inlineStr">
        <is>
          <t>on track and will be completed by Nov. 2026 | Actual completion: July. 2025</t>
        </is>
      </c>
      <c r="AC193" s="42" t="inlineStr">
        <is>
          <t>IF(F193="","",IF(COUNT(AI193:AV193)=0,IF(AA193="","Not started",AA193),SUBSTITUTE(LOOKUP(2,1/(AI193:AV193&lt;&gt;""),$AI$3:$AV$3),"Date: ","")))</t>
        </is>
      </c>
      <c r="AD193" s="49" t="inlineStr">
        <is>
          <t>IF(OR(F193="",COUNT(AI193:AV193)=0),"",TODAY()-LOOKUP(2,1/(AI193:AV193&lt;&gt;""),AI193:AV193))</t>
        </is>
      </c>
      <c r="AE193" s="49" t="inlineStr">
        <is>
          <t>IF(OR(F193="",COUNT(AI193:AV193)&lt;2),"",LOOKUP(2,1/(AI193:AV193&lt;&gt;""),AI193:AV193)-MIN(AI193:AV193))</t>
        </is>
      </c>
      <c r="AF193" s="49" t="inlineStr">
        <is>
          <t>IF(OR(AD193="",AC193="Not started",AC193=""),"",IFERROR(AD193-IF(VLOOKUP(AC193,'06_Status_Pipeline'!$B$3:$E$20,4,FALSE)="",0,VLOOKUP(AC193,'06_Status_Pipeline'!$B$3:$E$20,4,FALSE)),""))</t>
        </is>
      </c>
      <c r="AG193" s="42" t="inlineStr">
        <is>
          <t>IF(F193="","",IF(OR(AA193="Cancelled",AC193="Cancelled"),"Cancelled",IF(OR(AC193="Completed / Handover",Y193&lt;&gt;"",Z193&gt;=100),"Completed — on track",IF(O193="Not awarded",IF(U193="",IF(X193="","No planned date",IF(TODAY()&gt;X193,"Behind — past planned date",IF(X193-TODAY()&lt;=30,"At risk — close to off track","On track"))),IF(TODAY()&gt;U193,"Behind — award date passed",IF(U193-TODAY()&lt;=30,"At risk — close to off track","On track"))),IF(X193="","No planned date",IF(AND(TODAY()&gt;X193,OR(Z193="",Z193&lt;100)),"Behind — past end date",IF(AND(T193&lt;&gt;"",X193&lt;&gt;"",Z193&lt;&gt;"",(Z193&lt;100),((TODAY()-T193)/MAX(X193-T193,1)*100)-Z193&gt;15),"Behind — progress lag",IF(AND(X193-TODAY()&lt;=30,X193-TODAY()&gt;=0,OR(Z193="",Z193&lt;90)),"At risk — close to off track","On track"))))))))</t>
        </is>
      </c>
      <c r="AH193" s="49" t="inlineStr">
        <is>
          <t>IF(OR(F193="",AC193="Completed / Handover",AC193="Cancelled"),"",IF(O193="Not awarded",IF(U193&lt;&gt;"",U193-TODAY(),IF(X193="","",X193-TODAY())),IF(X193="","",X193-TODAY())))</t>
        </is>
      </c>
      <c r="AI193" s="67" t="n"/>
      <c r="AJ193" s="67" t="n"/>
      <c r="AK193" s="67" t="n"/>
      <c r="AL193" s="67" t="n"/>
      <c r="AM193" s="67" t="n"/>
      <c r="AN193" s="67" t="n"/>
      <c r="AO193" s="67" t="n"/>
      <c r="AP193" s="67" t="n"/>
      <c r="AQ193" s="67" t="n">
        <v>46051</v>
      </c>
      <c r="AR193" s="67" t="n">
        <v>46051</v>
      </c>
      <c r="AS193" s="67" t="n">
        <v>46354</v>
      </c>
      <c r="AT193" s="50" t="n"/>
      <c r="AU193" s="50" t="n"/>
      <c r="AV193" s="50" t="n"/>
      <c r="AW193" s="49" t="inlineStr">
        <is>
          <t>IF(OR(F193="",AJ193=""),"",IF(COUNT(AI193:AI193)=0,"",AJ193-LOOKUP(2,1/(AI193:AI193&lt;&gt;""),AI193:AI193)))</t>
        </is>
      </c>
      <c r="AX193" s="49" t="inlineStr">
        <is>
          <t>IF(OR(F193="",AK193=""),"",IF(COUNT(AI193:AJ193)=0,"",AK193-LOOKUP(2,1/(AI193:AJ193&lt;&gt;""),AI193:AJ193)))</t>
        </is>
      </c>
      <c r="AY193" s="49" t="inlineStr">
        <is>
          <t>IF(OR(F193="",AL193=""),"",IF(COUNT(AI193:AK193)=0,"",AL193-LOOKUP(2,1/(AI193:AK193&lt;&gt;""),AI193:AK193)))</t>
        </is>
      </c>
      <c r="AZ193" s="49" t="inlineStr">
        <is>
          <t>IF(OR(F193="",AM193=""),"",IF(COUNT(AI193:AL193)=0,"",AM193-LOOKUP(2,1/(AI193:AL193&lt;&gt;""),AI193:AL193)))</t>
        </is>
      </c>
      <c r="BA193" s="49" t="inlineStr">
        <is>
          <t>IF(OR(F193="",AN193=""),"",IF(COUNT(AI193:AM193)=0,"",AN193-LOOKUP(2,1/(AI193:AM193&lt;&gt;""),AI193:AM193)))</t>
        </is>
      </c>
      <c r="BB193" s="49" t="inlineStr">
        <is>
          <t>IF(OR(F193="",AO193=""),"",IF(COUNT(AI193:AN193)=0,"",AO193-LOOKUP(2,1/(AI193:AN193&lt;&gt;""),AI193:AN193)))</t>
        </is>
      </c>
      <c r="BC193" s="49" t="inlineStr">
        <is>
          <t>IF(OR(F193="",AP193=""),"",IF(COUNT(AI193:AO193)=0,"",AP193-LOOKUP(2,1/(AI193:AO193&lt;&gt;""),AI193:AO193)))</t>
        </is>
      </c>
      <c r="BD193" s="49" t="inlineStr">
        <is>
          <t>IF(OR(F193="",AQ193=""),"",IF(COUNT(AI193:AP193)=0,"",AQ193-LOOKUP(2,1/(AI193:AP193&lt;&gt;""),AI193:AP193)))</t>
        </is>
      </c>
      <c r="BE193" s="49" t="inlineStr">
        <is>
          <t>IF(OR(F193="",AR193=""),"",IF(COUNT(AI193:AQ193)=0,"",AR193-LOOKUP(2,1/(AI193:AQ193&lt;&gt;""),AI193:AQ193)))</t>
        </is>
      </c>
      <c r="BF193" s="49" t="inlineStr">
        <is>
          <t>IF(OR(F193="",AS193=""),"",IF(COUNT(AI193:AR193)=0,"",AS193-LOOKUP(2,1/(AI193:AR193&lt;&gt;""),AI193:AR193)))</t>
        </is>
      </c>
      <c r="BG193" s="49" t="inlineStr">
        <is>
          <t>IF(OR(F193="",AT193=""),"",IF(COUNT(AI193:AS193)=0,"",AT193-LOOKUP(2,1/(AI193:AS193&lt;&gt;""),AI193:AS193)))</t>
        </is>
      </c>
      <c r="BH193" s="49" t="inlineStr">
        <is>
          <t>IF(OR(F193="",AU193=""),"",IF(COUNT(AI193:AT193)=0,"",AU193-LOOKUP(2,1/(AI193:AT193&lt;&gt;""),AI193:AT193)))</t>
        </is>
      </c>
      <c r="BI193" s="49" t="inlineStr">
        <is>
          <t>IF(OR(F193="",AV193=""),"",IF(COUNT(AI193:AU193)=0,"",AV193-LOOKUP(2,1/(AI193:AU193&lt;&gt;""),AI193:AU193)))</t>
        </is>
      </c>
      <c r="BJ193" s="51" t="inlineStr">
        <is>
          <t>IF(J193="","All_Provinces",IFERROR(VLOOKUP(J193,'09_Lookups'!$A$4:$B$20,2,FALSE),"All_Provinces"))</t>
        </is>
      </c>
      <c r="BK193" s="51" t="inlineStr">
        <is>
          <t>IF(K193="","All_Districts",IFERROR(VLOOKUP(K193,'09_Lookups'!$E$4:$F$42,2,FALSE),"All_Districts"))</t>
        </is>
      </c>
    </row>
    <row r="194" ht="18" customHeight="1">
      <c r="A194" s="32" t="inlineStr">
        <is>
          <t>IF(F194="","",ROW()-3)</t>
        </is>
      </c>
      <c r="B194" s="56" t="inlineStr">
        <is>
          <t>AF2-IS-32</t>
        </is>
      </c>
      <c r="C194" s="56" t="inlineStr">
        <is>
          <t>Package #32-AF2 IS: Rehabilitation of Abdul Baqi canal and Mulla Oma canal irrigation schemes, located in Chemtal districts of Balkh province.</t>
        </is>
      </c>
      <c r="D194" s="56" t="inlineStr">
        <is>
          <t>1 of 2</t>
        </is>
      </c>
      <c r="E194" s="34" t="inlineStr">
        <is>
          <t>AF2-IS-A-031</t>
        </is>
      </c>
      <c r="F194" s="34" t="inlineStr">
        <is>
          <t>Abdul Baqi Canal Irrigation scheme</t>
        </is>
      </c>
      <c r="G194" s="34" t="inlineStr">
        <is>
          <t>Irrigation Scheme</t>
        </is>
      </c>
      <c r="H194" s="34" t="inlineStr">
        <is>
          <t>Irrigation Canal</t>
        </is>
      </c>
      <c r="I194" s="34" t="inlineStr">
        <is>
          <t>Emergency Food Security Project (EFSP) – WBK/AF-2</t>
        </is>
      </c>
      <c r="J194" s="34" t="inlineStr">
        <is>
          <t>North / Mazar</t>
        </is>
      </c>
      <c r="K194" s="34" t="inlineStr">
        <is>
          <t>Balkh</t>
        </is>
      </c>
      <c r="L194" s="34" t="inlineStr">
        <is>
          <t>Chemtal</t>
        </is>
      </c>
      <c r="M194" s="34" t="inlineStr">
        <is>
          <t>Sari Asiab</t>
        </is>
      </c>
      <c r="N194" s="34" t="inlineStr">
        <is>
          <t>World Bank (WBK/AF-2)</t>
        </is>
      </c>
      <c r="O194" s="34" t="inlineStr">
        <is>
          <t>Awarded</t>
        </is>
      </c>
      <c r="P194" s="34" t="inlineStr">
        <is>
          <t>1.Awarded contracts_On&amp;off-farm</t>
        </is>
      </c>
      <c r="Q194" s="34" t="inlineStr">
        <is>
          <t>Trust Grow Construction and Engineering Company (TGCC)</t>
        </is>
      </c>
      <c r="R194" s="34" t="inlineStr">
        <is>
          <t>075/2025</t>
        </is>
      </c>
      <c r="S194" s="35" t="n">
        <v>141012.01</v>
      </c>
      <c r="T194" s="36" t="inlineStr">
        <is>
          <t>IF(AQ194="","",AQ194)</t>
        </is>
      </c>
      <c r="U194" s="37" t="n"/>
      <c r="V194" s="38" t="n">
        <v>11</v>
      </c>
      <c r="W194" s="37" t="n">
        <v>46355</v>
      </c>
      <c r="X194" s="36" t="inlineStr">
        <is>
          <t>IF(W194&lt;&gt;"",W194,IF(OR(T194="",V194=""),"",EDATE(T194,V194)))</t>
        </is>
      </c>
      <c r="Y194" s="37" t="n"/>
      <c r="Z194" s="38" t="n">
        <v>100</v>
      </c>
      <c r="AA194" s="34" t="inlineStr">
        <is>
          <t>Completed / Handover</t>
        </is>
      </c>
      <c r="AB194" s="34" t="inlineStr">
        <is>
          <t>Completed in July 2026. | Actual completion: July, 2026</t>
        </is>
      </c>
      <c r="AC194" s="32" t="inlineStr">
        <is>
          <t>IF(F194="","",IF(COUNT(AI194:AV194)=0,IF(AA194="","Not started",AA194),SUBSTITUTE(LOOKUP(2,1/(AI194:AV194&lt;&gt;""),$AI$3:$AV$3),"Date: ","")))</t>
        </is>
      </c>
      <c r="AD194" s="39" t="inlineStr">
        <is>
          <t>IF(OR(F194="",COUNT(AI194:AV194)=0),"",TODAY()-LOOKUP(2,1/(AI194:AV194&lt;&gt;""),AI194:AV194))</t>
        </is>
      </c>
      <c r="AE194" s="39" t="inlineStr">
        <is>
          <t>IF(OR(F194="",COUNT(AI194:AV194)&lt;2),"",LOOKUP(2,1/(AI194:AV194&lt;&gt;""),AI194:AV194)-MIN(AI194:AV194))</t>
        </is>
      </c>
      <c r="AF194" s="39" t="inlineStr">
        <is>
          <t>IF(OR(AD194="",AC194="Not started",AC194=""),"",IFERROR(AD194-IF(VLOOKUP(AC194,'06_Status_Pipeline'!$B$3:$E$20,4,FALSE)="",0,VLOOKUP(AC194,'06_Status_Pipeline'!$B$3:$E$20,4,FALSE)),""))</t>
        </is>
      </c>
      <c r="AG194" s="32" t="inlineStr">
        <is>
          <t>IF(F194="","",IF(OR(AA194="Cancelled",AC194="Cancelled"),"Cancelled",IF(OR(AC194="Completed / Handover",Y194&lt;&gt;"",Z194&gt;=100),"Completed — on track",IF(O194="Not awarded",IF(U194="",IF(X194="","No planned date",IF(TODAY()&gt;X194,"Behind — past planned date",IF(X194-TODAY()&lt;=30,"At risk — close to off track","On track"))),IF(TODAY()&gt;U194,"Behind — award date passed",IF(U194-TODAY()&lt;=30,"At risk — close to off track","On track"))),IF(X194="","No planned date",IF(AND(TODAY()&gt;X194,OR(Z194="",Z194&lt;100)),"Behind — past end date",IF(AND(T194&lt;&gt;"",X194&lt;&gt;"",Z194&lt;&gt;"",(Z194&lt;100),((TODAY()-T194)/MAX(X194-T194,1)*100)-Z194&gt;15),"Behind — progress lag",IF(AND(X194-TODAY()&lt;=30,X194-TODAY()&gt;=0,OR(Z194="",Z194&lt;90)),"At risk — close to off track","On track"))))))))</t>
        </is>
      </c>
      <c r="AH194" s="39" t="inlineStr">
        <is>
          <t>IF(OR(F194="",AC194="Completed / Handover",AC194="Cancelled"),"",IF(O194="Not awarded",IF(U194&lt;&gt;"",U194-TODAY(),IF(X194="","",X194-TODAY())),IF(X194="","",X194-TODAY())))</t>
        </is>
      </c>
      <c r="AI194" s="66" t="n"/>
      <c r="AJ194" s="66" t="n"/>
      <c r="AK194" s="66" t="n"/>
      <c r="AL194" s="66" t="n"/>
      <c r="AM194" s="66" t="n"/>
      <c r="AN194" s="66" t="n"/>
      <c r="AO194" s="66" t="n"/>
      <c r="AP194" s="66" t="n"/>
      <c r="AQ194" s="66" t="n">
        <v>46022</v>
      </c>
      <c r="AR194" s="66" t="n">
        <v>46022</v>
      </c>
      <c r="AS194" s="66" t="n">
        <v>46355</v>
      </c>
      <c r="AT194" s="40" t="n"/>
      <c r="AU194" s="40" t="n"/>
      <c r="AV194" s="40" t="n"/>
      <c r="AW194" s="39" t="inlineStr">
        <is>
          <t>IF(OR(F194="",AJ194=""),"",IF(COUNT(AI194:AI194)=0,"",AJ194-LOOKUP(2,1/(AI194:AI194&lt;&gt;""),AI194:AI194)))</t>
        </is>
      </c>
      <c r="AX194" s="39" t="inlineStr">
        <is>
          <t>IF(OR(F194="",AK194=""),"",IF(COUNT(AI194:AJ194)=0,"",AK194-LOOKUP(2,1/(AI194:AJ194&lt;&gt;""),AI194:AJ194)))</t>
        </is>
      </c>
      <c r="AY194" s="39" t="inlineStr">
        <is>
          <t>IF(OR(F194="",AL194=""),"",IF(COUNT(AI194:AK194)=0,"",AL194-LOOKUP(2,1/(AI194:AK194&lt;&gt;""),AI194:AK194)))</t>
        </is>
      </c>
      <c r="AZ194" s="39" t="inlineStr">
        <is>
          <t>IF(OR(F194="",AM194=""),"",IF(COUNT(AI194:AL194)=0,"",AM194-LOOKUP(2,1/(AI194:AL194&lt;&gt;""),AI194:AL194)))</t>
        </is>
      </c>
      <c r="BA194" s="39" t="inlineStr">
        <is>
          <t>IF(OR(F194="",AN194=""),"",IF(COUNT(AI194:AM194)=0,"",AN194-LOOKUP(2,1/(AI194:AM194&lt;&gt;""),AI194:AM194)))</t>
        </is>
      </c>
      <c r="BB194" s="39" t="inlineStr">
        <is>
          <t>IF(OR(F194="",AO194=""),"",IF(COUNT(AI194:AN194)=0,"",AO194-LOOKUP(2,1/(AI194:AN194&lt;&gt;""),AI194:AN194)))</t>
        </is>
      </c>
      <c r="BC194" s="39" t="inlineStr">
        <is>
          <t>IF(OR(F194="",AP194=""),"",IF(COUNT(AI194:AO194)=0,"",AP194-LOOKUP(2,1/(AI194:AO194&lt;&gt;""),AI194:AO194)))</t>
        </is>
      </c>
      <c r="BD194" s="39" t="inlineStr">
        <is>
          <t>IF(OR(F194="",AQ194=""),"",IF(COUNT(AI194:AP194)=0,"",AQ194-LOOKUP(2,1/(AI194:AP194&lt;&gt;""),AI194:AP194)))</t>
        </is>
      </c>
      <c r="BE194" s="39" t="inlineStr">
        <is>
          <t>IF(OR(F194="",AR194=""),"",IF(COUNT(AI194:AQ194)=0,"",AR194-LOOKUP(2,1/(AI194:AQ194&lt;&gt;""),AI194:AQ194)))</t>
        </is>
      </c>
      <c r="BF194" s="39" t="inlineStr">
        <is>
          <t>IF(OR(F194="",AS194=""),"",IF(COUNT(AI194:AR194)=0,"",AS194-LOOKUP(2,1/(AI194:AR194&lt;&gt;""),AI194:AR194)))</t>
        </is>
      </c>
      <c r="BG194" s="39" t="inlineStr">
        <is>
          <t>IF(OR(F194="",AT194=""),"",IF(COUNT(AI194:AS194)=0,"",AT194-LOOKUP(2,1/(AI194:AS194&lt;&gt;""),AI194:AS194)))</t>
        </is>
      </c>
      <c r="BH194" s="39" t="inlineStr">
        <is>
          <t>IF(OR(F194="",AU194=""),"",IF(COUNT(AI194:AT194)=0,"",AU194-LOOKUP(2,1/(AI194:AT194&lt;&gt;""),AI194:AT194)))</t>
        </is>
      </c>
      <c r="BI194" s="39" t="inlineStr">
        <is>
          <t>IF(OR(F194="",AV194=""),"",IF(COUNT(AI194:AU194)=0,"",AV194-LOOKUP(2,1/(AI194:AU194&lt;&gt;""),AI194:AU194)))</t>
        </is>
      </c>
      <c r="BJ194" s="41" t="inlineStr">
        <is>
          <t>IF(J194="","All_Provinces",IFERROR(VLOOKUP(J194,'09_Lookups'!$A$4:$B$20,2,FALSE),"All_Provinces"))</t>
        </is>
      </c>
      <c r="BK194" s="41" t="inlineStr">
        <is>
          <t>IF(K194="","All_Districts",IFERROR(VLOOKUP(K194,'09_Lookups'!$E$4:$F$42,2,FALSE),"All_Districts"))</t>
        </is>
      </c>
    </row>
    <row r="195" outlineLevel="1" ht="18" customHeight="1">
      <c r="A195" s="42" t="inlineStr">
        <is>
          <t>IF(F195="","",ROW()-3)</t>
        </is>
      </c>
      <c r="B195" s="61" t="inlineStr">
        <is>
          <t>AF2-IS-32</t>
        </is>
      </c>
      <c r="C195" s="61" t="inlineStr">
        <is>
          <t>Package #32-AF2 IS: Rehabilitation of Abdul Baqi canal and Mulla Oma canal irrigation schemes, located in Chemtal districts of Balkh province.</t>
        </is>
      </c>
      <c r="D195" s="61" t="inlineStr">
        <is>
          <t>2 of 2</t>
        </is>
      </c>
      <c r="E195" s="44" t="inlineStr">
        <is>
          <t>AF2-IS-A-032</t>
        </is>
      </c>
      <c r="F195" s="44" t="inlineStr">
        <is>
          <t>Mulla Omar Canal Irrigation scheme</t>
        </is>
      </c>
      <c r="G195" s="44" t="inlineStr">
        <is>
          <t>Irrigation Scheme</t>
        </is>
      </c>
      <c r="H195" s="44" t="inlineStr">
        <is>
          <t>Irrigation Canal</t>
        </is>
      </c>
      <c r="I195" s="44" t="inlineStr">
        <is>
          <t>Emergency Food Security Project (EFSP) – WBK/AF-2</t>
        </is>
      </c>
      <c r="J195" s="44" t="inlineStr">
        <is>
          <t>North / Mazar</t>
        </is>
      </c>
      <c r="K195" s="44" t="inlineStr">
        <is>
          <t>Balkh</t>
        </is>
      </c>
      <c r="L195" s="44" t="inlineStr">
        <is>
          <t>Chemtal</t>
        </is>
      </c>
      <c r="M195" s="44" t="inlineStr">
        <is>
          <t>Sarkar</t>
        </is>
      </c>
      <c r="N195" s="44" t="inlineStr">
        <is>
          <t>World Bank (WBK/AF-2)</t>
        </is>
      </c>
      <c r="O195" s="44" t="inlineStr">
        <is>
          <t>Awarded</t>
        </is>
      </c>
      <c r="P195" s="44" t="inlineStr">
        <is>
          <t>1.Awarded contracts_On&amp;off-farm</t>
        </is>
      </c>
      <c r="Q195" s="44" t="inlineStr">
        <is>
          <t>Trust Grow Construction and Engineering Company (TGCC)</t>
        </is>
      </c>
      <c r="R195" s="44" t="inlineStr">
        <is>
          <t>075/2025</t>
        </is>
      </c>
      <c r="S195" s="45" t="n">
        <v>159013.54</v>
      </c>
      <c r="T195" s="46" t="inlineStr">
        <is>
          <t>IF(AQ195="","",AQ195)</t>
        </is>
      </c>
      <c r="U195" s="47" t="n"/>
      <c r="V195" s="48" t="n">
        <v>11</v>
      </c>
      <c r="W195" s="47" t="n">
        <v>46355</v>
      </c>
      <c r="X195" s="46" t="inlineStr">
        <is>
          <t>IF(W195&lt;&gt;"",W195,IF(OR(T195="",V195=""),"",EDATE(T195,V195)))</t>
        </is>
      </c>
      <c r="Y195" s="47" t="n"/>
      <c r="Z195" s="48" t="n">
        <v>100</v>
      </c>
      <c r="AA195" s="44" t="inlineStr">
        <is>
          <t>Completed / Handover</t>
        </is>
      </c>
      <c r="AB195" s="44" t="inlineStr">
        <is>
          <t>Actual completion: July, 2026</t>
        </is>
      </c>
      <c r="AC195" s="42" t="inlineStr">
        <is>
          <t>IF(F195="","",IF(COUNT(AI195:AV195)=0,IF(AA195="","Not started",AA195),SUBSTITUTE(LOOKUP(2,1/(AI195:AV195&lt;&gt;""),$AI$3:$AV$3),"Date: ","")))</t>
        </is>
      </c>
      <c r="AD195" s="49" t="inlineStr">
        <is>
          <t>IF(OR(F195="",COUNT(AI195:AV195)=0),"",TODAY()-LOOKUP(2,1/(AI195:AV195&lt;&gt;""),AI195:AV195))</t>
        </is>
      </c>
      <c r="AE195" s="49" t="inlineStr">
        <is>
          <t>IF(OR(F195="",COUNT(AI195:AV195)&lt;2),"",LOOKUP(2,1/(AI195:AV195&lt;&gt;""),AI195:AV195)-MIN(AI195:AV195))</t>
        </is>
      </c>
      <c r="AF195" s="49" t="inlineStr">
        <is>
          <t>IF(OR(AD195="",AC195="Not started",AC195=""),"",IFERROR(AD195-IF(VLOOKUP(AC195,'06_Status_Pipeline'!$B$3:$E$20,4,FALSE)="",0,VLOOKUP(AC195,'06_Status_Pipeline'!$B$3:$E$20,4,FALSE)),""))</t>
        </is>
      </c>
      <c r="AG195" s="42" t="inlineStr">
        <is>
          <t>IF(F195="","",IF(OR(AA195="Cancelled",AC195="Cancelled"),"Cancelled",IF(OR(AC195="Completed / Handover",Y195&lt;&gt;"",Z195&gt;=100),"Completed — on track",IF(O195="Not awarded",IF(U195="",IF(X195="","No planned date",IF(TODAY()&gt;X195,"Behind — past planned date",IF(X195-TODAY()&lt;=30,"At risk — close to off track","On track"))),IF(TODAY()&gt;U195,"Behind — award date passed",IF(U195-TODAY()&lt;=30,"At risk — close to off track","On track"))),IF(X195="","No planned date",IF(AND(TODAY()&gt;X195,OR(Z195="",Z195&lt;100)),"Behind — past end date",IF(AND(T195&lt;&gt;"",X195&lt;&gt;"",Z195&lt;&gt;"",(Z195&lt;100),((TODAY()-T195)/MAX(X195-T195,1)*100)-Z195&gt;15),"Behind — progress lag",IF(AND(X195-TODAY()&lt;=30,X195-TODAY()&gt;=0,OR(Z195="",Z195&lt;90)),"At risk — close to off track","On track"))))))))</t>
        </is>
      </c>
      <c r="AH195" s="49" t="inlineStr">
        <is>
          <t>IF(OR(F195="",AC195="Completed / Handover",AC195="Cancelled"),"",IF(O195="Not awarded",IF(U195&lt;&gt;"",U195-TODAY(),IF(X195="","",X195-TODAY())),IF(X195="","",X195-TODAY())))</t>
        </is>
      </c>
      <c r="AI195" s="67" t="n"/>
      <c r="AJ195" s="67" t="n"/>
      <c r="AK195" s="67" t="n"/>
      <c r="AL195" s="67" t="n"/>
      <c r="AM195" s="67" t="n"/>
      <c r="AN195" s="67" t="n"/>
      <c r="AO195" s="67" t="n"/>
      <c r="AP195" s="67" t="n"/>
      <c r="AQ195" s="67" t="n">
        <v>46022</v>
      </c>
      <c r="AR195" s="67" t="n">
        <v>46022</v>
      </c>
      <c r="AS195" s="67" t="n">
        <v>46355</v>
      </c>
      <c r="AT195" s="50" t="n"/>
      <c r="AU195" s="50" t="n"/>
      <c r="AV195" s="50" t="n"/>
      <c r="AW195" s="49" t="inlineStr">
        <is>
          <t>IF(OR(F195="",AJ195=""),"",IF(COUNT(AI195:AI195)=0,"",AJ195-LOOKUP(2,1/(AI195:AI195&lt;&gt;""),AI195:AI195)))</t>
        </is>
      </c>
      <c r="AX195" s="49" t="inlineStr">
        <is>
          <t>IF(OR(F195="",AK195=""),"",IF(COUNT(AI195:AJ195)=0,"",AK195-LOOKUP(2,1/(AI195:AJ195&lt;&gt;""),AI195:AJ195)))</t>
        </is>
      </c>
      <c r="AY195" s="49" t="inlineStr">
        <is>
          <t>IF(OR(F195="",AL195=""),"",IF(COUNT(AI195:AK195)=0,"",AL195-LOOKUP(2,1/(AI195:AK195&lt;&gt;""),AI195:AK195)))</t>
        </is>
      </c>
      <c r="AZ195" s="49" t="inlineStr">
        <is>
          <t>IF(OR(F195="",AM195=""),"",IF(COUNT(AI195:AL195)=0,"",AM195-LOOKUP(2,1/(AI195:AL195&lt;&gt;""),AI195:AL195)))</t>
        </is>
      </c>
      <c r="BA195" s="49" t="inlineStr">
        <is>
          <t>IF(OR(F195="",AN195=""),"",IF(COUNT(AI195:AM195)=0,"",AN195-LOOKUP(2,1/(AI195:AM195&lt;&gt;""),AI195:AM195)))</t>
        </is>
      </c>
      <c r="BB195" s="49" t="inlineStr">
        <is>
          <t>IF(OR(F195="",AO195=""),"",IF(COUNT(AI195:AN195)=0,"",AO195-LOOKUP(2,1/(AI195:AN195&lt;&gt;""),AI195:AN195)))</t>
        </is>
      </c>
      <c r="BC195" s="49" t="inlineStr">
        <is>
          <t>IF(OR(F195="",AP195=""),"",IF(COUNT(AI195:AO195)=0,"",AP195-LOOKUP(2,1/(AI195:AO195&lt;&gt;""),AI195:AO195)))</t>
        </is>
      </c>
      <c r="BD195" s="49" t="inlineStr">
        <is>
          <t>IF(OR(F195="",AQ195=""),"",IF(COUNT(AI195:AP195)=0,"",AQ195-LOOKUP(2,1/(AI195:AP195&lt;&gt;""),AI195:AP195)))</t>
        </is>
      </c>
      <c r="BE195" s="49" t="inlineStr">
        <is>
          <t>IF(OR(F195="",AR195=""),"",IF(COUNT(AI195:AQ195)=0,"",AR195-LOOKUP(2,1/(AI195:AQ195&lt;&gt;""),AI195:AQ195)))</t>
        </is>
      </c>
      <c r="BF195" s="49" t="inlineStr">
        <is>
          <t>IF(OR(F195="",AS195=""),"",IF(COUNT(AI195:AR195)=0,"",AS195-LOOKUP(2,1/(AI195:AR195&lt;&gt;""),AI195:AR195)))</t>
        </is>
      </c>
      <c r="BG195" s="49" t="inlineStr">
        <is>
          <t>IF(OR(F195="",AT195=""),"",IF(COUNT(AI195:AS195)=0,"",AT195-LOOKUP(2,1/(AI195:AS195&lt;&gt;""),AI195:AS195)))</t>
        </is>
      </c>
      <c r="BH195" s="49" t="inlineStr">
        <is>
          <t>IF(OR(F195="",AU195=""),"",IF(COUNT(AI195:AT195)=0,"",AU195-LOOKUP(2,1/(AI195:AT195&lt;&gt;""),AI195:AT195)))</t>
        </is>
      </c>
      <c r="BI195" s="49" t="inlineStr">
        <is>
          <t>IF(OR(F195="",AV195=""),"",IF(COUNT(AI195:AU195)=0,"",AV195-LOOKUP(2,1/(AI195:AU195&lt;&gt;""),AI195:AU195)))</t>
        </is>
      </c>
      <c r="BJ195" s="51" t="inlineStr">
        <is>
          <t>IF(J195="","All_Provinces",IFERROR(VLOOKUP(J195,'09_Lookups'!$A$4:$B$20,2,FALSE),"All_Provinces"))</t>
        </is>
      </c>
      <c r="BK195" s="51" t="inlineStr">
        <is>
          <t>IF(K195="","All_Districts",IFERROR(VLOOKUP(K195,'09_Lookups'!$E$4:$F$42,2,FALSE),"All_Districts"))</t>
        </is>
      </c>
    </row>
    <row r="196" ht="18" customHeight="1">
      <c r="A196" s="32" t="inlineStr">
        <is>
          <t>IF(F196="","",ROW()-3)</t>
        </is>
      </c>
      <c r="B196" s="62" t="inlineStr">
        <is>
          <t>AF2-IS-33</t>
        </is>
      </c>
      <c r="C196" s="62" t="inlineStr">
        <is>
          <t>Package #33-AF2 IS: Rehabilitation of Chela Mazar canal and Kushkak canal irrigation schemes, located in Dara-e- Suf-e-Bala and Dara-e-Suf-e-Payeen districts of Samangan province.</t>
        </is>
      </c>
      <c r="D196" s="62" t="inlineStr">
        <is>
          <t>1 of 2</t>
        </is>
      </c>
      <c r="E196" s="34" t="inlineStr">
        <is>
          <t>AF2-IS-A-033</t>
        </is>
      </c>
      <c r="F196" s="34" t="inlineStr">
        <is>
          <t>Chela Mazar Canal Irrigation scheme</t>
        </is>
      </c>
      <c r="G196" s="34" t="inlineStr">
        <is>
          <t>Irrigation Scheme</t>
        </is>
      </c>
      <c r="H196" s="34" t="inlineStr">
        <is>
          <t>Irrigation Canal</t>
        </is>
      </c>
      <c r="I196" s="34" t="inlineStr">
        <is>
          <t>Emergency Food Security Project (EFSP) – WBK/AF-2</t>
        </is>
      </c>
      <c r="J196" s="34" t="inlineStr">
        <is>
          <t>North / Mazar</t>
        </is>
      </c>
      <c r="K196" s="34" t="inlineStr">
        <is>
          <t>Samangan</t>
        </is>
      </c>
      <c r="L196" s="34" t="inlineStr">
        <is>
          <t>Dara-e- Suf-e-Payeen</t>
        </is>
      </c>
      <c r="M196" s="34" t="inlineStr">
        <is>
          <t>Chela Mazar</t>
        </is>
      </c>
      <c r="N196" s="34" t="inlineStr">
        <is>
          <t>World Bank (WBK/AF-2)</t>
        </is>
      </c>
      <c r="O196" s="34" t="inlineStr">
        <is>
          <t>Awarded</t>
        </is>
      </c>
      <c r="P196" s="34" t="inlineStr">
        <is>
          <t>1.Awarded contracts_On&amp;off-farm</t>
        </is>
      </c>
      <c r="Q196" s="34" t="inlineStr">
        <is>
          <t>AFGHAN LUCKY CONSTRUCTION COMPANY (ALCC)</t>
        </is>
      </c>
      <c r="R196" s="34" t="inlineStr">
        <is>
          <t>003/2026</t>
        </is>
      </c>
      <c r="S196" s="35" t="n">
        <v>143685.36</v>
      </c>
      <c r="T196" s="36" t="inlineStr">
        <is>
          <t>IF(AQ196="","",AQ196)</t>
        </is>
      </c>
      <c r="U196" s="37" t="n"/>
      <c r="V196" s="38" t="n">
        <v>11</v>
      </c>
      <c r="W196" s="37" t="n">
        <v>46370</v>
      </c>
      <c r="X196" s="36" t="inlineStr">
        <is>
          <t>IF(W196&lt;&gt;"",W196,IF(OR(T196="",V196=""),"",EDATE(T196,V196)))</t>
        </is>
      </c>
      <c r="Y196" s="37" t="n"/>
      <c r="Z196" s="38" t="n">
        <v>25</v>
      </c>
      <c r="AA196" s="34" t="inlineStr">
        <is>
          <t>Under Construction</t>
        </is>
      </c>
      <c r="AB196" s="34" t="inlineStr">
        <is>
          <t>one scheme will be completed by Dec. 2026 and other scheme to be completed by June 2027 after NCE</t>
        </is>
      </c>
      <c r="AC196" s="32" t="inlineStr">
        <is>
          <t>IF(F196="","",IF(COUNT(AI196:AV196)=0,IF(AA196="","Not started",AA196),SUBSTITUTE(LOOKUP(2,1/(AI196:AV196&lt;&gt;""),$AI$3:$AV$3),"Date: ","")))</t>
        </is>
      </c>
      <c r="AD196" s="39" t="inlineStr">
        <is>
          <t>IF(OR(F196="",COUNT(AI196:AV196)=0),"",TODAY()-LOOKUP(2,1/(AI196:AV196&lt;&gt;""),AI196:AV196))</t>
        </is>
      </c>
      <c r="AE196" s="39" t="inlineStr">
        <is>
          <t>IF(OR(F196="",COUNT(AI196:AV196)&lt;2),"",LOOKUP(2,1/(AI196:AV196&lt;&gt;""),AI196:AV196)-MIN(AI196:AV196))</t>
        </is>
      </c>
      <c r="AF196" s="39" t="inlineStr">
        <is>
          <t>IF(OR(AD196="",AC196="Not started",AC196=""),"",IFERROR(AD196-IF(VLOOKUP(AC196,'06_Status_Pipeline'!$B$3:$E$20,4,FALSE)="",0,VLOOKUP(AC196,'06_Status_Pipeline'!$B$3:$E$20,4,FALSE)),""))</t>
        </is>
      </c>
      <c r="AG196" s="32" t="inlineStr">
        <is>
          <t>IF(F196="","",IF(OR(AA196="Cancelled",AC196="Cancelled"),"Cancelled",IF(OR(AC196="Completed / Handover",Y196&lt;&gt;"",Z196&gt;=100),"Completed — on track",IF(O196="Not awarded",IF(U196="",IF(X196="","No planned date",IF(TODAY()&gt;X196,"Behind — past planned date",IF(X196-TODAY()&lt;=30,"At risk — close to off track","On track"))),IF(TODAY()&gt;U196,"Behind — award date passed",IF(U196-TODAY()&lt;=30,"At risk — close to off track","On track"))),IF(X196="","No planned date",IF(AND(TODAY()&gt;X196,OR(Z196="",Z196&lt;100)),"Behind — past end date",IF(AND(T196&lt;&gt;"",X196&lt;&gt;"",Z196&lt;&gt;"",(Z196&lt;100),((TODAY()-T196)/MAX(X196-T196,1)*100)-Z196&gt;15),"Behind — progress lag",IF(AND(X196-TODAY()&lt;=30,X196-TODAY()&gt;=0,OR(Z196="",Z196&lt;90)),"At risk — close to off track","On track"))))))))</t>
        </is>
      </c>
      <c r="AH196" s="39" t="inlineStr">
        <is>
          <t>IF(OR(F196="",AC196="Completed / Handover",AC196="Cancelled"),"",IF(O196="Not awarded",IF(U196&lt;&gt;"",U196-TODAY(),IF(X196="","",X196-TODAY())),IF(X196="","",X196-TODAY())))</t>
        </is>
      </c>
      <c r="AI196" s="66" t="n"/>
      <c r="AJ196" s="66" t="n"/>
      <c r="AK196" s="66" t="n"/>
      <c r="AL196" s="66" t="n"/>
      <c r="AM196" s="66" t="n"/>
      <c r="AN196" s="66" t="n"/>
      <c r="AO196" s="66" t="n"/>
      <c r="AP196" s="66" t="n"/>
      <c r="AQ196" s="66" t="n">
        <v>46037</v>
      </c>
      <c r="AR196" s="66" t="n">
        <v>46037</v>
      </c>
      <c r="AS196" s="66" t="n"/>
      <c r="AT196" s="40" t="n"/>
      <c r="AU196" s="40" t="n"/>
      <c r="AV196" s="40" t="n"/>
      <c r="AW196" s="39" t="inlineStr">
        <is>
          <t>IF(OR(F196="",AJ196=""),"",IF(COUNT(AI196:AI196)=0,"",AJ196-LOOKUP(2,1/(AI196:AI196&lt;&gt;""),AI196:AI196)))</t>
        </is>
      </c>
      <c r="AX196" s="39" t="inlineStr">
        <is>
          <t>IF(OR(F196="",AK196=""),"",IF(COUNT(AI196:AJ196)=0,"",AK196-LOOKUP(2,1/(AI196:AJ196&lt;&gt;""),AI196:AJ196)))</t>
        </is>
      </c>
      <c r="AY196" s="39" t="inlineStr">
        <is>
          <t>IF(OR(F196="",AL196=""),"",IF(COUNT(AI196:AK196)=0,"",AL196-LOOKUP(2,1/(AI196:AK196&lt;&gt;""),AI196:AK196)))</t>
        </is>
      </c>
      <c r="AZ196" s="39" t="inlineStr">
        <is>
          <t>IF(OR(F196="",AM196=""),"",IF(COUNT(AI196:AL196)=0,"",AM196-LOOKUP(2,1/(AI196:AL196&lt;&gt;""),AI196:AL196)))</t>
        </is>
      </c>
      <c r="BA196" s="39" t="inlineStr">
        <is>
          <t>IF(OR(F196="",AN196=""),"",IF(COUNT(AI196:AM196)=0,"",AN196-LOOKUP(2,1/(AI196:AM196&lt;&gt;""),AI196:AM196)))</t>
        </is>
      </c>
      <c r="BB196" s="39" t="inlineStr">
        <is>
          <t>IF(OR(F196="",AO196=""),"",IF(COUNT(AI196:AN196)=0,"",AO196-LOOKUP(2,1/(AI196:AN196&lt;&gt;""),AI196:AN196)))</t>
        </is>
      </c>
      <c r="BC196" s="39" t="inlineStr">
        <is>
          <t>IF(OR(F196="",AP196=""),"",IF(COUNT(AI196:AO196)=0,"",AP196-LOOKUP(2,1/(AI196:AO196&lt;&gt;""),AI196:AO196)))</t>
        </is>
      </c>
      <c r="BD196" s="39" t="inlineStr">
        <is>
          <t>IF(OR(F196="",AQ196=""),"",IF(COUNT(AI196:AP196)=0,"",AQ196-LOOKUP(2,1/(AI196:AP196&lt;&gt;""),AI196:AP196)))</t>
        </is>
      </c>
      <c r="BE196" s="39" t="inlineStr">
        <is>
          <t>IF(OR(F196="",AR196=""),"",IF(COUNT(AI196:AQ196)=0,"",AR196-LOOKUP(2,1/(AI196:AQ196&lt;&gt;""),AI196:AQ196)))</t>
        </is>
      </c>
      <c r="BF196" s="39" t="inlineStr">
        <is>
          <t>IF(OR(F196="",AS196=""),"",IF(COUNT(AI196:AR196)=0,"",AS196-LOOKUP(2,1/(AI196:AR196&lt;&gt;""),AI196:AR196)))</t>
        </is>
      </c>
      <c r="BG196" s="39" t="inlineStr">
        <is>
          <t>IF(OR(F196="",AT196=""),"",IF(COUNT(AI196:AS196)=0,"",AT196-LOOKUP(2,1/(AI196:AS196&lt;&gt;""),AI196:AS196)))</t>
        </is>
      </c>
      <c r="BH196" s="39" t="inlineStr">
        <is>
          <t>IF(OR(F196="",AU196=""),"",IF(COUNT(AI196:AT196)=0,"",AU196-LOOKUP(2,1/(AI196:AT196&lt;&gt;""),AI196:AT196)))</t>
        </is>
      </c>
      <c r="BI196" s="39" t="inlineStr">
        <is>
          <t>IF(OR(F196="",AV196=""),"",IF(COUNT(AI196:AU196)=0,"",AV196-LOOKUP(2,1/(AI196:AU196&lt;&gt;""),AI196:AU196)))</t>
        </is>
      </c>
      <c r="BJ196" s="41" t="inlineStr">
        <is>
          <t>IF(J196="","All_Provinces",IFERROR(VLOOKUP(J196,'09_Lookups'!$A$4:$B$20,2,FALSE),"All_Provinces"))</t>
        </is>
      </c>
      <c r="BK196" s="41" t="inlineStr">
        <is>
          <t>IF(K196="","All_Districts",IFERROR(VLOOKUP(K196,'09_Lookups'!$E$4:$F$42,2,FALSE),"All_Districts"))</t>
        </is>
      </c>
    </row>
    <row r="197" outlineLevel="1" ht="18" customHeight="1">
      <c r="A197" s="42" t="inlineStr">
        <is>
          <t>IF(F197="","",ROW()-3)</t>
        </is>
      </c>
      <c r="B197" s="63" t="inlineStr">
        <is>
          <t>AF2-IS-33</t>
        </is>
      </c>
      <c r="C197" s="63" t="inlineStr">
        <is>
          <t>Package #33-AF2 IS: Rehabilitation of Chela Mazar canal and Kushkak canal irrigation schemes, located in Dara-e- Suf-e-Bala and Dara-e-Suf-e-Payeen districts of Samangan province.</t>
        </is>
      </c>
      <c r="D197" s="63" t="inlineStr">
        <is>
          <t>2 of 2</t>
        </is>
      </c>
      <c r="E197" s="44" t="inlineStr">
        <is>
          <t>AF2-IS-A-034</t>
        </is>
      </c>
      <c r="F197" s="44" t="inlineStr">
        <is>
          <t>Kushkak Canal Irrigation scheme</t>
        </is>
      </c>
      <c r="G197" s="44" t="inlineStr">
        <is>
          <t>Irrigation Scheme</t>
        </is>
      </c>
      <c r="H197" s="44" t="inlineStr">
        <is>
          <t>Irrigation Canal</t>
        </is>
      </c>
      <c r="I197" s="44" t="inlineStr">
        <is>
          <t>Emergency Food Security Project (EFSP) – WBK/AF-2</t>
        </is>
      </c>
      <c r="J197" s="44" t="inlineStr">
        <is>
          <t>North / Mazar</t>
        </is>
      </c>
      <c r="K197" s="44" t="inlineStr">
        <is>
          <t>Samangan</t>
        </is>
      </c>
      <c r="L197" s="44" t="inlineStr">
        <is>
          <t>Dara-e- Suf-e-Bala</t>
        </is>
      </c>
      <c r="M197" s="44" t="inlineStr">
        <is>
          <t>Kushkak</t>
        </is>
      </c>
      <c r="N197" s="44" t="inlineStr">
        <is>
          <t>World Bank (WBK/AF-2)</t>
        </is>
      </c>
      <c r="O197" s="44" t="inlineStr">
        <is>
          <t>Awarded</t>
        </is>
      </c>
      <c r="P197" s="44" t="inlineStr">
        <is>
          <t>1.Awarded contracts_On&amp;off-farm</t>
        </is>
      </c>
      <c r="Q197" s="44" t="inlineStr">
        <is>
          <t>AFGHAN LUCKY CONSTRUCTION COMPANY (ALCC)</t>
        </is>
      </c>
      <c r="R197" s="44" t="inlineStr">
        <is>
          <t>003/2026</t>
        </is>
      </c>
      <c r="S197" s="45" t="n">
        <v>140859.94</v>
      </c>
      <c r="T197" s="46" t="inlineStr">
        <is>
          <t>IF(AQ197="","",AQ197)</t>
        </is>
      </c>
      <c r="U197" s="47" t="n"/>
      <c r="V197" s="48" t="n">
        <v>11</v>
      </c>
      <c r="W197" s="47" t="n">
        <v>46370</v>
      </c>
      <c r="X197" s="46" t="inlineStr">
        <is>
          <t>IF(W197&lt;&gt;"",W197,IF(OR(T197="",V197=""),"",EDATE(T197,V197)))</t>
        </is>
      </c>
      <c r="Y197" s="47" t="n"/>
      <c r="Z197" s="48" t="n">
        <v>67</v>
      </c>
      <c r="AA197" s="44" t="inlineStr">
        <is>
          <t>Under Construction</t>
        </is>
      </c>
      <c r="AB197" s="44" t="inlineStr">
        <is>
          <t>one scheme will be completed by Dec. 2026 and other scheme to be completed by June 2027 after NCE</t>
        </is>
      </c>
      <c r="AC197" s="42" t="inlineStr">
        <is>
          <t>IF(F197="","",IF(COUNT(AI197:AV197)=0,IF(AA197="","Not started",AA197),SUBSTITUTE(LOOKUP(2,1/(AI197:AV197&lt;&gt;""),$AI$3:$AV$3),"Date: ","")))</t>
        </is>
      </c>
      <c r="AD197" s="49" t="inlineStr">
        <is>
          <t>IF(OR(F197="",COUNT(AI197:AV197)=0),"",TODAY()-LOOKUP(2,1/(AI197:AV197&lt;&gt;""),AI197:AV197))</t>
        </is>
      </c>
      <c r="AE197" s="49" t="inlineStr">
        <is>
          <t>IF(OR(F197="",COUNT(AI197:AV197)&lt;2),"",LOOKUP(2,1/(AI197:AV197&lt;&gt;""),AI197:AV197)-MIN(AI197:AV197))</t>
        </is>
      </c>
      <c r="AF197" s="49" t="inlineStr">
        <is>
          <t>IF(OR(AD197="",AC197="Not started",AC197=""),"",IFERROR(AD197-IF(VLOOKUP(AC197,'06_Status_Pipeline'!$B$3:$E$20,4,FALSE)="",0,VLOOKUP(AC197,'06_Status_Pipeline'!$B$3:$E$20,4,FALSE)),""))</t>
        </is>
      </c>
      <c r="AG197" s="42" t="inlineStr">
        <is>
          <t>IF(F197="","",IF(OR(AA197="Cancelled",AC197="Cancelled"),"Cancelled",IF(OR(AC197="Completed / Handover",Y197&lt;&gt;"",Z197&gt;=100),"Completed — on track",IF(O197="Not awarded",IF(U197="",IF(X197="","No planned date",IF(TODAY()&gt;X197,"Behind — past planned date",IF(X197-TODAY()&lt;=30,"At risk — close to off track","On track"))),IF(TODAY()&gt;U197,"Behind — award date passed",IF(U197-TODAY()&lt;=30,"At risk — close to off track","On track"))),IF(X197="","No planned date",IF(AND(TODAY()&gt;X197,OR(Z197="",Z197&lt;100)),"Behind — past end date",IF(AND(T197&lt;&gt;"",X197&lt;&gt;"",Z197&lt;&gt;"",(Z197&lt;100),((TODAY()-T197)/MAX(X197-T197,1)*100)-Z197&gt;15),"Behind — progress lag",IF(AND(X197-TODAY()&lt;=30,X197-TODAY()&gt;=0,OR(Z197="",Z197&lt;90)),"At risk — close to off track","On track"))))))))</t>
        </is>
      </c>
      <c r="AH197" s="49" t="inlineStr">
        <is>
          <t>IF(OR(F197="",AC197="Completed / Handover",AC197="Cancelled"),"",IF(O197="Not awarded",IF(U197&lt;&gt;"",U197-TODAY(),IF(X197="","",X197-TODAY())),IF(X197="","",X197-TODAY())))</t>
        </is>
      </c>
      <c r="AI197" s="67" t="n"/>
      <c r="AJ197" s="67" t="n"/>
      <c r="AK197" s="67" t="n"/>
      <c r="AL197" s="67" t="n"/>
      <c r="AM197" s="67" t="n"/>
      <c r="AN197" s="67" t="n"/>
      <c r="AO197" s="67" t="n"/>
      <c r="AP197" s="67" t="n"/>
      <c r="AQ197" s="67" t="n">
        <v>46037</v>
      </c>
      <c r="AR197" s="67" t="n">
        <v>46037</v>
      </c>
      <c r="AS197" s="67" t="n"/>
      <c r="AT197" s="50" t="n"/>
      <c r="AU197" s="50" t="n"/>
      <c r="AV197" s="50" t="n"/>
      <c r="AW197" s="49" t="inlineStr">
        <is>
          <t>IF(OR(F197="",AJ197=""),"",IF(COUNT(AI197:AI197)=0,"",AJ197-LOOKUP(2,1/(AI197:AI197&lt;&gt;""),AI197:AI197)))</t>
        </is>
      </c>
      <c r="AX197" s="49" t="inlineStr">
        <is>
          <t>IF(OR(F197="",AK197=""),"",IF(COUNT(AI197:AJ197)=0,"",AK197-LOOKUP(2,1/(AI197:AJ197&lt;&gt;""),AI197:AJ197)))</t>
        </is>
      </c>
      <c r="AY197" s="49" t="inlineStr">
        <is>
          <t>IF(OR(F197="",AL197=""),"",IF(COUNT(AI197:AK197)=0,"",AL197-LOOKUP(2,1/(AI197:AK197&lt;&gt;""),AI197:AK197)))</t>
        </is>
      </c>
      <c r="AZ197" s="49" t="inlineStr">
        <is>
          <t>IF(OR(F197="",AM197=""),"",IF(COUNT(AI197:AL197)=0,"",AM197-LOOKUP(2,1/(AI197:AL197&lt;&gt;""),AI197:AL197)))</t>
        </is>
      </c>
      <c r="BA197" s="49" t="inlineStr">
        <is>
          <t>IF(OR(F197="",AN197=""),"",IF(COUNT(AI197:AM197)=0,"",AN197-LOOKUP(2,1/(AI197:AM197&lt;&gt;""),AI197:AM197)))</t>
        </is>
      </c>
      <c r="BB197" s="49" t="inlineStr">
        <is>
          <t>IF(OR(F197="",AO197=""),"",IF(COUNT(AI197:AN197)=0,"",AO197-LOOKUP(2,1/(AI197:AN197&lt;&gt;""),AI197:AN197)))</t>
        </is>
      </c>
      <c r="BC197" s="49" t="inlineStr">
        <is>
          <t>IF(OR(F197="",AP197=""),"",IF(COUNT(AI197:AO197)=0,"",AP197-LOOKUP(2,1/(AI197:AO197&lt;&gt;""),AI197:AO197)))</t>
        </is>
      </c>
      <c r="BD197" s="49" t="inlineStr">
        <is>
          <t>IF(OR(F197="",AQ197=""),"",IF(COUNT(AI197:AP197)=0,"",AQ197-LOOKUP(2,1/(AI197:AP197&lt;&gt;""),AI197:AP197)))</t>
        </is>
      </c>
      <c r="BE197" s="49" t="inlineStr">
        <is>
          <t>IF(OR(F197="",AR197=""),"",IF(COUNT(AI197:AQ197)=0,"",AR197-LOOKUP(2,1/(AI197:AQ197&lt;&gt;""),AI197:AQ197)))</t>
        </is>
      </c>
      <c r="BF197" s="49" t="inlineStr">
        <is>
          <t>IF(OR(F197="",AS197=""),"",IF(COUNT(AI197:AR197)=0,"",AS197-LOOKUP(2,1/(AI197:AR197&lt;&gt;""),AI197:AR197)))</t>
        </is>
      </c>
      <c r="BG197" s="49" t="inlineStr">
        <is>
          <t>IF(OR(F197="",AT197=""),"",IF(COUNT(AI197:AS197)=0,"",AT197-LOOKUP(2,1/(AI197:AS197&lt;&gt;""),AI197:AS197)))</t>
        </is>
      </c>
      <c r="BH197" s="49" t="inlineStr">
        <is>
          <t>IF(OR(F197="",AU197=""),"",IF(COUNT(AI197:AT197)=0,"",AU197-LOOKUP(2,1/(AI197:AT197&lt;&gt;""),AI197:AT197)))</t>
        </is>
      </c>
      <c r="BI197" s="49" t="inlineStr">
        <is>
          <t>IF(OR(F197="",AV197=""),"",IF(COUNT(AI197:AU197)=0,"",AV197-LOOKUP(2,1/(AI197:AU197&lt;&gt;""),AI197:AU197)))</t>
        </is>
      </c>
      <c r="BJ197" s="51" t="inlineStr">
        <is>
          <t>IF(J197="","All_Provinces",IFERROR(VLOOKUP(J197,'09_Lookups'!$A$4:$B$20,2,FALSE),"All_Provinces"))</t>
        </is>
      </c>
      <c r="BK197" s="51" t="inlineStr">
        <is>
          <t>IF(K197="","All_Districts",IFERROR(VLOOKUP(K197,'09_Lookups'!$E$4:$F$42,2,FALSE),"All_Districts"))</t>
        </is>
      </c>
    </row>
    <row r="198" ht="18" customHeight="1">
      <c r="A198" s="32" t="inlineStr">
        <is>
          <t>IF(F198="","",ROW()-3)</t>
        </is>
      </c>
      <c r="B198" s="64" t="inlineStr">
        <is>
          <t>AF2-IS-34</t>
        </is>
      </c>
      <c r="C198" s="64" t="inlineStr">
        <is>
          <t>Package #34-AF2 IS: Rehabilitation of Hashtman canal and Qashqasai canal irrigation schemes, located in Qaisar district of Faryab province.</t>
        </is>
      </c>
      <c r="D198" s="64" t="inlineStr">
        <is>
          <t>1 of 2</t>
        </is>
      </c>
      <c r="E198" s="34" t="inlineStr">
        <is>
          <t>AF2-IS-N-022</t>
        </is>
      </c>
      <c r="F198" s="34" t="inlineStr">
        <is>
          <t>Hashtman Canal Irrigation scheme</t>
        </is>
      </c>
      <c r="G198" s="34" t="inlineStr">
        <is>
          <t>Irrigation Scheme</t>
        </is>
      </c>
      <c r="H198" s="34" t="inlineStr">
        <is>
          <t>Irrigation Canal</t>
        </is>
      </c>
      <c r="I198" s="34" t="inlineStr">
        <is>
          <t>Emergency Food Security Project (EFSP) – WBK/AF-2</t>
        </is>
      </c>
      <c r="J198" s="34" t="inlineStr">
        <is>
          <t>Central Highland / Bamyan</t>
        </is>
      </c>
      <c r="K198" s="34" t="inlineStr">
        <is>
          <t>Faryab</t>
        </is>
      </c>
      <c r="L198" s="34" t="inlineStr">
        <is>
          <t>Qaisar</t>
        </is>
      </c>
      <c r="M198" s="34" t="inlineStr">
        <is>
          <t>Chechakto Majnon and Payan Guzar</t>
        </is>
      </c>
      <c r="N198" s="34" t="inlineStr">
        <is>
          <t>World Bank (WBK/AF-2)</t>
        </is>
      </c>
      <c r="O198" s="34" t="inlineStr">
        <is>
          <t>Not awarded</t>
        </is>
      </c>
      <c r="P198" s="34" t="inlineStr">
        <is>
          <t>2.Remain contracts_On&amp;off-farm</t>
        </is>
      </c>
      <c r="Q198" s="34" t="inlineStr"/>
      <c r="R198" s="34" t="inlineStr"/>
      <c r="S198" s="35" t="n">
        <v>397007.86</v>
      </c>
      <c r="T198" s="36" t="inlineStr">
        <is>
          <t>IF(AQ198="","",AQ198)</t>
        </is>
      </c>
      <c r="U198" s="37" t="n">
        <v>46386</v>
      </c>
      <c r="V198" s="38" t="n">
        <v>9.199999999999999</v>
      </c>
      <c r="W198" s="37" t="n">
        <v>46666</v>
      </c>
      <c r="X198" s="36" t="inlineStr">
        <is>
          <t>IF(W198&lt;&gt;"",W198,IF(OR(T198="",V198=""),"",EDATE(T198,V198)))</t>
        </is>
      </c>
      <c r="Y198" s="37" t="n"/>
      <c r="Z198" s="38" t="n"/>
      <c r="AA198" s="34" t="inlineStr">
        <is>
          <t>ITB Launched</t>
        </is>
      </c>
      <c r="AB198" s="34" t="inlineStr">
        <is>
          <t>Three months slack period Jan-Mar during winter. Seven months construction period required for two canals</t>
        </is>
      </c>
      <c r="AC198" s="32" t="inlineStr">
        <is>
          <t>IF(F198="","",IF(COUNT(AI198:AV198)=0,IF(AA198="","Not started",AA198),SUBSTITUTE(LOOKUP(2,1/(AI198:AV198&lt;&gt;""),$AI$3:$AV$3),"Date: ","")))</t>
        </is>
      </c>
      <c r="AD198" s="39" t="inlineStr">
        <is>
          <t>IF(OR(F198="",COUNT(AI198:AV198)=0),"",TODAY()-LOOKUP(2,1/(AI198:AV198&lt;&gt;""),AI198:AV198))</t>
        </is>
      </c>
      <c r="AE198" s="39" t="inlineStr">
        <is>
          <t>IF(OR(F198="",COUNT(AI198:AV198)&lt;2),"",LOOKUP(2,1/(AI198:AV198&lt;&gt;""),AI198:AV198)-MIN(AI198:AV198))</t>
        </is>
      </c>
      <c r="AF198" s="39" t="inlineStr">
        <is>
          <t>IF(OR(AD198="",AC198="Not started",AC198=""),"",IFERROR(AD198-IF(VLOOKUP(AC198,'06_Status_Pipeline'!$B$3:$E$20,4,FALSE)="",0,VLOOKUP(AC198,'06_Status_Pipeline'!$B$3:$E$20,4,FALSE)),""))</t>
        </is>
      </c>
      <c r="AG198" s="32" t="inlineStr">
        <is>
          <t>IF(F198="","",IF(OR(AA198="Cancelled",AC198="Cancelled"),"Cancelled",IF(OR(AC198="Completed / Handover",Y198&lt;&gt;"",Z198&gt;=100),"Completed — on track",IF(O198="Not awarded",IF(U198="",IF(X198="","No planned date",IF(TODAY()&gt;X198,"Behind — past planned date",IF(X198-TODAY()&lt;=30,"At risk — close to off track","On track"))),IF(TODAY()&gt;U198,"Behind — award date passed",IF(U198-TODAY()&lt;=30,"At risk — close to off track","On track"))),IF(X198="","No planned date",IF(AND(TODAY()&gt;X198,OR(Z198="",Z198&lt;100)),"Behind — past end date",IF(AND(T198&lt;&gt;"",X198&lt;&gt;"",Z198&lt;&gt;"",(Z198&lt;100),((TODAY()-T198)/MAX(X198-T198,1)*100)-Z198&gt;15),"Behind — progress lag",IF(AND(X198-TODAY()&lt;=30,X198-TODAY()&gt;=0,OR(Z198="",Z198&lt;90)),"At risk — close to off track","On track"))))))))</t>
        </is>
      </c>
      <c r="AH198" s="39" t="inlineStr">
        <is>
          <t>IF(OR(F198="",AC198="Completed / Handover",AC198="Cancelled"),"",IF(O198="Not awarded",IF(U198&lt;&gt;"",U198-TODAY(),IF(X198="","",X198-TODAY())),IF(X198="","",X198-TODAY())))</t>
        </is>
      </c>
      <c r="AI198" s="37" t="n"/>
      <c r="AJ198" s="37" t="n"/>
      <c r="AK198" s="37" t="n"/>
      <c r="AL198" s="37" t="n"/>
      <c r="AM198" s="37" t="n"/>
      <c r="AN198" s="37" t="n"/>
      <c r="AO198" s="37" t="n"/>
      <c r="AP198" s="37" t="n"/>
      <c r="AQ198" s="37" t="n"/>
      <c r="AR198" s="37" t="n"/>
      <c r="AS198" s="37" t="n"/>
      <c r="AT198" s="40" t="n"/>
      <c r="AU198" s="40" t="n"/>
      <c r="AV198" s="40" t="n"/>
      <c r="AW198" s="39" t="inlineStr">
        <is>
          <t>IF(OR(F198="",AJ198=""),"",IF(COUNT(AI198:AI198)=0,"",AJ198-LOOKUP(2,1/(AI198:AI198&lt;&gt;""),AI198:AI198)))</t>
        </is>
      </c>
      <c r="AX198" s="39" t="inlineStr">
        <is>
          <t>IF(OR(F198="",AK198=""),"",IF(COUNT(AI198:AJ198)=0,"",AK198-LOOKUP(2,1/(AI198:AJ198&lt;&gt;""),AI198:AJ198)))</t>
        </is>
      </c>
      <c r="AY198" s="39" t="inlineStr">
        <is>
          <t>IF(OR(F198="",AL198=""),"",IF(COUNT(AI198:AK198)=0,"",AL198-LOOKUP(2,1/(AI198:AK198&lt;&gt;""),AI198:AK198)))</t>
        </is>
      </c>
      <c r="AZ198" s="39" t="inlineStr">
        <is>
          <t>IF(OR(F198="",AM198=""),"",IF(COUNT(AI198:AL198)=0,"",AM198-LOOKUP(2,1/(AI198:AL198&lt;&gt;""),AI198:AL198)))</t>
        </is>
      </c>
      <c r="BA198" s="39" t="inlineStr">
        <is>
          <t>IF(OR(F198="",AN198=""),"",IF(COUNT(AI198:AM198)=0,"",AN198-LOOKUP(2,1/(AI198:AM198&lt;&gt;""),AI198:AM198)))</t>
        </is>
      </c>
      <c r="BB198" s="39" t="inlineStr">
        <is>
          <t>IF(OR(F198="",AO198=""),"",IF(COUNT(AI198:AN198)=0,"",AO198-LOOKUP(2,1/(AI198:AN198&lt;&gt;""),AI198:AN198)))</t>
        </is>
      </c>
      <c r="BC198" s="39" t="inlineStr">
        <is>
          <t>IF(OR(F198="",AP198=""),"",IF(COUNT(AI198:AO198)=0,"",AP198-LOOKUP(2,1/(AI198:AO198&lt;&gt;""),AI198:AO198)))</t>
        </is>
      </c>
      <c r="BD198" s="39" t="inlineStr">
        <is>
          <t>IF(OR(F198="",AQ198=""),"",IF(COUNT(AI198:AP198)=0,"",AQ198-LOOKUP(2,1/(AI198:AP198&lt;&gt;""),AI198:AP198)))</t>
        </is>
      </c>
      <c r="BE198" s="39" t="inlineStr">
        <is>
          <t>IF(OR(F198="",AR198=""),"",IF(COUNT(AI198:AQ198)=0,"",AR198-LOOKUP(2,1/(AI198:AQ198&lt;&gt;""),AI198:AQ198)))</t>
        </is>
      </c>
      <c r="BF198" s="39" t="inlineStr">
        <is>
          <t>IF(OR(F198="",AS198=""),"",IF(COUNT(AI198:AR198)=0,"",AS198-LOOKUP(2,1/(AI198:AR198&lt;&gt;""),AI198:AR198)))</t>
        </is>
      </c>
      <c r="BG198" s="39" t="inlineStr">
        <is>
          <t>IF(OR(F198="",AT198=""),"",IF(COUNT(AI198:AS198)=0,"",AT198-LOOKUP(2,1/(AI198:AS198&lt;&gt;""),AI198:AS198)))</t>
        </is>
      </c>
      <c r="BH198" s="39" t="inlineStr">
        <is>
          <t>IF(OR(F198="",AU198=""),"",IF(COUNT(AI198:AT198)=0,"",AU198-LOOKUP(2,1/(AI198:AT198&lt;&gt;""),AI198:AT198)))</t>
        </is>
      </c>
      <c r="BI198" s="39" t="inlineStr">
        <is>
          <t>IF(OR(F198="",AV198=""),"",IF(COUNT(AI198:AU198)=0,"",AV198-LOOKUP(2,1/(AI198:AU198&lt;&gt;""),AI198:AU198)))</t>
        </is>
      </c>
      <c r="BJ198" s="41" t="inlineStr">
        <is>
          <t>IF(J198="","All_Provinces",IFERROR(VLOOKUP(J198,'09_Lookups'!$A$4:$B$20,2,FALSE),"All_Provinces"))</t>
        </is>
      </c>
      <c r="BK198" s="41" t="inlineStr">
        <is>
          <t>IF(K198="","All_Districts",IFERROR(VLOOKUP(K198,'09_Lookups'!$E$4:$F$42,2,FALSE),"All_Districts"))</t>
        </is>
      </c>
    </row>
    <row r="199" outlineLevel="1" ht="18" customHeight="1">
      <c r="A199" s="42" t="inlineStr">
        <is>
          <t>IF(F199="","",ROW()-3)</t>
        </is>
      </c>
      <c r="B199" s="65" t="inlineStr">
        <is>
          <t>AF2-IS-34</t>
        </is>
      </c>
      <c r="C199" s="65" t="inlineStr">
        <is>
          <t>Package #34-AF2 IS: Rehabilitation of Hashtman canal and Qashqasai canal irrigation schemes, located in Qaisar district of Faryab province.</t>
        </is>
      </c>
      <c r="D199" s="65" t="inlineStr">
        <is>
          <t>2 of 2</t>
        </is>
      </c>
      <c r="E199" s="44" t="inlineStr">
        <is>
          <t>AF2-IS-N-023</t>
        </is>
      </c>
      <c r="F199" s="44" t="inlineStr">
        <is>
          <t>Qashqasai Canal Irrigation scheme</t>
        </is>
      </c>
      <c r="G199" s="44" t="inlineStr">
        <is>
          <t>Irrigation Scheme</t>
        </is>
      </c>
      <c r="H199" s="44" t="inlineStr">
        <is>
          <t>Irrigation Canal</t>
        </is>
      </c>
      <c r="I199" s="44" t="inlineStr">
        <is>
          <t>Emergency Food Security Project (EFSP) – WBK/AF-2</t>
        </is>
      </c>
      <c r="J199" s="44" t="inlineStr">
        <is>
          <t>Central Highland / Bamyan</t>
        </is>
      </c>
      <c r="K199" s="44" t="inlineStr">
        <is>
          <t>Faryab</t>
        </is>
      </c>
      <c r="L199" s="44" t="inlineStr">
        <is>
          <t>Qaisar</t>
        </is>
      </c>
      <c r="M199" s="44" t="inlineStr">
        <is>
          <t>Yaka Bagh, Kham badal, Pacha Khor, and Borghan Erak.</t>
        </is>
      </c>
      <c r="N199" s="44" t="inlineStr">
        <is>
          <t>World Bank (WBK/AF-2)</t>
        </is>
      </c>
      <c r="O199" s="44" t="inlineStr">
        <is>
          <t>Not awarded</t>
        </is>
      </c>
      <c r="P199" s="44" t="inlineStr">
        <is>
          <t>2.Remain contracts_On&amp;off-farm</t>
        </is>
      </c>
      <c r="Q199" s="44" t="inlineStr"/>
      <c r="R199" s="44" t="inlineStr"/>
      <c r="S199" s="45" t="n">
        <v>397007.86</v>
      </c>
      <c r="T199" s="46" t="inlineStr">
        <is>
          <t>IF(AQ199="","",AQ199)</t>
        </is>
      </c>
      <c r="U199" s="47" t="n">
        <v>46386</v>
      </c>
      <c r="V199" s="48" t="n">
        <v>9.199999999999999</v>
      </c>
      <c r="W199" s="47" t="n">
        <v>46666</v>
      </c>
      <c r="X199" s="46" t="inlineStr">
        <is>
          <t>IF(W199&lt;&gt;"",W199,IF(OR(T199="",V199=""),"",EDATE(T199,V199)))</t>
        </is>
      </c>
      <c r="Y199" s="47" t="n"/>
      <c r="Z199" s="48" t="n"/>
      <c r="AA199" s="44" t="inlineStr">
        <is>
          <t>ITB Launched</t>
        </is>
      </c>
      <c r="AB199" s="44" t="inlineStr">
        <is>
          <t>Three months slack period Jan-Mar during winter. Seven months construction period required for two canals</t>
        </is>
      </c>
      <c r="AC199" s="42" t="inlineStr">
        <is>
          <t>IF(F199="","",IF(COUNT(AI199:AV199)=0,IF(AA199="","Not started",AA199),SUBSTITUTE(LOOKUP(2,1/(AI199:AV199&lt;&gt;""),$AI$3:$AV$3),"Date: ","")))</t>
        </is>
      </c>
      <c r="AD199" s="49" t="inlineStr">
        <is>
          <t>IF(OR(F199="",COUNT(AI199:AV199)=0),"",TODAY()-LOOKUP(2,1/(AI199:AV199&lt;&gt;""),AI199:AV199))</t>
        </is>
      </c>
      <c r="AE199" s="49" t="inlineStr">
        <is>
          <t>IF(OR(F199="",COUNT(AI199:AV199)&lt;2),"",LOOKUP(2,1/(AI199:AV199&lt;&gt;""),AI199:AV199)-MIN(AI199:AV199))</t>
        </is>
      </c>
      <c r="AF199" s="49" t="inlineStr">
        <is>
          <t>IF(OR(AD199="",AC199="Not started",AC199=""),"",IFERROR(AD199-IF(VLOOKUP(AC199,'06_Status_Pipeline'!$B$3:$E$20,4,FALSE)="",0,VLOOKUP(AC199,'06_Status_Pipeline'!$B$3:$E$20,4,FALSE)),""))</t>
        </is>
      </c>
      <c r="AG199" s="42" t="inlineStr">
        <is>
          <t>IF(F199="","",IF(OR(AA199="Cancelled",AC199="Cancelled"),"Cancelled",IF(OR(AC199="Completed / Handover",Y199&lt;&gt;"",Z199&gt;=100),"Completed — on track",IF(O199="Not awarded",IF(U199="",IF(X199="","No planned date",IF(TODAY()&gt;X199,"Behind — past planned date",IF(X199-TODAY()&lt;=30,"At risk — close to off track","On track"))),IF(TODAY()&gt;U199,"Behind — award date passed",IF(U199-TODAY()&lt;=30,"At risk — close to off track","On track"))),IF(X199="","No planned date",IF(AND(TODAY()&gt;X199,OR(Z199="",Z199&lt;100)),"Behind — past end date",IF(AND(T199&lt;&gt;"",X199&lt;&gt;"",Z199&lt;&gt;"",(Z199&lt;100),((TODAY()-T199)/MAX(X199-T199,1)*100)-Z199&gt;15),"Behind — progress lag",IF(AND(X199-TODAY()&lt;=30,X199-TODAY()&gt;=0,OR(Z199="",Z199&lt;90)),"At risk — close to off track","On track"))))))))</t>
        </is>
      </c>
      <c r="AH199" s="49" t="inlineStr">
        <is>
          <t>IF(OR(F199="",AC199="Completed / Handover",AC199="Cancelled"),"",IF(O199="Not awarded",IF(U199&lt;&gt;"",U199-TODAY(),IF(X199="","",X199-TODAY())),IF(X199="","",X199-TODAY())))</t>
        </is>
      </c>
      <c r="AI199" s="47" t="n"/>
      <c r="AJ199" s="47" t="n"/>
      <c r="AK199" s="47" t="n"/>
      <c r="AL199" s="47" t="n"/>
      <c r="AM199" s="47" t="n"/>
      <c r="AN199" s="47" t="n"/>
      <c r="AO199" s="47" t="n"/>
      <c r="AP199" s="47" t="n"/>
      <c r="AQ199" s="47" t="n"/>
      <c r="AR199" s="47" t="n"/>
      <c r="AS199" s="47" t="n"/>
      <c r="AT199" s="50" t="n"/>
      <c r="AU199" s="50" t="n"/>
      <c r="AV199" s="50" t="n"/>
      <c r="AW199" s="49" t="inlineStr">
        <is>
          <t>IF(OR(F199="",AJ199=""),"",IF(COUNT(AI199:AI199)=0,"",AJ199-LOOKUP(2,1/(AI199:AI199&lt;&gt;""),AI199:AI199)))</t>
        </is>
      </c>
      <c r="AX199" s="49" t="inlineStr">
        <is>
          <t>IF(OR(F199="",AK199=""),"",IF(COUNT(AI199:AJ199)=0,"",AK199-LOOKUP(2,1/(AI199:AJ199&lt;&gt;""),AI199:AJ199)))</t>
        </is>
      </c>
      <c r="AY199" s="49" t="inlineStr">
        <is>
          <t>IF(OR(F199="",AL199=""),"",IF(COUNT(AI199:AK199)=0,"",AL199-LOOKUP(2,1/(AI199:AK199&lt;&gt;""),AI199:AK199)))</t>
        </is>
      </c>
      <c r="AZ199" s="49" t="inlineStr">
        <is>
          <t>IF(OR(F199="",AM199=""),"",IF(COUNT(AI199:AL199)=0,"",AM199-LOOKUP(2,1/(AI199:AL199&lt;&gt;""),AI199:AL199)))</t>
        </is>
      </c>
      <c r="BA199" s="49" t="inlineStr">
        <is>
          <t>IF(OR(F199="",AN199=""),"",IF(COUNT(AI199:AM199)=0,"",AN199-LOOKUP(2,1/(AI199:AM199&lt;&gt;""),AI199:AM199)))</t>
        </is>
      </c>
      <c r="BB199" s="49" t="inlineStr">
        <is>
          <t>IF(OR(F199="",AO199=""),"",IF(COUNT(AI199:AN199)=0,"",AO199-LOOKUP(2,1/(AI199:AN199&lt;&gt;""),AI199:AN199)))</t>
        </is>
      </c>
      <c r="BC199" s="49" t="inlineStr">
        <is>
          <t>IF(OR(F199="",AP199=""),"",IF(COUNT(AI199:AO199)=0,"",AP199-LOOKUP(2,1/(AI199:AO199&lt;&gt;""),AI199:AO199)))</t>
        </is>
      </c>
      <c r="BD199" s="49" t="inlineStr">
        <is>
          <t>IF(OR(F199="",AQ199=""),"",IF(COUNT(AI199:AP199)=0,"",AQ199-LOOKUP(2,1/(AI199:AP199&lt;&gt;""),AI199:AP199)))</t>
        </is>
      </c>
      <c r="BE199" s="49" t="inlineStr">
        <is>
          <t>IF(OR(F199="",AR199=""),"",IF(COUNT(AI199:AQ199)=0,"",AR199-LOOKUP(2,1/(AI199:AQ199&lt;&gt;""),AI199:AQ199)))</t>
        </is>
      </c>
      <c r="BF199" s="49" t="inlineStr">
        <is>
          <t>IF(OR(F199="",AS199=""),"",IF(COUNT(AI199:AR199)=0,"",AS199-LOOKUP(2,1/(AI199:AR199&lt;&gt;""),AI199:AR199)))</t>
        </is>
      </c>
      <c r="BG199" s="49" t="inlineStr">
        <is>
          <t>IF(OR(F199="",AT199=""),"",IF(COUNT(AI199:AS199)=0,"",AT199-LOOKUP(2,1/(AI199:AS199&lt;&gt;""),AI199:AS199)))</t>
        </is>
      </c>
      <c r="BH199" s="49" t="inlineStr">
        <is>
          <t>IF(OR(F199="",AU199=""),"",IF(COUNT(AI199:AT199)=0,"",AU199-LOOKUP(2,1/(AI199:AT199&lt;&gt;""),AI199:AT199)))</t>
        </is>
      </c>
      <c r="BI199" s="49" t="inlineStr">
        <is>
          <t>IF(OR(F199="",AV199=""),"",IF(COUNT(AI199:AU199)=0,"",AV199-LOOKUP(2,1/(AI199:AU199&lt;&gt;""),AI199:AU199)))</t>
        </is>
      </c>
      <c r="BJ199" s="51" t="inlineStr">
        <is>
          <t>IF(J199="","All_Provinces",IFERROR(VLOOKUP(J199,'09_Lookups'!$A$4:$B$20,2,FALSE),"All_Provinces"))</t>
        </is>
      </c>
      <c r="BK199" s="51" t="inlineStr">
        <is>
          <t>IF(K199="","All_Districts",IFERROR(VLOOKUP(K199,'09_Lookups'!$E$4:$F$42,2,FALSE),"All_Districts"))</t>
        </is>
      </c>
    </row>
    <row r="200" ht="18" customHeight="1">
      <c r="A200" s="32" t="inlineStr">
        <is>
          <t>IF(F200="","",ROW()-3)</t>
        </is>
      </c>
      <c r="B200" s="33" t="inlineStr">
        <is>
          <t>AF2-IS-35</t>
        </is>
      </c>
      <c r="C200" s="33" t="inlineStr">
        <is>
          <t>Package # 35-AF2 IS: Rehabilitation of Bahr-e Ameq canal irrigation scheme, located in Sozma Qala districts of Sar-e-Pul province.</t>
        </is>
      </c>
      <c r="D200" s="33" t="inlineStr">
        <is>
          <t>1 of 1</t>
        </is>
      </c>
      <c r="E200" s="34" t="inlineStr">
        <is>
          <t>AF2-IS-A-035</t>
        </is>
      </c>
      <c r="F200" s="34" t="inlineStr">
        <is>
          <t>Bahr-e Ameq Canal Irrigation scheme</t>
        </is>
      </c>
      <c r="G200" s="34" t="inlineStr">
        <is>
          <t>Irrigation Scheme</t>
        </is>
      </c>
      <c r="H200" s="34" t="inlineStr">
        <is>
          <t>Irrigation Canal</t>
        </is>
      </c>
      <c r="I200" s="34" t="inlineStr">
        <is>
          <t>Emergency Food Security Project (EFSP) – WBK/AF-2</t>
        </is>
      </c>
      <c r="J200" s="34" t="inlineStr">
        <is>
          <t>North / Mazar</t>
        </is>
      </c>
      <c r="K200" s="34" t="inlineStr">
        <is>
          <t>Sar-e- Pul</t>
        </is>
      </c>
      <c r="L200" s="34" t="inlineStr">
        <is>
          <t>Sozma Qala</t>
        </is>
      </c>
      <c r="M200" s="34" t="inlineStr">
        <is>
          <t>Bahr-e Ameq</t>
        </is>
      </c>
      <c r="N200" s="34" t="inlineStr">
        <is>
          <t>World Bank (WBK/AF-2)</t>
        </is>
      </c>
      <c r="O200" s="34" t="inlineStr">
        <is>
          <t>Awarded</t>
        </is>
      </c>
      <c r="P200" s="34" t="inlineStr">
        <is>
          <t>1.Awarded contracts_On&amp;off-farm</t>
        </is>
      </c>
      <c r="Q200" s="34" t="inlineStr">
        <is>
          <t>Sakht shamal construction and road building company (SSCC)</t>
        </is>
      </c>
      <c r="R200" s="34" t="inlineStr">
        <is>
          <t>016/2026</t>
        </is>
      </c>
      <c r="S200" s="35" t="n">
        <v>249484.29</v>
      </c>
      <c r="T200" s="36" t="inlineStr">
        <is>
          <t>IF(AQ200="","",AQ200)</t>
        </is>
      </c>
      <c r="U200" s="37" t="n"/>
      <c r="V200" s="38" t="n">
        <v>11</v>
      </c>
      <c r="W200" s="37" t="n">
        <v>46403</v>
      </c>
      <c r="X200" s="36" t="inlineStr">
        <is>
          <t>IF(W200&lt;&gt;"",W200,IF(OR(T200="",V200=""),"",EDATE(T200,V200)))</t>
        </is>
      </c>
      <c r="Y200" s="37" t="n"/>
      <c r="Z200" s="38" t="n">
        <v>60</v>
      </c>
      <c r="AA200" s="34" t="inlineStr">
        <is>
          <t>Under Construction</t>
        </is>
      </c>
      <c r="AB200" s="34" t="inlineStr">
        <is>
          <t>on track and will be completed by Jan. 2027</t>
        </is>
      </c>
      <c r="AC200" s="32" t="inlineStr">
        <is>
          <t>IF(F200="","",IF(COUNT(AI200:AV200)=0,IF(AA200="","Not started",AA200),SUBSTITUTE(LOOKUP(2,1/(AI200:AV200&lt;&gt;""),$AI$3:$AV$3),"Date: ","")))</t>
        </is>
      </c>
      <c r="AD200" s="39" t="inlineStr">
        <is>
          <t>IF(OR(F200="",COUNT(AI200:AV200)=0),"",TODAY()-LOOKUP(2,1/(AI200:AV200&lt;&gt;""),AI200:AV200))</t>
        </is>
      </c>
      <c r="AE200" s="39" t="inlineStr">
        <is>
          <t>IF(OR(F200="",COUNT(AI200:AV200)&lt;2),"",LOOKUP(2,1/(AI200:AV200&lt;&gt;""),AI200:AV200)-MIN(AI200:AV200))</t>
        </is>
      </c>
      <c r="AF200" s="39" t="inlineStr">
        <is>
          <t>IF(OR(AD200="",AC200="Not started",AC200=""),"",IFERROR(AD200-IF(VLOOKUP(AC200,'06_Status_Pipeline'!$B$3:$E$20,4,FALSE)="",0,VLOOKUP(AC200,'06_Status_Pipeline'!$B$3:$E$20,4,FALSE)),""))</t>
        </is>
      </c>
      <c r="AG200" s="32" t="inlineStr">
        <is>
          <t>IF(F200="","",IF(OR(AA200="Cancelled",AC200="Cancelled"),"Cancelled",IF(OR(AC200="Completed / Handover",Y200&lt;&gt;"",Z200&gt;=100),"Completed — on track",IF(O200="Not awarded",IF(U200="",IF(X200="","No planned date",IF(TODAY()&gt;X200,"Behind — past planned date",IF(X200-TODAY()&lt;=30,"At risk — close to off track","On track"))),IF(TODAY()&gt;U200,"Behind — award date passed",IF(U200-TODAY()&lt;=30,"At risk — close to off track","On track"))),IF(X200="","No planned date",IF(AND(TODAY()&gt;X200,OR(Z200="",Z200&lt;100)),"Behind — past end date",IF(AND(T200&lt;&gt;"",X200&lt;&gt;"",Z200&lt;&gt;"",(Z200&lt;100),((TODAY()-T200)/MAX(X200-T200,1)*100)-Z200&gt;15),"Behind — progress lag",IF(AND(X200-TODAY()&lt;=30,X200-TODAY()&gt;=0,OR(Z200="",Z200&lt;90)),"At risk — close to off track","On track"))))))))</t>
        </is>
      </c>
      <c r="AH200" s="39" t="inlineStr">
        <is>
          <t>IF(OR(F200="",AC200="Completed / Handover",AC200="Cancelled"),"",IF(O200="Not awarded",IF(U200&lt;&gt;"",U200-TODAY(),IF(X200="","",X200-TODAY())),IF(X200="","",X200-TODAY())))</t>
        </is>
      </c>
      <c r="AI200" s="66" t="n"/>
      <c r="AJ200" s="66" t="n"/>
      <c r="AK200" s="66" t="n"/>
      <c r="AL200" s="66" t="n"/>
      <c r="AM200" s="66" t="n"/>
      <c r="AN200" s="66" t="n"/>
      <c r="AO200" s="66" t="n"/>
      <c r="AP200" s="66" t="n"/>
      <c r="AQ200" s="66" t="n">
        <v>46070</v>
      </c>
      <c r="AR200" s="66" t="n">
        <v>46070</v>
      </c>
      <c r="AS200" s="66" t="n"/>
      <c r="AT200" s="40" t="n"/>
      <c r="AU200" s="40" t="n"/>
      <c r="AV200" s="40" t="n"/>
      <c r="AW200" s="39" t="inlineStr">
        <is>
          <t>IF(OR(F200="",AJ200=""),"",IF(COUNT(AI200:AI200)=0,"",AJ200-LOOKUP(2,1/(AI200:AI200&lt;&gt;""),AI200:AI200)))</t>
        </is>
      </c>
      <c r="AX200" s="39" t="inlineStr">
        <is>
          <t>IF(OR(F200="",AK200=""),"",IF(COUNT(AI200:AJ200)=0,"",AK200-LOOKUP(2,1/(AI200:AJ200&lt;&gt;""),AI200:AJ200)))</t>
        </is>
      </c>
      <c r="AY200" s="39" t="inlineStr">
        <is>
          <t>IF(OR(F200="",AL200=""),"",IF(COUNT(AI200:AK200)=0,"",AL200-LOOKUP(2,1/(AI200:AK200&lt;&gt;""),AI200:AK200)))</t>
        </is>
      </c>
      <c r="AZ200" s="39" t="inlineStr">
        <is>
          <t>IF(OR(F200="",AM200=""),"",IF(COUNT(AI200:AL200)=0,"",AM200-LOOKUP(2,1/(AI200:AL200&lt;&gt;""),AI200:AL200)))</t>
        </is>
      </c>
      <c r="BA200" s="39" t="inlineStr">
        <is>
          <t>IF(OR(F200="",AN200=""),"",IF(COUNT(AI200:AM200)=0,"",AN200-LOOKUP(2,1/(AI200:AM200&lt;&gt;""),AI200:AM200)))</t>
        </is>
      </c>
      <c r="BB200" s="39" t="inlineStr">
        <is>
          <t>IF(OR(F200="",AO200=""),"",IF(COUNT(AI200:AN200)=0,"",AO200-LOOKUP(2,1/(AI200:AN200&lt;&gt;""),AI200:AN200)))</t>
        </is>
      </c>
      <c r="BC200" s="39" t="inlineStr">
        <is>
          <t>IF(OR(F200="",AP200=""),"",IF(COUNT(AI200:AO200)=0,"",AP200-LOOKUP(2,1/(AI200:AO200&lt;&gt;""),AI200:AO200)))</t>
        </is>
      </c>
      <c r="BD200" s="39" t="inlineStr">
        <is>
          <t>IF(OR(F200="",AQ200=""),"",IF(COUNT(AI200:AP200)=0,"",AQ200-LOOKUP(2,1/(AI200:AP200&lt;&gt;""),AI200:AP200)))</t>
        </is>
      </c>
      <c r="BE200" s="39" t="inlineStr">
        <is>
          <t>IF(OR(F200="",AR200=""),"",IF(COUNT(AI200:AQ200)=0,"",AR200-LOOKUP(2,1/(AI200:AQ200&lt;&gt;""),AI200:AQ200)))</t>
        </is>
      </c>
      <c r="BF200" s="39" t="inlineStr">
        <is>
          <t>IF(OR(F200="",AS200=""),"",IF(COUNT(AI200:AR200)=0,"",AS200-LOOKUP(2,1/(AI200:AR200&lt;&gt;""),AI200:AR200)))</t>
        </is>
      </c>
      <c r="BG200" s="39" t="inlineStr">
        <is>
          <t>IF(OR(F200="",AT200=""),"",IF(COUNT(AI200:AS200)=0,"",AT200-LOOKUP(2,1/(AI200:AS200&lt;&gt;""),AI200:AS200)))</t>
        </is>
      </c>
      <c r="BH200" s="39" t="inlineStr">
        <is>
          <t>IF(OR(F200="",AU200=""),"",IF(COUNT(AI200:AT200)=0,"",AU200-LOOKUP(2,1/(AI200:AT200&lt;&gt;""),AI200:AT200)))</t>
        </is>
      </c>
      <c r="BI200" s="39" t="inlineStr">
        <is>
          <t>IF(OR(F200="",AV200=""),"",IF(COUNT(AI200:AU200)=0,"",AV200-LOOKUP(2,1/(AI200:AU200&lt;&gt;""),AI200:AU200)))</t>
        </is>
      </c>
      <c r="BJ200" s="41" t="inlineStr">
        <is>
          <t>IF(J200="","All_Provinces",IFERROR(VLOOKUP(J200,'09_Lookups'!$A$4:$B$20,2,FALSE),"All_Provinces"))</t>
        </is>
      </c>
      <c r="BK200" s="41" t="inlineStr">
        <is>
          <t>IF(K200="","All_Districts",IFERROR(VLOOKUP(K200,'09_Lookups'!$E$4:$F$42,2,FALSE),"All_Districts"))</t>
        </is>
      </c>
    </row>
    <row r="201" ht="18" customHeight="1">
      <c r="A201" s="32" t="inlineStr">
        <is>
          <t>IF(F201="","",ROW()-3)</t>
        </is>
      </c>
      <c r="B201" s="56" t="inlineStr">
        <is>
          <t>AF2-IS-36</t>
        </is>
      </c>
      <c r="C201" s="56" t="inlineStr">
        <is>
          <t>Package # 36-AF2 IS: Rehabilitation of Joy Shahr canal irrigation scheme, located in Aqcha district of Jawzjan province.</t>
        </is>
      </c>
      <c r="D201" s="56" t="inlineStr">
        <is>
          <t>1 of 1</t>
        </is>
      </c>
      <c r="E201" s="57" t="inlineStr">
        <is>
          <t>AF2-IS-N-024</t>
        </is>
      </c>
      <c r="F201" s="57" t="inlineStr">
        <is>
          <t>Joy Shahr Canal Irrigation scheme</t>
        </is>
      </c>
      <c r="G201" s="57" t="inlineStr">
        <is>
          <t>Irrigation Scheme</t>
        </is>
      </c>
      <c r="H201" s="57" t="inlineStr">
        <is>
          <t>Irrigation Canal</t>
        </is>
      </c>
      <c r="I201" s="57" t="inlineStr">
        <is>
          <t>Emergency Food Security Project (EFSP) – WBK/AF-2</t>
        </is>
      </c>
      <c r="J201" s="57" t="inlineStr">
        <is>
          <t>Central Highland / Bamyan</t>
        </is>
      </c>
      <c r="K201" s="57" t="inlineStr">
        <is>
          <t>Jawzjan</t>
        </is>
      </c>
      <c r="L201" s="57" t="inlineStr">
        <is>
          <t>Aqcha</t>
        </is>
      </c>
      <c r="M201" s="57" t="inlineStr">
        <is>
          <t>Joy Shahr in Jiza</t>
        </is>
      </c>
      <c r="N201" s="57" t="inlineStr">
        <is>
          <t>World Bank (WBK/AF-2)</t>
        </is>
      </c>
      <c r="O201" s="57" t="inlineStr">
        <is>
          <t>Not awarded</t>
        </is>
      </c>
      <c r="P201" s="57" t="inlineStr">
        <is>
          <t>2.Remain contracts_On&amp;off-farm</t>
        </is>
      </c>
      <c r="Q201" s="57" t="inlineStr"/>
      <c r="R201" s="57" t="inlineStr"/>
      <c r="S201" s="58" t="n">
        <v>55950</v>
      </c>
      <c r="T201" s="36" t="inlineStr">
        <is>
          <t>IF(AQ201="","",AQ201)</t>
        </is>
      </c>
      <c r="U201" s="59" t="n">
        <v>46373</v>
      </c>
      <c r="V201" s="60" t="n">
        <v>5.6</v>
      </c>
      <c r="W201" s="59" t="n">
        <v>46543</v>
      </c>
      <c r="X201" s="36" t="inlineStr">
        <is>
          <t>IF(W201&lt;&gt;"",W201,IF(OR(T201="",V201=""),"",EDATE(T201,V201)))</t>
        </is>
      </c>
      <c r="Y201" s="59" t="n"/>
      <c r="Z201" s="60" t="n"/>
      <c r="AA201" s="57" t="inlineStr">
        <is>
          <t>Under LTO Review</t>
        </is>
      </c>
      <c r="AB201" s="57" t="inlineStr">
        <is>
          <t>Three months slack period Jan-Mar during winter. Seven months construction period required for two canals. Explore split into 2 lots</t>
        </is>
      </c>
      <c r="AC201" s="32" t="inlineStr">
        <is>
          <t>IF(F201="","",IF(COUNT(AI201:AV201)=0,IF(AA201="","Not started",AA201),SUBSTITUTE(LOOKUP(2,1/(AI201:AV201&lt;&gt;""),$AI$3:$AV$3),"Date: ","")))</t>
        </is>
      </c>
      <c r="AD201" s="39" t="inlineStr">
        <is>
          <t>IF(OR(F201="",COUNT(AI201:AV201)=0),"",TODAY()-LOOKUP(2,1/(AI201:AV201&lt;&gt;""),AI201:AV201))</t>
        </is>
      </c>
      <c r="AE201" s="39" t="inlineStr">
        <is>
          <t>IF(OR(F201="",COUNT(AI201:AV201)&lt;2),"",LOOKUP(2,1/(AI201:AV201&lt;&gt;""),AI201:AV201)-MIN(AI201:AV201))</t>
        </is>
      </c>
      <c r="AF201" s="39" t="inlineStr">
        <is>
          <t>IF(OR(AD201="",AC201="Not started",AC201=""),"",IFERROR(AD201-IF(VLOOKUP(AC201,'06_Status_Pipeline'!$B$3:$E$20,4,FALSE)="",0,VLOOKUP(AC201,'06_Status_Pipeline'!$B$3:$E$20,4,FALSE)),""))</t>
        </is>
      </c>
      <c r="AG201" s="32" t="inlineStr">
        <is>
          <t>IF(F201="","",IF(OR(AA201="Cancelled",AC201="Cancelled"),"Cancelled",IF(OR(AC201="Completed / Handover",Y201&lt;&gt;"",Z201&gt;=100),"Completed — on track",IF(O201="Not awarded",IF(U201="",IF(X201="","No planned date",IF(TODAY()&gt;X201,"Behind — past planned date",IF(X201-TODAY()&lt;=30,"At risk — close to off track","On track"))),IF(TODAY()&gt;U201,"Behind — award date passed",IF(U201-TODAY()&lt;=30,"At risk — close to off track","On track"))),IF(X201="","No planned date",IF(AND(TODAY()&gt;X201,OR(Z201="",Z201&lt;100)),"Behind — past end date",IF(AND(T201&lt;&gt;"",X201&lt;&gt;"",Z201&lt;&gt;"",(Z201&lt;100),((TODAY()-T201)/MAX(X201-T201,1)*100)-Z201&gt;15),"Behind — progress lag",IF(AND(X201-TODAY()&lt;=30,X201-TODAY()&gt;=0,OR(Z201="",Z201&lt;90)),"At risk — close to off track","On track"))))))))</t>
        </is>
      </c>
      <c r="AH201" s="39" t="inlineStr">
        <is>
          <t>IF(OR(F201="",AC201="Completed / Handover",AC201="Cancelled"),"",IF(O201="Not awarded",IF(U201&lt;&gt;"",U201-TODAY(),IF(X201="","",X201-TODAY())),IF(X201="","",X201-TODAY())))</t>
        </is>
      </c>
      <c r="AI201" s="59" t="n"/>
      <c r="AJ201" s="59" t="n"/>
      <c r="AK201" s="59" t="n"/>
      <c r="AL201" s="59" t="n"/>
      <c r="AM201" s="59" t="n"/>
      <c r="AN201" s="59" t="n"/>
      <c r="AO201" s="59" t="n"/>
      <c r="AP201" s="59" t="n"/>
      <c r="AQ201" s="59" t="n"/>
      <c r="AR201" s="59" t="n"/>
      <c r="AS201" s="59" t="n"/>
      <c r="AT201" s="40" t="n"/>
      <c r="AU201" s="40" t="n"/>
      <c r="AV201" s="40" t="n"/>
      <c r="AW201" s="39" t="inlineStr">
        <is>
          <t>IF(OR(F201="",AJ201=""),"",IF(COUNT(AI201:AI201)=0,"",AJ201-LOOKUP(2,1/(AI201:AI201&lt;&gt;""),AI201:AI201)))</t>
        </is>
      </c>
      <c r="AX201" s="39" t="inlineStr">
        <is>
          <t>IF(OR(F201="",AK201=""),"",IF(COUNT(AI201:AJ201)=0,"",AK201-LOOKUP(2,1/(AI201:AJ201&lt;&gt;""),AI201:AJ201)))</t>
        </is>
      </c>
      <c r="AY201" s="39" t="inlineStr">
        <is>
          <t>IF(OR(F201="",AL201=""),"",IF(COUNT(AI201:AK201)=0,"",AL201-LOOKUP(2,1/(AI201:AK201&lt;&gt;""),AI201:AK201)))</t>
        </is>
      </c>
      <c r="AZ201" s="39" t="inlineStr">
        <is>
          <t>IF(OR(F201="",AM201=""),"",IF(COUNT(AI201:AL201)=0,"",AM201-LOOKUP(2,1/(AI201:AL201&lt;&gt;""),AI201:AL201)))</t>
        </is>
      </c>
      <c r="BA201" s="39" t="inlineStr">
        <is>
          <t>IF(OR(F201="",AN201=""),"",IF(COUNT(AI201:AM201)=0,"",AN201-LOOKUP(2,1/(AI201:AM201&lt;&gt;""),AI201:AM201)))</t>
        </is>
      </c>
      <c r="BB201" s="39" t="inlineStr">
        <is>
          <t>IF(OR(F201="",AO201=""),"",IF(COUNT(AI201:AN201)=0,"",AO201-LOOKUP(2,1/(AI201:AN201&lt;&gt;""),AI201:AN201)))</t>
        </is>
      </c>
      <c r="BC201" s="39" t="inlineStr">
        <is>
          <t>IF(OR(F201="",AP201=""),"",IF(COUNT(AI201:AO201)=0,"",AP201-LOOKUP(2,1/(AI201:AO201&lt;&gt;""),AI201:AO201)))</t>
        </is>
      </c>
      <c r="BD201" s="39" t="inlineStr">
        <is>
          <t>IF(OR(F201="",AQ201=""),"",IF(COUNT(AI201:AP201)=0,"",AQ201-LOOKUP(2,1/(AI201:AP201&lt;&gt;""),AI201:AP201)))</t>
        </is>
      </c>
      <c r="BE201" s="39" t="inlineStr">
        <is>
          <t>IF(OR(F201="",AR201=""),"",IF(COUNT(AI201:AQ201)=0,"",AR201-LOOKUP(2,1/(AI201:AQ201&lt;&gt;""),AI201:AQ201)))</t>
        </is>
      </c>
      <c r="BF201" s="39" t="inlineStr">
        <is>
          <t>IF(OR(F201="",AS201=""),"",IF(COUNT(AI201:AR201)=0,"",AS201-LOOKUP(2,1/(AI201:AR201&lt;&gt;""),AI201:AR201)))</t>
        </is>
      </c>
      <c r="BG201" s="39" t="inlineStr">
        <is>
          <t>IF(OR(F201="",AT201=""),"",IF(COUNT(AI201:AS201)=0,"",AT201-LOOKUP(2,1/(AI201:AS201&lt;&gt;""),AI201:AS201)))</t>
        </is>
      </c>
      <c r="BH201" s="39" t="inlineStr">
        <is>
          <t>IF(OR(F201="",AU201=""),"",IF(COUNT(AI201:AT201)=0,"",AU201-LOOKUP(2,1/(AI201:AT201&lt;&gt;""),AI201:AT201)))</t>
        </is>
      </c>
      <c r="BI201" s="39" t="inlineStr">
        <is>
          <t>IF(OR(F201="",AV201=""),"",IF(COUNT(AI201:AU201)=0,"",AV201-LOOKUP(2,1/(AI201:AU201&lt;&gt;""),AI201:AU201)))</t>
        </is>
      </c>
      <c r="BJ201" s="41" t="inlineStr">
        <is>
          <t>IF(J201="","All_Provinces",IFERROR(VLOOKUP(J201,'09_Lookups'!$A$4:$B$20,2,FALSE),"All_Provinces"))</t>
        </is>
      </c>
      <c r="BK201" s="41" t="inlineStr">
        <is>
          <t>IF(K201="","All_Districts",IFERROR(VLOOKUP(K201,'09_Lookups'!$E$4:$F$42,2,FALSE),"All_Districts"))</t>
        </is>
      </c>
    </row>
    <row r="202" ht="18" customHeight="1">
      <c r="A202" s="32" t="inlineStr">
        <is>
          <t>IF(F202="","",ROW()-3)</t>
        </is>
      </c>
      <c r="B202" s="62" t="inlineStr">
        <is>
          <t>AF2-IS-37</t>
        </is>
      </c>
      <c r="C202" s="62" t="inlineStr">
        <is>
          <t>Package #37-AF2 IS: Rehabilitation of Oshtorkhan/Ahangaran irrigation scheme, located in Firozkoh district of Ghor province.</t>
        </is>
      </c>
      <c r="D202" s="62" t="inlineStr">
        <is>
          <t>1 of 1</t>
        </is>
      </c>
      <c r="E202" s="34" t="inlineStr">
        <is>
          <t>AF2-IS-N-025</t>
        </is>
      </c>
      <c r="F202" s="34" t="inlineStr">
        <is>
          <t>Oshtorkhan/Ahangaran irrigation Schemes</t>
        </is>
      </c>
      <c r="G202" s="34" t="inlineStr">
        <is>
          <t>Irrigation Scheme</t>
        </is>
      </c>
      <c r="H202" s="34" t="inlineStr">
        <is>
          <t>Irrigation Canal</t>
        </is>
      </c>
      <c r="I202" s="34" t="inlineStr">
        <is>
          <t>Emergency Food Security Project (EFSP) – WBK/AF-2</t>
        </is>
      </c>
      <c r="J202" s="34" t="inlineStr">
        <is>
          <t>West / Herat</t>
        </is>
      </c>
      <c r="K202" s="34" t="inlineStr">
        <is>
          <t>Ghor</t>
        </is>
      </c>
      <c r="L202" s="34" t="inlineStr">
        <is>
          <t>Firozkoh</t>
        </is>
      </c>
      <c r="M202" s="34" t="inlineStr">
        <is>
          <t>Oshtorkhan, Ahangaran and Madrasa</t>
        </is>
      </c>
      <c r="N202" s="34" t="inlineStr">
        <is>
          <t>World Bank (WBK/AF-2)</t>
        </is>
      </c>
      <c r="O202" s="34" t="inlineStr">
        <is>
          <t>Not awarded</t>
        </is>
      </c>
      <c r="P202" s="34" t="inlineStr">
        <is>
          <t>2.Remain contracts_On&amp;off-farm</t>
        </is>
      </c>
      <c r="Q202" s="34" t="inlineStr"/>
      <c r="R202" s="34" t="inlineStr"/>
      <c r="S202" s="35" t="n">
        <v>128000</v>
      </c>
      <c r="T202" s="36" t="inlineStr">
        <is>
          <t>IF(AQ202="","",AQ202)</t>
        </is>
      </c>
      <c r="U202" s="37" t="n">
        <v>46386</v>
      </c>
      <c r="V202" s="38" t="n">
        <v>7.6</v>
      </c>
      <c r="W202" s="37" t="n">
        <v>46616</v>
      </c>
      <c r="X202" s="36" t="inlineStr">
        <is>
          <t>IF(W202&lt;&gt;"",W202,IF(OR(T202="",V202=""),"",EDATE(T202,V202)))</t>
        </is>
      </c>
      <c r="Y202" s="37" t="n"/>
      <c r="Z202" s="38" t="n"/>
      <c r="AA202" s="34" t="inlineStr">
        <is>
          <t>Under Design</t>
        </is>
      </c>
      <c r="AB202" s="34" t="inlineStr">
        <is>
          <t>Three months slack period Jan-Mar during winter. Five months construction period required for two canals</t>
        </is>
      </c>
      <c r="AC202" s="32" t="inlineStr">
        <is>
          <t>IF(F202="","",IF(COUNT(AI202:AV202)=0,IF(AA202="","Not started",AA202),SUBSTITUTE(LOOKUP(2,1/(AI202:AV202&lt;&gt;""),$AI$3:$AV$3),"Date: ","")))</t>
        </is>
      </c>
      <c r="AD202" s="39" t="inlineStr">
        <is>
          <t>IF(OR(F202="",COUNT(AI202:AV202)=0),"",TODAY()-LOOKUP(2,1/(AI202:AV202&lt;&gt;""),AI202:AV202))</t>
        </is>
      </c>
      <c r="AE202" s="39" t="inlineStr">
        <is>
          <t>IF(OR(F202="",COUNT(AI202:AV202)&lt;2),"",LOOKUP(2,1/(AI202:AV202&lt;&gt;""),AI202:AV202)-MIN(AI202:AV202))</t>
        </is>
      </c>
      <c r="AF202" s="39" t="inlineStr">
        <is>
          <t>IF(OR(AD202="",AC202="Not started",AC202=""),"",IFERROR(AD202-IF(VLOOKUP(AC202,'06_Status_Pipeline'!$B$3:$E$20,4,FALSE)="",0,VLOOKUP(AC202,'06_Status_Pipeline'!$B$3:$E$20,4,FALSE)),""))</t>
        </is>
      </c>
      <c r="AG202" s="32" t="inlineStr">
        <is>
          <t>IF(F202="","",IF(OR(AA202="Cancelled",AC202="Cancelled"),"Cancelled",IF(OR(AC202="Completed / Handover",Y202&lt;&gt;"",Z202&gt;=100),"Completed — on track",IF(O202="Not awarded",IF(U202="",IF(X202="","No planned date",IF(TODAY()&gt;X202,"Behind — past planned date",IF(X202-TODAY()&lt;=30,"At risk — close to off track","On track"))),IF(TODAY()&gt;U202,"Behind — award date passed",IF(U202-TODAY()&lt;=30,"At risk — close to off track","On track"))),IF(X202="","No planned date",IF(AND(TODAY()&gt;X202,OR(Z202="",Z202&lt;100)),"Behind — past end date",IF(AND(T202&lt;&gt;"",X202&lt;&gt;"",Z202&lt;&gt;"",(Z202&lt;100),((TODAY()-T202)/MAX(X202-T202,1)*100)-Z202&gt;15),"Behind — progress lag",IF(AND(X202-TODAY()&lt;=30,X202-TODAY()&gt;=0,OR(Z202="",Z202&lt;90)),"At risk — close to off track","On track"))))))))</t>
        </is>
      </c>
      <c r="AH202" s="39" t="inlineStr">
        <is>
          <t>IF(OR(F202="",AC202="Completed / Handover",AC202="Cancelled"),"",IF(O202="Not awarded",IF(U202&lt;&gt;"",U202-TODAY(),IF(X202="","",X202-TODAY())),IF(X202="","",X202-TODAY())))</t>
        </is>
      </c>
      <c r="AI202" s="37" t="n"/>
      <c r="AJ202" s="37" t="n"/>
      <c r="AK202" s="37" t="n"/>
      <c r="AL202" s="37" t="n"/>
      <c r="AM202" s="37" t="n"/>
      <c r="AN202" s="37" t="n"/>
      <c r="AO202" s="37" t="n"/>
      <c r="AP202" s="37" t="n"/>
      <c r="AQ202" s="37" t="n"/>
      <c r="AR202" s="37" t="n"/>
      <c r="AS202" s="37" t="n"/>
      <c r="AT202" s="40" t="n"/>
      <c r="AU202" s="40" t="n"/>
      <c r="AV202" s="40" t="n"/>
      <c r="AW202" s="39" t="inlineStr">
        <is>
          <t>IF(OR(F202="",AJ202=""),"",IF(COUNT(AI202:AI202)=0,"",AJ202-LOOKUP(2,1/(AI202:AI202&lt;&gt;""),AI202:AI202)))</t>
        </is>
      </c>
      <c r="AX202" s="39" t="inlineStr">
        <is>
          <t>IF(OR(F202="",AK202=""),"",IF(COUNT(AI202:AJ202)=0,"",AK202-LOOKUP(2,1/(AI202:AJ202&lt;&gt;""),AI202:AJ202)))</t>
        </is>
      </c>
      <c r="AY202" s="39" t="inlineStr">
        <is>
          <t>IF(OR(F202="",AL202=""),"",IF(COUNT(AI202:AK202)=0,"",AL202-LOOKUP(2,1/(AI202:AK202&lt;&gt;""),AI202:AK202)))</t>
        </is>
      </c>
      <c r="AZ202" s="39" t="inlineStr">
        <is>
          <t>IF(OR(F202="",AM202=""),"",IF(COUNT(AI202:AL202)=0,"",AM202-LOOKUP(2,1/(AI202:AL202&lt;&gt;""),AI202:AL202)))</t>
        </is>
      </c>
      <c r="BA202" s="39" t="inlineStr">
        <is>
          <t>IF(OR(F202="",AN202=""),"",IF(COUNT(AI202:AM202)=0,"",AN202-LOOKUP(2,1/(AI202:AM202&lt;&gt;""),AI202:AM202)))</t>
        </is>
      </c>
      <c r="BB202" s="39" t="inlineStr">
        <is>
          <t>IF(OR(F202="",AO202=""),"",IF(COUNT(AI202:AN202)=0,"",AO202-LOOKUP(2,1/(AI202:AN202&lt;&gt;""),AI202:AN202)))</t>
        </is>
      </c>
      <c r="BC202" s="39" t="inlineStr">
        <is>
          <t>IF(OR(F202="",AP202=""),"",IF(COUNT(AI202:AO202)=0,"",AP202-LOOKUP(2,1/(AI202:AO202&lt;&gt;""),AI202:AO202)))</t>
        </is>
      </c>
      <c r="BD202" s="39" t="inlineStr">
        <is>
          <t>IF(OR(F202="",AQ202=""),"",IF(COUNT(AI202:AP202)=0,"",AQ202-LOOKUP(2,1/(AI202:AP202&lt;&gt;""),AI202:AP202)))</t>
        </is>
      </c>
      <c r="BE202" s="39" t="inlineStr">
        <is>
          <t>IF(OR(F202="",AR202=""),"",IF(COUNT(AI202:AQ202)=0,"",AR202-LOOKUP(2,1/(AI202:AQ202&lt;&gt;""),AI202:AQ202)))</t>
        </is>
      </c>
      <c r="BF202" s="39" t="inlineStr">
        <is>
          <t>IF(OR(F202="",AS202=""),"",IF(COUNT(AI202:AR202)=0,"",AS202-LOOKUP(2,1/(AI202:AR202&lt;&gt;""),AI202:AR202)))</t>
        </is>
      </c>
      <c r="BG202" s="39" t="inlineStr">
        <is>
          <t>IF(OR(F202="",AT202=""),"",IF(COUNT(AI202:AS202)=0,"",AT202-LOOKUP(2,1/(AI202:AS202&lt;&gt;""),AI202:AS202)))</t>
        </is>
      </c>
      <c r="BH202" s="39" t="inlineStr">
        <is>
          <t>IF(OR(F202="",AU202=""),"",IF(COUNT(AI202:AT202)=0,"",AU202-LOOKUP(2,1/(AI202:AT202&lt;&gt;""),AI202:AT202)))</t>
        </is>
      </c>
      <c r="BI202" s="39" t="inlineStr">
        <is>
          <t>IF(OR(F202="",AV202=""),"",IF(COUNT(AI202:AU202)=0,"",AV202-LOOKUP(2,1/(AI202:AU202&lt;&gt;""),AI202:AU202)))</t>
        </is>
      </c>
      <c r="BJ202" s="41" t="inlineStr">
        <is>
          <t>IF(J202="","All_Provinces",IFERROR(VLOOKUP(J202,'09_Lookups'!$A$4:$B$20,2,FALSE),"All_Provinces"))</t>
        </is>
      </c>
      <c r="BK202" s="41" t="inlineStr">
        <is>
          <t>IF(K202="","All_Districts",IFERROR(VLOOKUP(K202,'09_Lookups'!$E$4:$F$42,2,FALSE),"All_Districts"))</t>
        </is>
      </c>
    </row>
    <row r="203" ht="18" customHeight="1">
      <c r="A203" s="32" t="inlineStr">
        <is>
          <t>IF(F203="","",ROW()-3)</t>
        </is>
      </c>
      <c r="B203" s="64" t="inlineStr">
        <is>
          <t>AF2-IS-38</t>
        </is>
      </c>
      <c r="C203" s="64" t="inlineStr">
        <is>
          <t>Package #38-AF2 IS: Rehabilitation of Todanak Payen irrigation scheme, located in Farahrud Districts of Farah province.</t>
        </is>
      </c>
      <c r="D203" s="64" t="inlineStr">
        <is>
          <t>1 of 1</t>
        </is>
      </c>
      <c r="E203" s="57" t="inlineStr">
        <is>
          <t>AF2-IS-N-026</t>
        </is>
      </c>
      <c r="F203" s="57" t="inlineStr">
        <is>
          <t>Todanak Payen Canal irrigation Scheme</t>
        </is>
      </c>
      <c r="G203" s="57" t="inlineStr">
        <is>
          <t>Irrigation Scheme</t>
        </is>
      </c>
      <c r="H203" s="57" t="inlineStr">
        <is>
          <t>Irrigation Canal</t>
        </is>
      </c>
      <c r="I203" s="57" t="inlineStr">
        <is>
          <t>Emergency Food Security Project (EFSP) – WBK/AF-2</t>
        </is>
      </c>
      <c r="J203" s="57" t="inlineStr">
        <is>
          <t>West / Herat</t>
        </is>
      </c>
      <c r="K203" s="57" t="inlineStr">
        <is>
          <t>Farah</t>
        </is>
      </c>
      <c r="L203" s="57" t="inlineStr">
        <is>
          <t>Farahrud</t>
        </is>
      </c>
      <c r="M203" s="57" t="inlineStr">
        <is>
          <t>Todanak Payen villages</t>
        </is>
      </c>
      <c r="N203" s="57" t="inlineStr">
        <is>
          <t>World Bank (WBK/AF-2)</t>
        </is>
      </c>
      <c r="O203" s="57" t="inlineStr">
        <is>
          <t>Not awarded</t>
        </is>
      </c>
      <c r="P203" s="57" t="inlineStr">
        <is>
          <t>2.Remain contracts_On&amp;off-farm</t>
        </is>
      </c>
      <c r="Q203" s="57" t="inlineStr"/>
      <c r="R203" s="57" t="inlineStr"/>
      <c r="S203" s="58" t="n">
        <v>170000</v>
      </c>
      <c r="T203" s="36" t="inlineStr">
        <is>
          <t>IF(AQ203="","",AQ203)</t>
        </is>
      </c>
      <c r="U203" s="59" t="n">
        <v>46371</v>
      </c>
      <c r="V203" s="60" t="n">
        <v>9</v>
      </c>
      <c r="W203" s="59" t="n">
        <v>46644</v>
      </c>
      <c r="X203" s="36" t="inlineStr">
        <is>
          <t>IF(W203&lt;&gt;"",W203,IF(OR(T203="",V203=""),"",EDATE(T203,V203)))</t>
        </is>
      </c>
      <c r="Y203" s="59" t="n"/>
      <c r="Z203" s="60" t="n"/>
      <c r="AA203" s="57" t="inlineStr">
        <is>
          <t>Under Review of WRI</t>
        </is>
      </c>
      <c r="AB203" s="57" t="inlineStr">
        <is>
          <t>Two months slack period Mar-Apr during the flood. Seven months construction period. Explore split into 2 lots if needed</t>
        </is>
      </c>
      <c r="AC203" s="32" t="inlineStr">
        <is>
          <t>IF(F203="","",IF(COUNT(AI203:AV203)=0,IF(AA203="","Not started",AA203),SUBSTITUTE(LOOKUP(2,1/(AI203:AV203&lt;&gt;""),$AI$3:$AV$3),"Date: ","")))</t>
        </is>
      </c>
      <c r="AD203" s="39" t="inlineStr">
        <is>
          <t>IF(OR(F203="",COUNT(AI203:AV203)=0),"",TODAY()-LOOKUP(2,1/(AI203:AV203&lt;&gt;""),AI203:AV203))</t>
        </is>
      </c>
      <c r="AE203" s="39" t="inlineStr">
        <is>
          <t>IF(OR(F203="",COUNT(AI203:AV203)&lt;2),"",LOOKUP(2,1/(AI203:AV203&lt;&gt;""),AI203:AV203)-MIN(AI203:AV203))</t>
        </is>
      </c>
      <c r="AF203" s="39" t="inlineStr">
        <is>
          <t>IF(OR(AD203="",AC203="Not started",AC203=""),"",IFERROR(AD203-IF(VLOOKUP(AC203,'06_Status_Pipeline'!$B$3:$E$20,4,FALSE)="",0,VLOOKUP(AC203,'06_Status_Pipeline'!$B$3:$E$20,4,FALSE)),""))</t>
        </is>
      </c>
      <c r="AG203" s="32" t="inlineStr">
        <is>
          <t>IF(F203="","",IF(OR(AA203="Cancelled",AC203="Cancelled"),"Cancelled",IF(OR(AC203="Completed / Handover",Y203&lt;&gt;"",Z203&gt;=100),"Completed — on track",IF(O203="Not awarded",IF(U203="",IF(X203="","No planned date",IF(TODAY()&gt;X203,"Behind — past planned date",IF(X203-TODAY()&lt;=30,"At risk — close to off track","On track"))),IF(TODAY()&gt;U203,"Behind — award date passed",IF(U203-TODAY()&lt;=30,"At risk — close to off track","On track"))),IF(X203="","No planned date",IF(AND(TODAY()&gt;X203,OR(Z203="",Z203&lt;100)),"Behind — past end date",IF(AND(T203&lt;&gt;"",X203&lt;&gt;"",Z203&lt;&gt;"",(Z203&lt;100),((TODAY()-T203)/MAX(X203-T203,1)*100)-Z203&gt;15),"Behind — progress lag",IF(AND(X203-TODAY()&lt;=30,X203-TODAY()&gt;=0,OR(Z203="",Z203&lt;90)),"At risk — close to off track","On track"))))))))</t>
        </is>
      </c>
      <c r="AH203" s="39" t="inlineStr">
        <is>
          <t>IF(OR(F203="",AC203="Completed / Handover",AC203="Cancelled"),"",IF(O203="Not awarded",IF(U203&lt;&gt;"",U203-TODAY(),IF(X203="","",X203-TODAY())),IF(X203="","",X203-TODAY())))</t>
        </is>
      </c>
      <c r="AI203" s="59" t="n"/>
      <c r="AJ203" s="59" t="n"/>
      <c r="AK203" s="59" t="n"/>
      <c r="AL203" s="59" t="n"/>
      <c r="AM203" s="59" t="n"/>
      <c r="AN203" s="59" t="n"/>
      <c r="AO203" s="59" t="n"/>
      <c r="AP203" s="59" t="n"/>
      <c r="AQ203" s="59" t="n"/>
      <c r="AR203" s="59" t="n"/>
      <c r="AS203" s="59" t="n"/>
      <c r="AT203" s="40" t="n"/>
      <c r="AU203" s="40" t="n"/>
      <c r="AV203" s="40" t="n"/>
      <c r="AW203" s="39" t="inlineStr">
        <is>
          <t>IF(OR(F203="",AJ203=""),"",IF(COUNT(AI203:AI203)=0,"",AJ203-LOOKUP(2,1/(AI203:AI203&lt;&gt;""),AI203:AI203)))</t>
        </is>
      </c>
      <c r="AX203" s="39" t="inlineStr">
        <is>
          <t>IF(OR(F203="",AK203=""),"",IF(COUNT(AI203:AJ203)=0,"",AK203-LOOKUP(2,1/(AI203:AJ203&lt;&gt;""),AI203:AJ203)))</t>
        </is>
      </c>
      <c r="AY203" s="39" t="inlineStr">
        <is>
          <t>IF(OR(F203="",AL203=""),"",IF(COUNT(AI203:AK203)=0,"",AL203-LOOKUP(2,1/(AI203:AK203&lt;&gt;""),AI203:AK203)))</t>
        </is>
      </c>
      <c r="AZ203" s="39" t="inlineStr">
        <is>
          <t>IF(OR(F203="",AM203=""),"",IF(COUNT(AI203:AL203)=0,"",AM203-LOOKUP(2,1/(AI203:AL203&lt;&gt;""),AI203:AL203)))</t>
        </is>
      </c>
      <c r="BA203" s="39" t="inlineStr">
        <is>
          <t>IF(OR(F203="",AN203=""),"",IF(COUNT(AI203:AM203)=0,"",AN203-LOOKUP(2,1/(AI203:AM203&lt;&gt;""),AI203:AM203)))</t>
        </is>
      </c>
      <c r="BB203" s="39" t="inlineStr">
        <is>
          <t>IF(OR(F203="",AO203=""),"",IF(COUNT(AI203:AN203)=0,"",AO203-LOOKUP(2,1/(AI203:AN203&lt;&gt;""),AI203:AN203)))</t>
        </is>
      </c>
      <c r="BC203" s="39" t="inlineStr">
        <is>
          <t>IF(OR(F203="",AP203=""),"",IF(COUNT(AI203:AO203)=0,"",AP203-LOOKUP(2,1/(AI203:AO203&lt;&gt;""),AI203:AO203)))</t>
        </is>
      </c>
      <c r="BD203" s="39" t="inlineStr">
        <is>
          <t>IF(OR(F203="",AQ203=""),"",IF(COUNT(AI203:AP203)=0,"",AQ203-LOOKUP(2,1/(AI203:AP203&lt;&gt;""),AI203:AP203)))</t>
        </is>
      </c>
      <c r="BE203" s="39" t="inlineStr">
        <is>
          <t>IF(OR(F203="",AR203=""),"",IF(COUNT(AI203:AQ203)=0,"",AR203-LOOKUP(2,1/(AI203:AQ203&lt;&gt;""),AI203:AQ203)))</t>
        </is>
      </c>
      <c r="BF203" s="39" t="inlineStr">
        <is>
          <t>IF(OR(F203="",AS203=""),"",IF(COUNT(AI203:AR203)=0,"",AS203-LOOKUP(2,1/(AI203:AR203&lt;&gt;""),AI203:AR203)))</t>
        </is>
      </c>
      <c r="BG203" s="39" t="inlineStr">
        <is>
          <t>IF(OR(F203="",AT203=""),"",IF(COUNT(AI203:AS203)=0,"",AT203-LOOKUP(2,1/(AI203:AS203&lt;&gt;""),AI203:AS203)))</t>
        </is>
      </c>
      <c r="BH203" s="39" t="inlineStr">
        <is>
          <t>IF(OR(F203="",AU203=""),"",IF(COUNT(AI203:AT203)=0,"",AU203-LOOKUP(2,1/(AI203:AT203&lt;&gt;""),AI203:AT203)))</t>
        </is>
      </c>
      <c r="BI203" s="39" t="inlineStr">
        <is>
          <t>IF(OR(F203="",AV203=""),"",IF(COUNT(AI203:AU203)=0,"",AV203-LOOKUP(2,1/(AI203:AU203&lt;&gt;""),AI203:AU203)))</t>
        </is>
      </c>
      <c r="BJ203" s="41" t="inlineStr">
        <is>
          <t>IF(J203="","All_Provinces",IFERROR(VLOOKUP(J203,'09_Lookups'!$A$4:$B$20,2,FALSE),"All_Provinces"))</t>
        </is>
      </c>
      <c r="BK203" s="41" t="inlineStr">
        <is>
          <t>IF(K203="","All_Districts",IFERROR(VLOOKUP(K203,'09_Lookups'!$E$4:$F$42,2,FALSE),"All_Districts"))</t>
        </is>
      </c>
    </row>
    <row r="204" ht="18" customHeight="1">
      <c r="A204" s="32" t="inlineStr">
        <is>
          <t>IF(F204="","",ROW()-3)</t>
        </is>
      </c>
      <c r="B204" s="33" t="inlineStr">
        <is>
          <t>AF2-IS-39</t>
        </is>
      </c>
      <c r="C204" s="33" t="inlineStr">
        <is>
          <t>Package #39-AF2 IS: Rehabilitation of Ludeenha and Joi Kar irrigation schemes in Bala Murghab districts of Badghis provinec.</t>
        </is>
      </c>
      <c r="D204" s="33" t="inlineStr">
        <is>
          <t>1 of 1</t>
        </is>
      </c>
      <c r="E204" s="34" t="inlineStr">
        <is>
          <t>AF2-IS-N-027</t>
        </is>
      </c>
      <c r="F204" s="34" t="inlineStr">
        <is>
          <t>Ludeenha and Joi Kar canal irrigation Scheme</t>
        </is>
      </c>
      <c r="G204" s="34" t="inlineStr">
        <is>
          <t>Irrigation Scheme</t>
        </is>
      </c>
      <c r="H204" s="34" t="inlineStr">
        <is>
          <t>Irrigation Canal</t>
        </is>
      </c>
      <c r="I204" s="34" t="inlineStr">
        <is>
          <t>Emergency Food Security Project (EFSP) – WBK/AF-2</t>
        </is>
      </c>
      <c r="J204" s="34" t="inlineStr">
        <is>
          <t>West / Herat</t>
        </is>
      </c>
      <c r="K204" s="34" t="inlineStr">
        <is>
          <t>Badghis</t>
        </is>
      </c>
      <c r="L204" s="34" t="inlineStr">
        <is>
          <t>Bala Murghab</t>
        </is>
      </c>
      <c r="M204" s="34" t="inlineStr">
        <is>
          <t>Joi Kar</t>
        </is>
      </c>
      <c r="N204" s="34" t="inlineStr">
        <is>
          <t>World Bank (WBK/AF-2)</t>
        </is>
      </c>
      <c r="O204" s="34" t="inlineStr">
        <is>
          <t>Not awarded</t>
        </is>
      </c>
      <c r="P204" s="34" t="inlineStr">
        <is>
          <t>2.Remain contracts_On&amp;off-farm</t>
        </is>
      </c>
      <c r="Q204" s="34" t="inlineStr"/>
      <c r="R204" s="34" t="inlineStr"/>
      <c r="S204" s="35" t="n">
        <v>195488.81</v>
      </c>
      <c r="T204" s="36" t="inlineStr">
        <is>
          <t>IF(AQ204="","",AQ204)</t>
        </is>
      </c>
      <c r="U204" s="37" t="n">
        <v>46386</v>
      </c>
      <c r="V204" s="38" t="n">
        <v>7.9</v>
      </c>
      <c r="W204" s="37" t="n">
        <v>46626</v>
      </c>
      <c r="X204" s="36" t="inlineStr">
        <is>
          <t>IF(W204&lt;&gt;"",W204,IF(OR(T204="",V204=""),"",EDATE(T204,V204)))</t>
        </is>
      </c>
      <c r="Y204" s="37" t="n"/>
      <c r="Z204" s="38" t="n"/>
      <c r="AA204" s="34" t="inlineStr">
        <is>
          <t>PR to be Raised</t>
        </is>
      </c>
      <c r="AB204" s="34" t="inlineStr">
        <is>
          <t>Three months slack period Jan-Mar during winter. Five months construction period required for two canals</t>
        </is>
      </c>
      <c r="AC204" s="32" t="inlineStr">
        <is>
          <t>IF(F204="","",IF(COUNT(AI204:AV204)=0,IF(AA204="","Not started",AA204),SUBSTITUTE(LOOKUP(2,1/(AI204:AV204&lt;&gt;""),$AI$3:$AV$3),"Date: ","")))</t>
        </is>
      </c>
      <c r="AD204" s="39" t="inlineStr">
        <is>
          <t>IF(OR(F204="",COUNT(AI204:AV204)=0),"",TODAY()-LOOKUP(2,1/(AI204:AV204&lt;&gt;""),AI204:AV204))</t>
        </is>
      </c>
      <c r="AE204" s="39" t="inlineStr">
        <is>
          <t>IF(OR(F204="",COUNT(AI204:AV204)&lt;2),"",LOOKUP(2,1/(AI204:AV204&lt;&gt;""),AI204:AV204)-MIN(AI204:AV204))</t>
        </is>
      </c>
      <c r="AF204" s="39" t="inlineStr">
        <is>
          <t>IF(OR(AD204="",AC204="Not started",AC204=""),"",IFERROR(AD204-IF(VLOOKUP(AC204,'06_Status_Pipeline'!$B$3:$E$20,4,FALSE)="",0,VLOOKUP(AC204,'06_Status_Pipeline'!$B$3:$E$20,4,FALSE)),""))</t>
        </is>
      </c>
      <c r="AG204" s="32" t="inlineStr">
        <is>
          <t>IF(F204="","",IF(OR(AA204="Cancelled",AC204="Cancelled"),"Cancelled",IF(OR(AC204="Completed / Handover",Y204&lt;&gt;"",Z204&gt;=100),"Completed — on track",IF(O204="Not awarded",IF(U204="",IF(X204="","No planned date",IF(TODAY()&gt;X204,"Behind — past planned date",IF(X204-TODAY()&lt;=30,"At risk — close to off track","On track"))),IF(TODAY()&gt;U204,"Behind — award date passed",IF(U204-TODAY()&lt;=30,"At risk — close to off track","On track"))),IF(X204="","No planned date",IF(AND(TODAY()&gt;X204,OR(Z204="",Z204&lt;100)),"Behind — past end date",IF(AND(T204&lt;&gt;"",X204&lt;&gt;"",Z204&lt;&gt;"",(Z204&lt;100),((TODAY()-T204)/MAX(X204-T204,1)*100)-Z204&gt;15),"Behind — progress lag",IF(AND(X204-TODAY()&lt;=30,X204-TODAY()&gt;=0,OR(Z204="",Z204&lt;90)),"At risk — close to off track","On track"))))))))</t>
        </is>
      </c>
      <c r="AH204" s="39" t="inlineStr">
        <is>
          <t>IF(OR(F204="",AC204="Completed / Handover",AC204="Cancelled"),"",IF(O204="Not awarded",IF(U204&lt;&gt;"",U204-TODAY(),IF(X204="","",X204-TODAY())),IF(X204="","",X204-TODAY())))</t>
        </is>
      </c>
      <c r="AI204" s="37" t="n"/>
      <c r="AJ204" s="37" t="n"/>
      <c r="AK204" s="37" t="n"/>
      <c r="AL204" s="37" t="n"/>
      <c r="AM204" s="37" t="n"/>
      <c r="AN204" s="37" t="n"/>
      <c r="AO204" s="37" t="n"/>
      <c r="AP204" s="37" t="n"/>
      <c r="AQ204" s="37" t="n"/>
      <c r="AR204" s="37" t="n"/>
      <c r="AS204" s="37" t="n"/>
      <c r="AT204" s="40" t="n"/>
      <c r="AU204" s="40" t="n"/>
      <c r="AV204" s="40" t="n"/>
      <c r="AW204" s="39" t="inlineStr">
        <is>
          <t>IF(OR(F204="",AJ204=""),"",IF(COUNT(AI204:AI204)=0,"",AJ204-LOOKUP(2,1/(AI204:AI204&lt;&gt;""),AI204:AI204)))</t>
        </is>
      </c>
      <c r="AX204" s="39" t="inlineStr">
        <is>
          <t>IF(OR(F204="",AK204=""),"",IF(COUNT(AI204:AJ204)=0,"",AK204-LOOKUP(2,1/(AI204:AJ204&lt;&gt;""),AI204:AJ204)))</t>
        </is>
      </c>
      <c r="AY204" s="39" t="inlineStr">
        <is>
          <t>IF(OR(F204="",AL204=""),"",IF(COUNT(AI204:AK204)=0,"",AL204-LOOKUP(2,1/(AI204:AK204&lt;&gt;""),AI204:AK204)))</t>
        </is>
      </c>
      <c r="AZ204" s="39" t="inlineStr">
        <is>
          <t>IF(OR(F204="",AM204=""),"",IF(COUNT(AI204:AL204)=0,"",AM204-LOOKUP(2,1/(AI204:AL204&lt;&gt;""),AI204:AL204)))</t>
        </is>
      </c>
      <c r="BA204" s="39" t="inlineStr">
        <is>
          <t>IF(OR(F204="",AN204=""),"",IF(COUNT(AI204:AM204)=0,"",AN204-LOOKUP(2,1/(AI204:AM204&lt;&gt;""),AI204:AM204)))</t>
        </is>
      </c>
      <c r="BB204" s="39" t="inlineStr">
        <is>
          <t>IF(OR(F204="",AO204=""),"",IF(COUNT(AI204:AN204)=0,"",AO204-LOOKUP(2,1/(AI204:AN204&lt;&gt;""),AI204:AN204)))</t>
        </is>
      </c>
      <c r="BC204" s="39" t="inlineStr">
        <is>
          <t>IF(OR(F204="",AP204=""),"",IF(COUNT(AI204:AO204)=0,"",AP204-LOOKUP(2,1/(AI204:AO204&lt;&gt;""),AI204:AO204)))</t>
        </is>
      </c>
      <c r="BD204" s="39" t="inlineStr">
        <is>
          <t>IF(OR(F204="",AQ204=""),"",IF(COUNT(AI204:AP204)=0,"",AQ204-LOOKUP(2,1/(AI204:AP204&lt;&gt;""),AI204:AP204)))</t>
        </is>
      </c>
      <c r="BE204" s="39" t="inlineStr">
        <is>
          <t>IF(OR(F204="",AR204=""),"",IF(COUNT(AI204:AQ204)=0,"",AR204-LOOKUP(2,1/(AI204:AQ204&lt;&gt;""),AI204:AQ204)))</t>
        </is>
      </c>
      <c r="BF204" s="39" t="inlineStr">
        <is>
          <t>IF(OR(F204="",AS204=""),"",IF(COUNT(AI204:AR204)=0,"",AS204-LOOKUP(2,1/(AI204:AR204&lt;&gt;""),AI204:AR204)))</t>
        </is>
      </c>
      <c r="BG204" s="39" t="inlineStr">
        <is>
          <t>IF(OR(F204="",AT204=""),"",IF(COUNT(AI204:AS204)=0,"",AT204-LOOKUP(2,1/(AI204:AS204&lt;&gt;""),AI204:AS204)))</t>
        </is>
      </c>
      <c r="BH204" s="39" t="inlineStr">
        <is>
          <t>IF(OR(F204="",AU204=""),"",IF(COUNT(AI204:AT204)=0,"",AU204-LOOKUP(2,1/(AI204:AT204&lt;&gt;""),AI204:AT204)))</t>
        </is>
      </c>
      <c r="BI204" s="39" t="inlineStr">
        <is>
          <t>IF(OR(F204="",AV204=""),"",IF(COUNT(AI204:AU204)=0,"",AV204-LOOKUP(2,1/(AI204:AU204&lt;&gt;""),AI204:AU204)))</t>
        </is>
      </c>
      <c r="BJ204" s="41" t="inlineStr">
        <is>
          <t>IF(J204="","All_Provinces",IFERROR(VLOOKUP(J204,'09_Lookups'!$A$4:$B$20,2,FALSE),"All_Provinces"))</t>
        </is>
      </c>
      <c r="BK204" s="41" t="inlineStr">
        <is>
          <t>IF(K204="","All_Districts",IFERROR(VLOOKUP(K204,'09_Lookups'!$E$4:$F$42,2,FALSE),"All_Districts"))</t>
        </is>
      </c>
    </row>
    <row r="205" ht="18" customHeight="1">
      <c r="A205" s="32" t="inlineStr">
        <is>
          <t>IF(F205="","",ROW()-3)</t>
        </is>
      </c>
      <c r="B205" s="56" t="inlineStr">
        <is>
          <t>AF2-IS-40</t>
        </is>
      </c>
      <c r="C205" s="56" t="inlineStr">
        <is>
          <t>Package #40-AF2 IS: Rehabilitation of Loka Mazar irrigation schemes, located in Dawlatyar District of Ghor province.</t>
        </is>
      </c>
      <c r="D205" s="56" t="inlineStr">
        <is>
          <t>1 of 1</t>
        </is>
      </c>
      <c r="E205" s="57" t="inlineStr">
        <is>
          <t>AF2-IS-N-028</t>
        </is>
      </c>
      <c r="F205" s="57" t="inlineStr">
        <is>
          <t>Loka Mazar Irrigation Scheme</t>
        </is>
      </c>
      <c r="G205" s="57" t="inlineStr">
        <is>
          <t>Irrigation Scheme</t>
        </is>
      </c>
      <c r="H205" s="57" t="inlineStr">
        <is>
          <t>Irrigation Canal</t>
        </is>
      </c>
      <c r="I205" s="57" t="inlineStr">
        <is>
          <t>Emergency Food Security Project (EFSP) – WBK/AF-2</t>
        </is>
      </c>
      <c r="J205" s="57" t="inlineStr">
        <is>
          <t>West / Herat</t>
        </is>
      </c>
      <c r="K205" s="57" t="inlineStr">
        <is>
          <t>Ghor</t>
        </is>
      </c>
      <c r="L205" s="57" t="inlineStr">
        <is>
          <t>Dawlatyar</t>
        </is>
      </c>
      <c r="M205" s="57" t="inlineStr">
        <is>
          <t>Lokamazar</t>
        </is>
      </c>
      <c r="N205" s="57" t="inlineStr">
        <is>
          <t>World Bank (WBK/AF-2)</t>
        </is>
      </c>
      <c r="O205" s="57" t="inlineStr">
        <is>
          <t>Not awarded</t>
        </is>
      </c>
      <c r="P205" s="57" t="inlineStr">
        <is>
          <t>2.Remain contracts_On&amp;off-farm</t>
        </is>
      </c>
      <c r="Q205" s="57" t="inlineStr"/>
      <c r="R205" s="57" t="inlineStr"/>
      <c r="S205" s="58" t="n">
        <v>141250</v>
      </c>
      <c r="T205" s="36" t="inlineStr">
        <is>
          <t>IF(AQ205="","",AQ205)</t>
        </is>
      </c>
      <c r="U205" s="59" t="n">
        <v>46387</v>
      </c>
      <c r="V205" s="60" t="n">
        <v>7.9</v>
      </c>
      <c r="W205" s="59" t="n">
        <v>46627</v>
      </c>
      <c r="X205" s="36" t="inlineStr">
        <is>
          <t>IF(W205&lt;&gt;"",W205,IF(OR(T205="",V205=""),"",EDATE(T205,V205)))</t>
        </is>
      </c>
      <c r="Y205" s="59" t="n"/>
      <c r="Z205" s="60" t="n"/>
      <c r="AA205" s="57" t="inlineStr">
        <is>
          <t>PR to be Raised</t>
        </is>
      </c>
      <c r="AB205" s="57" t="inlineStr">
        <is>
          <t>Three months slack period Jan-Mar during winter. Five months construction period required for two canals</t>
        </is>
      </c>
      <c r="AC205" s="32" t="inlineStr">
        <is>
          <t>IF(F205="","",IF(COUNT(AI205:AV205)=0,IF(AA205="","Not started",AA205),SUBSTITUTE(LOOKUP(2,1/(AI205:AV205&lt;&gt;""),$AI$3:$AV$3),"Date: ","")))</t>
        </is>
      </c>
      <c r="AD205" s="39" t="inlineStr">
        <is>
          <t>IF(OR(F205="",COUNT(AI205:AV205)=0),"",TODAY()-LOOKUP(2,1/(AI205:AV205&lt;&gt;""),AI205:AV205))</t>
        </is>
      </c>
      <c r="AE205" s="39" t="inlineStr">
        <is>
          <t>IF(OR(F205="",COUNT(AI205:AV205)&lt;2),"",LOOKUP(2,1/(AI205:AV205&lt;&gt;""),AI205:AV205)-MIN(AI205:AV205))</t>
        </is>
      </c>
      <c r="AF205" s="39" t="inlineStr">
        <is>
          <t>IF(OR(AD205="",AC205="Not started",AC205=""),"",IFERROR(AD205-IF(VLOOKUP(AC205,'06_Status_Pipeline'!$B$3:$E$20,4,FALSE)="",0,VLOOKUP(AC205,'06_Status_Pipeline'!$B$3:$E$20,4,FALSE)),""))</t>
        </is>
      </c>
      <c r="AG205" s="32" t="inlineStr">
        <is>
          <t>IF(F205="","",IF(OR(AA205="Cancelled",AC205="Cancelled"),"Cancelled",IF(OR(AC205="Completed / Handover",Y205&lt;&gt;"",Z205&gt;=100),"Completed — on track",IF(O205="Not awarded",IF(U205="",IF(X205="","No planned date",IF(TODAY()&gt;X205,"Behind — past planned date",IF(X205-TODAY()&lt;=30,"At risk — close to off track","On track"))),IF(TODAY()&gt;U205,"Behind — award date passed",IF(U205-TODAY()&lt;=30,"At risk — close to off track","On track"))),IF(X205="","No planned date",IF(AND(TODAY()&gt;X205,OR(Z205="",Z205&lt;100)),"Behind — past end date",IF(AND(T205&lt;&gt;"",X205&lt;&gt;"",Z205&lt;&gt;"",(Z205&lt;100),((TODAY()-T205)/MAX(X205-T205,1)*100)-Z205&gt;15),"Behind — progress lag",IF(AND(X205-TODAY()&lt;=30,X205-TODAY()&gt;=0,OR(Z205="",Z205&lt;90)),"At risk — close to off track","On track"))))))))</t>
        </is>
      </c>
      <c r="AH205" s="39" t="inlineStr">
        <is>
          <t>IF(OR(F205="",AC205="Completed / Handover",AC205="Cancelled"),"",IF(O205="Not awarded",IF(U205&lt;&gt;"",U205-TODAY(),IF(X205="","",X205-TODAY())),IF(X205="","",X205-TODAY())))</t>
        </is>
      </c>
      <c r="AI205" s="59" t="n"/>
      <c r="AJ205" s="59" t="n"/>
      <c r="AK205" s="59" t="n"/>
      <c r="AL205" s="59" t="n"/>
      <c r="AM205" s="59" t="n"/>
      <c r="AN205" s="59" t="n"/>
      <c r="AO205" s="59" t="n"/>
      <c r="AP205" s="59" t="n"/>
      <c r="AQ205" s="59" t="n"/>
      <c r="AR205" s="59" t="n"/>
      <c r="AS205" s="59" t="n"/>
      <c r="AT205" s="40" t="n"/>
      <c r="AU205" s="40" t="n"/>
      <c r="AV205" s="40" t="n"/>
      <c r="AW205" s="39" t="inlineStr">
        <is>
          <t>IF(OR(F205="",AJ205=""),"",IF(COUNT(AI205:AI205)=0,"",AJ205-LOOKUP(2,1/(AI205:AI205&lt;&gt;""),AI205:AI205)))</t>
        </is>
      </c>
      <c r="AX205" s="39" t="inlineStr">
        <is>
          <t>IF(OR(F205="",AK205=""),"",IF(COUNT(AI205:AJ205)=0,"",AK205-LOOKUP(2,1/(AI205:AJ205&lt;&gt;""),AI205:AJ205)))</t>
        </is>
      </c>
      <c r="AY205" s="39" t="inlineStr">
        <is>
          <t>IF(OR(F205="",AL205=""),"",IF(COUNT(AI205:AK205)=0,"",AL205-LOOKUP(2,1/(AI205:AK205&lt;&gt;""),AI205:AK205)))</t>
        </is>
      </c>
      <c r="AZ205" s="39" t="inlineStr">
        <is>
          <t>IF(OR(F205="",AM205=""),"",IF(COUNT(AI205:AL205)=0,"",AM205-LOOKUP(2,1/(AI205:AL205&lt;&gt;""),AI205:AL205)))</t>
        </is>
      </c>
      <c r="BA205" s="39" t="inlineStr">
        <is>
          <t>IF(OR(F205="",AN205=""),"",IF(COUNT(AI205:AM205)=0,"",AN205-LOOKUP(2,1/(AI205:AM205&lt;&gt;""),AI205:AM205)))</t>
        </is>
      </c>
      <c r="BB205" s="39" t="inlineStr">
        <is>
          <t>IF(OR(F205="",AO205=""),"",IF(COUNT(AI205:AN205)=0,"",AO205-LOOKUP(2,1/(AI205:AN205&lt;&gt;""),AI205:AN205)))</t>
        </is>
      </c>
      <c r="BC205" s="39" t="inlineStr">
        <is>
          <t>IF(OR(F205="",AP205=""),"",IF(COUNT(AI205:AO205)=0,"",AP205-LOOKUP(2,1/(AI205:AO205&lt;&gt;""),AI205:AO205)))</t>
        </is>
      </c>
      <c r="BD205" s="39" t="inlineStr">
        <is>
          <t>IF(OR(F205="",AQ205=""),"",IF(COUNT(AI205:AP205)=0,"",AQ205-LOOKUP(2,1/(AI205:AP205&lt;&gt;""),AI205:AP205)))</t>
        </is>
      </c>
      <c r="BE205" s="39" t="inlineStr">
        <is>
          <t>IF(OR(F205="",AR205=""),"",IF(COUNT(AI205:AQ205)=0,"",AR205-LOOKUP(2,1/(AI205:AQ205&lt;&gt;""),AI205:AQ205)))</t>
        </is>
      </c>
      <c r="BF205" s="39" t="inlineStr">
        <is>
          <t>IF(OR(F205="",AS205=""),"",IF(COUNT(AI205:AR205)=0,"",AS205-LOOKUP(2,1/(AI205:AR205&lt;&gt;""),AI205:AR205)))</t>
        </is>
      </c>
      <c r="BG205" s="39" t="inlineStr">
        <is>
          <t>IF(OR(F205="",AT205=""),"",IF(COUNT(AI205:AS205)=0,"",AT205-LOOKUP(2,1/(AI205:AS205&lt;&gt;""),AI205:AS205)))</t>
        </is>
      </c>
      <c r="BH205" s="39" t="inlineStr">
        <is>
          <t>IF(OR(F205="",AU205=""),"",IF(COUNT(AI205:AT205)=0,"",AU205-LOOKUP(2,1/(AI205:AT205&lt;&gt;""),AI205:AT205)))</t>
        </is>
      </c>
      <c r="BI205" s="39" t="inlineStr">
        <is>
          <t>IF(OR(F205="",AV205=""),"",IF(COUNT(AI205:AU205)=0,"",AV205-LOOKUP(2,1/(AI205:AU205&lt;&gt;""),AI205:AU205)))</t>
        </is>
      </c>
      <c r="BJ205" s="41" t="inlineStr">
        <is>
          <t>IF(J205="","All_Provinces",IFERROR(VLOOKUP(J205,'09_Lookups'!$A$4:$B$20,2,FALSE),"All_Provinces"))</t>
        </is>
      </c>
      <c r="BK205" s="41" t="inlineStr">
        <is>
          <t>IF(K205="","All_Districts",IFERROR(VLOOKUP(K205,'09_Lookups'!$E$4:$F$42,2,FALSE),"All_Districts"))</t>
        </is>
      </c>
    </row>
    <row r="206" ht="18" customHeight="1">
      <c r="A206" s="32" t="inlineStr">
        <is>
          <t>IF(F206="","",ROW()-3)</t>
        </is>
      </c>
      <c r="B206" s="62" t="inlineStr">
        <is>
          <t>AF2-IS-41</t>
        </is>
      </c>
      <c r="C206" s="62" t="inlineStr">
        <is>
          <t>Package #41-AF2 IS: Rehabilitation of Madrasa irrigation schemes, located in Firozkoh district of Ghor province.</t>
        </is>
      </c>
      <c r="D206" s="62" t="inlineStr">
        <is>
          <t>1 of 1</t>
        </is>
      </c>
      <c r="E206" s="34" t="inlineStr">
        <is>
          <t>AF2-IS-N-029</t>
        </is>
      </c>
      <c r="F206" s="34" t="inlineStr">
        <is>
          <t>Mardras irrigation Schemes</t>
        </is>
      </c>
      <c r="G206" s="34" t="inlineStr">
        <is>
          <t>Irrigation Scheme</t>
        </is>
      </c>
      <c r="H206" s="34" t="inlineStr">
        <is>
          <t>Irrigation Canal</t>
        </is>
      </c>
      <c r="I206" s="34" t="inlineStr">
        <is>
          <t>Emergency Food Security Project (EFSP) – WBK/AF-2</t>
        </is>
      </c>
      <c r="J206" s="34" t="inlineStr">
        <is>
          <t>West / Herat</t>
        </is>
      </c>
      <c r="K206" s="34" t="inlineStr">
        <is>
          <t>Ghor</t>
        </is>
      </c>
      <c r="L206" s="34" t="inlineStr">
        <is>
          <t>Firozkoh</t>
        </is>
      </c>
      <c r="M206" s="34" t="inlineStr">
        <is>
          <t>Oshtorkhan, Ahangaran and Madrasa</t>
        </is>
      </c>
      <c r="N206" s="34" t="inlineStr">
        <is>
          <t>World Bank (WBK/AF-2)</t>
        </is>
      </c>
      <c r="O206" s="34" t="inlineStr">
        <is>
          <t>Not awarded</t>
        </is>
      </c>
      <c r="P206" s="34" t="inlineStr">
        <is>
          <t>2.Remain contracts_On&amp;off-farm</t>
        </is>
      </c>
      <c r="Q206" s="34" t="inlineStr"/>
      <c r="R206" s="34" t="inlineStr"/>
      <c r="S206" s="35" t="n">
        <v>85000</v>
      </c>
      <c r="T206" s="36" t="inlineStr">
        <is>
          <t>IF(AQ206="","",AQ206)</t>
        </is>
      </c>
      <c r="U206" s="37" t="n">
        <v>46376</v>
      </c>
      <c r="V206" s="38" t="n">
        <v>7.9</v>
      </c>
      <c r="W206" s="37" t="n">
        <v>46616</v>
      </c>
      <c r="X206" s="36" t="inlineStr">
        <is>
          <t>IF(W206&lt;&gt;"",W206,IF(OR(T206="",V206=""),"",EDATE(T206,V206)))</t>
        </is>
      </c>
      <c r="Y206" s="37" t="n"/>
      <c r="Z206" s="38" t="n"/>
      <c r="AA206" s="34" t="inlineStr">
        <is>
          <t>Under Design</t>
        </is>
      </c>
      <c r="AB206" s="34" t="inlineStr">
        <is>
          <t>Three months slack period Jan-Mar during winter Five months construction period required for three canals. To explore 2 lots for 2 contracts and simultaneous work</t>
        </is>
      </c>
      <c r="AC206" s="32" t="inlineStr">
        <is>
          <t>IF(F206="","",IF(COUNT(AI206:AV206)=0,IF(AA206="","Not started",AA206),SUBSTITUTE(LOOKUP(2,1/(AI206:AV206&lt;&gt;""),$AI$3:$AV$3),"Date: ","")))</t>
        </is>
      </c>
      <c r="AD206" s="39" t="inlineStr">
        <is>
          <t>IF(OR(F206="",COUNT(AI206:AV206)=0),"",TODAY()-LOOKUP(2,1/(AI206:AV206&lt;&gt;""),AI206:AV206))</t>
        </is>
      </c>
      <c r="AE206" s="39" t="inlineStr">
        <is>
          <t>IF(OR(F206="",COUNT(AI206:AV206)&lt;2),"",LOOKUP(2,1/(AI206:AV206&lt;&gt;""),AI206:AV206)-MIN(AI206:AV206))</t>
        </is>
      </c>
      <c r="AF206" s="39" t="inlineStr">
        <is>
          <t>IF(OR(AD206="",AC206="Not started",AC206=""),"",IFERROR(AD206-IF(VLOOKUP(AC206,'06_Status_Pipeline'!$B$3:$E$20,4,FALSE)="",0,VLOOKUP(AC206,'06_Status_Pipeline'!$B$3:$E$20,4,FALSE)),""))</t>
        </is>
      </c>
      <c r="AG206" s="32" t="inlineStr">
        <is>
          <t>IF(F206="","",IF(OR(AA206="Cancelled",AC206="Cancelled"),"Cancelled",IF(OR(AC206="Completed / Handover",Y206&lt;&gt;"",Z206&gt;=100),"Completed — on track",IF(O206="Not awarded",IF(U206="",IF(X206="","No planned date",IF(TODAY()&gt;X206,"Behind — past planned date",IF(X206-TODAY()&lt;=30,"At risk — close to off track","On track"))),IF(TODAY()&gt;U206,"Behind — award date passed",IF(U206-TODAY()&lt;=30,"At risk — close to off track","On track"))),IF(X206="","No planned date",IF(AND(TODAY()&gt;X206,OR(Z206="",Z206&lt;100)),"Behind — past end date",IF(AND(T206&lt;&gt;"",X206&lt;&gt;"",Z206&lt;&gt;"",(Z206&lt;100),((TODAY()-T206)/MAX(X206-T206,1)*100)-Z206&gt;15),"Behind — progress lag",IF(AND(X206-TODAY()&lt;=30,X206-TODAY()&gt;=0,OR(Z206="",Z206&lt;90)),"At risk — close to off track","On track"))))))))</t>
        </is>
      </c>
      <c r="AH206" s="39" t="inlineStr">
        <is>
          <t>IF(OR(F206="",AC206="Completed / Handover",AC206="Cancelled"),"",IF(O206="Not awarded",IF(U206&lt;&gt;"",U206-TODAY(),IF(X206="","",X206-TODAY())),IF(X206="","",X206-TODAY())))</t>
        </is>
      </c>
      <c r="AI206" s="37" t="n"/>
      <c r="AJ206" s="37" t="n"/>
      <c r="AK206" s="37" t="n"/>
      <c r="AL206" s="37" t="n"/>
      <c r="AM206" s="37" t="n"/>
      <c r="AN206" s="37" t="n"/>
      <c r="AO206" s="37" t="n"/>
      <c r="AP206" s="37" t="n"/>
      <c r="AQ206" s="37" t="n"/>
      <c r="AR206" s="37" t="n"/>
      <c r="AS206" s="37" t="n"/>
      <c r="AT206" s="40" t="n"/>
      <c r="AU206" s="40" t="n"/>
      <c r="AV206" s="40" t="n"/>
      <c r="AW206" s="39" t="inlineStr">
        <is>
          <t>IF(OR(F206="",AJ206=""),"",IF(COUNT(AI206:AI206)=0,"",AJ206-LOOKUP(2,1/(AI206:AI206&lt;&gt;""),AI206:AI206)))</t>
        </is>
      </c>
      <c r="AX206" s="39" t="inlineStr">
        <is>
          <t>IF(OR(F206="",AK206=""),"",IF(COUNT(AI206:AJ206)=0,"",AK206-LOOKUP(2,1/(AI206:AJ206&lt;&gt;""),AI206:AJ206)))</t>
        </is>
      </c>
      <c r="AY206" s="39" t="inlineStr">
        <is>
          <t>IF(OR(F206="",AL206=""),"",IF(COUNT(AI206:AK206)=0,"",AL206-LOOKUP(2,1/(AI206:AK206&lt;&gt;""),AI206:AK206)))</t>
        </is>
      </c>
      <c r="AZ206" s="39" t="inlineStr">
        <is>
          <t>IF(OR(F206="",AM206=""),"",IF(COUNT(AI206:AL206)=0,"",AM206-LOOKUP(2,1/(AI206:AL206&lt;&gt;""),AI206:AL206)))</t>
        </is>
      </c>
      <c r="BA206" s="39" t="inlineStr">
        <is>
          <t>IF(OR(F206="",AN206=""),"",IF(COUNT(AI206:AM206)=0,"",AN206-LOOKUP(2,1/(AI206:AM206&lt;&gt;""),AI206:AM206)))</t>
        </is>
      </c>
      <c r="BB206" s="39" t="inlineStr">
        <is>
          <t>IF(OR(F206="",AO206=""),"",IF(COUNT(AI206:AN206)=0,"",AO206-LOOKUP(2,1/(AI206:AN206&lt;&gt;""),AI206:AN206)))</t>
        </is>
      </c>
      <c r="BC206" s="39" t="inlineStr">
        <is>
          <t>IF(OR(F206="",AP206=""),"",IF(COUNT(AI206:AO206)=0,"",AP206-LOOKUP(2,1/(AI206:AO206&lt;&gt;""),AI206:AO206)))</t>
        </is>
      </c>
      <c r="BD206" s="39" t="inlineStr">
        <is>
          <t>IF(OR(F206="",AQ206=""),"",IF(COUNT(AI206:AP206)=0,"",AQ206-LOOKUP(2,1/(AI206:AP206&lt;&gt;""),AI206:AP206)))</t>
        </is>
      </c>
      <c r="BE206" s="39" t="inlineStr">
        <is>
          <t>IF(OR(F206="",AR206=""),"",IF(COUNT(AI206:AQ206)=0,"",AR206-LOOKUP(2,1/(AI206:AQ206&lt;&gt;""),AI206:AQ206)))</t>
        </is>
      </c>
      <c r="BF206" s="39" t="inlineStr">
        <is>
          <t>IF(OR(F206="",AS206=""),"",IF(COUNT(AI206:AR206)=0,"",AS206-LOOKUP(2,1/(AI206:AR206&lt;&gt;""),AI206:AR206)))</t>
        </is>
      </c>
      <c r="BG206" s="39" t="inlineStr">
        <is>
          <t>IF(OR(F206="",AT206=""),"",IF(COUNT(AI206:AS206)=0,"",AT206-LOOKUP(2,1/(AI206:AS206&lt;&gt;""),AI206:AS206)))</t>
        </is>
      </c>
      <c r="BH206" s="39" t="inlineStr">
        <is>
          <t>IF(OR(F206="",AU206=""),"",IF(COUNT(AI206:AT206)=0,"",AU206-LOOKUP(2,1/(AI206:AT206&lt;&gt;""),AI206:AT206)))</t>
        </is>
      </c>
      <c r="BI206" s="39" t="inlineStr">
        <is>
          <t>IF(OR(F206="",AV206=""),"",IF(COUNT(AI206:AU206)=0,"",AV206-LOOKUP(2,1/(AI206:AU206&lt;&gt;""),AI206:AU206)))</t>
        </is>
      </c>
      <c r="BJ206" s="41" t="inlineStr">
        <is>
          <t>IF(J206="","All_Provinces",IFERROR(VLOOKUP(J206,'09_Lookups'!$A$4:$B$20,2,FALSE),"All_Provinces"))</t>
        </is>
      </c>
      <c r="BK206" s="41" t="inlineStr">
        <is>
          <t>IF(K206="","All_Districts",IFERROR(VLOOKUP(K206,'09_Lookups'!$E$4:$F$42,2,FALSE),"All_Districts"))</t>
        </is>
      </c>
    </row>
    <row r="207" ht="18" customHeight="1">
      <c r="A207" s="32" t="inlineStr">
        <is>
          <t>IF(F207="","",ROW()-3)</t>
        </is>
      </c>
      <c r="B207" s="64" t="inlineStr">
        <is>
          <t>AF2-IS-42</t>
        </is>
      </c>
      <c r="C207" s="64" t="inlineStr">
        <is>
          <t>Package #42-AF2 IS: Rehabilitation of Zard Nai Charsapan Cluster Canal irrigation schemes, located in Sharrisatan district of Daykundi province.</t>
        </is>
      </c>
      <c r="D207" s="64" t="inlineStr">
        <is>
          <t>1 of 1</t>
        </is>
      </c>
      <c r="E207" s="57" t="inlineStr">
        <is>
          <t>AF2-IS-N-030</t>
        </is>
      </c>
      <c r="F207" s="57" t="inlineStr">
        <is>
          <t>Zard Nai Charsapan Cluster Canal irrigation schemes</t>
        </is>
      </c>
      <c r="G207" s="57" t="inlineStr">
        <is>
          <t>Irrigation Scheme</t>
        </is>
      </c>
      <c r="H207" s="57" t="inlineStr">
        <is>
          <t>Irrigation Canal</t>
        </is>
      </c>
      <c r="I207" s="57" t="inlineStr">
        <is>
          <t>Emergency Food Security Project (EFSP) – WBK/AF-2</t>
        </is>
      </c>
      <c r="J207" s="57" t="inlineStr">
        <is>
          <t>Central Highland / Bamyan</t>
        </is>
      </c>
      <c r="K207" s="57" t="inlineStr">
        <is>
          <t>Daykundi</t>
        </is>
      </c>
      <c r="L207" s="57" t="inlineStr">
        <is>
          <t>Shahristan</t>
        </is>
      </c>
      <c r="M207" s="57" t="inlineStr">
        <is>
          <t>Zardnai Payeen, Zardnai Bala,</t>
        </is>
      </c>
      <c r="N207" s="57" t="inlineStr">
        <is>
          <t>World Bank (WBK/AF-2)</t>
        </is>
      </c>
      <c r="O207" s="57" t="inlineStr">
        <is>
          <t>Not awarded</t>
        </is>
      </c>
      <c r="P207" s="57" t="inlineStr">
        <is>
          <t>2.Remain contracts_On&amp;off-farm</t>
        </is>
      </c>
      <c r="Q207" s="57" t="inlineStr"/>
      <c r="R207" s="57" t="inlineStr"/>
      <c r="S207" s="58" t="n">
        <v>257667</v>
      </c>
      <c r="T207" s="36" t="inlineStr">
        <is>
          <t>IF(AQ207="","",AQ207)</t>
        </is>
      </c>
      <c r="U207" s="59" t="n">
        <v>46371</v>
      </c>
      <c r="V207" s="60" t="n">
        <v>10.2</v>
      </c>
      <c r="W207" s="59" t="n">
        <v>46681</v>
      </c>
      <c r="X207" s="36" t="inlineStr">
        <is>
          <t>IF(W207&lt;&gt;"",W207,IF(OR(T207="",V207=""),"",EDATE(T207,V207)))</t>
        </is>
      </c>
      <c r="Y207" s="59" t="n"/>
      <c r="Z207" s="60" t="n"/>
      <c r="AA207" s="57" t="inlineStr">
        <is>
          <t>Under LTO Review</t>
        </is>
      </c>
      <c r="AB207" s="57" t="inlineStr">
        <is>
          <t>2.5 months slack period Mid Jan-Mar during winter. Eight months construction period required for the cluster canals in two districts. Explore possibility of 2 lots for PR and contract award</t>
        </is>
      </c>
      <c r="AC207" s="32" t="inlineStr">
        <is>
          <t>IF(F207="","",IF(COUNT(AI207:AV207)=0,IF(AA207="","Not started",AA207),SUBSTITUTE(LOOKUP(2,1/(AI207:AV207&lt;&gt;""),$AI$3:$AV$3),"Date: ","")))</t>
        </is>
      </c>
      <c r="AD207" s="39" t="inlineStr">
        <is>
          <t>IF(OR(F207="",COUNT(AI207:AV207)=0),"",TODAY()-LOOKUP(2,1/(AI207:AV207&lt;&gt;""),AI207:AV207))</t>
        </is>
      </c>
      <c r="AE207" s="39" t="inlineStr">
        <is>
          <t>IF(OR(F207="",COUNT(AI207:AV207)&lt;2),"",LOOKUP(2,1/(AI207:AV207&lt;&gt;""),AI207:AV207)-MIN(AI207:AV207))</t>
        </is>
      </c>
      <c r="AF207" s="39" t="inlineStr">
        <is>
          <t>IF(OR(AD207="",AC207="Not started",AC207=""),"",IFERROR(AD207-IF(VLOOKUP(AC207,'06_Status_Pipeline'!$B$3:$E$20,4,FALSE)="",0,VLOOKUP(AC207,'06_Status_Pipeline'!$B$3:$E$20,4,FALSE)),""))</t>
        </is>
      </c>
      <c r="AG207" s="32" t="inlineStr">
        <is>
          <t>IF(F207="","",IF(OR(AA207="Cancelled",AC207="Cancelled"),"Cancelled",IF(OR(AC207="Completed / Handover",Y207&lt;&gt;"",Z207&gt;=100),"Completed — on track",IF(O207="Not awarded",IF(U207="",IF(X207="","No planned date",IF(TODAY()&gt;X207,"Behind — past planned date",IF(X207-TODAY()&lt;=30,"At risk — close to off track","On track"))),IF(TODAY()&gt;U207,"Behind — award date passed",IF(U207-TODAY()&lt;=30,"At risk — close to off track","On track"))),IF(X207="","No planned date",IF(AND(TODAY()&gt;X207,OR(Z207="",Z207&lt;100)),"Behind — past end date",IF(AND(T207&lt;&gt;"",X207&lt;&gt;"",Z207&lt;&gt;"",(Z207&lt;100),((TODAY()-T207)/MAX(X207-T207,1)*100)-Z207&gt;15),"Behind — progress lag",IF(AND(X207-TODAY()&lt;=30,X207-TODAY()&gt;=0,OR(Z207="",Z207&lt;90)),"At risk — close to off track","On track"))))))))</t>
        </is>
      </c>
      <c r="AH207" s="39" t="inlineStr">
        <is>
          <t>IF(OR(F207="",AC207="Completed / Handover",AC207="Cancelled"),"",IF(O207="Not awarded",IF(U207&lt;&gt;"",U207-TODAY(),IF(X207="","",X207-TODAY())),IF(X207="","",X207-TODAY())))</t>
        </is>
      </c>
      <c r="AI207" s="59" t="n"/>
      <c r="AJ207" s="59" t="n"/>
      <c r="AK207" s="59" t="n"/>
      <c r="AL207" s="59" t="n"/>
      <c r="AM207" s="59" t="n"/>
      <c r="AN207" s="59" t="n"/>
      <c r="AO207" s="59" t="n"/>
      <c r="AP207" s="59" t="n"/>
      <c r="AQ207" s="59" t="n"/>
      <c r="AR207" s="59" t="n"/>
      <c r="AS207" s="59" t="n"/>
      <c r="AT207" s="40" t="n"/>
      <c r="AU207" s="40" t="n"/>
      <c r="AV207" s="40" t="n"/>
      <c r="AW207" s="39" t="inlineStr">
        <is>
          <t>IF(OR(F207="",AJ207=""),"",IF(COUNT(AI207:AI207)=0,"",AJ207-LOOKUP(2,1/(AI207:AI207&lt;&gt;""),AI207:AI207)))</t>
        </is>
      </c>
      <c r="AX207" s="39" t="inlineStr">
        <is>
          <t>IF(OR(F207="",AK207=""),"",IF(COUNT(AI207:AJ207)=0,"",AK207-LOOKUP(2,1/(AI207:AJ207&lt;&gt;""),AI207:AJ207)))</t>
        </is>
      </c>
      <c r="AY207" s="39" t="inlineStr">
        <is>
          <t>IF(OR(F207="",AL207=""),"",IF(COUNT(AI207:AK207)=0,"",AL207-LOOKUP(2,1/(AI207:AK207&lt;&gt;""),AI207:AK207)))</t>
        </is>
      </c>
      <c r="AZ207" s="39" t="inlineStr">
        <is>
          <t>IF(OR(F207="",AM207=""),"",IF(COUNT(AI207:AL207)=0,"",AM207-LOOKUP(2,1/(AI207:AL207&lt;&gt;""),AI207:AL207)))</t>
        </is>
      </c>
      <c r="BA207" s="39" t="inlineStr">
        <is>
          <t>IF(OR(F207="",AN207=""),"",IF(COUNT(AI207:AM207)=0,"",AN207-LOOKUP(2,1/(AI207:AM207&lt;&gt;""),AI207:AM207)))</t>
        </is>
      </c>
      <c r="BB207" s="39" t="inlineStr">
        <is>
          <t>IF(OR(F207="",AO207=""),"",IF(COUNT(AI207:AN207)=0,"",AO207-LOOKUP(2,1/(AI207:AN207&lt;&gt;""),AI207:AN207)))</t>
        </is>
      </c>
      <c r="BC207" s="39" t="inlineStr">
        <is>
          <t>IF(OR(F207="",AP207=""),"",IF(COUNT(AI207:AO207)=0,"",AP207-LOOKUP(2,1/(AI207:AO207&lt;&gt;""),AI207:AO207)))</t>
        </is>
      </c>
      <c r="BD207" s="39" t="inlineStr">
        <is>
          <t>IF(OR(F207="",AQ207=""),"",IF(COUNT(AI207:AP207)=0,"",AQ207-LOOKUP(2,1/(AI207:AP207&lt;&gt;""),AI207:AP207)))</t>
        </is>
      </c>
      <c r="BE207" s="39" t="inlineStr">
        <is>
          <t>IF(OR(F207="",AR207=""),"",IF(COUNT(AI207:AQ207)=0,"",AR207-LOOKUP(2,1/(AI207:AQ207&lt;&gt;""),AI207:AQ207)))</t>
        </is>
      </c>
      <c r="BF207" s="39" t="inlineStr">
        <is>
          <t>IF(OR(F207="",AS207=""),"",IF(COUNT(AI207:AR207)=0,"",AS207-LOOKUP(2,1/(AI207:AR207&lt;&gt;""),AI207:AR207)))</t>
        </is>
      </c>
      <c r="BG207" s="39" t="inlineStr">
        <is>
          <t>IF(OR(F207="",AT207=""),"",IF(COUNT(AI207:AS207)=0,"",AT207-LOOKUP(2,1/(AI207:AS207&lt;&gt;""),AI207:AS207)))</t>
        </is>
      </c>
      <c r="BH207" s="39" t="inlineStr">
        <is>
          <t>IF(OR(F207="",AU207=""),"",IF(COUNT(AI207:AT207)=0,"",AU207-LOOKUP(2,1/(AI207:AT207&lt;&gt;""),AI207:AT207)))</t>
        </is>
      </c>
      <c r="BI207" s="39" t="inlineStr">
        <is>
          <t>IF(OR(F207="",AV207=""),"",IF(COUNT(AI207:AU207)=0,"",AV207-LOOKUP(2,1/(AI207:AU207&lt;&gt;""),AI207:AU207)))</t>
        </is>
      </c>
      <c r="BJ207" s="41" t="inlineStr">
        <is>
          <t>IF(J207="","All_Provinces",IFERROR(VLOOKUP(J207,'09_Lookups'!$A$4:$B$20,2,FALSE),"All_Provinces"))</t>
        </is>
      </c>
      <c r="BK207" s="41" t="inlineStr">
        <is>
          <t>IF(K207="","All_Districts",IFERROR(VLOOKUP(K207,'09_Lookups'!$E$4:$F$42,2,FALSE),"All_Districts"))</t>
        </is>
      </c>
    </row>
    <row r="208" ht="18" customHeight="1">
      <c r="A208" s="32" t="inlineStr">
        <is>
          <t>IF(F208="","",ROW()-3)</t>
        </is>
      </c>
      <c r="B208" s="33" t="inlineStr">
        <is>
          <t>AF2-IS-43</t>
        </is>
      </c>
      <c r="C208" s="33" t="inlineStr">
        <is>
          <t>Package #43-AF2 IS: Rehabilitation of Sar Nary canal irrigation scheme, located in Arghandab districts of Zabul province.</t>
        </is>
      </c>
      <c r="D208" s="33" t="inlineStr">
        <is>
          <t>1 of 1</t>
        </is>
      </c>
      <c r="E208" s="34" t="inlineStr">
        <is>
          <t>AF2-IS-N-031</t>
        </is>
      </c>
      <c r="F208" s="34" t="inlineStr">
        <is>
          <t>Sar Nary Canals Irrigation Scheme</t>
        </is>
      </c>
      <c r="G208" s="34" t="inlineStr">
        <is>
          <t>Irrigation Scheme</t>
        </is>
      </c>
      <c r="H208" s="34" t="inlineStr">
        <is>
          <t>Irrigation Canal</t>
        </is>
      </c>
      <c r="I208" s="34" t="inlineStr">
        <is>
          <t>Emergency Food Security Project (EFSP) – WBK/AF-2</t>
        </is>
      </c>
      <c r="J208" s="34" t="inlineStr">
        <is>
          <t>Central Highland / Bamyan</t>
        </is>
      </c>
      <c r="K208" s="34" t="inlineStr">
        <is>
          <t>Zabul</t>
        </is>
      </c>
      <c r="L208" s="34" t="inlineStr">
        <is>
          <t>Arghandab</t>
        </is>
      </c>
      <c r="M208" s="34" t="inlineStr">
        <is>
          <t>-</t>
        </is>
      </c>
      <c r="N208" s="34" t="inlineStr">
        <is>
          <t>World Bank (WBK/AF-2)</t>
        </is>
      </c>
      <c r="O208" s="34" t="inlineStr">
        <is>
          <t>Not awarded</t>
        </is>
      </c>
      <c r="P208" s="34" t="inlineStr">
        <is>
          <t>2.Remain contracts_On&amp;off-farm</t>
        </is>
      </c>
      <c r="Q208" s="34" t="inlineStr"/>
      <c r="R208" s="34" t="inlineStr"/>
      <c r="S208" s="35" t="n">
        <v>160000</v>
      </c>
      <c r="T208" s="36" t="inlineStr">
        <is>
          <t>IF(AQ208="","",AQ208)</t>
        </is>
      </c>
      <c r="U208" s="37" t="n">
        <v>46376</v>
      </c>
      <c r="V208" s="38" t="n">
        <v>8.9</v>
      </c>
      <c r="W208" s="37" t="n">
        <v>46646</v>
      </c>
      <c r="X208" s="36" t="inlineStr">
        <is>
          <t>IF(W208&lt;&gt;"",W208,IF(OR(T208="",V208=""),"",EDATE(T208,V208)))</t>
        </is>
      </c>
      <c r="Y208" s="37" t="n"/>
      <c r="Z208" s="38" t="n"/>
      <c r="AA208" s="34" t="inlineStr">
        <is>
          <t>Under Design</t>
        </is>
      </c>
      <c r="AB208" s="34" t="inlineStr">
        <is>
          <t>Three months slack period Jan-Mar during winter. Six months construction period required for two canals in two districts. Explore splitting into two lots and if one lot ready then raise PR.</t>
        </is>
      </c>
      <c r="AC208" s="32" t="inlineStr">
        <is>
          <t>IF(F208="","",IF(COUNT(AI208:AV208)=0,IF(AA208="","Not started",AA208),SUBSTITUTE(LOOKUP(2,1/(AI208:AV208&lt;&gt;""),$AI$3:$AV$3),"Date: ","")))</t>
        </is>
      </c>
      <c r="AD208" s="39" t="inlineStr">
        <is>
          <t>IF(OR(F208="",COUNT(AI208:AV208)=0),"",TODAY()-LOOKUP(2,1/(AI208:AV208&lt;&gt;""),AI208:AV208))</t>
        </is>
      </c>
      <c r="AE208" s="39" t="inlineStr">
        <is>
          <t>IF(OR(F208="",COUNT(AI208:AV208)&lt;2),"",LOOKUP(2,1/(AI208:AV208&lt;&gt;""),AI208:AV208)-MIN(AI208:AV208))</t>
        </is>
      </c>
      <c r="AF208" s="39" t="inlineStr">
        <is>
          <t>IF(OR(AD208="",AC208="Not started",AC208=""),"",IFERROR(AD208-IF(VLOOKUP(AC208,'06_Status_Pipeline'!$B$3:$E$20,4,FALSE)="",0,VLOOKUP(AC208,'06_Status_Pipeline'!$B$3:$E$20,4,FALSE)),""))</t>
        </is>
      </c>
      <c r="AG208" s="32" t="inlineStr">
        <is>
          <t>IF(F208="","",IF(OR(AA208="Cancelled",AC208="Cancelled"),"Cancelled",IF(OR(AC208="Completed / Handover",Y208&lt;&gt;"",Z208&gt;=100),"Completed — on track",IF(O208="Not awarded",IF(U208="",IF(X208="","No planned date",IF(TODAY()&gt;X208,"Behind — past planned date",IF(X208-TODAY()&lt;=30,"At risk — close to off track","On track"))),IF(TODAY()&gt;U208,"Behind — award date passed",IF(U208-TODAY()&lt;=30,"At risk — close to off track","On track"))),IF(X208="","No planned date",IF(AND(TODAY()&gt;X208,OR(Z208="",Z208&lt;100)),"Behind — past end date",IF(AND(T208&lt;&gt;"",X208&lt;&gt;"",Z208&lt;&gt;"",(Z208&lt;100),((TODAY()-T208)/MAX(X208-T208,1)*100)-Z208&gt;15),"Behind — progress lag",IF(AND(X208-TODAY()&lt;=30,X208-TODAY()&gt;=0,OR(Z208="",Z208&lt;90)),"At risk — close to off track","On track"))))))))</t>
        </is>
      </c>
      <c r="AH208" s="39" t="inlineStr">
        <is>
          <t>IF(OR(F208="",AC208="Completed / Handover",AC208="Cancelled"),"",IF(O208="Not awarded",IF(U208&lt;&gt;"",U208-TODAY(),IF(X208="","",X208-TODAY())),IF(X208="","",X208-TODAY())))</t>
        </is>
      </c>
      <c r="AI208" s="37" t="n"/>
      <c r="AJ208" s="37" t="n"/>
      <c r="AK208" s="37" t="n"/>
      <c r="AL208" s="37" t="n"/>
      <c r="AM208" s="37" t="n"/>
      <c r="AN208" s="37" t="n"/>
      <c r="AO208" s="37" t="n"/>
      <c r="AP208" s="37" t="n"/>
      <c r="AQ208" s="37" t="n"/>
      <c r="AR208" s="37" t="n"/>
      <c r="AS208" s="37" t="n"/>
      <c r="AT208" s="40" t="n"/>
      <c r="AU208" s="40" t="n"/>
      <c r="AV208" s="40" t="n"/>
      <c r="AW208" s="39" t="inlineStr">
        <is>
          <t>IF(OR(F208="",AJ208=""),"",IF(COUNT(AI208:AI208)=0,"",AJ208-LOOKUP(2,1/(AI208:AI208&lt;&gt;""),AI208:AI208)))</t>
        </is>
      </c>
      <c r="AX208" s="39" t="inlineStr">
        <is>
          <t>IF(OR(F208="",AK208=""),"",IF(COUNT(AI208:AJ208)=0,"",AK208-LOOKUP(2,1/(AI208:AJ208&lt;&gt;""),AI208:AJ208)))</t>
        </is>
      </c>
      <c r="AY208" s="39" t="inlineStr">
        <is>
          <t>IF(OR(F208="",AL208=""),"",IF(COUNT(AI208:AK208)=0,"",AL208-LOOKUP(2,1/(AI208:AK208&lt;&gt;""),AI208:AK208)))</t>
        </is>
      </c>
      <c r="AZ208" s="39" t="inlineStr">
        <is>
          <t>IF(OR(F208="",AM208=""),"",IF(COUNT(AI208:AL208)=0,"",AM208-LOOKUP(2,1/(AI208:AL208&lt;&gt;""),AI208:AL208)))</t>
        </is>
      </c>
      <c r="BA208" s="39" t="inlineStr">
        <is>
          <t>IF(OR(F208="",AN208=""),"",IF(COUNT(AI208:AM208)=0,"",AN208-LOOKUP(2,1/(AI208:AM208&lt;&gt;""),AI208:AM208)))</t>
        </is>
      </c>
      <c r="BB208" s="39" t="inlineStr">
        <is>
          <t>IF(OR(F208="",AO208=""),"",IF(COUNT(AI208:AN208)=0,"",AO208-LOOKUP(2,1/(AI208:AN208&lt;&gt;""),AI208:AN208)))</t>
        </is>
      </c>
      <c r="BC208" s="39" t="inlineStr">
        <is>
          <t>IF(OR(F208="",AP208=""),"",IF(COUNT(AI208:AO208)=0,"",AP208-LOOKUP(2,1/(AI208:AO208&lt;&gt;""),AI208:AO208)))</t>
        </is>
      </c>
      <c r="BD208" s="39" t="inlineStr">
        <is>
          <t>IF(OR(F208="",AQ208=""),"",IF(COUNT(AI208:AP208)=0,"",AQ208-LOOKUP(2,1/(AI208:AP208&lt;&gt;""),AI208:AP208)))</t>
        </is>
      </c>
      <c r="BE208" s="39" t="inlineStr">
        <is>
          <t>IF(OR(F208="",AR208=""),"",IF(COUNT(AI208:AQ208)=0,"",AR208-LOOKUP(2,1/(AI208:AQ208&lt;&gt;""),AI208:AQ208)))</t>
        </is>
      </c>
      <c r="BF208" s="39" t="inlineStr">
        <is>
          <t>IF(OR(F208="",AS208=""),"",IF(COUNT(AI208:AR208)=0,"",AS208-LOOKUP(2,1/(AI208:AR208&lt;&gt;""),AI208:AR208)))</t>
        </is>
      </c>
      <c r="BG208" s="39" t="inlineStr">
        <is>
          <t>IF(OR(F208="",AT208=""),"",IF(COUNT(AI208:AS208)=0,"",AT208-LOOKUP(2,1/(AI208:AS208&lt;&gt;""),AI208:AS208)))</t>
        </is>
      </c>
      <c r="BH208" s="39" t="inlineStr">
        <is>
          <t>IF(OR(F208="",AU208=""),"",IF(COUNT(AI208:AT208)=0,"",AU208-LOOKUP(2,1/(AI208:AT208&lt;&gt;""),AI208:AT208)))</t>
        </is>
      </c>
      <c r="BI208" s="39" t="inlineStr">
        <is>
          <t>IF(OR(F208="",AV208=""),"",IF(COUNT(AI208:AU208)=0,"",AV208-LOOKUP(2,1/(AI208:AU208&lt;&gt;""),AI208:AU208)))</t>
        </is>
      </c>
      <c r="BJ208" s="41" t="inlineStr">
        <is>
          <t>IF(J208="","All_Provinces",IFERROR(VLOOKUP(J208,'09_Lookups'!$A$4:$B$20,2,FALSE),"All_Provinces"))</t>
        </is>
      </c>
      <c r="BK208" s="41" t="inlineStr">
        <is>
          <t>IF(K208="","All_Districts",IFERROR(VLOOKUP(K208,'09_Lookups'!$E$4:$F$42,2,FALSE),"All_Districts"))</t>
        </is>
      </c>
    </row>
    <row r="209" ht="18" customHeight="1">
      <c r="A209" s="32" t="inlineStr">
        <is>
          <t>IF(F209="","",ROW()-3)</t>
        </is>
      </c>
      <c r="B209" s="56" t="inlineStr">
        <is>
          <t>AF2-IS-44</t>
        </is>
      </c>
      <c r="C209" s="56" t="inlineStr">
        <is>
          <t>Package #44-AF2 IS: Rehabilitation of Boghoz Qum canal irrigation schemes, located in Chahar Dara district of Kunduz province.</t>
        </is>
      </c>
      <c r="D209" s="56" t="inlineStr">
        <is>
          <t>1 of 1</t>
        </is>
      </c>
      <c r="E209" s="57" t="inlineStr">
        <is>
          <t>AF2-IS-N-032</t>
        </is>
      </c>
      <c r="F209" s="57" t="inlineStr">
        <is>
          <t>Boghoz Qum Irrigation scheme</t>
        </is>
      </c>
      <c r="G209" s="57" t="inlineStr">
        <is>
          <t>Irrigation Scheme</t>
        </is>
      </c>
      <c r="H209" s="57" t="inlineStr">
        <is>
          <t>Irrigation Canal</t>
        </is>
      </c>
      <c r="I209" s="57" t="inlineStr">
        <is>
          <t>Emergency Food Security Project (EFSP) – WBK/AF-2</t>
        </is>
      </c>
      <c r="J209" s="57" t="inlineStr">
        <is>
          <t>Central Highland / Bamyan</t>
        </is>
      </c>
      <c r="K209" s="57" t="inlineStr">
        <is>
          <t>Kunduz</t>
        </is>
      </c>
      <c r="L209" s="57" t="inlineStr">
        <is>
          <t>Chahar Dara</t>
        </is>
      </c>
      <c r="M209" s="57" t="inlineStr">
        <is>
          <t>Boghoz Qum</t>
        </is>
      </c>
      <c r="N209" s="57" t="inlineStr">
        <is>
          <t>World Bank (WBK/AF-2)</t>
        </is>
      </c>
      <c r="O209" s="57" t="inlineStr">
        <is>
          <t>Not awarded</t>
        </is>
      </c>
      <c r="P209" s="57" t="inlineStr">
        <is>
          <t>2.Remain contracts_On&amp;off-farm</t>
        </is>
      </c>
      <c r="Q209" s="57" t="inlineStr"/>
      <c r="R209" s="57" t="inlineStr"/>
      <c r="S209" s="58" t="n">
        <v>200000</v>
      </c>
      <c r="T209" s="36" t="inlineStr">
        <is>
          <t>IF(AQ209="","",AQ209)</t>
        </is>
      </c>
      <c r="U209" s="59" t="n">
        <v>46351</v>
      </c>
      <c r="V209" s="60" t="n">
        <v>9.9</v>
      </c>
      <c r="W209" s="59" t="n">
        <v>46651</v>
      </c>
      <c r="X209" s="36" t="inlineStr">
        <is>
          <t>IF(W209&lt;&gt;"",W209,IF(OR(T209="",V209=""),"",EDATE(T209,V209)))</t>
        </is>
      </c>
      <c r="Y209" s="59" t="n"/>
      <c r="Z209" s="60" t="n"/>
      <c r="AA209" s="57" t="inlineStr">
        <is>
          <t>PR to be Raised</t>
        </is>
      </c>
      <c r="AB209" s="57" t="inlineStr">
        <is>
          <t>Three months slack period Jan-Mar during winter. Seven months construction period required for two canals. Split into 2 lots and make 2 PRs</t>
        </is>
      </c>
      <c r="AC209" s="32" t="inlineStr">
        <is>
          <t>IF(F209="","",IF(COUNT(AI209:AV209)=0,IF(AA209="","Not started",AA209),SUBSTITUTE(LOOKUP(2,1/(AI209:AV209&lt;&gt;""),$AI$3:$AV$3),"Date: ","")))</t>
        </is>
      </c>
      <c r="AD209" s="39" t="inlineStr">
        <is>
          <t>IF(OR(F209="",COUNT(AI209:AV209)=0),"",TODAY()-LOOKUP(2,1/(AI209:AV209&lt;&gt;""),AI209:AV209))</t>
        </is>
      </c>
      <c r="AE209" s="39" t="inlineStr">
        <is>
          <t>IF(OR(F209="",COUNT(AI209:AV209)&lt;2),"",LOOKUP(2,1/(AI209:AV209&lt;&gt;""),AI209:AV209)-MIN(AI209:AV209))</t>
        </is>
      </c>
      <c r="AF209" s="39" t="inlineStr">
        <is>
          <t>IF(OR(AD209="",AC209="Not started",AC209=""),"",IFERROR(AD209-IF(VLOOKUP(AC209,'06_Status_Pipeline'!$B$3:$E$20,4,FALSE)="",0,VLOOKUP(AC209,'06_Status_Pipeline'!$B$3:$E$20,4,FALSE)),""))</t>
        </is>
      </c>
      <c r="AG209" s="32" t="inlineStr">
        <is>
          <t>IF(F209="","",IF(OR(AA209="Cancelled",AC209="Cancelled"),"Cancelled",IF(OR(AC209="Completed / Handover",Y209&lt;&gt;"",Z209&gt;=100),"Completed — on track",IF(O209="Not awarded",IF(U209="",IF(X209="","No planned date",IF(TODAY()&gt;X209,"Behind — past planned date",IF(X209-TODAY()&lt;=30,"At risk — close to off track","On track"))),IF(TODAY()&gt;U209,"Behind — award date passed",IF(U209-TODAY()&lt;=30,"At risk — close to off track","On track"))),IF(X209="","No planned date",IF(AND(TODAY()&gt;X209,OR(Z209="",Z209&lt;100)),"Behind — past end date",IF(AND(T209&lt;&gt;"",X209&lt;&gt;"",Z209&lt;&gt;"",(Z209&lt;100),((TODAY()-T209)/MAX(X209-T209,1)*100)-Z209&gt;15),"Behind — progress lag",IF(AND(X209-TODAY()&lt;=30,X209-TODAY()&gt;=0,OR(Z209="",Z209&lt;90)),"At risk — close to off track","On track"))))))))</t>
        </is>
      </c>
      <c r="AH209" s="39" t="inlineStr">
        <is>
          <t>IF(OR(F209="",AC209="Completed / Handover",AC209="Cancelled"),"",IF(O209="Not awarded",IF(U209&lt;&gt;"",U209-TODAY(),IF(X209="","",X209-TODAY())),IF(X209="","",X209-TODAY())))</t>
        </is>
      </c>
      <c r="AI209" s="59" t="n"/>
      <c r="AJ209" s="59" t="n"/>
      <c r="AK209" s="59" t="n"/>
      <c r="AL209" s="59" t="n"/>
      <c r="AM209" s="59" t="n"/>
      <c r="AN209" s="59" t="n"/>
      <c r="AO209" s="59" t="n"/>
      <c r="AP209" s="59" t="n"/>
      <c r="AQ209" s="59" t="n"/>
      <c r="AR209" s="59" t="n"/>
      <c r="AS209" s="59" t="n"/>
      <c r="AT209" s="40" t="n"/>
      <c r="AU209" s="40" t="n"/>
      <c r="AV209" s="40" t="n"/>
      <c r="AW209" s="39" t="inlineStr">
        <is>
          <t>IF(OR(F209="",AJ209=""),"",IF(COUNT(AI209:AI209)=0,"",AJ209-LOOKUP(2,1/(AI209:AI209&lt;&gt;""),AI209:AI209)))</t>
        </is>
      </c>
      <c r="AX209" s="39" t="inlineStr">
        <is>
          <t>IF(OR(F209="",AK209=""),"",IF(COUNT(AI209:AJ209)=0,"",AK209-LOOKUP(2,1/(AI209:AJ209&lt;&gt;""),AI209:AJ209)))</t>
        </is>
      </c>
      <c r="AY209" s="39" t="inlineStr">
        <is>
          <t>IF(OR(F209="",AL209=""),"",IF(COUNT(AI209:AK209)=0,"",AL209-LOOKUP(2,1/(AI209:AK209&lt;&gt;""),AI209:AK209)))</t>
        </is>
      </c>
      <c r="AZ209" s="39" t="inlineStr">
        <is>
          <t>IF(OR(F209="",AM209=""),"",IF(COUNT(AI209:AL209)=0,"",AM209-LOOKUP(2,1/(AI209:AL209&lt;&gt;""),AI209:AL209)))</t>
        </is>
      </c>
      <c r="BA209" s="39" t="inlineStr">
        <is>
          <t>IF(OR(F209="",AN209=""),"",IF(COUNT(AI209:AM209)=0,"",AN209-LOOKUP(2,1/(AI209:AM209&lt;&gt;""),AI209:AM209)))</t>
        </is>
      </c>
      <c r="BB209" s="39" t="inlineStr">
        <is>
          <t>IF(OR(F209="",AO209=""),"",IF(COUNT(AI209:AN209)=0,"",AO209-LOOKUP(2,1/(AI209:AN209&lt;&gt;""),AI209:AN209)))</t>
        </is>
      </c>
      <c r="BC209" s="39" t="inlineStr">
        <is>
          <t>IF(OR(F209="",AP209=""),"",IF(COUNT(AI209:AO209)=0,"",AP209-LOOKUP(2,1/(AI209:AO209&lt;&gt;""),AI209:AO209)))</t>
        </is>
      </c>
      <c r="BD209" s="39" t="inlineStr">
        <is>
          <t>IF(OR(F209="",AQ209=""),"",IF(COUNT(AI209:AP209)=0,"",AQ209-LOOKUP(2,1/(AI209:AP209&lt;&gt;""),AI209:AP209)))</t>
        </is>
      </c>
      <c r="BE209" s="39" t="inlineStr">
        <is>
          <t>IF(OR(F209="",AR209=""),"",IF(COUNT(AI209:AQ209)=0,"",AR209-LOOKUP(2,1/(AI209:AQ209&lt;&gt;""),AI209:AQ209)))</t>
        </is>
      </c>
      <c r="BF209" s="39" t="inlineStr">
        <is>
          <t>IF(OR(F209="",AS209=""),"",IF(COUNT(AI209:AR209)=0,"",AS209-LOOKUP(2,1/(AI209:AR209&lt;&gt;""),AI209:AR209)))</t>
        </is>
      </c>
      <c r="BG209" s="39" t="inlineStr">
        <is>
          <t>IF(OR(F209="",AT209=""),"",IF(COUNT(AI209:AS209)=0,"",AT209-LOOKUP(2,1/(AI209:AS209&lt;&gt;""),AI209:AS209)))</t>
        </is>
      </c>
      <c r="BH209" s="39" t="inlineStr">
        <is>
          <t>IF(OR(F209="",AU209=""),"",IF(COUNT(AI209:AT209)=0,"",AU209-LOOKUP(2,1/(AI209:AT209&lt;&gt;""),AI209:AT209)))</t>
        </is>
      </c>
      <c r="BI209" s="39" t="inlineStr">
        <is>
          <t>IF(OR(F209="",AV209=""),"",IF(COUNT(AI209:AU209)=0,"",AV209-LOOKUP(2,1/(AI209:AU209&lt;&gt;""),AI209:AU209)))</t>
        </is>
      </c>
      <c r="BJ209" s="41" t="inlineStr">
        <is>
          <t>IF(J209="","All_Provinces",IFERROR(VLOOKUP(J209,'09_Lookups'!$A$4:$B$20,2,FALSE),"All_Provinces"))</t>
        </is>
      </c>
      <c r="BK209" s="41" t="inlineStr">
        <is>
          <t>IF(K209="","All_Districts",IFERROR(VLOOKUP(K209,'09_Lookups'!$E$4:$F$42,2,FALSE),"All_Districts"))</t>
        </is>
      </c>
    </row>
    <row r="210" ht="18" customHeight="1">
      <c r="A210" s="32" t="inlineStr">
        <is>
          <t>IF(F210="","",ROW()-3)</t>
        </is>
      </c>
      <c r="B210" s="62" t="inlineStr">
        <is>
          <t>AF2-IS-45</t>
        </is>
      </c>
      <c r="C210" s="62" t="inlineStr">
        <is>
          <t>Package # 45-AF2 IS: Rehabilitation of Khushpak Markazi canals irrigation scheme, located in Ishkashim districts of Badakhshan province.</t>
        </is>
      </c>
      <c r="D210" s="62" t="inlineStr">
        <is>
          <t>1 of 1</t>
        </is>
      </c>
      <c r="E210" s="34" t="inlineStr">
        <is>
          <t>AF2-IS-N-033</t>
        </is>
      </c>
      <c r="F210" s="34" t="inlineStr">
        <is>
          <t>Khushpak Markazi Canal Irrigation Scheme</t>
        </is>
      </c>
      <c r="G210" s="34" t="inlineStr">
        <is>
          <t>Irrigation Scheme</t>
        </is>
      </c>
      <c r="H210" s="34" t="inlineStr">
        <is>
          <t>Irrigation Canal</t>
        </is>
      </c>
      <c r="I210" s="34" t="inlineStr">
        <is>
          <t>Emergency Food Security Project (EFSP) – WBK/AF-2</t>
        </is>
      </c>
      <c r="J210" s="34" t="inlineStr">
        <is>
          <t>Central Highland / Bamyan</t>
        </is>
      </c>
      <c r="K210" s="34" t="inlineStr">
        <is>
          <t>Badakhshan</t>
        </is>
      </c>
      <c r="L210" s="34" t="inlineStr">
        <is>
          <t>Ishkashim</t>
        </is>
      </c>
      <c r="M210" s="34" t="inlineStr">
        <is>
          <t>Osas</t>
        </is>
      </c>
      <c r="N210" s="34" t="inlineStr">
        <is>
          <t>World Bank (WBK/AF-2)</t>
        </is>
      </c>
      <c r="O210" s="34" t="inlineStr">
        <is>
          <t>Not awarded</t>
        </is>
      </c>
      <c r="P210" s="34" t="inlineStr">
        <is>
          <t>2.Remain contracts_On&amp;off-farm</t>
        </is>
      </c>
      <c r="Q210" s="34" t="inlineStr"/>
      <c r="R210" s="34" t="inlineStr"/>
      <c r="S210" s="35" t="n">
        <v>85774.97</v>
      </c>
      <c r="T210" s="36" t="inlineStr">
        <is>
          <t>IF(AQ210="","",AQ210)</t>
        </is>
      </c>
      <c r="U210" s="37" t="n">
        <v>46400</v>
      </c>
      <c r="V210" s="38" t="n">
        <v>6.9</v>
      </c>
      <c r="W210" s="37" t="n">
        <v>46610</v>
      </c>
      <c r="X210" s="36" t="inlineStr">
        <is>
          <t>IF(W210&lt;&gt;"",W210,IF(OR(T210="",V210=""),"",EDATE(T210,V210)))</t>
        </is>
      </c>
      <c r="Y210" s="37" t="n"/>
      <c r="Z210" s="38" t="n"/>
      <c r="AA210" s="34" t="inlineStr">
        <is>
          <t>PR to be Raised</t>
        </is>
      </c>
      <c r="AB210" s="34" t="inlineStr">
        <is>
          <t>Three months slack period Jan-Mar during winter. Six months construction period required for two canals</t>
        </is>
      </c>
      <c r="AC210" s="32" t="inlineStr">
        <is>
          <t>IF(F210="","",IF(COUNT(AI210:AV210)=0,IF(AA210="","Not started",AA210),SUBSTITUTE(LOOKUP(2,1/(AI210:AV210&lt;&gt;""),$AI$3:$AV$3),"Date: ","")))</t>
        </is>
      </c>
      <c r="AD210" s="39" t="inlineStr">
        <is>
          <t>IF(OR(F210="",COUNT(AI210:AV210)=0),"",TODAY()-LOOKUP(2,1/(AI210:AV210&lt;&gt;""),AI210:AV210))</t>
        </is>
      </c>
      <c r="AE210" s="39" t="inlineStr">
        <is>
          <t>IF(OR(F210="",COUNT(AI210:AV210)&lt;2),"",LOOKUP(2,1/(AI210:AV210&lt;&gt;""),AI210:AV210)-MIN(AI210:AV210))</t>
        </is>
      </c>
      <c r="AF210" s="39" t="inlineStr">
        <is>
          <t>IF(OR(AD210="",AC210="Not started",AC210=""),"",IFERROR(AD210-IF(VLOOKUP(AC210,'06_Status_Pipeline'!$B$3:$E$20,4,FALSE)="",0,VLOOKUP(AC210,'06_Status_Pipeline'!$B$3:$E$20,4,FALSE)),""))</t>
        </is>
      </c>
      <c r="AG210" s="32" t="inlineStr">
        <is>
          <t>IF(F210="","",IF(OR(AA210="Cancelled",AC210="Cancelled"),"Cancelled",IF(OR(AC210="Completed / Handover",Y210&lt;&gt;"",Z210&gt;=100),"Completed — on track",IF(O210="Not awarded",IF(U210="",IF(X210="","No planned date",IF(TODAY()&gt;X210,"Behind — past planned date",IF(X210-TODAY()&lt;=30,"At risk — close to off track","On track"))),IF(TODAY()&gt;U210,"Behind — award date passed",IF(U210-TODAY()&lt;=30,"At risk — close to off track","On track"))),IF(X210="","No planned date",IF(AND(TODAY()&gt;X210,OR(Z210="",Z210&lt;100)),"Behind — past end date",IF(AND(T210&lt;&gt;"",X210&lt;&gt;"",Z210&lt;&gt;"",(Z210&lt;100),((TODAY()-T210)/MAX(X210-T210,1)*100)-Z210&gt;15),"Behind — progress lag",IF(AND(X210-TODAY()&lt;=30,X210-TODAY()&gt;=0,OR(Z210="",Z210&lt;90)),"At risk — close to off track","On track"))))))))</t>
        </is>
      </c>
      <c r="AH210" s="39" t="inlineStr">
        <is>
          <t>IF(OR(F210="",AC210="Completed / Handover",AC210="Cancelled"),"",IF(O210="Not awarded",IF(U210&lt;&gt;"",U210-TODAY(),IF(X210="","",X210-TODAY())),IF(X210="","",X210-TODAY())))</t>
        </is>
      </c>
      <c r="AI210" s="37" t="n"/>
      <c r="AJ210" s="37" t="n"/>
      <c r="AK210" s="37" t="n"/>
      <c r="AL210" s="37" t="n"/>
      <c r="AM210" s="37" t="n"/>
      <c r="AN210" s="37" t="n"/>
      <c r="AO210" s="37" t="n"/>
      <c r="AP210" s="37" t="n"/>
      <c r="AQ210" s="37" t="n"/>
      <c r="AR210" s="37" t="n"/>
      <c r="AS210" s="37" t="n"/>
      <c r="AT210" s="40" t="n"/>
      <c r="AU210" s="40" t="n"/>
      <c r="AV210" s="40" t="n"/>
      <c r="AW210" s="39" t="inlineStr">
        <is>
          <t>IF(OR(F210="",AJ210=""),"",IF(COUNT(AI210:AI210)=0,"",AJ210-LOOKUP(2,1/(AI210:AI210&lt;&gt;""),AI210:AI210)))</t>
        </is>
      </c>
      <c r="AX210" s="39" t="inlineStr">
        <is>
          <t>IF(OR(F210="",AK210=""),"",IF(COUNT(AI210:AJ210)=0,"",AK210-LOOKUP(2,1/(AI210:AJ210&lt;&gt;""),AI210:AJ210)))</t>
        </is>
      </c>
      <c r="AY210" s="39" t="inlineStr">
        <is>
          <t>IF(OR(F210="",AL210=""),"",IF(COUNT(AI210:AK210)=0,"",AL210-LOOKUP(2,1/(AI210:AK210&lt;&gt;""),AI210:AK210)))</t>
        </is>
      </c>
      <c r="AZ210" s="39" t="inlineStr">
        <is>
          <t>IF(OR(F210="",AM210=""),"",IF(COUNT(AI210:AL210)=0,"",AM210-LOOKUP(2,1/(AI210:AL210&lt;&gt;""),AI210:AL210)))</t>
        </is>
      </c>
      <c r="BA210" s="39" t="inlineStr">
        <is>
          <t>IF(OR(F210="",AN210=""),"",IF(COUNT(AI210:AM210)=0,"",AN210-LOOKUP(2,1/(AI210:AM210&lt;&gt;""),AI210:AM210)))</t>
        </is>
      </c>
      <c r="BB210" s="39" t="inlineStr">
        <is>
          <t>IF(OR(F210="",AO210=""),"",IF(COUNT(AI210:AN210)=0,"",AO210-LOOKUP(2,1/(AI210:AN210&lt;&gt;""),AI210:AN210)))</t>
        </is>
      </c>
      <c r="BC210" s="39" t="inlineStr">
        <is>
          <t>IF(OR(F210="",AP210=""),"",IF(COUNT(AI210:AO210)=0,"",AP210-LOOKUP(2,1/(AI210:AO210&lt;&gt;""),AI210:AO210)))</t>
        </is>
      </c>
      <c r="BD210" s="39" t="inlineStr">
        <is>
          <t>IF(OR(F210="",AQ210=""),"",IF(COUNT(AI210:AP210)=0,"",AQ210-LOOKUP(2,1/(AI210:AP210&lt;&gt;""),AI210:AP210)))</t>
        </is>
      </c>
      <c r="BE210" s="39" t="inlineStr">
        <is>
          <t>IF(OR(F210="",AR210=""),"",IF(COUNT(AI210:AQ210)=0,"",AR210-LOOKUP(2,1/(AI210:AQ210&lt;&gt;""),AI210:AQ210)))</t>
        </is>
      </c>
      <c r="BF210" s="39" t="inlineStr">
        <is>
          <t>IF(OR(F210="",AS210=""),"",IF(COUNT(AI210:AR210)=0,"",AS210-LOOKUP(2,1/(AI210:AR210&lt;&gt;""),AI210:AR210)))</t>
        </is>
      </c>
      <c r="BG210" s="39" t="inlineStr">
        <is>
          <t>IF(OR(F210="",AT210=""),"",IF(COUNT(AI210:AS210)=0,"",AT210-LOOKUP(2,1/(AI210:AS210&lt;&gt;""),AI210:AS210)))</t>
        </is>
      </c>
      <c r="BH210" s="39" t="inlineStr">
        <is>
          <t>IF(OR(F210="",AU210=""),"",IF(COUNT(AI210:AT210)=0,"",AU210-LOOKUP(2,1/(AI210:AT210&lt;&gt;""),AI210:AT210)))</t>
        </is>
      </c>
      <c r="BI210" s="39" t="inlineStr">
        <is>
          <t>IF(OR(F210="",AV210=""),"",IF(COUNT(AI210:AU210)=0,"",AV210-LOOKUP(2,1/(AI210:AU210&lt;&gt;""),AI210:AU210)))</t>
        </is>
      </c>
      <c r="BJ210" s="41" t="inlineStr">
        <is>
          <t>IF(J210="","All_Provinces",IFERROR(VLOOKUP(J210,'09_Lookups'!$A$4:$B$20,2,FALSE),"All_Provinces"))</t>
        </is>
      </c>
      <c r="BK210" s="41" t="inlineStr">
        <is>
          <t>IF(K210="","All_Districts",IFERROR(VLOOKUP(K210,'09_Lookups'!$E$4:$F$42,2,FALSE),"All_Districts"))</t>
        </is>
      </c>
    </row>
    <row r="211" ht="18" customHeight="1">
      <c r="A211" s="32" t="inlineStr">
        <is>
          <t>IF(F211="","",ROW()-3)</t>
        </is>
      </c>
      <c r="B211" s="64" t="inlineStr">
        <is>
          <t>AF2-IS-46</t>
        </is>
      </c>
      <c r="C211" s="64" t="inlineStr">
        <is>
          <t>Package # 46-AF2 IS: Rehabilitation of Joy Shahr canal and Khanum Arabia canal irrigation schemes, located in Aqcha and Faizabad districts of Jawzjan province.</t>
        </is>
      </c>
      <c r="D211" s="64" t="inlineStr">
        <is>
          <t>1 of 1</t>
        </is>
      </c>
      <c r="E211" s="57" t="inlineStr">
        <is>
          <t>AF2-IS-N-034</t>
        </is>
      </c>
      <c r="F211" s="57" t="inlineStr">
        <is>
          <t>Hidar Abad Canal Irrigation scheme</t>
        </is>
      </c>
      <c r="G211" s="57" t="inlineStr">
        <is>
          <t>Irrigation Scheme</t>
        </is>
      </c>
      <c r="H211" s="57" t="inlineStr">
        <is>
          <t>Irrigation Canal</t>
        </is>
      </c>
      <c r="I211" s="57" t="inlineStr">
        <is>
          <t>Emergency Food Security Project (EFSP) – WBK/AF-2</t>
        </is>
      </c>
      <c r="J211" s="57" t="inlineStr">
        <is>
          <t>Central Highland / Bamyan</t>
        </is>
      </c>
      <c r="K211" s="57" t="inlineStr">
        <is>
          <t>Jawzjan</t>
        </is>
      </c>
      <c r="L211" s="57" t="inlineStr">
        <is>
          <t>Faizabad</t>
        </is>
      </c>
      <c r="M211" s="57" t="inlineStr">
        <is>
          <t>Haidar Abad and Naw Abad</t>
        </is>
      </c>
      <c r="N211" s="57" t="inlineStr">
        <is>
          <t>World Bank (WBK/AF-2)</t>
        </is>
      </c>
      <c r="O211" s="57" t="inlineStr">
        <is>
          <t>Not awarded</t>
        </is>
      </c>
      <c r="P211" s="57" t="inlineStr">
        <is>
          <t>2.Remain contracts_On&amp;off-farm</t>
        </is>
      </c>
      <c r="Q211" s="57" t="inlineStr"/>
      <c r="R211" s="57" t="inlineStr"/>
      <c r="S211" s="58" t="n">
        <v>276650</v>
      </c>
      <c r="T211" s="36" t="inlineStr">
        <is>
          <t>IF(AQ211="","",AQ211)</t>
        </is>
      </c>
      <c r="U211" s="59" t="n">
        <v>46374</v>
      </c>
      <c r="V211" s="60" t="n">
        <v>9.9</v>
      </c>
      <c r="W211" s="59" t="n">
        <v>46674</v>
      </c>
      <c r="X211" s="36" t="inlineStr">
        <is>
          <t>IF(W211&lt;&gt;"",W211,IF(OR(T211="",V211=""),"",EDATE(T211,V211)))</t>
        </is>
      </c>
      <c r="Y211" s="59" t="n"/>
      <c r="Z211" s="60" t="n"/>
      <c r="AA211" s="57" t="inlineStr">
        <is>
          <t>Under LTO Review</t>
        </is>
      </c>
      <c r="AB211" s="57" t="inlineStr">
        <is>
          <t>Three months slack period Jan-Mar during winter. Seven months construction period required for two canals. Explore split into 2 lots</t>
        </is>
      </c>
      <c r="AC211" s="32" t="inlineStr">
        <is>
          <t>IF(F211="","",IF(COUNT(AI211:AV211)=0,IF(AA211="","Not started",AA211),SUBSTITUTE(LOOKUP(2,1/(AI211:AV211&lt;&gt;""),$AI$3:$AV$3),"Date: ","")))</t>
        </is>
      </c>
      <c r="AD211" s="39" t="inlineStr">
        <is>
          <t>IF(OR(F211="",COUNT(AI211:AV211)=0),"",TODAY()-LOOKUP(2,1/(AI211:AV211&lt;&gt;""),AI211:AV211))</t>
        </is>
      </c>
      <c r="AE211" s="39" t="inlineStr">
        <is>
          <t>IF(OR(F211="",COUNT(AI211:AV211)&lt;2),"",LOOKUP(2,1/(AI211:AV211&lt;&gt;""),AI211:AV211)-MIN(AI211:AV211))</t>
        </is>
      </c>
      <c r="AF211" s="39" t="inlineStr">
        <is>
          <t>IF(OR(AD211="",AC211="Not started",AC211=""),"",IFERROR(AD211-IF(VLOOKUP(AC211,'06_Status_Pipeline'!$B$3:$E$20,4,FALSE)="",0,VLOOKUP(AC211,'06_Status_Pipeline'!$B$3:$E$20,4,FALSE)),""))</t>
        </is>
      </c>
      <c r="AG211" s="32" t="inlineStr">
        <is>
          <t>IF(F211="","",IF(OR(AA211="Cancelled",AC211="Cancelled"),"Cancelled",IF(OR(AC211="Completed / Handover",Y211&lt;&gt;"",Z211&gt;=100),"Completed — on track",IF(O211="Not awarded",IF(U211="",IF(X211="","No planned date",IF(TODAY()&gt;X211,"Behind — past planned date",IF(X211-TODAY()&lt;=30,"At risk — close to off track","On track"))),IF(TODAY()&gt;U211,"Behind — award date passed",IF(U211-TODAY()&lt;=30,"At risk — close to off track","On track"))),IF(X211="","No planned date",IF(AND(TODAY()&gt;X211,OR(Z211="",Z211&lt;100)),"Behind — past end date",IF(AND(T211&lt;&gt;"",X211&lt;&gt;"",Z211&lt;&gt;"",(Z211&lt;100),((TODAY()-T211)/MAX(X211-T211,1)*100)-Z211&gt;15),"Behind — progress lag",IF(AND(X211-TODAY()&lt;=30,X211-TODAY()&gt;=0,OR(Z211="",Z211&lt;90)),"At risk — close to off track","On track"))))))))</t>
        </is>
      </c>
      <c r="AH211" s="39" t="inlineStr">
        <is>
          <t>IF(OR(F211="",AC211="Completed / Handover",AC211="Cancelled"),"",IF(O211="Not awarded",IF(U211&lt;&gt;"",U211-TODAY(),IF(X211="","",X211-TODAY())),IF(X211="","",X211-TODAY())))</t>
        </is>
      </c>
      <c r="AI211" s="59" t="n"/>
      <c r="AJ211" s="59" t="n"/>
      <c r="AK211" s="59" t="n"/>
      <c r="AL211" s="59" t="n"/>
      <c r="AM211" s="59" t="n"/>
      <c r="AN211" s="59" t="n"/>
      <c r="AO211" s="59" t="n"/>
      <c r="AP211" s="59" t="n"/>
      <c r="AQ211" s="59" t="n"/>
      <c r="AR211" s="59" t="n"/>
      <c r="AS211" s="59" t="n"/>
      <c r="AT211" s="40" t="n"/>
      <c r="AU211" s="40" t="n"/>
      <c r="AV211" s="40" t="n"/>
      <c r="AW211" s="39" t="inlineStr">
        <is>
          <t>IF(OR(F211="",AJ211=""),"",IF(COUNT(AI211:AI211)=0,"",AJ211-LOOKUP(2,1/(AI211:AI211&lt;&gt;""),AI211:AI211)))</t>
        </is>
      </c>
      <c r="AX211" s="39" t="inlineStr">
        <is>
          <t>IF(OR(F211="",AK211=""),"",IF(COUNT(AI211:AJ211)=0,"",AK211-LOOKUP(2,1/(AI211:AJ211&lt;&gt;""),AI211:AJ211)))</t>
        </is>
      </c>
      <c r="AY211" s="39" t="inlineStr">
        <is>
          <t>IF(OR(F211="",AL211=""),"",IF(COUNT(AI211:AK211)=0,"",AL211-LOOKUP(2,1/(AI211:AK211&lt;&gt;""),AI211:AK211)))</t>
        </is>
      </c>
      <c r="AZ211" s="39" t="inlineStr">
        <is>
          <t>IF(OR(F211="",AM211=""),"",IF(COUNT(AI211:AL211)=0,"",AM211-LOOKUP(2,1/(AI211:AL211&lt;&gt;""),AI211:AL211)))</t>
        </is>
      </c>
      <c r="BA211" s="39" t="inlineStr">
        <is>
          <t>IF(OR(F211="",AN211=""),"",IF(COUNT(AI211:AM211)=0,"",AN211-LOOKUP(2,1/(AI211:AM211&lt;&gt;""),AI211:AM211)))</t>
        </is>
      </c>
      <c r="BB211" s="39" t="inlineStr">
        <is>
          <t>IF(OR(F211="",AO211=""),"",IF(COUNT(AI211:AN211)=0,"",AO211-LOOKUP(2,1/(AI211:AN211&lt;&gt;""),AI211:AN211)))</t>
        </is>
      </c>
      <c r="BC211" s="39" t="inlineStr">
        <is>
          <t>IF(OR(F211="",AP211=""),"",IF(COUNT(AI211:AO211)=0,"",AP211-LOOKUP(2,1/(AI211:AO211&lt;&gt;""),AI211:AO211)))</t>
        </is>
      </c>
      <c r="BD211" s="39" t="inlineStr">
        <is>
          <t>IF(OR(F211="",AQ211=""),"",IF(COUNT(AI211:AP211)=0,"",AQ211-LOOKUP(2,1/(AI211:AP211&lt;&gt;""),AI211:AP211)))</t>
        </is>
      </c>
      <c r="BE211" s="39" t="inlineStr">
        <is>
          <t>IF(OR(F211="",AR211=""),"",IF(COUNT(AI211:AQ211)=0,"",AR211-LOOKUP(2,1/(AI211:AQ211&lt;&gt;""),AI211:AQ211)))</t>
        </is>
      </c>
      <c r="BF211" s="39" t="inlineStr">
        <is>
          <t>IF(OR(F211="",AS211=""),"",IF(COUNT(AI211:AR211)=0,"",AS211-LOOKUP(2,1/(AI211:AR211&lt;&gt;""),AI211:AR211)))</t>
        </is>
      </c>
      <c r="BG211" s="39" t="inlineStr">
        <is>
          <t>IF(OR(F211="",AT211=""),"",IF(COUNT(AI211:AS211)=0,"",AT211-LOOKUP(2,1/(AI211:AS211&lt;&gt;""),AI211:AS211)))</t>
        </is>
      </c>
      <c r="BH211" s="39" t="inlineStr">
        <is>
          <t>IF(OR(F211="",AU211=""),"",IF(COUNT(AI211:AT211)=0,"",AU211-LOOKUP(2,1/(AI211:AT211&lt;&gt;""),AI211:AT211)))</t>
        </is>
      </c>
      <c r="BI211" s="39" t="inlineStr">
        <is>
          <t>IF(OR(F211="",AV211=""),"",IF(COUNT(AI211:AU211)=0,"",AV211-LOOKUP(2,1/(AI211:AU211&lt;&gt;""),AI211:AU211)))</t>
        </is>
      </c>
      <c r="BJ211" s="41" t="inlineStr">
        <is>
          <t>IF(J211="","All_Provinces",IFERROR(VLOOKUP(J211,'09_Lookups'!$A$4:$B$20,2,FALSE),"All_Provinces"))</t>
        </is>
      </c>
      <c r="BK211" s="41" t="inlineStr">
        <is>
          <t>IF(K211="","All_Districts",IFERROR(VLOOKUP(K211,'09_Lookups'!$E$4:$F$42,2,FALSE),"All_Districts"))</t>
        </is>
      </c>
    </row>
    <row r="212" ht="18" customHeight="1">
      <c r="A212" s="32" t="inlineStr">
        <is>
          <t>IF(F212="","",ROW()-3)</t>
        </is>
      </c>
      <c r="B212" s="33" t="inlineStr">
        <is>
          <t>AF2-LLL-ALL</t>
        </is>
      </c>
      <c r="C212" s="33" t="inlineStr">
        <is>
          <t>EFSP-AF2 LLL supply and delivery (50 units)</t>
        </is>
      </c>
      <c r="D212" s="33" t="inlineStr">
        <is>
          <t>1 of 50</t>
        </is>
      </c>
      <c r="E212" s="34" t="inlineStr">
        <is>
          <t>AF2-LLL-N-001</t>
        </is>
      </c>
      <c r="F212" s="34" t="inlineStr">
        <is>
          <t>Abdul Baqi irrigation scheme</t>
        </is>
      </c>
      <c r="G212" s="34" t="inlineStr">
        <is>
          <t>Laser Land Leveler (LLL)</t>
        </is>
      </c>
      <c r="H212" s="34" t="inlineStr">
        <is>
          <t>LLL unit</t>
        </is>
      </c>
      <c r="I212" s="34" t="inlineStr">
        <is>
          <t>Emergency Food Security Project (EFSP) – WBK/AF-2</t>
        </is>
      </c>
      <c r="J212" s="34" t="inlineStr">
        <is>
          <t>North / Mazar</t>
        </is>
      </c>
      <c r="K212" s="34" t="inlineStr">
        <is>
          <t>Balklh</t>
        </is>
      </c>
      <c r="L212" s="34" t="inlineStr">
        <is>
          <t>Chimtal</t>
        </is>
      </c>
      <c r="M212" s="34" t="inlineStr">
        <is>
          <t>1 unit(s)</t>
        </is>
      </c>
      <c r="N212" s="34" t="inlineStr">
        <is>
          <t>World Bank (WBK/AF-2)</t>
        </is>
      </c>
      <c r="O212" s="34" t="inlineStr">
        <is>
          <t>Not awarded</t>
        </is>
      </c>
      <c r="P212" s="34" t="inlineStr">
        <is>
          <t>6. Supply and delivery of LLL</t>
        </is>
      </c>
      <c r="Q212" s="34" t="inlineStr"/>
      <c r="R212" s="34" t="inlineStr"/>
      <c r="S212" s="35" t="n"/>
      <c r="T212" s="36" t="inlineStr">
        <is>
          <t>IF(AQ212="","",AQ212)</t>
        </is>
      </c>
      <c r="U212" s="37" t="n">
        <v>46325</v>
      </c>
      <c r="V212" s="38" t="n"/>
      <c r="W212" s="37" t="n">
        <v>46418</v>
      </c>
      <c r="X212" s="36" t="inlineStr">
        <is>
          <t>IF(W212&lt;&gt;"",W212,IF(OR(T212="",V212=""),"",EDATE(T212,V212)))</t>
        </is>
      </c>
      <c r="Y212" s="37" t="n"/>
      <c r="Z212" s="38" t="n"/>
      <c r="AA212" s="34" t="inlineStr">
        <is>
          <t>Under Awarding</t>
        </is>
      </c>
      <c r="AB212" s="34" t="inlineStr">
        <is>
          <t>The Procurement process is initiated in April and PO will be issued late October 2026. and delivery will be done by End of December 2026 and onward in January 2027 it is planned to be distributed to the selected beneficiaries.</t>
        </is>
      </c>
      <c r="AC212" s="32" t="inlineStr">
        <is>
          <t>IF(F212="","",IF(COUNT(AI212:AV212)=0,IF(AA212="","Not started",AA212),SUBSTITUTE(LOOKUP(2,1/(AI212:AV212&lt;&gt;""),$AI$3:$AV$3),"Date: ","")))</t>
        </is>
      </c>
      <c r="AD212" s="39" t="inlineStr">
        <is>
          <t>IF(OR(F212="",COUNT(AI212:AV212)=0),"",TODAY()-LOOKUP(2,1/(AI212:AV212&lt;&gt;""),AI212:AV212))</t>
        </is>
      </c>
      <c r="AE212" s="39" t="inlineStr">
        <is>
          <t>IF(OR(F212="",COUNT(AI212:AV212)&lt;2),"",LOOKUP(2,1/(AI212:AV212&lt;&gt;""),AI212:AV212)-MIN(AI212:AV212))</t>
        </is>
      </c>
      <c r="AF212" s="39" t="inlineStr">
        <is>
          <t>IF(OR(AD212="",AC212="Not started",AC212=""),"",IFERROR(AD212-IF(VLOOKUP(AC212,'06_Status_Pipeline'!$B$3:$E$20,4,FALSE)="",0,VLOOKUP(AC212,'06_Status_Pipeline'!$B$3:$E$20,4,FALSE)),""))</t>
        </is>
      </c>
      <c r="AG212" s="32" t="inlineStr">
        <is>
          <t>IF(F212="","",IF(OR(AA212="Cancelled",AC212="Cancelled"),"Cancelled",IF(OR(AC212="Completed / Handover",Y212&lt;&gt;"",Z212&gt;=100),"Completed — on track",IF(O212="Not awarded",IF(U212="",IF(X212="","No planned date",IF(TODAY()&gt;X212,"Behind — past planned date",IF(X212-TODAY()&lt;=30,"At risk — close to off track","On track"))),IF(TODAY()&gt;U212,"Behind — award date passed",IF(U212-TODAY()&lt;=30,"At risk — close to off track","On track"))),IF(X212="","No planned date",IF(AND(TODAY()&gt;X212,OR(Z212="",Z212&lt;100)),"Behind — past end date",IF(AND(T212&lt;&gt;"",X212&lt;&gt;"",Z212&lt;&gt;"",(Z212&lt;100),((TODAY()-T212)/MAX(X212-T212,1)*100)-Z212&gt;15),"Behind — progress lag",IF(AND(X212-TODAY()&lt;=30,X212-TODAY()&gt;=0,OR(Z212="",Z212&lt;90)),"At risk — close to off track","On track"))))))))</t>
        </is>
      </c>
      <c r="AH212" s="39" t="inlineStr">
        <is>
          <t>IF(OR(F212="",AC212="Completed / Handover",AC212="Cancelled"),"",IF(O212="Not awarded",IF(U212&lt;&gt;"",U212-TODAY(),IF(X212="","",X212-TODAY())),IF(X212="","",X212-TODAY())))</t>
        </is>
      </c>
      <c r="AI212" s="37" t="n"/>
      <c r="AJ212" s="37" t="n"/>
      <c r="AK212" s="37" t="n"/>
      <c r="AL212" s="37" t="n"/>
      <c r="AM212" s="37" t="n"/>
      <c r="AN212" s="37" t="n"/>
      <c r="AO212" s="37" t="n"/>
      <c r="AP212" s="37" t="n"/>
      <c r="AQ212" s="37" t="n"/>
      <c r="AR212" s="37" t="n"/>
      <c r="AS212" s="37" t="n"/>
      <c r="AT212" s="40" t="n"/>
      <c r="AU212" s="40" t="n"/>
      <c r="AV212" s="40" t="n"/>
      <c r="AW212" s="39" t="inlineStr">
        <is>
          <t>IF(OR(F212="",AJ212=""),"",IF(COUNT(AI212:AI212)=0,"",AJ212-LOOKUP(2,1/(AI212:AI212&lt;&gt;""),AI212:AI212)))</t>
        </is>
      </c>
      <c r="AX212" s="39" t="inlineStr">
        <is>
          <t>IF(OR(F212="",AK212=""),"",IF(COUNT(AI212:AJ212)=0,"",AK212-LOOKUP(2,1/(AI212:AJ212&lt;&gt;""),AI212:AJ212)))</t>
        </is>
      </c>
      <c r="AY212" s="39" t="inlineStr">
        <is>
          <t>IF(OR(F212="",AL212=""),"",IF(COUNT(AI212:AK212)=0,"",AL212-LOOKUP(2,1/(AI212:AK212&lt;&gt;""),AI212:AK212)))</t>
        </is>
      </c>
      <c r="AZ212" s="39" t="inlineStr">
        <is>
          <t>IF(OR(F212="",AM212=""),"",IF(COUNT(AI212:AL212)=0,"",AM212-LOOKUP(2,1/(AI212:AL212&lt;&gt;""),AI212:AL212)))</t>
        </is>
      </c>
      <c r="BA212" s="39" t="inlineStr">
        <is>
          <t>IF(OR(F212="",AN212=""),"",IF(COUNT(AI212:AM212)=0,"",AN212-LOOKUP(2,1/(AI212:AM212&lt;&gt;""),AI212:AM212)))</t>
        </is>
      </c>
      <c r="BB212" s="39" t="inlineStr">
        <is>
          <t>IF(OR(F212="",AO212=""),"",IF(COUNT(AI212:AN212)=0,"",AO212-LOOKUP(2,1/(AI212:AN212&lt;&gt;""),AI212:AN212)))</t>
        </is>
      </c>
      <c r="BC212" s="39" t="inlineStr">
        <is>
          <t>IF(OR(F212="",AP212=""),"",IF(COUNT(AI212:AO212)=0,"",AP212-LOOKUP(2,1/(AI212:AO212&lt;&gt;""),AI212:AO212)))</t>
        </is>
      </c>
      <c r="BD212" s="39" t="inlineStr">
        <is>
          <t>IF(OR(F212="",AQ212=""),"",IF(COUNT(AI212:AP212)=0,"",AQ212-LOOKUP(2,1/(AI212:AP212&lt;&gt;""),AI212:AP212)))</t>
        </is>
      </c>
      <c r="BE212" s="39" t="inlineStr">
        <is>
          <t>IF(OR(F212="",AR212=""),"",IF(COUNT(AI212:AQ212)=0,"",AR212-LOOKUP(2,1/(AI212:AQ212&lt;&gt;""),AI212:AQ212)))</t>
        </is>
      </c>
      <c r="BF212" s="39" t="inlineStr">
        <is>
          <t>IF(OR(F212="",AS212=""),"",IF(COUNT(AI212:AR212)=0,"",AS212-LOOKUP(2,1/(AI212:AR212&lt;&gt;""),AI212:AR212)))</t>
        </is>
      </c>
      <c r="BG212" s="39" t="inlineStr">
        <is>
          <t>IF(OR(F212="",AT212=""),"",IF(COUNT(AI212:AS212)=0,"",AT212-LOOKUP(2,1/(AI212:AS212&lt;&gt;""),AI212:AS212)))</t>
        </is>
      </c>
      <c r="BH212" s="39" t="inlineStr">
        <is>
          <t>IF(OR(F212="",AU212=""),"",IF(COUNT(AI212:AT212)=0,"",AU212-LOOKUP(2,1/(AI212:AT212&lt;&gt;""),AI212:AT212)))</t>
        </is>
      </c>
      <c r="BI212" s="39" t="inlineStr">
        <is>
          <t>IF(OR(F212="",AV212=""),"",IF(COUNT(AI212:AU212)=0,"",AV212-LOOKUP(2,1/(AI212:AU212&lt;&gt;""),AI212:AU212)))</t>
        </is>
      </c>
      <c r="BJ212" s="41" t="inlineStr">
        <is>
          <t>IF(J212="","All_Provinces",IFERROR(VLOOKUP(J212,'09_Lookups'!$A$4:$B$20,2,FALSE),"All_Provinces"))</t>
        </is>
      </c>
      <c r="BK212" s="41" t="inlineStr">
        <is>
          <t>IF(K212="","All_Districts",IFERROR(VLOOKUP(K212,'09_Lookups'!$E$4:$F$42,2,FALSE),"All_Districts"))</t>
        </is>
      </c>
    </row>
    <row r="213" outlineLevel="1" ht="18" customHeight="1">
      <c r="A213" s="42" t="inlineStr">
        <is>
          <t>IF(F213="","",ROW()-3)</t>
        </is>
      </c>
      <c r="B213" s="43" t="inlineStr">
        <is>
          <t>AF2-LLL-ALL</t>
        </is>
      </c>
      <c r="C213" s="43" t="inlineStr">
        <is>
          <t>EFSP-AF2 LLL supply and delivery (50 units)</t>
        </is>
      </c>
      <c r="D213" s="43" t="inlineStr">
        <is>
          <t>2 of 50</t>
        </is>
      </c>
      <c r="E213" s="44" t="inlineStr">
        <is>
          <t>AF2-LLL-N-002</t>
        </is>
      </c>
      <c r="F213" s="44" t="inlineStr">
        <is>
          <t>Abi Aruq and Shaitan Aruq Irrigation Schemes</t>
        </is>
      </c>
      <c r="G213" s="44" t="inlineStr">
        <is>
          <t>Laser Land Leveler (LLL)</t>
        </is>
      </c>
      <c r="H213" s="44" t="inlineStr">
        <is>
          <t>LLL unit</t>
        </is>
      </c>
      <c r="I213" s="44" t="inlineStr">
        <is>
          <t>Emergency Food Security Project (EFSP) – WBK/AF-2</t>
        </is>
      </c>
      <c r="J213" s="44" t="inlineStr">
        <is>
          <t>Northeast / Kunduz</t>
        </is>
      </c>
      <c r="K213" s="44" t="inlineStr">
        <is>
          <t>Takhar</t>
        </is>
      </c>
      <c r="L213" s="44" t="inlineStr">
        <is>
          <t>Khwaja Ghar</t>
        </is>
      </c>
      <c r="M213" s="44" t="inlineStr">
        <is>
          <t>1 unit(s)</t>
        </is>
      </c>
      <c r="N213" s="44" t="inlineStr">
        <is>
          <t>World Bank (WBK/AF-2)</t>
        </is>
      </c>
      <c r="O213" s="44" t="inlineStr">
        <is>
          <t>Not awarded</t>
        </is>
      </c>
      <c r="P213" s="44" t="inlineStr">
        <is>
          <t>6. Supply and delivery of LLL</t>
        </is>
      </c>
      <c r="Q213" s="44" t="inlineStr"/>
      <c r="R213" s="44" t="inlineStr"/>
      <c r="S213" s="45" t="n"/>
      <c r="T213" s="46" t="inlineStr">
        <is>
          <t>IF(AQ213="","",AQ213)</t>
        </is>
      </c>
      <c r="U213" s="47" t="n">
        <v>46325</v>
      </c>
      <c r="V213" s="48" t="n"/>
      <c r="W213" s="47" t="n">
        <v>46418</v>
      </c>
      <c r="X213" s="46" t="inlineStr">
        <is>
          <t>IF(W213&lt;&gt;"",W213,IF(OR(T213="",V213=""),"",EDATE(T213,V213)))</t>
        </is>
      </c>
      <c r="Y213" s="47" t="n"/>
      <c r="Z213" s="48" t="n"/>
      <c r="AA213" s="44" t="inlineStr">
        <is>
          <t>Under Awarding</t>
        </is>
      </c>
      <c r="AB213" s="44" t="inlineStr">
        <is>
          <t>The Procurement process is initiated in April and PO will be issued late October 2026. and delivery will be done by End of December 2026 and onward in January 2027 it is planned to be distributed to the selected beneficiaries.</t>
        </is>
      </c>
      <c r="AC213" s="42" t="inlineStr">
        <is>
          <t>IF(F213="","",IF(COUNT(AI213:AV213)=0,IF(AA213="","Not started",AA213),SUBSTITUTE(LOOKUP(2,1/(AI213:AV213&lt;&gt;""),$AI$3:$AV$3),"Date: ","")))</t>
        </is>
      </c>
      <c r="AD213" s="49" t="inlineStr">
        <is>
          <t>IF(OR(F213="",COUNT(AI213:AV213)=0),"",TODAY()-LOOKUP(2,1/(AI213:AV213&lt;&gt;""),AI213:AV213))</t>
        </is>
      </c>
      <c r="AE213" s="49" t="inlineStr">
        <is>
          <t>IF(OR(F213="",COUNT(AI213:AV213)&lt;2),"",LOOKUP(2,1/(AI213:AV213&lt;&gt;""),AI213:AV213)-MIN(AI213:AV213))</t>
        </is>
      </c>
      <c r="AF213" s="49" t="inlineStr">
        <is>
          <t>IF(OR(AD213="",AC213="Not started",AC213=""),"",IFERROR(AD213-IF(VLOOKUP(AC213,'06_Status_Pipeline'!$B$3:$E$20,4,FALSE)="",0,VLOOKUP(AC213,'06_Status_Pipeline'!$B$3:$E$20,4,FALSE)),""))</t>
        </is>
      </c>
      <c r="AG213" s="42" t="inlineStr">
        <is>
          <t>IF(F213="","",IF(OR(AA213="Cancelled",AC213="Cancelled"),"Cancelled",IF(OR(AC213="Completed / Handover",Y213&lt;&gt;"",Z213&gt;=100),"Completed — on track",IF(O213="Not awarded",IF(U213="",IF(X213="","No planned date",IF(TODAY()&gt;X213,"Behind — past planned date",IF(X213-TODAY()&lt;=30,"At risk — close to off track","On track"))),IF(TODAY()&gt;U213,"Behind — award date passed",IF(U213-TODAY()&lt;=30,"At risk — close to off track","On track"))),IF(X213="","No planned date",IF(AND(TODAY()&gt;X213,OR(Z213="",Z213&lt;100)),"Behind — past end date",IF(AND(T213&lt;&gt;"",X213&lt;&gt;"",Z213&lt;&gt;"",(Z213&lt;100),((TODAY()-T213)/MAX(X213-T213,1)*100)-Z213&gt;15),"Behind — progress lag",IF(AND(X213-TODAY()&lt;=30,X213-TODAY()&gt;=0,OR(Z213="",Z213&lt;90)),"At risk — close to off track","On track"))))))))</t>
        </is>
      </c>
      <c r="AH213" s="49" t="inlineStr">
        <is>
          <t>IF(OR(F213="",AC213="Completed / Handover",AC213="Cancelled"),"",IF(O213="Not awarded",IF(U213&lt;&gt;"",U213-TODAY(),IF(X213="","",X213-TODAY())),IF(X213="","",X213-TODAY())))</t>
        </is>
      </c>
      <c r="AI213" s="47" t="n"/>
      <c r="AJ213" s="47" t="n"/>
      <c r="AK213" s="47" t="n"/>
      <c r="AL213" s="47" t="n"/>
      <c r="AM213" s="47" t="n"/>
      <c r="AN213" s="47" t="n"/>
      <c r="AO213" s="47" t="n"/>
      <c r="AP213" s="47" t="n"/>
      <c r="AQ213" s="47" t="n"/>
      <c r="AR213" s="47" t="n"/>
      <c r="AS213" s="47" t="n"/>
      <c r="AT213" s="50" t="n"/>
      <c r="AU213" s="50" t="n"/>
      <c r="AV213" s="50" t="n"/>
      <c r="AW213" s="49" t="inlineStr">
        <is>
          <t>IF(OR(F213="",AJ213=""),"",IF(COUNT(AI213:AI213)=0,"",AJ213-LOOKUP(2,1/(AI213:AI213&lt;&gt;""),AI213:AI213)))</t>
        </is>
      </c>
      <c r="AX213" s="49" t="inlineStr">
        <is>
          <t>IF(OR(F213="",AK213=""),"",IF(COUNT(AI213:AJ213)=0,"",AK213-LOOKUP(2,1/(AI213:AJ213&lt;&gt;""),AI213:AJ213)))</t>
        </is>
      </c>
      <c r="AY213" s="49" t="inlineStr">
        <is>
          <t>IF(OR(F213="",AL213=""),"",IF(COUNT(AI213:AK213)=0,"",AL213-LOOKUP(2,1/(AI213:AK213&lt;&gt;""),AI213:AK213)))</t>
        </is>
      </c>
      <c r="AZ213" s="49" t="inlineStr">
        <is>
          <t>IF(OR(F213="",AM213=""),"",IF(COUNT(AI213:AL213)=0,"",AM213-LOOKUP(2,1/(AI213:AL213&lt;&gt;""),AI213:AL213)))</t>
        </is>
      </c>
      <c r="BA213" s="49" t="inlineStr">
        <is>
          <t>IF(OR(F213="",AN213=""),"",IF(COUNT(AI213:AM213)=0,"",AN213-LOOKUP(2,1/(AI213:AM213&lt;&gt;""),AI213:AM213)))</t>
        </is>
      </c>
      <c r="BB213" s="49" t="inlineStr">
        <is>
          <t>IF(OR(F213="",AO213=""),"",IF(COUNT(AI213:AN213)=0,"",AO213-LOOKUP(2,1/(AI213:AN213&lt;&gt;""),AI213:AN213)))</t>
        </is>
      </c>
      <c r="BC213" s="49" t="inlineStr">
        <is>
          <t>IF(OR(F213="",AP213=""),"",IF(COUNT(AI213:AO213)=0,"",AP213-LOOKUP(2,1/(AI213:AO213&lt;&gt;""),AI213:AO213)))</t>
        </is>
      </c>
      <c r="BD213" s="49" t="inlineStr">
        <is>
          <t>IF(OR(F213="",AQ213=""),"",IF(COUNT(AI213:AP213)=0,"",AQ213-LOOKUP(2,1/(AI213:AP213&lt;&gt;""),AI213:AP213)))</t>
        </is>
      </c>
      <c r="BE213" s="49" t="inlineStr">
        <is>
          <t>IF(OR(F213="",AR213=""),"",IF(COUNT(AI213:AQ213)=0,"",AR213-LOOKUP(2,1/(AI213:AQ213&lt;&gt;""),AI213:AQ213)))</t>
        </is>
      </c>
      <c r="BF213" s="49" t="inlineStr">
        <is>
          <t>IF(OR(F213="",AS213=""),"",IF(COUNT(AI213:AR213)=0,"",AS213-LOOKUP(2,1/(AI213:AR213&lt;&gt;""),AI213:AR213)))</t>
        </is>
      </c>
      <c r="BG213" s="49" t="inlineStr">
        <is>
          <t>IF(OR(F213="",AT213=""),"",IF(COUNT(AI213:AS213)=0,"",AT213-LOOKUP(2,1/(AI213:AS213&lt;&gt;""),AI213:AS213)))</t>
        </is>
      </c>
      <c r="BH213" s="49" t="inlineStr">
        <is>
          <t>IF(OR(F213="",AU213=""),"",IF(COUNT(AI213:AT213)=0,"",AU213-LOOKUP(2,1/(AI213:AT213&lt;&gt;""),AI213:AT213)))</t>
        </is>
      </c>
      <c r="BI213" s="49" t="inlineStr">
        <is>
          <t>IF(OR(F213="",AV213=""),"",IF(COUNT(AI213:AU213)=0,"",AV213-LOOKUP(2,1/(AI213:AU213&lt;&gt;""),AI213:AU213)))</t>
        </is>
      </c>
      <c r="BJ213" s="51" t="inlineStr">
        <is>
          <t>IF(J213="","All_Provinces",IFERROR(VLOOKUP(J213,'09_Lookups'!$A$4:$B$20,2,FALSE),"All_Provinces"))</t>
        </is>
      </c>
      <c r="BK213" s="51" t="inlineStr">
        <is>
          <t>IF(K213="","All_Districts",IFERROR(VLOOKUP(K213,'09_Lookups'!$E$4:$F$42,2,FALSE),"All_Districts"))</t>
        </is>
      </c>
    </row>
    <row r="214" outlineLevel="1" ht="18" customHeight="1">
      <c r="A214" s="42" t="inlineStr">
        <is>
          <t>IF(F214="","",ROW()-3)</t>
        </is>
      </c>
      <c r="B214" s="43" t="inlineStr">
        <is>
          <t>AF2-LLL-ALL</t>
        </is>
      </c>
      <c r="C214" s="43" t="inlineStr">
        <is>
          <t>EFSP-AF2 LLL supply and delivery (50 units)</t>
        </is>
      </c>
      <c r="D214" s="43" t="inlineStr">
        <is>
          <t>3 of 50</t>
        </is>
      </c>
      <c r="E214" s="52" t="inlineStr">
        <is>
          <t>AF2-LLL-N-003</t>
        </is>
      </c>
      <c r="F214" s="52" t="inlineStr">
        <is>
          <t>Ali Mansoor Irrigation Scheme</t>
        </is>
      </c>
      <c r="G214" s="52" t="inlineStr">
        <is>
          <t>Laser Land Leveler (LLL)</t>
        </is>
      </c>
      <c r="H214" s="52" t="inlineStr">
        <is>
          <t>LLL unit</t>
        </is>
      </c>
      <c r="I214" s="52" t="inlineStr">
        <is>
          <t>Emergency Food Security Project (EFSP) – WBK/AF-2</t>
        </is>
      </c>
      <c r="J214" s="52" t="inlineStr">
        <is>
          <t>West / Herat</t>
        </is>
      </c>
      <c r="K214" s="52" t="inlineStr">
        <is>
          <t>Herat</t>
        </is>
      </c>
      <c r="L214" s="52" t="inlineStr">
        <is>
          <t>Karukh</t>
        </is>
      </c>
      <c r="M214" s="52" t="inlineStr">
        <is>
          <t>1 unit(s)</t>
        </is>
      </c>
      <c r="N214" s="52" t="inlineStr">
        <is>
          <t>World Bank (WBK/AF-2)</t>
        </is>
      </c>
      <c r="O214" s="52" t="inlineStr">
        <is>
          <t>Not awarded</t>
        </is>
      </c>
      <c r="P214" s="52" t="inlineStr">
        <is>
          <t>6. Supply and delivery of LLL</t>
        </is>
      </c>
      <c r="Q214" s="52" t="inlineStr"/>
      <c r="R214" s="52" t="inlineStr"/>
      <c r="S214" s="53" t="n"/>
      <c r="T214" s="46" t="inlineStr">
        <is>
          <t>IF(AQ214="","",AQ214)</t>
        </is>
      </c>
      <c r="U214" s="54" t="n">
        <v>46325</v>
      </c>
      <c r="V214" s="55" t="n"/>
      <c r="W214" s="54" t="n">
        <v>46418</v>
      </c>
      <c r="X214" s="46" t="inlineStr">
        <is>
          <t>IF(W214&lt;&gt;"",W214,IF(OR(T214="",V214=""),"",EDATE(T214,V214)))</t>
        </is>
      </c>
      <c r="Y214" s="54" t="n"/>
      <c r="Z214" s="55" t="n"/>
      <c r="AA214" s="52" t="inlineStr">
        <is>
          <t>Under Awarding</t>
        </is>
      </c>
      <c r="AB214" s="52" t="inlineStr">
        <is>
          <t>The Procurement process is initiated in April and PO will be issued late October 2026. and delivery will be done by End of December 2026 and onward in January 2027 it is planned to be distributed to the selected beneficiaries.</t>
        </is>
      </c>
      <c r="AC214" s="42" t="inlineStr">
        <is>
          <t>IF(F214="","",IF(COUNT(AI214:AV214)=0,IF(AA214="","Not started",AA214),SUBSTITUTE(LOOKUP(2,1/(AI214:AV214&lt;&gt;""),$AI$3:$AV$3),"Date: ","")))</t>
        </is>
      </c>
      <c r="AD214" s="49" t="inlineStr">
        <is>
          <t>IF(OR(F214="",COUNT(AI214:AV214)=0),"",TODAY()-LOOKUP(2,1/(AI214:AV214&lt;&gt;""),AI214:AV214))</t>
        </is>
      </c>
      <c r="AE214" s="49" t="inlineStr">
        <is>
          <t>IF(OR(F214="",COUNT(AI214:AV214)&lt;2),"",LOOKUP(2,1/(AI214:AV214&lt;&gt;""),AI214:AV214)-MIN(AI214:AV214))</t>
        </is>
      </c>
      <c r="AF214" s="49" t="inlineStr">
        <is>
          <t>IF(OR(AD214="",AC214="Not started",AC214=""),"",IFERROR(AD214-IF(VLOOKUP(AC214,'06_Status_Pipeline'!$B$3:$E$20,4,FALSE)="",0,VLOOKUP(AC214,'06_Status_Pipeline'!$B$3:$E$20,4,FALSE)),""))</t>
        </is>
      </c>
      <c r="AG214" s="42" t="inlineStr">
        <is>
          <t>IF(F214="","",IF(OR(AA214="Cancelled",AC214="Cancelled"),"Cancelled",IF(OR(AC214="Completed / Handover",Y214&lt;&gt;"",Z214&gt;=100),"Completed — on track",IF(O214="Not awarded",IF(U214="",IF(X214="","No planned date",IF(TODAY()&gt;X214,"Behind — past planned date",IF(X214-TODAY()&lt;=30,"At risk — close to off track","On track"))),IF(TODAY()&gt;U214,"Behind — award date passed",IF(U214-TODAY()&lt;=30,"At risk — close to off track","On track"))),IF(X214="","No planned date",IF(AND(TODAY()&gt;X214,OR(Z214="",Z214&lt;100)),"Behind — past end date",IF(AND(T214&lt;&gt;"",X214&lt;&gt;"",Z214&lt;&gt;"",(Z214&lt;100),((TODAY()-T214)/MAX(X214-T214,1)*100)-Z214&gt;15),"Behind — progress lag",IF(AND(X214-TODAY()&lt;=30,X214-TODAY()&gt;=0,OR(Z214="",Z214&lt;90)),"At risk — close to off track","On track"))))))))</t>
        </is>
      </c>
      <c r="AH214" s="49" t="inlineStr">
        <is>
          <t>IF(OR(F214="",AC214="Completed / Handover",AC214="Cancelled"),"",IF(O214="Not awarded",IF(U214&lt;&gt;"",U214-TODAY(),IF(X214="","",X214-TODAY())),IF(X214="","",X214-TODAY())))</t>
        </is>
      </c>
      <c r="AI214" s="54" t="n"/>
      <c r="AJ214" s="54" t="n"/>
      <c r="AK214" s="54" t="n"/>
      <c r="AL214" s="54" t="n"/>
      <c r="AM214" s="54" t="n"/>
      <c r="AN214" s="54" t="n"/>
      <c r="AO214" s="54" t="n"/>
      <c r="AP214" s="54" t="n"/>
      <c r="AQ214" s="54" t="n"/>
      <c r="AR214" s="54" t="n"/>
      <c r="AS214" s="54" t="n"/>
      <c r="AT214" s="50" t="n"/>
      <c r="AU214" s="50" t="n"/>
      <c r="AV214" s="50" t="n"/>
      <c r="AW214" s="49" t="inlineStr">
        <is>
          <t>IF(OR(F214="",AJ214=""),"",IF(COUNT(AI214:AI214)=0,"",AJ214-LOOKUP(2,1/(AI214:AI214&lt;&gt;""),AI214:AI214)))</t>
        </is>
      </c>
      <c r="AX214" s="49" t="inlineStr">
        <is>
          <t>IF(OR(F214="",AK214=""),"",IF(COUNT(AI214:AJ214)=0,"",AK214-LOOKUP(2,1/(AI214:AJ214&lt;&gt;""),AI214:AJ214)))</t>
        </is>
      </c>
      <c r="AY214" s="49" t="inlineStr">
        <is>
          <t>IF(OR(F214="",AL214=""),"",IF(COUNT(AI214:AK214)=0,"",AL214-LOOKUP(2,1/(AI214:AK214&lt;&gt;""),AI214:AK214)))</t>
        </is>
      </c>
      <c r="AZ214" s="49" t="inlineStr">
        <is>
          <t>IF(OR(F214="",AM214=""),"",IF(COUNT(AI214:AL214)=0,"",AM214-LOOKUP(2,1/(AI214:AL214&lt;&gt;""),AI214:AL214)))</t>
        </is>
      </c>
      <c r="BA214" s="49" t="inlineStr">
        <is>
          <t>IF(OR(F214="",AN214=""),"",IF(COUNT(AI214:AM214)=0,"",AN214-LOOKUP(2,1/(AI214:AM214&lt;&gt;""),AI214:AM214)))</t>
        </is>
      </c>
      <c r="BB214" s="49" t="inlineStr">
        <is>
          <t>IF(OR(F214="",AO214=""),"",IF(COUNT(AI214:AN214)=0,"",AO214-LOOKUP(2,1/(AI214:AN214&lt;&gt;""),AI214:AN214)))</t>
        </is>
      </c>
      <c r="BC214" s="49" t="inlineStr">
        <is>
          <t>IF(OR(F214="",AP214=""),"",IF(COUNT(AI214:AO214)=0,"",AP214-LOOKUP(2,1/(AI214:AO214&lt;&gt;""),AI214:AO214)))</t>
        </is>
      </c>
      <c r="BD214" s="49" t="inlineStr">
        <is>
          <t>IF(OR(F214="",AQ214=""),"",IF(COUNT(AI214:AP214)=0,"",AQ214-LOOKUP(2,1/(AI214:AP214&lt;&gt;""),AI214:AP214)))</t>
        </is>
      </c>
      <c r="BE214" s="49" t="inlineStr">
        <is>
          <t>IF(OR(F214="",AR214=""),"",IF(COUNT(AI214:AQ214)=0,"",AR214-LOOKUP(2,1/(AI214:AQ214&lt;&gt;""),AI214:AQ214)))</t>
        </is>
      </c>
      <c r="BF214" s="49" t="inlineStr">
        <is>
          <t>IF(OR(F214="",AS214=""),"",IF(COUNT(AI214:AR214)=0,"",AS214-LOOKUP(2,1/(AI214:AR214&lt;&gt;""),AI214:AR214)))</t>
        </is>
      </c>
      <c r="BG214" s="49" t="inlineStr">
        <is>
          <t>IF(OR(F214="",AT214=""),"",IF(COUNT(AI214:AS214)=0,"",AT214-LOOKUP(2,1/(AI214:AS214&lt;&gt;""),AI214:AS214)))</t>
        </is>
      </c>
      <c r="BH214" s="49" t="inlineStr">
        <is>
          <t>IF(OR(F214="",AU214=""),"",IF(COUNT(AI214:AT214)=0,"",AU214-LOOKUP(2,1/(AI214:AT214&lt;&gt;""),AI214:AT214)))</t>
        </is>
      </c>
      <c r="BI214" s="49" t="inlineStr">
        <is>
          <t>IF(OR(F214="",AV214=""),"",IF(COUNT(AI214:AU214)=0,"",AV214-LOOKUP(2,1/(AI214:AU214&lt;&gt;""),AI214:AU214)))</t>
        </is>
      </c>
      <c r="BJ214" s="51" t="inlineStr">
        <is>
          <t>IF(J214="","All_Provinces",IFERROR(VLOOKUP(J214,'09_Lookups'!$A$4:$B$20,2,FALSE),"All_Provinces"))</t>
        </is>
      </c>
      <c r="BK214" s="51" t="inlineStr">
        <is>
          <t>IF(K214="","All_Districts",IFERROR(VLOOKUP(K214,'09_Lookups'!$E$4:$F$42,2,FALSE),"All_Districts"))</t>
        </is>
      </c>
    </row>
    <row r="215" outlineLevel="1" ht="18" customHeight="1">
      <c r="A215" s="42" t="inlineStr">
        <is>
          <t>IF(F215="","",ROW()-3)</t>
        </is>
      </c>
      <c r="B215" s="43" t="inlineStr">
        <is>
          <t>AF2-LLL-ALL</t>
        </is>
      </c>
      <c r="C215" s="43" t="inlineStr">
        <is>
          <t>EFSP-AF2 LLL supply and delivery (50 units)</t>
        </is>
      </c>
      <c r="D215" s="43" t="inlineStr">
        <is>
          <t>4 of 50</t>
        </is>
      </c>
      <c r="E215" s="44" t="inlineStr">
        <is>
          <t>AF2-LLL-N-004</t>
        </is>
      </c>
      <c r="F215" s="44" t="inlineStr">
        <is>
          <t>Badiabad irrigation scheme</t>
        </is>
      </c>
      <c r="G215" s="44" t="inlineStr">
        <is>
          <t>Laser Land Leveler (LLL)</t>
        </is>
      </c>
      <c r="H215" s="44" t="inlineStr">
        <is>
          <t>LLL unit</t>
        </is>
      </c>
      <c r="I215" s="44" t="inlineStr">
        <is>
          <t>Emergency Food Security Project (EFSP) – WBK/AF-2</t>
        </is>
      </c>
      <c r="J215" s="44" t="inlineStr">
        <is>
          <t>East / Jalalabad</t>
        </is>
      </c>
      <c r="K215" s="44" t="inlineStr">
        <is>
          <t>Laghman</t>
        </is>
      </c>
      <c r="L215" s="44" t="inlineStr">
        <is>
          <t>Alingar</t>
        </is>
      </c>
      <c r="M215" s="44" t="inlineStr">
        <is>
          <t>1 unit(s)</t>
        </is>
      </c>
      <c r="N215" s="44" t="inlineStr">
        <is>
          <t>World Bank (WBK/AF-2)</t>
        </is>
      </c>
      <c r="O215" s="44" t="inlineStr">
        <is>
          <t>Not awarded</t>
        </is>
      </c>
      <c r="P215" s="44" t="inlineStr">
        <is>
          <t>6. Supply and delivery of LLL</t>
        </is>
      </c>
      <c r="Q215" s="44" t="inlineStr"/>
      <c r="R215" s="44" t="inlineStr"/>
      <c r="S215" s="45" t="n"/>
      <c r="T215" s="46" t="inlineStr">
        <is>
          <t>IF(AQ215="","",AQ215)</t>
        </is>
      </c>
      <c r="U215" s="47" t="n">
        <v>46325</v>
      </c>
      <c r="V215" s="48" t="n"/>
      <c r="W215" s="47" t="n">
        <v>46418</v>
      </c>
      <c r="X215" s="46" t="inlineStr">
        <is>
          <t>IF(W215&lt;&gt;"",W215,IF(OR(T215="",V215=""),"",EDATE(T215,V215)))</t>
        </is>
      </c>
      <c r="Y215" s="47" t="n"/>
      <c r="Z215" s="48" t="n"/>
      <c r="AA215" s="44" t="inlineStr">
        <is>
          <t>Under Awarding</t>
        </is>
      </c>
      <c r="AB215" s="44" t="inlineStr">
        <is>
          <t>The Procurement process is initiated in April and PO will be issued late October 2026. and delivery will be done by End of December 2026 and onward in January 2027 it is planned to be distributed to the selected beneficiaries.</t>
        </is>
      </c>
      <c r="AC215" s="42" t="inlineStr">
        <is>
          <t>IF(F215="","",IF(COUNT(AI215:AV215)=0,IF(AA215="","Not started",AA215),SUBSTITUTE(LOOKUP(2,1/(AI215:AV215&lt;&gt;""),$AI$3:$AV$3),"Date: ","")))</t>
        </is>
      </c>
      <c r="AD215" s="49" t="inlineStr">
        <is>
          <t>IF(OR(F215="",COUNT(AI215:AV215)=0),"",TODAY()-LOOKUP(2,1/(AI215:AV215&lt;&gt;""),AI215:AV215))</t>
        </is>
      </c>
      <c r="AE215" s="49" t="inlineStr">
        <is>
          <t>IF(OR(F215="",COUNT(AI215:AV215)&lt;2),"",LOOKUP(2,1/(AI215:AV215&lt;&gt;""),AI215:AV215)-MIN(AI215:AV215))</t>
        </is>
      </c>
      <c r="AF215" s="49" t="inlineStr">
        <is>
          <t>IF(OR(AD215="",AC215="Not started",AC215=""),"",IFERROR(AD215-IF(VLOOKUP(AC215,'06_Status_Pipeline'!$B$3:$E$20,4,FALSE)="",0,VLOOKUP(AC215,'06_Status_Pipeline'!$B$3:$E$20,4,FALSE)),""))</t>
        </is>
      </c>
      <c r="AG215" s="42" t="inlineStr">
        <is>
          <t>IF(F215="","",IF(OR(AA215="Cancelled",AC215="Cancelled"),"Cancelled",IF(OR(AC215="Completed / Handover",Y215&lt;&gt;"",Z215&gt;=100),"Completed — on track",IF(O215="Not awarded",IF(U215="",IF(X215="","No planned date",IF(TODAY()&gt;X215,"Behind — past planned date",IF(X215-TODAY()&lt;=30,"At risk — close to off track","On track"))),IF(TODAY()&gt;U215,"Behind — award date passed",IF(U215-TODAY()&lt;=30,"At risk — close to off track","On track"))),IF(X215="","No planned date",IF(AND(TODAY()&gt;X215,OR(Z215="",Z215&lt;100)),"Behind — past end date",IF(AND(T215&lt;&gt;"",X215&lt;&gt;"",Z215&lt;&gt;"",(Z215&lt;100),((TODAY()-T215)/MAX(X215-T215,1)*100)-Z215&gt;15),"Behind — progress lag",IF(AND(X215-TODAY()&lt;=30,X215-TODAY()&gt;=0,OR(Z215="",Z215&lt;90)),"At risk — close to off track","On track"))))))))</t>
        </is>
      </c>
      <c r="AH215" s="49" t="inlineStr">
        <is>
          <t>IF(OR(F215="",AC215="Completed / Handover",AC215="Cancelled"),"",IF(O215="Not awarded",IF(U215&lt;&gt;"",U215-TODAY(),IF(X215="","",X215-TODAY())),IF(X215="","",X215-TODAY())))</t>
        </is>
      </c>
      <c r="AI215" s="47" t="n"/>
      <c r="AJ215" s="47" t="n"/>
      <c r="AK215" s="47" t="n"/>
      <c r="AL215" s="47" t="n"/>
      <c r="AM215" s="47" t="n"/>
      <c r="AN215" s="47" t="n"/>
      <c r="AO215" s="47" t="n"/>
      <c r="AP215" s="47" t="n"/>
      <c r="AQ215" s="47" t="n"/>
      <c r="AR215" s="47" t="n"/>
      <c r="AS215" s="47" t="n"/>
      <c r="AT215" s="50" t="n"/>
      <c r="AU215" s="50" t="n"/>
      <c r="AV215" s="50" t="n"/>
      <c r="AW215" s="49" t="inlineStr">
        <is>
          <t>IF(OR(F215="",AJ215=""),"",IF(COUNT(AI215:AI215)=0,"",AJ215-LOOKUP(2,1/(AI215:AI215&lt;&gt;""),AI215:AI215)))</t>
        </is>
      </c>
      <c r="AX215" s="49" t="inlineStr">
        <is>
          <t>IF(OR(F215="",AK215=""),"",IF(COUNT(AI215:AJ215)=0,"",AK215-LOOKUP(2,1/(AI215:AJ215&lt;&gt;""),AI215:AJ215)))</t>
        </is>
      </c>
      <c r="AY215" s="49" t="inlineStr">
        <is>
          <t>IF(OR(F215="",AL215=""),"",IF(COUNT(AI215:AK215)=0,"",AL215-LOOKUP(2,1/(AI215:AK215&lt;&gt;""),AI215:AK215)))</t>
        </is>
      </c>
      <c r="AZ215" s="49" t="inlineStr">
        <is>
          <t>IF(OR(F215="",AM215=""),"",IF(COUNT(AI215:AL215)=0,"",AM215-LOOKUP(2,1/(AI215:AL215&lt;&gt;""),AI215:AL215)))</t>
        </is>
      </c>
      <c r="BA215" s="49" t="inlineStr">
        <is>
          <t>IF(OR(F215="",AN215=""),"",IF(COUNT(AI215:AM215)=0,"",AN215-LOOKUP(2,1/(AI215:AM215&lt;&gt;""),AI215:AM215)))</t>
        </is>
      </c>
      <c r="BB215" s="49" t="inlineStr">
        <is>
          <t>IF(OR(F215="",AO215=""),"",IF(COUNT(AI215:AN215)=0,"",AO215-LOOKUP(2,1/(AI215:AN215&lt;&gt;""),AI215:AN215)))</t>
        </is>
      </c>
      <c r="BC215" s="49" t="inlineStr">
        <is>
          <t>IF(OR(F215="",AP215=""),"",IF(COUNT(AI215:AO215)=0,"",AP215-LOOKUP(2,1/(AI215:AO215&lt;&gt;""),AI215:AO215)))</t>
        </is>
      </c>
      <c r="BD215" s="49" t="inlineStr">
        <is>
          <t>IF(OR(F215="",AQ215=""),"",IF(COUNT(AI215:AP215)=0,"",AQ215-LOOKUP(2,1/(AI215:AP215&lt;&gt;""),AI215:AP215)))</t>
        </is>
      </c>
      <c r="BE215" s="49" t="inlineStr">
        <is>
          <t>IF(OR(F215="",AR215=""),"",IF(COUNT(AI215:AQ215)=0,"",AR215-LOOKUP(2,1/(AI215:AQ215&lt;&gt;""),AI215:AQ215)))</t>
        </is>
      </c>
      <c r="BF215" s="49" t="inlineStr">
        <is>
          <t>IF(OR(F215="",AS215=""),"",IF(COUNT(AI215:AR215)=0,"",AS215-LOOKUP(2,1/(AI215:AR215&lt;&gt;""),AI215:AR215)))</t>
        </is>
      </c>
      <c r="BG215" s="49" t="inlineStr">
        <is>
          <t>IF(OR(F215="",AT215=""),"",IF(COUNT(AI215:AS215)=0,"",AT215-LOOKUP(2,1/(AI215:AS215&lt;&gt;""),AI215:AS215)))</t>
        </is>
      </c>
      <c r="BH215" s="49" t="inlineStr">
        <is>
          <t>IF(OR(F215="",AU215=""),"",IF(COUNT(AI215:AT215)=0,"",AU215-LOOKUP(2,1/(AI215:AT215&lt;&gt;""),AI215:AT215)))</t>
        </is>
      </c>
      <c r="BI215" s="49" t="inlineStr">
        <is>
          <t>IF(OR(F215="",AV215=""),"",IF(COUNT(AI215:AU215)=0,"",AV215-LOOKUP(2,1/(AI215:AU215&lt;&gt;""),AI215:AU215)))</t>
        </is>
      </c>
      <c r="BJ215" s="51" t="inlineStr">
        <is>
          <t>IF(J215="","All_Provinces",IFERROR(VLOOKUP(J215,'09_Lookups'!$A$4:$B$20,2,FALSE),"All_Provinces"))</t>
        </is>
      </c>
      <c r="BK215" s="51" t="inlineStr">
        <is>
          <t>IF(K215="","All_Districts",IFERROR(VLOOKUP(K215,'09_Lookups'!$E$4:$F$42,2,FALSE),"All_Districts"))</t>
        </is>
      </c>
    </row>
    <row r="216" outlineLevel="1" ht="18" customHeight="1">
      <c r="A216" s="42" t="inlineStr">
        <is>
          <t>IF(F216="","",ROW()-3)</t>
        </is>
      </c>
      <c r="B216" s="43" t="inlineStr">
        <is>
          <t>AF2-LLL-ALL</t>
        </is>
      </c>
      <c r="C216" s="43" t="inlineStr">
        <is>
          <t>EFSP-AF2 LLL supply and delivery (50 units)</t>
        </is>
      </c>
      <c r="D216" s="43" t="inlineStr">
        <is>
          <t>5 of 50</t>
        </is>
      </c>
      <c r="E216" s="52" t="inlineStr">
        <is>
          <t>AF2-LLL-N-005</t>
        </is>
      </c>
      <c r="F216" s="52" t="inlineStr">
        <is>
          <t>Bahr-e-Ameq irrigation scheme</t>
        </is>
      </c>
      <c r="G216" s="52" t="inlineStr">
        <is>
          <t>Laser Land Leveler (LLL)</t>
        </is>
      </c>
      <c r="H216" s="52" t="inlineStr">
        <is>
          <t>LLL unit</t>
        </is>
      </c>
      <c r="I216" s="52" t="inlineStr">
        <is>
          <t>Emergency Food Security Project (EFSP) – WBK/AF-2</t>
        </is>
      </c>
      <c r="J216" s="52" t="inlineStr">
        <is>
          <t>North / Mazar</t>
        </is>
      </c>
      <c r="K216" s="52" t="inlineStr">
        <is>
          <t>Sar-E-Pul</t>
        </is>
      </c>
      <c r="L216" s="52" t="inlineStr">
        <is>
          <t>Sozma Qala</t>
        </is>
      </c>
      <c r="M216" s="52" t="inlineStr">
        <is>
          <t>1 unit(s)</t>
        </is>
      </c>
      <c r="N216" s="52" t="inlineStr">
        <is>
          <t>World Bank (WBK/AF-2)</t>
        </is>
      </c>
      <c r="O216" s="52" t="inlineStr">
        <is>
          <t>Not awarded</t>
        </is>
      </c>
      <c r="P216" s="52" t="inlineStr">
        <is>
          <t>6. Supply and delivery of LLL</t>
        </is>
      </c>
      <c r="Q216" s="52" t="inlineStr"/>
      <c r="R216" s="52" t="inlineStr"/>
      <c r="S216" s="53" t="n"/>
      <c r="T216" s="46" t="inlineStr">
        <is>
          <t>IF(AQ216="","",AQ216)</t>
        </is>
      </c>
      <c r="U216" s="54" t="n">
        <v>46325</v>
      </c>
      <c r="V216" s="55" t="n"/>
      <c r="W216" s="54" t="n">
        <v>46418</v>
      </c>
      <c r="X216" s="46" t="inlineStr">
        <is>
          <t>IF(W216&lt;&gt;"",W216,IF(OR(T216="",V216=""),"",EDATE(T216,V216)))</t>
        </is>
      </c>
      <c r="Y216" s="54" t="n"/>
      <c r="Z216" s="55" t="n"/>
      <c r="AA216" s="52" t="inlineStr">
        <is>
          <t>Under Awarding</t>
        </is>
      </c>
      <c r="AB216" s="52" t="inlineStr">
        <is>
          <t>The Procurement process is initiated in April and PO will be issued late October 2026. and delivery will be done by End of December 2026 and onward in January 2027 it is planned to be distributed to the selected beneficiaries.</t>
        </is>
      </c>
      <c r="AC216" s="42" t="inlineStr">
        <is>
          <t>IF(F216="","",IF(COUNT(AI216:AV216)=0,IF(AA216="","Not started",AA216),SUBSTITUTE(LOOKUP(2,1/(AI216:AV216&lt;&gt;""),$AI$3:$AV$3),"Date: ","")))</t>
        </is>
      </c>
      <c r="AD216" s="49" t="inlineStr">
        <is>
          <t>IF(OR(F216="",COUNT(AI216:AV216)=0),"",TODAY()-LOOKUP(2,1/(AI216:AV216&lt;&gt;""),AI216:AV216))</t>
        </is>
      </c>
      <c r="AE216" s="49" t="inlineStr">
        <is>
          <t>IF(OR(F216="",COUNT(AI216:AV216)&lt;2),"",LOOKUP(2,1/(AI216:AV216&lt;&gt;""),AI216:AV216)-MIN(AI216:AV216))</t>
        </is>
      </c>
      <c r="AF216" s="49" t="inlineStr">
        <is>
          <t>IF(OR(AD216="",AC216="Not started",AC216=""),"",IFERROR(AD216-IF(VLOOKUP(AC216,'06_Status_Pipeline'!$B$3:$E$20,4,FALSE)="",0,VLOOKUP(AC216,'06_Status_Pipeline'!$B$3:$E$20,4,FALSE)),""))</t>
        </is>
      </c>
      <c r="AG216" s="42" t="inlineStr">
        <is>
          <t>IF(F216="","",IF(OR(AA216="Cancelled",AC216="Cancelled"),"Cancelled",IF(OR(AC216="Completed / Handover",Y216&lt;&gt;"",Z216&gt;=100),"Completed — on track",IF(O216="Not awarded",IF(U216="",IF(X216="","No planned date",IF(TODAY()&gt;X216,"Behind — past planned date",IF(X216-TODAY()&lt;=30,"At risk — close to off track","On track"))),IF(TODAY()&gt;U216,"Behind — award date passed",IF(U216-TODAY()&lt;=30,"At risk — close to off track","On track"))),IF(X216="","No planned date",IF(AND(TODAY()&gt;X216,OR(Z216="",Z216&lt;100)),"Behind — past end date",IF(AND(T216&lt;&gt;"",X216&lt;&gt;"",Z216&lt;&gt;"",(Z216&lt;100),((TODAY()-T216)/MAX(X216-T216,1)*100)-Z216&gt;15),"Behind — progress lag",IF(AND(X216-TODAY()&lt;=30,X216-TODAY()&gt;=0,OR(Z216="",Z216&lt;90)),"At risk — close to off track","On track"))))))))</t>
        </is>
      </c>
      <c r="AH216" s="49" t="inlineStr">
        <is>
          <t>IF(OR(F216="",AC216="Completed / Handover",AC216="Cancelled"),"",IF(O216="Not awarded",IF(U216&lt;&gt;"",U216-TODAY(),IF(X216="","",X216-TODAY())),IF(X216="","",X216-TODAY())))</t>
        </is>
      </c>
      <c r="AI216" s="54" t="n"/>
      <c r="AJ216" s="54" t="n"/>
      <c r="AK216" s="54" t="n"/>
      <c r="AL216" s="54" t="n"/>
      <c r="AM216" s="54" t="n"/>
      <c r="AN216" s="54" t="n"/>
      <c r="AO216" s="54" t="n"/>
      <c r="AP216" s="54" t="n"/>
      <c r="AQ216" s="54" t="n"/>
      <c r="AR216" s="54" t="n"/>
      <c r="AS216" s="54" t="n"/>
      <c r="AT216" s="50" t="n"/>
      <c r="AU216" s="50" t="n"/>
      <c r="AV216" s="50" t="n"/>
      <c r="AW216" s="49" t="inlineStr">
        <is>
          <t>IF(OR(F216="",AJ216=""),"",IF(COUNT(AI216:AI216)=0,"",AJ216-LOOKUP(2,1/(AI216:AI216&lt;&gt;""),AI216:AI216)))</t>
        </is>
      </c>
      <c r="AX216" s="49" t="inlineStr">
        <is>
          <t>IF(OR(F216="",AK216=""),"",IF(COUNT(AI216:AJ216)=0,"",AK216-LOOKUP(2,1/(AI216:AJ216&lt;&gt;""),AI216:AJ216)))</t>
        </is>
      </c>
      <c r="AY216" s="49" t="inlineStr">
        <is>
          <t>IF(OR(F216="",AL216=""),"",IF(COUNT(AI216:AK216)=0,"",AL216-LOOKUP(2,1/(AI216:AK216&lt;&gt;""),AI216:AK216)))</t>
        </is>
      </c>
      <c r="AZ216" s="49" t="inlineStr">
        <is>
          <t>IF(OR(F216="",AM216=""),"",IF(COUNT(AI216:AL216)=0,"",AM216-LOOKUP(2,1/(AI216:AL216&lt;&gt;""),AI216:AL216)))</t>
        </is>
      </c>
      <c r="BA216" s="49" t="inlineStr">
        <is>
          <t>IF(OR(F216="",AN216=""),"",IF(COUNT(AI216:AM216)=0,"",AN216-LOOKUP(2,1/(AI216:AM216&lt;&gt;""),AI216:AM216)))</t>
        </is>
      </c>
      <c r="BB216" s="49" t="inlineStr">
        <is>
          <t>IF(OR(F216="",AO216=""),"",IF(COUNT(AI216:AN216)=0,"",AO216-LOOKUP(2,1/(AI216:AN216&lt;&gt;""),AI216:AN216)))</t>
        </is>
      </c>
      <c r="BC216" s="49" t="inlineStr">
        <is>
          <t>IF(OR(F216="",AP216=""),"",IF(COUNT(AI216:AO216)=0,"",AP216-LOOKUP(2,1/(AI216:AO216&lt;&gt;""),AI216:AO216)))</t>
        </is>
      </c>
      <c r="BD216" s="49" t="inlineStr">
        <is>
          <t>IF(OR(F216="",AQ216=""),"",IF(COUNT(AI216:AP216)=0,"",AQ216-LOOKUP(2,1/(AI216:AP216&lt;&gt;""),AI216:AP216)))</t>
        </is>
      </c>
      <c r="BE216" s="49" t="inlineStr">
        <is>
          <t>IF(OR(F216="",AR216=""),"",IF(COUNT(AI216:AQ216)=0,"",AR216-LOOKUP(2,1/(AI216:AQ216&lt;&gt;""),AI216:AQ216)))</t>
        </is>
      </c>
      <c r="BF216" s="49" t="inlineStr">
        <is>
          <t>IF(OR(F216="",AS216=""),"",IF(COUNT(AI216:AR216)=0,"",AS216-LOOKUP(2,1/(AI216:AR216&lt;&gt;""),AI216:AR216)))</t>
        </is>
      </c>
      <c r="BG216" s="49" t="inlineStr">
        <is>
          <t>IF(OR(F216="",AT216=""),"",IF(COUNT(AI216:AS216)=0,"",AT216-LOOKUP(2,1/(AI216:AS216&lt;&gt;""),AI216:AS216)))</t>
        </is>
      </c>
      <c r="BH216" s="49" t="inlineStr">
        <is>
          <t>IF(OR(F216="",AU216=""),"",IF(COUNT(AI216:AT216)=0,"",AU216-LOOKUP(2,1/(AI216:AT216&lt;&gt;""),AI216:AT216)))</t>
        </is>
      </c>
      <c r="BI216" s="49" t="inlineStr">
        <is>
          <t>IF(OR(F216="",AV216=""),"",IF(COUNT(AI216:AU216)=0,"",AV216-LOOKUP(2,1/(AI216:AU216&lt;&gt;""),AI216:AU216)))</t>
        </is>
      </c>
      <c r="BJ216" s="51" t="inlineStr">
        <is>
          <t>IF(J216="","All_Provinces",IFERROR(VLOOKUP(J216,'09_Lookups'!$A$4:$B$20,2,FALSE),"All_Provinces"))</t>
        </is>
      </c>
      <c r="BK216" s="51" t="inlineStr">
        <is>
          <t>IF(K216="","All_Districts",IFERROR(VLOOKUP(K216,'09_Lookups'!$E$4:$F$42,2,FALSE),"All_Districts"))</t>
        </is>
      </c>
    </row>
    <row r="217" outlineLevel="1" ht="18" customHeight="1">
      <c r="A217" s="42" t="inlineStr">
        <is>
          <t>IF(F217="","",ROW()-3)</t>
        </is>
      </c>
      <c r="B217" s="43" t="inlineStr">
        <is>
          <t>AF2-LLL-ALL</t>
        </is>
      </c>
      <c r="C217" s="43" t="inlineStr">
        <is>
          <t>EFSP-AF2 LLL supply and delivery (50 units)</t>
        </is>
      </c>
      <c r="D217" s="43" t="inlineStr">
        <is>
          <t>6 of 50</t>
        </is>
      </c>
      <c r="E217" s="44" t="inlineStr">
        <is>
          <t>AF2-LLL-N-006</t>
        </is>
      </c>
      <c r="F217" s="44" t="inlineStr">
        <is>
          <t>Boghos Qum Irrigation Scheme</t>
        </is>
      </c>
      <c r="G217" s="44" t="inlineStr">
        <is>
          <t>Laser Land Leveler (LLL)</t>
        </is>
      </c>
      <c r="H217" s="44" t="inlineStr">
        <is>
          <t>LLL unit</t>
        </is>
      </c>
      <c r="I217" s="44" t="inlineStr">
        <is>
          <t>Emergency Food Security Project (EFSP) – WBK/AF-2</t>
        </is>
      </c>
      <c r="J217" s="44" t="inlineStr">
        <is>
          <t>Northeast / Kunduz</t>
        </is>
      </c>
      <c r="K217" s="44" t="inlineStr">
        <is>
          <t>Kunduz</t>
        </is>
      </c>
      <c r="L217" s="44" t="inlineStr">
        <is>
          <t>Char Dara</t>
        </is>
      </c>
      <c r="M217" s="44" t="inlineStr">
        <is>
          <t>1 unit(s)</t>
        </is>
      </c>
      <c r="N217" s="44" t="inlineStr">
        <is>
          <t>World Bank (WBK/AF-2)</t>
        </is>
      </c>
      <c r="O217" s="44" t="inlineStr">
        <is>
          <t>Not awarded</t>
        </is>
      </c>
      <c r="P217" s="44" t="inlineStr">
        <is>
          <t>6. Supply and delivery of LLL</t>
        </is>
      </c>
      <c r="Q217" s="44" t="inlineStr"/>
      <c r="R217" s="44" t="inlineStr"/>
      <c r="S217" s="45" t="n"/>
      <c r="T217" s="46" t="inlineStr">
        <is>
          <t>IF(AQ217="","",AQ217)</t>
        </is>
      </c>
      <c r="U217" s="47" t="n">
        <v>46325</v>
      </c>
      <c r="V217" s="48" t="n"/>
      <c r="W217" s="47" t="n">
        <v>46418</v>
      </c>
      <c r="X217" s="46" t="inlineStr">
        <is>
          <t>IF(W217&lt;&gt;"",W217,IF(OR(T217="",V217=""),"",EDATE(T217,V217)))</t>
        </is>
      </c>
      <c r="Y217" s="47" t="n"/>
      <c r="Z217" s="48" t="n"/>
      <c r="AA217" s="44" t="inlineStr">
        <is>
          <t>Under Awarding</t>
        </is>
      </c>
      <c r="AB217" s="44" t="inlineStr">
        <is>
          <t>The Procurement process is initiated in April and PO will be issued late October 2026. and delivery will be done by End of December 2026 and onward in January 2027 it is planned to be distributed to the selected beneficiaries.</t>
        </is>
      </c>
      <c r="AC217" s="42" t="inlineStr">
        <is>
          <t>IF(F217="","",IF(COUNT(AI217:AV217)=0,IF(AA217="","Not started",AA217),SUBSTITUTE(LOOKUP(2,1/(AI217:AV217&lt;&gt;""),$AI$3:$AV$3),"Date: ","")))</t>
        </is>
      </c>
      <c r="AD217" s="49" t="inlineStr">
        <is>
          <t>IF(OR(F217="",COUNT(AI217:AV217)=0),"",TODAY()-LOOKUP(2,1/(AI217:AV217&lt;&gt;""),AI217:AV217))</t>
        </is>
      </c>
      <c r="AE217" s="49" t="inlineStr">
        <is>
          <t>IF(OR(F217="",COUNT(AI217:AV217)&lt;2),"",LOOKUP(2,1/(AI217:AV217&lt;&gt;""),AI217:AV217)-MIN(AI217:AV217))</t>
        </is>
      </c>
      <c r="AF217" s="49" t="inlineStr">
        <is>
          <t>IF(OR(AD217="",AC217="Not started",AC217=""),"",IFERROR(AD217-IF(VLOOKUP(AC217,'06_Status_Pipeline'!$B$3:$E$20,4,FALSE)="",0,VLOOKUP(AC217,'06_Status_Pipeline'!$B$3:$E$20,4,FALSE)),""))</t>
        </is>
      </c>
      <c r="AG217" s="42" t="inlineStr">
        <is>
          <t>IF(F217="","",IF(OR(AA217="Cancelled",AC217="Cancelled"),"Cancelled",IF(OR(AC217="Completed / Handover",Y217&lt;&gt;"",Z217&gt;=100),"Completed — on track",IF(O217="Not awarded",IF(U217="",IF(X217="","No planned date",IF(TODAY()&gt;X217,"Behind — past planned date",IF(X217-TODAY()&lt;=30,"At risk — close to off track","On track"))),IF(TODAY()&gt;U217,"Behind — award date passed",IF(U217-TODAY()&lt;=30,"At risk — close to off track","On track"))),IF(X217="","No planned date",IF(AND(TODAY()&gt;X217,OR(Z217="",Z217&lt;100)),"Behind — past end date",IF(AND(T217&lt;&gt;"",X217&lt;&gt;"",Z217&lt;&gt;"",(Z217&lt;100),((TODAY()-T217)/MAX(X217-T217,1)*100)-Z217&gt;15),"Behind — progress lag",IF(AND(X217-TODAY()&lt;=30,X217-TODAY()&gt;=0,OR(Z217="",Z217&lt;90)),"At risk — close to off track","On track"))))))))</t>
        </is>
      </c>
      <c r="AH217" s="49" t="inlineStr">
        <is>
          <t>IF(OR(F217="",AC217="Completed / Handover",AC217="Cancelled"),"",IF(O217="Not awarded",IF(U217&lt;&gt;"",U217-TODAY(),IF(X217="","",X217-TODAY())),IF(X217="","",X217-TODAY())))</t>
        </is>
      </c>
      <c r="AI217" s="47" t="n"/>
      <c r="AJ217" s="47" t="n"/>
      <c r="AK217" s="47" t="n"/>
      <c r="AL217" s="47" t="n"/>
      <c r="AM217" s="47" t="n"/>
      <c r="AN217" s="47" t="n"/>
      <c r="AO217" s="47" t="n"/>
      <c r="AP217" s="47" t="n"/>
      <c r="AQ217" s="47" t="n"/>
      <c r="AR217" s="47" t="n"/>
      <c r="AS217" s="47" t="n"/>
      <c r="AT217" s="50" t="n"/>
      <c r="AU217" s="50" t="n"/>
      <c r="AV217" s="50" t="n"/>
      <c r="AW217" s="49" t="inlineStr">
        <is>
          <t>IF(OR(F217="",AJ217=""),"",IF(COUNT(AI217:AI217)=0,"",AJ217-LOOKUP(2,1/(AI217:AI217&lt;&gt;""),AI217:AI217)))</t>
        </is>
      </c>
      <c r="AX217" s="49" t="inlineStr">
        <is>
          <t>IF(OR(F217="",AK217=""),"",IF(COUNT(AI217:AJ217)=0,"",AK217-LOOKUP(2,1/(AI217:AJ217&lt;&gt;""),AI217:AJ217)))</t>
        </is>
      </c>
      <c r="AY217" s="49" t="inlineStr">
        <is>
          <t>IF(OR(F217="",AL217=""),"",IF(COUNT(AI217:AK217)=0,"",AL217-LOOKUP(2,1/(AI217:AK217&lt;&gt;""),AI217:AK217)))</t>
        </is>
      </c>
      <c r="AZ217" s="49" t="inlineStr">
        <is>
          <t>IF(OR(F217="",AM217=""),"",IF(COUNT(AI217:AL217)=0,"",AM217-LOOKUP(2,1/(AI217:AL217&lt;&gt;""),AI217:AL217)))</t>
        </is>
      </c>
      <c r="BA217" s="49" t="inlineStr">
        <is>
          <t>IF(OR(F217="",AN217=""),"",IF(COUNT(AI217:AM217)=0,"",AN217-LOOKUP(2,1/(AI217:AM217&lt;&gt;""),AI217:AM217)))</t>
        </is>
      </c>
      <c r="BB217" s="49" t="inlineStr">
        <is>
          <t>IF(OR(F217="",AO217=""),"",IF(COUNT(AI217:AN217)=0,"",AO217-LOOKUP(2,1/(AI217:AN217&lt;&gt;""),AI217:AN217)))</t>
        </is>
      </c>
      <c r="BC217" s="49" t="inlineStr">
        <is>
          <t>IF(OR(F217="",AP217=""),"",IF(COUNT(AI217:AO217)=0,"",AP217-LOOKUP(2,1/(AI217:AO217&lt;&gt;""),AI217:AO217)))</t>
        </is>
      </c>
      <c r="BD217" s="49" t="inlineStr">
        <is>
          <t>IF(OR(F217="",AQ217=""),"",IF(COUNT(AI217:AP217)=0,"",AQ217-LOOKUP(2,1/(AI217:AP217&lt;&gt;""),AI217:AP217)))</t>
        </is>
      </c>
      <c r="BE217" s="49" t="inlineStr">
        <is>
          <t>IF(OR(F217="",AR217=""),"",IF(COUNT(AI217:AQ217)=0,"",AR217-LOOKUP(2,1/(AI217:AQ217&lt;&gt;""),AI217:AQ217)))</t>
        </is>
      </c>
      <c r="BF217" s="49" t="inlineStr">
        <is>
          <t>IF(OR(F217="",AS217=""),"",IF(COUNT(AI217:AR217)=0,"",AS217-LOOKUP(2,1/(AI217:AR217&lt;&gt;""),AI217:AR217)))</t>
        </is>
      </c>
      <c r="BG217" s="49" t="inlineStr">
        <is>
          <t>IF(OR(F217="",AT217=""),"",IF(COUNT(AI217:AS217)=0,"",AT217-LOOKUP(2,1/(AI217:AS217&lt;&gt;""),AI217:AS217)))</t>
        </is>
      </c>
      <c r="BH217" s="49" t="inlineStr">
        <is>
          <t>IF(OR(F217="",AU217=""),"",IF(COUNT(AI217:AT217)=0,"",AU217-LOOKUP(2,1/(AI217:AT217&lt;&gt;""),AI217:AT217)))</t>
        </is>
      </c>
      <c r="BI217" s="49" t="inlineStr">
        <is>
          <t>IF(OR(F217="",AV217=""),"",IF(COUNT(AI217:AU217)=0,"",AV217-LOOKUP(2,1/(AI217:AU217&lt;&gt;""),AI217:AU217)))</t>
        </is>
      </c>
      <c r="BJ217" s="51" t="inlineStr">
        <is>
          <t>IF(J217="","All_Provinces",IFERROR(VLOOKUP(J217,'09_Lookups'!$A$4:$B$20,2,FALSE),"All_Provinces"))</t>
        </is>
      </c>
      <c r="BK217" s="51" t="inlineStr">
        <is>
          <t>IF(K217="","All_Districts",IFERROR(VLOOKUP(K217,'09_Lookups'!$E$4:$F$42,2,FALSE),"All_Districts"))</t>
        </is>
      </c>
    </row>
    <row r="218" outlineLevel="1" ht="18" customHeight="1">
      <c r="A218" s="42" t="inlineStr">
        <is>
          <t>IF(F218="","",ROW()-3)</t>
        </is>
      </c>
      <c r="B218" s="43" t="inlineStr">
        <is>
          <t>AF2-LLL-ALL</t>
        </is>
      </c>
      <c r="C218" s="43" t="inlineStr">
        <is>
          <t>EFSP-AF2 LLL supply and delivery (50 units)</t>
        </is>
      </c>
      <c r="D218" s="43" t="inlineStr">
        <is>
          <t>7 of 50</t>
        </is>
      </c>
      <c r="E218" s="52" t="inlineStr">
        <is>
          <t>AF2-LLL-N-007</t>
        </is>
      </c>
      <c r="F218" s="52" t="inlineStr">
        <is>
          <t>Cheknawar irrigation scheme</t>
        </is>
      </c>
      <c r="G218" s="52" t="inlineStr">
        <is>
          <t>Laser Land Leveler (LLL)</t>
        </is>
      </c>
      <c r="H218" s="52" t="inlineStr">
        <is>
          <t>LLL unit</t>
        </is>
      </c>
      <c r="I218" s="52" t="inlineStr">
        <is>
          <t>Emergency Food Security Project (EFSP) – WBK/AF-2</t>
        </is>
      </c>
      <c r="J218" s="52" t="inlineStr">
        <is>
          <t>East / Jalalabad</t>
        </is>
      </c>
      <c r="K218" s="52" t="inlineStr">
        <is>
          <t>Nangarhar</t>
        </is>
      </c>
      <c r="L218" s="52" t="inlineStr">
        <is>
          <t>Lalpoora</t>
        </is>
      </c>
      <c r="M218" s="52" t="inlineStr">
        <is>
          <t>1 unit(s)</t>
        </is>
      </c>
      <c r="N218" s="52" t="inlineStr">
        <is>
          <t>World Bank (WBK/AF-2)</t>
        </is>
      </c>
      <c r="O218" s="52" t="inlineStr">
        <is>
          <t>Not awarded</t>
        </is>
      </c>
      <c r="P218" s="52" t="inlineStr">
        <is>
          <t>6. Supply and delivery of LLL</t>
        </is>
      </c>
      <c r="Q218" s="52" t="inlineStr"/>
      <c r="R218" s="52" t="inlineStr"/>
      <c r="S218" s="53" t="n"/>
      <c r="T218" s="46" t="inlineStr">
        <is>
          <t>IF(AQ218="","",AQ218)</t>
        </is>
      </c>
      <c r="U218" s="54" t="n">
        <v>46325</v>
      </c>
      <c r="V218" s="55" t="n"/>
      <c r="W218" s="54" t="n">
        <v>46418</v>
      </c>
      <c r="X218" s="46" t="inlineStr">
        <is>
          <t>IF(W218&lt;&gt;"",W218,IF(OR(T218="",V218=""),"",EDATE(T218,V218)))</t>
        </is>
      </c>
      <c r="Y218" s="54" t="n"/>
      <c r="Z218" s="55" t="n"/>
      <c r="AA218" s="52" t="inlineStr">
        <is>
          <t>Under Awarding</t>
        </is>
      </c>
      <c r="AB218" s="52" t="inlineStr">
        <is>
          <t>The Procurement process is initiated in April and PO will be issued late October 2026. and delivery will be done by End of December 2026 and onward in January 2027 it is planned to be distributed to the selected beneficiaries.</t>
        </is>
      </c>
      <c r="AC218" s="42" t="inlineStr">
        <is>
          <t>IF(F218="","",IF(COUNT(AI218:AV218)=0,IF(AA218="","Not started",AA218),SUBSTITUTE(LOOKUP(2,1/(AI218:AV218&lt;&gt;""),$AI$3:$AV$3),"Date: ","")))</t>
        </is>
      </c>
      <c r="AD218" s="49" t="inlineStr">
        <is>
          <t>IF(OR(F218="",COUNT(AI218:AV218)=0),"",TODAY()-LOOKUP(2,1/(AI218:AV218&lt;&gt;""),AI218:AV218))</t>
        </is>
      </c>
      <c r="AE218" s="49" t="inlineStr">
        <is>
          <t>IF(OR(F218="",COUNT(AI218:AV218)&lt;2),"",LOOKUP(2,1/(AI218:AV218&lt;&gt;""),AI218:AV218)-MIN(AI218:AV218))</t>
        </is>
      </c>
      <c r="AF218" s="49" t="inlineStr">
        <is>
          <t>IF(OR(AD218="",AC218="Not started",AC218=""),"",IFERROR(AD218-IF(VLOOKUP(AC218,'06_Status_Pipeline'!$B$3:$E$20,4,FALSE)="",0,VLOOKUP(AC218,'06_Status_Pipeline'!$B$3:$E$20,4,FALSE)),""))</t>
        </is>
      </c>
      <c r="AG218" s="42" t="inlineStr">
        <is>
          <t>IF(F218="","",IF(OR(AA218="Cancelled",AC218="Cancelled"),"Cancelled",IF(OR(AC218="Completed / Handover",Y218&lt;&gt;"",Z218&gt;=100),"Completed — on track",IF(O218="Not awarded",IF(U218="",IF(X218="","No planned date",IF(TODAY()&gt;X218,"Behind — past planned date",IF(X218-TODAY()&lt;=30,"At risk — close to off track","On track"))),IF(TODAY()&gt;U218,"Behind — award date passed",IF(U218-TODAY()&lt;=30,"At risk — close to off track","On track"))),IF(X218="","No planned date",IF(AND(TODAY()&gt;X218,OR(Z218="",Z218&lt;100)),"Behind — past end date",IF(AND(T218&lt;&gt;"",X218&lt;&gt;"",Z218&lt;&gt;"",(Z218&lt;100),((TODAY()-T218)/MAX(X218-T218,1)*100)-Z218&gt;15),"Behind — progress lag",IF(AND(X218-TODAY()&lt;=30,X218-TODAY()&gt;=0,OR(Z218="",Z218&lt;90)),"At risk — close to off track","On track"))))))))</t>
        </is>
      </c>
      <c r="AH218" s="49" t="inlineStr">
        <is>
          <t>IF(OR(F218="",AC218="Completed / Handover",AC218="Cancelled"),"",IF(O218="Not awarded",IF(U218&lt;&gt;"",U218-TODAY(),IF(X218="","",X218-TODAY())),IF(X218="","",X218-TODAY())))</t>
        </is>
      </c>
      <c r="AI218" s="54" t="n"/>
      <c r="AJ218" s="54" t="n"/>
      <c r="AK218" s="54" t="n"/>
      <c r="AL218" s="54" t="n"/>
      <c r="AM218" s="54" t="n"/>
      <c r="AN218" s="54" t="n"/>
      <c r="AO218" s="54" t="n"/>
      <c r="AP218" s="54" t="n"/>
      <c r="AQ218" s="54" t="n"/>
      <c r="AR218" s="54" t="n"/>
      <c r="AS218" s="54" t="n"/>
      <c r="AT218" s="50" t="n"/>
      <c r="AU218" s="50" t="n"/>
      <c r="AV218" s="50" t="n"/>
      <c r="AW218" s="49" t="inlineStr">
        <is>
          <t>IF(OR(F218="",AJ218=""),"",IF(COUNT(AI218:AI218)=0,"",AJ218-LOOKUP(2,1/(AI218:AI218&lt;&gt;""),AI218:AI218)))</t>
        </is>
      </c>
      <c r="AX218" s="49" t="inlineStr">
        <is>
          <t>IF(OR(F218="",AK218=""),"",IF(COUNT(AI218:AJ218)=0,"",AK218-LOOKUP(2,1/(AI218:AJ218&lt;&gt;""),AI218:AJ218)))</t>
        </is>
      </c>
      <c r="AY218" s="49" t="inlineStr">
        <is>
          <t>IF(OR(F218="",AL218=""),"",IF(COUNT(AI218:AK218)=0,"",AL218-LOOKUP(2,1/(AI218:AK218&lt;&gt;""),AI218:AK218)))</t>
        </is>
      </c>
      <c r="AZ218" s="49" t="inlineStr">
        <is>
          <t>IF(OR(F218="",AM218=""),"",IF(COUNT(AI218:AL218)=0,"",AM218-LOOKUP(2,1/(AI218:AL218&lt;&gt;""),AI218:AL218)))</t>
        </is>
      </c>
      <c r="BA218" s="49" t="inlineStr">
        <is>
          <t>IF(OR(F218="",AN218=""),"",IF(COUNT(AI218:AM218)=0,"",AN218-LOOKUP(2,1/(AI218:AM218&lt;&gt;""),AI218:AM218)))</t>
        </is>
      </c>
      <c r="BB218" s="49" t="inlineStr">
        <is>
          <t>IF(OR(F218="",AO218=""),"",IF(COUNT(AI218:AN218)=0,"",AO218-LOOKUP(2,1/(AI218:AN218&lt;&gt;""),AI218:AN218)))</t>
        </is>
      </c>
      <c r="BC218" s="49" t="inlineStr">
        <is>
          <t>IF(OR(F218="",AP218=""),"",IF(COUNT(AI218:AO218)=0,"",AP218-LOOKUP(2,1/(AI218:AO218&lt;&gt;""),AI218:AO218)))</t>
        </is>
      </c>
      <c r="BD218" s="49" t="inlineStr">
        <is>
          <t>IF(OR(F218="",AQ218=""),"",IF(COUNT(AI218:AP218)=0,"",AQ218-LOOKUP(2,1/(AI218:AP218&lt;&gt;""),AI218:AP218)))</t>
        </is>
      </c>
      <c r="BE218" s="49" t="inlineStr">
        <is>
          <t>IF(OR(F218="",AR218=""),"",IF(COUNT(AI218:AQ218)=0,"",AR218-LOOKUP(2,1/(AI218:AQ218&lt;&gt;""),AI218:AQ218)))</t>
        </is>
      </c>
      <c r="BF218" s="49" t="inlineStr">
        <is>
          <t>IF(OR(F218="",AS218=""),"",IF(COUNT(AI218:AR218)=0,"",AS218-LOOKUP(2,1/(AI218:AR218&lt;&gt;""),AI218:AR218)))</t>
        </is>
      </c>
      <c r="BG218" s="49" t="inlineStr">
        <is>
          <t>IF(OR(F218="",AT218=""),"",IF(COUNT(AI218:AS218)=0,"",AT218-LOOKUP(2,1/(AI218:AS218&lt;&gt;""),AI218:AS218)))</t>
        </is>
      </c>
      <c r="BH218" s="49" t="inlineStr">
        <is>
          <t>IF(OR(F218="",AU218=""),"",IF(COUNT(AI218:AT218)=0,"",AU218-LOOKUP(2,1/(AI218:AT218&lt;&gt;""),AI218:AT218)))</t>
        </is>
      </c>
      <c r="BI218" s="49" t="inlineStr">
        <is>
          <t>IF(OR(F218="",AV218=""),"",IF(COUNT(AI218:AU218)=0,"",AV218-LOOKUP(2,1/(AI218:AU218&lt;&gt;""),AI218:AU218)))</t>
        </is>
      </c>
      <c r="BJ218" s="51" t="inlineStr">
        <is>
          <t>IF(J218="","All_Provinces",IFERROR(VLOOKUP(J218,'09_Lookups'!$A$4:$B$20,2,FALSE),"All_Provinces"))</t>
        </is>
      </c>
      <c r="BK218" s="51" t="inlineStr">
        <is>
          <t>IF(K218="","All_Districts",IFERROR(VLOOKUP(K218,'09_Lookups'!$E$4:$F$42,2,FALSE),"All_Districts"))</t>
        </is>
      </c>
    </row>
    <row r="219" outlineLevel="1" ht="18" customHeight="1">
      <c r="A219" s="42" t="inlineStr">
        <is>
          <t>IF(F219="","",ROW()-3)</t>
        </is>
      </c>
      <c r="B219" s="43" t="inlineStr">
        <is>
          <t>AF2-LLL-ALL</t>
        </is>
      </c>
      <c r="C219" s="43" t="inlineStr">
        <is>
          <t>EFSP-AF2 LLL supply and delivery (50 units)</t>
        </is>
      </c>
      <c r="D219" s="43" t="inlineStr">
        <is>
          <t>8 of 50</t>
        </is>
      </c>
      <c r="E219" s="44" t="inlineStr">
        <is>
          <t>AF2-LLL-N-008</t>
        </is>
      </c>
      <c r="F219" s="44" t="inlineStr">
        <is>
          <t>Chela Mazar irrigation scheme</t>
        </is>
      </c>
      <c r="G219" s="44" t="inlineStr">
        <is>
          <t>Laser Land Leveler (LLL)</t>
        </is>
      </c>
      <c r="H219" s="44" t="inlineStr">
        <is>
          <t>LLL unit</t>
        </is>
      </c>
      <c r="I219" s="44" t="inlineStr">
        <is>
          <t>Emergency Food Security Project (EFSP) – WBK/AF-2</t>
        </is>
      </c>
      <c r="J219" s="44" t="inlineStr">
        <is>
          <t>North / Mazar</t>
        </is>
      </c>
      <c r="K219" s="44" t="inlineStr">
        <is>
          <t>Samangan</t>
        </is>
      </c>
      <c r="L219" s="44" t="inlineStr">
        <is>
          <t>Dara-e-Suf-e-Payeen</t>
        </is>
      </c>
      <c r="M219" s="44" t="inlineStr">
        <is>
          <t>1 unit(s)</t>
        </is>
      </c>
      <c r="N219" s="44" t="inlineStr">
        <is>
          <t>World Bank (WBK/AF-2)</t>
        </is>
      </c>
      <c r="O219" s="44" t="inlineStr">
        <is>
          <t>Not awarded</t>
        </is>
      </c>
      <c r="P219" s="44" t="inlineStr">
        <is>
          <t>6. Supply and delivery of LLL</t>
        </is>
      </c>
      <c r="Q219" s="44" t="inlineStr"/>
      <c r="R219" s="44" t="inlineStr"/>
      <c r="S219" s="45" t="n"/>
      <c r="T219" s="46" t="inlineStr">
        <is>
          <t>IF(AQ219="","",AQ219)</t>
        </is>
      </c>
      <c r="U219" s="47" t="n">
        <v>46325</v>
      </c>
      <c r="V219" s="48" t="n"/>
      <c r="W219" s="47" t="n">
        <v>46418</v>
      </c>
      <c r="X219" s="46" t="inlineStr">
        <is>
          <t>IF(W219&lt;&gt;"",W219,IF(OR(T219="",V219=""),"",EDATE(T219,V219)))</t>
        </is>
      </c>
      <c r="Y219" s="47" t="n"/>
      <c r="Z219" s="48" t="n"/>
      <c r="AA219" s="44" t="inlineStr">
        <is>
          <t>Under Awarding</t>
        </is>
      </c>
      <c r="AB219" s="44" t="inlineStr">
        <is>
          <t>The Procurement process is initiated in April and PO will be issued late October 2026. and delivery will be done by End of December 2026 and onward in January 2027 it is planned to be distributed to the selected beneficiaries.</t>
        </is>
      </c>
      <c r="AC219" s="42" t="inlineStr">
        <is>
          <t>IF(F219="","",IF(COUNT(AI219:AV219)=0,IF(AA219="","Not started",AA219),SUBSTITUTE(LOOKUP(2,1/(AI219:AV219&lt;&gt;""),$AI$3:$AV$3),"Date: ","")))</t>
        </is>
      </c>
      <c r="AD219" s="49" t="inlineStr">
        <is>
          <t>IF(OR(F219="",COUNT(AI219:AV219)=0),"",TODAY()-LOOKUP(2,1/(AI219:AV219&lt;&gt;""),AI219:AV219))</t>
        </is>
      </c>
      <c r="AE219" s="49" t="inlineStr">
        <is>
          <t>IF(OR(F219="",COUNT(AI219:AV219)&lt;2),"",LOOKUP(2,1/(AI219:AV219&lt;&gt;""),AI219:AV219)-MIN(AI219:AV219))</t>
        </is>
      </c>
      <c r="AF219" s="49" t="inlineStr">
        <is>
          <t>IF(OR(AD219="",AC219="Not started",AC219=""),"",IFERROR(AD219-IF(VLOOKUP(AC219,'06_Status_Pipeline'!$B$3:$E$20,4,FALSE)="",0,VLOOKUP(AC219,'06_Status_Pipeline'!$B$3:$E$20,4,FALSE)),""))</t>
        </is>
      </c>
      <c r="AG219" s="42" t="inlineStr">
        <is>
          <t>IF(F219="","",IF(OR(AA219="Cancelled",AC219="Cancelled"),"Cancelled",IF(OR(AC219="Completed / Handover",Y219&lt;&gt;"",Z219&gt;=100),"Completed — on track",IF(O219="Not awarded",IF(U219="",IF(X219="","No planned date",IF(TODAY()&gt;X219,"Behind — past planned date",IF(X219-TODAY()&lt;=30,"At risk — close to off track","On track"))),IF(TODAY()&gt;U219,"Behind — award date passed",IF(U219-TODAY()&lt;=30,"At risk — close to off track","On track"))),IF(X219="","No planned date",IF(AND(TODAY()&gt;X219,OR(Z219="",Z219&lt;100)),"Behind — past end date",IF(AND(T219&lt;&gt;"",X219&lt;&gt;"",Z219&lt;&gt;"",(Z219&lt;100),((TODAY()-T219)/MAX(X219-T219,1)*100)-Z219&gt;15),"Behind — progress lag",IF(AND(X219-TODAY()&lt;=30,X219-TODAY()&gt;=0,OR(Z219="",Z219&lt;90)),"At risk — close to off track","On track"))))))))</t>
        </is>
      </c>
      <c r="AH219" s="49" t="inlineStr">
        <is>
          <t>IF(OR(F219="",AC219="Completed / Handover",AC219="Cancelled"),"",IF(O219="Not awarded",IF(U219&lt;&gt;"",U219-TODAY(),IF(X219="","",X219-TODAY())),IF(X219="","",X219-TODAY())))</t>
        </is>
      </c>
      <c r="AI219" s="47" t="n"/>
      <c r="AJ219" s="47" t="n"/>
      <c r="AK219" s="47" t="n"/>
      <c r="AL219" s="47" t="n"/>
      <c r="AM219" s="47" t="n"/>
      <c r="AN219" s="47" t="n"/>
      <c r="AO219" s="47" t="n"/>
      <c r="AP219" s="47" t="n"/>
      <c r="AQ219" s="47" t="n"/>
      <c r="AR219" s="47" t="n"/>
      <c r="AS219" s="47" t="n"/>
      <c r="AT219" s="50" t="n"/>
      <c r="AU219" s="50" t="n"/>
      <c r="AV219" s="50" t="n"/>
      <c r="AW219" s="49" t="inlineStr">
        <is>
          <t>IF(OR(F219="",AJ219=""),"",IF(COUNT(AI219:AI219)=0,"",AJ219-LOOKUP(2,1/(AI219:AI219&lt;&gt;""),AI219:AI219)))</t>
        </is>
      </c>
      <c r="AX219" s="49" t="inlineStr">
        <is>
          <t>IF(OR(F219="",AK219=""),"",IF(COUNT(AI219:AJ219)=0,"",AK219-LOOKUP(2,1/(AI219:AJ219&lt;&gt;""),AI219:AJ219)))</t>
        </is>
      </c>
      <c r="AY219" s="49" t="inlineStr">
        <is>
          <t>IF(OR(F219="",AL219=""),"",IF(COUNT(AI219:AK219)=0,"",AL219-LOOKUP(2,1/(AI219:AK219&lt;&gt;""),AI219:AK219)))</t>
        </is>
      </c>
      <c r="AZ219" s="49" t="inlineStr">
        <is>
          <t>IF(OR(F219="",AM219=""),"",IF(COUNT(AI219:AL219)=0,"",AM219-LOOKUP(2,1/(AI219:AL219&lt;&gt;""),AI219:AL219)))</t>
        </is>
      </c>
      <c r="BA219" s="49" t="inlineStr">
        <is>
          <t>IF(OR(F219="",AN219=""),"",IF(COUNT(AI219:AM219)=0,"",AN219-LOOKUP(2,1/(AI219:AM219&lt;&gt;""),AI219:AM219)))</t>
        </is>
      </c>
      <c r="BB219" s="49" t="inlineStr">
        <is>
          <t>IF(OR(F219="",AO219=""),"",IF(COUNT(AI219:AN219)=0,"",AO219-LOOKUP(2,1/(AI219:AN219&lt;&gt;""),AI219:AN219)))</t>
        </is>
      </c>
      <c r="BC219" s="49" t="inlineStr">
        <is>
          <t>IF(OR(F219="",AP219=""),"",IF(COUNT(AI219:AO219)=0,"",AP219-LOOKUP(2,1/(AI219:AO219&lt;&gt;""),AI219:AO219)))</t>
        </is>
      </c>
      <c r="BD219" s="49" t="inlineStr">
        <is>
          <t>IF(OR(F219="",AQ219=""),"",IF(COUNT(AI219:AP219)=0,"",AQ219-LOOKUP(2,1/(AI219:AP219&lt;&gt;""),AI219:AP219)))</t>
        </is>
      </c>
      <c r="BE219" s="49" t="inlineStr">
        <is>
          <t>IF(OR(F219="",AR219=""),"",IF(COUNT(AI219:AQ219)=0,"",AR219-LOOKUP(2,1/(AI219:AQ219&lt;&gt;""),AI219:AQ219)))</t>
        </is>
      </c>
      <c r="BF219" s="49" t="inlineStr">
        <is>
          <t>IF(OR(F219="",AS219=""),"",IF(COUNT(AI219:AR219)=0,"",AS219-LOOKUP(2,1/(AI219:AR219&lt;&gt;""),AI219:AR219)))</t>
        </is>
      </c>
      <c r="BG219" s="49" t="inlineStr">
        <is>
          <t>IF(OR(F219="",AT219=""),"",IF(COUNT(AI219:AS219)=0,"",AT219-LOOKUP(2,1/(AI219:AS219&lt;&gt;""),AI219:AS219)))</t>
        </is>
      </c>
      <c r="BH219" s="49" t="inlineStr">
        <is>
          <t>IF(OR(F219="",AU219=""),"",IF(COUNT(AI219:AT219)=0,"",AU219-LOOKUP(2,1/(AI219:AT219&lt;&gt;""),AI219:AT219)))</t>
        </is>
      </c>
      <c r="BI219" s="49" t="inlineStr">
        <is>
          <t>IF(OR(F219="",AV219=""),"",IF(COUNT(AI219:AU219)=0,"",AV219-LOOKUP(2,1/(AI219:AU219&lt;&gt;""),AI219:AU219)))</t>
        </is>
      </c>
      <c r="BJ219" s="51" t="inlineStr">
        <is>
          <t>IF(J219="","All_Provinces",IFERROR(VLOOKUP(J219,'09_Lookups'!$A$4:$B$20,2,FALSE),"All_Provinces"))</t>
        </is>
      </c>
      <c r="BK219" s="51" t="inlineStr">
        <is>
          <t>IF(K219="","All_Districts",IFERROR(VLOOKUP(K219,'09_Lookups'!$E$4:$F$42,2,FALSE),"All_Districts"))</t>
        </is>
      </c>
    </row>
    <row r="220" outlineLevel="1" ht="18" customHeight="1">
      <c r="A220" s="42" t="inlineStr">
        <is>
          <t>IF(F220="","",ROW()-3)</t>
        </is>
      </c>
      <c r="B220" s="43" t="inlineStr">
        <is>
          <t>AF2-LLL-ALL</t>
        </is>
      </c>
      <c r="C220" s="43" t="inlineStr">
        <is>
          <t>EFSP-AF2 LLL supply and delivery (50 units)</t>
        </is>
      </c>
      <c r="D220" s="43" t="inlineStr">
        <is>
          <t>9 of 50</t>
        </is>
      </c>
      <c r="E220" s="52" t="inlineStr">
        <is>
          <t>AF2-LLL-N-009</t>
        </is>
      </c>
      <c r="F220" s="52" t="inlineStr">
        <is>
          <t>Dagh Aruq Irrigation Scheme</t>
        </is>
      </c>
      <c r="G220" s="52" t="inlineStr">
        <is>
          <t>Laser Land Leveler (LLL)</t>
        </is>
      </c>
      <c r="H220" s="52" t="inlineStr">
        <is>
          <t>LLL unit</t>
        </is>
      </c>
      <c r="I220" s="52" t="inlineStr">
        <is>
          <t>Emergency Food Security Project (EFSP) – WBK/AF-2</t>
        </is>
      </c>
      <c r="J220" s="52" t="inlineStr">
        <is>
          <t>Northeast / Kunduz</t>
        </is>
      </c>
      <c r="K220" s="52" t="inlineStr">
        <is>
          <t>Kunduz</t>
        </is>
      </c>
      <c r="L220" s="52" t="inlineStr">
        <is>
          <t>Char Dara</t>
        </is>
      </c>
      <c r="M220" s="52" t="inlineStr">
        <is>
          <t>1 unit(s)</t>
        </is>
      </c>
      <c r="N220" s="52" t="inlineStr">
        <is>
          <t>World Bank (WBK/AF-2)</t>
        </is>
      </c>
      <c r="O220" s="52" t="inlineStr">
        <is>
          <t>Not awarded</t>
        </is>
      </c>
      <c r="P220" s="52" t="inlineStr">
        <is>
          <t>6. Supply and delivery of LLL</t>
        </is>
      </c>
      <c r="Q220" s="52" t="inlineStr"/>
      <c r="R220" s="52" t="inlineStr"/>
      <c r="S220" s="53" t="n"/>
      <c r="T220" s="46" t="inlineStr">
        <is>
          <t>IF(AQ220="","",AQ220)</t>
        </is>
      </c>
      <c r="U220" s="54" t="n">
        <v>46325</v>
      </c>
      <c r="V220" s="55" t="n"/>
      <c r="W220" s="54" t="n">
        <v>46418</v>
      </c>
      <c r="X220" s="46" t="inlineStr">
        <is>
          <t>IF(W220&lt;&gt;"",W220,IF(OR(T220="",V220=""),"",EDATE(T220,V220)))</t>
        </is>
      </c>
      <c r="Y220" s="54" t="n"/>
      <c r="Z220" s="55" t="n"/>
      <c r="AA220" s="52" t="inlineStr">
        <is>
          <t>Under Awarding</t>
        </is>
      </c>
      <c r="AB220" s="52" t="inlineStr">
        <is>
          <t>The Procurement process is initiated in April and PO will be issued late October 2026. and delivery will be done by End of December 2026 and onward in January 2027 it is planned to be distributed to the selected beneficiaries.</t>
        </is>
      </c>
      <c r="AC220" s="42" t="inlineStr">
        <is>
          <t>IF(F220="","",IF(COUNT(AI220:AV220)=0,IF(AA220="","Not started",AA220),SUBSTITUTE(LOOKUP(2,1/(AI220:AV220&lt;&gt;""),$AI$3:$AV$3),"Date: ","")))</t>
        </is>
      </c>
      <c r="AD220" s="49" t="inlineStr">
        <is>
          <t>IF(OR(F220="",COUNT(AI220:AV220)=0),"",TODAY()-LOOKUP(2,1/(AI220:AV220&lt;&gt;""),AI220:AV220))</t>
        </is>
      </c>
      <c r="AE220" s="49" t="inlineStr">
        <is>
          <t>IF(OR(F220="",COUNT(AI220:AV220)&lt;2),"",LOOKUP(2,1/(AI220:AV220&lt;&gt;""),AI220:AV220)-MIN(AI220:AV220))</t>
        </is>
      </c>
      <c r="AF220" s="49" t="inlineStr">
        <is>
          <t>IF(OR(AD220="",AC220="Not started",AC220=""),"",IFERROR(AD220-IF(VLOOKUP(AC220,'06_Status_Pipeline'!$B$3:$E$20,4,FALSE)="",0,VLOOKUP(AC220,'06_Status_Pipeline'!$B$3:$E$20,4,FALSE)),""))</t>
        </is>
      </c>
      <c r="AG220" s="42" t="inlineStr">
        <is>
          <t>IF(F220="","",IF(OR(AA220="Cancelled",AC220="Cancelled"),"Cancelled",IF(OR(AC220="Completed / Handover",Y220&lt;&gt;"",Z220&gt;=100),"Completed — on track",IF(O220="Not awarded",IF(U220="",IF(X220="","No planned date",IF(TODAY()&gt;X220,"Behind — past planned date",IF(X220-TODAY()&lt;=30,"At risk — close to off track","On track"))),IF(TODAY()&gt;U220,"Behind — award date passed",IF(U220-TODAY()&lt;=30,"At risk — close to off track","On track"))),IF(X220="","No planned date",IF(AND(TODAY()&gt;X220,OR(Z220="",Z220&lt;100)),"Behind — past end date",IF(AND(T220&lt;&gt;"",X220&lt;&gt;"",Z220&lt;&gt;"",(Z220&lt;100),((TODAY()-T220)/MAX(X220-T220,1)*100)-Z220&gt;15),"Behind — progress lag",IF(AND(X220-TODAY()&lt;=30,X220-TODAY()&gt;=0,OR(Z220="",Z220&lt;90)),"At risk — close to off track","On track"))))))))</t>
        </is>
      </c>
      <c r="AH220" s="49" t="inlineStr">
        <is>
          <t>IF(OR(F220="",AC220="Completed / Handover",AC220="Cancelled"),"",IF(O220="Not awarded",IF(U220&lt;&gt;"",U220-TODAY(),IF(X220="","",X220-TODAY())),IF(X220="","",X220-TODAY())))</t>
        </is>
      </c>
      <c r="AI220" s="54" t="n"/>
      <c r="AJ220" s="54" t="n"/>
      <c r="AK220" s="54" t="n"/>
      <c r="AL220" s="54" t="n"/>
      <c r="AM220" s="54" t="n"/>
      <c r="AN220" s="54" t="n"/>
      <c r="AO220" s="54" t="n"/>
      <c r="AP220" s="54" t="n"/>
      <c r="AQ220" s="54" t="n"/>
      <c r="AR220" s="54" t="n"/>
      <c r="AS220" s="54" t="n"/>
      <c r="AT220" s="50" t="n"/>
      <c r="AU220" s="50" t="n"/>
      <c r="AV220" s="50" t="n"/>
      <c r="AW220" s="49" t="inlineStr">
        <is>
          <t>IF(OR(F220="",AJ220=""),"",IF(COUNT(AI220:AI220)=0,"",AJ220-LOOKUP(2,1/(AI220:AI220&lt;&gt;""),AI220:AI220)))</t>
        </is>
      </c>
      <c r="AX220" s="49" t="inlineStr">
        <is>
          <t>IF(OR(F220="",AK220=""),"",IF(COUNT(AI220:AJ220)=0,"",AK220-LOOKUP(2,1/(AI220:AJ220&lt;&gt;""),AI220:AJ220)))</t>
        </is>
      </c>
      <c r="AY220" s="49" t="inlineStr">
        <is>
          <t>IF(OR(F220="",AL220=""),"",IF(COUNT(AI220:AK220)=0,"",AL220-LOOKUP(2,1/(AI220:AK220&lt;&gt;""),AI220:AK220)))</t>
        </is>
      </c>
      <c r="AZ220" s="49" t="inlineStr">
        <is>
          <t>IF(OR(F220="",AM220=""),"",IF(COUNT(AI220:AL220)=0,"",AM220-LOOKUP(2,1/(AI220:AL220&lt;&gt;""),AI220:AL220)))</t>
        </is>
      </c>
      <c r="BA220" s="49" t="inlineStr">
        <is>
          <t>IF(OR(F220="",AN220=""),"",IF(COUNT(AI220:AM220)=0,"",AN220-LOOKUP(2,1/(AI220:AM220&lt;&gt;""),AI220:AM220)))</t>
        </is>
      </c>
      <c r="BB220" s="49" t="inlineStr">
        <is>
          <t>IF(OR(F220="",AO220=""),"",IF(COUNT(AI220:AN220)=0,"",AO220-LOOKUP(2,1/(AI220:AN220&lt;&gt;""),AI220:AN220)))</t>
        </is>
      </c>
      <c r="BC220" s="49" t="inlineStr">
        <is>
          <t>IF(OR(F220="",AP220=""),"",IF(COUNT(AI220:AO220)=0,"",AP220-LOOKUP(2,1/(AI220:AO220&lt;&gt;""),AI220:AO220)))</t>
        </is>
      </c>
      <c r="BD220" s="49" t="inlineStr">
        <is>
          <t>IF(OR(F220="",AQ220=""),"",IF(COUNT(AI220:AP220)=0,"",AQ220-LOOKUP(2,1/(AI220:AP220&lt;&gt;""),AI220:AP220)))</t>
        </is>
      </c>
      <c r="BE220" s="49" t="inlineStr">
        <is>
          <t>IF(OR(F220="",AR220=""),"",IF(COUNT(AI220:AQ220)=0,"",AR220-LOOKUP(2,1/(AI220:AQ220&lt;&gt;""),AI220:AQ220)))</t>
        </is>
      </c>
      <c r="BF220" s="49" t="inlineStr">
        <is>
          <t>IF(OR(F220="",AS220=""),"",IF(COUNT(AI220:AR220)=0,"",AS220-LOOKUP(2,1/(AI220:AR220&lt;&gt;""),AI220:AR220)))</t>
        </is>
      </c>
      <c r="BG220" s="49" t="inlineStr">
        <is>
          <t>IF(OR(F220="",AT220=""),"",IF(COUNT(AI220:AS220)=0,"",AT220-LOOKUP(2,1/(AI220:AS220&lt;&gt;""),AI220:AS220)))</t>
        </is>
      </c>
      <c r="BH220" s="49" t="inlineStr">
        <is>
          <t>IF(OR(F220="",AU220=""),"",IF(COUNT(AI220:AT220)=0,"",AU220-LOOKUP(2,1/(AI220:AT220&lt;&gt;""),AI220:AT220)))</t>
        </is>
      </c>
      <c r="BI220" s="49" t="inlineStr">
        <is>
          <t>IF(OR(F220="",AV220=""),"",IF(COUNT(AI220:AU220)=0,"",AV220-LOOKUP(2,1/(AI220:AU220&lt;&gt;""),AI220:AU220)))</t>
        </is>
      </c>
      <c r="BJ220" s="51" t="inlineStr">
        <is>
          <t>IF(J220="","All_Provinces",IFERROR(VLOOKUP(J220,'09_Lookups'!$A$4:$B$20,2,FALSE),"All_Provinces"))</t>
        </is>
      </c>
      <c r="BK220" s="51" t="inlineStr">
        <is>
          <t>IF(K220="","All_Districts",IFERROR(VLOOKUP(K220,'09_Lookups'!$E$4:$F$42,2,FALSE),"All_Districts"))</t>
        </is>
      </c>
    </row>
    <row r="221" outlineLevel="1" ht="18" customHeight="1">
      <c r="A221" s="42" t="inlineStr">
        <is>
          <t>IF(F221="","",ROW()-3)</t>
        </is>
      </c>
      <c r="B221" s="43" t="inlineStr">
        <is>
          <t>AF2-LLL-ALL</t>
        </is>
      </c>
      <c r="C221" s="43" t="inlineStr">
        <is>
          <t>EFSP-AF2 LLL supply and delivery (50 units)</t>
        </is>
      </c>
      <c r="D221" s="43" t="inlineStr">
        <is>
          <t>10 of 50</t>
        </is>
      </c>
      <c r="E221" s="44" t="inlineStr">
        <is>
          <t>AF2-LLL-N-010</t>
        </is>
      </c>
      <c r="F221" s="44" t="inlineStr">
        <is>
          <t>Drang Irrigation Scheme</t>
        </is>
      </c>
      <c r="G221" s="44" t="inlineStr">
        <is>
          <t>Laser Land Leveler (LLL)</t>
        </is>
      </c>
      <c r="H221" s="44" t="inlineStr">
        <is>
          <t>LLL unit</t>
        </is>
      </c>
      <c r="I221" s="44" t="inlineStr">
        <is>
          <t>Emergency Food Security Project (EFSP) – WBK/AF-2</t>
        </is>
      </c>
      <c r="J221" s="44" t="inlineStr">
        <is>
          <t>Southeast / Gardez</t>
        </is>
      </c>
      <c r="K221" s="44" t="inlineStr">
        <is>
          <t>Paktya</t>
        </is>
      </c>
      <c r="L221" s="44" t="inlineStr">
        <is>
          <t>Zurmat</t>
        </is>
      </c>
      <c r="M221" s="44" t="inlineStr">
        <is>
          <t>1 unit(s)</t>
        </is>
      </c>
      <c r="N221" s="44" t="inlineStr">
        <is>
          <t>World Bank (WBK/AF-2)</t>
        </is>
      </c>
      <c r="O221" s="44" t="inlineStr">
        <is>
          <t>Not awarded</t>
        </is>
      </c>
      <c r="P221" s="44" t="inlineStr">
        <is>
          <t>6. Supply and delivery of LLL</t>
        </is>
      </c>
      <c r="Q221" s="44" t="inlineStr"/>
      <c r="R221" s="44" t="inlineStr"/>
      <c r="S221" s="45" t="n"/>
      <c r="T221" s="46" t="inlineStr">
        <is>
          <t>IF(AQ221="","",AQ221)</t>
        </is>
      </c>
      <c r="U221" s="47" t="n">
        <v>46325</v>
      </c>
      <c r="V221" s="48" t="n"/>
      <c r="W221" s="47" t="n">
        <v>46418</v>
      </c>
      <c r="X221" s="46" t="inlineStr">
        <is>
          <t>IF(W221&lt;&gt;"",W221,IF(OR(T221="",V221=""),"",EDATE(T221,V221)))</t>
        </is>
      </c>
      <c r="Y221" s="47" t="n"/>
      <c r="Z221" s="48" t="n"/>
      <c r="AA221" s="44" t="inlineStr">
        <is>
          <t>Under Awarding</t>
        </is>
      </c>
      <c r="AB221" s="44" t="inlineStr">
        <is>
          <t>The Procurement process is initiated in April and PO will be issued late October 2026. and delivery will be done by End of December 2026 and onward in January 2027 it is planned to be distributed to the selected beneficiaries.</t>
        </is>
      </c>
      <c r="AC221" s="42" t="inlineStr">
        <is>
          <t>IF(F221="","",IF(COUNT(AI221:AV221)=0,IF(AA221="","Not started",AA221),SUBSTITUTE(LOOKUP(2,1/(AI221:AV221&lt;&gt;""),$AI$3:$AV$3),"Date: ","")))</t>
        </is>
      </c>
      <c r="AD221" s="49" t="inlineStr">
        <is>
          <t>IF(OR(F221="",COUNT(AI221:AV221)=0),"",TODAY()-LOOKUP(2,1/(AI221:AV221&lt;&gt;""),AI221:AV221))</t>
        </is>
      </c>
      <c r="AE221" s="49" t="inlineStr">
        <is>
          <t>IF(OR(F221="",COUNT(AI221:AV221)&lt;2),"",LOOKUP(2,1/(AI221:AV221&lt;&gt;""),AI221:AV221)-MIN(AI221:AV221))</t>
        </is>
      </c>
      <c r="AF221" s="49" t="inlineStr">
        <is>
          <t>IF(OR(AD221="",AC221="Not started",AC221=""),"",IFERROR(AD221-IF(VLOOKUP(AC221,'06_Status_Pipeline'!$B$3:$E$20,4,FALSE)="",0,VLOOKUP(AC221,'06_Status_Pipeline'!$B$3:$E$20,4,FALSE)),""))</t>
        </is>
      </c>
      <c r="AG221" s="42" t="inlineStr">
        <is>
          <t>IF(F221="","",IF(OR(AA221="Cancelled",AC221="Cancelled"),"Cancelled",IF(OR(AC221="Completed / Handover",Y221&lt;&gt;"",Z221&gt;=100),"Completed — on track",IF(O221="Not awarded",IF(U221="",IF(X221="","No planned date",IF(TODAY()&gt;X221,"Behind — past planned date",IF(X221-TODAY()&lt;=30,"At risk — close to off track","On track"))),IF(TODAY()&gt;U221,"Behind — award date passed",IF(U221-TODAY()&lt;=30,"At risk — close to off track","On track"))),IF(X221="","No planned date",IF(AND(TODAY()&gt;X221,OR(Z221="",Z221&lt;100)),"Behind — past end date",IF(AND(T221&lt;&gt;"",X221&lt;&gt;"",Z221&lt;&gt;"",(Z221&lt;100),((TODAY()-T221)/MAX(X221-T221,1)*100)-Z221&gt;15),"Behind — progress lag",IF(AND(X221-TODAY()&lt;=30,X221-TODAY()&gt;=0,OR(Z221="",Z221&lt;90)),"At risk — close to off track","On track"))))))))</t>
        </is>
      </c>
      <c r="AH221" s="49" t="inlineStr">
        <is>
          <t>IF(OR(F221="",AC221="Completed / Handover",AC221="Cancelled"),"",IF(O221="Not awarded",IF(U221&lt;&gt;"",U221-TODAY(),IF(X221="","",X221-TODAY())),IF(X221="","",X221-TODAY())))</t>
        </is>
      </c>
      <c r="AI221" s="47" t="n"/>
      <c r="AJ221" s="47" t="n"/>
      <c r="AK221" s="47" t="n"/>
      <c r="AL221" s="47" t="n"/>
      <c r="AM221" s="47" t="n"/>
      <c r="AN221" s="47" t="n"/>
      <c r="AO221" s="47" t="n"/>
      <c r="AP221" s="47" t="n"/>
      <c r="AQ221" s="47" t="n"/>
      <c r="AR221" s="47" t="n"/>
      <c r="AS221" s="47" t="n"/>
      <c r="AT221" s="50" t="n"/>
      <c r="AU221" s="50" t="n"/>
      <c r="AV221" s="50" t="n"/>
      <c r="AW221" s="49" t="inlineStr">
        <is>
          <t>IF(OR(F221="",AJ221=""),"",IF(COUNT(AI221:AI221)=0,"",AJ221-LOOKUP(2,1/(AI221:AI221&lt;&gt;""),AI221:AI221)))</t>
        </is>
      </c>
      <c r="AX221" s="49" t="inlineStr">
        <is>
          <t>IF(OR(F221="",AK221=""),"",IF(COUNT(AI221:AJ221)=0,"",AK221-LOOKUP(2,1/(AI221:AJ221&lt;&gt;""),AI221:AJ221)))</t>
        </is>
      </c>
      <c r="AY221" s="49" t="inlineStr">
        <is>
          <t>IF(OR(F221="",AL221=""),"",IF(COUNT(AI221:AK221)=0,"",AL221-LOOKUP(2,1/(AI221:AK221&lt;&gt;""),AI221:AK221)))</t>
        </is>
      </c>
      <c r="AZ221" s="49" t="inlineStr">
        <is>
          <t>IF(OR(F221="",AM221=""),"",IF(COUNT(AI221:AL221)=0,"",AM221-LOOKUP(2,1/(AI221:AL221&lt;&gt;""),AI221:AL221)))</t>
        </is>
      </c>
      <c r="BA221" s="49" t="inlineStr">
        <is>
          <t>IF(OR(F221="",AN221=""),"",IF(COUNT(AI221:AM221)=0,"",AN221-LOOKUP(2,1/(AI221:AM221&lt;&gt;""),AI221:AM221)))</t>
        </is>
      </c>
      <c r="BB221" s="49" t="inlineStr">
        <is>
          <t>IF(OR(F221="",AO221=""),"",IF(COUNT(AI221:AN221)=0,"",AO221-LOOKUP(2,1/(AI221:AN221&lt;&gt;""),AI221:AN221)))</t>
        </is>
      </c>
      <c r="BC221" s="49" t="inlineStr">
        <is>
          <t>IF(OR(F221="",AP221=""),"",IF(COUNT(AI221:AO221)=0,"",AP221-LOOKUP(2,1/(AI221:AO221&lt;&gt;""),AI221:AO221)))</t>
        </is>
      </c>
      <c r="BD221" s="49" t="inlineStr">
        <is>
          <t>IF(OR(F221="",AQ221=""),"",IF(COUNT(AI221:AP221)=0,"",AQ221-LOOKUP(2,1/(AI221:AP221&lt;&gt;""),AI221:AP221)))</t>
        </is>
      </c>
      <c r="BE221" s="49" t="inlineStr">
        <is>
          <t>IF(OR(F221="",AR221=""),"",IF(COUNT(AI221:AQ221)=0,"",AR221-LOOKUP(2,1/(AI221:AQ221&lt;&gt;""),AI221:AQ221)))</t>
        </is>
      </c>
      <c r="BF221" s="49" t="inlineStr">
        <is>
          <t>IF(OR(F221="",AS221=""),"",IF(COUNT(AI221:AR221)=0,"",AS221-LOOKUP(2,1/(AI221:AR221&lt;&gt;""),AI221:AR221)))</t>
        </is>
      </c>
      <c r="BG221" s="49" t="inlineStr">
        <is>
          <t>IF(OR(F221="",AT221=""),"",IF(COUNT(AI221:AS221)=0,"",AT221-LOOKUP(2,1/(AI221:AS221&lt;&gt;""),AI221:AS221)))</t>
        </is>
      </c>
      <c r="BH221" s="49" t="inlineStr">
        <is>
          <t>IF(OR(F221="",AU221=""),"",IF(COUNT(AI221:AT221)=0,"",AU221-LOOKUP(2,1/(AI221:AT221&lt;&gt;""),AI221:AT221)))</t>
        </is>
      </c>
      <c r="BI221" s="49" t="inlineStr">
        <is>
          <t>IF(OR(F221="",AV221=""),"",IF(COUNT(AI221:AU221)=0,"",AV221-LOOKUP(2,1/(AI221:AU221&lt;&gt;""),AI221:AU221)))</t>
        </is>
      </c>
      <c r="BJ221" s="51" t="inlineStr">
        <is>
          <t>IF(J221="","All_Provinces",IFERROR(VLOOKUP(J221,'09_Lookups'!$A$4:$B$20,2,FALSE),"All_Provinces"))</t>
        </is>
      </c>
      <c r="BK221" s="51" t="inlineStr">
        <is>
          <t>IF(K221="","All_Districts",IFERROR(VLOOKUP(K221,'09_Lookups'!$E$4:$F$42,2,FALSE),"All_Districts"))</t>
        </is>
      </c>
    </row>
    <row r="222" outlineLevel="1" ht="18" customHeight="1">
      <c r="A222" s="42" t="inlineStr">
        <is>
          <t>IF(F222="","",ROW()-3)</t>
        </is>
      </c>
      <c r="B222" s="43" t="inlineStr">
        <is>
          <t>AF2-LLL-ALL</t>
        </is>
      </c>
      <c r="C222" s="43" t="inlineStr">
        <is>
          <t>EFSP-AF2 LLL supply and delivery (50 units)</t>
        </is>
      </c>
      <c r="D222" s="43" t="inlineStr">
        <is>
          <t>11 of 50</t>
        </is>
      </c>
      <c r="E222" s="52" t="inlineStr">
        <is>
          <t>AF2-LLL-N-011</t>
        </is>
      </c>
      <c r="F222" s="52" t="inlineStr">
        <is>
          <t>Eshq Abad canal</t>
        </is>
      </c>
      <c r="G222" s="52" t="inlineStr">
        <is>
          <t>Laser Land Leveler (LLL)</t>
        </is>
      </c>
      <c r="H222" s="52" t="inlineStr">
        <is>
          <t>LLL unit</t>
        </is>
      </c>
      <c r="I222" s="52" t="inlineStr">
        <is>
          <t>Emergency Food Security Project (EFSP) – WBK/AF-2</t>
        </is>
      </c>
      <c r="J222" s="52" t="inlineStr">
        <is>
          <t>Central / Kabul</t>
        </is>
      </c>
      <c r="K222" s="52" t="inlineStr">
        <is>
          <t>Parwan</t>
        </is>
      </c>
      <c r="L222" s="52" t="inlineStr">
        <is>
          <t>Jabul Saraj</t>
        </is>
      </c>
      <c r="M222" s="52" t="inlineStr">
        <is>
          <t>1 unit(s)</t>
        </is>
      </c>
      <c r="N222" s="52" t="inlineStr">
        <is>
          <t>World Bank (WBK/AF-2)</t>
        </is>
      </c>
      <c r="O222" s="52" t="inlineStr">
        <is>
          <t>Not awarded</t>
        </is>
      </c>
      <c r="P222" s="52" t="inlineStr">
        <is>
          <t>6. Supply and delivery of LLL</t>
        </is>
      </c>
      <c r="Q222" s="52" t="inlineStr"/>
      <c r="R222" s="52" t="inlineStr"/>
      <c r="S222" s="53" t="n"/>
      <c r="T222" s="46" t="inlineStr">
        <is>
          <t>IF(AQ222="","",AQ222)</t>
        </is>
      </c>
      <c r="U222" s="54" t="n">
        <v>46325</v>
      </c>
      <c r="V222" s="55" t="n"/>
      <c r="W222" s="54" t="n">
        <v>46418</v>
      </c>
      <c r="X222" s="46" t="inlineStr">
        <is>
          <t>IF(W222&lt;&gt;"",W222,IF(OR(T222="",V222=""),"",EDATE(T222,V222)))</t>
        </is>
      </c>
      <c r="Y222" s="54" t="n"/>
      <c r="Z222" s="55" t="n"/>
      <c r="AA222" s="52" t="inlineStr">
        <is>
          <t>Under Awarding</t>
        </is>
      </c>
      <c r="AB222" s="52" t="inlineStr">
        <is>
          <t>The Procurement process is initiated in April and PO will be issued late October 2026. and delivery will be done by End of December 2026 and onward in January 2027 it is planned to be distributed to the selected beneficiaries.</t>
        </is>
      </c>
      <c r="AC222" s="42" t="inlineStr">
        <is>
          <t>IF(F222="","",IF(COUNT(AI222:AV222)=0,IF(AA222="","Not started",AA222),SUBSTITUTE(LOOKUP(2,1/(AI222:AV222&lt;&gt;""),$AI$3:$AV$3),"Date: ","")))</t>
        </is>
      </c>
      <c r="AD222" s="49" t="inlineStr">
        <is>
          <t>IF(OR(F222="",COUNT(AI222:AV222)=0),"",TODAY()-LOOKUP(2,1/(AI222:AV222&lt;&gt;""),AI222:AV222))</t>
        </is>
      </c>
      <c r="AE222" s="49" t="inlineStr">
        <is>
          <t>IF(OR(F222="",COUNT(AI222:AV222)&lt;2),"",LOOKUP(2,1/(AI222:AV222&lt;&gt;""),AI222:AV222)-MIN(AI222:AV222))</t>
        </is>
      </c>
      <c r="AF222" s="49" t="inlineStr">
        <is>
          <t>IF(OR(AD222="",AC222="Not started",AC222=""),"",IFERROR(AD222-IF(VLOOKUP(AC222,'06_Status_Pipeline'!$B$3:$E$20,4,FALSE)="",0,VLOOKUP(AC222,'06_Status_Pipeline'!$B$3:$E$20,4,FALSE)),""))</t>
        </is>
      </c>
      <c r="AG222" s="42" t="inlineStr">
        <is>
          <t>IF(F222="","",IF(OR(AA222="Cancelled",AC222="Cancelled"),"Cancelled",IF(OR(AC222="Completed / Handover",Y222&lt;&gt;"",Z222&gt;=100),"Completed — on track",IF(O222="Not awarded",IF(U222="",IF(X222="","No planned date",IF(TODAY()&gt;X222,"Behind — past planned date",IF(X222-TODAY()&lt;=30,"At risk — close to off track","On track"))),IF(TODAY()&gt;U222,"Behind — award date passed",IF(U222-TODAY()&lt;=30,"At risk — close to off track","On track"))),IF(X222="","No planned date",IF(AND(TODAY()&gt;X222,OR(Z222="",Z222&lt;100)),"Behind — past end date",IF(AND(T222&lt;&gt;"",X222&lt;&gt;"",Z222&lt;&gt;"",(Z222&lt;100),((TODAY()-T222)/MAX(X222-T222,1)*100)-Z222&gt;15),"Behind — progress lag",IF(AND(X222-TODAY()&lt;=30,X222-TODAY()&gt;=0,OR(Z222="",Z222&lt;90)),"At risk — close to off track","On track"))))))))</t>
        </is>
      </c>
      <c r="AH222" s="49" t="inlineStr">
        <is>
          <t>IF(OR(F222="",AC222="Completed / Handover",AC222="Cancelled"),"",IF(O222="Not awarded",IF(U222&lt;&gt;"",U222-TODAY(),IF(X222="","",X222-TODAY())),IF(X222="","",X222-TODAY())))</t>
        </is>
      </c>
      <c r="AI222" s="54" t="n"/>
      <c r="AJ222" s="54" t="n"/>
      <c r="AK222" s="54" t="n"/>
      <c r="AL222" s="54" t="n"/>
      <c r="AM222" s="54" t="n"/>
      <c r="AN222" s="54" t="n"/>
      <c r="AO222" s="54" t="n"/>
      <c r="AP222" s="54" t="n"/>
      <c r="AQ222" s="54" t="n"/>
      <c r="AR222" s="54" t="n"/>
      <c r="AS222" s="54" t="n"/>
      <c r="AT222" s="50" t="n"/>
      <c r="AU222" s="50" t="n"/>
      <c r="AV222" s="50" t="n"/>
      <c r="AW222" s="49" t="inlineStr">
        <is>
          <t>IF(OR(F222="",AJ222=""),"",IF(COUNT(AI222:AI222)=0,"",AJ222-LOOKUP(2,1/(AI222:AI222&lt;&gt;""),AI222:AI222)))</t>
        </is>
      </c>
      <c r="AX222" s="49" t="inlineStr">
        <is>
          <t>IF(OR(F222="",AK222=""),"",IF(COUNT(AI222:AJ222)=0,"",AK222-LOOKUP(2,1/(AI222:AJ222&lt;&gt;""),AI222:AJ222)))</t>
        </is>
      </c>
      <c r="AY222" s="49" t="inlineStr">
        <is>
          <t>IF(OR(F222="",AL222=""),"",IF(COUNT(AI222:AK222)=0,"",AL222-LOOKUP(2,1/(AI222:AK222&lt;&gt;""),AI222:AK222)))</t>
        </is>
      </c>
      <c r="AZ222" s="49" t="inlineStr">
        <is>
          <t>IF(OR(F222="",AM222=""),"",IF(COUNT(AI222:AL222)=0,"",AM222-LOOKUP(2,1/(AI222:AL222&lt;&gt;""),AI222:AL222)))</t>
        </is>
      </c>
      <c r="BA222" s="49" t="inlineStr">
        <is>
          <t>IF(OR(F222="",AN222=""),"",IF(COUNT(AI222:AM222)=0,"",AN222-LOOKUP(2,1/(AI222:AM222&lt;&gt;""),AI222:AM222)))</t>
        </is>
      </c>
      <c r="BB222" s="49" t="inlineStr">
        <is>
          <t>IF(OR(F222="",AO222=""),"",IF(COUNT(AI222:AN222)=0,"",AO222-LOOKUP(2,1/(AI222:AN222&lt;&gt;""),AI222:AN222)))</t>
        </is>
      </c>
      <c r="BC222" s="49" t="inlineStr">
        <is>
          <t>IF(OR(F222="",AP222=""),"",IF(COUNT(AI222:AO222)=0,"",AP222-LOOKUP(2,1/(AI222:AO222&lt;&gt;""),AI222:AO222)))</t>
        </is>
      </c>
      <c r="BD222" s="49" t="inlineStr">
        <is>
          <t>IF(OR(F222="",AQ222=""),"",IF(COUNT(AI222:AP222)=0,"",AQ222-LOOKUP(2,1/(AI222:AP222&lt;&gt;""),AI222:AP222)))</t>
        </is>
      </c>
      <c r="BE222" s="49" t="inlineStr">
        <is>
          <t>IF(OR(F222="",AR222=""),"",IF(COUNT(AI222:AQ222)=0,"",AR222-LOOKUP(2,1/(AI222:AQ222&lt;&gt;""),AI222:AQ222)))</t>
        </is>
      </c>
      <c r="BF222" s="49" t="inlineStr">
        <is>
          <t>IF(OR(F222="",AS222=""),"",IF(COUNT(AI222:AR222)=0,"",AS222-LOOKUP(2,1/(AI222:AR222&lt;&gt;""),AI222:AR222)))</t>
        </is>
      </c>
      <c r="BG222" s="49" t="inlineStr">
        <is>
          <t>IF(OR(F222="",AT222=""),"",IF(COUNT(AI222:AS222)=0,"",AT222-LOOKUP(2,1/(AI222:AS222&lt;&gt;""),AI222:AS222)))</t>
        </is>
      </c>
      <c r="BH222" s="49" t="inlineStr">
        <is>
          <t>IF(OR(F222="",AU222=""),"",IF(COUNT(AI222:AT222)=0,"",AU222-LOOKUP(2,1/(AI222:AT222&lt;&gt;""),AI222:AT222)))</t>
        </is>
      </c>
      <c r="BI222" s="49" t="inlineStr">
        <is>
          <t>IF(OR(F222="",AV222=""),"",IF(COUNT(AI222:AU222)=0,"",AV222-LOOKUP(2,1/(AI222:AU222&lt;&gt;""),AI222:AU222)))</t>
        </is>
      </c>
      <c r="BJ222" s="51" t="inlineStr">
        <is>
          <t>IF(J222="","All_Provinces",IFERROR(VLOOKUP(J222,'09_Lookups'!$A$4:$B$20,2,FALSE),"All_Provinces"))</t>
        </is>
      </c>
      <c r="BK222" s="51" t="inlineStr">
        <is>
          <t>IF(K222="","All_Districts",IFERROR(VLOOKUP(K222,'09_Lookups'!$E$4:$F$42,2,FALSE),"All_Districts"))</t>
        </is>
      </c>
    </row>
    <row r="223" outlineLevel="1" ht="18" customHeight="1">
      <c r="A223" s="42" t="inlineStr">
        <is>
          <t>IF(F223="","",ROW()-3)</t>
        </is>
      </c>
      <c r="B223" s="43" t="inlineStr">
        <is>
          <t>AF2-LLL-ALL</t>
        </is>
      </c>
      <c r="C223" s="43" t="inlineStr">
        <is>
          <t>EFSP-AF2 LLL supply and delivery (50 units)</t>
        </is>
      </c>
      <c r="D223" s="43" t="inlineStr">
        <is>
          <t>12 of 50</t>
        </is>
      </c>
      <c r="E223" s="44" t="inlineStr">
        <is>
          <t>AF2-LLL-N-012</t>
        </is>
      </c>
      <c r="F223" s="44" t="inlineStr">
        <is>
          <t>Hashtman Canal Irrigation scheme</t>
        </is>
      </c>
      <c r="G223" s="44" t="inlineStr">
        <is>
          <t>Laser Land Leveler (LLL)</t>
        </is>
      </c>
      <c r="H223" s="44" t="inlineStr">
        <is>
          <t>LLL unit</t>
        </is>
      </c>
      <c r="I223" s="44" t="inlineStr">
        <is>
          <t>Emergency Food Security Project (EFSP) – WBK/AF-2</t>
        </is>
      </c>
      <c r="J223" s="44" t="inlineStr">
        <is>
          <t>North / Mazar</t>
        </is>
      </c>
      <c r="K223" s="44" t="inlineStr">
        <is>
          <t>Faryab</t>
        </is>
      </c>
      <c r="L223" s="44" t="inlineStr">
        <is>
          <t>Qaisar</t>
        </is>
      </c>
      <c r="M223" s="44" t="inlineStr">
        <is>
          <t>1 unit(s)</t>
        </is>
      </c>
      <c r="N223" s="44" t="inlineStr">
        <is>
          <t>World Bank (WBK/AF-2)</t>
        </is>
      </c>
      <c r="O223" s="44" t="inlineStr">
        <is>
          <t>Not awarded</t>
        </is>
      </c>
      <c r="P223" s="44" t="inlineStr">
        <is>
          <t>6. Supply and delivery of LLL</t>
        </is>
      </c>
      <c r="Q223" s="44" t="inlineStr"/>
      <c r="R223" s="44" t="inlineStr"/>
      <c r="S223" s="45" t="n"/>
      <c r="T223" s="46" t="inlineStr">
        <is>
          <t>IF(AQ223="","",AQ223)</t>
        </is>
      </c>
      <c r="U223" s="47" t="n">
        <v>46325</v>
      </c>
      <c r="V223" s="48" t="n"/>
      <c r="W223" s="47" t="n">
        <v>46418</v>
      </c>
      <c r="X223" s="46" t="inlineStr">
        <is>
          <t>IF(W223&lt;&gt;"",W223,IF(OR(T223="",V223=""),"",EDATE(T223,V223)))</t>
        </is>
      </c>
      <c r="Y223" s="47" t="n"/>
      <c r="Z223" s="48" t="n"/>
      <c r="AA223" s="44" t="inlineStr">
        <is>
          <t>Under Awarding</t>
        </is>
      </c>
      <c r="AB223" s="44" t="inlineStr">
        <is>
          <t>The Procurement process is initiated in April and PO will be issued late October 2026. and delivery will be done by End of December 2026 and onward in January 2027 it is planned to be distributed to the selected beneficiaries.</t>
        </is>
      </c>
      <c r="AC223" s="42" t="inlineStr">
        <is>
          <t>IF(F223="","",IF(COUNT(AI223:AV223)=0,IF(AA223="","Not started",AA223),SUBSTITUTE(LOOKUP(2,1/(AI223:AV223&lt;&gt;""),$AI$3:$AV$3),"Date: ","")))</t>
        </is>
      </c>
      <c r="AD223" s="49" t="inlineStr">
        <is>
          <t>IF(OR(F223="",COUNT(AI223:AV223)=0),"",TODAY()-LOOKUP(2,1/(AI223:AV223&lt;&gt;""),AI223:AV223))</t>
        </is>
      </c>
      <c r="AE223" s="49" t="inlineStr">
        <is>
          <t>IF(OR(F223="",COUNT(AI223:AV223)&lt;2),"",LOOKUP(2,1/(AI223:AV223&lt;&gt;""),AI223:AV223)-MIN(AI223:AV223))</t>
        </is>
      </c>
      <c r="AF223" s="49" t="inlineStr">
        <is>
          <t>IF(OR(AD223="",AC223="Not started",AC223=""),"",IFERROR(AD223-IF(VLOOKUP(AC223,'06_Status_Pipeline'!$B$3:$E$20,4,FALSE)="",0,VLOOKUP(AC223,'06_Status_Pipeline'!$B$3:$E$20,4,FALSE)),""))</t>
        </is>
      </c>
      <c r="AG223" s="42" t="inlineStr">
        <is>
          <t>IF(F223="","",IF(OR(AA223="Cancelled",AC223="Cancelled"),"Cancelled",IF(OR(AC223="Completed / Handover",Y223&lt;&gt;"",Z223&gt;=100),"Completed — on track",IF(O223="Not awarded",IF(U223="",IF(X223="","No planned date",IF(TODAY()&gt;X223,"Behind — past planned date",IF(X223-TODAY()&lt;=30,"At risk — close to off track","On track"))),IF(TODAY()&gt;U223,"Behind — award date passed",IF(U223-TODAY()&lt;=30,"At risk — close to off track","On track"))),IF(X223="","No planned date",IF(AND(TODAY()&gt;X223,OR(Z223="",Z223&lt;100)),"Behind — past end date",IF(AND(T223&lt;&gt;"",X223&lt;&gt;"",Z223&lt;&gt;"",(Z223&lt;100),((TODAY()-T223)/MAX(X223-T223,1)*100)-Z223&gt;15),"Behind — progress lag",IF(AND(X223-TODAY()&lt;=30,X223-TODAY()&gt;=0,OR(Z223="",Z223&lt;90)),"At risk — close to off track","On track"))))))))</t>
        </is>
      </c>
      <c r="AH223" s="49" t="inlineStr">
        <is>
          <t>IF(OR(F223="",AC223="Completed / Handover",AC223="Cancelled"),"",IF(O223="Not awarded",IF(U223&lt;&gt;"",U223-TODAY(),IF(X223="","",X223-TODAY())),IF(X223="","",X223-TODAY())))</t>
        </is>
      </c>
      <c r="AI223" s="47" t="n"/>
      <c r="AJ223" s="47" t="n"/>
      <c r="AK223" s="47" t="n"/>
      <c r="AL223" s="47" t="n"/>
      <c r="AM223" s="47" t="n"/>
      <c r="AN223" s="47" t="n"/>
      <c r="AO223" s="47" t="n"/>
      <c r="AP223" s="47" t="n"/>
      <c r="AQ223" s="47" t="n"/>
      <c r="AR223" s="47" t="n"/>
      <c r="AS223" s="47" t="n"/>
      <c r="AT223" s="50" t="n"/>
      <c r="AU223" s="50" t="n"/>
      <c r="AV223" s="50" t="n"/>
      <c r="AW223" s="49" t="inlineStr">
        <is>
          <t>IF(OR(F223="",AJ223=""),"",IF(COUNT(AI223:AI223)=0,"",AJ223-LOOKUP(2,1/(AI223:AI223&lt;&gt;""),AI223:AI223)))</t>
        </is>
      </c>
      <c r="AX223" s="49" t="inlineStr">
        <is>
          <t>IF(OR(F223="",AK223=""),"",IF(COUNT(AI223:AJ223)=0,"",AK223-LOOKUP(2,1/(AI223:AJ223&lt;&gt;""),AI223:AJ223)))</t>
        </is>
      </c>
      <c r="AY223" s="49" t="inlineStr">
        <is>
          <t>IF(OR(F223="",AL223=""),"",IF(COUNT(AI223:AK223)=0,"",AL223-LOOKUP(2,1/(AI223:AK223&lt;&gt;""),AI223:AK223)))</t>
        </is>
      </c>
      <c r="AZ223" s="49" t="inlineStr">
        <is>
          <t>IF(OR(F223="",AM223=""),"",IF(COUNT(AI223:AL223)=0,"",AM223-LOOKUP(2,1/(AI223:AL223&lt;&gt;""),AI223:AL223)))</t>
        </is>
      </c>
      <c r="BA223" s="49" t="inlineStr">
        <is>
          <t>IF(OR(F223="",AN223=""),"",IF(COUNT(AI223:AM223)=0,"",AN223-LOOKUP(2,1/(AI223:AM223&lt;&gt;""),AI223:AM223)))</t>
        </is>
      </c>
      <c r="BB223" s="49" t="inlineStr">
        <is>
          <t>IF(OR(F223="",AO223=""),"",IF(COUNT(AI223:AN223)=0,"",AO223-LOOKUP(2,1/(AI223:AN223&lt;&gt;""),AI223:AN223)))</t>
        </is>
      </c>
      <c r="BC223" s="49" t="inlineStr">
        <is>
          <t>IF(OR(F223="",AP223=""),"",IF(COUNT(AI223:AO223)=0,"",AP223-LOOKUP(2,1/(AI223:AO223&lt;&gt;""),AI223:AO223)))</t>
        </is>
      </c>
      <c r="BD223" s="49" t="inlineStr">
        <is>
          <t>IF(OR(F223="",AQ223=""),"",IF(COUNT(AI223:AP223)=0,"",AQ223-LOOKUP(2,1/(AI223:AP223&lt;&gt;""),AI223:AP223)))</t>
        </is>
      </c>
      <c r="BE223" s="49" t="inlineStr">
        <is>
          <t>IF(OR(F223="",AR223=""),"",IF(COUNT(AI223:AQ223)=0,"",AR223-LOOKUP(2,1/(AI223:AQ223&lt;&gt;""),AI223:AQ223)))</t>
        </is>
      </c>
      <c r="BF223" s="49" t="inlineStr">
        <is>
          <t>IF(OR(F223="",AS223=""),"",IF(COUNT(AI223:AR223)=0,"",AS223-LOOKUP(2,1/(AI223:AR223&lt;&gt;""),AI223:AR223)))</t>
        </is>
      </c>
      <c r="BG223" s="49" t="inlineStr">
        <is>
          <t>IF(OR(F223="",AT223=""),"",IF(COUNT(AI223:AS223)=0,"",AT223-LOOKUP(2,1/(AI223:AS223&lt;&gt;""),AI223:AS223)))</t>
        </is>
      </c>
      <c r="BH223" s="49" t="inlineStr">
        <is>
          <t>IF(OR(F223="",AU223=""),"",IF(COUNT(AI223:AT223)=0,"",AU223-LOOKUP(2,1/(AI223:AT223&lt;&gt;""),AI223:AT223)))</t>
        </is>
      </c>
      <c r="BI223" s="49" t="inlineStr">
        <is>
          <t>IF(OR(F223="",AV223=""),"",IF(COUNT(AI223:AU223)=0,"",AV223-LOOKUP(2,1/(AI223:AU223&lt;&gt;""),AI223:AU223)))</t>
        </is>
      </c>
      <c r="BJ223" s="51" t="inlineStr">
        <is>
          <t>IF(J223="","All_Provinces",IFERROR(VLOOKUP(J223,'09_Lookups'!$A$4:$B$20,2,FALSE),"All_Provinces"))</t>
        </is>
      </c>
      <c r="BK223" s="51" t="inlineStr">
        <is>
          <t>IF(K223="","All_Districts",IFERROR(VLOOKUP(K223,'09_Lookups'!$E$4:$F$42,2,FALSE),"All_Districts"))</t>
        </is>
      </c>
    </row>
    <row r="224" outlineLevel="1" ht="18" customHeight="1">
      <c r="A224" s="42" t="inlineStr">
        <is>
          <t>IF(F224="","",ROW()-3)</t>
        </is>
      </c>
      <c r="B224" s="43" t="inlineStr">
        <is>
          <t>AF2-LLL-ALL</t>
        </is>
      </c>
      <c r="C224" s="43" t="inlineStr">
        <is>
          <t>EFSP-AF2 LLL supply and delivery (50 units)</t>
        </is>
      </c>
      <c r="D224" s="43" t="inlineStr">
        <is>
          <t>13 of 50</t>
        </is>
      </c>
      <c r="E224" s="52" t="inlineStr">
        <is>
          <t>AF2-LLL-N-013</t>
        </is>
      </c>
      <c r="F224" s="52" t="inlineStr">
        <is>
          <t>Joi Baratha Ulya IS</t>
        </is>
      </c>
      <c r="G224" s="52" t="inlineStr">
        <is>
          <t>Laser Land Leveler (LLL)</t>
        </is>
      </c>
      <c r="H224" s="52" t="inlineStr">
        <is>
          <t>LLL unit</t>
        </is>
      </c>
      <c r="I224" s="52" t="inlineStr">
        <is>
          <t>Emergency Food Security Project (EFSP) – WBK/AF-2</t>
        </is>
      </c>
      <c r="J224" s="52" t="inlineStr">
        <is>
          <t>West / Herat</t>
        </is>
      </c>
      <c r="K224" s="52" t="inlineStr">
        <is>
          <t>Ghor</t>
        </is>
      </c>
      <c r="L224" s="52" t="inlineStr">
        <is>
          <t>Dawlatyar</t>
        </is>
      </c>
      <c r="M224" s="52" t="inlineStr">
        <is>
          <t>1 unit(s)</t>
        </is>
      </c>
      <c r="N224" s="52" t="inlineStr">
        <is>
          <t>World Bank (WBK/AF-2)</t>
        </is>
      </c>
      <c r="O224" s="52" t="inlineStr">
        <is>
          <t>Not awarded</t>
        </is>
      </c>
      <c r="P224" s="52" t="inlineStr">
        <is>
          <t>6. Supply and delivery of LLL</t>
        </is>
      </c>
      <c r="Q224" s="52" t="inlineStr"/>
      <c r="R224" s="52" t="inlineStr"/>
      <c r="S224" s="53" t="n"/>
      <c r="T224" s="46" t="inlineStr">
        <is>
          <t>IF(AQ224="","",AQ224)</t>
        </is>
      </c>
      <c r="U224" s="54" t="n">
        <v>46325</v>
      </c>
      <c r="V224" s="55" t="n"/>
      <c r="W224" s="54" t="n">
        <v>46418</v>
      </c>
      <c r="X224" s="46" t="inlineStr">
        <is>
          <t>IF(W224&lt;&gt;"",W224,IF(OR(T224="",V224=""),"",EDATE(T224,V224)))</t>
        </is>
      </c>
      <c r="Y224" s="54" t="n"/>
      <c r="Z224" s="55" t="n"/>
      <c r="AA224" s="52" t="inlineStr">
        <is>
          <t>Under Awarding</t>
        </is>
      </c>
      <c r="AB224" s="52" t="inlineStr">
        <is>
          <t>The Procurement process is initiated in April and PO will be issued late October 2026. and delivery will be done by End of December 2026 and onward in January 2027 it is planned to be distributed to the selected beneficiaries.</t>
        </is>
      </c>
      <c r="AC224" s="42" t="inlineStr">
        <is>
          <t>IF(F224="","",IF(COUNT(AI224:AV224)=0,IF(AA224="","Not started",AA224),SUBSTITUTE(LOOKUP(2,1/(AI224:AV224&lt;&gt;""),$AI$3:$AV$3),"Date: ","")))</t>
        </is>
      </c>
      <c r="AD224" s="49" t="inlineStr">
        <is>
          <t>IF(OR(F224="",COUNT(AI224:AV224)=0),"",TODAY()-LOOKUP(2,1/(AI224:AV224&lt;&gt;""),AI224:AV224))</t>
        </is>
      </c>
      <c r="AE224" s="49" t="inlineStr">
        <is>
          <t>IF(OR(F224="",COUNT(AI224:AV224)&lt;2),"",LOOKUP(2,1/(AI224:AV224&lt;&gt;""),AI224:AV224)-MIN(AI224:AV224))</t>
        </is>
      </c>
      <c r="AF224" s="49" t="inlineStr">
        <is>
          <t>IF(OR(AD224="",AC224="Not started",AC224=""),"",IFERROR(AD224-IF(VLOOKUP(AC224,'06_Status_Pipeline'!$B$3:$E$20,4,FALSE)="",0,VLOOKUP(AC224,'06_Status_Pipeline'!$B$3:$E$20,4,FALSE)),""))</t>
        </is>
      </c>
      <c r="AG224" s="42" t="inlineStr">
        <is>
          <t>IF(F224="","",IF(OR(AA224="Cancelled",AC224="Cancelled"),"Cancelled",IF(OR(AC224="Completed / Handover",Y224&lt;&gt;"",Z224&gt;=100),"Completed — on track",IF(O224="Not awarded",IF(U224="",IF(X224="","No planned date",IF(TODAY()&gt;X224,"Behind — past planned date",IF(X224-TODAY()&lt;=30,"At risk — close to off track","On track"))),IF(TODAY()&gt;U224,"Behind — award date passed",IF(U224-TODAY()&lt;=30,"At risk — close to off track","On track"))),IF(X224="","No planned date",IF(AND(TODAY()&gt;X224,OR(Z224="",Z224&lt;100)),"Behind — past end date",IF(AND(T224&lt;&gt;"",X224&lt;&gt;"",Z224&lt;&gt;"",(Z224&lt;100),((TODAY()-T224)/MAX(X224-T224,1)*100)-Z224&gt;15),"Behind — progress lag",IF(AND(X224-TODAY()&lt;=30,X224-TODAY()&gt;=0,OR(Z224="",Z224&lt;90)),"At risk — close to off track","On track"))))))))</t>
        </is>
      </c>
      <c r="AH224" s="49" t="inlineStr">
        <is>
          <t>IF(OR(F224="",AC224="Completed / Handover",AC224="Cancelled"),"",IF(O224="Not awarded",IF(U224&lt;&gt;"",U224-TODAY(),IF(X224="","",X224-TODAY())),IF(X224="","",X224-TODAY())))</t>
        </is>
      </c>
      <c r="AI224" s="54" t="n"/>
      <c r="AJ224" s="54" t="n"/>
      <c r="AK224" s="54" t="n"/>
      <c r="AL224" s="54" t="n"/>
      <c r="AM224" s="54" t="n"/>
      <c r="AN224" s="54" t="n"/>
      <c r="AO224" s="54" t="n"/>
      <c r="AP224" s="54" t="n"/>
      <c r="AQ224" s="54" t="n"/>
      <c r="AR224" s="54" t="n"/>
      <c r="AS224" s="54" t="n"/>
      <c r="AT224" s="50" t="n"/>
      <c r="AU224" s="50" t="n"/>
      <c r="AV224" s="50" t="n"/>
      <c r="AW224" s="49" t="inlineStr">
        <is>
          <t>IF(OR(F224="",AJ224=""),"",IF(COUNT(AI224:AI224)=0,"",AJ224-LOOKUP(2,1/(AI224:AI224&lt;&gt;""),AI224:AI224)))</t>
        </is>
      </c>
      <c r="AX224" s="49" t="inlineStr">
        <is>
          <t>IF(OR(F224="",AK224=""),"",IF(COUNT(AI224:AJ224)=0,"",AK224-LOOKUP(2,1/(AI224:AJ224&lt;&gt;""),AI224:AJ224)))</t>
        </is>
      </c>
      <c r="AY224" s="49" t="inlineStr">
        <is>
          <t>IF(OR(F224="",AL224=""),"",IF(COUNT(AI224:AK224)=0,"",AL224-LOOKUP(2,1/(AI224:AK224&lt;&gt;""),AI224:AK224)))</t>
        </is>
      </c>
      <c r="AZ224" s="49" t="inlineStr">
        <is>
          <t>IF(OR(F224="",AM224=""),"",IF(COUNT(AI224:AL224)=0,"",AM224-LOOKUP(2,1/(AI224:AL224&lt;&gt;""),AI224:AL224)))</t>
        </is>
      </c>
      <c r="BA224" s="49" t="inlineStr">
        <is>
          <t>IF(OR(F224="",AN224=""),"",IF(COUNT(AI224:AM224)=0,"",AN224-LOOKUP(2,1/(AI224:AM224&lt;&gt;""),AI224:AM224)))</t>
        </is>
      </c>
      <c r="BB224" s="49" t="inlineStr">
        <is>
          <t>IF(OR(F224="",AO224=""),"",IF(COUNT(AI224:AN224)=0,"",AO224-LOOKUP(2,1/(AI224:AN224&lt;&gt;""),AI224:AN224)))</t>
        </is>
      </c>
      <c r="BC224" s="49" t="inlineStr">
        <is>
          <t>IF(OR(F224="",AP224=""),"",IF(COUNT(AI224:AO224)=0,"",AP224-LOOKUP(2,1/(AI224:AO224&lt;&gt;""),AI224:AO224)))</t>
        </is>
      </c>
      <c r="BD224" s="49" t="inlineStr">
        <is>
          <t>IF(OR(F224="",AQ224=""),"",IF(COUNT(AI224:AP224)=0,"",AQ224-LOOKUP(2,1/(AI224:AP224&lt;&gt;""),AI224:AP224)))</t>
        </is>
      </c>
      <c r="BE224" s="49" t="inlineStr">
        <is>
          <t>IF(OR(F224="",AR224=""),"",IF(COUNT(AI224:AQ224)=0,"",AR224-LOOKUP(2,1/(AI224:AQ224&lt;&gt;""),AI224:AQ224)))</t>
        </is>
      </c>
      <c r="BF224" s="49" t="inlineStr">
        <is>
          <t>IF(OR(F224="",AS224=""),"",IF(COUNT(AI224:AR224)=0,"",AS224-LOOKUP(2,1/(AI224:AR224&lt;&gt;""),AI224:AR224)))</t>
        </is>
      </c>
      <c r="BG224" s="49" t="inlineStr">
        <is>
          <t>IF(OR(F224="",AT224=""),"",IF(COUNT(AI224:AS224)=0,"",AT224-LOOKUP(2,1/(AI224:AS224&lt;&gt;""),AI224:AS224)))</t>
        </is>
      </c>
      <c r="BH224" s="49" t="inlineStr">
        <is>
          <t>IF(OR(F224="",AU224=""),"",IF(COUNT(AI224:AT224)=0,"",AU224-LOOKUP(2,1/(AI224:AT224&lt;&gt;""),AI224:AT224)))</t>
        </is>
      </c>
      <c r="BI224" s="49" t="inlineStr">
        <is>
          <t>IF(OR(F224="",AV224=""),"",IF(COUNT(AI224:AU224)=0,"",AV224-LOOKUP(2,1/(AI224:AU224&lt;&gt;""),AI224:AU224)))</t>
        </is>
      </c>
      <c r="BJ224" s="51" t="inlineStr">
        <is>
          <t>IF(J224="","All_Provinces",IFERROR(VLOOKUP(J224,'09_Lookups'!$A$4:$B$20,2,FALSE),"All_Provinces"))</t>
        </is>
      </c>
      <c r="BK224" s="51" t="inlineStr">
        <is>
          <t>IF(K224="","All_Districts",IFERROR(VLOOKUP(K224,'09_Lookups'!$E$4:$F$42,2,FALSE),"All_Districts"))</t>
        </is>
      </c>
    </row>
    <row r="225" outlineLevel="1" ht="18" customHeight="1">
      <c r="A225" s="42" t="inlineStr">
        <is>
          <t>IF(F225="","",ROW()-3)</t>
        </is>
      </c>
      <c r="B225" s="43" t="inlineStr">
        <is>
          <t>AF2-LLL-ALL</t>
        </is>
      </c>
      <c r="C225" s="43" t="inlineStr">
        <is>
          <t>EFSP-AF2 LLL supply and delivery (50 units)</t>
        </is>
      </c>
      <c r="D225" s="43" t="inlineStr">
        <is>
          <t>14 of 50</t>
        </is>
      </c>
      <c r="E225" s="44" t="inlineStr">
        <is>
          <t>AF2-LLL-N-014</t>
        </is>
      </c>
      <c r="F225" s="44" t="inlineStr">
        <is>
          <t>Joi Bazar irrigation scheme</t>
        </is>
      </c>
      <c r="G225" s="44" t="inlineStr">
        <is>
          <t>Laser Land Leveler (LLL)</t>
        </is>
      </c>
      <c r="H225" s="44" t="inlineStr">
        <is>
          <t>LLL unit</t>
        </is>
      </c>
      <c r="I225" s="44" t="inlineStr">
        <is>
          <t>Emergency Food Security Project (EFSP) – WBK/AF-2</t>
        </is>
      </c>
      <c r="J225" s="44" t="inlineStr">
        <is>
          <t>West / Herat</t>
        </is>
      </c>
      <c r="K225" s="44" t="inlineStr">
        <is>
          <t>Herat</t>
        </is>
      </c>
      <c r="L225" s="44" t="inlineStr">
        <is>
          <t>Obe</t>
        </is>
      </c>
      <c r="M225" s="44" t="inlineStr">
        <is>
          <t>1 unit(s)</t>
        </is>
      </c>
      <c r="N225" s="44" t="inlineStr">
        <is>
          <t>World Bank (WBK/AF-2)</t>
        </is>
      </c>
      <c r="O225" s="44" t="inlineStr">
        <is>
          <t>Not awarded</t>
        </is>
      </c>
      <c r="P225" s="44" t="inlineStr">
        <is>
          <t>6. Supply and delivery of LLL</t>
        </is>
      </c>
      <c r="Q225" s="44" t="inlineStr"/>
      <c r="R225" s="44" t="inlineStr"/>
      <c r="S225" s="45" t="n"/>
      <c r="T225" s="46" t="inlineStr">
        <is>
          <t>IF(AQ225="","",AQ225)</t>
        </is>
      </c>
      <c r="U225" s="47" t="n">
        <v>46325</v>
      </c>
      <c r="V225" s="48" t="n"/>
      <c r="W225" s="47" t="n">
        <v>46418</v>
      </c>
      <c r="X225" s="46" t="inlineStr">
        <is>
          <t>IF(W225&lt;&gt;"",W225,IF(OR(T225="",V225=""),"",EDATE(T225,V225)))</t>
        </is>
      </c>
      <c r="Y225" s="47" t="n"/>
      <c r="Z225" s="48" t="n"/>
      <c r="AA225" s="44" t="inlineStr">
        <is>
          <t>Under Awarding</t>
        </is>
      </c>
      <c r="AB225" s="44" t="inlineStr">
        <is>
          <t>The Procurement process is initiated in April and PO will be issued late October 2026. and delivery will be done by End of December 2026 and onward in January 2027 it is planned to be distributed to the selected beneficiaries.</t>
        </is>
      </c>
      <c r="AC225" s="42" t="inlineStr">
        <is>
          <t>IF(F225="","",IF(COUNT(AI225:AV225)=0,IF(AA225="","Not started",AA225),SUBSTITUTE(LOOKUP(2,1/(AI225:AV225&lt;&gt;""),$AI$3:$AV$3),"Date: ","")))</t>
        </is>
      </c>
      <c r="AD225" s="49" t="inlineStr">
        <is>
          <t>IF(OR(F225="",COUNT(AI225:AV225)=0),"",TODAY()-LOOKUP(2,1/(AI225:AV225&lt;&gt;""),AI225:AV225))</t>
        </is>
      </c>
      <c r="AE225" s="49" t="inlineStr">
        <is>
          <t>IF(OR(F225="",COUNT(AI225:AV225)&lt;2),"",LOOKUP(2,1/(AI225:AV225&lt;&gt;""),AI225:AV225)-MIN(AI225:AV225))</t>
        </is>
      </c>
      <c r="AF225" s="49" t="inlineStr">
        <is>
          <t>IF(OR(AD225="",AC225="Not started",AC225=""),"",IFERROR(AD225-IF(VLOOKUP(AC225,'06_Status_Pipeline'!$B$3:$E$20,4,FALSE)="",0,VLOOKUP(AC225,'06_Status_Pipeline'!$B$3:$E$20,4,FALSE)),""))</t>
        </is>
      </c>
      <c r="AG225" s="42" t="inlineStr">
        <is>
          <t>IF(F225="","",IF(OR(AA225="Cancelled",AC225="Cancelled"),"Cancelled",IF(OR(AC225="Completed / Handover",Y225&lt;&gt;"",Z225&gt;=100),"Completed — on track",IF(O225="Not awarded",IF(U225="",IF(X225="","No planned date",IF(TODAY()&gt;X225,"Behind — past planned date",IF(X225-TODAY()&lt;=30,"At risk — close to off track","On track"))),IF(TODAY()&gt;U225,"Behind — award date passed",IF(U225-TODAY()&lt;=30,"At risk — close to off track","On track"))),IF(X225="","No planned date",IF(AND(TODAY()&gt;X225,OR(Z225="",Z225&lt;100)),"Behind — past end date",IF(AND(T225&lt;&gt;"",X225&lt;&gt;"",Z225&lt;&gt;"",(Z225&lt;100),((TODAY()-T225)/MAX(X225-T225,1)*100)-Z225&gt;15),"Behind — progress lag",IF(AND(X225-TODAY()&lt;=30,X225-TODAY()&gt;=0,OR(Z225="",Z225&lt;90)),"At risk — close to off track","On track"))))))))</t>
        </is>
      </c>
      <c r="AH225" s="49" t="inlineStr">
        <is>
          <t>IF(OR(F225="",AC225="Completed / Handover",AC225="Cancelled"),"",IF(O225="Not awarded",IF(U225&lt;&gt;"",U225-TODAY(),IF(X225="","",X225-TODAY())),IF(X225="","",X225-TODAY())))</t>
        </is>
      </c>
      <c r="AI225" s="47" t="n"/>
      <c r="AJ225" s="47" t="n"/>
      <c r="AK225" s="47" t="n"/>
      <c r="AL225" s="47" t="n"/>
      <c r="AM225" s="47" t="n"/>
      <c r="AN225" s="47" t="n"/>
      <c r="AO225" s="47" t="n"/>
      <c r="AP225" s="47" t="n"/>
      <c r="AQ225" s="47" t="n"/>
      <c r="AR225" s="47" t="n"/>
      <c r="AS225" s="47" t="n"/>
      <c r="AT225" s="50" t="n"/>
      <c r="AU225" s="50" t="n"/>
      <c r="AV225" s="50" t="n"/>
      <c r="AW225" s="49" t="inlineStr">
        <is>
          <t>IF(OR(F225="",AJ225=""),"",IF(COUNT(AI225:AI225)=0,"",AJ225-LOOKUP(2,1/(AI225:AI225&lt;&gt;""),AI225:AI225)))</t>
        </is>
      </c>
      <c r="AX225" s="49" t="inlineStr">
        <is>
          <t>IF(OR(F225="",AK225=""),"",IF(COUNT(AI225:AJ225)=0,"",AK225-LOOKUP(2,1/(AI225:AJ225&lt;&gt;""),AI225:AJ225)))</t>
        </is>
      </c>
      <c r="AY225" s="49" t="inlineStr">
        <is>
          <t>IF(OR(F225="",AL225=""),"",IF(COUNT(AI225:AK225)=0,"",AL225-LOOKUP(2,1/(AI225:AK225&lt;&gt;""),AI225:AK225)))</t>
        </is>
      </c>
      <c r="AZ225" s="49" t="inlineStr">
        <is>
          <t>IF(OR(F225="",AM225=""),"",IF(COUNT(AI225:AL225)=0,"",AM225-LOOKUP(2,1/(AI225:AL225&lt;&gt;""),AI225:AL225)))</t>
        </is>
      </c>
      <c r="BA225" s="49" t="inlineStr">
        <is>
          <t>IF(OR(F225="",AN225=""),"",IF(COUNT(AI225:AM225)=0,"",AN225-LOOKUP(2,1/(AI225:AM225&lt;&gt;""),AI225:AM225)))</t>
        </is>
      </c>
      <c r="BB225" s="49" t="inlineStr">
        <is>
          <t>IF(OR(F225="",AO225=""),"",IF(COUNT(AI225:AN225)=0,"",AO225-LOOKUP(2,1/(AI225:AN225&lt;&gt;""),AI225:AN225)))</t>
        </is>
      </c>
      <c r="BC225" s="49" t="inlineStr">
        <is>
          <t>IF(OR(F225="",AP225=""),"",IF(COUNT(AI225:AO225)=0,"",AP225-LOOKUP(2,1/(AI225:AO225&lt;&gt;""),AI225:AO225)))</t>
        </is>
      </c>
      <c r="BD225" s="49" t="inlineStr">
        <is>
          <t>IF(OR(F225="",AQ225=""),"",IF(COUNT(AI225:AP225)=0,"",AQ225-LOOKUP(2,1/(AI225:AP225&lt;&gt;""),AI225:AP225)))</t>
        </is>
      </c>
      <c r="BE225" s="49" t="inlineStr">
        <is>
          <t>IF(OR(F225="",AR225=""),"",IF(COUNT(AI225:AQ225)=0,"",AR225-LOOKUP(2,1/(AI225:AQ225&lt;&gt;""),AI225:AQ225)))</t>
        </is>
      </c>
      <c r="BF225" s="49" t="inlineStr">
        <is>
          <t>IF(OR(F225="",AS225=""),"",IF(COUNT(AI225:AR225)=0,"",AS225-LOOKUP(2,1/(AI225:AR225&lt;&gt;""),AI225:AR225)))</t>
        </is>
      </c>
      <c r="BG225" s="49" t="inlineStr">
        <is>
          <t>IF(OR(F225="",AT225=""),"",IF(COUNT(AI225:AS225)=0,"",AT225-LOOKUP(2,1/(AI225:AS225&lt;&gt;""),AI225:AS225)))</t>
        </is>
      </c>
      <c r="BH225" s="49" t="inlineStr">
        <is>
          <t>IF(OR(F225="",AU225=""),"",IF(COUNT(AI225:AT225)=0,"",AU225-LOOKUP(2,1/(AI225:AT225&lt;&gt;""),AI225:AT225)))</t>
        </is>
      </c>
      <c r="BI225" s="49" t="inlineStr">
        <is>
          <t>IF(OR(F225="",AV225=""),"",IF(COUNT(AI225:AU225)=0,"",AV225-LOOKUP(2,1/(AI225:AU225&lt;&gt;""),AI225:AU225)))</t>
        </is>
      </c>
      <c r="BJ225" s="51" t="inlineStr">
        <is>
          <t>IF(J225="","All_Provinces",IFERROR(VLOOKUP(J225,'09_Lookups'!$A$4:$B$20,2,FALSE),"All_Provinces"))</t>
        </is>
      </c>
      <c r="BK225" s="51" t="inlineStr">
        <is>
          <t>IF(K225="","All_Districts",IFERROR(VLOOKUP(K225,'09_Lookups'!$E$4:$F$42,2,FALSE),"All_Districts"))</t>
        </is>
      </c>
    </row>
    <row r="226" outlineLevel="1" ht="18" customHeight="1">
      <c r="A226" s="42" t="inlineStr">
        <is>
          <t>IF(F226="","",ROW()-3)</t>
        </is>
      </c>
      <c r="B226" s="43" t="inlineStr">
        <is>
          <t>AF2-LLL-ALL</t>
        </is>
      </c>
      <c r="C226" s="43" t="inlineStr">
        <is>
          <t>EFSP-AF2 LLL supply and delivery (50 units)</t>
        </is>
      </c>
      <c r="D226" s="43" t="inlineStr">
        <is>
          <t>15 of 50</t>
        </is>
      </c>
      <c r="E226" s="52" t="inlineStr">
        <is>
          <t>AF2-LLL-N-015</t>
        </is>
      </c>
      <c r="F226" s="52" t="inlineStr">
        <is>
          <t>Joi Ganj Irrigation Scheme</t>
        </is>
      </c>
      <c r="G226" s="52" t="inlineStr">
        <is>
          <t>Laser Land Leveler (LLL)</t>
        </is>
      </c>
      <c r="H226" s="52" t="inlineStr">
        <is>
          <t>LLL unit</t>
        </is>
      </c>
      <c r="I226" s="52" t="inlineStr">
        <is>
          <t>Emergency Food Security Project (EFSP) – WBK/AF-2</t>
        </is>
      </c>
      <c r="J226" s="52" t="inlineStr">
        <is>
          <t>West / Herat</t>
        </is>
      </c>
      <c r="K226" s="52" t="inlineStr">
        <is>
          <t>Badghis</t>
        </is>
      </c>
      <c r="L226" s="52" t="inlineStr">
        <is>
          <t>Balamorghab</t>
        </is>
      </c>
      <c r="M226" s="52" t="inlineStr">
        <is>
          <t>1 unit(s)</t>
        </is>
      </c>
      <c r="N226" s="52" t="inlineStr">
        <is>
          <t>World Bank (WBK/AF-2)</t>
        </is>
      </c>
      <c r="O226" s="52" t="inlineStr">
        <is>
          <t>Not awarded</t>
        </is>
      </c>
      <c r="P226" s="52" t="inlineStr">
        <is>
          <t>6. Supply and delivery of LLL</t>
        </is>
      </c>
      <c r="Q226" s="52" t="inlineStr"/>
      <c r="R226" s="52" t="inlineStr"/>
      <c r="S226" s="53" t="n"/>
      <c r="T226" s="46" t="inlineStr">
        <is>
          <t>IF(AQ226="","",AQ226)</t>
        </is>
      </c>
      <c r="U226" s="54" t="n">
        <v>46325</v>
      </c>
      <c r="V226" s="55" t="n"/>
      <c r="W226" s="54" t="n">
        <v>46418</v>
      </c>
      <c r="X226" s="46" t="inlineStr">
        <is>
          <t>IF(W226&lt;&gt;"",W226,IF(OR(T226="",V226=""),"",EDATE(T226,V226)))</t>
        </is>
      </c>
      <c r="Y226" s="54" t="n"/>
      <c r="Z226" s="55" t="n"/>
      <c r="AA226" s="52" t="inlineStr">
        <is>
          <t>Under Awarding</t>
        </is>
      </c>
      <c r="AB226" s="52" t="inlineStr">
        <is>
          <t>The Procurement process is initiated in April and PO will be issued late October 2026. and delivery will be done by End of December 2026 and onward in January 2027 it is planned to be distributed to the selected beneficiaries.</t>
        </is>
      </c>
      <c r="AC226" s="42" t="inlineStr">
        <is>
          <t>IF(F226="","",IF(COUNT(AI226:AV226)=0,IF(AA226="","Not started",AA226),SUBSTITUTE(LOOKUP(2,1/(AI226:AV226&lt;&gt;""),$AI$3:$AV$3),"Date: ","")))</t>
        </is>
      </c>
      <c r="AD226" s="49" t="inlineStr">
        <is>
          <t>IF(OR(F226="",COUNT(AI226:AV226)=0),"",TODAY()-LOOKUP(2,1/(AI226:AV226&lt;&gt;""),AI226:AV226))</t>
        </is>
      </c>
      <c r="AE226" s="49" t="inlineStr">
        <is>
          <t>IF(OR(F226="",COUNT(AI226:AV226)&lt;2),"",LOOKUP(2,1/(AI226:AV226&lt;&gt;""),AI226:AV226)-MIN(AI226:AV226))</t>
        </is>
      </c>
      <c r="AF226" s="49" t="inlineStr">
        <is>
          <t>IF(OR(AD226="",AC226="Not started",AC226=""),"",IFERROR(AD226-IF(VLOOKUP(AC226,'06_Status_Pipeline'!$B$3:$E$20,4,FALSE)="",0,VLOOKUP(AC226,'06_Status_Pipeline'!$B$3:$E$20,4,FALSE)),""))</t>
        </is>
      </c>
      <c r="AG226" s="42" t="inlineStr">
        <is>
          <t>IF(F226="","",IF(OR(AA226="Cancelled",AC226="Cancelled"),"Cancelled",IF(OR(AC226="Completed / Handover",Y226&lt;&gt;"",Z226&gt;=100),"Completed — on track",IF(O226="Not awarded",IF(U226="",IF(X226="","No planned date",IF(TODAY()&gt;X226,"Behind — past planned date",IF(X226-TODAY()&lt;=30,"At risk — close to off track","On track"))),IF(TODAY()&gt;U226,"Behind — award date passed",IF(U226-TODAY()&lt;=30,"At risk — close to off track","On track"))),IF(X226="","No planned date",IF(AND(TODAY()&gt;X226,OR(Z226="",Z226&lt;100)),"Behind — past end date",IF(AND(T226&lt;&gt;"",X226&lt;&gt;"",Z226&lt;&gt;"",(Z226&lt;100),((TODAY()-T226)/MAX(X226-T226,1)*100)-Z226&gt;15),"Behind — progress lag",IF(AND(X226-TODAY()&lt;=30,X226-TODAY()&gt;=0,OR(Z226="",Z226&lt;90)),"At risk — close to off track","On track"))))))))</t>
        </is>
      </c>
      <c r="AH226" s="49" t="inlineStr">
        <is>
          <t>IF(OR(F226="",AC226="Completed / Handover",AC226="Cancelled"),"",IF(O226="Not awarded",IF(U226&lt;&gt;"",U226-TODAY(),IF(X226="","",X226-TODAY())),IF(X226="","",X226-TODAY())))</t>
        </is>
      </c>
      <c r="AI226" s="54" t="n"/>
      <c r="AJ226" s="54" t="n"/>
      <c r="AK226" s="54" t="n"/>
      <c r="AL226" s="54" t="n"/>
      <c r="AM226" s="54" t="n"/>
      <c r="AN226" s="54" t="n"/>
      <c r="AO226" s="54" t="n"/>
      <c r="AP226" s="54" t="n"/>
      <c r="AQ226" s="54" t="n"/>
      <c r="AR226" s="54" t="n"/>
      <c r="AS226" s="54" t="n"/>
      <c r="AT226" s="50" t="n"/>
      <c r="AU226" s="50" t="n"/>
      <c r="AV226" s="50" t="n"/>
      <c r="AW226" s="49" t="inlineStr">
        <is>
          <t>IF(OR(F226="",AJ226=""),"",IF(COUNT(AI226:AI226)=0,"",AJ226-LOOKUP(2,1/(AI226:AI226&lt;&gt;""),AI226:AI226)))</t>
        </is>
      </c>
      <c r="AX226" s="49" t="inlineStr">
        <is>
          <t>IF(OR(F226="",AK226=""),"",IF(COUNT(AI226:AJ226)=0,"",AK226-LOOKUP(2,1/(AI226:AJ226&lt;&gt;""),AI226:AJ226)))</t>
        </is>
      </c>
      <c r="AY226" s="49" t="inlineStr">
        <is>
          <t>IF(OR(F226="",AL226=""),"",IF(COUNT(AI226:AK226)=0,"",AL226-LOOKUP(2,1/(AI226:AK226&lt;&gt;""),AI226:AK226)))</t>
        </is>
      </c>
      <c r="AZ226" s="49" t="inlineStr">
        <is>
          <t>IF(OR(F226="",AM226=""),"",IF(COUNT(AI226:AL226)=0,"",AM226-LOOKUP(2,1/(AI226:AL226&lt;&gt;""),AI226:AL226)))</t>
        </is>
      </c>
      <c r="BA226" s="49" t="inlineStr">
        <is>
          <t>IF(OR(F226="",AN226=""),"",IF(COUNT(AI226:AM226)=0,"",AN226-LOOKUP(2,1/(AI226:AM226&lt;&gt;""),AI226:AM226)))</t>
        </is>
      </c>
      <c r="BB226" s="49" t="inlineStr">
        <is>
          <t>IF(OR(F226="",AO226=""),"",IF(COUNT(AI226:AN226)=0,"",AO226-LOOKUP(2,1/(AI226:AN226&lt;&gt;""),AI226:AN226)))</t>
        </is>
      </c>
      <c r="BC226" s="49" t="inlineStr">
        <is>
          <t>IF(OR(F226="",AP226=""),"",IF(COUNT(AI226:AO226)=0,"",AP226-LOOKUP(2,1/(AI226:AO226&lt;&gt;""),AI226:AO226)))</t>
        </is>
      </c>
      <c r="BD226" s="49" t="inlineStr">
        <is>
          <t>IF(OR(F226="",AQ226=""),"",IF(COUNT(AI226:AP226)=0,"",AQ226-LOOKUP(2,1/(AI226:AP226&lt;&gt;""),AI226:AP226)))</t>
        </is>
      </c>
      <c r="BE226" s="49" t="inlineStr">
        <is>
          <t>IF(OR(F226="",AR226=""),"",IF(COUNT(AI226:AQ226)=0,"",AR226-LOOKUP(2,1/(AI226:AQ226&lt;&gt;""),AI226:AQ226)))</t>
        </is>
      </c>
      <c r="BF226" s="49" t="inlineStr">
        <is>
          <t>IF(OR(F226="",AS226=""),"",IF(COUNT(AI226:AR226)=0,"",AS226-LOOKUP(2,1/(AI226:AR226&lt;&gt;""),AI226:AR226)))</t>
        </is>
      </c>
      <c r="BG226" s="49" t="inlineStr">
        <is>
          <t>IF(OR(F226="",AT226=""),"",IF(COUNT(AI226:AS226)=0,"",AT226-LOOKUP(2,1/(AI226:AS226&lt;&gt;""),AI226:AS226)))</t>
        </is>
      </c>
      <c r="BH226" s="49" t="inlineStr">
        <is>
          <t>IF(OR(F226="",AU226=""),"",IF(COUNT(AI226:AT226)=0,"",AU226-LOOKUP(2,1/(AI226:AT226&lt;&gt;""),AI226:AT226)))</t>
        </is>
      </c>
      <c r="BI226" s="49" t="inlineStr">
        <is>
          <t>IF(OR(F226="",AV226=""),"",IF(COUNT(AI226:AU226)=0,"",AV226-LOOKUP(2,1/(AI226:AU226&lt;&gt;""),AI226:AU226)))</t>
        </is>
      </c>
      <c r="BJ226" s="51" t="inlineStr">
        <is>
          <t>IF(J226="","All_Provinces",IFERROR(VLOOKUP(J226,'09_Lookups'!$A$4:$B$20,2,FALSE),"All_Provinces"))</t>
        </is>
      </c>
      <c r="BK226" s="51" t="inlineStr">
        <is>
          <t>IF(K226="","All_Districts",IFERROR(VLOOKUP(K226,'09_Lookups'!$E$4:$F$42,2,FALSE),"All_Districts"))</t>
        </is>
      </c>
    </row>
    <row r="227" outlineLevel="1" ht="18" customHeight="1">
      <c r="A227" s="42" t="inlineStr">
        <is>
          <t>IF(F227="","",ROW()-3)</t>
        </is>
      </c>
      <c r="B227" s="43" t="inlineStr">
        <is>
          <t>AF2-LLL-ALL</t>
        </is>
      </c>
      <c r="C227" s="43" t="inlineStr">
        <is>
          <t>EFSP-AF2 LLL supply and delivery (50 units)</t>
        </is>
      </c>
      <c r="D227" s="43" t="inlineStr">
        <is>
          <t>16 of 50</t>
        </is>
      </c>
      <c r="E227" s="44" t="inlineStr">
        <is>
          <t>AF2-LLL-N-016</t>
        </is>
      </c>
      <c r="F227" s="44" t="inlineStr">
        <is>
          <t>Joi Kar Irrigation Scheme</t>
        </is>
      </c>
      <c r="G227" s="44" t="inlineStr">
        <is>
          <t>Laser Land Leveler (LLL)</t>
        </is>
      </c>
      <c r="H227" s="44" t="inlineStr">
        <is>
          <t>LLL unit</t>
        </is>
      </c>
      <c r="I227" s="44" t="inlineStr">
        <is>
          <t>Emergency Food Security Project (EFSP) – WBK/AF-2</t>
        </is>
      </c>
      <c r="J227" s="44" t="inlineStr">
        <is>
          <t>West / Herat</t>
        </is>
      </c>
      <c r="K227" s="44" t="inlineStr">
        <is>
          <t>Badghis</t>
        </is>
      </c>
      <c r="L227" s="44" t="inlineStr">
        <is>
          <t>Balamorghab</t>
        </is>
      </c>
      <c r="M227" s="44" t="inlineStr">
        <is>
          <t>1 unit(s)</t>
        </is>
      </c>
      <c r="N227" s="44" t="inlineStr">
        <is>
          <t>World Bank (WBK/AF-2)</t>
        </is>
      </c>
      <c r="O227" s="44" t="inlineStr">
        <is>
          <t>Not awarded</t>
        </is>
      </c>
      <c r="P227" s="44" t="inlineStr">
        <is>
          <t>6. Supply and delivery of LLL</t>
        </is>
      </c>
      <c r="Q227" s="44" t="inlineStr"/>
      <c r="R227" s="44" t="inlineStr"/>
      <c r="S227" s="45" t="n"/>
      <c r="T227" s="46" t="inlineStr">
        <is>
          <t>IF(AQ227="","",AQ227)</t>
        </is>
      </c>
      <c r="U227" s="47" t="n">
        <v>46325</v>
      </c>
      <c r="V227" s="48" t="n"/>
      <c r="W227" s="47" t="n">
        <v>46418</v>
      </c>
      <c r="X227" s="46" t="inlineStr">
        <is>
          <t>IF(W227&lt;&gt;"",W227,IF(OR(T227="",V227=""),"",EDATE(T227,V227)))</t>
        </is>
      </c>
      <c r="Y227" s="47" t="n"/>
      <c r="Z227" s="48" t="n"/>
      <c r="AA227" s="44" t="inlineStr">
        <is>
          <t>Under Awarding</t>
        </is>
      </c>
      <c r="AB227" s="44" t="inlineStr">
        <is>
          <t>The Procurement process is initiated in April and PO will be issued late October 2026. and delivery will be done by End of December 2026 and onward in January 2027 it is planned to be distributed to the selected beneficiaries.</t>
        </is>
      </c>
      <c r="AC227" s="42" t="inlineStr">
        <is>
          <t>IF(F227="","",IF(COUNT(AI227:AV227)=0,IF(AA227="","Not started",AA227),SUBSTITUTE(LOOKUP(2,1/(AI227:AV227&lt;&gt;""),$AI$3:$AV$3),"Date: ","")))</t>
        </is>
      </c>
      <c r="AD227" s="49" t="inlineStr">
        <is>
          <t>IF(OR(F227="",COUNT(AI227:AV227)=0),"",TODAY()-LOOKUP(2,1/(AI227:AV227&lt;&gt;""),AI227:AV227))</t>
        </is>
      </c>
      <c r="AE227" s="49" t="inlineStr">
        <is>
          <t>IF(OR(F227="",COUNT(AI227:AV227)&lt;2),"",LOOKUP(2,1/(AI227:AV227&lt;&gt;""),AI227:AV227)-MIN(AI227:AV227))</t>
        </is>
      </c>
      <c r="AF227" s="49" t="inlineStr">
        <is>
          <t>IF(OR(AD227="",AC227="Not started",AC227=""),"",IFERROR(AD227-IF(VLOOKUP(AC227,'06_Status_Pipeline'!$B$3:$E$20,4,FALSE)="",0,VLOOKUP(AC227,'06_Status_Pipeline'!$B$3:$E$20,4,FALSE)),""))</t>
        </is>
      </c>
      <c r="AG227" s="42" t="inlineStr">
        <is>
          <t>IF(F227="","",IF(OR(AA227="Cancelled",AC227="Cancelled"),"Cancelled",IF(OR(AC227="Completed / Handover",Y227&lt;&gt;"",Z227&gt;=100),"Completed — on track",IF(O227="Not awarded",IF(U227="",IF(X227="","No planned date",IF(TODAY()&gt;X227,"Behind — past planned date",IF(X227-TODAY()&lt;=30,"At risk — close to off track","On track"))),IF(TODAY()&gt;U227,"Behind — award date passed",IF(U227-TODAY()&lt;=30,"At risk — close to off track","On track"))),IF(X227="","No planned date",IF(AND(TODAY()&gt;X227,OR(Z227="",Z227&lt;100)),"Behind — past end date",IF(AND(T227&lt;&gt;"",X227&lt;&gt;"",Z227&lt;&gt;"",(Z227&lt;100),((TODAY()-T227)/MAX(X227-T227,1)*100)-Z227&gt;15),"Behind — progress lag",IF(AND(X227-TODAY()&lt;=30,X227-TODAY()&gt;=0,OR(Z227="",Z227&lt;90)),"At risk — close to off track","On track"))))))))</t>
        </is>
      </c>
      <c r="AH227" s="49" t="inlineStr">
        <is>
          <t>IF(OR(F227="",AC227="Completed / Handover",AC227="Cancelled"),"",IF(O227="Not awarded",IF(U227&lt;&gt;"",U227-TODAY(),IF(X227="","",X227-TODAY())),IF(X227="","",X227-TODAY())))</t>
        </is>
      </c>
      <c r="AI227" s="47" t="n"/>
      <c r="AJ227" s="47" t="n"/>
      <c r="AK227" s="47" t="n"/>
      <c r="AL227" s="47" t="n"/>
      <c r="AM227" s="47" t="n"/>
      <c r="AN227" s="47" t="n"/>
      <c r="AO227" s="47" t="n"/>
      <c r="AP227" s="47" t="n"/>
      <c r="AQ227" s="47" t="n"/>
      <c r="AR227" s="47" t="n"/>
      <c r="AS227" s="47" t="n"/>
      <c r="AT227" s="50" t="n"/>
      <c r="AU227" s="50" t="n"/>
      <c r="AV227" s="50" t="n"/>
      <c r="AW227" s="49" t="inlineStr">
        <is>
          <t>IF(OR(F227="",AJ227=""),"",IF(COUNT(AI227:AI227)=0,"",AJ227-LOOKUP(2,1/(AI227:AI227&lt;&gt;""),AI227:AI227)))</t>
        </is>
      </c>
      <c r="AX227" s="49" t="inlineStr">
        <is>
          <t>IF(OR(F227="",AK227=""),"",IF(COUNT(AI227:AJ227)=0,"",AK227-LOOKUP(2,1/(AI227:AJ227&lt;&gt;""),AI227:AJ227)))</t>
        </is>
      </c>
      <c r="AY227" s="49" t="inlineStr">
        <is>
          <t>IF(OR(F227="",AL227=""),"",IF(COUNT(AI227:AK227)=0,"",AL227-LOOKUP(2,1/(AI227:AK227&lt;&gt;""),AI227:AK227)))</t>
        </is>
      </c>
      <c r="AZ227" s="49" t="inlineStr">
        <is>
          <t>IF(OR(F227="",AM227=""),"",IF(COUNT(AI227:AL227)=0,"",AM227-LOOKUP(2,1/(AI227:AL227&lt;&gt;""),AI227:AL227)))</t>
        </is>
      </c>
      <c r="BA227" s="49" t="inlineStr">
        <is>
          <t>IF(OR(F227="",AN227=""),"",IF(COUNT(AI227:AM227)=0,"",AN227-LOOKUP(2,1/(AI227:AM227&lt;&gt;""),AI227:AM227)))</t>
        </is>
      </c>
      <c r="BB227" s="49" t="inlineStr">
        <is>
          <t>IF(OR(F227="",AO227=""),"",IF(COUNT(AI227:AN227)=0,"",AO227-LOOKUP(2,1/(AI227:AN227&lt;&gt;""),AI227:AN227)))</t>
        </is>
      </c>
      <c r="BC227" s="49" t="inlineStr">
        <is>
          <t>IF(OR(F227="",AP227=""),"",IF(COUNT(AI227:AO227)=0,"",AP227-LOOKUP(2,1/(AI227:AO227&lt;&gt;""),AI227:AO227)))</t>
        </is>
      </c>
      <c r="BD227" s="49" t="inlineStr">
        <is>
          <t>IF(OR(F227="",AQ227=""),"",IF(COUNT(AI227:AP227)=0,"",AQ227-LOOKUP(2,1/(AI227:AP227&lt;&gt;""),AI227:AP227)))</t>
        </is>
      </c>
      <c r="BE227" s="49" t="inlineStr">
        <is>
          <t>IF(OR(F227="",AR227=""),"",IF(COUNT(AI227:AQ227)=0,"",AR227-LOOKUP(2,1/(AI227:AQ227&lt;&gt;""),AI227:AQ227)))</t>
        </is>
      </c>
      <c r="BF227" s="49" t="inlineStr">
        <is>
          <t>IF(OR(F227="",AS227=""),"",IF(COUNT(AI227:AR227)=0,"",AS227-LOOKUP(2,1/(AI227:AR227&lt;&gt;""),AI227:AR227)))</t>
        </is>
      </c>
      <c r="BG227" s="49" t="inlineStr">
        <is>
          <t>IF(OR(F227="",AT227=""),"",IF(COUNT(AI227:AS227)=0,"",AT227-LOOKUP(2,1/(AI227:AS227&lt;&gt;""),AI227:AS227)))</t>
        </is>
      </c>
      <c r="BH227" s="49" t="inlineStr">
        <is>
          <t>IF(OR(F227="",AU227=""),"",IF(COUNT(AI227:AT227)=0,"",AU227-LOOKUP(2,1/(AI227:AT227&lt;&gt;""),AI227:AT227)))</t>
        </is>
      </c>
      <c r="BI227" s="49" t="inlineStr">
        <is>
          <t>IF(OR(F227="",AV227=""),"",IF(COUNT(AI227:AU227)=0,"",AV227-LOOKUP(2,1/(AI227:AU227&lt;&gt;""),AI227:AU227)))</t>
        </is>
      </c>
      <c r="BJ227" s="51" t="inlineStr">
        <is>
          <t>IF(J227="","All_Provinces",IFERROR(VLOOKUP(J227,'09_Lookups'!$A$4:$B$20,2,FALSE),"All_Provinces"))</t>
        </is>
      </c>
      <c r="BK227" s="51" t="inlineStr">
        <is>
          <t>IF(K227="","All_Districts",IFERROR(VLOOKUP(K227,'09_Lookups'!$E$4:$F$42,2,FALSE),"All_Districts"))</t>
        </is>
      </c>
    </row>
    <row r="228" outlineLevel="1" ht="18" customHeight="1">
      <c r="A228" s="42" t="inlineStr">
        <is>
          <t>IF(F228="","",ROW()-3)</t>
        </is>
      </c>
      <c r="B228" s="43" t="inlineStr">
        <is>
          <t>AF2-LLL-ALL</t>
        </is>
      </c>
      <c r="C228" s="43" t="inlineStr">
        <is>
          <t>EFSP-AF2 LLL supply and delivery (50 units)</t>
        </is>
      </c>
      <c r="D228" s="43" t="inlineStr">
        <is>
          <t>17 of 50</t>
        </is>
      </c>
      <c r="E228" s="52" t="inlineStr">
        <is>
          <t>AF2-LLL-N-017</t>
        </is>
      </c>
      <c r="F228" s="52" t="inlineStr">
        <is>
          <t>Joy Shahr Canal Irrigation scheme</t>
        </is>
      </c>
      <c r="G228" s="52" t="inlineStr">
        <is>
          <t>Laser Land Leveler (LLL)</t>
        </is>
      </c>
      <c r="H228" s="52" t="inlineStr">
        <is>
          <t>LLL unit</t>
        </is>
      </c>
      <c r="I228" s="52" t="inlineStr">
        <is>
          <t>Emergency Food Security Project (EFSP) – WBK/AF-2</t>
        </is>
      </c>
      <c r="J228" s="52" t="inlineStr">
        <is>
          <t>North / Mazar</t>
        </is>
      </c>
      <c r="K228" s="52" t="inlineStr">
        <is>
          <t>Jawzjan</t>
        </is>
      </c>
      <c r="L228" s="52" t="inlineStr">
        <is>
          <t>Aqcha</t>
        </is>
      </c>
      <c r="M228" s="52" t="inlineStr">
        <is>
          <t>1 unit(s)</t>
        </is>
      </c>
      <c r="N228" s="52" t="inlineStr">
        <is>
          <t>World Bank (WBK/AF-2)</t>
        </is>
      </c>
      <c r="O228" s="52" t="inlineStr">
        <is>
          <t>Not awarded</t>
        </is>
      </c>
      <c r="P228" s="52" t="inlineStr">
        <is>
          <t>6. Supply and delivery of LLL</t>
        </is>
      </c>
      <c r="Q228" s="52" t="inlineStr"/>
      <c r="R228" s="52" t="inlineStr"/>
      <c r="S228" s="53" t="n"/>
      <c r="T228" s="46" t="inlineStr">
        <is>
          <t>IF(AQ228="","",AQ228)</t>
        </is>
      </c>
      <c r="U228" s="54" t="n">
        <v>46325</v>
      </c>
      <c r="V228" s="55" t="n"/>
      <c r="W228" s="54" t="n">
        <v>46418</v>
      </c>
      <c r="X228" s="46" t="inlineStr">
        <is>
          <t>IF(W228&lt;&gt;"",W228,IF(OR(T228="",V228=""),"",EDATE(T228,V228)))</t>
        </is>
      </c>
      <c r="Y228" s="54" t="n"/>
      <c r="Z228" s="55" t="n"/>
      <c r="AA228" s="52" t="inlineStr">
        <is>
          <t>Under Awarding</t>
        </is>
      </c>
      <c r="AB228" s="52" t="inlineStr">
        <is>
          <t>The Procurement process is initiated in April and PO will be issued late October 2026. and delivery will be done by End of December 2026 and onward in January 2027 it is planned to be distributed to the selected beneficiaries.</t>
        </is>
      </c>
      <c r="AC228" s="42" t="inlineStr">
        <is>
          <t>IF(F228="","",IF(COUNT(AI228:AV228)=0,IF(AA228="","Not started",AA228),SUBSTITUTE(LOOKUP(2,1/(AI228:AV228&lt;&gt;""),$AI$3:$AV$3),"Date: ","")))</t>
        </is>
      </c>
      <c r="AD228" s="49" t="inlineStr">
        <is>
          <t>IF(OR(F228="",COUNT(AI228:AV228)=0),"",TODAY()-LOOKUP(2,1/(AI228:AV228&lt;&gt;""),AI228:AV228))</t>
        </is>
      </c>
      <c r="AE228" s="49" t="inlineStr">
        <is>
          <t>IF(OR(F228="",COUNT(AI228:AV228)&lt;2),"",LOOKUP(2,1/(AI228:AV228&lt;&gt;""),AI228:AV228)-MIN(AI228:AV228))</t>
        </is>
      </c>
      <c r="AF228" s="49" t="inlineStr">
        <is>
          <t>IF(OR(AD228="",AC228="Not started",AC228=""),"",IFERROR(AD228-IF(VLOOKUP(AC228,'06_Status_Pipeline'!$B$3:$E$20,4,FALSE)="",0,VLOOKUP(AC228,'06_Status_Pipeline'!$B$3:$E$20,4,FALSE)),""))</t>
        </is>
      </c>
      <c r="AG228" s="42" t="inlineStr">
        <is>
          <t>IF(F228="","",IF(OR(AA228="Cancelled",AC228="Cancelled"),"Cancelled",IF(OR(AC228="Completed / Handover",Y228&lt;&gt;"",Z228&gt;=100),"Completed — on track",IF(O228="Not awarded",IF(U228="",IF(X228="","No planned date",IF(TODAY()&gt;X228,"Behind — past planned date",IF(X228-TODAY()&lt;=30,"At risk — close to off track","On track"))),IF(TODAY()&gt;U228,"Behind — award date passed",IF(U228-TODAY()&lt;=30,"At risk — close to off track","On track"))),IF(X228="","No planned date",IF(AND(TODAY()&gt;X228,OR(Z228="",Z228&lt;100)),"Behind — past end date",IF(AND(T228&lt;&gt;"",X228&lt;&gt;"",Z228&lt;&gt;"",(Z228&lt;100),((TODAY()-T228)/MAX(X228-T228,1)*100)-Z228&gt;15),"Behind — progress lag",IF(AND(X228-TODAY()&lt;=30,X228-TODAY()&gt;=0,OR(Z228="",Z228&lt;90)),"At risk — close to off track","On track"))))))))</t>
        </is>
      </c>
      <c r="AH228" s="49" t="inlineStr">
        <is>
          <t>IF(OR(F228="",AC228="Completed / Handover",AC228="Cancelled"),"",IF(O228="Not awarded",IF(U228&lt;&gt;"",U228-TODAY(),IF(X228="","",X228-TODAY())),IF(X228="","",X228-TODAY())))</t>
        </is>
      </c>
      <c r="AI228" s="54" t="n"/>
      <c r="AJ228" s="54" t="n"/>
      <c r="AK228" s="54" t="n"/>
      <c r="AL228" s="54" t="n"/>
      <c r="AM228" s="54" t="n"/>
      <c r="AN228" s="54" t="n"/>
      <c r="AO228" s="54" t="n"/>
      <c r="AP228" s="54" t="n"/>
      <c r="AQ228" s="54" t="n"/>
      <c r="AR228" s="54" t="n"/>
      <c r="AS228" s="54" t="n"/>
      <c r="AT228" s="50" t="n"/>
      <c r="AU228" s="50" t="n"/>
      <c r="AV228" s="50" t="n"/>
      <c r="AW228" s="49" t="inlineStr">
        <is>
          <t>IF(OR(F228="",AJ228=""),"",IF(COUNT(AI228:AI228)=0,"",AJ228-LOOKUP(2,1/(AI228:AI228&lt;&gt;""),AI228:AI228)))</t>
        </is>
      </c>
      <c r="AX228" s="49" t="inlineStr">
        <is>
          <t>IF(OR(F228="",AK228=""),"",IF(COUNT(AI228:AJ228)=0,"",AK228-LOOKUP(2,1/(AI228:AJ228&lt;&gt;""),AI228:AJ228)))</t>
        </is>
      </c>
      <c r="AY228" s="49" t="inlineStr">
        <is>
          <t>IF(OR(F228="",AL228=""),"",IF(COUNT(AI228:AK228)=0,"",AL228-LOOKUP(2,1/(AI228:AK228&lt;&gt;""),AI228:AK228)))</t>
        </is>
      </c>
      <c r="AZ228" s="49" t="inlineStr">
        <is>
          <t>IF(OR(F228="",AM228=""),"",IF(COUNT(AI228:AL228)=0,"",AM228-LOOKUP(2,1/(AI228:AL228&lt;&gt;""),AI228:AL228)))</t>
        </is>
      </c>
      <c r="BA228" s="49" t="inlineStr">
        <is>
          <t>IF(OR(F228="",AN228=""),"",IF(COUNT(AI228:AM228)=0,"",AN228-LOOKUP(2,1/(AI228:AM228&lt;&gt;""),AI228:AM228)))</t>
        </is>
      </c>
      <c r="BB228" s="49" t="inlineStr">
        <is>
          <t>IF(OR(F228="",AO228=""),"",IF(COUNT(AI228:AN228)=0,"",AO228-LOOKUP(2,1/(AI228:AN228&lt;&gt;""),AI228:AN228)))</t>
        </is>
      </c>
      <c r="BC228" s="49" t="inlineStr">
        <is>
          <t>IF(OR(F228="",AP228=""),"",IF(COUNT(AI228:AO228)=0,"",AP228-LOOKUP(2,1/(AI228:AO228&lt;&gt;""),AI228:AO228)))</t>
        </is>
      </c>
      <c r="BD228" s="49" t="inlineStr">
        <is>
          <t>IF(OR(F228="",AQ228=""),"",IF(COUNT(AI228:AP228)=0,"",AQ228-LOOKUP(2,1/(AI228:AP228&lt;&gt;""),AI228:AP228)))</t>
        </is>
      </c>
      <c r="BE228" s="49" t="inlineStr">
        <is>
          <t>IF(OR(F228="",AR228=""),"",IF(COUNT(AI228:AQ228)=0,"",AR228-LOOKUP(2,1/(AI228:AQ228&lt;&gt;""),AI228:AQ228)))</t>
        </is>
      </c>
      <c r="BF228" s="49" t="inlineStr">
        <is>
          <t>IF(OR(F228="",AS228=""),"",IF(COUNT(AI228:AR228)=0,"",AS228-LOOKUP(2,1/(AI228:AR228&lt;&gt;""),AI228:AR228)))</t>
        </is>
      </c>
      <c r="BG228" s="49" t="inlineStr">
        <is>
          <t>IF(OR(F228="",AT228=""),"",IF(COUNT(AI228:AS228)=0,"",AT228-LOOKUP(2,1/(AI228:AS228&lt;&gt;""),AI228:AS228)))</t>
        </is>
      </c>
      <c r="BH228" s="49" t="inlineStr">
        <is>
          <t>IF(OR(F228="",AU228=""),"",IF(COUNT(AI228:AT228)=0,"",AU228-LOOKUP(2,1/(AI228:AT228&lt;&gt;""),AI228:AT228)))</t>
        </is>
      </c>
      <c r="BI228" s="49" t="inlineStr">
        <is>
          <t>IF(OR(F228="",AV228=""),"",IF(COUNT(AI228:AU228)=0,"",AV228-LOOKUP(2,1/(AI228:AU228&lt;&gt;""),AI228:AU228)))</t>
        </is>
      </c>
      <c r="BJ228" s="51" t="inlineStr">
        <is>
          <t>IF(J228="","All_Provinces",IFERROR(VLOOKUP(J228,'09_Lookups'!$A$4:$B$20,2,FALSE),"All_Provinces"))</t>
        </is>
      </c>
      <c r="BK228" s="51" t="inlineStr">
        <is>
          <t>IF(K228="","All_Districts",IFERROR(VLOOKUP(K228,'09_Lookups'!$E$4:$F$42,2,FALSE),"All_Districts"))</t>
        </is>
      </c>
    </row>
    <row r="229" outlineLevel="1" ht="18" customHeight="1">
      <c r="A229" s="42" t="inlineStr">
        <is>
          <t>IF(F229="","",ROW()-3)</t>
        </is>
      </c>
      <c r="B229" s="43" t="inlineStr">
        <is>
          <t>AF2-LLL-ALL</t>
        </is>
      </c>
      <c r="C229" s="43" t="inlineStr">
        <is>
          <t>EFSP-AF2 LLL supply and delivery (50 units)</t>
        </is>
      </c>
      <c r="D229" s="43" t="inlineStr">
        <is>
          <t>18 of 50</t>
        </is>
      </c>
      <c r="E229" s="44" t="inlineStr">
        <is>
          <t>AF2-LLL-N-018</t>
        </is>
      </c>
      <c r="F229" s="44" t="inlineStr">
        <is>
          <t>Kamary Canal</t>
        </is>
      </c>
      <c r="G229" s="44" t="inlineStr">
        <is>
          <t>Laser Land Leveler (LLL)</t>
        </is>
      </c>
      <c r="H229" s="44" t="inlineStr">
        <is>
          <t>LLL unit</t>
        </is>
      </c>
      <c r="I229" s="44" t="inlineStr">
        <is>
          <t>Emergency Food Security Project (EFSP) – WBK/AF-2</t>
        </is>
      </c>
      <c r="J229" s="44" t="inlineStr">
        <is>
          <t>Central / Kabul</t>
        </is>
      </c>
      <c r="K229" s="44" t="inlineStr">
        <is>
          <t>Kabul</t>
        </is>
      </c>
      <c r="L229" s="44" t="inlineStr">
        <is>
          <t>Qarabagh</t>
        </is>
      </c>
      <c r="M229" s="44" t="inlineStr">
        <is>
          <t>1 unit(s)</t>
        </is>
      </c>
      <c r="N229" s="44" t="inlineStr">
        <is>
          <t>World Bank (WBK/AF-2)</t>
        </is>
      </c>
      <c r="O229" s="44" t="inlineStr">
        <is>
          <t>Not awarded</t>
        </is>
      </c>
      <c r="P229" s="44" t="inlineStr">
        <is>
          <t>6. Supply and delivery of LLL</t>
        </is>
      </c>
      <c r="Q229" s="44" t="inlineStr"/>
      <c r="R229" s="44" t="inlineStr"/>
      <c r="S229" s="45" t="n"/>
      <c r="T229" s="46" t="inlineStr">
        <is>
          <t>IF(AQ229="","",AQ229)</t>
        </is>
      </c>
      <c r="U229" s="47" t="n">
        <v>46325</v>
      </c>
      <c r="V229" s="48" t="n">
        <v>3.1</v>
      </c>
      <c r="W229" s="47" t="n">
        <v>46418</v>
      </c>
      <c r="X229" s="46" t="inlineStr">
        <is>
          <t>IF(W229&lt;&gt;"",W229,IF(OR(T229="",V229=""),"",EDATE(T229,V229)))</t>
        </is>
      </c>
      <c r="Y229" s="47" t="n"/>
      <c r="Z229" s="48" t="n"/>
      <c r="AA229" s="44" t="inlineStr">
        <is>
          <t>Under Awarding</t>
        </is>
      </c>
      <c r="AB229" s="44" t="inlineStr">
        <is>
          <t>The Procurement process is initiated in April and PO will be issued late October 2026. and delivery will be done by End of December 2026 and onward in January 2027 it is planned to be distributed to the selected beneficiaries.</t>
        </is>
      </c>
      <c r="AC229" s="42" t="inlineStr">
        <is>
          <t>IF(F229="","",IF(COUNT(AI229:AV229)=0,IF(AA229="","Not started",AA229),SUBSTITUTE(LOOKUP(2,1/(AI229:AV229&lt;&gt;""),$AI$3:$AV$3),"Date: ","")))</t>
        </is>
      </c>
      <c r="AD229" s="49" t="inlineStr">
        <is>
          <t>IF(OR(F229="",COUNT(AI229:AV229)=0),"",TODAY()-LOOKUP(2,1/(AI229:AV229&lt;&gt;""),AI229:AV229))</t>
        </is>
      </c>
      <c r="AE229" s="49" t="inlineStr">
        <is>
          <t>IF(OR(F229="",COUNT(AI229:AV229)&lt;2),"",LOOKUP(2,1/(AI229:AV229&lt;&gt;""),AI229:AV229)-MIN(AI229:AV229))</t>
        </is>
      </c>
      <c r="AF229" s="49" t="inlineStr">
        <is>
          <t>IF(OR(AD229="",AC229="Not started",AC229=""),"",IFERROR(AD229-IF(VLOOKUP(AC229,'06_Status_Pipeline'!$B$3:$E$20,4,FALSE)="",0,VLOOKUP(AC229,'06_Status_Pipeline'!$B$3:$E$20,4,FALSE)),""))</t>
        </is>
      </c>
      <c r="AG229" s="42" t="inlineStr">
        <is>
          <t>IF(F229="","",IF(OR(AA229="Cancelled",AC229="Cancelled"),"Cancelled",IF(OR(AC229="Completed / Handover",Y229&lt;&gt;"",Z229&gt;=100),"Completed — on track",IF(O229="Not awarded",IF(U229="",IF(X229="","No planned date",IF(TODAY()&gt;X229,"Behind — past planned date",IF(X229-TODAY()&lt;=30,"At risk — close to off track","On track"))),IF(TODAY()&gt;U229,"Behind — award date passed",IF(U229-TODAY()&lt;=30,"At risk — close to off track","On track"))),IF(X229="","No planned date",IF(AND(TODAY()&gt;X229,OR(Z229="",Z229&lt;100)),"Behind — past end date",IF(AND(T229&lt;&gt;"",X229&lt;&gt;"",Z229&lt;&gt;"",(Z229&lt;100),((TODAY()-T229)/MAX(X229-T229,1)*100)-Z229&gt;15),"Behind — progress lag",IF(AND(X229-TODAY()&lt;=30,X229-TODAY()&gt;=0,OR(Z229="",Z229&lt;90)),"At risk — close to off track","On track"))))))))</t>
        </is>
      </c>
      <c r="AH229" s="49" t="inlineStr">
        <is>
          <t>IF(OR(F229="",AC229="Completed / Handover",AC229="Cancelled"),"",IF(O229="Not awarded",IF(U229&lt;&gt;"",U229-TODAY(),IF(X229="","",X229-TODAY())),IF(X229="","",X229-TODAY())))</t>
        </is>
      </c>
      <c r="AI229" s="47" t="n"/>
      <c r="AJ229" s="47" t="n"/>
      <c r="AK229" s="47" t="n"/>
      <c r="AL229" s="47" t="n"/>
      <c r="AM229" s="47" t="n"/>
      <c r="AN229" s="47" t="n"/>
      <c r="AO229" s="47" t="n"/>
      <c r="AP229" s="47" t="n"/>
      <c r="AQ229" s="47" t="n"/>
      <c r="AR229" s="47" t="n"/>
      <c r="AS229" s="47" t="n"/>
      <c r="AT229" s="50" t="n"/>
      <c r="AU229" s="50" t="n"/>
      <c r="AV229" s="50" t="n"/>
      <c r="AW229" s="49" t="inlineStr">
        <is>
          <t>IF(OR(F229="",AJ229=""),"",IF(COUNT(AI229:AI229)=0,"",AJ229-LOOKUP(2,1/(AI229:AI229&lt;&gt;""),AI229:AI229)))</t>
        </is>
      </c>
      <c r="AX229" s="49" t="inlineStr">
        <is>
          <t>IF(OR(F229="",AK229=""),"",IF(COUNT(AI229:AJ229)=0,"",AK229-LOOKUP(2,1/(AI229:AJ229&lt;&gt;""),AI229:AJ229)))</t>
        </is>
      </c>
      <c r="AY229" s="49" t="inlineStr">
        <is>
          <t>IF(OR(F229="",AL229=""),"",IF(COUNT(AI229:AK229)=0,"",AL229-LOOKUP(2,1/(AI229:AK229&lt;&gt;""),AI229:AK229)))</t>
        </is>
      </c>
      <c r="AZ229" s="49" t="inlineStr">
        <is>
          <t>IF(OR(F229="",AM229=""),"",IF(COUNT(AI229:AL229)=0,"",AM229-LOOKUP(2,1/(AI229:AL229&lt;&gt;""),AI229:AL229)))</t>
        </is>
      </c>
      <c r="BA229" s="49" t="inlineStr">
        <is>
          <t>IF(OR(F229="",AN229=""),"",IF(COUNT(AI229:AM229)=0,"",AN229-LOOKUP(2,1/(AI229:AM229&lt;&gt;""),AI229:AM229)))</t>
        </is>
      </c>
      <c r="BB229" s="49" t="inlineStr">
        <is>
          <t>IF(OR(F229="",AO229=""),"",IF(COUNT(AI229:AN229)=0,"",AO229-LOOKUP(2,1/(AI229:AN229&lt;&gt;""),AI229:AN229)))</t>
        </is>
      </c>
      <c r="BC229" s="49" t="inlineStr">
        <is>
          <t>IF(OR(F229="",AP229=""),"",IF(COUNT(AI229:AO229)=0,"",AP229-LOOKUP(2,1/(AI229:AO229&lt;&gt;""),AI229:AO229)))</t>
        </is>
      </c>
      <c r="BD229" s="49" t="inlineStr">
        <is>
          <t>IF(OR(F229="",AQ229=""),"",IF(COUNT(AI229:AP229)=0,"",AQ229-LOOKUP(2,1/(AI229:AP229&lt;&gt;""),AI229:AP229)))</t>
        </is>
      </c>
      <c r="BE229" s="49" t="inlineStr">
        <is>
          <t>IF(OR(F229="",AR229=""),"",IF(COUNT(AI229:AQ229)=0,"",AR229-LOOKUP(2,1/(AI229:AQ229&lt;&gt;""),AI229:AQ229)))</t>
        </is>
      </c>
      <c r="BF229" s="49" t="inlineStr">
        <is>
          <t>IF(OR(F229="",AS229=""),"",IF(COUNT(AI229:AR229)=0,"",AS229-LOOKUP(2,1/(AI229:AR229&lt;&gt;""),AI229:AR229)))</t>
        </is>
      </c>
      <c r="BG229" s="49" t="inlineStr">
        <is>
          <t>IF(OR(F229="",AT229=""),"",IF(COUNT(AI229:AS229)=0,"",AT229-LOOKUP(2,1/(AI229:AS229&lt;&gt;""),AI229:AS229)))</t>
        </is>
      </c>
      <c r="BH229" s="49" t="inlineStr">
        <is>
          <t>IF(OR(F229="",AU229=""),"",IF(COUNT(AI229:AT229)=0,"",AU229-LOOKUP(2,1/(AI229:AT229&lt;&gt;""),AI229:AT229)))</t>
        </is>
      </c>
      <c r="BI229" s="49" t="inlineStr">
        <is>
          <t>IF(OR(F229="",AV229=""),"",IF(COUNT(AI229:AU229)=0,"",AV229-LOOKUP(2,1/(AI229:AU229&lt;&gt;""),AI229:AU229)))</t>
        </is>
      </c>
      <c r="BJ229" s="51" t="inlineStr">
        <is>
          <t>IF(J229="","All_Provinces",IFERROR(VLOOKUP(J229,'09_Lookups'!$A$4:$B$20,2,FALSE),"All_Provinces"))</t>
        </is>
      </c>
      <c r="BK229" s="51" t="inlineStr">
        <is>
          <t>IF(K229="","All_Districts",IFERROR(VLOOKUP(K229,'09_Lookups'!$E$4:$F$42,2,FALSE),"All_Districts"))</t>
        </is>
      </c>
    </row>
    <row r="230" outlineLevel="1" ht="18" customHeight="1">
      <c r="A230" s="42" t="inlineStr">
        <is>
          <t>IF(F230="","",ROW()-3)</t>
        </is>
      </c>
      <c r="B230" s="43" t="inlineStr">
        <is>
          <t>AF2-LLL-ALL</t>
        </is>
      </c>
      <c r="C230" s="43" t="inlineStr">
        <is>
          <t>EFSP-AF2 LLL supply and delivery (50 units)</t>
        </is>
      </c>
      <c r="D230" s="43" t="inlineStr">
        <is>
          <t>19 of 50</t>
        </is>
      </c>
      <c r="E230" s="52" t="inlineStr">
        <is>
          <t>AF2-LLL-N-019</t>
        </is>
      </c>
      <c r="F230" s="52" t="inlineStr">
        <is>
          <t>Khambilan, Nahr-e-Saleh and Dara-e-Bazar IS</t>
        </is>
      </c>
      <c r="G230" s="52" t="inlineStr">
        <is>
          <t>Laser Land Leveler (LLL)</t>
        </is>
      </c>
      <c r="H230" s="52" t="inlineStr">
        <is>
          <t>LLL unit</t>
        </is>
      </c>
      <c r="I230" s="52" t="inlineStr">
        <is>
          <t>Emergency Food Security Project (EFSP) – WBK/AF-2</t>
        </is>
      </c>
      <c r="J230" s="52" t="inlineStr">
        <is>
          <t>Northeast / Kunduz</t>
        </is>
      </c>
      <c r="K230" s="52" t="inlineStr">
        <is>
          <t>Baghlan</t>
        </is>
      </c>
      <c r="L230" s="52" t="inlineStr">
        <is>
          <t>Firing</t>
        </is>
      </c>
      <c r="M230" s="52" t="inlineStr">
        <is>
          <t>1 unit(s)</t>
        </is>
      </c>
      <c r="N230" s="52" t="inlineStr">
        <is>
          <t>World Bank (WBK/AF-2)</t>
        </is>
      </c>
      <c r="O230" s="52" t="inlineStr">
        <is>
          <t>Not awarded</t>
        </is>
      </c>
      <c r="P230" s="52" t="inlineStr">
        <is>
          <t>6. Supply and delivery of LLL</t>
        </is>
      </c>
      <c r="Q230" s="52" t="inlineStr"/>
      <c r="R230" s="52" t="inlineStr"/>
      <c r="S230" s="53" t="n"/>
      <c r="T230" s="46" t="inlineStr">
        <is>
          <t>IF(AQ230="","",AQ230)</t>
        </is>
      </c>
      <c r="U230" s="54" t="n">
        <v>46325</v>
      </c>
      <c r="V230" s="55" t="n"/>
      <c r="W230" s="54" t="n">
        <v>46418</v>
      </c>
      <c r="X230" s="46" t="inlineStr">
        <is>
          <t>IF(W230&lt;&gt;"",W230,IF(OR(T230="",V230=""),"",EDATE(T230,V230)))</t>
        </is>
      </c>
      <c r="Y230" s="54" t="n"/>
      <c r="Z230" s="55" t="n"/>
      <c r="AA230" s="52" t="inlineStr">
        <is>
          <t>Under Awarding</t>
        </is>
      </c>
      <c r="AB230" s="52" t="inlineStr">
        <is>
          <t>The Procurement process is initiated in April and PO will be issued late October 2026. and delivery will be done by End of December 2026 and onward in January 2027 it is planned to be distributed to the selected beneficiaries.</t>
        </is>
      </c>
      <c r="AC230" s="42" t="inlineStr">
        <is>
          <t>IF(F230="","",IF(COUNT(AI230:AV230)=0,IF(AA230="","Not started",AA230),SUBSTITUTE(LOOKUP(2,1/(AI230:AV230&lt;&gt;""),$AI$3:$AV$3),"Date: ","")))</t>
        </is>
      </c>
      <c r="AD230" s="49" t="inlineStr">
        <is>
          <t>IF(OR(F230="",COUNT(AI230:AV230)=0),"",TODAY()-LOOKUP(2,1/(AI230:AV230&lt;&gt;""),AI230:AV230))</t>
        </is>
      </c>
      <c r="AE230" s="49" t="inlineStr">
        <is>
          <t>IF(OR(F230="",COUNT(AI230:AV230)&lt;2),"",LOOKUP(2,1/(AI230:AV230&lt;&gt;""),AI230:AV230)-MIN(AI230:AV230))</t>
        </is>
      </c>
      <c r="AF230" s="49" t="inlineStr">
        <is>
          <t>IF(OR(AD230="",AC230="Not started",AC230=""),"",IFERROR(AD230-IF(VLOOKUP(AC230,'06_Status_Pipeline'!$B$3:$E$20,4,FALSE)="",0,VLOOKUP(AC230,'06_Status_Pipeline'!$B$3:$E$20,4,FALSE)),""))</t>
        </is>
      </c>
      <c r="AG230" s="42" t="inlineStr">
        <is>
          <t>IF(F230="","",IF(OR(AA230="Cancelled",AC230="Cancelled"),"Cancelled",IF(OR(AC230="Completed / Handover",Y230&lt;&gt;"",Z230&gt;=100),"Completed — on track",IF(O230="Not awarded",IF(U230="",IF(X230="","No planned date",IF(TODAY()&gt;X230,"Behind — past planned date",IF(X230-TODAY()&lt;=30,"At risk — close to off track","On track"))),IF(TODAY()&gt;U230,"Behind — award date passed",IF(U230-TODAY()&lt;=30,"At risk — close to off track","On track"))),IF(X230="","No planned date",IF(AND(TODAY()&gt;X230,OR(Z230="",Z230&lt;100)),"Behind — past end date",IF(AND(T230&lt;&gt;"",X230&lt;&gt;"",Z230&lt;&gt;"",(Z230&lt;100),((TODAY()-T230)/MAX(X230-T230,1)*100)-Z230&gt;15),"Behind — progress lag",IF(AND(X230-TODAY()&lt;=30,X230-TODAY()&gt;=0,OR(Z230="",Z230&lt;90)),"At risk — close to off track","On track"))))))))</t>
        </is>
      </c>
      <c r="AH230" s="49" t="inlineStr">
        <is>
          <t>IF(OR(F230="",AC230="Completed / Handover",AC230="Cancelled"),"",IF(O230="Not awarded",IF(U230&lt;&gt;"",U230-TODAY(),IF(X230="","",X230-TODAY())),IF(X230="","",X230-TODAY())))</t>
        </is>
      </c>
      <c r="AI230" s="54" t="n"/>
      <c r="AJ230" s="54" t="n"/>
      <c r="AK230" s="54" t="n"/>
      <c r="AL230" s="54" t="n"/>
      <c r="AM230" s="54" t="n"/>
      <c r="AN230" s="54" t="n"/>
      <c r="AO230" s="54" t="n"/>
      <c r="AP230" s="54" t="n"/>
      <c r="AQ230" s="54" t="n"/>
      <c r="AR230" s="54" t="n"/>
      <c r="AS230" s="54" t="n"/>
      <c r="AT230" s="50" t="n"/>
      <c r="AU230" s="50" t="n"/>
      <c r="AV230" s="50" t="n"/>
      <c r="AW230" s="49" t="inlineStr">
        <is>
          <t>IF(OR(F230="",AJ230=""),"",IF(COUNT(AI230:AI230)=0,"",AJ230-LOOKUP(2,1/(AI230:AI230&lt;&gt;""),AI230:AI230)))</t>
        </is>
      </c>
      <c r="AX230" s="49" t="inlineStr">
        <is>
          <t>IF(OR(F230="",AK230=""),"",IF(COUNT(AI230:AJ230)=0,"",AK230-LOOKUP(2,1/(AI230:AJ230&lt;&gt;""),AI230:AJ230)))</t>
        </is>
      </c>
      <c r="AY230" s="49" t="inlineStr">
        <is>
          <t>IF(OR(F230="",AL230=""),"",IF(COUNT(AI230:AK230)=0,"",AL230-LOOKUP(2,1/(AI230:AK230&lt;&gt;""),AI230:AK230)))</t>
        </is>
      </c>
      <c r="AZ230" s="49" t="inlineStr">
        <is>
          <t>IF(OR(F230="",AM230=""),"",IF(COUNT(AI230:AL230)=0,"",AM230-LOOKUP(2,1/(AI230:AL230&lt;&gt;""),AI230:AL230)))</t>
        </is>
      </c>
      <c r="BA230" s="49" t="inlineStr">
        <is>
          <t>IF(OR(F230="",AN230=""),"",IF(COUNT(AI230:AM230)=0,"",AN230-LOOKUP(2,1/(AI230:AM230&lt;&gt;""),AI230:AM230)))</t>
        </is>
      </c>
      <c r="BB230" s="49" t="inlineStr">
        <is>
          <t>IF(OR(F230="",AO230=""),"",IF(COUNT(AI230:AN230)=0,"",AO230-LOOKUP(2,1/(AI230:AN230&lt;&gt;""),AI230:AN230)))</t>
        </is>
      </c>
      <c r="BC230" s="49" t="inlineStr">
        <is>
          <t>IF(OR(F230="",AP230=""),"",IF(COUNT(AI230:AO230)=0,"",AP230-LOOKUP(2,1/(AI230:AO230&lt;&gt;""),AI230:AO230)))</t>
        </is>
      </c>
      <c r="BD230" s="49" t="inlineStr">
        <is>
          <t>IF(OR(F230="",AQ230=""),"",IF(COUNT(AI230:AP230)=0,"",AQ230-LOOKUP(2,1/(AI230:AP230&lt;&gt;""),AI230:AP230)))</t>
        </is>
      </c>
      <c r="BE230" s="49" t="inlineStr">
        <is>
          <t>IF(OR(F230="",AR230=""),"",IF(COUNT(AI230:AQ230)=0,"",AR230-LOOKUP(2,1/(AI230:AQ230&lt;&gt;""),AI230:AQ230)))</t>
        </is>
      </c>
      <c r="BF230" s="49" t="inlineStr">
        <is>
          <t>IF(OR(F230="",AS230=""),"",IF(COUNT(AI230:AR230)=0,"",AS230-LOOKUP(2,1/(AI230:AR230&lt;&gt;""),AI230:AR230)))</t>
        </is>
      </c>
      <c r="BG230" s="49" t="inlineStr">
        <is>
          <t>IF(OR(F230="",AT230=""),"",IF(COUNT(AI230:AS230)=0,"",AT230-LOOKUP(2,1/(AI230:AS230&lt;&gt;""),AI230:AS230)))</t>
        </is>
      </c>
      <c r="BH230" s="49" t="inlineStr">
        <is>
          <t>IF(OR(F230="",AU230=""),"",IF(COUNT(AI230:AT230)=0,"",AU230-LOOKUP(2,1/(AI230:AT230&lt;&gt;""),AI230:AT230)))</t>
        </is>
      </c>
      <c r="BI230" s="49" t="inlineStr">
        <is>
          <t>IF(OR(F230="",AV230=""),"",IF(COUNT(AI230:AU230)=0,"",AV230-LOOKUP(2,1/(AI230:AU230&lt;&gt;""),AI230:AU230)))</t>
        </is>
      </c>
      <c r="BJ230" s="51" t="inlineStr">
        <is>
          <t>IF(J230="","All_Provinces",IFERROR(VLOOKUP(J230,'09_Lookups'!$A$4:$B$20,2,FALSE),"All_Provinces"))</t>
        </is>
      </c>
      <c r="BK230" s="51" t="inlineStr">
        <is>
          <t>IF(K230="","All_Districts",IFERROR(VLOOKUP(K230,'09_Lookups'!$E$4:$F$42,2,FALSE),"All_Districts"))</t>
        </is>
      </c>
    </row>
    <row r="231" outlineLevel="1" ht="18" customHeight="1">
      <c r="A231" s="42" t="inlineStr">
        <is>
          <t>IF(F231="","",ROW()-3)</t>
        </is>
      </c>
      <c r="B231" s="43" t="inlineStr">
        <is>
          <t>AF2-LLL-ALL</t>
        </is>
      </c>
      <c r="C231" s="43" t="inlineStr">
        <is>
          <t>EFSP-AF2 LLL supply and delivery (50 units)</t>
        </is>
      </c>
      <c r="D231" s="43" t="inlineStr">
        <is>
          <t>20 of 50</t>
        </is>
      </c>
      <c r="E231" s="44" t="inlineStr">
        <is>
          <t>AF2-LLL-N-020</t>
        </is>
      </c>
      <c r="F231" s="44" t="inlineStr">
        <is>
          <t>Khanum Arabia Canal Irrigation scheme</t>
        </is>
      </c>
      <c r="G231" s="44" t="inlineStr">
        <is>
          <t>Laser Land Leveler (LLL)</t>
        </is>
      </c>
      <c r="H231" s="44" t="inlineStr">
        <is>
          <t>LLL unit</t>
        </is>
      </c>
      <c r="I231" s="44" t="inlineStr">
        <is>
          <t>Emergency Food Security Project (EFSP) – WBK/AF-2</t>
        </is>
      </c>
      <c r="J231" s="44" t="inlineStr">
        <is>
          <t>North / Mazar</t>
        </is>
      </c>
      <c r="K231" s="44" t="inlineStr">
        <is>
          <t>Jawzjan</t>
        </is>
      </c>
      <c r="L231" s="44" t="inlineStr">
        <is>
          <t>Faizabad</t>
        </is>
      </c>
      <c r="M231" s="44" t="inlineStr">
        <is>
          <t>1 unit(s)</t>
        </is>
      </c>
      <c r="N231" s="44" t="inlineStr">
        <is>
          <t>World Bank (WBK/AF-2)</t>
        </is>
      </c>
      <c r="O231" s="44" t="inlineStr">
        <is>
          <t>Not awarded</t>
        </is>
      </c>
      <c r="P231" s="44" t="inlineStr">
        <is>
          <t>6. Supply and delivery of LLL</t>
        </is>
      </c>
      <c r="Q231" s="44" t="inlineStr"/>
      <c r="R231" s="44" t="inlineStr"/>
      <c r="S231" s="45" t="n"/>
      <c r="T231" s="46" t="inlineStr">
        <is>
          <t>IF(AQ231="","",AQ231)</t>
        </is>
      </c>
      <c r="U231" s="47" t="n">
        <v>46325</v>
      </c>
      <c r="V231" s="48" t="n"/>
      <c r="W231" s="47" t="n">
        <v>46418</v>
      </c>
      <c r="X231" s="46" t="inlineStr">
        <is>
          <t>IF(W231&lt;&gt;"",W231,IF(OR(T231="",V231=""),"",EDATE(T231,V231)))</t>
        </is>
      </c>
      <c r="Y231" s="47" t="n"/>
      <c r="Z231" s="48" t="n"/>
      <c r="AA231" s="44" t="inlineStr">
        <is>
          <t>Under Awarding</t>
        </is>
      </c>
      <c r="AB231" s="44" t="inlineStr">
        <is>
          <t>The Procurement process is initiated in April and PO will be issued late October 2026. and delivery will be done by End of December 2026 and onward in January 2027 it is planned to be distributed to the selected beneficiaries.</t>
        </is>
      </c>
      <c r="AC231" s="42" t="inlineStr">
        <is>
          <t>IF(F231="","",IF(COUNT(AI231:AV231)=0,IF(AA231="","Not started",AA231),SUBSTITUTE(LOOKUP(2,1/(AI231:AV231&lt;&gt;""),$AI$3:$AV$3),"Date: ","")))</t>
        </is>
      </c>
      <c r="AD231" s="49" t="inlineStr">
        <is>
          <t>IF(OR(F231="",COUNT(AI231:AV231)=0),"",TODAY()-LOOKUP(2,1/(AI231:AV231&lt;&gt;""),AI231:AV231))</t>
        </is>
      </c>
      <c r="AE231" s="49" t="inlineStr">
        <is>
          <t>IF(OR(F231="",COUNT(AI231:AV231)&lt;2),"",LOOKUP(2,1/(AI231:AV231&lt;&gt;""),AI231:AV231)-MIN(AI231:AV231))</t>
        </is>
      </c>
      <c r="AF231" s="49" t="inlineStr">
        <is>
          <t>IF(OR(AD231="",AC231="Not started",AC231=""),"",IFERROR(AD231-IF(VLOOKUP(AC231,'06_Status_Pipeline'!$B$3:$E$20,4,FALSE)="",0,VLOOKUP(AC231,'06_Status_Pipeline'!$B$3:$E$20,4,FALSE)),""))</t>
        </is>
      </c>
      <c r="AG231" s="42" t="inlineStr">
        <is>
          <t>IF(F231="","",IF(OR(AA231="Cancelled",AC231="Cancelled"),"Cancelled",IF(OR(AC231="Completed / Handover",Y231&lt;&gt;"",Z231&gt;=100),"Completed — on track",IF(O231="Not awarded",IF(U231="",IF(X231="","No planned date",IF(TODAY()&gt;X231,"Behind — past planned date",IF(X231-TODAY()&lt;=30,"At risk — close to off track","On track"))),IF(TODAY()&gt;U231,"Behind — award date passed",IF(U231-TODAY()&lt;=30,"At risk — close to off track","On track"))),IF(X231="","No planned date",IF(AND(TODAY()&gt;X231,OR(Z231="",Z231&lt;100)),"Behind — past end date",IF(AND(T231&lt;&gt;"",X231&lt;&gt;"",Z231&lt;&gt;"",(Z231&lt;100),((TODAY()-T231)/MAX(X231-T231,1)*100)-Z231&gt;15),"Behind — progress lag",IF(AND(X231-TODAY()&lt;=30,X231-TODAY()&gt;=0,OR(Z231="",Z231&lt;90)),"At risk — close to off track","On track"))))))))</t>
        </is>
      </c>
      <c r="AH231" s="49" t="inlineStr">
        <is>
          <t>IF(OR(F231="",AC231="Completed / Handover",AC231="Cancelled"),"",IF(O231="Not awarded",IF(U231&lt;&gt;"",U231-TODAY(),IF(X231="","",X231-TODAY())),IF(X231="","",X231-TODAY())))</t>
        </is>
      </c>
      <c r="AI231" s="47" t="n"/>
      <c r="AJ231" s="47" t="n"/>
      <c r="AK231" s="47" t="n"/>
      <c r="AL231" s="47" t="n"/>
      <c r="AM231" s="47" t="n"/>
      <c r="AN231" s="47" t="n"/>
      <c r="AO231" s="47" t="n"/>
      <c r="AP231" s="47" t="n"/>
      <c r="AQ231" s="47" t="n"/>
      <c r="AR231" s="47" t="n"/>
      <c r="AS231" s="47" t="n"/>
      <c r="AT231" s="50" t="n"/>
      <c r="AU231" s="50" t="n"/>
      <c r="AV231" s="50" t="n"/>
      <c r="AW231" s="49" t="inlineStr">
        <is>
          <t>IF(OR(F231="",AJ231=""),"",IF(COUNT(AI231:AI231)=0,"",AJ231-LOOKUP(2,1/(AI231:AI231&lt;&gt;""),AI231:AI231)))</t>
        </is>
      </c>
      <c r="AX231" s="49" t="inlineStr">
        <is>
          <t>IF(OR(F231="",AK231=""),"",IF(COUNT(AI231:AJ231)=0,"",AK231-LOOKUP(2,1/(AI231:AJ231&lt;&gt;""),AI231:AJ231)))</t>
        </is>
      </c>
      <c r="AY231" s="49" t="inlineStr">
        <is>
          <t>IF(OR(F231="",AL231=""),"",IF(COUNT(AI231:AK231)=0,"",AL231-LOOKUP(2,1/(AI231:AK231&lt;&gt;""),AI231:AK231)))</t>
        </is>
      </c>
      <c r="AZ231" s="49" t="inlineStr">
        <is>
          <t>IF(OR(F231="",AM231=""),"",IF(COUNT(AI231:AL231)=0,"",AM231-LOOKUP(2,1/(AI231:AL231&lt;&gt;""),AI231:AL231)))</t>
        </is>
      </c>
      <c r="BA231" s="49" t="inlineStr">
        <is>
          <t>IF(OR(F231="",AN231=""),"",IF(COUNT(AI231:AM231)=0,"",AN231-LOOKUP(2,1/(AI231:AM231&lt;&gt;""),AI231:AM231)))</t>
        </is>
      </c>
      <c r="BB231" s="49" t="inlineStr">
        <is>
          <t>IF(OR(F231="",AO231=""),"",IF(COUNT(AI231:AN231)=0,"",AO231-LOOKUP(2,1/(AI231:AN231&lt;&gt;""),AI231:AN231)))</t>
        </is>
      </c>
      <c r="BC231" s="49" t="inlineStr">
        <is>
          <t>IF(OR(F231="",AP231=""),"",IF(COUNT(AI231:AO231)=0,"",AP231-LOOKUP(2,1/(AI231:AO231&lt;&gt;""),AI231:AO231)))</t>
        </is>
      </c>
      <c r="BD231" s="49" t="inlineStr">
        <is>
          <t>IF(OR(F231="",AQ231=""),"",IF(COUNT(AI231:AP231)=0,"",AQ231-LOOKUP(2,1/(AI231:AP231&lt;&gt;""),AI231:AP231)))</t>
        </is>
      </c>
      <c r="BE231" s="49" t="inlineStr">
        <is>
          <t>IF(OR(F231="",AR231=""),"",IF(COUNT(AI231:AQ231)=0,"",AR231-LOOKUP(2,1/(AI231:AQ231&lt;&gt;""),AI231:AQ231)))</t>
        </is>
      </c>
      <c r="BF231" s="49" t="inlineStr">
        <is>
          <t>IF(OR(F231="",AS231=""),"",IF(COUNT(AI231:AR231)=0,"",AS231-LOOKUP(2,1/(AI231:AR231&lt;&gt;""),AI231:AR231)))</t>
        </is>
      </c>
      <c r="BG231" s="49" t="inlineStr">
        <is>
          <t>IF(OR(F231="",AT231=""),"",IF(COUNT(AI231:AS231)=0,"",AT231-LOOKUP(2,1/(AI231:AS231&lt;&gt;""),AI231:AS231)))</t>
        </is>
      </c>
      <c r="BH231" s="49" t="inlineStr">
        <is>
          <t>IF(OR(F231="",AU231=""),"",IF(COUNT(AI231:AT231)=0,"",AU231-LOOKUP(2,1/(AI231:AT231&lt;&gt;""),AI231:AT231)))</t>
        </is>
      </c>
      <c r="BI231" s="49" t="inlineStr">
        <is>
          <t>IF(OR(F231="",AV231=""),"",IF(COUNT(AI231:AU231)=0,"",AV231-LOOKUP(2,1/(AI231:AU231&lt;&gt;""),AI231:AU231)))</t>
        </is>
      </c>
      <c r="BJ231" s="51" t="inlineStr">
        <is>
          <t>IF(J231="","All_Provinces",IFERROR(VLOOKUP(J231,'09_Lookups'!$A$4:$B$20,2,FALSE),"All_Provinces"))</t>
        </is>
      </c>
      <c r="BK231" s="51" t="inlineStr">
        <is>
          <t>IF(K231="","All_Districts",IFERROR(VLOOKUP(K231,'09_Lookups'!$E$4:$F$42,2,FALSE),"All_Districts"))</t>
        </is>
      </c>
    </row>
    <row r="232" outlineLevel="1" ht="18" customHeight="1">
      <c r="A232" s="42" t="inlineStr">
        <is>
          <t>IF(F232="","",ROW()-3)</t>
        </is>
      </c>
      <c r="B232" s="43" t="inlineStr">
        <is>
          <t>AF2-LLL-ALL</t>
        </is>
      </c>
      <c r="C232" s="43" t="inlineStr">
        <is>
          <t>EFSP-AF2 LLL supply and delivery (50 units)</t>
        </is>
      </c>
      <c r="D232" s="43" t="inlineStr">
        <is>
          <t>21 of 50</t>
        </is>
      </c>
      <c r="E232" s="52" t="inlineStr">
        <is>
          <t>AF2-LLL-N-021</t>
        </is>
      </c>
      <c r="F232" s="52" t="inlineStr">
        <is>
          <t>Khar Kar and Sayed Miran IS</t>
        </is>
      </c>
      <c r="G232" s="52" t="inlineStr">
        <is>
          <t>Laser Land Leveler (LLL)</t>
        </is>
      </c>
      <c r="H232" s="52" t="inlineStr">
        <is>
          <t>LLL unit</t>
        </is>
      </c>
      <c r="I232" s="52" t="inlineStr">
        <is>
          <t>Emergency Food Security Project (EFSP) – WBK/AF-2</t>
        </is>
      </c>
      <c r="J232" s="52" t="inlineStr">
        <is>
          <t>Northeast / Kunduz</t>
        </is>
      </c>
      <c r="K232" s="52" t="inlineStr">
        <is>
          <t>Takhar</t>
        </is>
      </c>
      <c r="L232" s="52" t="inlineStr">
        <is>
          <t>Eshkamish</t>
        </is>
      </c>
      <c r="M232" s="52" t="inlineStr">
        <is>
          <t>1 unit(s)</t>
        </is>
      </c>
      <c r="N232" s="52" t="inlineStr">
        <is>
          <t>World Bank (WBK/AF-2)</t>
        </is>
      </c>
      <c r="O232" s="52" t="inlineStr">
        <is>
          <t>Not awarded</t>
        </is>
      </c>
      <c r="P232" s="52" t="inlineStr">
        <is>
          <t>6. Supply and delivery of LLL</t>
        </is>
      </c>
      <c r="Q232" s="52" t="inlineStr"/>
      <c r="R232" s="52" t="inlineStr"/>
      <c r="S232" s="53" t="n"/>
      <c r="T232" s="46" t="inlineStr">
        <is>
          <t>IF(AQ232="","",AQ232)</t>
        </is>
      </c>
      <c r="U232" s="54" t="n">
        <v>46325</v>
      </c>
      <c r="V232" s="55" t="n"/>
      <c r="W232" s="54" t="n">
        <v>46418</v>
      </c>
      <c r="X232" s="46" t="inlineStr">
        <is>
          <t>IF(W232&lt;&gt;"",W232,IF(OR(T232="",V232=""),"",EDATE(T232,V232)))</t>
        </is>
      </c>
      <c r="Y232" s="54" t="n"/>
      <c r="Z232" s="55" t="n"/>
      <c r="AA232" s="52" t="inlineStr">
        <is>
          <t>Under Awarding</t>
        </is>
      </c>
      <c r="AB232" s="52" t="inlineStr">
        <is>
          <t>The Procurement process is initiated in April and PO will be issued late October 2026. and delivery will be done by End of December 2026 and onward in January 2027 it is planned to be distributed to the selected beneficiaries.</t>
        </is>
      </c>
      <c r="AC232" s="42" t="inlineStr">
        <is>
          <t>IF(F232="","",IF(COUNT(AI232:AV232)=0,IF(AA232="","Not started",AA232),SUBSTITUTE(LOOKUP(2,1/(AI232:AV232&lt;&gt;""),$AI$3:$AV$3),"Date: ","")))</t>
        </is>
      </c>
      <c r="AD232" s="49" t="inlineStr">
        <is>
          <t>IF(OR(F232="",COUNT(AI232:AV232)=0),"",TODAY()-LOOKUP(2,1/(AI232:AV232&lt;&gt;""),AI232:AV232))</t>
        </is>
      </c>
      <c r="AE232" s="49" t="inlineStr">
        <is>
          <t>IF(OR(F232="",COUNT(AI232:AV232)&lt;2),"",LOOKUP(2,1/(AI232:AV232&lt;&gt;""),AI232:AV232)-MIN(AI232:AV232))</t>
        </is>
      </c>
      <c r="AF232" s="49" t="inlineStr">
        <is>
          <t>IF(OR(AD232="",AC232="Not started",AC232=""),"",IFERROR(AD232-IF(VLOOKUP(AC232,'06_Status_Pipeline'!$B$3:$E$20,4,FALSE)="",0,VLOOKUP(AC232,'06_Status_Pipeline'!$B$3:$E$20,4,FALSE)),""))</t>
        </is>
      </c>
      <c r="AG232" s="42" t="inlineStr">
        <is>
          <t>IF(F232="","",IF(OR(AA232="Cancelled",AC232="Cancelled"),"Cancelled",IF(OR(AC232="Completed / Handover",Y232&lt;&gt;"",Z232&gt;=100),"Completed — on track",IF(O232="Not awarded",IF(U232="",IF(X232="","No planned date",IF(TODAY()&gt;X232,"Behind — past planned date",IF(X232-TODAY()&lt;=30,"At risk — close to off track","On track"))),IF(TODAY()&gt;U232,"Behind — award date passed",IF(U232-TODAY()&lt;=30,"At risk — close to off track","On track"))),IF(X232="","No planned date",IF(AND(TODAY()&gt;X232,OR(Z232="",Z232&lt;100)),"Behind — past end date",IF(AND(T232&lt;&gt;"",X232&lt;&gt;"",Z232&lt;&gt;"",(Z232&lt;100),((TODAY()-T232)/MAX(X232-T232,1)*100)-Z232&gt;15),"Behind — progress lag",IF(AND(X232-TODAY()&lt;=30,X232-TODAY()&gt;=0,OR(Z232="",Z232&lt;90)),"At risk — close to off track","On track"))))))))</t>
        </is>
      </c>
      <c r="AH232" s="49" t="inlineStr">
        <is>
          <t>IF(OR(F232="",AC232="Completed / Handover",AC232="Cancelled"),"",IF(O232="Not awarded",IF(U232&lt;&gt;"",U232-TODAY(),IF(X232="","",X232-TODAY())),IF(X232="","",X232-TODAY())))</t>
        </is>
      </c>
      <c r="AI232" s="54" t="n"/>
      <c r="AJ232" s="54" t="n"/>
      <c r="AK232" s="54" t="n"/>
      <c r="AL232" s="54" t="n"/>
      <c r="AM232" s="54" t="n"/>
      <c r="AN232" s="54" t="n"/>
      <c r="AO232" s="54" t="n"/>
      <c r="AP232" s="54" t="n"/>
      <c r="AQ232" s="54" t="n"/>
      <c r="AR232" s="54" t="n"/>
      <c r="AS232" s="54" t="n"/>
      <c r="AT232" s="50" t="n"/>
      <c r="AU232" s="50" t="n"/>
      <c r="AV232" s="50" t="n"/>
      <c r="AW232" s="49" t="inlineStr">
        <is>
          <t>IF(OR(F232="",AJ232=""),"",IF(COUNT(AI232:AI232)=0,"",AJ232-LOOKUP(2,1/(AI232:AI232&lt;&gt;""),AI232:AI232)))</t>
        </is>
      </c>
      <c r="AX232" s="49" t="inlineStr">
        <is>
          <t>IF(OR(F232="",AK232=""),"",IF(COUNT(AI232:AJ232)=0,"",AK232-LOOKUP(2,1/(AI232:AJ232&lt;&gt;""),AI232:AJ232)))</t>
        </is>
      </c>
      <c r="AY232" s="49" t="inlineStr">
        <is>
          <t>IF(OR(F232="",AL232=""),"",IF(COUNT(AI232:AK232)=0,"",AL232-LOOKUP(2,1/(AI232:AK232&lt;&gt;""),AI232:AK232)))</t>
        </is>
      </c>
      <c r="AZ232" s="49" t="inlineStr">
        <is>
          <t>IF(OR(F232="",AM232=""),"",IF(COUNT(AI232:AL232)=0,"",AM232-LOOKUP(2,1/(AI232:AL232&lt;&gt;""),AI232:AL232)))</t>
        </is>
      </c>
      <c r="BA232" s="49" t="inlineStr">
        <is>
          <t>IF(OR(F232="",AN232=""),"",IF(COUNT(AI232:AM232)=0,"",AN232-LOOKUP(2,1/(AI232:AM232&lt;&gt;""),AI232:AM232)))</t>
        </is>
      </c>
      <c r="BB232" s="49" t="inlineStr">
        <is>
          <t>IF(OR(F232="",AO232=""),"",IF(COUNT(AI232:AN232)=0,"",AO232-LOOKUP(2,1/(AI232:AN232&lt;&gt;""),AI232:AN232)))</t>
        </is>
      </c>
      <c r="BC232" s="49" t="inlineStr">
        <is>
          <t>IF(OR(F232="",AP232=""),"",IF(COUNT(AI232:AO232)=0,"",AP232-LOOKUP(2,1/(AI232:AO232&lt;&gt;""),AI232:AO232)))</t>
        </is>
      </c>
      <c r="BD232" s="49" t="inlineStr">
        <is>
          <t>IF(OR(F232="",AQ232=""),"",IF(COUNT(AI232:AP232)=0,"",AQ232-LOOKUP(2,1/(AI232:AP232&lt;&gt;""),AI232:AP232)))</t>
        </is>
      </c>
      <c r="BE232" s="49" t="inlineStr">
        <is>
          <t>IF(OR(F232="",AR232=""),"",IF(COUNT(AI232:AQ232)=0,"",AR232-LOOKUP(2,1/(AI232:AQ232&lt;&gt;""),AI232:AQ232)))</t>
        </is>
      </c>
      <c r="BF232" s="49" t="inlineStr">
        <is>
          <t>IF(OR(F232="",AS232=""),"",IF(COUNT(AI232:AR232)=0,"",AS232-LOOKUP(2,1/(AI232:AR232&lt;&gt;""),AI232:AR232)))</t>
        </is>
      </c>
      <c r="BG232" s="49" t="inlineStr">
        <is>
          <t>IF(OR(F232="",AT232=""),"",IF(COUNT(AI232:AS232)=0,"",AT232-LOOKUP(2,1/(AI232:AS232&lt;&gt;""),AI232:AS232)))</t>
        </is>
      </c>
      <c r="BH232" s="49" t="inlineStr">
        <is>
          <t>IF(OR(F232="",AU232=""),"",IF(COUNT(AI232:AT232)=0,"",AU232-LOOKUP(2,1/(AI232:AT232&lt;&gt;""),AI232:AT232)))</t>
        </is>
      </c>
      <c r="BI232" s="49" t="inlineStr">
        <is>
          <t>IF(OR(F232="",AV232=""),"",IF(COUNT(AI232:AU232)=0,"",AV232-LOOKUP(2,1/(AI232:AU232&lt;&gt;""),AI232:AU232)))</t>
        </is>
      </c>
      <c r="BJ232" s="51" t="inlineStr">
        <is>
          <t>IF(J232="","All_Provinces",IFERROR(VLOOKUP(J232,'09_Lookups'!$A$4:$B$20,2,FALSE),"All_Provinces"))</t>
        </is>
      </c>
      <c r="BK232" s="51" t="inlineStr">
        <is>
          <t>IF(K232="","All_Districts",IFERROR(VLOOKUP(K232,'09_Lookups'!$E$4:$F$42,2,FALSE),"All_Districts"))</t>
        </is>
      </c>
    </row>
    <row r="233" outlineLevel="1" ht="18" customHeight="1">
      <c r="A233" s="42" t="inlineStr">
        <is>
          <t>IF(F233="","",ROW()-3)</t>
        </is>
      </c>
      <c r="B233" s="43" t="inlineStr">
        <is>
          <t>AF2-LLL-ALL</t>
        </is>
      </c>
      <c r="C233" s="43" t="inlineStr">
        <is>
          <t>EFSP-AF2 LLL supply and delivery (50 units)</t>
        </is>
      </c>
      <c r="D233" s="43" t="inlineStr">
        <is>
          <t>22 of 50</t>
        </is>
      </c>
      <c r="E233" s="44" t="inlineStr">
        <is>
          <t>AF2-LLL-N-022</t>
        </is>
      </c>
      <c r="F233" s="44" t="inlineStr">
        <is>
          <t>Khas kunar irrigation scheme</t>
        </is>
      </c>
      <c r="G233" s="44" t="inlineStr">
        <is>
          <t>Laser Land Leveler (LLL)</t>
        </is>
      </c>
      <c r="H233" s="44" t="inlineStr">
        <is>
          <t>LLL unit</t>
        </is>
      </c>
      <c r="I233" s="44" t="inlineStr">
        <is>
          <t>Emergency Food Security Project (EFSP) – WBK/AF-2</t>
        </is>
      </c>
      <c r="J233" s="44" t="inlineStr">
        <is>
          <t>East / Jalalabad</t>
        </is>
      </c>
      <c r="K233" s="44" t="inlineStr">
        <is>
          <t>Kunar</t>
        </is>
      </c>
      <c r="L233" s="44" t="inlineStr">
        <is>
          <t>Khas kunar</t>
        </is>
      </c>
      <c r="M233" s="44" t="inlineStr">
        <is>
          <t>1 unit(s)</t>
        </is>
      </c>
      <c r="N233" s="44" t="inlineStr">
        <is>
          <t>World Bank (WBK/AF-2)</t>
        </is>
      </c>
      <c r="O233" s="44" t="inlineStr">
        <is>
          <t>Not awarded</t>
        </is>
      </c>
      <c r="P233" s="44" t="inlineStr">
        <is>
          <t>6. Supply and delivery of LLL</t>
        </is>
      </c>
      <c r="Q233" s="44" t="inlineStr"/>
      <c r="R233" s="44" t="inlineStr"/>
      <c r="S233" s="45" t="n"/>
      <c r="T233" s="46" t="inlineStr">
        <is>
          <t>IF(AQ233="","",AQ233)</t>
        </is>
      </c>
      <c r="U233" s="47" t="n">
        <v>46325</v>
      </c>
      <c r="V233" s="48" t="n"/>
      <c r="W233" s="47" t="n">
        <v>46418</v>
      </c>
      <c r="X233" s="46" t="inlineStr">
        <is>
          <t>IF(W233&lt;&gt;"",W233,IF(OR(T233="",V233=""),"",EDATE(T233,V233)))</t>
        </is>
      </c>
      <c r="Y233" s="47" t="n"/>
      <c r="Z233" s="48" t="n"/>
      <c r="AA233" s="44" t="inlineStr">
        <is>
          <t>Under Awarding</t>
        </is>
      </c>
      <c r="AB233" s="44" t="inlineStr">
        <is>
          <t>The Procurement process is initiated in April and PO will be issued late October 2026. and delivery will be done by End of December 2026 and onward in January 2027 it is planned to be distributed to the selected beneficiaries.</t>
        </is>
      </c>
      <c r="AC233" s="42" t="inlineStr">
        <is>
          <t>IF(F233="","",IF(COUNT(AI233:AV233)=0,IF(AA233="","Not started",AA233),SUBSTITUTE(LOOKUP(2,1/(AI233:AV233&lt;&gt;""),$AI$3:$AV$3),"Date: ","")))</t>
        </is>
      </c>
      <c r="AD233" s="49" t="inlineStr">
        <is>
          <t>IF(OR(F233="",COUNT(AI233:AV233)=0),"",TODAY()-LOOKUP(2,1/(AI233:AV233&lt;&gt;""),AI233:AV233))</t>
        </is>
      </c>
      <c r="AE233" s="49" t="inlineStr">
        <is>
          <t>IF(OR(F233="",COUNT(AI233:AV233)&lt;2),"",LOOKUP(2,1/(AI233:AV233&lt;&gt;""),AI233:AV233)-MIN(AI233:AV233))</t>
        </is>
      </c>
      <c r="AF233" s="49" t="inlineStr">
        <is>
          <t>IF(OR(AD233="",AC233="Not started",AC233=""),"",IFERROR(AD233-IF(VLOOKUP(AC233,'06_Status_Pipeline'!$B$3:$E$20,4,FALSE)="",0,VLOOKUP(AC233,'06_Status_Pipeline'!$B$3:$E$20,4,FALSE)),""))</t>
        </is>
      </c>
      <c r="AG233" s="42" t="inlineStr">
        <is>
          <t>IF(F233="","",IF(OR(AA233="Cancelled",AC233="Cancelled"),"Cancelled",IF(OR(AC233="Completed / Handover",Y233&lt;&gt;"",Z233&gt;=100),"Completed — on track",IF(O233="Not awarded",IF(U233="",IF(X233="","No planned date",IF(TODAY()&gt;X233,"Behind — past planned date",IF(X233-TODAY()&lt;=30,"At risk — close to off track","On track"))),IF(TODAY()&gt;U233,"Behind — award date passed",IF(U233-TODAY()&lt;=30,"At risk — close to off track","On track"))),IF(X233="","No planned date",IF(AND(TODAY()&gt;X233,OR(Z233="",Z233&lt;100)),"Behind — past end date",IF(AND(T233&lt;&gt;"",X233&lt;&gt;"",Z233&lt;&gt;"",(Z233&lt;100),((TODAY()-T233)/MAX(X233-T233,1)*100)-Z233&gt;15),"Behind — progress lag",IF(AND(X233-TODAY()&lt;=30,X233-TODAY()&gt;=0,OR(Z233="",Z233&lt;90)),"At risk — close to off track","On track"))))))))</t>
        </is>
      </c>
      <c r="AH233" s="49" t="inlineStr">
        <is>
          <t>IF(OR(F233="",AC233="Completed / Handover",AC233="Cancelled"),"",IF(O233="Not awarded",IF(U233&lt;&gt;"",U233-TODAY(),IF(X233="","",X233-TODAY())),IF(X233="","",X233-TODAY())))</t>
        </is>
      </c>
      <c r="AI233" s="47" t="n"/>
      <c r="AJ233" s="47" t="n"/>
      <c r="AK233" s="47" t="n"/>
      <c r="AL233" s="47" t="n"/>
      <c r="AM233" s="47" t="n"/>
      <c r="AN233" s="47" t="n"/>
      <c r="AO233" s="47" t="n"/>
      <c r="AP233" s="47" t="n"/>
      <c r="AQ233" s="47" t="n"/>
      <c r="AR233" s="47" t="n"/>
      <c r="AS233" s="47" t="n"/>
      <c r="AT233" s="50" t="n"/>
      <c r="AU233" s="50" t="n"/>
      <c r="AV233" s="50" t="n"/>
      <c r="AW233" s="49" t="inlineStr">
        <is>
          <t>IF(OR(F233="",AJ233=""),"",IF(COUNT(AI233:AI233)=0,"",AJ233-LOOKUP(2,1/(AI233:AI233&lt;&gt;""),AI233:AI233)))</t>
        </is>
      </c>
      <c r="AX233" s="49" t="inlineStr">
        <is>
          <t>IF(OR(F233="",AK233=""),"",IF(COUNT(AI233:AJ233)=0,"",AK233-LOOKUP(2,1/(AI233:AJ233&lt;&gt;""),AI233:AJ233)))</t>
        </is>
      </c>
      <c r="AY233" s="49" t="inlineStr">
        <is>
          <t>IF(OR(F233="",AL233=""),"",IF(COUNT(AI233:AK233)=0,"",AL233-LOOKUP(2,1/(AI233:AK233&lt;&gt;""),AI233:AK233)))</t>
        </is>
      </c>
      <c r="AZ233" s="49" t="inlineStr">
        <is>
          <t>IF(OR(F233="",AM233=""),"",IF(COUNT(AI233:AL233)=0,"",AM233-LOOKUP(2,1/(AI233:AL233&lt;&gt;""),AI233:AL233)))</t>
        </is>
      </c>
      <c r="BA233" s="49" t="inlineStr">
        <is>
          <t>IF(OR(F233="",AN233=""),"",IF(COUNT(AI233:AM233)=0,"",AN233-LOOKUP(2,1/(AI233:AM233&lt;&gt;""),AI233:AM233)))</t>
        </is>
      </c>
      <c r="BB233" s="49" t="inlineStr">
        <is>
          <t>IF(OR(F233="",AO233=""),"",IF(COUNT(AI233:AN233)=0,"",AO233-LOOKUP(2,1/(AI233:AN233&lt;&gt;""),AI233:AN233)))</t>
        </is>
      </c>
      <c r="BC233" s="49" t="inlineStr">
        <is>
          <t>IF(OR(F233="",AP233=""),"",IF(COUNT(AI233:AO233)=0,"",AP233-LOOKUP(2,1/(AI233:AO233&lt;&gt;""),AI233:AO233)))</t>
        </is>
      </c>
      <c r="BD233" s="49" t="inlineStr">
        <is>
          <t>IF(OR(F233="",AQ233=""),"",IF(COUNT(AI233:AP233)=0,"",AQ233-LOOKUP(2,1/(AI233:AP233&lt;&gt;""),AI233:AP233)))</t>
        </is>
      </c>
      <c r="BE233" s="49" t="inlineStr">
        <is>
          <t>IF(OR(F233="",AR233=""),"",IF(COUNT(AI233:AQ233)=0,"",AR233-LOOKUP(2,1/(AI233:AQ233&lt;&gt;""),AI233:AQ233)))</t>
        </is>
      </c>
      <c r="BF233" s="49" t="inlineStr">
        <is>
          <t>IF(OR(F233="",AS233=""),"",IF(COUNT(AI233:AR233)=0,"",AS233-LOOKUP(2,1/(AI233:AR233&lt;&gt;""),AI233:AR233)))</t>
        </is>
      </c>
      <c r="BG233" s="49" t="inlineStr">
        <is>
          <t>IF(OR(F233="",AT233=""),"",IF(COUNT(AI233:AS233)=0,"",AT233-LOOKUP(2,1/(AI233:AS233&lt;&gt;""),AI233:AS233)))</t>
        </is>
      </c>
      <c r="BH233" s="49" t="inlineStr">
        <is>
          <t>IF(OR(F233="",AU233=""),"",IF(COUNT(AI233:AT233)=0,"",AU233-LOOKUP(2,1/(AI233:AT233&lt;&gt;""),AI233:AT233)))</t>
        </is>
      </c>
      <c r="BI233" s="49" t="inlineStr">
        <is>
          <t>IF(OR(F233="",AV233=""),"",IF(COUNT(AI233:AU233)=0,"",AV233-LOOKUP(2,1/(AI233:AU233&lt;&gt;""),AI233:AU233)))</t>
        </is>
      </c>
      <c r="BJ233" s="51" t="inlineStr">
        <is>
          <t>IF(J233="","All_Provinces",IFERROR(VLOOKUP(J233,'09_Lookups'!$A$4:$B$20,2,FALSE),"All_Provinces"))</t>
        </is>
      </c>
      <c r="BK233" s="51" t="inlineStr">
        <is>
          <t>IF(K233="","All_Districts",IFERROR(VLOOKUP(K233,'09_Lookups'!$E$4:$F$42,2,FALSE),"All_Districts"))</t>
        </is>
      </c>
    </row>
    <row r="234" outlineLevel="1" ht="18" customHeight="1">
      <c r="A234" s="42" t="inlineStr">
        <is>
          <t>IF(F234="","",ROW()-3)</t>
        </is>
      </c>
      <c r="B234" s="43" t="inlineStr">
        <is>
          <t>AF2-LLL-ALL</t>
        </is>
      </c>
      <c r="C234" s="43" t="inlineStr">
        <is>
          <t>EFSP-AF2 LLL supply and delivery (50 units)</t>
        </is>
      </c>
      <c r="D234" s="43" t="inlineStr">
        <is>
          <t>23 of 50</t>
        </is>
      </c>
      <c r="E234" s="52" t="inlineStr">
        <is>
          <t>AF2-LLL-N-023</t>
        </is>
      </c>
      <c r="F234" s="52" t="inlineStr">
        <is>
          <t>Khuspak-e-Markazi</t>
        </is>
      </c>
      <c r="G234" s="52" t="inlineStr">
        <is>
          <t>Laser Land Leveler (LLL)</t>
        </is>
      </c>
      <c r="H234" s="52" t="inlineStr">
        <is>
          <t>LLL unit</t>
        </is>
      </c>
      <c r="I234" s="52" t="inlineStr">
        <is>
          <t>Emergency Food Security Project (EFSP) – WBK/AF-2</t>
        </is>
      </c>
      <c r="J234" s="52" t="inlineStr">
        <is>
          <t>Northeast / Kunduz</t>
        </is>
      </c>
      <c r="K234" s="52" t="inlineStr">
        <is>
          <t>Badakhshan</t>
        </is>
      </c>
      <c r="L234" s="52" t="inlineStr">
        <is>
          <t>Ishkashim</t>
        </is>
      </c>
      <c r="M234" s="52" t="inlineStr">
        <is>
          <t>1 unit(s)</t>
        </is>
      </c>
      <c r="N234" s="52" t="inlineStr">
        <is>
          <t>World Bank (WBK/AF-2)</t>
        </is>
      </c>
      <c r="O234" s="52" t="inlineStr">
        <is>
          <t>Not awarded</t>
        </is>
      </c>
      <c r="P234" s="52" t="inlineStr">
        <is>
          <t>6. Supply and delivery of LLL</t>
        </is>
      </c>
      <c r="Q234" s="52" t="inlineStr"/>
      <c r="R234" s="52" t="inlineStr"/>
      <c r="S234" s="53" t="n"/>
      <c r="T234" s="46" t="inlineStr">
        <is>
          <t>IF(AQ234="","",AQ234)</t>
        </is>
      </c>
      <c r="U234" s="54" t="n">
        <v>46325</v>
      </c>
      <c r="V234" s="55" t="n"/>
      <c r="W234" s="54" t="n">
        <v>46418</v>
      </c>
      <c r="X234" s="46" t="inlineStr">
        <is>
          <t>IF(W234&lt;&gt;"",W234,IF(OR(T234="",V234=""),"",EDATE(T234,V234)))</t>
        </is>
      </c>
      <c r="Y234" s="54" t="n"/>
      <c r="Z234" s="55" t="n"/>
      <c r="AA234" s="52" t="inlineStr">
        <is>
          <t>Under Awarding</t>
        </is>
      </c>
      <c r="AB234" s="52" t="inlineStr">
        <is>
          <t>The Procurement process is initiated in April and PO will be issued late October 2026. and delivery will be done by End of December 2026 and onward in January 2027 it is planned to be distributed to the selected beneficiaries.</t>
        </is>
      </c>
      <c r="AC234" s="42" t="inlineStr">
        <is>
          <t>IF(F234="","",IF(COUNT(AI234:AV234)=0,IF(AA234="","Not started",AA234),SUBSTITUTE(LOOKUP(2,1/(AI234:AV234&lt;&gt;""),$AI$3:$AV$3),"Date: ","")))</t>
        </is>
      </c>
      <c r="AD234" s="49" t="inlineStr">
        <is>
          <t>IF(OR(F234="",COUNT(AI234:AV234)=0),"",TODAY()-LOOKUP(2,1/(AI234:AV234&lt;&gt;""),AI234:AV234))</t>
        </is>
      </c>
      <c r="AE234" s="49" t="inlineStr">
        <is>
          <t>IF(OR(F234="",COUNT(AI234:AV234)&lt;2),"",LOOKUP(2,1/(AI234:AV234&lt;&gt;""),AI234:AV234)-MIN(AI234:AV234))</t>
        </is>
      </c>
      <c r="AF234" s="49" t="inlineStr">
        <is>
          <t>IF(OR(AD234="",AC234="Not started",AC234=""),"",IFERROR(AD234-IF(VLOOKUP(AC234,'06_Status_Pipeline'!$B$3:$E$20,4,FALSE)="",0,VLOOKUP(AC234,'06_Status_Pipeline'!$B$3:$E$20,4,FALSE)),""))</t>
        </is>
      </c>
      <c r="AG234" s="42" t="inlineStr">
        <is>
          <t>IF(F234="","",IF(OR(AA234="Cancelled",AC234="Cancelled"),"Cancelled",IF(OR(AC234="Completed / Handover",Y234&lt;&gt;"",Z234&gt;=100),"Completed — on track",IF(O234="Not awarded",IF(U234="",IF(X234="","No planned date",IF(TODAY()&gt;X234,"Behind — past planned date",IF(X234-TODAY()&lt;=30,"At risk — close to off track","On track"))),IF(TODAY()&gt;U234,"Behind — award date passed",IF(U234-TODAY()&lt;=30,"At risk — close to off track","On track"))),IF(X234="","No planned date",IF(AND(TODAY()&gt;X234,OR(Z234="",Z234&lt;100)),"Behind — past end date",IF(AND(T234&lt;&gt;"",X234&lt;&gt;"",Z234&lt;&gt;"",(Z234&lt;100),((TODAY()-T234)/MAX(X234-T234,1)*100)-Z234&gt;15),"Behind — progress lag",IF(AND(X234-TODAY()&lt;=30,X234-TODAY()&gt;=0,OR(Z234="",Z234&lt;90)),"At risk — close to off track","On track"))))))))</t>
        </is>
      </c>
      <c r="AH234" s="49" t="inlineStr">
        <is>
          <t>IF(OR(F234="",AC234="Completed / Handover",AC234="Cancelled"),"",IF(O234="Not awarded",IF(U234&lt;&gt;"",U234-TODAY(),IF(X234="","",X234-TODAY())),IF(X234="","",X234-TODAY())))</t>
        </is>
      </c>
      <c r="AI234" s="54" t="n"/>
      <c r="AJ234" s="54" t="n"/>
      <c r="AK234" s="54" t="n"/>
      <c r="AL234" s="54" t="n"/>
      <c r="AM234" s="54" t="n"/>
      <c r="AN234" s="54" t="n"/>
      <c r="AO234" s="54" t="n"/>
      <c r="AP234" s="54" t="n"/>
      <c r="AQ234" s="54" t="n"/>
      <c r="AR234" s="54" t="n"/>
      <c r="AS234" s="54" t="n"/>
      <c r="AT234" s="50" t="n"/>
      <c r="AU234" s="50" t="n"/>
      <c r="AV234" s="50" t="n"/>
      <c r="AW234" s="49" t="inlineStr">
        <is>
          <t>IF(OR(F234="",AJ234=""),"",IF(COUNT(AI234:AI234)=0,"",AJ234-LOOKUP(2,1/(AI234:AI234&lt;&gt;""),AI234:AI234)))</t>
        </is>
      </c>
      <c r="AX234" s="49" t="inlineStr">
        <is>
          <t>IF(OR(F234="",AK234=""),"",IF(COUNT(AI234:AJ234)=0,"",AK234-LOOKUP(2,1/(AI234:AJ234&lt;&gt;""),AI234:AJ234)))</t>
        </is>
      </c>
      <c r="AY234" s="49" t="inlineStr">
        <is>
          <t>IF(OR(F234="",AL234=""),"",IF(COUNT(AI234:AK234)=0,"",AL234-LOOKUP(2,1/(AI234:AK234&lt;&gt;""),AI234:AK234)))</t>
        </is>
      </c>
      <c r="AZ234" s="49" t="inlineStr">
        <is>
          <t>IF(OR(F234="",AM234=""),"",IF(COUNT(AI234:AL234)=0,"",AM234-LOOKUP(2,1/(AI234:AL234&lt;&gt;""),AI234:AL234)))</t>
        </is>
      </c>
      <c r="BA234" s="49" t="inlineStr">
        <is>
          <t>IF(OR(F234="",AN234=""),"",IF(COUNT(AI234:AM234)=0,"",AN234-LOOKUP(2,1/(AI234:AM234&lt;&gt;""),AI234:AM234)))</t>
        </is>
      </c>
      <c r="BB234" s="49" t="inlineStr">
        <is>
          <t>IF(OR(F234="",AO234=""),"",IF(COUNT(AI234:AN234)=0,"",AO234-LOOKUP(2,1/(AI234:AN234&lt;&gt;""),AI234:AN234)))</t>
        </is>
      </c>
      <c r="BC234" s="49" t="inlineStr">
        <is>
          <t>IF(OR(F234="",AP234=""),"",IF(COUNT(AI234:AO234)=0,"",AP234-LOOKUP(2,1/(AI234:AO234&lt;&gt;""),AI234:AO234)))</t>
        </is>
      </c>
      <c r="BD234" s="49" t="inlineStr">
        <is>
          <t>IF(OR(F234="",AQ234=""),"",IF(COUNT(AI234:AP234)=0,"",AQ234-LOOKUP(2,1/(AI234:AP234&lt;&gt;""),AI234:AP234)))</t>
        </is>
      </c>
      <c r="BE234" s="49" t="inlineStr">
        <is>
          <t>IF(OR(F234="",AR234=""),"",IF(COUNT(AI234:AQ234)=0,"",AR234-LOOKUP(2,1/(AI234:AQ234&lt;&gt;""),AI234:AQ234)))</t>
        </is>
      </c>
      <c r="BF234" s="49" t="inlineStr">
        <is>
          <t>IF(OR(F234="",AS234=""),"",IF(COUNT(AI234:AR234)=0,"",AS234-LOOKUP(2,1/(AI234:AR234&lt;&gt;""),AI234:AR234)))</t>
        </is>
      </c>
      <c r="BG234" s="49" t="inlineStr">
        <is>
          <t>IF(OR(F234="",AT234=""),"",IF(COUNT(AI234:AS234)=0,"",AT234-LOOKUP(2,1/(AI234:AS234&lt;&gt;""),AI234:AS234)))</t>
        </is>
      </c>
      <c r="BH234" s="49" t="inlineStr">
        <is>
          <t>IF(OR(F234="",AU234=""),"",IF(COUNT(AI234:AT234)=0,"",AU234-LOOKUP(2,1/(AI234:AT234&lt;&gt;""),AI234:AT234)))</t>
        </is>
      </c>
      <c r="BI234" s="49" t="inlineStr">
        <is>
          <t>IF(OR(F234="",AV234=""),"",IF(COUNT(AI234:AU234)=0,"",AV234-LOOKUP(2,1/(AI234:AU234&lt;&gt;""),AI234:AU234)))</t>
        </is>
      </c>
      <c r="BJ234" s="51" t="inlineStr">
        <is>
          <t>IF(J234="","All_Provinces",IFERROR(VLOOKUP(J234,'09_Lookups'!$A$4:$B$20,2,FALSE),"All_Provinces"))</t>
        </is>
      </c>
      <c r="BK234" s="51" t="inlineStr">
        <is>
          <t>IF(K234="","All_Districts",IFERROR(VLOOKUP(K234,'09_Lookups'!$E$4:$F$42,2,FALSE),"All_Districts"))</t>
        </is>
      </c>
    </row>
    <row r="235" outlineLevel="1" ht="18" customHeight="1">
      <c r="A235" s="42" t="inlineStr">
        <is>
          <t>IF(F235="","",ROW()-3)</t>
        </is>
      </c>
      <c r="B235" s="43" t="inlineStr">
        <is>
          <t>AF2-LLL-ALL</t>
        </is>
      </c>
      <c r="C235" s="43" t="inlineStr">
        <is>
          <t>EFSP-AF2 LLL supply and delivery (50 units)</t>
        </is>
      </c>
      <c r="D235" s="43" t="inlineStr">
        <is>
          <t>24 of 50</t>
        </is>
      </c>
      <c r="E235" s="44" t="inlineStr">
        <is>
          <t>AF2-LLL-N-024</t>
        </is>
      </c>
      <c r="F235" s="44" t="inlineStr">
        <is>
          <t>Khwaja Angor Irrigation Scheme</t>
        </is>
      </c>
      <c r="G235" s="44" t="inlineStr">
        <is>
          <t>Laser Land Leveler (LLL)</t>
        </is>
      </c>
      <c r="H235" s="44" t="inlineStr">
        <is>
          <t>LLL unit</t>
        </is>
      </c>
      <c r="I235" s="44" t="inlineStr">
        <is>
          <t>Emergency Food Security Project (EFSP) – WBK/AF-2</t>
        </is>
      </c>
      <c r="J235" s="44" t="inlineStr">
        <is>
          <t>Southeast / Gardez</t>
        </is>
      </c>
      <c r="K235" s="44" t="inlineStr">
        <is>
          <t>Logar</t>
        </is>
      </c>
      <c r="L235" s="44" t="inlineStr">
        <is>
          <t>Kharwar</t>
        </is>
      </c>
      <c r="M235" s="44" t="inlineStr">
        <is>
          <t>1 unit(s)</t>
        </is>
      </c>
      <c r="N235" s="44" t="inlineStr">
        <is>
          <t>World Bank (WBK/AF-2)</t>
        </is>
      </c>
      <c r="O235" s="44" t="inlineStr">
        <is>
          <t>Not awarded</t>
        </is>
      </c>
      <c r="P235" s="44" t="inlineStr">
        <is>
          <t>6. Supply and delivery of LLL</t>
        </is>
      </c>
      <c r="Q235" s="44" t="inlineStr"/>
      <c r="R235" s="44" t="inlineStr"/>
      <c r="S235" s="45" t="n"/>
      <c r="T235" s="46" t="inlineStr">
        <is>
          <t>IF(AQ235="","",AQ235)</t>
        </is>
      </c>
      <c r="U235" s="47" t="n">
        <v>46325</v>
      </c>
      <c r="V235" s="48" t="n"/>
      <c r="W235" s="47" t="n">
        <v>46418</v>
      </c>
      <c r="X235" s="46" t="inlineStr">
        <is>
          <t>IF(W235&lt;&gt;"",W235,IF(OR(T235="",V235=""),"",EDATE(T235,V235)))</t>
        </is>
      </c>
      <c r="Y235" s="47" t="n"/>
      <c r="Z235" s="48" t="n"/>
      <c r="AA235" s="44" t="inlineStr">
        <is>
          <t>Under Awarding</t>
        </is>
      </c>
      <c r="AB235" s="44" t="inlineStr">
        <is>
          <t>The Procurement process is initiated in April and PO will be issued late October 2026. and delivery will be done by End of December 2026 and onward in January 2027 it is planned to be distributed to the selected beneficiaries.</t>
        </is>
      </c>
      <c r="AC235" s="42" t="inlineStr">
        <is>
          <t>IF(F235="","",IF(COUNT(AI235:AV235)=0,IF(AA235="","Not started",AA235),SUBSTITUTE(LOOKUP(2,1/(AI235:AV235&lt;&gt;""),$AI$3:$AV$3),"Date: ","")))</t>
        </is>
      </c>
      <c r="AD235" s="49" t="inlineStr">
        <is>
          <t>IF(OR(F235="",COUNT(AI235:AV235)=0),"",TODAY()-LOOKUP(2,1/(AI235:AV235&lt;&gt;""),AI235:AV235))</t>
        </is>
      </c>
      <c r="AE235" s="49" t="inlineStr">
        <is>
          <t>IF(OR(F235="",COUNT(AI235:AV235)&lt;2),"",LOOKUP(2,1/(AI235:AV235&lt;&gt;""),AI235:AV235)-MIN(AI235:AV235))</t>
        </is>
      </c>
      <c r="AF235" s="49" t="inlineStr">
        <is>
          <t>IF(OR(AD235="",AC235="Not started",AC235=""),"",IFERROR(AD235-IF(VLOOKUP(AC235,'06_Status_Pipeline'!$B$3:$E$20,4,FALSE)="",0,VLOOKUP(AC235,'06_Status_Pipeline'!$B$3:$E$20,4,FALSE)),""))</t>
        </is>
      </c>
      <c r="AG235" s="42" t="inlineStr">
        <is>
          <t>IF(F235="","",IF(OR(AA235="Cancelled",AC235="Cancelled"),"Cancelled",IF(OR(AC235="Completed / Handover",Y235&lt;&gt;"",Z235&gt;=100),"Completed — on track",IF(O235="Not awarded",IF(U235="",IF(X235="","No planned date",IF(TODAY()&gt;X235,"Behind — past planned date",IF(X235-TODAY()&lt;=30,"At risk — close to off track","On track"))),IF(TODAY()&gt;U235,"Behind — award date passed",IF(U235-TODAY()&lt;=30,"At risk — close to off track","On track"))),IF(X235="","No planned date",IF(AND(TODAY()&gt;X235,OR(Z235="",Z235&lt;100)),"Behind — past end date",IF(AND(T235&lt;&gt;"",X235&lt;&gt;"",Z235&lt;&gt;"",(Z235&lt;100),((TODAY()-T235)/MAX(X235-T235,1)*100)-Z235&gt;15),"Behind — progress lag",IF(AND(X235-TODAY()&lt;=30,X235-TODAY()&gt;=0,OR(Z235="",Z235&lt;90)),"At risk — close to off track","On track"))))))))</t>
        </is>
      </c>
      <c r="AH235" s="49" t="inlineStr">
        <is>
          <t>IF(OR(F235="",AC235="Completed / Handover",AC235="Cancelled"),"",IF(O235="Not awarded",IF(U235&lt;&gt;"",U235-TODAY(),IF(X235="","",X235-TODAY())),IF(X235="","",X235-TODAY())))</t>
        </is>
      </c>
      <c r="AI235" s="47" t="n"/>
      <c r="AJ235" s="47" t="n"/>
      <c r="AK235" s="47" t="n"/>
      <c r="AL235" s="47" t="n"/>
      <c r="AM235" s="47" t="n"/>
      <c r="AN235" s="47" t="n"/>
      <c r="AO235" s="47" t="n"/>
      <c r="AP235" s="47" t="n"/>
      <c r="AQ235" s="47" t="n"/>
      <c r="AR235" s="47" t="n"/>
      <c r="AS235" s="47" t="n"/>
      <c r="AT235" s="50" t="n"/>
      <c r="AU235" s="50" t="n"/>
      <c r="AV235" s="50" t="n"/>
      <c r="AW235" s="49" t="inlineStr">
        <is>
          <t>IF(OR(F235="",AJ235=""),"",IF(COUNT(AI235:AI235)=0,"",AJ235-LOOKUP(2,1/(AI235:AI235&lt;&gt;""),AI235:AI235)))</t>
        </is>
      </c>
      <c r="AX235" s="49" t="inlineStr">
        <is>
          <t>IF(OR(F235="",AK235=""),"",IF(COUNT(AI235:AJ235)=0,"",AK235-LOOKUP(2,1/(AI235:AJ235&lt;&gt;""),AI235:AJ235)))</t>
        </is>
      </c>
      <c r="AY235" s="49" t="inlineStr">
        <is>
          <t>IF(OR(F235="",AL235=""),"",IF(COUNT(AI235:AK235)=0,"",AL235-LOOKUP(2,1/(AI235:AK235&lt;&gt;""),AI235:AK235)))</t>
        </is>
      </c>
      <c r="AZ235" s="49" t="inlineStr">
        <is>
          <t>IF(OR(F235="",AM235=""),"",IF(COUNT(AI235:AL235)=0,"",AM235-LOOKUP(2,1/(AI235:AL235&lt;&gt;""),AI235:AL235)))</t>
        </is>
      </c>
      <c r="BA235" s="49" t="inlineStr">
        <is>
          <t>IF(OR(F235="",AN235=""),"",IF(COUNT(AI235:AM235)=0,"",AN235-LOOKUP(2,1/(AI235:AM235&lt;&gt;""),AI235:AM235)))</t>
        </is>
      </c>
      <c r="BB235" s="49" t="inlineStr">
        <is>
          <t>IF(OR(F235="",AO235=""),"",IF(COUNT(AI235:AN235)=0,"",AO235-LOOKUP(2,1/(AI235:AN235&lt;&gt;""),AI235:AN235)))</t>
        </is>
      </c>
      <c r="BC235" s="49" t="inlineStr">
        <is>
          <t>IF(OR(F235="",AP235=""),"",IF(COUNT(AI235:AO235)=0,"",AP235-LOOKUP(2,1/(AI235:AO235&lt;&gt;""),AI235:AO235)))</t>
        </is>
      </c>
      <c r="BD235" s="49" t="inlineStr">
        <is>
          <t>IF(OR(F235="",AQ235=""),"",IF(COUNT(AI235:AP235)=0,"",AQ235-LOOKUP(2,1/(AI235:AP235&lt;&gt;""),AI235:AP235)))</t>
        </is>
      </c>
      <c r="BE235" s="49" t="inlineStr">
        <is>
          <t>IF(OR(F235="",AR235=""),"",IF(COUNT(AI235:AQ235)=0,"",AR235-LOOKUP(2,1/(AI235:AQ235&lt;&gt;""),AI235:AQ235)))</t>
        </is>
      </c>
      <c r="BF235" s="49" t="inlineStr">
        <is>
          <t>IF(OR(F235="",AS235=""),"",IF(COUNT(AI235:AR235)=0,"",AS235-LOOKUP(2,1/(AI235:AR235&lt;&gt;""),AI235:AR235)))</t>
        </is>
      </c>
      <c r="BG235" s="49" t="inlineStr">
        <is>
          <t>IF(OR(F235="",AT235=""),"",IF(COUNT(AI235:AS235)=0,"",AT235-LOOKUP(2,1/(AI235:AS235&lt;&gt;""),AI235:AS235)))</t>
        </is>
      </c>
      <c r="BH235" s="49" t="inlineStr">
        <is>
          <t>IF(OR(F235="",AU235=""),"",IF(COUNT(AI235:AT235)=0,"",AU235-LOOKUP(2,1/(AI235:AT235&lt;&gt;""),AI235:AT235)))</t>
        </is>
      </c>
      <c r="BI235" s="49" t="inlineStr">
        <is>
          <t>IF(OR(F235="",AV235=""),"",IF(COUNT(AI235:AU235)=0,"",AV235-LOOKUP(2,1/(AI235:AU235&lt;&gt;""),AI235:AU235)))</t>
        </is>
      </c>
      <c r="BJ235" s="51" t="inlineStr">
        <is>
          <t>IF(J235="","All_Provinces",IFERROR(VLOOKUP(J235,'09_Lookups'!$A$4:$B$20,2,FALSE),"All_Provinces"))</t>
        </is>
      </c>
      <c r="BK235" s="51" t="inlineStr">
        <is>
          <t>IF(K235="","All_Districts",IFERROR(VLOOKUP(K235,'09_Lookups'!$E$4:$F$42,2,FALSE),"All_Districts"))</t>
        </is>
      </c>
    </row>
    <row r="236" outlineLevel="1" ht="18" customHeight="1">
      <c r="A236" s="42" t="inlineStr">
        <is>
          <t>IF(F236="","",ROW()-3)</t>
        </is>
      </c>
      <c r="B236" s="43" t="inlineStr">
        <is>
          <t>AF2-LLL-ALL</t>
        </is>
      </c>
      <c r="C236" s="43" t="inlineStr">
        <is>
          <t>EFSP-AF2 LLL supply and delivery (50 units)</t>
        </is>
      </c>
      <c r="D236" s="43" t="inlineStr">
        <is>
          <t>25 of 50</t>
        </is>
      </c>
      <c r="E236" s="52" t="inlineStr">
        <is>
          <t>AF2-LLL-N-025</t>
        </is>
      </c>
      <c r="F236" s="52" t="inlineStr">
        <is>
          <t>Kushkak irrigation scheme</t>
        </is>
      </c>
      <c r="G236" s="52" t="inlineStr">
        <is>
          <t>Laser Land Leveler (LLL)</t>
        </is>
      </c>
      <c r="H236" s="52" t="inlineStr">
        <is>
          <t>LLL unit</t>
        </is>
      </c>
      <c r="I236" s="52" t="inlineStr">
        <is>
          <t>Emergency Food Security Project (EFSP) – WBK/AF-2</t>
        </is>
      </c>
      <c r="J236" s="52" t="inlineStr">
        <is>
          <t>North / Mazar</t>
        </is>
      </c>
      <c r="K236" s="52" t="inlineStr">
        <is>
          <t>Samangan</t>
        </is>
      </c>
      <c r="L236" s="52" t="inlineStr">
        <is>
          <t>Dara-e-Suf-e-Bala</t>
        </is>
      </c>
      <c r="M236" s="52" t="inlineStr">
        <is>
          <t>1 unit(s)</t>
        </is>
      </c>
      <c r="N236" s="52" t="inlineStr">
        <is>
          <t>World Bank (WBK/AF-2)</t>
        </is>
      </c>
      <c r="O236" s="52" t="inlineStr">
        <is>
          <t>Not awarded</t>
        </is>
      </c>
      <c r="P236" s="52" t="inlineStr">
        <is>
          <t>6. Supply and delivery of LLL</t>
        </is>
      </c>
      <c r="Q236" s="52" t="inlineStr"/>
      <c r="R236" s="52" t="inlineStr"/>
      <c r="S236" s="53" t="n"/>
      <c r="T236" s="46" t="inlineStr">
        <is>
          <t>IF(AQ236="","",AQ236)</t>
        </is>
      </c>
      <c r="U236" s="54" t="n">
        <v>46325</v>
      </c>
      <c r="V236" s="55" t="n"/>
      <c r="W236" s="54" t="n">
        <v>46418</v>
      </c>
      <c r="X236" s="46" t="inlineStr">
        <is>
          <t>IF(W236&lt;&gt;"",W236,IF(OR(T236="",V236=""),"",EDATE(T236,V236)))</t>
        </is>
      </c>
      <c r="Y236" s="54" t="n"/>
      <c r="Z236" s="55" t="n"/>
      <c r="AA236" s="52" t="inlineStr">
        <is>
          <t>Under Awarding</t>
        </is>
      </c>
      <c r="AB236" s="52" t="inlineStr">
        <is>
          <t>The Procurement process is initiated in April and PO will be issued late October 2026. and delivery will be done by End of December 2026 and onward in January 2027 it is planned to be distributed to the selected beneficiaries.</t>
        </is>
      </c>
      <c r="AC236" s="42" t="inlineStr">
        <is>
          <t>IF(F236="","",IF(COUNT(AI236:AV236)=0,IF(AA236="","Not started",AA236),SUBSTITUTE(LOOKUP(2,1/(AI236:AV236&lt;&gt;""),$AI$3:$AV$3),"Date: ","")))</t>
        </is>
      </c>
      <c r="AD236" s="49" t="inlineStr">
        <is>
          <t>IF(OR(F236="",COUNT(AI236:AV236)=0),"",TODAY()-LOOKUP(2,1/(AI236:AV236&lt;&gt;""),AI236:AV236))</t>
        </is>
      </c>
      <c r="AE236" s="49" t="inlineStr">
        <is>
          <t>IF(OR(F236="",COUNT(AI236:AV236)&lt;2),"",LOOKUP(2,1/(AI236:AV236&lt;&gt;""),AI236:AV236)-MIN(AI236:AV236))</t>
        </is>
      </c>
      <c r="AF236" s="49" t="inlineStr">
        <is>
          <t>IF(OR(AD236="",AC236="Not started",AC236=""),"",IFERROR(AD236-IF(VLOOKUP(AC236,'06_Status_Pipeline'!$B$3:$E$20,4,FALSE)="",0,VLOOKUP(AC236,'06_Status_Pipeline'!$B$3:$E$20,4,FALSE)),""))</t>
        </is>
      </c>
      <c r="AG236" s="42" t="inlineStr">
        <is>
          <t>IF(F236="","",IF(OR(AA236="Cancelled",AC236="Cancelled"),"Cancelled",IF(OR(AC236="Completed / Handover",Y236&lt;&gt;"",Z236&gt;=100),"Completed — on track",IF(O236="Not awarded",IF(U236="",IF(X236="","No planned date",IF(TODAY()&gt;X236,"Behind — past planned date",IF(X236-TODAY()&lt;=30,"At risk — close to off track","On track"))),IF(TODAY()&gt;U236,"Behind — award date passed",IF(U236-TODAY()&lt;=30,"At risk — close to off track","On track"))),IF(X236="","No planned date",IF(AND(TODAY()&gt;X236,OR(Z236="",Z236&lt;100)),"Behind — past end date",IF(AND(T236&lt;&gt;"",X236&lt;&gt;"",Z236&lt;&gt;"",(Z236&lt;100),((TODAY()-T236)/MAX(X236-T236,1)*100)-Z236&gt;15),"Behind — progress lag",IF(AND(X236-TODAY()&lt;=30,X236-TODAY()&gt;=0,OR(Z236="",Z236&lt;90)),"At risk — close to off track","On track"))))))))</t>
        </is>
      </c>
      <c r="AH236" s="49" t="inlineStr">
        <is>
          <t>IF(OR(F236="",AC236="Completed / Handover",AC236="Cancelled"),"",IF(O236="Not awarded",IF(U236&lt;&gt;"",U236-TODAY(),IF(X236="","",X236-TODAY())),IF(X236="","",X236-TODAY())))</t>
        </is>
      </c>
      <c r="AI236" s="54" t="n"/>
      <c r="AJ236" s="54" t="n"/>
      <c r="AK236" s="54" t="n"/>
      <c r="AL236" s="54" t="n"/>
      <c r="AM236" s="54" t="n"/>
      <c r="AN236" s="54" t="n"/>
      <c r="AO236" s="54" t="n"/>
      <c r="AP236" s="54" t="n"/>
      <c r="AQ236" s="54" t="n"/>
      <c r="AR236" s="54" t="n"/>
      <c r="AS236" s="54" t="n"/>
      <c r="AT236" s="50" t="n"/>
      <c r="AU236" s="50" t="n"/>
      <c r="AV236" s="50" t="n"/>
      <c r="AW236" s="49" t="inlineStr">
        <is>
          <t>IF(OR(F236="",AJ236=""),"",IF(COUNT(AI236:AI236)=0,"",AJ236-LOOKUP(2,1/(AI236:AI236&lt;&gt;""),AI236:AI236)))</t>
        </is>
      </c>
      <c r="AX236" s="49" t="inlineStr">
        <is>
          <t>IF(OR(F236="",AK236=""),"",IF(COUNT(AI236:AJ236)=0,"",AK236-LOOKUP(2,1/(AI236:AJ236&lt;&gt;""),AI236:AJ236)))</t>
        </is>
      </c>
      <c r="AY236" s="49" t="inlineStr">
        <is>
          <t>IF(OR(F236="",AL236=""),"",IF(COUNT(AI236:AK236)=0,"",AL236-LOOKUP(2,1/(AI236:AK236&lt;&gt;""),AI236:AK236)))</t>
        </is>
      </c>
      <c r="AZ236" s="49" t="inlineStr">
        <is>
          <t>IF(OR(F236="",AM236=""),"",IF(COUNT(AI236:AL236)=0,"",AM236-LOOKUP(2,1/(AI236:AL236&lt;&gt;""),AI236:AL236)))</t>
        </is>
      </c>
      <c r="BA236" s="49" t="inlineStr">
        <is>
          <t>IF(OR(F236="",AN236=""),"",IF(COUNT(AI236:AM236)=0,"",AN236-LOOKUP(2,1/(AI236:AM236&lt;&gt;""),AI236:AM236)))</t>
        </is>
      </c>
      <c r="BB236" s="49" t="inlineStr">
        <is>
          <t>IF(OR(F236="",AO236=""),"",IF(COUNT(AI236:AN236)=0,"",AO236-LOOKUP(2,1/(AI236:AN236&lt;&gt;""),AI236:AN236)))</t>
        </is>
      </c>
      <c r="BC236" s="49" t="inlineStr">
        <is>
          <t>IF(OR(F236="",AP236=""),"",IF(COUNT(AI236:AO236)=0,"",AP236-LOOKUP(2,1/(AI236:AO236&lt;&gt;""),AI236:AO236)))</t>
        </is>
      </c>
      <c r="BD236" s="49" t="inlineStr">
        <is>
          <t>IF(OR(F236="",AQ236=""),"",IF(COUNT(AI236:AP236)=0,"",AQ236-LOOKUP(2,1/(AI236:AP236&lt;&gt;""),AI236:AP236)))</t>
        </is>
      </c>
      <c r="BE236" s="49" t="inlineStr">
        <is>
          <t>IF(OR(F236="",AR236=""),"",IF(COUNT(AI236:AQ236)=0,"",AR236-LOOKUP(2,1/(AI236:AQ236&lt;&gt;""),AI236:AQ236)))</t>
        </is>
      </c>
      <c r="BF236" s="49" t="inlineStr">
        <is>
          <t>IF(OR(F236="",AS236=""),"",IF(COUNT(AI236:AR236)=0,"",AS236-LOOKUP(2,1/(AI236:AR236&lt;&gt;""),AI236:AR236)))</t>
        </is>
      </c>
      <c r="BG236" s="49" t="inlineStr">
        <is>
          <t>IF(OR(F236="",AT236=""),"",IF(COUNT(AI236:AS236)=0,"",AT236-LOOKUP(2,1/(AI236:AS236&lt;&gt;""),AI236:AS236)))</t>
        </is>
      </c>
      <c r="BH236" s="49" t="inlineStr">
        <is>
          <t>IF(OR(F236="",AU236=""),"",IF(COUNT(AI236:AT236)=0,"",AU236-LOOKUP(2,1/(AI236:AT236&lt;&gt;""),AI236:AT236)))</t>
        </is>
      </c>
      <c r="BI236" s="49" t="inlineStr">
        <is>
          <t>IF(OR(F236="",AV236=""),"",IF(COUNT(AI236:AU236)=0,"",AV236-LOOKUP(2,1/(AI236:AU236&lt;&gt;""),AI236:AU236)))</t>
        </is>
      </c>
      <c r="BJ236" s="51" t="inlineStr">
        <is>
          <t>IF(J236="","All_Provinces",IFERROR(VLOOKUP(J236,'09_Lookups'!$A$4:$B$20,2,FALSE),"All_Provinces"))</t>
        </is>
      </c>
      <c r="BK236" s="51" t="inlineStr">
        <is>
          <t>IF(K236="","All_Districts",IFERROR(VLOOKUP(K236,'09_Lookups'!$E$4:$F$42,2,FALSE),"All_Districts"))</t>
        </is>
      </c>
    </row>
    <row r="237" outlineLevel="1" ht="18" customHeight="1">
      <c r="A237" s="42" t="inlineStr">
        <is>
          <t>IF(F237="","",ROW()-3)</t>
        </is>
      </c>
      <c r="B237" s="43" t="inlineStr">
        <is>
          <t>AF2-LLL-ALL</t>
        </is>
      </c>
      <c r="C237" s="43" t="inlineStr">
        <is>
          <t>EFSP-AF2 LLL supply and delivery (50 units)</t>
        </is>
      </c>
      <c r="D237" s="43" t="inlineStr">
        <is>
          <t>26 of 50</t>
        </is>
      </c>
      <c r="E237" s="44" t="inlineStr">
        <is>
          <t>AF2-LLL-N-026</t>
        </is>
      </c>
      <c r="F237" s="44" t="inlineStr">
        <is>
          <t>Mandaliat -e-Tanor canal</t>
        </is>
      </c>
      <c r="G237" s="44" t="inlineStr">
        <is>
          <t>Laser Land Leveler (LLL)</t>
        </is>
      </c>
      <c r="H237" s="44" t="inlineStr">
        <is>
          <t>LLL unit</t>
        </is>
      </c>
      <c r="I237" s="44" t="inlineStr">
        <is>
          <t>Emergency Food Security Project (EFSP) – WBK/AF-2</t>
        </is>
      </c>
      <c r="J237" s="44" t="inlineStr">
        <is>
          <t>Central / Kabul</t>
        </is>
      </c>
      <c r="K237" s="44" t="inlineStr">
        <is>
          <t>Midan Wardak</t>
        </is>
      </c>
      <c r="L237" s="44" t="inlineStr">
        <is>
          <t>Hesa Awal Behsood</t>
        </is>
      </c>
      <c r="M237" s="44" t="inlineStr">
        <is>
          <t>1 unit(s)</t>
        </is>
      </c>
      <c r="N237" s="44" t="inlineStr">
        <is>
          <t>World Bank (WBK/AF-2)</t>
        </is>
      </c>
      <c r="O237" s="44" t="inlineStr">
        <is>
          <t>Not awarded</t>
        </is>
      </c>
      <c r="P237" s="44" t="inlineStr">
        <is>
          <t>6. Supply and delivery of LLL</t>
        </is>
      </c>
      <c r="Q237" s="44" t="inlineStr"/>
      <c r="R237" s="44" t="inlineStr"/>
      <c r="S237" s="45" t="n"/>
      <c r="T237" s="46" t="inlineStr">
        <is>
          <t>IF(AQ237="","",AQ237)</t>
        </is>
      </c>
      <c r="U237" s="47" t="n">
        <v>46325</v>
      </c>
      <c r="V237" s="48" t="n"/>
      <c r="W237" s="47" t="n">
        <v>46418</v>
      </c>
      <c r="X237" s="46" t="inlineStr">
        <is>
          <t>IF(W237&lt;&gt;"",W237,IF(OR(T237="",V237=""),"",EDATE(T237,V237)))</t>
        </is>
      </c>
      <c r="Y237" s="47" t="n"/>
      <c r="Z237" s="48" t="n"/>
      <c r="AA237" s="44" t="inlineStr">
        <is>
          <t>Under Awarding</t>
        </is>
      </c>
      <c r="AB237" s="44" t="inlineStr">
        <is>
          <t>The Procurement process is initiated in April and PO will be issued late October 2026. and delivery will be done by End of December 2026 and onward in January 2027 it is planned to be distributed to the selected beneficiaries.</t>
        </is>
      </c>
      <c r="AC237" s="42" t="inlineStr">
        <is>
          <t>IF(F237="","",IF(COUNT(AI237:AV237)=0,IF(AA237="","Not started",AA237),SUBSTITUTE(LOOKUP(2,1/(AI237:AV237&lt;&gt;""),$AI$3:$AV$3),"Date: ","")))</t>
        </is>
      </c>
      <c r="AD237" s="49" t="inlineStr">
        <is>
          <t>IF(OR(F237="",COUNT(AI237:AV237)=0),"",TODAY()-LOOKUP(2,1/(AI237:AV237&lt;&gt;""),AI237:AV237))</t>
        </is>
      </c>
      <c r="AE237" s="49" t="inlineStr">
        <is>
          <t>IF(OR(F237="",COUNT(AI237:AV237)&lt;2),"",LOOKUP(2,1/(AI237:AV237&lt;&gt;""),AI237:AV237)-MIN(AI237:AV237))</t>
        </is>
      </c>
      <c r="AF237" s="49" t="inlineStr">
        <is>
          <t>IF(OR(AD237="",AC237="Not started",AC237=""),"",IFERROR(AD237-IF(VLOOKUP(AC237,'06_Status_Pipeline'!$B$3:$E$20,4,FALSE)="",0,VLOOKUP(AC237,'06_Status_Pipeline'!$B$3:$E$20,4,FALSE)),""))</t>
        </is>
      </c>
      <c r="AG237" s="42" t="inlineStr">
        <is>
          <t>IF(F237="","",IF(OR(AA237="Cancelled",AC237="Cancelled"),"Cancelled",IF(OR(AC237="Completed / Handover",Y237&lt;&gt;"",Z237&gt;=100),"Completed — on track",IF(O237="Not awarded",IF(U237="",IF(X237="","No planned date",IF(TODAY()&gt;X237,"Behind — past planned date",IF(X237-TODAY()&lt;=30,"At risk — close to off track","On track"))),IF(TODAY()&gt;U237,"Behind — award date passed",IF(U237-TODAY()&lt;=30,"At risk — close to off track","On track"))),IF(X237="","No planned date",IF(AND(TODAY()&gt;X237,OR(Z237="",Z237&lt;100)),"Behind — past end date",IF(AND(T237&lt;&gt;"",X237&lt;&gt;"",Z237&lt;&gt;"",(Z237&lt;100),((TODAY()-T237)/MAX(X237-T237,1)*100)-Z237&gt;15),"Behind — progress lag",IF(AND(X237-TODAY()&lt;=30,X237-TODAY()&gt;=0,OR(Z237="",Z237&lt;90)),"At risk — close to off track","On track"))))))))</t>
        </is>
      </c>
      <c r="AH237" s="49" t="inlineStr">
        <is>
          <t>IF(OR(F237="",AC237="Completed / Handover",AC237="Cancelled"),"",IF(O237="Not awarded",IF(U237&lt;&gt;"",U237-TODAY(),IF(X237="","",X237-TODAY())),IF(X237="","",X237-TODAY())))</t>
        </is>
      </c>
      <c r="AI237" s="47" t="n"/>
      <c r="AJ237" s="47" t="n"/>
      <c r="AK237" s="47" t="n"/>
      <c r="AL237" s="47" t="n"/>
      <c r="AM237" s="47" t="n"/>
      <c r="AN237" s="47" t="n"/>
      <c r="AO237" s="47" t="n"/>
      <c r="AP237" s="47" t="n"/>
      <c r="AQ237" s="47" t="n"/>
      <c r="AR237" s="47" t="n"/>
      <c r="AS237" s="47" t="n"/>
      <c r="AT237" s="50" t="n"/>
      <c r="AU237" s="50" t="n"/>
      <c r="AV237" s="50" t="n"/>
      <c r="AW237" s="49" t="inlineStr">
        <is>
          <t>IF(OR(F237="",AJ237=""),"",IF(COUNT(AI237:AI237)=0,"",AJ237-LOOKUP(2,1/(AI237:AI237&lt;&gt;""),AI237:AI237)))</t>
        </is>
      </c>
      <c r="AX237" s="49" t="inlineStr">
        <is>
          <t>IF(OR(F237="",AK237=""),"",IF(COUNT(AI237:AJ237)=0,"",AK237-LOOKUP(2,1/(AI237:AJ237&lt;&gt;""),AI237:AJ237)))</t>
        </is>
      </c>
      <c r="AY237" s="49" t="inlineStr">
        <is>
          <t>IF(OR(F237="",AL237=""),"",IF(COUNT(AI237:AK237)=0,"",AL237-LOOKUP(2,1/(AI237:AK237&lt;&gt;""),AI237:AK237)))</t>
        </is>
      </c>
      <c r="AZ237" s="49" t="inlineStr">
        <is>
          <t>IF(OR(F237="",AM237=""),"",IF(COUNT(AI237:AL237)=0,"",AM237-LOOKUP(2,1/(AI237:AL237&lt;&gt;""),AI237:AL237)))</t>
        </is>
      </c>
      <c r="BA237" s="49" t="inlineStr">
        <is>
          <t>IF(OR(F237="",AN237=""),"",IF(COUNT(AI237:AM237)=0,"",AN237-LOOKUP(2,1/(AI237:AM237&lt;&gt;""),AI237:AM237)))</t>
        </is>
      </c>
      <c r="BB237" s="49" t="inlineStr">
        <is>
          <t>IF(OR(F237="",AO237=""),"",IF(COUNT(AI237:AN237)=0,"",AO237-LOOKUP(2,1/(AI237:AN237&lt;&gt;""),AI237:AN237)))</t>
        </is>
      </c>
      <c r="BC237" s="49" t="inlineStr">
        <is>
          <t>IF(OR(F237="",AP237=""),"",IF(COUNT(AI237:AO237)=0,"",AP237-LOOKUP(2,1/(AI237:AO237&lt;&gt;""),AI237:AO237)))</t>
        </is>
      </c>
      <c r="BD237" s="49" t="inlineStr">
        <is>
          <t>IF(OR(F237="",AQ237=""),"",IF(COUNT(AI237:AP237)=0,"",AQ237-LOOKUP(2,1/(AI237:AP237&lt;&gt;""),AI237:AP237)))</t>
        </is>
      </c>
      <c r="BE237" s="49" t="inlineStr">
        <is>
          <t>IF(OR(F237="",AR237=""),"",IF(COUNT(AI237:AQ237)=0,"",AR237-LOOKUP(2,1/(AI237:AQ237&lt;&gt;""),AI237:AQ237)))</t>
        </is>
      </c>
      <c r="BF237" s="49" t="inlineStr">
        <is>
          <t>IF(OR(F237="",AS237=""),"",IF(COUNT(AI237:AR237)=0,"",AS237-LOOKUP(2,1/(AI237:AR237&lt;&gt;""),AI237:AR237)))</t>
        </is>
      </c>
      <c r="BG237" s="49" t="inlineStr">
        <is>
          <t>IF(OR(F237="",AT237=""),"",IF(COUNT(AI237:AS237)=0,"",AT237-LOOKUP(2,1/(AI237:AS237&lt;&gt;""),AI237:AS237)))</t>
        </is>
      </c>
      <c r="BH237" s="49" t="inlineStr">
        <is>
          <t>IF(OR(F237="",AU237=""),"",IF(COUNT(AI237:AT237)=0,"",AU237-LOOKUP(2,1/(AI237:AT237&lt;&gt;""),AI237:AT237)))</t>
        </is>
      </c>
      <c r="BI237" s="49" t="inlineStr">
        <is>
          <t>IF(OR(F237="",AV237=""),"",IF(COUNT(AI237:AU237)=0,"",AV237-LOOKUP(2,1/(AI237:AU237&lt;&gt;""),AI237:AU237)))</t>
        </is>
      </c>
      <c r="BJ237" s="51" t="inlineStr">
        <is>
          <t>IF(J237="","All_Provinces",IFERROR(VLOOKUP(J237,'09_Lookups'!$A$4:$B$20,2,FALSE),"All_Provinces"))</t>
        </is>
      </c>
      <c r="BK237" s="51" t="inlineStr">
        <is>
          <t>IF(K237="","All_Districts",IFERROR(VLOOKUP(K237,'09_Lookups'!$E$4:$F$42,2,FALSE),"All_Districts"))</t>
        </is>
      </c>
    </row>
    <row r="238" outlineLevel="1" ht="18" customHeight="1">
      <c r="A238" s="42" t="inlineStr">
        <is>
          <t>IF(F238="","",ROW()-3)</t>
        </is>
      </c>
      <c r="B238" s="43" t="inlineStr">
        <is>
          <t>AF2-LLL-ALL</t>
        </is>
      </c>
      <c r="C238" s="43" t="inlineStr">
        <is>
          <t>EFSP-AF2 LLL supply and delivery (50 units)</t>
        </is>
      </c>
      <c r="D238" s="43" t="inlineStr">
        <is>
          <t>27 of 50</t>
        </is>
      </c>
      <c r="E238" s="52" t="inlineStr">
        <is>
          <t>AF2-LLL-N-027</t>
        </is>
      </c>
      <c r="F238" s="52" t="inlineStr">
        <is>
          <t>Mulakh Irrigation Scheme</t>
        </is>
      </c>
      <c r="G238" s="52" t="inlineStr">
        <is>
          <t>Laser Land Leveler (LLL)</t>
        </is>
      </c>
      <c r="H238" s="52" t="inlineStr">
        <is>
          <t>LLL unit</t>
        </is>
      </c>
      <c r="I238" s="52" t="inlineStr">
        <is>
          <t>Emergency Food Security Project (EFSP) – WBK/AF-2</t>
        </is>
      </c>
      <c r="J238" s="52" t="inlineStr">
        <is>
          <t>Southeast / Gardez</t>
        </is>
      </c>
      <c r="K238" s="52" t="inlineStr">
        <is>
          <t>Paktika</t>
        </is>
      </c>
      <c r="L238" s="52" t="inlineStr">
        <is>
          <t>Yousif Khail</t>
        </is>
      </c>
      <c r="M238" s="52" t="inlineStr">
        <is>
          <t>1 unit(s)</t>
        </is>
      </c>
      <c r="N238" s="52" t="inlineStr">
        <is>
          <t>World Bank (WBK/AF-2)</t>
        </is>
      </c>
      <c r="O238" s="52" t="inlineStr">
        <is>
          <t>Not awarded</t>
        </is>
      </c>
      <c r="P238" s="52" t="inlineStr">
        <is>
          <t>6. Supply and delivery of LLL</t>
        </is>
      </c>
      <c r="Q238" s="52" t="inlineStr"/>
      <c r="R238" s="52" t="inlineStr"/>
      <c r="S238" s="53" t="n"/>
      <c r="T238" s="46" t="inlineStr">
        <is>
          <t>IF(AQ238="","",AQ238)</t>
        </is>
      </c>
      <c r="U238" s="54" t="n">
        <v>46325</v>
      </c>
      <c r="V238" s="55" t="n"/>
      <c r="W238" s="54" t="n">
        <v>46418</v>
      </c>
      <c r="X238" s="46" t="inlineStr">
        <is>
          <t>IF(W238&lt;&gt;"",W238,IF(OR(T238="",V238=""),"",EDATE(T238,V238)))</t>
        </is>
      </c>
      <c r="Y238" s="54" t="n"/>
      <c r="Z238" s="55" t="n"/>
      <c r="AA238" s="52" t="inlineStr">
        <is>
          <t>Under Awarding</t>
        </is>
      </c>
      <c r="AB238" s="52" t="inlineStr">
        <is>
          <t>The Procurement process is initiated in April and PO will be issued late October 2026. and delivery will be done by End of December 2026 and onward in January 2027 it is planned to be distributed to the selected beneficiaries.</t>
        </is>
      </c>
      <c r="AC238" s="42" t="inlineStr">
        <is>
          <t>IF(F238="","",IF(COUNT(AI238:AV238)=0,IF(AA238="","Not started",AA238),SUBSTITUTE(LOOKUP(2,1/(AI238:AV238&lt;&gt;""),$AI$3:$AV$3),"Date: ","")))</t>
        </is>
      </c>
      <c r="AD238" s="49" t="inlineStr">
        <is>
          <t>IF(OR(F238="",COUNT(AI238:AV238)=0),"",TODAY()-LOOKUP(2,1/(AI238:AV238&lt;&gt;""),AI238:AV238))</t>
        </is>
      </c>
      <c r="AE238" s="49" t="inlineStr">
        <is>
          <t>IF(OR(F238="",COUNT(AI238:AV238)&lt;2),"",LOOKUP(2,1/(AI238:AV238&lt;&gt;""),AI238:AV238)-MIN(AI238:AV238))</t>
        </is>
      </c>
      <c r="AF238" s="49" t="inlineStr">
        <is>
          <t>IF(OR(AD238="",AC238="Not started",AC238=""),"",IFERROR(AD238-IF(VLOOKUP(AC238,'06_Status_Pipeline'!$B$3:$E$20,4,FALSE)="",0,VLOOKUP(AC238,'06_Status_Pipeline'!$B$3:$E$20,4,FALSE)),""))</t>
        </is>
      </c>
      <c r="AG238" s="42" t="inlineStr">
        <is>
          <t>IF(F238="","",IF(OR(AA238="Cancelled",AC238="Cancelled"),"Cancelled",IF(OR(AC238="Completed / Handover",Y238&lt;&gt;"",Z238&gt;=100),"Completed — on track",IF(O238="Not awarded",IF(U238="",IF(X238="","No planned date",IF(TODAY()&gt;X238,"Behind — past planned date",IF(X238-TODAY()&lt;=30,"At risk — close to off track","On track"))),IF(TODAY()&gt;U238,"Behind — award date passed",IF(U238-TODAY()&lt;=30,"At risk — close to off track","On track"))),IF(X238="","No planned date",IF(AND(TODAY()&gt;X238,OR(Z238="",Z238&lt;100)),"Behind — past end date",IF(AND(T238&lt;&gt;"",X238&lt;&gt;"",Z238&lt;&gt;"",(Z238&lt;100),((TODAY()-T238)/MAX(X238-T238,1)*100)-Z238&gt;15),"Behind — progress lag",IF(AND(X238-TODAY()&lt;=30,X238-TODAY()&gt;=0,OR(Z238="",Z238&lt;90)),"At risk — close to off track","On track"))))))))</t>
        </is>
      </c>
      <c r="AH238" s="49" t="inlineStr">
        <is>
          <t>IF(OR(F238="",AC238="Completed / Handover",AC238="Cancelled"),"",IF(O238="Not awarded",IF(U238&lt;&gt;"",U238-TODAY(),IF(X238="","",X238-TODAY())),IF(X238="","",X238-TODAY())))</t>
        </is>
      </c>
      <c r="AI238" s="54" t="n"/>
      <c r="AJ238" s="54" t="n"/>
      <c r="AK238" s="54" t="n"/>
      <c r="AL238" s="54" t="n"/>
      <c r="AM238" s="54" t="n"/>
      <c r="AN238" s="54" t="n"/>
      <c r="AO238" s="54" t="n"/>
      <c r="AP238" s="54" t="n"/>
      <c r="AQ238" s="54" t="n"/>
      <c r="AR238" s="54" t="n"/>
      <c r="AS238" s="54" t="n"/>
      <c r="AT238" s="50" t="n"/>
      <c r="AU238" s="50" t="n"/>
      <c r="AV238" s="50" t="n"/>
      <c r="AW238" s="49" t="inlineStr">
        <is>
          <t>IF(OR(F238="",AJ238=""),"",IF(COUNT(AI238:AI238)=0,"",AJ238-LOOKUP(2,1/(AI238:AI238&lt;&gt;""),AI238:AI238)))</t>
        </is>
      </c>
      <c r="AX238" s="49" t="inlineStr">
        <is>
          <t>IF(OR(F238="",AK238=""),"",IF(COUNT(AI238:AJ238)=0,"",AK238-LOOKUP(2,1/(AI238:AJ238&lt;&gt;""),AI238:AJ238)))</t>
        </is>
      </c>
      <c r="AY238" s="49" t="inlineStr">
        <is>
          <t>IF(OR(F238="",AL238=""),"",IF(COUNT(AI238:AK238)=0,"",AL238-LOOKUP(2,1/(AI238:AK238&lt;&gt;""),AI238:AK238)))</t>
        </is>
      </c>
      <c r="AZ238" s="49" t="inlineStr">
        <is>
          <t>IF(OR(F238="",AM238=""),"",IF(COUNT(AI238:AL238)=0,"",AM238-LOOKUP(2,1/(AI238:AL238&lt;&gt;""),AI238:AL238)))</t>
        </is>
      </c>
      <c r="BA238" s="49" t="inlineStr">
        <is>
          <t>IF(OR(F238="",AN238=""),"",IF(COUNT(AI238:AM238)=0,"",AN238-LOOKUP(2,1/(AI238:AM238&lt;&gt;""),AI238:AM238)))</t>
        </is>
      </c>
      <c r="BB238" s="49" t="inlineStr">
        <is>
          <t>IF(OR(F238="",AO238=""),"",IF(COUNT(AI238:AN238)=0,"",AO238-LOOKUP(2,1/(AI238:AN238&lt;&gt;""),AI238:AN238)))</t>
        </is>
      </c>
      <c r="BC238" s="49" t="inlineStr">
        <is>
          <t>IF(OR(F238="",AP238=""),"",IF(COUNT(AI238:AO238)=0,"",AP238-LOOKUP(2,1/(AI238:AO238&lt;&gt;""),AI238:AO238)))</t>
        </is>
      </c>
      <c r="BD238" s="49" t="inlineStr">
        <is>
          <t>IF(OR(F238="",AQ238=""),"",IF(COUNT(AI238:AP238)=0,"",AQ238-LOOKUP(2,1/(AI238:AP238&lt;&gt;""),AI238:AP238)))</t>
        </is>
      </c>
      <c r="BE238" s="49" t="inlineStr">
        <is>
          <t>IF(OR(F238="",AR238=""),"",IF(COUNT(AI238:AQ238)=0,"",AR238-LOOKUP(2,1/(AI238:AQ238&lt;&gt;""),AI238:AQ238)))</t>
        </is>
      </c>
      <c r="BF238" s="49" t="inlineStr">
        <is>
          <t>IF(OR(F238="",AS238=""),"",IF(COUNT(AI238:AR238)=0,"",AS238-LOOKUP(2,1/(AI238:AR238&lt;&gt;""),AI238:AR238)))</t>
        </is>
      </c>
      <c r="BG238" s="49" t="inlineStr">
        <is>
          <t>IF(OR(F238="",AT238=""),"",IF(COUNT(AI238:AS238)=0,"",AT238-LOOKUP(2,1/(AI238:AS238&lt;&gt;""),AI238:AS238)))</t>
        </is>
      </c>
      <c r="BH238" s="49" t="inlineStr">
        <is>
          <t>IF(OR(F238="",AU238=""),"",IF(COUNT(AI238:AT238)=0,"",AU238-LOOKUP(2,1/(AI238:AT238&lt;&gt;""),AI238:AT238)))</t>
        </is>
      </c>
      <c r="BI238" s="49" t="inlineStr">
        <is>
          <t>IF(OR(F238="",AV238=""),"",IF(COUNT(AI238:AU238)=0,"",AV238-LOOKUP(2,1/(AI238:AU238&lt;&gt;""),AI238:AU238)))</t>
        </is>
      </c>
      <c r="BJ238" s="51" t="inlineStr">
        <is>
          <t>IF(J238="","All_Provinces",IFERROR(VLOOKUP(J238,'09_Lookups'!$A$4:$B$20,2,FALSE),"All_Provinces"))</t>
        </is>
      </c>
      <c r="BK238" s="51" t="inlineStr">
        <is>
          <t>IF(K238="","All_Districts",IFERROR(VLOOKUP(K238,'09_Lookups'!$E$4:$F$42,2,FALSE),"All_Districts"))</t>
        </is>
      </c>
    </row>
    <row r="239" outlineLevel="1" ht="18" customHeight="1">
      <c r="A239" s="42" t="inlineStr">
        <is>
          <t>IF(F239="","",ROW()-3)</t>
        </is>
      </c>
      <c r="B239" s="43" t="inlineStr">
        <is>
          <t>AF2-LLL-ALL</t>
        </is>
      </c>
      <c r="C239" s="43" t="inlineStr">
        <is>
          <t>EFSP-AF2 LLL supply and delivery (50 units)</t>
        </is>
      </c>
      <c r="D239" s="43" t="inlineStr">
        <is>
          <t>28 of 50</t>
        </is>
      </c>
      <c r="E239" s="44" t="inlineStr">
        <is>
          <t>AF2-LLL-N-028</t>
        </is>
      </c>
      <c r="F239" s="44" t="inlineStr">
        <is>
          <t>Mulla Omar irrigation scheme</t>
        </is>
      </c>
      <c r="G239" s="44" t="inlineStr">
        <is>
          <t>Laser Land Leveler (LLL)</t>
        </is>
      </c>
      <c r="H239" s="44" t="inlineStr">
        <is>
          <t>LLL unit</t>
        </is>
      </c>
      <c r="I239" s="44" t="inlineStr">
        <is>
          <t>Emergency Food Security Project (EFSP) – WBK/AF-2</t>
        </is>
      </c>
      <c r="J239" s="44" t="inlineStr">
        <is>
          <t>North / Mazar</t>
        </is>
      </c>
      <c r="K239" s="44" t="inlineStr">
        <is>
          <t>Balklh</t>
        </is>
      </c>
      <c r="L239" s="44" t="inlineStr">
        <is>
          <t>Chimtal</t>
        </is>
      </c>
      <c r="M239" s="44" t="inlineStr">
        <is>
          <t>1 unit(s)</t>
        </is>
      </c>
      <c r="N239" s="44" t="inlineStr">
        <is>
          <t>World Bank (WBK/AF-2)</t>
        </is>
      </c>
      <c r="O239" s="44" t="inlineStr">
        <is>
          <t>Not awarded</t>
        </is>
      </c>
      <c r="P239" s="44" t="inlineStr">
        <is>
          <t>6. Supply and delivery of LLL</t>
        </is>
      </c>
      <c r="Q239" s="44" t="inlineStr"/>
      <c r="R239" s="44" t="inlineStr"/>
      <c r="S239" s="45" t="n"/>
      <c r="T239" s="46" t="inlineStr">
        <is>
          <t>IF(AQ239="","",AQ239)</t>
        </is>
      </c>
      <c r="U239" s="47" t="n">
        <v>46325</v>
      </c>
      <c r="V239" s="48" t="n"/>
      <c r="W239" s="47" t="n">
        <v>46418</v>
      </c>
      <c r="X239" s="46" t="inlineStr">
        <is>
          <t>IF(W239&lt;&gt;"",W239,IF(OR(T239="",V239=""),"",EDATE(T239,V239)))</t>
        </is>
      </c>
      <c r="Y239" s="47" t="n"/>
      <c r="Z239" s="48" t="n"/>
      <c r="AA239" s="44" t="inlineStr">
        <is>
          <t>Under Awarding</t>
        </is>
      </c>
      <c r="AB239" s="44" t="inlineStr">
        <is>
          <t>The Procurement process is initiated in April and PO will be issued late October 2026. and delivery will be done by End of December 2026 and onward in January 2027 it is planned to be distributed to the selected beneficiaries.</t>
        </is>
      </c>
      <c r="AC239" s="42" t="inlineStr">
        <is>
          <t>IF(F239="","",IF(COUNT(AI239:AV239)=0,IF(AA239="","Not started",AA239),SUBSTITUTE(LOOKUP(2,1/(AI239:AV239&lt;&gt;""),$AI$3:$AV$3),"Date: ","")))</t>
        </is>
      </c>
      <c r="AD239" s="49" t="inlineStr">
        <is>
          <t>IF(OR(F239="",COUNT(AI239:AV239)=0),"",TODAY()-LOOKUP(2,1/(AI239:AV239&lt;&gt;""),AI239:AV239))</t>
        </is>
      </c>
      <c r="AE239" s="49" t="inlineStr">
        <is>
          <t>IF(OR(F239="",COUNT(AI239:AV239)&lt;2),"",LOOKUP(2,1/(AI239:AV239&lt;&gt;""),AI239:AV239)-MIN(AI239:AV239))</t>
        </is>
      </c>
      <c r="AF239" s="49" t="inlineStr">
        <is>
          <t>IF(OR(AD239="",AC239="Not started",AC239=""),"",IFERROR(AD239-IF(VLOOKUP(AC239,'06_Status_Pipeline'!$B$3:$E$20,4,FALSE)="",0,VLOOKUP(AC239,'06_Status_Pipeline'!$B$3:$E$20,4,FALSE)),""))</t>
        </is>
      </c>
      <c r="AG239" s="42" t="inlineStr">
        <is>
          <t>IF(F239="","",IF(OR(AA239="Cancelled",AC239="Cancelled"),"Cancelled",IF(OR(AC239="Completed / Handover",Y239&lt;&gt;"",Z239&gt;=100),"Completed — on track",IF(O239="Not awarded",IF(U239="",IF(X239="","No planned date",IF(TODAY()&gt;X239,"Behind — past planned date",IF(X239-TODAY()&lt;=30,"At risk — close to off track","On track"))),IF(TODAY()&gt;U239,"Behind — award date passed",IF(U239-TODAY()&lt;=30,"At risk — close to off track","On track"))),IF(X239="","No planned date",IF(AND(TODAY()&gt;X239,OR(Z239="",Z239&lt;100)),"Behind — past end date",IF(AND(T239&lt;&gt;"",X239&lt;&gt;"",Z239&lt;&gt;"",(Z239&lt;100),((TODAY()-T239)/MAX(X239-T239,1)*100)-Z239&gt;15),"Behind — progress lag",IF(AND(X239-TODAY()&lt;=30,X239-TODAY()&gt;=0,OR(Z239="",Z239&lt;90)),"At risk — close to off track","On track"))))))))</t>
        </is>
      </c>
      <c r="AH239" s="49" t="inlineStr">
        <is>
          <t>IF(OR(F239="",AC239="Completed / Handover",AC239="Cancelled"),"",IF(O239="Not awarded",IF(U239&lt;&gt;"",U239-TODAY(),IF(X239="","",X239-TODAY())),IF(X239="","",X239-TODAY())))</t>
        </is>
      </c>
      <c r="AI239" s="47" t="n"/>
      <c r="AJ239" s="47" t="n"/>
      <c r="AK239" s="47" t="n"/>
      <c r="AL239" s="47" t="n"/>
      <c r="AM239" s="47" t="n"/>
      <c r="AN239" s="47" t="n"/>
      <c r="AO239" s="47" t="n"/>
      <c r="AP239" s="47" t="n"/>
      <c r="AQ239" s="47" t="n"/>
      <c r="AR239" s="47" t="n"/>
      <c r="AS239" s="47" t="n"/>
      <c r="AT239" s="50" t="n"/>
      <c r="AU239" s="50" t="n"/>
      <c r="AV239" s="50" t="n"/>
      <c r="AW239" s="49" t="inlineStr">
        <is>
          <t>IF(OR(F239="",AJ239=""),"",IF(COUNT(AI239:AI239)=0,"",AJ239-LOOKUP(2,1/(AI239:AI239&lt;&gt;""),AI239:AI239)))</t>
        </is>
      </c>
      <c r="AX239" s="49" t="inlineStr">
        <is>
          <t>IF(OR(F239="",AK239=""),"",IF(COUNT(AI239:AJ239)=0,"",AK239-LOOKUP(2,1/(AI239:AJ239&lt;&gt;""),AI239:AJ239)))</t>
        </is>
      </c>
      <c r="AY239" s="49" t="inlineStr">
        <is>
          <t>IF(OR(F239="",AL239=""),"",IF(COUNT(AI239:AK239)=0,"",AL239-LOOKUP(2,1/(AI239:AK239&lt;&gt;""),AI239:AK239)))</t>
        </is>
      </c>
      <c r="AZ239" s="49" t="inlineStr">
        <is>
          <t>IF(OR(F239="",AM239=""),"",IF(COUNT(AI239:AL239)=0,"",AM239-LOOKUP(2,1/(AI239:AL239&lt;&gt;""),AI239:AL239)))</t>
        </is>
      </c>
      <c r="BA239" s="49" t="inlineStr">
        <is>
          <t>IF(OR(F239="",AN239=""),"",IF(COUNT(AI239:AM239)=0,"",AN239-LOOKUP(2,1/(AI239:AM239&lt;&gt;""),AI239:AM239)))</t>
        </is>
      </c>
      <c r="BB239" s="49" t="inlineStr">
        <is>
          <t>IF(OR(F239="",AO239=""),"",IF(COUNT(AI239:AN239)=0,"",AO239-LOOKUP(2,1/(AI239:AN239&lt;&gt;""),AI239:AN239)))</t>
        </is>
      </c>
      <c r="BC239" s="49" t="inlineStr">
        <is>
          <t>IF(OR(F239="",AP239=""),"",IF(COUNT(AI239:AO239)=0,"",AP239-LOOKUP(2,1/(AI239:AO239&lt;&gt;""),AI239:AO239)))</t>
        </is>
      </c>
      <c r="BD239" s="49" t="inlineStr">
        <is>
          <t>IF(OR(F239="",AQ239=""),"",IF(COUNT(AI239:AP239)=0,"",AQ239-LOOKUP(2,1/(AI239:AP239&lt;&gt;""),AI239:AP239)))</t>
        </is>
      </c>
      <c r="BE239" s="49" t="inlineStr">
        <is>
          <t>IF(OR(F239="",AR239=""),"",IF(COUNT(AI239:AQ239)=0,"",AR239-LOOKUP(2,1/(AI239:AQ239&lt;&gt;""),AI239:AQ239)))</t>
        </is>
      </c>
      <c r="BF239" s="49" t="inlineStr">
        <is>
          <t>IF(OR(F239="",AS239=""),"",IF(COUNT(AI239:AR239)=0,"",AS239-LOOKUP(2,1/(AI239:AR239&lt;&gt;""),AI239:AR239)))</t>
        </is>
      </c>
      <c r="BG239" s="49" t="inlineStr">
        <is>
          <t>IF(OR(F239="",AT239=""),"",IF(COUNT(AI239:AS239)=0,"",AT239-LOOKUP(2,1/(AI239:AS239&lt;&gt;""),AI239:AS239)))</t>
        </is>
      </c>
      <c r="BH239" s="49" t="inlineStr">
        <is>
          <t>IF(OR(F239="",AU239=""),"",IF(COUNT(AI239:AT239)=0,"",AU239-LOOKUP(2,1/(AI239:AT239&lt;&gt;""),AI239:AT239)))</t>
        </is>
      </c>
      <c r="BI239" s="49" t="inlineStr">
        <is>
          <t>IF(OR(F239="",AV239=""),"",IF(COUNT(AI239:AU239)=0,"",AV239-LOOKUP(2,1/(AI239:AU239&lt;&gt;""),AI239:AU239)))</t>
        </is>
      </c>
      <c r="BJ239" s="51" t="inlineStr">
        <is>
          <t>IF(J239="","All_Provinces",IFERROR(VLOOKUP(J239,'09_Lookups'!$A$4:$B$20,2,FALSE),"All_Provinces"))</t>
        </is>
      </c>
      <c r="BK239" s="51" t="inlineStr">
        <is>
          <t>IF(K239="","All_Districts",IFERROR(VLOOKUP(K239,'09_Lookups'!$E$4:$F$42,2,FALSE),"All_Districts"))</t>
        </is>
      </c>
    </row>
    <row r="240" outlineLevel="1" ht="18" customHeight="1">
      <c r="A240" s="42" t="inlineStr">
        <is>
          <t>IF(F240="","",ROW()-3)</t>
        </is>
      </c>
      <c r="B240" s="43" t="inlineStr">
        <is>
          <t>AF2-LLL-ALL</t>
        </is>
      </c>
      <c r="C240" s="43" t="inlineStr">
        <is>
          <t>EFSP-AF2 LLL supply and delivery (50 units)</t>
        </is>
      </c>
      <c r="D240" s="43" t="inlineStr">
        <is>
          <t>29 of 50</t>
        </is>
      </c>
      <c r="E240" s="52" t="inlineStr">
        <is>
          <t>AF2-LLL-N-029</t>
        </is>
      </c>
      <c r="F240" s="52" t="inlineStr">
        <is>
          <t>Nahri Siraj irrigation scheme</t>
        </is>
      </c>
      <c r="G240" s="52" t="inlineStr">
        <is>
          <t>Laser Land Leveler (LLL)</t>
        </is>
      </c>
      <c r="H240" s="52" t="inlineStr">
        <is>
          <t>LLL unit</t>
        </is>
      </c>
      <c r="I240" s="52" t="inlineStr">
        <is>
          <t>Emergency Food Security Project (EFSP) – WBK/AF-2</t>
        </is>
      </c>
      <c r="J240" s="52" t="inlineStr">
        <is>
          <t>South / Kandahar</t>
        </is>
      </c>
      <c r="K240" s="52" t="inlineStr">
        <is>
          <t>Helamand</t>
        </is>
      </c>
      <c r="L240" s="52" t="inlineStr">
        <is>
          <t>Nahri Siraj</t>
        </is>
      </c>
      <c r="M240" s="52" t="inlineStr">
        <is>
          <t>1 unit(s)</t>
        </is>
      </c>
      <c r="N240" s="52" t="inlineStr">
        <is>
          <t>World Bank (WBK/AF-2)</t>
        </is>
      </c>
      <c r="O240" s="52" t="inlineStr">
        <is>
          <t>Not awarded</t>
        </is>
      </c>
      <c r="P240" s="52" t="inlineStr">
        <is>
          <t>6. Supply and delivery of LLL</t>
        </is>
      </c>
      <c r="Q240" s="52" t="inlineStr"/>
      <c r="R240" s="52" t="inlineStr"/>
      <c r="S240" s="53" t="n"/>
      <c r="T240" s="46" t="inlineStr">
        <is>
          <t>IF(AQ240="","",AQ240)</t>
        </is>
      </c>
      <c r="U240" s="54" t="n">
        <v>46325</v>
      </c>
      <c r="V240" s="55" t="n"/>
      <c r="W240" s="54" t="n">
        <v>46418</v>
      </c>
      <c r="X240" s="46" t="inlineStr">
        <is>
          <t>IF(W240&lt;&gt;"",W240,IF(OR(T240="",V240=""),"",EDATE(T240,V240)))</t>
        </is>
      </c>
      <c r="Y240" s="54" t="n"/>
      <c r="Z240" s="55" t="n"/>
      <c r="AA240" s="52" t="inlineStr">
        <is>
          <t>Under Awarding</t>
        </is>
      </c>
      <c r="AB240" s="52" t="inlineStr">
        <is>
          <t>The Procurement process is initiated in April and PO will be issued late October 2026. and delivery will be done by End of December 2026 and onward in January 2027 it is planned to be distributed to the selected beneficiaries.</t>
        </is>
      </c>
      <c r="AC240" s="42" t="inlineStr">
        <is>
          <t>IF(F240="","",IF(COUNT(AI240:AV240)=0,IF(AA240="","Not started",AA240),SUBSTITUTE(LOOKUP(2,1/(AI240:AV240&lt;&gt;""),$AI$3:$AV$3),"Date: ","")))</t>
        </is>
      </c>
      <c r="AD240" s="49" t="inlineStr">
        <is>
          <t>IF(OR(F240="",COUNT(AI240:AV240)=0),"",TODAY()-LOOKUP(2,1/(AI240:AV240&lt;&gt;""),AI240:AV240))</t>
        </is>
      </c>
      <c r="AE240" s="49" t="inlineStr">
        <is>
          <t>IF(OR(F240="",COUNT(AI240:AV240)&lt;2),"",LOOKUP(2,1/(AI240:AV240&lt;&gt;""),AI240:AV240)-MIN(AI240:AV240))</t>
        </is>
      </c>
      <c r="AF240" s="49" t="inlineStr">
        <is>
          <t>IF(OR(AD240="",AC240="Not started",AC240=""),"",IFERROR(AD240-IF(VLOOKUP(AC240,'06_Status_Pipeline'!$B$3:$E$20,4,FALSE)="",0,VLOOKUP(AC240,'06_Status_Pipeline'!$B$3:$E$20,4,FALSE)),""))</t>
        </is>
      </c>
      <c r="AG240" s="42" t="inlineStr">
        <is>
          <t>IF(F240="","",IF(OR(AA240="Cancelled",AC240="Cancelled"),"Cancelled",IF(OR(AC240="Completed / Handover",Y240&lt;&gt;"",Z240&gt;=100),"Completed — on track",IF(O240="Not awarded",IF(U240="",IF(X240="","No planned date",IF(TODAY()&gt;X240,"Behind — past planned date",IF(X240-TODAY()&lt;=30,"At risk — close to off track","On track"))),IF(TODAY()&gt;U240,"Behind — award date passed",IF(U240-TODAY()&lt;=30,"At risk — close to off track","On track"))),IF(X240="","No planned date",IF(AND(TODAY()&gt;X240,OR(Z240="",Z240&lt;100)),"Behind — past end date",IF(AND(T240&lt;&gt;"",X240&lt;&gt;"",Z240&lt;&gt;"",(Z240&lt;100),((TODAY()-T240)/MAX(X240-T240,1)*100)-Z240&gt;15),"Behind — progress lag",IF(AND(X240-TODAY()&lt;=30,X240-TODAY()&gt;=0,OR(Z240="",Z240&lt;90)),"At risk — close to off track","On track"))))))))</t>
        </is>
      </c>
      <c r="AH240" s="49" t="inlineStr">
        <is>
          <t>IF(OR(F240="",AC240="Completed / Handover",AC240="Cancelled"),"",IF(O240="Not awarded",IF(U240&lt;&gt;"",U240-TODAY(),IF(X240="","",X240-TODAY())),IF(X240="","",X240-TODAY())))</t>
        </is>
      </c>
      <c r="AI240" s="54" t="n"/>
      <c r="AJ240" s="54" t="n"/>
      <c r="AK240" s="54" t="n"/>
      <c r="AL240" s="54" t="n"/>
      <c r="AM240" s="54" t="n"/>
      <c r="AN240" s="54" t="n"/>
      <c r="AO240" s="54" t="n"/>
      <c r="AP240" s="54" t="n"/>
      <c r="AQ240" s="54" t="n"/>
      <c r="AR240" s="54" t="n"/>
      <c r="AS240" s="54" t="n"/>
      <c r="AT240" s="50" t="n"/>
      <c r="AU240" s="50" t="n"/>
      <c r="AV240" s="50" t="n"/>
      <c r="AW240" s="49" t="inlineStr">
        <is>
          <t>IF(OR(F240="",AJ240=""),"",IF(COUNT(AI240:AI240)=0,"",AJ240-LOOKUP(2,1/(AI240:AI240&lt;&gt;""),AI240:AI240)))</t>
        </is>
      </c>
      <c r="AX240" s="49" t="inlineStr">
        <is>
          <t>IF(OR(F240="",AK240=""),"",IF(COUNT(AI240:AJ240)=0,"",AK240-LOOKUP(2,1/(AI240:AJ240&lt;&gt;""),AI240:AJ240)))</t>
        </is>
      </c>
      <c r="AY240" s="49" t="inlineStr">
        <is>
          <t>IF(OR(F240="",AL240=""),"",IF(COUNT(AI240:AK240)=0,"",AL240-LOOKUP(2,1/(AI240:AK240&lt;&gt;""),AI240:AK240)))</t>
        </is>
      </c>
      <c r="AZ240" s="49" t="inlineStr">
        <is>
          <t>IF(OR(F240="",AM240=""),"",IF(COUNT(AI240:AL240)=0,"",AM240-LOOKUP(2,1/(AI240:AL240&lt;&gt;""),AI240:AL240)))</t>
        </is>
      </c>
      <c r="BA240" s="49" t="inlineStr">
        <is>
          <t>IF(OR(F240="",AN240=""),"",IF(COUNT(AI240:AM240)=0,"",AN240-LOOKUP(2,1/(AI240:AM240&lt;&gt;""),AI240:AM240)))</t>
        </is>
      </c>
      <c r="BB240" s="49" t="inlineStr">
        <is>
          <t>IF(OR(F240="",AO240=""),"",IF(COUNT(AI240:AN240)=0,"",AO240-LOOKUP(2,1/(AI240:AN240&lt;&gt;""),AI240:AN240)))</t>
        </is>
      </c>
      <c r="BC240" s="49" t="inlineStr">
        <is>
          <t>IF(OR(F240="",AP240=""),"",IF(COUNT(AI240:AO240)=0,"",AP240-LOOKUP(2,1/(AI240:AO240&lt;&gt;""),AI240:AO240)))</t>
        </is>
      </c>
      <c r="BD240" s="49" t="inlineStr">
        <is>
          <t>IF(OR(F240="",AQ240=""),"",IF(COUNT(AI240:AP240)=0,"",AQ240-LOOKUP(2,1/(AI240:AP240&lt;&gt;""),AI240:AP240)))</t>
        </is>
      </c>
      <c r="BE240" s="49" t="inlineStr">
        <is>
          <t>IF(OR(F240="",AR240=""),"",IF(COUNT(AI240:AQ240)=0,"",AR240-LOOKUP(2,1/(AI240:AQ240&lt;&gt;""),AI240:AQ240)))</t>
        </is>
      </c>
      <c r="BF240" s="49" t="inlineStr">
        <is>
          <t>IF(OR(F240="",AS240=""),"",IF(COUNT(AI240:AR240)=0,"",AS240-LOOKUP(2,1/(AI240:AR240&lt;&gt;""),AI240:AR240)))</t>
        </is>
      </c>
      <c r="BG240" s="49" t="inlineStr">
        <is>
          <t>IF(OR(F240="",AT240=""),"",IF(COUNT(AI240:AS240)=0,"",AT240-LOOKUP(2,1/(AI240:AS240&lt;&gt;""),AI240:AS240)))</t>
        </is>
      </c>
      <c r="BH240" s="49" t="inlineStr">
        <is>
          <t>IF(OR(F240="",AU240=""),"",IF(COUNT(AI240:AT240)=0,"",AU240-LOOKUP(2,1/(AI240:AT240&lt;&gt;""),AI240:AT240)))</t>
        </is>
      </c>
      <c r="BI240" s="49" t="inlineStr">
        <is>
          <t>IF(OR(F240="",AV240=""),"",IF(COUNT(AI240:AU240)=0,"",AV240-LOOKUP(2,1/(AI240:AU240&lt;&gt;""),AI240:AU240)))</t>
        </is>
      </c>
      <c r="BJ240" s="51" t="inlineStr">
        <is>
          <t>IF(J240="","All_Provinces",IFERROR(VLOOKUP(J240,'09_Lookups'!$A$4:$B$20,2,FALSE),"All_Provinces"))</t>
        </is>
      </c>
      <c r="BK240" s="51" t="inlineStr">
        <is>
          <t>IF(K240="","All_Districts",IFERROR(VLOOKUP(K240,'09_Lookups'!$E$4:$F$42,2,FALSE),"All_Districts"))</t>
        </is>
      </c>
    </row>
    <row r="241" outlineLevel="1" ht="18" customHeight="1">
      <c r="A241" s="42" t="inlineStr">
        <is>
          <t>IF(F241="","",ROW()-3)</t>
        </is>
      </c>
      <c r="B241" s="43" t="inlineStr">
        <is>
          <t>AF2-LLL-ALL</t>
        </is>
      </c>
      <c r="C241" s="43" t="inlineStr">
        <is>
          <t>EFSP-AF2 LLL supply and delivery (50 units)</t>
        </is>
      </c>
      <c r="D241" s="43" t="inlineStr">
        <is>
          <t>30 of 50</t>
        </is>
      </c>
      <c r="E241" s="44" t="inlineStr">
        <is>
          <t>AF2-LLL-N-030</t>
        </is>
      </c>
      <c r="F241" s="44" t="inlineStr">
        <is>
          <t>Naw Deh Irrigation Canal</t>
        </is>
      </c>
      <c r="G241" s="44" t="inlineStr">
        <is>
          <t>Laser Land Leveler (LLL)</t>
        </is>
      </c>
      <c r="H241" s="44" t="inlineStr">
        <is>
          <t>LLL unit</t>
        </is>
      </c>
      <c r="I241" s="44" t="inlineStr">
        <is>
          <t>Emergency Food Security Project (EFSP) – WBK/AF-2</t>
        </is>
      </c>
      <c r="J241" s="44" t="inlineStr">
        <is>
          <t>West / Herat</t>
        </is>
      </c>
      <c r="K241" s="44" t="inlineStr">
        <is>
          <t>Farah</t>
        </is>
      </c>
      <c r="L241" s="44" t="inlineStr">
        <is>
          <t>Farah</t>
        </is>
      </c>
      <c r="M241" s="44" t="inlineStr">
        <is>
          <t>1 unit(s)</t>
        </is>
      </c>
      <c r="N241" s="44" t="inlineStr">
        <is>
          <t>World Bank (WBK/AF-2)</t>
        </is>
      </c>
      <c r="O241" s="44" t="inlineStr">
        <is>
          <t>Not awarded</t>
        </is>
      </c>
      <c r="P241" s="44" t="inlineStr">
        <is>
          <t>6. Supply and delivery of LLL</t>
        </is>
      </c>
      <c r="Q241" s="44" t="inlineStr"/>
      <c r="R241" s="44" t="inlineStr"/>
      <c r="S241" s="45" t="n"/>
      <c r="T241" s="46" t="inlineStr">
        <is>
          <t>IF(AQ241="","",AQ241)</t>
        </is>
      </c>
      <c r="U241" s="47" t="n">
        <v>46325</v>
      </c>
      <c r="V241" s="48" t="n"/>
      <c r="W241" s="47" t="n">
        <v>46418</v>
      </c>
      <c r="X241" s="46" t="inlineStr">
        <is>
          <t>IF(W241&lt;&gt;"",W241,IF(OR(T241="",V241=""),"",EDATE(T241,V241)))</t>
        </is>
      </c>
      <c r="Y241" s="47" t="n"/>
      <c r="Z241" s="48" t="n"/>
      <c r="AA241" s="44" t="inlineStr">
        <is>
          <t>Under Awarding</t>
        </is>
      </c>
      <c r="AB241" s="44" t="inlineStr">
        <is>
          <t>The Procurement process is initiated in April and PO will be issued late October 2026. and delivery will be done by End of December 2026 and onward in January 2027 it is planned to be distributed to the selected beneficiaries.</t>
        </is>
      </c>
      <c r="AC241" s="42" t="inlineStr">
        <is>
          <t>IF(F241="","",IF(COUNT(AI241:AV241)=0,IF(AA241="","Not started",AA241),SUBSTITUTE(LOOKUP(2,1/(AI241:AV241&lt;&gt;""),$AI$3:$AV$3),"Date: ","")))</t>
        </is>
      </c>
      <c r="AD241" s="49" t="inlineStr">
        <is>
          <t>IF(OR(F241="",COUNT(AI241:AV241)=0),"",TODAY()-LOOKUP(2,1/(AI241:AV241&lt;&gt;""),AI241:AV241))</t>
        </is>
      </c>
      <c r="AE241" s="49" t="inlineStr">
        <is>
          <t>IF(OR(F241="",COUNT(AI241:AV241)&lt;2),"",LOOKUP(2,1/(AI241:AV241&lt;&gt;""),AI241:AV241)-MIN(AI241:AV241))</t>
        </is>
      </c>
      <c r="AF241" s="49" t="inlineStr">
        <is>
          <t>IF(OR(AD241="",AC241="Not started",AC241=""),"",IFERROR(AD241-IF(VLOOKUP(AC241,'06_Status_Pipeline'!$B$3:$E$20,4,FALSE)="",0,VLOOKUP(AC241,'06_Status_Pipeline'!$B$3:$E$20,4,FALSE)),""))</t>
        </is>
      </c>
      <c r="AG241" s="42" t="inlineStr">
        <is>
          <t>IF(F241="","",IF(OR(AA241="Cancelled",AC241="Cancelled"),"Cancelled",IF(OR(AC241="Completed / Handover",Y241&lt;&gt;"",Z241&gt;=100),"Completed — on track",IF(O241="Not awarded",IF(U241="",IF(X241="","No planned date",IF(TODAY()&gt;X241,"Behind — past planned date",IF(X241-TODAY()&lt;=30,"At risk — close to off track","On track"))),IF(TODAY()&gt;U241,"Behind — award date passed",IF(U241-TODAY()&lt;=30,"At risk — close to off track","On track"))),IF(X241="","No planned date",IF(AND(TODAY()&gt;X241,OR(Z241="",Z241&lt;100)),"Behind — past end date",IF(AND(T241&lt;&gt;"",X241&lt;&gt;"",Z241&lt;&gt;"",(Z241&lt;100),((TODAY()-T241)/MAX(X241-T241,1)*100)-Z241&gt;15),"Behind — progress lag",IF(AND(X241-TODAY()&lt;=30,X241-TODAY()&gt;=0,OR(Z241="",Z241&lt;90)),"At risk — close to off track","On track"))))))))</t>
        </is>
      </c>
      <c r="AH241" s="49" t="inlineStr">
        <is>
          <t>IF(OR(F241="",AC241="Completed / Handover",AC241="Cancelled"),"",IF(O241="Not awarded",IF(U241&lt;&gt;"",U241-TODAY(),IF(X241="","",X241-TODAY())),IF(X241="","",X241-TODAY())))</t>
        </is>
      </c>
      <c r="AI241" s="47" t="n"/>
      <c r="AJ241" s="47" t="n"/>
      <c r="AK241" s="47" t="n"/>
      <c r="AL241" s="47" t="n"/>
      <c r="AM241" s="47" t="n"/>
      <c r="AN241" s="47" t="n"/>
      <c r="AO241" s="47" t="n"/>
      <c r="AP241" s="47" t="n"/>
      <c r="AQ241" s="47" t="n"/>
      <c r="AR241" s="47" t="n"/>
      <c r="AS241" s="47" t="n"/>
      <c r="AT241" s="50" t="n"/>
      <c r="AU241" s="50" t="n"/>
      <c r="AV241" s="50" t="n"/>
      <c r="AW241" s="49" t="inlineStr">
        <is>
          <t>IF(OR(F241="",AJ241=""),"",IF(COUNT(AI241:AI241)=0,"",AJ241-LOOKUP(2,1/(AI241:AI241&lt;&gt;""),AI241:AI241)))</t>
        </is>
      </c>
      <c r="AX241" s="49" t="inlineStr">
        <is>
          <t>IF(OR(F241="",AK241=""),"",IF(COUNT(AI241:AJ241)=0,"",AK241-LOOKUP(2,1/(AI241:AJ241&lt;&gt;""),AI241:AJ241)))</t>
        </is>
      </c>
      <c r="AY241" s="49" t="inlineStr">
        <is>
          <t>IF(OR(F241="",AL241=""),"",IF(COUNT(AI241:AK241)=0,"",AL241-LOOKUP(2,1/(AI241:AK241&lt;&gt;""),AI241:AK241)))</t>
        </is>
      </c>
      <c r="AZ241" s="49" t="inlineStr">
        <is>
          <t>IF(OR(F241="",AM241=""),"",IF(COUNT(AI241:AL241)=0,"",AM241-LOOKUP(2,1/(AI241:AL241&lt;&gt;""),AI241:AL241)))</t>
        </is>
      </c>
      <c r="BA241" s="49" t="inlineStr">
        <is>
          <t>IF(OR(F241="",AN241=""),"",IF(COUNT(AI241:AM241)=0,"",AN241-LOOKUP(2,1/(AI241:AM241&lt;&gt;""),AI241:AM241)))</t>
        </is>
      </c>
      <c r="BB241" s="49" t="inlineStr">
        <is>
          <t>IF(OR(F241="",AO241=""),"",IF(COUNT(AI241:AN241)=0,"",AO241-LOOKUP(2,1/(AI241:AN241&lt;&gt;""),AI241:AN241)))</t>
        </is>
      </c>
      <c r="BC241" s="49" t="inlineStr">
        <is>
          <t>IF(OR(F241="",AP241=""),"",IF(COUNT(AI241:AO241)=0,"",AP241-LOOKUP(2,1/(AI241:AO241&lt;&gt;""),AI241:AO241)))</t>
        </is>
      </c>
      <c r="BD241" s="49" t="inlineStr">
        <is>
          <t>IF(OR(F241="",AQ241=""),"",IF(COUNT(AI241:AP241)=0,"",AQ241-LOOKUP(2,1/(AI241:AP241&lt;&gt;""),AI241:AP241)))</t>
        </is>
      </c>
      <c r="BE241" s="49" t="inlineStr">
        <is>
          <t>IF(OR(F241="",AR241=""),"",IF(COUNT(AI241:AQ241)=0,"",AR241-LOOKUP(2,1/(AI241:AQ241&lt;&gt;""),AI241:AQ241)))</t>
        </is>
      </c>
      <c r="BF241" s="49" t="inlineStr">
        <is>
          <t>IF(OR(F241="",AS241=""),"",IF(COUNT(AI241:AR241)=0,"",AS241-LOOKUP(2,1/(AI241:AR241&lt;&gt;""),AI241:AR241)))</t>
        </is>
      </c>
      <c r="BG241" s="49" t="inlineStr">
        <is>
          <t>IF(OR(F241="",AT241=""),"",IF(COUNT(AI241:AS241)=0,"",AT241-LOOKUP(2,1/(AI241:AS241&lt;&gt;""),AI241:AS241)))</t>
        </is>
      </c>
      <c r="BH241" s="49" t="inlineStr">
        <is>
          <t>IF(OR(F241="",AU241=""),"",IF(COUNT(AI241:AT241)=0,"",AU241-LOOKUP(2,1/(AI241:AT241&lt;&gt;""),AI241:AT241)))</t>
        </is>
      </c>
      <c r="BI241" s="49" t="inlineStr">
        <is>
          <t>IF(OR(F241="",AV241=""),"",IF(COUNT(AI241:AU241)=0,"",AV241-LOOKUP(2,1/(AI241:AU241&lt;&gt;""),AI241:AU241)))</t>
        </is>
      </c>
      <c r="BJ241" s="51" t="inlineStr">
        <is>
          <t>IF(J241="","All_Provinces",IFERROR(VLOOKUP(J241,'09_Lookups'!$A$4:$B$20,2,FALSE),"All_Provinces"))</t>
        </is>
      </c>
      <c r="BK241" s="51" t="inlineStr">
        <is>
          <t>IF(K241="","All_Districts",IFERROR(VLOOKUP(K241,'09_Lookups'!$E$4:$F$42,2,FALSE),"All_Districts"))</t>
        </is>
      </c>
    </row>
    <row r="242" outlineLevel="1" ht="18" customHeight="1">
      <c r="A242" s="42" t="inlineStr">
        <is>
          <t>IF(F242="","",ROW()-3)</t>
        </is>
      </c>
      <c r="B242" s="43" t="inlineStr">
        <is>
          <t>AF2-LLL-ALL</t>
        </is>
      </c>
      <c r="C242" s="43" t="inlineStr">
        <is>
          <t>EFSP-AF2 LLL supply and delivery (50 units)</t>
        </is>
      </c>
      <c r="D242" s="43" t="inlineStr">
        <is>
          <t>31 of 50</t>
        </is>
      </c>
      <c r="E242" s="52" t="inlineStr">
        <is>
          <t>AF2-LLL-N-031</t>
        </is>
      </c>
      <c r="F242" s="52" t="inlineStr">
        <is>
          <t>Noghi Irrigation Scheme</t>
        </is>
      </c>
      <c r="G242" s="52" t="inlineStr">
        <is>
          <t>Laser Land Leveler (LLL)</t>
        </is>
      </c>
      <c r="H242" s="52" t="inlineStr">
        <is>
          <t>LLL unit</t>
        </is>
      </c>
      <c r="I242" s="52" t="inlineStr">
        <is>
          <t>Emergency Food Security Project (EFSP) – WBK/AF-2</t>
        </is>
      </c>
      <c r="J242" s="52" t="inlineStr">
        <is>
          <t>Southeast / Gardez</t>
        </is>
      </c>
      <c r="K242" s="52" t="inlineStr">
        <is>
          <t>Ghazni</t>
        </is>
      </c>
      <c r="L242" s="52" t="inlineStr">
        <is>
          <t>Ghazni</t>
        </is>
      </c>
      <c r="M242" s="52" t="inlineStr">
        <is>
          <t>1 unit(s)</t>
        </is>
      </c>
      <c r="N242" s="52" t="inlineStr">
        <is>
          <t>World Bank (WBK/AF-2)</t>
        </is>
      </c>
      <c r="O242" s="52" t="inlineStr">
        <is>
          <t>Not awarded</t>
        </is>
      </c>
      <c r="P242" s="52" t="inlineStr">
        <is>
          <t>6. Supply and delivery of LLL</t>
        </is>
      </c>
      <c r="Q242" s="52" t="inlineStr"/>
      <c r="R242" s="52" t="inlineStr"/>
      <c r="S242" s="53" t="n"/>
      <c r="T242" s="46" t="inlineStr">
        <is>
          <t>IF(AQ242="","",AQ242)</t>
        </is>
      </c>
      <c r="U242" s="54" t="n">
        <v>46325</v>
      </c>
      <c r="V242" s="55" t="n"/>
      <c r="W242" s="54" t="n">
        <v>46418</v>
      </c>
      <c r="X242" s="46" t="inlineStr">
        <is>
          <t>IF(W242&lt;&gt;"",W242,IF(OR(T242="",V242=""),"",EDATE(T242,V242)))</t>
        </is>
      </c>
      <c r="Y242" s="54" t="n"/>
      <c r="Z242" s="55" t="n"/>
      <c r="AA242" s="52" t="inlineStr">
        <is>
          <t>Under Awarding</t>
        </is>
      </c>
      <c r="AB242" s="52" t="inlineStr">
        <is>
          <t>The Procurement process is initiated in April and PO will be issued late October 2026. and delivery will be done by End of December 2026 and onward in January 2027 it is planned to be distributed to the selected beneficiaries.</t>
        </is>
      </c>
      <c r="AC242" s="42" t="inlineStr">
        <is>
          <t>IF(F242="","",IF(COUNT(AI242:AV242)=0,IF(AA242="","Not started",AA242),SUBSTITUTE(LOOKUP(2,1/(AI242:AV242&lt;&gt;""),$AI$3:$AV$3),"Date: ","")))</t>
        </is>
      </c>
      <c r="AD242" s="49" t="inlineStr">
        <is>
          <t>IF(OR(F242="",COUNT(AI242:AV242)=0),"",TODAY()-LOOKUP(2,1/(AI242:AV242&lt;&gt;""),AI242:AV242))</t>
        </is>
      </c>
      <c r="AE242" s="49" t="inlineStr">
        <is>
          <t>IF(OR(F242="",COUNT(AI242:AV242)&lt;2),"",LOOKUP(2,1/(AI242:AV242&lt;&gt;""),AI242:AV242)-MIN(AI242:AV242))</t>
        </is>
      </c>
      <c r="AF242" s="49" t="inlineStr">
        <is>
          <t>IF(OR(AD242="",AC242="Not started",AC242=""),"",IFERROR(AD242-IF(VLOOKUP(AC242,'06_Status_Pipeline'!$B$3:$E$20,4,FALSE)="",0,VLOOKUP(AC242,'06_Status_Pipeline'!$B$3:$E$20,4,FALSE)),""))</t>
        </is>
      </c>
      <c r="AG242" s="42" t="inlineStr">
        <is>
          <t>IF(F242="","",IF(OR(AA242="Cancelled",AC242="Cancelled"),"Cancelled",IF(OR(AC242="Completed / Handover",Y242&lt;&gt;"",Z242&gt;=100),"Completed — on track",IF(O242="Not awarded",IF(U242="",IF(X242="","No planned date",IF(TODAY()&gt;X242,"Behind — past planned date",IF(X242-TODAY()&lt;=30,"At risk — close to off track","On track"))),IF(TODAY()&gt;U242,"Behind — award date passed",IF(U242-TODAY()&lt;=30,"At risk — close to off track","On track"))),IF(X242="","No planned date",IF(AND(TODAY()&gt;X242,OR(Z242="",Z242&lt;100)),"Behind — past end date",IF(AND(T242&lt;&gt;"",X242&lt;&gt;"",Z242&lt;&gt;"",(Z242&lt;100),((TODAY()-T242)/MAX(X242-T242,1)*100)-Z242&gt;15),"Behind — progress lag",IF(AND(X242-TODAY()&lt;=30,X242-TODAY()&gt;=0,OR(Z242="",Z242&lt;90)),"At risk — close to off track","On track"))))))))</t>
        </is>
      </c>
      <c r="AH242" s="49" t="inlineStr">
        <is>
          <t>IF(OR(F242="",AC242="Completed / Handover",AC242="Cancelled"),"",IF(O242="Not awarded",IF(U242&lt;&gt;"",U242-TODAY(),IF(X242="","",X242-TODAY())),IF(X242="","",X242-TODAY())))</t>
        </is>
      </c>
      <c r="AI242" s="54" t="n"/>
      <c r="AJ242" s="54" t="n"/>
      <c r="AK242" s="54" t="n"/>
      <c r="AL242" s="54" t="n"/>
      <c r="AM242" s="54" t="n"/>
      <c r="AN242" s="54" t="n"/>
      <c r="AO242" s="54" t="n"/>
      <c r="AP242" s="54" t="n"/>
      <c r="AQ242" s="54" t="n"/>
      <c r="AR242" s="54" t="n"/>
      <c r="AS242" s="54" t="n"/>
      <c r="AT242" s="50" t="n"/>
      <c r="AU242" s="50" t="n"/>
      <c r="AV242" s="50" t="n"/>
      <c r="AW242" s="49" t="inlineStr">
        <is>
          <t>IF(OR(F242="",AJ242=""),"",IF(COUNT(AI242:AI242)=0,"",AJ242-LOOKUP(2,1/(AI242:AI242&lt;&gt;""),AI242:AI242)))</t>
        </is>
      </c>
      <c r="AX242" s="49" t="inlineStr">
        <is>
          <t>IF(OR(F242="",AK242=""),"",IF(COUNT(AI242:AJ242)=0,"",AK242-LOOKUP(2,1/(AI242:AJ242&lt;&gt;""),AI242:AJ242)))</t>
        </is>
      </c>
      <c r="AY242" s="49" t="inlineStr">
        <is>
          <t>IF(OR(F242="",AL242=""),"",IF(COUNT(AI242:AK242)=0,"",AL242-LOOKUP(2,1/(AI242:AK242&lt;&gt;""),AI242:AK242)))</t>
        </is>
      </c>
      <c r="AZ242" s="49" t="inlineStr">
        <is>
          <t>IF(OR(F242="",AM242=""),"",IF(COUNT(AI242:AL242)=0,"",AM242-LOOKUP(2,1/(AI242:AL242&lt;&gt;""),AI242:AL242)))</t>
        </is>
      </c>
      <c r="BA242" s="49" t="inlineStr">
        <is>
          <t>IF(OR(F242="",AN242=""),"",IF(COUNT(AI242:AM242)=0,"",AN242-LOOKUP(2,1/(AI242:AM242&lt;&gt;""),AI242:AM242)))</t>
        </is>
      </c>
      <c r="BB242" s="49" t="inlineStr">
        <is>
          <t>IF(OR(F242="",AO242=""),"",IF(COUNT(AI242:AN242)=0,"",AO242-LOOKUP(2,1/(AI242:AN242&lt;&gt;""),AI242:AN242)))</t>
        </is>
      </c>
      <c r="BC242" s="49" t="inlineStr">
        <is>
          <t>IF(OR(F242="",AP242=""),"",IF(COUNT(AI242:AO242)=0,"",AP242-LOOKUP(2,1/(AI242:AO242&lt;&gt;""),AI242:AO242)))</t>
        </is>
      </c>
      <c r="BD242" s="49" t="inlineStr">
        <is>
          <t>IF(OR(F242="",AQ242=""),"",IF(COUNT(AI242:AP242)=0,"",AQ242-LOOKUP(2,1/(AI242:AP242&lt;&gt;""),AI242:AP242)))</t>
        </is>
      </c>
      <c r="BE242" s="49" t="inlineStr">
        <is>
          <t>IF(OR(F242="",AR242=""),"",IF(COUNT(AI242:AQ242)=0,"",AR242-LOOKUP(2,1/(AI242:AQ242&lt;&gt;""),AI242:AQ242)))</t>
        </is>
      </c>
      <c r="BF242" s="49" t="inlineStr">
        <is>
          <t>IF(OR(F242="",AS242=""),"",IF(COUNT(AI242:AR242)=0,"",AS242-LOOKUP(2,1/(AI242:AR242&lt;&gt;""),AI242:AR242)))</t>
        </is>
      </c>
      <c r="BG242" s="49" t="inlineStr">
        <is>
          <t>IF(OR(F242="",AT242=""),"",IF(COUNT(AI242:AS242)=0,"",AT242-LOOKUP(2,1/(AI242:AS242&lt;&gt;""),AI242:AS242)))</t>
        </is>
      </c>
      <c r="BH242" s="49" t="inlineStr">
        <is>
          <t>IF(OR(F242="",AU242=""),"",IF(COUNT(AI242:AT242)=0,"",AU242-LOOKUP(2,1/(AI242:AT242&lt;&gt;""),AI242:AT242)))</t>
        </is>
      </c>
      <c r="BI242" s="49" t="inlineStr">
        <is>
          <t>IF(OR(F242="",AV242=""),"",IF(COUNT(AI242:AU242)=0,"",AV242-LOOKUP(2,1/(AI242:AU242&lt;&gt;""),AI242:AU242)))</t>
        </is>
      </c>
      <c r="BJ242" s="51" t="inlineStr">
        <is>
          <t>IF(J242="","All_Provinces",IFERROR(VLOOKUP(J242,'09_Lookups'!$A$4:$B$20,2,FALSE),"All_Provinces"))</t>
        </is>
      </c>
      <c r="BK242" s="51" t="inlineStr">
        <is>
          <t>IF(K242="","All_Districts",IFERROR(VLOOKUP(K242,'09_Lookups'!$E$4:$F$42,2,FALSE),"All_Districts"))</t>
        </is>
      </c>
    </row>
    <row r="243" outlineLevel="1" ht="18" customHeight="1">
      <c r="A243" s="42" t="inlineStr">
        <is>
          <t>IF(F243="","",ROW()-3)</t>
        </is>
      </c>
      <c r="B243" s="43" t="inlineStr">
        <is>
          <t>AF2-LLL-ALL</t>
        </is>
      </c>
      <c r="C243" s="43" t="inlineStr">
        <is>
          <t>EFSP-AF2 LLL supply and delivery (50 units)</t>
        </is>
      </c>
      <c r="D243" s="43" t="inlineStr">
        <is>
          <t>32 of 50</t>
        </is>
      </c>
      <c r="E243" s="44" t="inlineStr">
        <is>
          <t>AF2-LLL-N-032</t>
        </is>
      </c>
      <c r="F243" s="44" t="inlineStr">
        <is>
          <t>Pachajoy irrigation scheme</t>
        </is>
      </c>
      <c r="G243" s="44" t="inlineStr">
        <is>
          <t>Laser Land Leveler (LLL)</t>
        </is>
      </c>
      <c r="H243" s="44" t="inlineStr">
        <is>
          <t>LLL unit</t>
        </is>
      </c>
      <c r="I243" s="44" t="inlineStr">
        <is>
          <t>Emergency Food Security Project (EFSP) – WBK/AF-2</t>
        </is>
      </c>
      <c r="J243" s="44" t="inlineStr">
        <is>
          <t>East / Jalalabad</t>
        </is>
      </c>
      <c r="K243" s="44" t="inlineStr">
        <is>
          <t>Laghman</t>
        </is>
      </c>
      <c r="L243" s="44" t="inlineStr">
        <is>
          <t>Mehtherlam</t>
        </is>
      </c>
      <c r="M243" s="44" t="inlineStr">
        <is>
          <t>1 unit(s)</t>
        </is>
      </c>
      <c r="N243" s="44" t="inlineStr">
        <is>
          <t>World Bank (WBK/AF-2)</t>
        </is>
      </c>
      <c r="O243" s="44" t="inlineStr">
        <is>
          <t>Not awarded</t>
        </is>
      </c>
      <c r="P243" s="44" t="inlineStr">
        <is>
          <t>6. Supply and delivery of LLL</t>
        </is>
      </c>
      <c r="Q243" s="44" t="inlineStr"/>
      <c r="R243" s="44" t="inlineStr"/>
      <c r="S243" s="45" t="n"/>
      <c r="T243" s="46" t="inlineStr">
        <is>
          <t>IF(AQ243="","",AQ243)</t>
        </is>
      </c>
      <c r="U243" s="47" t="n">
        <v>46325</v>
      </c>
      <c r="V243" s="48" t="n"/>
      <c r="W243" s="47" t="n">
        <v>46418</v>
      </c>
      <c r="X243" s="46" t="inlineStr">
        <is>
          <t>IF(W243&lt;&gt;"",W243,IF(OR(T243="",V243=""),"",EDATE(T243,V243)))</t>
        </is>
      </c>
      <c r="Y243" s="47" t="n"/>
      <c r="Z243" s="48" t="n"/>
      <c r="AA243" s="44" t="inlineStr">
        <is>
          <t>Under Awarding</t>
        </is>
      </c>
      <c r="AB243" s="44" t="inlineStr">
        <is>
          <t>The Procurement process is initiated in April and PO will be issued late October 2026. and delivery will be done by End of December 2026 and onward in January 2027 it is planned to be distributed to the selected beneficiaries.</t>
        </is>
      </c>
      <c r="AC243" s="42" t="inlineStr">
        <is>
          <t>IF(F243="","",IF(COUNT(AI243:AV243)=0,IF(AA243="","Not started",AA243),SUBSTITUTE(LOOKUP(2,1/(AI243:AV243&lt;&gt;""),$AI$3:$AV$3),"Date: ","")))</t>
        </is>
      </c>
      <c r="AD243" s="49" t="inlineStr">
        <is>
          <t>IF(OR(F243="",COUNT(AI243:AV243)=0),"",TODAY()-LOOKUP(2,1/(AI243:AV243&lt;&gt;""),AI243:AV243))</t>
        </is>
      </c>
      <c r="AE243" s="49" t="inlineStr">
        <is>
          <t>IF(OR(F243="",COUNT(AI243:AV243)&lt;2),"",LOOKUP(2,1/(AI243:AV243&lt;&gt;""),AI243:AV243)-MIN(AI243:AV243))</t>
        </is>
      </c>
      <c r="AF243" s="49" t="inlineStr">
        <is>
          <t>IF(OR(AD243="",AC243="Not started",AC243=""),"",IFERROR(AD243-IF(VLOOKUP(AC243,'06_Status_Pipeline'!$B$3:$E$20,4,FALSE)="",0,VLOOKUP(AC243,'06_Status_Pipeline'!$B$3:$E$20,4,FALSE)),""))</t>
        </is>
      </c>
      <c r="AG243" s="42" t="inlineStr">
        <is>
          <t>IF(F243="","",IF(OR(AA243="Cancelled",AC243="Cancelled"),"Cancelled",IF(OR(AC243="Completed / Handover",Y243&lt;&gt;"",Z243&gt;=100),"Completed — on track",IF(O243="Not awarded",IF(U243="",IF(X243="","No planned date",IF(TODAY()&gt;X243,"Behind — past planned date",IF(X243-TODAY()&lt;=30,"At risk — close to off track","On track"))),IF(TODAY()&gt;U243,"Behind — award date passed",IF(U243-TODAY()&lt;=30,"At risk — close to off track","On track"))),IF(X243="","No planned date",IF(AND(TODAY()&gt;X243,OR(Z243="",Z243&lt;100)),"Behind — past end date",IF(AND(T243&lt;&gt;"",X243&lt;&gt;"",Z243&lt;&gt;"",(Z243&lt;100),((TODAY()-T243)/MAX(X243-T243,1)*100)-Z243&gt;15),"Behind — progress lag",IF(AND(X243-TODAY()&lt;=30,X243-TODAY()&gt;=0,OR(Z243="",Z243&lt;90)),"At risk — close to off track","On track"))))))))</t>
        </is>
      </c>
      <c r="AH243" s="49" t="inlineStr">
        <is>
          <t>IF(OR(F243="",AC243="Completed / Handover",AC243="Cancelled"),"",IF(O243="Not awarded",IF(U243&lt;&gt;"",U243-TODAY(),IF(X243="","",X243-TODAY())),IF(X243="","",X243-TODAY())))</t>
        </is>
      </c>
      <c r="AI243" s="47" t="n"/>
      <c r="AJ243" s="47" t="n"/>
      <c r="AK243" s="47" t="n"/>
      <c r="AL243" s="47" t="n"/>
      <c r="AM243" s="47" t="n"/>
      <c r="AN243" s="47" t="n"/>
      <c r="AO243" s="47" t="n"/>
      <c r="AP243" s="47" t="n"/>
      <c r="AQ243" s="47" t="n"/>
      <c r="AR243" s="47" t="n"/>
      <c r="AS243" s="47" t="n"/>
      <c r="AT243" s="50" t="n"/>
      <c r="AU243" s="50" t="n"/>
      <c r="AV243" s="50" t="n"/>
      <c r="AW243" s="49" t="inlineStr">
        <is>
          <t>IF(OR(F243="",AJ243=""),"",IF(COUNT(AI243:AI243)=0,"",AJ243-LOOKUP(2,1/(AI243:AI243&lt;&gt;""),AI243:AI243)))</t>
        </is>
      </c>
      <c r="AX243" s="49" t="inlineStr">
        <is>
          <t>IF(OR(F243="",AK243=""),"",IF(COUNT(AI243:AJ243)=0,"",AK243-LOOKUP(2,1/(AI243:AJ243&lt;&gt;""),AI243:AJ243)))</t>
        </is>
      </c>
      <c r="AY243" s="49" t="inlineStr">
        <is>
          <t>IF(OR(F243="",AL243=""),"",IF(COUNT(AI243:AK243)=0,"",AL243-LOOKUP(2,1/(AI243:AK243&lt;&gt;""),AI243:AK243)))</t>
        </is>
      </c>
      <c r="AZ243" s="49" t="inlineStr">
        <is>
          <t>IF(OR(F243="",AM243=""),"",IF(COUNT(AI243:AL243)=0,"",AM243-LOOKUP(2,1/(AI243:AL243&lt;&gt;""),AI243:AL243)))</t>
        </is>
      </c>
      <c r="BA243" s="49" t="inlineStr">
        <is>
          <t>IF(OR(F243="",AN243=""),"",IF(COUNT(AI243:AM243)=0,"",AN243-LOOKUP(2,1/(AI243:AM243&lt;&gt;""),AI243:AM243)))</t>
        </is>
      </c>
      <c r="BB243" s="49" t="inlineStr">
        <is>
          <t>IF(OR(F243="",AO243=""),"",IF(COUNT(AI243:AN243)=0,"",AO243-LOOKUP(2,1/(AI243:AN243&lt;&gt;""),AI243:AN243)))</t>
        </is>
      </c>
      <c r="BC243" s="49" t="inlineStr">
        <is>
          <t>IF(OR(F243="",AP243=""),"",IF(COUNT(AI243:AO243)=0,"",AP243-LOOKUP(2,1/(AI243:AO243&lt;&gt;""),AI243:AO243)))</t>
        </is>
      </c>
      <c r="BD243" s="49" t="inlineStr">
        <is>
          <t>IF(OR(F243="",AQ243=""),"",IF(COUNT(AI243:AP243)=0,"",AQ243-LOOKUP(2,1/(AI243:AP243&lt;&gt;""),AI243:AP243)))</t>
        </is>
      </c>
      <c r="BE243" s="49" t="inlineStr">
        <is>
          <t>IF(OR(F243="",AR243=""),"",IF(COUNT(AI243:AQ243)=0,"",AR243-LOOKUP(2,1/(AI243:AQ243&lt;&gt;""),AI243:AQ243)))</t>
        </is>
      </c>
      <c r="BF243" s="49" t="inlineStr">
        <is>
          <t>IF(OR(F243="",AS243=""),"",IF(COUNT(AI243:AR243)=0,"",AS243-LOOKUP(2,1/(AI243:AR243&lt;&gt;""),AI243:AR243)))</t>
        </is>
      </c>
      <c r="BG243" s="49" t="inlineStr">
        <is>
          <t>IF(OR(F243="",AT243=""),"",IF(COUNT(AI243:AS243)=0,"",AT243-LOOKUP(2,1/(AI243:AS243&lt;&gt;""),AI243:AS243)))</t>
        </is>
      </c>
      <c r="BH243" s="49" t="inlineStr">
        <is>
          <t>IF(OR(F243="",AU243=""),"",IF(COUNT(AI243:AT243)=0,"",AU243-LOOKUP(2,1/(AI243:AT243&lt;&gt;""),AI243:AT243)))</t>
        </is>
      </c>
      <c r="BI243" s="49" t="inlineStr">
        <is>
          <t>IF(OR(F243="",AV243=""),"",IF(COUNT(AI243:AU243)=0,"",AV243-LOOKUP(2,1/(AI243:AU243&lt;&gt;""),AI243:AU243)))</t>
        </is>
      </c>
      <c r="BJ243" s="51" t="inlineStr">
        <is>
          <t>IF(J243="","All_Provinces",IFERROR(VLOOKUP(J243,'09_Lookups'!$A$4:$B$20,2,FALSE),"All_Provinces"))</t>
        </is>
      </c>
      <c r="BK243" s="51" t="inlineStr">
        <is>
          <t>IF(K243="","All_Districts",IFERROR(VLOOKUP(K243,'09_Lookups'!$E$4:$F$42,2,FALSE),"All_Districts"))</t>
        </is>
      </c>
    </row>
    <row r="244" outlineLevel="1" ht="18" customHeight="1">
      <c r="A244" s="42" t="inlineStr">
        <is>
          <t>IF(F244="","",ROW()-3)</t>
        </is>
      </c>
      <c r="B244" s="43" t="inlineStr">
        <is>
          <t>AF2-LLL-ALL</t>
        </is>
      </c>
      <c r="C244" s="43" t="inlineStr">
        <is>
          <t>EFSP-AF2 LLL supply and delivery (50 units)</t>
        </is>
      </c>
      <c r="D244" s="43" t="inlineStr">
        <is>
          <t>33 of 50</t>
        </is>
      </c>
      <c r="E244" s="52" t="inlineStr">
        <is>
          <t>AF2-LLL-N-033</t>
        </is>
      </c>
      <c r="F244" s="52" t="inlineStr">
        <is>
          <t>Patab irrigation scheme</t>
        </is>
      </c>
      <c r="G244" s="52" t="inlineStr">
        <is>
          <t>Laser Land Leveler (LLL)</t>
        </is>
      </c>
      <c r="H244" s="52" t="inlineStr">
        <is>
          <t>LLL unit</t>
        </is>
      </c>
      <c r="I244" s="52" t="inlineStr">
        <is>
          <t>Emergency Food Security Project (EFSP) – WBK/AF-2</t>
        </is>
      </c>
      <c r="J244" s="52" t="inlineStr">
        <is>
          <t>South / Kandahar</t>
        </is>
      </c>
      <c r="K244" s="52" t="inlineStr">
        <is>
          <t>Urozgan</t>
        </is>
      </c>
      <c r="L244" s="52" t="inlineStr">
        <is>
          <t>Khas Urozgan</t>
        </is>
      </c>
      <c r="M244" s="52" t="inlineStr">
        <is>
          <t>1 unit(s)</t>
        </is>
      </c>
      <c r="N244" s="52" t="inlineStr">
        <is>
          <t>World Bank (WBK/AF-2)</t>
        </is>
      </c>
      <c r="O244" s="52" t="inlineStr">
        <is>
          <t>Not awarded</t>
        </is>
      </c>
      <c r="P244" s="52" t="inlineStr">
        <is>
          <t>6. Supply and delivery of LLL</t>
        </is>
      </c>
      <c r="Q244" s="52" t="inlineStr"/>
      <c r="R244" s="52" t="inlineStr"/>
      <c r="S244" s="53" t="n"/>
      <c r="T244" s="46" t="inlineStr">
        <is>
          <t>IF(AQ244="","",AQ244)</t>
        </is>
      </c>
      <c r="U244" s="54" t="n">
        <v>46325</v>
      </c>
      <c r="V244" s="55" t="n"/>
      <c r="W244" s="54" t="n">
        <v>46418</v>
      </c>
      <c r="X244" s="46" t="inlineStr">
        <is>
          <t>IF(W244&lt;&gt;"",W244,IF(OR(T244="",V244=""),"",EDATE(T244,V244)))</t>
        </is>
      </c>
      <c r="Y244" s="54" t="n"/>
      <c r="Z244" s="55" t="n"/>
      <c r="AA244" s="52" t="inlineStr">
        <is>
          <t>Under Awarding</t>
        </is>
      </c>
      <c r="AB244" s="52" t="inlineStr">
        <is>
          <t>The Procurement process is initiated in April and PO will be issued late October 2026. and delivery will be done by End of December 2026 and onward in January 2027 it is planned to be distributed to the selected beneficiaries.</t>
        </is>
      </c>
      <c r="AC244" s="42" t="inlineStr">
        <is>
          <t>IF(F244="","",IF(COUNT(AI244:AV244)=0,IF(AA244="","Not started",AA244),SUBSTITUTE(LOOKUP(2,1/(AI244:AV244&lt;&gt;""),$AI$3:$AV$3),"Date: ","")))</t>
        </is>
      </c>
      <c r="AD244" s="49" t="inlineStr">
        <is>
          <t>IF(OR(F244="",COUNT(AI244:AV244)=0),"",TODAY()-LOOKUP(2,1/(AI244:AV244&lt;&gt;""),AI244:AV244))</t>
        </is>
      </c>
      <c r="AE244" s="49" t="inlineStr">
        <is>
          <t>IF(OR(F244="",COUNT(AI244:AV244)&lt;2),"",LOOKUP(2,1/(AI244:AV244&lt;&gt;""),AI244:AV244)-MIN(AI244:AV244))</t>
        </is>
      </c>
      <c r="AF244" s="49" t="inlineStr">
        <is>
          <t>IF(OR(AD244="",AC244="Not started",AC244=""),"",IFERROR(AD244-IF(VLOOKUP(AC244,'06_Status_Pipeline'!$B$3:$E$20,4,FALSE)="",0,VLOOKUP(AC244,'06_Status_Pipeline'!$B$3:$E$20,4,FALSE)),""))</t>
        </is>
      </c>
      <c r="AG244" s="42" t="inlineStr">
        <is>
          <t>IF(F244="","",IF(OR(AA244="Cancelled",AC244="Cancelled"),"Cancelled",IF(OR(AC244="Completed / Handover",Y244&lt;&gt;"",Z244&gt;=100),"Completed — on track",IF(O244="Not awarded",IF(U244="",IF(X244="","No planned date",IF(TODAY()&gt;X244,"Behind — past planned date",IF(X244-TODAY()&lt;=30,"At risk — close to off track","On track"))),IF(TODAY()&gt;U244,"Behind — award date passed",IF(U244-TODAY()&lt;=30,"At risk — close to off track","On track"))),IF(X244="","No planned date",IF(AND(TODAY()&gt;X244,OR(Z244="",Z244&lt;100)),"Behind — past end date",IF(AND(T244&lt;&gt;"",X244&lt;&gt;"",Z244&lt;&gt;"",(Z244&lt;100),((TODAY()-T244)/MAX(X244-T244,1)*100)-Z244&gt;15),"Behind — progress lag",IF(AND(X244-TODAY()&lt;=30,X244-TODAY()&gt;=0,OR(Z244="",Z244&lt;90)),"At risk — close to off track","On track"))))))))</t>
        </is>
      </c>
      <c r="AH244" s="49" t="inlineStr">
        <is>
          <t>IF(OR(F244="",AC244="Completed / Handover",AC244="Cancelled"),"",IF(O244="Not awarded",IF(U244&lt;&gt;"",U244-TODAY(),IF(X244="","",X244-TODAY())),IF(X244="","",X244-TODAY())))</t>
        </is>
      </c>
      <c r="AI244" s="54" t="n"/>
      <c r="AJ244" s="54" t="n"/>
      <c r="AK244" s="54" t="n"/>
      <c r="AL244" s="54" t="n"/>
      <c r="AM244" s="54" t="n"/>
      <c r="AN244" s="54" t="n"/>
      <c r="AO244" s="54" t="n"/>
      <c r="AP244" s="54" t="n"/>
      <c r="AQ244" s="54" t="n"/>
      <c r="AR244" s="54" t="n"/>
      <c r="AS244" s="54" t="n"/>
      <c r="AT244" s="50" t="n"/>
      <c r="AU244" s="50" t="n"/>
      <c r="AV244" s="50" t="n"/>
      <c r="AW244" s="49" t="inlineStr">
        <is>
          <t>IF(OR(F244="",AJ244=""),"",IF(COUNT(AI244:AI244)=0,"",AJ244-LOOKUP(2,1/(AI244:AI244&lt;&gt;""),AI244:AI244)))</t>
        </is>
      </c>
      <c r="AX244" s="49" t="inlineStr">
        <is>
          <t>IF(OR(F244="",AK244=""),"",IF(COUNT(AI244:AJ244)=0,"",AK244-LOOKUP(2,1/(AI244:AJ244&lt;&gt;""),AI244:AJ244)))</t>
        </is>
      </c>
      <c r="AY244" s="49" t="inlineStr">
        <is>
          <t>IF(OR(F244="",AL244=""),"",IF(COUNT(AI244:AK244)=0,"",AL244-LOOKUP(2,1/(AI244:AK244&lt;&gt;""),AI244:AK244)))</t>
        </is>
      </c>
      <c r="AZ244" s="49" t="inlineStr">
        <is>
          <t>IF(OR(F244="",AM244=""),"",IF(COUNT(AI244:AL244)=0,"",AM244-LOOKUP(2,1/(AI244:AL244&lt;&gt;""),AI244:AL244)))</t>
        </is>
      </c>
      <c r="BA244" s="49" t="inlineStr">
        <is>
          <t>IF(OR(F244="",AN244=""),"",IF(COUNT(AI244:AM244)=0,"",AN244-LOOKUP(2,1/(AI244:AM244&lt;&gt;""),AI244:AM244)))</t>
        </is>
      </c>
      <c r="BB244" s="49" t="inlineStr">
        <is>
          <t>IF(OR(F244="",AO244=""),"",IF(COUNT(AI244:AN244)=0,"",AO244-LOOKUP(2,1/(AI244:AN244&lt;&gt;""),AI244:AN244)))</t>
        </is>
      </c>
      <c r="BC244" s="49" t="inlineStr">
        <is>
          <t>IF(OR(F244="",AP244=""),"",IF(COUNT(AI244:AO244)=0,"",AP244-LOOKUP(2,1/(AI244:AO244&lt;&gt;""),AI244:AO244)))</t>
        </is>
      </c>
      <c r="BD244" s="49" t="inlineStr">
        <is>
          <t>IF(OR(F244="",AQ244=""),"",IF(COUNT(AI244:AP244)=0,"",AQ244-LOOKUP(2,1/(AI244:AP244&lt;&gt;""),AI244:AP244)))</t>
        </is>
      </c>
      <c r="BE244" s="49" t="inlineStr">
        <is>
          <t>IF(OR(F244="",AR244=""),"",IF(COUNT(AI244:AQ244)=0,"",AR244-LOOKUP(2,1/(AI244:AQ244&lt;&gt;""),AI244:AQ244)))</t>
        </is>
      </c>
      <c r="BF244" s="49" t="inlineStr">
        <is>
          <t>IF(OR(F244="",AS244=""),"",IF(COUNT(AI244:AR244)=0,"",AS244-LOOKUP(2,1/(AI244:AR244&lt;&gt;""),AI244:AR244)))</t>
        </is>
      </c>
      <c r="BG244" s="49" t="inlineStr">
        <is>
          <t>IF(OR(F244="",AT244=""),"",IF(COUNT(AI244:AS244)=0,"",AT244-LOOKUP(2,1/(AI244:AS244&lt;&gt;""),AI244:AS244)))</t>
        </is>
      </c>
      <c r="BH244" s="49" t="inlineStr">
        <is>
          <t>IF(OR(F244="",AU244=""),"",IF(COUNT(AI244:AT244)=0,"",AU244-LOOKUP(2,1/(AI244:AT244&lt;&gt;""),AI244:AT244)))</t>
        </is>
      </c>
      <c r="BI244" s="49" t="inlineStr">
        <is>
          <t>IF(OR(F244="",AV244=""),"",IF(COUNT(AI244:AU244)=0,"",AV244-LOOKUP(2,1/(AI244:AU244&lt;&gt;""),AI244:AU244)))</t>
        </is>
      </c>
      <c r="BJ244" s="51" t="inlineStr">
        <is>
          <t>IF(J244="","All_Provinces",IFERROR(VLOOKUP(J244,'09_Lookups'!$A$4:$B$20,2,FALSE),"All_Provinces"))</t>
        </is>
      </c>
      <c r="BK244" s="51" t="inlineStr">
        <is>
          <t>IF(K244="","All_Districts",IFERROR(VLOOKUP(K244,'09_Lookups'!$E$4:$F$42,2,FALSE),"All_Districts"))</t>
        </is>
      </c>
    </row>
    <row r="245" outlineLevel="1" ht="18" customHeight="1">
      <c r="A245" s="42" t="inlineStr">
        <is>
          <t>IF(F245="","",ROW()-3)</t>
        </is>
      </c>
      <c r="B245" s="43" t="inlineStr">
        <is>
          <t>AF2-LLL-ALL</t>
        </is>
      </c>
      <c r="C245" s="43" t="inlineStr">
        <is>
          <t>EFSP-AF2 LLL supply and delivery (50 units)</t>
        </is>
      </c>
      <c r="D245" s="43" t="inlineStr">
        <is>
          <t>34 of 50</t>
        </is>
      </c>
      <c r="E245" s="44" t="inlineStr">
        <is>
          <t>AF2-LLL-N-034</t>
        </is>
      </c>
      <c r="F245" s="44" t="inlineStr">
        <is>
          <t>Patikharkay irrigation scheme</t>
        </is>
      </c>
      <c r="G245" s="44" t="inlineStr">
        <is>
          <t>Laser Land Leveler (LLL)</t>
        </is>
      </c>
      <c r="H245" s="44" t="inlineStr">
        <is>
          <t>LLL unit</t>
        </is>
      </c>
      <c r="I245" s="44" t="inlineStr">
        <is>
          <t>Emergency Food Security Project (EFSP) – WBK/AF-2</t>
        </is>
      </c>
      <c r="J245" s="44" t="inlineStr">
        <is>
          <t>East / Jalalabad</t>
        </is>
      </c>
      <c r="K245" s="44" t="inlineStr">
        <is>
          <t>Nangarhar</t>
        </is>
      </c>
      <c r="L245" s="44" t="inlineStr">
        <is>
          <t>Khogiani</t>
        </is>
      </c>
      <c r="M245" s="44" t="inlineStr">
        <is>
          <t>1 unit(s)</t>
        </is>
      </c>
      <c r="N245" s="44" t="inlineStr">
        <is>
          <t>World Bank (WBK/AF-2)</t>
        </is>
      </c>
      <c r="O245" s="44" t="inlineStr">
        <is>
          <t>Not awarded</t>
        </is>
      </c>
      <c r="P245" s="44" t="inlineStr">
        <is>
          <t>6. Supply and delivery of LLL</t>
        </is>
      </c>
      <c r="Q245" s="44" t="inlineStr"/>
      <c r="R245" s="44" t="inlineStr"/>
      <c r="S245" s="45" t="n"/>
      <c r="T245" s="46" t="inlineStr">
        <is>
          <t>IF(AQ245="","",AQ245)</t>
        </is>
      </c>
      <c r="U245" s="47" t="n">
        <v>46325</v>
      </c>
      <c r="V245" s="48" t="n"/>
      <c r="W245" s="47" t="n">
        <v>46418</v>
      </c>
      <c r="X245" s="46" t="inlineStr">
        <is>
          <t>IF(W245&lt;&gt;"",W245,IF(OR(T245="",V245=""),"",EDATE(T245,V245)))</t>
        </is>
      </c>
      <c r="Y245" s="47" t="n"/>
      <c r="Z245" s="48" t="n"/>
      <c r="AA245" s="44" t="inlineStr">
        <is>
          <t>Under Awarding</t>
        </is>
      </c>
      <c r="AB245" s="44" t="inlineStr">
        <is>
          <t>The Procurement process is initiated in April and PO will be issued late October 2026. and delivery will be done by End of December 2026 and onward in January 2027 it is planned to be distributed to the selected beneficiaries.</t>
        </is>
      </c>
      <c r="AC245" s="42" t="inlineStr">
        <is>
          <t>IF(F245="","",IF(COUNT(AI245:AV245)=0,IF(AA245="","Not started",AA245),SUBSTITUTE(LOOKUP(2,1/(AI245:AV245&lt;&gt;""),$AI$3:$AV$3),"Date: ","")))</t>
        </is>
      </c>
      <c r="AD245" s="49" t="inlineStr">
        <is>
          <t>IF(OR(F245="",COUNT(AI245:AV245)=0),"",TODAY()-LOOKUP(2,1/(AI245:AV245&lt;&gt;""),AI245:AV245))</t>
        </is>
      </c>
      <c r="AE245" s="49" t="inlineStr">
        <is>
          <t>IF(OR(F245="",COUNT(AI245:AV245)&lt;2),"",LOOKUP(2,1/(AI245:AV245&lt;&gt;""),AI245:AV245)-MIN(AI245:AV245))</t>
        </is>
      </c>
      <c r="AF245" s="49" t="inlineStr">
        <is>
          <t>IF(OR(AD245="",AC245="Not started",AC245=""),"",IFERROR(AD245-IF(VLOOKUP(AC245,'06_Status_Pipeline'!$B$3:$E$20,4,FALSE)="",0,VLOOKUP(AC245,'06_Status_Pipeline'!$B$3:$E$20,4,FALSE)),""))</t>
        </is>
      </c>
      <c r="AG245" s="42" t="inlineStr">
        <is>
          <t>IF(F245="","",IF(OR(AA245="Cancelled",AC245="Cancelled"),"Cancelled",IF(OR(AC245="Completed / Handover",Y245&lt;&gt;"",Z245&gt;=100),"Completed — on track",IF(O245="Not awarded",IF(U245="",IF(X245="","No planned date",IF(TODAY()&gt;X245,"Behind — past planned date",IF(X245-TODAY()&lt;=30,"At risk — close to off track","On track"))),IF(TODAY()&gt;U245,"Behind — award date passed",IF(U245-TODAY()&lt;=30,"At risk — close to off track","On track"))),IF(X245="","No planned date",IF(AND(TODAY()&gt;X245,OR(Z245="",Z245&lt;100)),"Behind — past end date",IF(AND(T245&lt;&gt;"",X245&lt;&gt;"",Z245&lt;&gt;"",(Z245&lt;100),((TODAY()-T245)/MAX(X245-T245,1)*100)-Z245&gt;15),"Behind — progress lag",IF(AND(X245-TODAY()&lt;=30,X245-TODAY()&gt;=0,OR(Z245="",Z245&lt;90)),"At risk — close to off track","On track"))))))))</t>
        </is>
      </c>
      <c r="AH245" s="49" t="inlineStr">
        <is>
          <t>IF(OR(F245="",AC245="Completed / Handover",AC245="Cancelled"),"",IF(O245="Not awarded",IF(U245&lt;&gt;"",U245-TODAY(),IF(X245="","",X245-TODAY())),IF(X245="","",X245-TODAY())))</t>
        </is>
      </c>
      <c r="AI245" s="47" t="n"/>
      <c r="AJ245" s="47" t="n"/>
      <c r="AK245" s="47" t="n"/>
      <c r="AL245" s="47" t="n"/>
      <c r="AM245" s="47" t="n"/>
      <c r="AN245" s="47" t="n"/>
      <c r="AO245" s="47" t="n"/>
      <c r="AP245" s="47" t="n"/>
      <c r="AQ245" s="47" t="n"/>
      <c r="AR245" s="47" t="n"/>
      <c r="AS245" s="47" t="n"/>
      <c r="AT245" s="50" t="n"/>
      <c r="AU245" s="50" t="n"/>
      <c r="AV245" s="50" t="n"/>
      <c r="AW245" s="49" t="inlineStr">
        <is>
          <t>IF(OR(F245="",AJ245=""),"",IF(COUNT(AI245:AI245)=0,"",AJ245-LOOKUP(2,1/(AI245:AI245&lt;&gt;""),AI245:AI245)))</t>
        </is>
      </c>
      <c r="AX245" s="49" t="inlineStr">
        <is>
          <t>IF(OR(F245="",AK245=""),"",IF(COUNT(AI245:AJ245)=0,"",AK245-LOOKUP(2,1/(AI245:AJ245&lt;&gt;""),AI245:AJ245)))</t>
        </is>
      </c>
      <c r="AY245" s="49" t="inlineStr">
        <is>
          <t>IF(OR(F245="",AL245=""),"",IF(COUNT(AI245:AK245)=0,"",AL245-LOOKUP(2,1/(AI245:AK245&lt;&gt;""),AI245:AK245)))</t>
        </is>
      </c>
      <c r="AZ245" s="49" t="inlineStr">
        <is>
          <t>IF(OR(F245="",AM245=""),"",IF(COUNT(AI245:AL245)=0,"",AM245-LOOKUP(2,1/(AI245:AL245&lt;&gt;""),AI245:AL245)))</t>
        </is>
      </c>
      <c r="BA245" s="49" t="inlineStr">
        <is>
          <t>IF(OR(F245="",AN245=""),"",IF(COUNT(AI245:AM245)=0,"",AN245-LOOKUP(2,1/(AI245:AM245&lt;&gt;""),AI245:AM245)))</t>
        </is>
      </c>
      <c r="BB245" s="49" t="inlineStr">
        <is>
          <t>IF(OR(F245="",AO245=""),"",IF(COUNT(AI245:AN245)=0,"",AO245-LOOKUP(2,1/(AI245:AN245&lt;&gt;""),AI245:AN245)))</t>
        </is>
      </c>
      <c r="BC245" s="49" t="inlineStr">
        <is>
          <t>IF(OR(F245="",AP245=""),"",IF(COUNT(AI245:AO245)=0,"",AP245-LOOKUP(2,1/(AI245:AO245&lt;&gt;""),AI245:AO245)))</t>
        </is>
      </c>
      <c r="BD245" s="49" t="inlineStr">
        <is>
          <t>IF(OR(F245="",AQ245=""),"",IF(COUNT(AI245:AP245)=0,"",AQ245-LOOKUP(2,1/(AI245:AP245&lt;&gt;""),AI245:AP245)))</t>
        </is>
      </c>
      <c r="BE245" s="49" t="inlineStr">
        <is>
          <t>IF(OR(F245="",AR245=""),"",IF(COUNT(AI245:AQ245)=0,"",AR245-LOOKUP(2,1/(AI245:AQ245&lt;&gt;""),AI245:AQ245)))</t>
        </is>
      </c>
      <c r="BF245" s="49" t="inlineStr">
        <is>
          <t>IF(OR(F245="",AS245=""),"",IF(COUNT(AI245:AR245)=0,"",AS245-LOOKUP(2,1/(AI245:AR245&lt;&gt;""),AI245:AR245)))</t>
        </is>
      </c>
      <c r="BG245" s="49" t="inlineStr">
        <is>
          <t>IF(OR(F245="",AT245=""),"",IF(COUNT(AI245:AS245)=0,"",AT245-LOOKUP(2,1/(AI245:AS245&lt;&gt;""),AI245:AS245)))</t>
        </is>
      </c>
      <c r="BH245" s="49" t="inlineStr">
        <is>
          <t>IF(OR(F245="",AU245=""),"",IF(COUNT(AI245:AT245)=0,"",AU245-LOOKUP(2,1/(AI245:AT245&lt;&gt;""),AI245:AT245)))</t>
        </is>
      </c>
      <c r="BI245" s="49" t="inlineStr">
        <is>
          <t>IF(OR(F245="",AV245=""),"",IF(COUNT(AI245:AU245)=0,"",AV245-LOOKUP(2,1/(AI245:AU245&lt;&gt;""),AI245:AU245)))</t>
        </is>
      </c>
      <c r="BJ245" s="51" t="inlineStr">
        <is>
          <t>IF(J245="","All_Provinces",IFERROR(VLOOKUP(J245,'09_Lookups'!$A$4:$B$20,2,FALSE),"All_Provinces"))</t>
        </is>
      </c>
      <c r="BK245" s="51" t="inlineStr">
        <is>
          <t>IF(K245="","All_Districts",IFERROR(VLOOKUP(K245,'09_Lookups'!$E$4:$F$42,2,FALSE),"All_Districts"))</t>
        </is>
      </c>
    </row>
    <row r="246" outlineLevel="1" ht="18" customHeight="1">
      <c r="A246" s="42" t="inlineStr">
        <is>
          <t>IF(F246="","",ROW()-3)</t>
        </is>
      </c>
      <c r="B246" s="43" t="inlineStr">
        <is>
          <t>AF2-LLL-ALL</t>
        </is>
      </c>
      <c r="C246" s="43" t="inlineStr">
        <is>
          <t>EFSP-AF2 LLL supply and delivery (50 units)</t>
        </is>
      </c>
      <c r="D246" s="43" t="inlineStr">
        <is>
          <t>35 of 50</t>
        </is>
      </c>
      <c r="E246" s="52" t="inlineStr">
        <is>
          <t>AF2-LLL-N-035</t>
        </is>
      </c>
      <c r="F246" s="52" t="inlineStr">
        <is>
          <t>Qala-E-Wazir Irrigation Scheme</t>
        </is>
      </c>
      <c r="G246" s="52" t="inlineStr">
        <is>
          <t>Laser Land Leveler (LLL)</t>
        </is>
      </c>
      <c r="H246" s="52" t="inlineStr">
        <is>
          <t>LLL unit</t>
        </is>
      </c>
      <c r="I246" s="52" t="inlineStr">
        <is>
          <t>Emergency Food Security Project (EFSP) – WBK/AF-2</t>
        </is>
      </c>
      <c r="J246" s="52" t="inlineStr">
        <is>
          <t>Southeast / Gardez</t>
        </is>
      </c>
      <c r="K246" s="52" t="inlineStr">
        <is>
          <t>Logar</t>
        </is>
      </c>
      <c r="L246" s="52" t="inlineStr">
        <is>
          <t>Qala-E-Wazir</t>
        </is>
      </c>
      <c r="M246" s="52" t="inlineStr">
        <is>
          <t>1 unit(s)</t>
        </is>
      </c>
      <c r="N246" s="52" t="inlineStr">
        <is>
          <t>World Bank (WBK/AF-2)</t>
        </is>
      </c>
      <c r="O246" s="52" t="inlineStr">
        <is>
          <t>Not awarded</t>
        </is>
      </c>
      <c r="P246" s="52" t="inlineStr">
        <is>
          <t>6. Supply and delivery of LLL</t>
        </is>
      </c>
      <c r="Q246" s="52" t="inlineStr"/>
      <c r="R246" s="52" t="inlineStr"/>
      <c r="S246" s="53" t="n"/>
      <c r="T246" s="46" t="inlineStr">
        <is>
          <t>IF(AQ246="","",AQ246)</t>
        </is>
      </c>
      <c r="U246" s="54" t="n">
        <v>46325</v>
      </c>
      <c r="V246" s="55" t="n"/>
      <c r="W246" s="54" t="n">
        <v>46418</v>
      </c>
      <c r="X246" s="46" t="inlineStr">
        <is>
          <t>IF(W246&lt;&gt;"",W246,IF(OR(T246="",V246=""),"",EDATE(T246,V246)))</t>
        </is>
      </c>
      <c r="Y246" s="54" t="n"/>
      <c r="Z246" s="55" t="n"/>
      <c r="AA246" s="52" t="inlineStr">
        <is>
          <t>Under Awarding</t>
        </is>
      </c>
      <c r="AB246" s="52" t="inlineStr">
        <is>
          <t>The Procurement process is initiated in April and PO will be issued late October 2026. and delivery will be done by End of December 2026 and onward in January 2027 it is planned to be distributed to the selected beneficiaries.</t>
        </is>
      </c>
      <c r="AC246" s="42" t="inlineStr">
        <is>
          <t>IF(F246="","",IF(COUNT(AI246:AV246)=0,IF(AA246="","Not started",AA246),SUBSTITUTE(LOOKUP(2,1/(AI246:AV246&lt;&gt;""),$AI$3:$AV$3),"Date: ","")))</t>
        </is>
      </c>
      <c r="AD246" s="49" t="inlineStr">
        <is>
          <t>IF(OR(F246="",COUNT(AI246:AV246)=0),"",TODAY()-LOOKUP(2,1/(AI246:AV246&lt;&gt;""),AI246:AV246))</t>
        </is>
      </c>
      <c r="AE246" s="49" t="inlineStr">
        <is>
          <t>IF(OR(F246="",COUNT(AI246:AV246)&lt;2),"",LOOKUP(2,1/(AI246:AV246&lt;&gt;""),AI246:AV246)-MIN(AI246:AV246))</t>
        </is>
      </c>
      <c r="AF246" s="49" t="inlineStr">
        <is>
          <t>IF(OR(AD246="",AC246="Not started",AC246=""),"",IFERROR(AD246-IF(VLOOKUP(AC246,'06_Status_Pipeline'!$B$3:$E$20,4,FALSE)="",0,VLOOKUP(AC246,'06_Status_Pipeline'!$B$3:$E$20,4,FALSE)),""))</t>
        </is>
      </c>
      <c r="AG246" s="42" t="inlineStr">
        <is>
          <t>IF(F246="","",IF(OR(AA246="Cancelled",AC246="Cancelled"),"Cancelled",IF(OR(AC246="Completed / Handover",Y246&lt;&gt;"",Z246&gt;=100),"Completed — on track",IF(O246="Not awarded",IF(U246="",IF(X246="","No planned date",IF(TODAY()&gt;X246,"Behind — past planned date",IF(X246-TODAY()&lt;=30,"At risk — close to off track","On track"))),IF(TODAY()&gt;U246,"Behind — award date passed",IF(U246-TODAY()&lt;=30,"At risk — close to off track","On track"))),IF(X246="","No planned date",IF(AND(TODAY()&gt;X246,OR(Z246="",Z246&lt;100)),"Behind — past end date",IF(AND(T246&lt;&gt;"",X246&lt;&gt;"",Z246&lt;&gt;"",(Z246&lt;100),((TODAY()-T246)/MAX(X246-T246,1)*100)-Z246&gt;15),"Behind — progress lag",IF(AND(X246-TODAY()&lt;=30,X246-TODAY()&gt;=0,OR(Z246="",Z246&lt;90)),"At risk — close to off track","On track"))))))))</t>
        </is>
      </c>
      <c r="AH246" s="49" t="inlineStr">
        <is>
          <t>IF(OR(F246="",AC246="Completed / Handover",AC246="Cancelled"),"",IF(O246="Not awarded",IF(U246&lt;&gt;"",U246-TODAY(),IF(X246="","",X246-TODAY())),IF(X246="","",X246-TODAY())))</t>
        </is>
      </c>
      <c r="AI246" s="54" t="n"/>
      <c r="AJ246" s="54" t="n"/>
      <c r="AK246" s="54" t="n"/>
      <c r="AL246" s="54" t="n"/>
      <c r="AM246" s="54" t="n"/>
      <c r="AN246" s="54" t="n"/>
      <c r="AO246" s="54" t="n"/>
      <c r="AP246" s="54" t="n"/>
      <c r="AQ246" s="54" t="n"/>
      <c r="AR246" s="54" t="n"/>
      <c r="AS246" s="54" t="n"/>
      <c r="AT246" s="50" t="n"/>
      <c r="AU246" s="50" t="n"/>
      <c r="AV246" s="50" t="n"/>
      <c r="AW246" s="49" t="inlineStr">
        <is>
          <t>IF(OR(F246="",AJ246=""),"",IF(COUNT(AI246:AI246)=0,"",AJ246-LOOKUP(2,1/(AI246:AI246&lt;&gt;""),AI246:AI246)))</t>
        </is>
      </c>
      <c r="AX246" s="49" t="inlineStr">
        <is>
          <t>IF(OR(F246="",AK246=""),"",IF(COUNT(AI246:AJ246)=0,"",AK246-LOOKUP(2,1/(AI246:AJ246&lt;&gt;""),AI246:AJ246)))</t>
        </is>
      </c>
      <c r="AY246" s="49" t="inlineStr">
        <is>
          <t>IF(OR(F246="",AL246=""),"",IF(COUNT(AI246:AK246)=0,"",AL246-LOOKUP(2,1/(AI246:AK246&lt;&gt;""),AI246:AK246)))</t>
        </is>
      </c>
      <c r="AZ246" s="49" t="inlineStr">
        <is>
          <t>IF(OR(F246="",AM246=""),"",IF(COUNT(AI246:AL246)=0,"",AM246-LOOKUP(2,1/(AI246:AL246&lt;&gt;""),AI246:AL246)))</t>
        </is>
      </c>
      <c r="BA246" s="49" t="inlineStr">
        <is>
          <t>IF(OR(F246="",AN246=""),"",IF(COUNT(AI246:AM246)=0,"",AN246-LOOKUP(2,1/(AI246:AM246&lt;&gt;""),AI246:AM246)))</t>
        </is>
      </c>
      <c r="BB246" s="49" t="inlineStr">
        <is>
          <t>IF(OR(F246="",AO246=""),"",IF(COUNT(AI246:AN246)=0,"",AO246-LOOKUP(2,1/(AI246:AN246&lt;&gt;""),AI246:AN246)))</t>
        </is>
      </c>
      <c r="BC246" s="49" t="inlineStr">
        <is>
          <t>IF(OR(F246="",AP246=""),"",IF(COUNT(AI246:AO246)=0,"",AP246-LOOKUP(2,1/(AI246:AO246&lt;&gt;""),AI246:AO246)))</t>
        </is>
      </c>
      <c r="BD246" s="49" t="inlineStr">
        <is>
          <t>IF(OR(F246="",AQ246=""),"",IF(COUNT(AI246:AP246)=0,"",AQ246-LOOKUP(2,1/(AI246:AP246&lt;&gt;""),AI246:AP246)))</t>
        </is>
      </c>
      <c r="BE246" s="49" t="inlineStr">
        <is>
          <t>IF(OR(F246="",AR246=""),"",IF(COUNT(AI246:AQ246)=0,"",AR246-LOOKUP(2,1/(AI246:AQ246&lt;&gt;""),AI246:AQ246)))</t>
        </is>
      </c>
      <c r="BF246" s="49" t="inlineStr">
        <is>
          <t>IF(OR(F246="",AS246=""),"",IF(COUNT(AI246:AR246)=0,"",AS246-LOOKUP(2,1/(AI246:AR246&lt;&gt;""),AI246:AR246)))</t>
        </is>
      </c>
      <c r="BG246" s="49" t="inlineStr">
        <is>
          <t>IF(OR(F246="",AT246=""),"",IF(COUNT(AI246:AS246)=0,"",AT246-LOOKUP(2,1/(AI246:AS246&lt;&gt;""),AI246:AS246)))</t>
        </is>
      </c>
      <c r="BH246" s="49" t="inlineStr">
        <is>
          <t>IF(OR(F246="",AU246=""),"",IF(COUNT(AI246:AT246)=0,"",AU246-LOOKUP(2,1/(AI246:AT246&lt;&gt;""),AI246:AT246)))</t>
        </is>
      </c>
      <c r="BI246" s="49" t="inlineStr">
        <is>
          <t>IF(OR(F246="",AV246=""),"",IF(COUNT(AI246:AU246)=0,"",AV246-LOOKUP(2,1/(AI246:AU246&lt;&gt;""),AI246:AU246)))</t>
        </is>
      </c>
      <c r="BJ246" s="51" t="inlineStr">
        <is>
          <t>IF(J246="","All_Provinces",IFERROR(VLOOKUP(J246,'09_Lookups'!$A$4:$B$20,2,FALSE),"All_Provinces"))</t>
        </is>
      </c>
      <c r="BK246" s="51" t="inlineStr">
        <is>
          <t>IF(K246="","All_Districts",IFERROR(VLOOKUP(K246,'09_Lookups'!$E$4:$F$42,2,FALSE),"All_Districts"))</t>
        </is>
      </c>
    </row>
    <row r="247" outlineLevel="1" ht="18" customHeight="1">
      <c r="A247" s="42" t="inlineStr">
        <is>
          <t>IF(F247="","",ROW()-3)</t>
        </is>
      </c>
      <c r="B247" s="43" t="inlineStr">
        <is>
          <t>AF2-LLL-ALL</t>
        </is>
      </c>
      <c r="C247" s="43" t="inlineStr">
        <is>
          <t>EFSP-AF2 LLL supply and delivery (50 units)</t>
        </is>
      </c>
      <c r="D247" s="43" t="inlineStr">
        <is>
          <t>36 of 50</t>
        </is>
      </c>
      <c r="E247" s="44" t="inlineStr">
        <is>
          <t>AF2-LLL-N-036</t>
        </is>
      </c>
      <c r="F247" s="44" t="inlineStr">
        <is>
          <t>Qala-e-Ahmad Big Canal</t>
        </is>
      </c>
      <c r="G247" s="44" t="inlineStr">
        <is>
          <t>Laser Land Leveler (LLL)</t>
        </is>
      </c>
      <c r="H247" s="44" t="inlineStr">
        <is>
          <t>LLL unit</t>
        </is>
      </c>
      <c r="I247" s="44" t="inlineStr">
        <is>
          <t>Emergency Food Security Project (EFSP) – WBK/AF-2</t>
        </is>
      </c>
      <c r="J247" s="44" t="inlineStr">
        <is>
          <t>Central / Kabul</t>
        </is>
      </c>
      <c r="K247" s="44" t="inlineStr">
        <is>
          <t>Kapisa</t>
        </is>
      </c>
      <c r="L247" s="44" t="inlineStr">
        <is>
          <t>Nijrab</t>
        </is>
      </c>
      <c r="M247" s="44" t="inlineStr">
        <is>
          <t>1 unit(s)</t>
        </is>
      </c>
      <c r="N247" s="44" t="inlineStr">
        <is>
          <t>World Bank (WBK/AF-2)</t>
        </is>
      </c>
      <c r="O247" s="44" t="inlineStr">
        <is>
          <t>Not awarded</t>
        </is>
      </c>
      <c r="P247" s="44" t="inlineStr">
        <is>
          <t>6. Supply and delivery of LLL</t>
        </is>
      </c>
      <c r="Q247" s="44" t="inlineStr"/>
      <c r="R247" s="44" t="inlineStr"/>
      <c r="S247" s="45" t="n"/>
      <c r="T247" s="46" t="inlineStr">
        <is>
          <t>IF(AQ247="","",AQ247)</t>
        </is>
      </c>
      <c r="U247" s="47" t="n">
        <v>46325</v>
      </c>
      <c r="V247" s="48" t="n"/>
      <c r="W247" s="47" t="n">
        <v>46418</v>
      </c>
      <c r="X247" s="46" t="inlineStr">
        <is>
          <t>IF(W247&lt;&gt;"",W247,IF(OR(T247="",V247=""),"",EDATE(T247,V247)))</t>
        </is>
      </c>
      <c r="Y247" s="47" t="n"/>
      <c r="Z247" s="48" t="n"/>
      <c r="AA247" s="44" t="inlineStr">
        <is>
          <t>Under Awarding</t>
        </is>
      </c>
      <c r="AB247" s="44" t="inlineStr">
        <is>
          <t>The Procurement process is initiated in April and PO will be issued late October 2026. and delivery will be done by End of December 2026 and onward in January 2027 it is planned to be distributed to the selected beneficiaries.</t>
        </is>
      </c>
      <c r="AC247" s="42" t="inlineStr">
        <is>
          <t>IF(F247="","",IF(COUNT(AI247:AV247)=0,IF(AA247="","Not started",AA247),SUBSTITUTE(LOOKUP(2,1/(AI247:AV247&lt;&gt;""),$AI$3:$AV$3),"Date: ","")))</t>
        </is>
      </c>
      <c r="AD247" s="49" t="inlineStr">
        <is>
          <t>IF(OR(F247="",COUNT(AI247:AV247)=0),"",TODAY()-LOOKUP(2,1/(AI247:AV247&lt;&gt;""),AI247:AV247))</t>
        </is>
      </c>
      <c r="AE247" s="49" t="inlineStr">
        <is>
          <t>IF(OR(F247="",COUNT(AI247:AV247)&lt;2),"",LOOKUP(2,1/(AI247:AV247&lt;&gt;""),AI247:AV247)-MIN(AI247:AV247))</t>
        </is>
      </c>
      <c r="AF247" s="49" t="inlineStr">
        <is>
          <t>IF(OR(AD247="",AC247="Not started",AC247=""),"",IFERROR(AD247-IF(VLOOKUP(AC247,'06_Status_Pipeline'!$B$3:$E$20,4,FALSE)="",0,VLOOKUP(AC247,'06_Status_Pipeline'!$B$3:$E$20,4,FALSE)),""))</t>
        </is>
      </c>
      <c r="AG247" s="42" t="inlineStr">
        <is>
          <t>IF(F247="","",IF(OR(AA247="Cancelled",AC247="Cancelled"),"Cancelled",IF(OR(AC247="Completed / Handover",Y247&lt;&gt;"",Z247&gt;=100),"Completed — on track",IF(O247="Not awarded",IF(U247="",IF(X247="","No planned date",IF(TODAY()&gt;X247,"Behind — past planned date",IF(X247-TODAY()&lt;=30,"At risk — close to off track","On track"))),IF(TODAY()&gt;U247,"Behind — award date passed",IF(U247-TODAY()&lt;=30,"At risk — close to off track","On track"))),IF(X247="","No planned date",IF(AND(TODAY()&gt;X247,OR(Z247="",Z247&lt;100)),"Behind — past end date",IF(AND(T247&lt;&gt;"",X247&lt;&gt;"",Z247&lt;&gt;"",(Z247&lt;100),((TODAY()-T247)/MAX(X247-T247,1)*100)-Z247&gt;15),"Behind — progress lag",IF(AND(X247-TODAY()&lt;=30,X247-TODAY()&gt;=0,OR(Z247="",Z247&lt;90)),"At risk — close to off track","On track"))))))))</t>
        </is>
      </c>
      <c r="AH247" s="49" t="inlineStr">
        <is>
          <t>IF(OR(F247="",AC247="Completed / Handover",AC247="Cancelled"),"",IF(O247="Not awarded",IF(U247&lt;&gt;"",U247-TODAY(),IF(X247="","",X247-TODAY())),IF(X247="","",X247-TODAY())))</t>
        </is>
      </c>
      <c r="AI247" s="47" t="n"/>
      <c r="AJ247" s="47" t="n"/>
      <c r="AK247" s="47" t="n"/>
      <c r="AL247" s="47" t="n"/>
      <c r="AM247" s="47" t="n"/>
      <c r="AN247" s="47" t="n"/>
      <c r="AO247" s="47" t="n"/>
      <c r="AP247" s="47" t="n"/>
      <c r="AQ247" s="47" t="n"/>
      <c r="AR247" s="47" t="n"/>
      <c r="AS247" s="47" t="n"/>
      <c r="AT247" s="50" t="n"/>
      <c r="AU247" s="50" t="n"/>
      <c r="AV247" s="50" t="n"/>
      <c r="AW247" s="49" t="inlineStr">
        <is>
          <t>IF(OR(F247="",AJ247=""),"",IF(COUNT(AI247:AI247)=0,"",AJ247-LOOKUP(2,1/(AI247:AI247&lt;&gt;""),AI247:AI247)))</t>
        </is>
      </c>
      <c r="AX247" s="49" t="inlineStr">
        <is>
          <t>IF(OR(F247="",AK247=""),"",IF(COUNT(AI247:AJ247)=0,"",AK247-LOOKUP(2,1/(AI247:AJ247&lt;&gt;""),AI247:AJ247)))</t>
        </is>
      </c>
      <c r="AY247" s="49" t="inlineStr">
        <is>
          <t>IF(OR(F247="",AL247=""),"",IF(COUNT(AI247:AK247)=0,"",AL247-LOOKUP(2,1/(AI247:AK247&lt;&gt;""),AI247:AK247)))</t>
        </is>
      </c>
      <c r="AZ247" s="49" t="inlineStr">
        <is>
          <t>IF(OR(F247="",AM247=""),"",IF(COUNT(AI247:AL247)=0,"",AM247-LOOKUP(2,1/(AI247:AL247&lt;&gt;""),AI247:AL247)))</t>
        </is>
      </c>
      <c r="BA247" s="49" t="inlineStr">
        <is>
          <t>IF(OR(F247="",AN247=""),"",IF(COUNT(AI247:AM247)=0,"",AN247-LOOKUP(2,1/(AI247:AM247&lt;&gt;""),AI247:AM247)))</t>
        </is>
      </c>
      <c r="BB247" s="49" t="inlineStr">
        <is>
          <t>IF(OR(F247="",AO247=""),"",IF(COUNT(AI247:AN247)=0,"",AO247-LOOKUP(2,1/(AI247:AN247&lt;&gt;""),AI247:AN247)))</t>
        </is>
      </c>
      <c r="BC247" s="49" t="inlineStr">
        <is>
          <t>IF(OR(F247="",AP247=""),"",IF(COUNT(AI247:AO247)=0,"",AP247-LOOKUP(2,1/(AI247:AO247&lt;&gt;""),AI247:AO247)))</t>
        </is>
      </c>
      <c r="BD247" s="49" t="inlineStr">
        <is>
          <t>IF(OR(F247="",AQ247=""),"",IF(COUNT(AI247:AP247)=0,"",AQ247-LOOKUP(2,1/(AI247:AP247&lt;&gt;""),AI247:AP247)))</t>
        </is>
      </c>
      <c r="BE247" s="49" t="inlineStr">
        <is>
          <t>IF(OR(F247="",AR247=""),"",IF(COUNT(AI247:AQ247)=0,"",AR247-LOOKUP(2,1/(AI247:AQ247&lt;&gt;""),AI247:AQ247)))</t>
        </is>
      </c>
      <c r="BF247" s="49" t="inlineStr">
        <is>
          <t>IF(OR(F247="",AS247=""),"",IF(COUNT(AI247:AR247)=0,"",AS247-LOOKUP(2,1/(AI247:AR247&lt;&gt;""),AI247:AR247)))</t>
        </is>
      </c>
      <c r="BG247" s="49" t="inlineStr">
        <is>
          <t>IF(OR(F247="",AT247=""),"",IF(COUNT(AI247:AS247)=0,"",AT247-LOOKUP(2,1/(AI247:AS247&lt;&gt;""),AI247:AS247)))</t>
        </is>
      </c>
      <c r="BH247" s="49" t="inlineStr">
        <is>
          <t>IF(OR(F247="",AU247=""),"",IF(COUNT(AI247:AT247)=0,"",AU247-LOOKUP(2,1/(AI247:AT247&lt;&gt;""),AI247:AT247)))</t>
        </is>
      </c>
      <c r="BI247" s="49" t="inlineStr">
        <is>
          <t>IF(OR(F247="",AV247=""),"",IF(COUNT(AI247:AU247)=0,"",AV247-LOOKUP(2,1/(AI247:AU247&lt;&gt;""),AI247:AU247)))</t>
        </is>
      </c>
      <c r="BJ247" s="51" t="inlineStr">
        <is>
          <t>IF(J247="","All_Provinces",IFERROR(VLOOKUP(J247,'09_Lookups'!$A$4:$B$20,2,FALSE),"All_Provinces"))</t>
        </is>
      </c>
      <c r="BK247" s="51" t="inlineStr">
        <is>
          <t>IF(K247="","All_Districts",IFERROR(VLOOKUP(K247,'09_Lookups'!$E$4:$F$42,2,FALSE),"All_Districts"))</t>
        </is>
      </c>
    </row>
    <row r="248" outlineLevel="1" ht="18" customHeight="1">
      <c r="A248" s="42" t="inlineStr">
        <is>
          <t>IF(F248="","",ROW()-3)</t>
        </is>
      </c>
      <c r="B248" s="43" t="inlineStr">
        <is>
          <t>AF2-LLL-ALL</t>
        </is>
      </c>
      <c r="C248" s="43" t="inlineStr">
        <is>
          <t>EFSP-AF2 LLL supply and delivery (50 units)</t>
        </is>
      </c>
      <c r="D248" s="43" t="inlineStr">
        <is>
          <t>37 of 50</t>
        </is>
      </c>
      <c r="E248" s="52" t="inlineStr">
        <is>
          <t>AF2-LLL-N-037</t>
        </is>
      </c>
      <c r="F248" s="52" t="inlineStr">
        <is>
          <t>Qashqasai Canal Irrigation scheme</t>
        </is>
      </c>
      <c r="G248" s="52" t="inlineStr">
        <is>
          <t>Laser Land Leveler (LLL)</t>
        </is>
      </c>
      <c r="H248" s="52" t="inlineStr">
        <is>
          <t>LLL unit</t>
        </is>
      </c>
      <c r="I248" s="52" t="inlineStr">
        <is>
          <t>Emergency Food Security Project (EFSP) – WBK/AF-2</t>
        </is>
      </c>
      <c r="J248" s="52" t="inlineStr">
        <is>
          <t>North / Mazar</t>
        </is>
      </c>
      <c r="K248" s="52" t="inlineStr">
        <is>
          <t>Faryab</t>
        </is>
      </c>
      <c r="L248" s="52" t="inlineStr">
        <is>
          <t>Qaisar</t>
        </is>
      </c>
      <c r="M248" s="52" t="inlineStr">
        <is>
          <t>1 unit(s)</t>
        </is>
      </c>
      <c r="N248" s="52" t="inlineStr">
        <is>
          <t>World Bank (WBK/AF-2)</t>
        </is>
      </c>
      <c r="O248" s="52" t="inlineStr">
        <is>
          <t>Not awarded</t>
        </is>
      </c>
      <c r="P248" s="52" t="inlineStr">
        <is>
          <t>6. Supply and delivery of LLL</t>
        </is>
      </c>
      <c r="Q248" s="52" t="inlineStr"/>
      <c r="R248" s="52" t="inlineStr"/>
      <c r="S248" s="53" t="n"/>
      <c r="T248" s="46" t="inlineStr">
        <is>
          <t>IF(AQ248="","",AQ248)</t>
        </is>
      </c>
      <c r="U248" s="54" t="n">
        <v>46325</v>
      </c>
      <c r="V248" s="55" t="n"/>
      <c r="W248" s="54" t="n">
        <v>46418</v>
      </c>
      <c r="X248" s="46" t="inlineStr">
        <is>
          <t>IF(W248&lt;&gt;"",W248,IF(OR(T248="",V248=""),"",EDATE(T248,V248)))</t>
        </is>
      </c>
      <c r="Y248" s="54" t="n"/>
      <c r="Z248" s="55" t="n"/>
      <c r="AA248" s="52" t="inlineStr">
        <is>
          <t>Under Awarding</t>
        </is>
      </c>
      <c r="AB248" s="52" t="inlineStr">
        <is>
          <t>The Procurement process is initiated in April and PO will be issued late October 2026. and delivery will be done by End of December 2026 and onward in January 2027 it is planned to be distributed to the selected beneficiaries.</t>
        </is>
      </c>
      <c r="AC248" s="42" t="inlineStr">
        <is>
          <t>IF(F248="","",IF(COUNT(AI248:AV248)=0,IF(AA248="","Not started",AA248),SUBSTITUTE(LOOKUP(2,1/(AI248:AV248&lt;&gt;""),$AI$3:$AV$3),"Date: ","")))</t>
        </is>
      </c>
      <c r="AD248" s="49" t="inlineStr">
        <is>
          <t>IF(OR(F248="",COUNT(AI248:AV248)=0),"",TODAY()-LOOKUP(2,1/(AI248:AV248&lt;&gt;""),AI248:AV248))</t>
        </is>
      </c>
      <c r="AE248" s="49" t="inlineStr">
        <is>
          <t>IF(OR(F248="",COUNT(AI248:AV248)&lt;2),"",LOOKUP(2,1/(AI248:AV248&lt;&gt;""),AI248:AV248)-MIN(AI248:AV248))</t>
        </is>
      </c>
      <c r="AF248" s="49" t="inlineStr">
        <is>
          <t>IF(OR(AD248="",AC248="Not started",AC248=""),"",IFERROR(AD248-IF(VLOOKUP(AC248,'06_Status_Pipeline'!$B$3:$E$20,4,FALSE)="",0,VLOOKUP(AC248,'06_Status_Pipeline'!$B$3:$E$20,4,FALSE)),""))</t>
        </is>
      </c>
      <c r="AG248" s="42" t="inlineStr">
        <is>
          <t>IF(F248="","",IF(OR(AA248="Cancelled",AC248="Cancelled"),"Cancelled",IF(OR(AC248="Completed / Handover",Y248&lt;&gt;"",Z248&gt;=100),"Completed — on track",IF(O248="Not awarded",IF(U248="",IF(X248="","No planned date",IF(TODAY()&gt;X248,"Behind — past planned date",IF(X248-TODAY()&lt;=30,"At risk — close to off track","On track"))),IF(TODAY()&gt;U248,"Behind — award date passed",IF(U248-TODAY()&lt;=30,"At risk — close to off track","On track"))),IF(X248="","No planned date",IF(AND(TODAY()&gt;X248,OR(Z248="",Z248&lt;100)),"Behind — past end date",IF(AND(T248&lt;&gt;"",X248&lt;&gt;"",Z248&lt;&gt;"",(Z248&lt;100),((TODAY()-T248)/MAX(X248-T248,1)*100)-Z248&gt;15),"Behind — progress lag",IF(AND(X248-TODAY()&lt;=30,X248-TODAY()&gt;=0,OR(Z248="",Z248&lt;90)),"At risk — close to off track","On track"))))))))</t>
        </is>
      </c>
      <c r="AH248" s="49" t="inlineStr">
        <is>
          <t>IF(OR(F248="",AC248="Completed / Handover",AC248="Cancelled"),"",IF(O248="Not awarded",IF(U248&lt;&gt;"",U248-TODAY(),IF(X248="","",X248-TODAY())),IF(X248="","",X248-TODAY())))</t>
        </is>
      </c>
      <c r="AI248" s="54" t="n"/>
      <c r="AJ248" s="54" t="n"/>
      <c r="AK248" s="54" t="n"/>
      <c r="AL248" s="54" t="n"/>
      <c r="AM248" s="54" t="n"/>
      <c r="AN248" s="54" t="n"/>
      <c r="AO248" s="54" t="n"/>
      <c r="AP248" s="54" t="n"/>
      <c r="AQ248" s="54" t="n"/>
      <c r="AR248" s="54" t="n"/>
      <c r="AS248" s="54" t="n"/>
      <c r="AT248" s="50" t="n"/>
      <c r="AU248" s="50" t="n"/>
      <c r="AV248" s="50" t="n"/>
      <c r="AW248" s="49" t="inlineStr">
        <is>
          <t>IF(OR(F248="",AJ248=""),"",IF(COUNT(AI248:AI248)=0,"",AJ248-LOOKUP(2,1/(AI248:AI248&lt;&gt;""),AI248:AI248)))</t>
        </is>
      </c>
      <c r="AX248" s="49" t="inlineStr">
        <is>
          <t>IF(OR(F248="",AK248=""),"",IF(COUNT(AI248:AJ248)=0,"",AK248-LOOKUP(2,1/(AI248:AJ248&lt;&gt;""),AI248:AJ248)))</t>
        </is>
      </c>
      <c r="AY248" s="49" t="inlineStr">
        <is>
          <t>IF(OR(F248="",AL248=""),"",IF(COUNT(AI248:AK248)=0,"",AL248-LOOKUP(2,1/(AI248:AK248&lt;&gt;""),AI248:AK248)))</t>
        </is>
      </c>
      <c r="AZ248" s="49" t="inlineStr">
        <is>
          <t>IF(OR(F248="",AM248=""),"",IF(COUNT(AI248:AL248)=0,"",AM248-LOOKUP(2,1/(AI248:AL248&lt;&gt;""),AI248:AL248)))</t>
        </is>
      </c>
      <c r="BA248" s="49" t="inlineStr">
        <is>
          <t>IF(OR(F248="",AN248=""),"",IF(COUNT(AI248:AM248)=0,"",AN248-LOOKUP(2,1/(AI248:AM248&lt;&gt;""),AI248:AM248)))</t>
        </is>
      </c>
      <c r="BB248" s="49" t="inlineStr">
        <is>
          <t>IF(OR(F248="",AO248=""),"",IF(COUNT(AI248:AN248)=0,"",AO248-LOOKUP(2,1/(AI248:AN248&lt;&gt;""),AI248:AN248)))</t>
        </is>
      </c>
      <c r="BC248" s="49" t="inlineStr">
        <is>
          <t>IF(OR(F248="",AP248=""),"",IF(COUNT(AI248:AO248)=0,"",AP248-LOOKUP(2,1/(AI248:AO248&lt;&gt;""),AI248:AO248)))</t>
        </is>
      </c>
      <c r="BD248" s="49" t="inlineStr">
        <is>
          <t>IF(OR(F248="",AQ248=""),"",IF(COUNT(AI248:AP248)=0,"",AQ248-LOOKUP(2,1/(AI248:AP248&lt;&gt;""),AI248:AP248)))</t>
        </is>
      </c>
      <c r="BE248" s="49" t="inlineStr">
        <is>
          <t>IF(OR(F248="",AR248=""),"",IF(COUNT(AI248:AQ248)=0,"",AR248-LOOKUP(2,1/(AI248:AQ248&lt;&gt;""),AI248:AQ248)))</t>
        </is>
      </c>
      <c r="BF248" s="49" t="inlineStr">
        <is>
          <t>IF(OR(F248="",AS248=""),"",IF(COUNT(AI248:AR248)=0,"",AS248-LOOKUP(2,1/(AI248:AR248&lt;&gt;""),AI248:AR248)))</t>
        </is>
      </c>
      <c r="BG248" s="49" t="inlineStr">
        <is>
          <t>IF(OR(F248="",AT248=""),"",IF(COUNT(AI248:AS248)=0,"",AT248-LOOKUP(2,1/(AI248:AS248&lt;&gt;""),AI248:AS248)))</t>
        </is>
      </c>
      <c r="BH248" s="49" t="inlineStr">
        <is>
          <t>IF(OR(F248="",AU248=""),"",IF(COUNT(AI248:AT248)=0,"",AU248-LOOKUP(2,1/(AI248:AT248&lt;&gt;""),AI248:AT248)))</t>
        </is>
      </c>
      <c r="BI248" s="49" t="inlineStr">
        <is>
          <t>IF(OR(F248="",AV248=""),"",IF(COUNT(AI248:AU248)=0,"",AV248-LOOKUP(2,1/(AI248:AU248&lt;&gt;""),AI248:AU248)))</t>
        </is>
      </c>
      <c r="BJ248" s="51" t="inlineStr">
        <is>
          <t>IF(J248="","All_Provinces",IFERROR(VLOOKUP(J248,'09_Lookups'!$A$4:$B$20,2,FALSE),"All_Provinces"))</t>
        </is>
      </c>
      <c r="BK248" s="51" t="inlineStr">
        <is>
          <t>IF(K248="","All_Districts",IFERROR(VLOOKUP(K248,'09_Lookups'!$E$4:$F$42,2,FALSE),"All_Districts"))</t>
        </is>
      </c>
    </row>
    <row r="249" outlineLevel="1" ht="18" customHeight="1">
      <c r="A249" s="42" t="inlineStr">
        <is>
          <t>IF(F249="","",ROW()-3)</t>
        </is>
      </c>
      <c r="B249" s="43" t="inlineStr">
        <is>
          <t>AF2-LLL-ALL</t>
        </is>
      </c>
      <c r="C249" s="43" t="inlineStr">
        <is>
          <t>EFSP-AF2 LLL supply and delivery (50 units)</t>
        </is>
      </c>
      <c r="D249" s="43" t="inlineStr">
        <is>
          <t>38 of 50</t>
        </is>
      </c>
      <c r="E249" s="44" t="inlineStr">
        <is>
          <t>AF2-LLL-N-038</t>
        </is>
      </c>
      <c r="F249" s="44" t="inlineStr">
        <is>
          <t>Sang Bast Irrigation Scheme</t>
        </is>
      </c>
      <c r="G249" s="44" t="inlineStr">
        <is>
          <t>Laser Land Leveler (LLL)</t>
        </is>
      </c>
      <c r="H249" s="44" t="inlineStr">
        <is>
          <t>LLL unit</t>
        </is>
      </c>
      <c r="I249" s="44" t="inlineStr">
        <is>
          <t>Emergency Food Security Project (EFSP) – WBK/AF-2</t>
        </is>
      </c>
      <c r="J249" s="44" t="inlineStr">
        <is>
          <t>West / Herat</t>
        </is>
      </c>
      <c r="K249" s="44" t="inlineStr">
        <is>
          <t>Herat</t>
        </is>
      </c>
      <c r="L249" s="44" t="inlineStr">
        <is>
          <t>Zinda Jan</t>
        </is>
      </c>
      <c r="M249" s="44" t="inlineStr">
        <is>
          <t>1 unit(s)</t>
        </is>
      </c>
      <c r="N249" s="44" t="inlineStr">
        <is>
          <t>World Bank (WBK/AF-2)</t>
        </is>
      </c>
      <c r="O249" s="44" t="inlineStr">
        <is>
          <t>Not awarded</t>
        </is>
      </c>
      <c r="P249" s="44" t="inlineStr">
        <is>
          <t>6. Supply and delivery of LLL</t>
        </is>
      </c>
      <c r="Q249" s="44" t="inlineStr"/>
      <c r="R249" s="44" t="inlineStr"/>
      <c r="S249" s="45" t="n"/>
      <c r="T249" s="46" t="inlineStr">
        <is>
          <t>IF(AQ249="","",AQ249)</t>
        </is>
      </c>
      <c r="U249" s="47" t="n">
        <v>46325</v>
      </c>
      <c r="V249" s="48" t="n"/>
      <c r="W249" s="47" t="n">
        <v>46418</v>
      </c>
      <c r="X249" s="46" t="inlineStr">
        <is>
          <t>IF(W249&lt;&gt;"",W249,IF(OR(T249="",V249=""),"",EDATE(T249,V249)))</t>
        </is>
      </c>
      <c r="Y249" s="47" t="n"/>
      <c r="Z249" s="48" t="n"/>
      <c r="AA249" s="44" t="inlineStr">
        <is>
          <t>Under Awarding</t>
        </is>
      </c>
      <c r="AB249" s="44" t="inlineStr">
        <is>
          <t>The Procurement process is initiated in April and PO will be issued late October 2026. and delivery will be done by End of December 2026 and onward in January 2027 it is planned to be distributed to the selected beneficiaries.</t>
        </is>
      </c>
      <c r="AC249" s="42" t="inlineStr">
        <is>
          <t>IF(F249="","",IF(COUNT(AI249:AV249)=0,IF(AA249="","Not started",AA249),SUBSTITUTE(LOOKUP(2,1/(AI249:AV249&lt;&gt;""),$AI$3:$AV$3),"Date: ","")))</t>
        </is>
      </c>
      <c r="AD249" s="49" t="inlineStr">
        <is>
          <t>IF(OR(F249="",COUNT(AI249:AV249)=0),"",TODAY()-LOOKUP(2,1/(AI249:AV249&lt;&gt;""),AI249:AV249))</t>
        </is>
      </c>
      <c r="AE249" s="49" t="inlineStr">
        <is>
          <t>IF(OR(F249="",COUNT(AI249:AV249)&lt;2),"",LOOKUP(2,1/(AI249:AV249&lt;&gt;""),AI249:AV249)-MIN(AI249:AV249))</t>
        </is>
      </c>
      <c r="AF249" s="49" t="inlineStr">
        <is>
          <t>IF(OR(AD249="",AC249="Not started",AC249=""),"",IFERROR(AD249-IF(VLOOKUP(AC249,'06_Status_Pipeline'!$B$3:$E$20,4,FALSE)="",0,VLOOKUP(AC249,'06_Status_Pipeline'!$B$3:$E$20,4,FALSE)),""))</t>
        </is>
      </c>
      <c r="AG249" s="42" t="inlineStr">
        <is>
          <t>IF(F249="","",IF(OR(AA249="Cancelled",AC249="Cancelled"),"Cancelled",IF(OR(AC249="Completed / Handover",Y249&lt;&gt;"",Z249&gt;=100),"Completed — on track",IF(O249="Not awarded",IF(U249="",IF(X249="","No planned date",IF(TODAY()&gt;X249,"Behind — past planned date",IF(X249-TODAY()&lt;=30,"At risk — close to off track","On track"))),IF(TODAY()&gt;U249,"Behind — award date passed",IF(U249-TODAY()&lt;=30,"At risk — close to off track","On track"))),IF(X249="","No planned date",IF(AND(TODAY()&gt;X249,OR(Z249="",Z249&lt;100)),"Behind — past end date",IF(AND(T249&lt;&gt;"",X249&lt;&gt;"",Z249&lt;&gt;"",(Z249&lt;100),((TODAY()-T249)/MAX(X249-T249,1)*100)-Z249&gt;15),"Behind — progress lag",IF(AND(X249-TODAY()&lt;=30,X249-TODAY()&gt;=0,OR(Z249="",Z249&lt;90)),"At risk — close to off track","On track"))))))))</t>
        </is>
      </c>
      <c r="AH249" s="49" t="inlineStr">
        <is>
          <t>IF(OR(F249="",AC249="Completed / Handover",AC249="Cancelled"),"",IF(O249="Not awarded",IF(U249&lt;&gt;"",U249-TODAY(),IF(X249="","",X249-TODAY())),IF(X249="","",X249-TODAY())))</t>
        </is>
      </c>
      <c r="AI249" s="47" t="n"/>
      <c r="AJ249" s="47" t="n"/>
      <c r="AK249" s="47" t="n"/>
      <c r="AL249" s="47" t="n"/>
      <c r="AM249" s="47" t="n"/>
      <c r="AN249" s="47" t="n"/>
      <c r="AO249" s="47" t="n"/>
      <c r="AP249" s="47" t="n"/>
      <c r="AQ249" s="47" t="n"/>
      <c r="AR249" s="47" t="n"/>
      <c r="AS249" s="47" t="n"/>
      <c r="AT249" s="50" t="n"/>
      <c r="AU249" s="50" t="n"/>
      <c r="AV249" s="50" t="n"/>
      <c r="AW249" s="49" t="inlineStr">
        <is>
          <t>IF(OR(F249="",AJ249=""),"",IF(COUNT(AI249:AI249)=0,"",AJ249-LOOKUP(2,1/(AI249:AI249&lt;&gt;""),AI249:AI249)))</t>
        </is>
      </c>
      <c r="AX249" s="49" t="inlineStr">
        <is>
          <t>IF(OR(F249="",AK249=""),"",IF(COUNT(AI249:AJ249)=0,"",AK249-LOOKUP(2,1/(AI249:AJ249&lt;&gt;""),AI249:AJ249)))</t>
        </is>
      </c>
      <c r="AY249" s="49" t="inlineStr">
        <is>
          <t>IF(OR(F249="",AL249=""),"",IF(COUNT(AI249:AK249)=0,"",AL249-LOOKUP(2,1/(AI249:AK249&lt;&gt;""),AI249:AK249)))</t>
        </is>
      </c>
      <c r="AZ249" s="49" t="inlineStr">
        <is>
          <t>IF(OR(F249="",AM249=""),"",IF(COUNT(AI249:AL249)=0,"",AM249-LOOKUP(2,1/(AI249:AL249&lt;&gt;""),AI249:AL249)))</t>
        </is>
      </c>
      <c r="BA249" s="49" t="inlineStr">
        <is>
          <t>IF(OR(F249="",AN249=""),"",IF(COUNT(AI249:AM249)=0,"",AN249-LOOKUP(2,1/(AI249:AM249&lt;&gt;""),AI249:AM249)))</t>
        </is>
      </c>
      <c r="BB249" s="49" t="inlineStr">
        <is>
          <t>IF(OR(F249="",AO249=""),"",IF(COUNT(AI249:AN249)=0,"",AO249-LOOKUP(2,1/(AI249:AN249&lt;&gt;""),AI249:AN249)))</t>
        </is>
      </c>
      <c r="BC249" s="49" t="inlineStr">
        <is>
          <t>IF(OR(F249="",AP249=""),"",IF(COUNT(AI249:AO249)=0,"",AP249-LOOKUP(2,1/(AI249:AO249&lt;&gt;""),AI249:AO249)))</t>
        </is>
      </c>
      <c r="BD249" s="49" t="inlineStr">
        <is>
          <t>IF(OR(F249="",AQ249=""),"",IF(COUNT(AI249:AP249)=0,"",AQ249-LOOKUP(2,1/(AI249:AP249&lt;&gt;""),AI249:AP249)))</t>
        </is>
      </c>
      <c r="BE249" s="49" t="inlineStr">
        <is>
          <t>IF(OR(F249="",AR249=""),"",IF(COUNT(AI249:AQ249)=0,"",AR249-LOOKUP(2,1/(AI249:AQ249&lt;&gt;""),AI249:AQ249)))</t>
        </is>
      </c>
      <c r="BF249" s="49" t="inlineStr">
        <is>
          <t>IF(OR(F249="",AS249=""),"",IF(COUNT(AI249:AR249)=0,"",AS249-LOOKUP(2,1/(AI249:AR249&lt;&gt;""),AI249:AR249)))</t>
        </is>
      </c>
      <c r="BG249" s="49" t="inlineStr">
        <is>
          <t>IF(OR(F249="",AT249=""),"",IF(COUNT(AI249:AS249)=0,"",AT249-LOOKUP(2,1/(AI249:AS249&lt;&gt;""),AI249:AS249)))</t>
        </is>
      </c>
      <c r="BH249" s="49" t="inlineStr">
        <is>
          <t>IF(OR(F249="",AU249=""),"",IF(COUNT(AI249:AT249)=0,"",AU249-LOOKUP(2,1/(AI249:AT249&lt;&gt;""),AI249:AT249)))</t>
        </is>
      </c>
      <c r="BI249" s="49" t="inlineStr">
        <is>
          <t>IF(OR(F249="",AV249=""),"",IF(COUNT(AI249:AU249)=0,"",AV249-LOOKUP(2,1/(AI249:AU249&lt;&gt;""),AI249:AU249)))</t>
        </is>
      </c>
      <c r="BJ249" s="51" t="inlineStr">
        <is>
          <t>IF(J249="","All_Provinces",IFERROR(VLOOKUP(J249,'09_Lookups'!$A$4:$B$20,2,FALSE),"All_Provinces"))</t>
        </is>
      </c>
      <c r="BK249" s="51" t="inlineStr">
        <is>
          <t>IF(K249="","All_Districts",IFERROR(VLOOKUP(K249,'09_Lookups'!$E$4:$F$42,2,FALSE),"All_Districts"))</t>
        </is>
      </c>
    </row>
    <row r="250" outlineLevel="1" ht="18" customHeight="1">
      <c r="A250" s="42" t="inlineStr">
        <is>
          <t>IF(F250="","",ROW()-3)</t>
        </is>
      </c>
      <c r="B250" s="43" t="inlineStr">
        <is>
          <t>AF2-LLL-ALL</t>
        </is>
      </c>
      <c r="C250" s="43" t="inlineStr">
        <is>
          <t>EFSP-AF2 LLL supply and delivery (50 units)</t>
        </is>
      </c>
      <c r="D250" s="43" t="inlineStr">
        <is>
          <t>39 of 50</t>
        </is>
      </c>
      <c r="E250" s="52" t="inlineStr">
        <is>
          <t>AF2-LLL-N-039</t>
        </is>
      </c>
      <c r="F250" s="52" t="inlineStr">
        <is>
          <t>Sardar Ha IS</t>
        </is>
      </c>
      <c r="G250" s="52" t="inlineStr">
        <is>
          <t>Laser Land Leveler (LLL)</t>
        </is>
      </c>
      <c r="H250" s="52" t="inlineStr">
        <is>
          <t>LLL unit</t>
        </is>
      </c>
      <c r="I250" s="52" t="inlineStr">
        <is>
          <t>Emergency Food Security Project (EFSP) – WBK/AF-2</t>
        </is>
      </c>
      <c r="J250" s="52" t="inlineStr">
        <is>
          <t>Northeast / Kunduz</t>
        </is>
      </c>
      <c r="K250" s="52" t="inlineStr">
        <is>
          <t>Baghlan</t>
        </is>
      </c>
      <c r="L250" s="52" t="inlineStr">
        <is>
          <t>Deh Sala</t>
        </is>
      </c>
      <c r="M250" s="52" t="inlineStr">
        <is>
          <t>1 unit(s)</t>
        </is>
      </c>
      <c r="N250" s="52" t="inlineStr">
        <is>
          <t>World Bank (WBK/AF-2)</t>
        </is>
      </c>
      <c r="O250" s="52" t="inlineStr">
        <is>
          <t>Not awarded</t>
        </is>
      </c>
      <c r="P250" s="52" t="inlineStr">
        <is>
          <t>6. Supply and delivery of LLL</t>
        </is>
      </c>
      <c r="Q250" s="52" t="inlineStr"/>
      <c r="R250" s="52" t="inlineStr"/>
      <c r="S250" s="53" t="n"/>
      <c r="T250" s="46" t="inlineStr">
        <is>
          <t>IF(AQ250="","",AQ250)</t>
        </is>
      </c>
      <c r="U250" s="54" t="n">
        <v>46325</v>
      </c>
      <c r="V250" s="55" t="n"/>
      <c r="W250" s="54" t="n">
        <v>46418</v>
      </c>
      <c r="X250" s="46" t="inlineStr">
        <is>
          <t>IF(W250&lt;&gt;"",W250,IF(OR(T250="",V250=""),"",EDATE(T250,V250)))</t>
        </is>
      </c>
      <c r="Y250" s="54" t="n"/>
      <c r="Z250" s="55" t="n"/>
      <c r="AA250" s="52" t="inlineStr">
        <is>
          <t>Under Awarding</t>
        </is>
      </c>
      <c r="AB250" s="52" t="inlineStr">
        <is>
          <t>The Procurement process is initiated in April and PO will be issued late October 2026. and delivery will be done by End of December 2026 and onward in January 2027 it is planned to be distributed to the selected beneficiaries.</t>
        </is>
      </c>
      <c r="AC250" s="42" t="inlineStr">
        <is>
          <t>IF(F250="","",IF(COUNT(AI250:AV250)=0,IF(AA250="","Not started",AA250),SUBSTITUTE(LOOKUP(2,1/(AI250:AV250&lt;&gt;""),$AI$3:$AV$3),"Date: ","")))</t>
        </is>
      </c>
      <c r="AD250" s="49" t="inlineStr">
        <is>
          <t>IF(OR(F250="",COUNT(AI250:AV250)=0),"",TODAY()-LOOKUP(2,1/(AI250:AV250&lt;&gt;""),AI250:AV250))</t>
        </is>
      </c>
      <c r="AE250" s="49" t="inlineStr">
        <is>
          <t>IF(OR(F250="",COUNT(AI250:AV250)&lt;2),"",LOOKUP(2,1/(AI250:AV250&lt;&gt;""),AI250:AV250)-MIN(AI250:AV250))</t>
        </is>
      </c>
      <c r="AF250" s="49" t="inlineStr">
        <is>
          <t>IF(OR(AD250="",AC250="Not started",AC250=""),"",IFERROR(AD250-IF(VLOOKUP(AC250,'06_Status_Pipeline'!$B$3:$E$20,4,FALSE)="",0,VLOOKUP(AC250,'06_Status_Pipeline'!$B$3:$E$20,4,FALSE)),""))</t>
        </is>
      </c>
      <c r="AG250" s="42" t="inlineStr">
        <is>
          <t>IF(F250="","",IF(OR(AA250="Cancelled",AC250="Cancelled"),"Cancelled",IF(OR(AC250="Completed / Handover",Y250&lt;&gt;"",Z250&gt;=100),"Completed — on track",IF(O250="Not awarded",IF(U250="",IF(X250="","No planned date",IF(TODAY()&gt;X250,"Behind — past planned date",IF(X250-TODAY()&lt;=30,"At risk — close to off track","On track"))),IF(TODAY()&gt;U250,"Behind — award date passed",IF(U250-TODAY()&lt;=30,"At risk — close to off track","On track"))),IF(X250="","No planned date",IF(AND(TODAY()&gt;X250,OR(Z250="",Z250&lt;100)),"Behind — past end date",IF(AND(T250&lt;&gt;"",X250&lt;&gt;"",Z250&lt;&gt;"",(Z250&lt;100),((TODAY()-T250)/MAX(X250-T250,1)*100)-Z250&gt;15),"Behind — progress lag",IF(AND(X250-TODAY()&lt;=30,X250-TODAY()&gt;=0,OR(Z250="",Z250&lt;90)),"At risk — close to off track","On track"))))))))</t>
        </is>
      </c>
      <c r="AH250" s="49" t="inlineStr">
        <is>
          <t>IF(OR(F250="",AC250="Completed / Handover",AC250="Cancelled"),"",IF(O250="Not awarded",IF(U250&lt;&gt;"",U250-TODAY(),IF(X250="","",X250-TODAY())),IF(X250="","",X250-TODAY())))</t>
        </is>
      </c>
      <c r="AI250" s="54" t="n"/>
      <c r="AJ250" s="54" t="n"/>
      <c r="AK250" s="54" t="n"/>
      <c r="AL250" s="54" t="n"/>
      <c r="AM250" s="54" t="n"/>
      <c r="AN250" s="54" t="n"/>
      <c r="AO250" s="54" t="n"/>
      <c r="AP250" s="54" t="n"/>
      <c r="AQ250" s="54" t="n"/>
      <c r="AR250" s="54" t="n"/>
      <c r="AS250" s="54" t="n"/>
      <c r="AT250" s="50" t="n"/>
      <c r="AU250" s="50" t="n"/>
      <c r="AV250" s="50" t="n"/>
      <c r="AW250" s="49" t="inlineStr">
        <is>
          <t>IF(OR(F250="",AJ250=""),"",IF(COUNT(AI250:AI250)=0,"",AJ250-LOOKUP(2,1/(AI250:AI250&lt;&gt;""),AI250:AI250)))</t>
        </is>
      </c>
      <c r="AX250" s="49" t="inlineStr">
        <is>
          <t>IF(OR(F250="",AK250=""),"",IF(COUNT(AI250:AJ250)=0,"",AK250-LOOKUP(2,1/(AI250:AJ250&lt;&gt;""),AI250:AJ250)))</t>
        </is>
      </c>
      <c r="AY250" s="49" t="inlineStr">
        <is>
          <t>IF(OR(F250="",AL250=""),"",IF(COUNT(AI250:AK250)=0,"",AL250-LOOKUP(2,1/(AI250:AK250&lt;&gt;""),AI250:AK250)))</t>
        </is>
      </c>
      <c r="AZ250" s="49" t="inlineStr">
        <is>
          <t>IF(OR(F250="",AM250=""),"",IF(COUNT(AI250:AL250)=0,"",AM250-LOOKUP(2,1/(AI250:AL250&lt;&gt;""),AI250:AL250)))</t>
        </is>
      </c>
      <c r="BA250" s="49" t="inlineStr">
        <is>
          <t>IF(OR(F250="",AN250=""),"",IF(COUNT(AI250:AM250)=0,"",AN250-LOOKUP(2,1/(AI250:AM250&lt;&gt;""),AI250:AM250)))</t>
        </is>
      </c>
      <c r="BB250" s="49" t="inlineStr">
        <is>
          <t>IF(OR(F250="",AO250=""),"",IF(COUNT(AI250:AN250)=0,"",AO250-LOOKUP(2,1/(AI250:AN250&lt;&gt;""),AI250:AN250)))</t>
        </is>
      </c>
      <c r="BC250" s="49" t="inlineStr">
        <is>
          <t>IF(OR(F250="",AP250=""),"",IF(COUNT(AI250:AO250)=0,"",AP250-LOOKUP(2,1/(AI250:AO250&lt;&gt;""),AI250:AO250)))</t>
        </is>
      </c>
      <c r="BD250" s="49" t="inlineStr">
        <is>
          <t>IF(OR(F250="",AQ250=""),"",IF(COUNT(AI250:AP250)=0,"",AQ250-LOOKUP(2,1/(AI250:AP250&lt;&gt;""),AI250:AP250)))</t>
        </is>
      </c>
      <c r="BE250" s="49" t="inlineStr">
        <is>
          <t>IF(OR(F250="",AR250=""),"",IF(COUNT(AI250:AQ250)=0,"",AR250-LOOKUP(2,1/(AI250:AQ250&lt;&gt;""),AI250:AQ250)))</t>
        </is>
      </c>
      <c r="BF250" s="49" t="inlineStr">
        <is>
          <t>IF(OR(F250="",AS250=""),"",IF(COUNT(AI250:AR250)=0,"",AS250-LOOKUP(2,1/(AI250:AR250&lt;&gt;""),AI250:AR250)))</t>
        </is>
      </c>
      <c r="BG250" s="49" t="inlineStr">
        <is>
          <t>IF(OR(F250="",AT250=""),"",IF(COUNT(AI250:AS250)=0,"",AT250-LOOKUP(2,1/(AI250:AS250&lt;&gt;""),AI250:AS250)))</t>
        </is>
      </c>
      <c r="BH250" s="49" t="inlineStr">
        <is>
          <t>IF(OR(F250="",AU250=""),"",IF(COUNT(AI250:AT250)=0,"",AU250-LOOKUP(2,1/(AI250:AT250&lt;&gt;""),AI250:AT250)))</t>
        </is>
      </c>
      <c r="BI250" s="49" t="inlineStr">
        <is>
          <t>IF(OR(F250="",AV250=""),"",IF(COUNT(AI250:AU250)=0,"",AV250-LOOKUP(2,1/(AI250:AU250&lt;&gt;""),AI250:AU250)))</t>
        </is>
      </c>
      <c r="BJ250" s="51" t="inlineStr">
        <is>
          <t>IF(J250="","All_Provinces",IFERROR(VLOOKUP(J250,'09_Lookups'!$A$4:$B$20,2,FALSE),"All_Provinces"))</t>
        </is>
      </c>
      <c r="BK250" s="51" t="inlineStr">
        <is>
          <t>IF(K250="","All_Districts",IFERROR(VLOOKUP(K250,'09_Lookups'!$E$4:$F$42,2,FALSE),"All_Districts"))</t>
        </is>
      </c>
    </row>
    <row r="251" outlineLevel="1" ht="18" customHeight="1">
      <c r="A251" s="42" t="inlineStr">
        <is>
          <t>IF(F251="","",ROW()-3)</t>
        </is>
      </c>
      <c r="B251" s="43" t="inlineStr">
        <is>
          <t>AF2-LLL-ALL</t>
        </is>
      </c>
      <c r="C251" s="43" t="inlineStr">
        <is>
          <t>EFSP-AF2 LLL supply and delivery (50 units)</t>
        </is>
      </c>
      <c r="D251" s="43" t="inlineStr">
        <is>
          <t>40 of 50</t>
        </is>
      </c>
      <c r="E251" s="44" t="inlineStr">
        <is>
          <t>AF2-LLL-N-040</t>
        </is>
      </c>
      <c r="F251" s="44" t="inlineStr">
        <is>
          <t>Sarkay Lazhey irrigation scheme</t>
        </is>
      </c>
      <c r="G251" s="44" t="inlineStr">
        <is>
          <t>Laser Land Leveler (LLL)</t>
        </is>
      </c>
      <c r="H251" s="44" t="inlineStr">
        <is>
          <t>LLL unit</t>
        </is>
      </c>
      <c r="I251" s="44" t="inlineStr">
        <is>
          <t>Emergency Food Security Project (EFSP) – WBK/AF-2</t>
        </is>
      </c>
      <c r="J251" s="44" t="inlineStr">
        <is>
          <t>South / Kandahar</t>
        </is>
      </c>
      <c r="K251" s="44" t="inlineStr">
        <is>
          <t>Kandahar</t>
        </is>
      </c>
      <c r="L251" s="44" t="inlineStr">
        <is>
          <t>Spin Boldak</t>
        </is>
      </c>
      <c r="M251" s="44" t="inlineStr">
        <is>
          <t>1 unit(s)</t>
        </is>
      </c>
      <c r="N251" s="44" t="inlineStr">
        <is>
          <t>World Bank (WBK/AF-2)</t>
        </is>
      </c>
      <c r="O251" s="44" t="inlineStr">
        <is>
          <t>Not awarded</t>
        </is>
      </c>
      <c r="P251" s="44" t="inlineStr">
        <is>
          <t>6. Supply and delivery of LLL</t>
        </is>
      </c>
      <c r="Q251" s="44" t="inlineStr"/>
      <c r="R251" s="44" t="inlineStr"/>
      <c r="S251" s="45" t="n"/>
      <c r="T251" s="46" t="inlineStr">
        <is>
          <t>IF(AQ251="","",AQ251)</t>
        </is>
      </c>
      <c r="U251" s="47" t="n">
        <v>46325</v>
      </c>
      <c r="V251" s="48" t="n"/>
      <c r="W251" s="47" t="n">
        <v>46418</v>
      </c>
      <c r="X251" s="46" t="inlineStr">
        <is>
          <t>IF(W251&lt;&gt;"",W251,IF(OR(T251="",V251=""),"",EDATE(T251,V251)))</t>
        </is>
      </c>
      <c r="Y251" s="47" t="n"/>
      <c r="Z251" s="48" t="n"/>
      <c r="AA251" s="44" t="inlineStr">
        <is>
          <t>Under Awarding</t>
        </is>
      </c>
      <c r="AB251" s="44" t="inlineStr">
        <is>
          <t>The Procurement process is initiated in April and PO will be issued late October 2026. and delivery will be done by End of December 2026 and onward in January 2027 it is planned to be distributed to the selected beneficiaries.</t>
        </is>
      </c>
      <c r="AC251" s="42" t="inlineStr">
        <is>
          <t>IF(F251="","",IF(COUNT(AI251:AV251)=0,IF(AA251="","Not started",AA251),SUBSTITUTE(LOOKUP(2,1/(AI251:AV251&lt;&gt;""),$AI$3:$AV$3),"Date: ","")))</t>
        </is>
      </c>
      <c r="AD251" s="49" t="inlineStr">
        <is>
          <t>IF(OR(F251="",COUNT(AI251:AV251)=0),"",TODAY()-LOOKUP(2,1/(AI251:AV251&lt;&gt;""),AI251:AV251))</t>
        </is>
      </c>
      <c r="AE251" s="49" t="inlineStr">
        <is>
          <t>IF(OR(F251="",COUNT(AI251:AV251)&lt;2),"",LOOKUP(2,1/(AI251:AV251&lt;&gt;""),AI251:AV251)-MIN(AI251:AV251))</t>
        </is>
      </c>
      <c r="AF251" s="49" t="inlineStr">
        <is>
          <t>IF(OR(AD251="",AC251="Not started",AC251=""),"",IFERROR(AD251-IF(VLOOKUP(AC251,'06_Status_Pipeline'!$B$3:$E$20,4,FALSE)="",0,VLOOKUP(AC251,'06_Status_Pipeline'!$B$3:$E$20,4,FALSE)),""))</t>
        </is>
      </c>
      <c r="AG251" s="42" t="inlineStr">
        <is>
          <t>IF(F251="","",IF(OR(AA251="Cancelled",AC251="Cancelled"),"Cancelled",IF(OR(AC251="Completed / Handover",Y251&lt;&gt;"",Z251&gt;=100),"Completed — on track",IF(O251="Not awarded",IF(U251="",IF(X251="","No planned date",IF(TODAY()&gt;X251,"Behind — past planned date",IF(X251-TODAY()&lt;=30,"At risk — close to off track","On track"))),IF(TODAY()&gt;U251,"Behind — award date passed",IF(U251-TODAY()&lt;=30,"At risk — close to off track","On track"))),IF(X251="","No planned date",IF(AND(TODAY()&gt;X251,OR(Z251="",Z251&lt;100)),"Behind — past end date",IF(AND(T251&lt;&gt;"",X251&lt;&gt;"",Z251&lt;&gt;"",(Z251&lt;100),((TODAY()-T251)/MAX(X251-T251,1)*100)-Z251&gt;15),"Behind — progress lag",IF(AND(X251-TODAY()&lt;=30,X251-TODAY()&gt;=0,OR(Z251="",Z251&lt;90)),"At risk — close to off track","On track"))))))))</t>
        </is>
      </c>
      <c r="AH251" s="49" t="inlineStr">
        <is>
          <t>IF(OR(F251="",AC251="Completed / Handover",AC251="Cancelled"),"",IF(O251="Not awarded",IF(U251&lt;&gt;"",U251-TODAY(),IF(X251="","",X251-TODAY())),IF(X251="","",X251-TODAY())))</t>
        </is>
      </c>
      <c r="AI251" s="47" t="n"/>
      <c r="AJ251" s="47" t="n"/>
      <c r="AK251" s="47" t="n"/>
      <c r="AL251" s="47" t="n"/>
      <c r="AM251" s="47" t="n"/>
      <c r="AN251" s="47" t="n"/>
      <c r="AO251" s="47" t="n"/>
      <c r="AP251" s="47" t="n"/>
      <c r="AQ251" s="47" t="n"/>
      <c r="AR251" s="47" t="n"/>
      <c r="AS251" s="47" t="n"/>
      <c r="AT251" s="50" t="n"/>
      <c r="AU251" s="50" t="n"/>
      <c r="AV251" s="50" t="n"/>
      <c r="AW251" s="49" t="inlineStr">
        <is>
          <t>IF(OR(F251="",AJ251=""),"",IF(COUNT(AI251:AI251)=0,"",AJ251-LOOKUP(2,1/(AI251:AI251&lt;&gt;""),AI251:AI251)))</t>
        </is>
      </c>
      <c r="AX251" s="49" t="inlineStr">
        <is>
          <t>IF(OR(F251="",AK251=""),"",IF(COUNT(AI251:AJ251)=0,"",AK251-LOOKUP(2,1/(AI251:AJ251&lt;&gt;""),AI251:AJ251)))</t>
        </is>
      </c>
      <c r="AY251" s="49" t="inlineStr">
        <is>
          <t>IF(OR(F251="",AL251=""),"",IF(COUNT(AI251:AK251)=0,"",AL251-LOOKUP(2,1/(AI251:AK251&lt;&gt;""),AI251:AK251)))</t>
        </is>
      </c>
      <c r="AZ251" s="49" t="inlineStr">
        <is>
          <t>IF(OR(F251="",AM251=""),"",IF(COUNT(AI251:AL251)=0,"",AM251-LOOKUP(2,1/(AI251:AL251&lt;&gt;""),AI251:AL251)))</t>
        </is>
      </c>
      <c r="BA251" s="49" t="inlineStr">
        <is>
          <t>IF(OR(F251="",AN251=""),"",IF(COUNT(AI251:AM251)=0,"",AN251-LOOKUP(2,1/(AI251:AM251&lt;&gt;""),AI251:AM251)))</t>
        </is>
      </c>
      <c r="BB251" s="49" t="inlineStr">
        <is>
          <t>IF(OR(F251="",AO251=""),"",IF(COUNT(AI251:AN251)=0,"",AO251-LOOKUP(2,1/(AI251:AN251&lt;&gt;""),AI251:AN251)))</t>
        </is>
      </c>
      <c r="BC251" s="49" t="inlineStr">
        <is>
          <t>IF(OR(F251="",AP251=""),"",IF(COUNT(AI251:AO251)=0,"",AP251-LOOKUP(2,1/(AI251:AO251&lt;&gt;""),AI251:AO251)))</t>
        </is>
      </c>
      <c r="BD251" s="49" t="inlineStr">
        <is>
          <t>IF(OR(F251="",AQ251=""),"",IF(COUNT(AI251:AP251)=0,"",AQ251-LOOKUP(2,1/(AI251:AP251&lt;&gt;""),AI251:AP251)))</t>
        </is>
      </c>
      <c r="BE251" s="49" t="inlineStr">
        <is>
          <t>IF(OR(F251="",AR251=""),"",IF(COUNT(AI251:AQ251)=0,"",AR251-LOOKUP(2,1/(AI251:AQ251&lt;&gt;""),AI251:AQ251)))</t>
        </is>
      </c>
      <c r="BF251" s="49" t="inlineStr">
        <is>
          <t>IF(OR(F251="",AS251=""),"",IF(COUNT(AI251:AR251)=0,"",AS251-LOOKUP(2,1/(AI251:AR251&lt;&gt;""),AI251:AR251)))</t>
        </is>
      </c>
      <c r="BG251" s="49" t="inlineStr">
        <is>
          <t>IF(OR(F251="",AT251=""),"",IF(COUNT(AI251:AS251)=0,"",AT251-LOOKUP(2,1/(AI251:AS251&lt;&gt;""),AI251:AS251)))</t>
        </is>
      </c>
      <c r="BH251" s="49" t="inlineStr">
        <is>
          <t>IF(OR(F251="",AU251=""),"",IF(COUNT(AI251:AT251)=0,"",AU251-LOOKUP(2,1/(AI251:AT251&lt;&gt;""),AI251:AT251)))</t>
        </is>
      </c>
      <c r="BI251" s="49" t="inlineStr">
        <is>
          <t>IF(OR(F251="",AV251=""),"",IF(COUNT(AI251:AU251)=0,"",AV251-LOOKUP(2,1/(AI251:AU251&lt;&gt;""),AI251:AU251)))</t>
        </is>
      </c>
      <c r="BJ251" s="51" t="inlineStr">
        <is>
          <t>IF(J251="","All_Provinces",IFERROR(VLOOKUP(J251,'09_Lookups'!$A$4:$B$20,2,FALSE),"All_Provinces"))</t>
        </is>
      </c>
      <c r="BK251" s="51" t="inlineStr">
        <is>
          <t>IF(K251="","All_Districts",IFERROR(VLOOKUP(K251,'09_Lookups'!$E$4:$F$42,2,FALSE),"All_Districts"))</t>
        </is>
      </c>
    </row>
    <row r="252" outlineLevel="1" ht="18" customHeight="1">
      <c r="A252" s="42" t="inlineStr">
        <is>
          <t>IF(F252="","",ROW()-3)</t>
        </is>
      </c>
      <c r="B252" s="43" t="inlineStr">
        <is>
          <t>AF2-LLL-ALL</t>
        </is>
      </c>
      <c r="C252" s="43" t="inlineStr">
        <is>
          <t>EFSP-AF2 LLL supply and delivery (50 units)</t>
        </is>
      </c>
      <c r="D252" s="43" t="inlineStr">
        <is>
          <t>41 of 50</t>
        </is>
      </c>
      <c r="E252" s="52" t="inlineStr">
        <is>
          <t>AF2-LLL-N-041</t>
        </is>
      </c>
      <c r="F252" s="52" t="inlineStr">
        <is>
          <t>Shaflan Irrigation Canal</t>
        </is>
      </c>
      <c r="G252" s="52" t="inlineStr">
        <is>
          <t>Laser Land Leveler (LLL)</t>
        </is>
      </c>
      <c r="H252" s="52" t="inlineStr">
        <is>
          <t>LLL unit</t>
        </is>
      </c>
      <c r="I252" s="52" t="inlineStr">
        <is>
          <t>Emergency Food Security Project (EFSP) – WBK/AF-2</t>
        </is>
      </c>
      <c r="J252" s="52" t="inlineStr">
        <is>
          <t>West / Herat</t>
        </is>
      </c>
      <c r="K252" s="52" t="inlineStr">
        <is>
          <t>Herat</t>
        </is>
      </c>
      <c r="L252" s="52" t="inlineStr">
        <is>
          <t>Pashton Zarghon</t>
        </is>
      </c>
      <c r="M252" s="52" t="inlineStr">
        <is>
          <t>1 unit(s)</t>
        </is>
      </c>
      <c r="N252" s="52" t="inlineStr">
        <is>
          <t>World Bank (WBK/AF-2)</t>
        </is>
      </c>
      <c r="O252" s="52" t="inlineStr">
        <is>
          <t>Not awarded</t>
        </is>
      </c>
      <c r="P252" s="52" t="inlineStr">
        <is>
          <t>6. Supply and delivery of LLL</t>
        </is>
      </c>
      <c r="Q252" s="52" t="inlineStr"/>
      <c r="R252" s="52" t="inlineStr"/>
      <c r="S252" s="53" t="n"/>
      <c r="T252" s="46" t="inlineStr">
        <is>
          <t>IF(AQ252="","",AQ252)</t>
        </is>
      </c>
      <c r="U252" s="54" t="n">
        <v>46325</v>
      </c>
      <c r="V252" s="55" t="n"/>
      <c r="W252" s="54" t="n">
        <v>46418</v>
      </c>
      <c r="X252" s="46" t="inlineStr">
        <is>
          <t>IF(W252&lt;&gt;"",W252,IF(OR(T252="",V252=""),"",EDATE(T252,V252)))</t>
        </is>
      </c>
      <c r="Y252" s="54" t="n"/>
      <c r="Z252" s="55" t="n"/>
      <c r="AA252" s="52" t="inlineStr">
        <is>
          <t>Under Awarding</t>
        </is>
      </c>
      <c r="AB252" s="52" t="inlineStr">
        <is>
          <t>The Procurement process is initiated in April and PO will be issued late October 2026. and delivery will be done by End of December 2026 and onward in January 2027 it is planned to be distributed to the selected beneficiaries.</t>
        </is>
      </c>
      <c r="AC252" s="42" t="inlineStr">
        <is>
          <t>IF(F252="","",IF(COUNT(AI252:AV252)=0,IF(AA252="","Not started",AA252),SUBSTITUTE(LOOKUP(2,1/(AI252:AV252&lt;&gt;""),$AI$3:$AV$3),"Date: ","")))</t>
        </is>
      </c>
      <c r="AD252" s="49" t="inlineStr">
        <is>
          <t>IF(OR(F252="",COUNT(AI252:AV252)=0),"",TODAY()-LOOKUP(2,1/(AI252:AV252&lt;&gt;""),AI252:AV252))</t>
        </is>
      </c>
      <c r="AE252" s="49" t="inlineStr">
        <is>
          <t>IF(OR(F252="",COUNT(AI252:AV252)&lt;2),"",LOOKUP(2,1/(AI252:AV252&lt;&gt;""),AI252:AV252)-MIN(AI252:AV252))</t>
        </is>
      </c>
      <c r="AF252" s="49" t="inlineStr">
        <is>
          <t>IF(OR(AD252="",AC252="Not started",AC252=""),"",IFERROR(AD252-IF(VLOOKUP(AC252,'06_Status_Pipeline'!$B$3:$E$20,4,FALSE)="",0,VLOOKUP(AC252,'06_Status_Pipeline'!$B$3:$E$20,4,FALSE)),""))</t>
        </is>
      </c>
      <c r="AG252" s="42" t="inlineStr">
        <is>
          <t>IF(F252="","",IF(OR(AA252="Cancelled",AC252="Cancelled"),"Cancelled",IF(OR(AC252="Completed / Handover",Y252&lt;&gt;"",Z252&gt;=100),"Completed — on track",IF(O252="Not awarded",IF(U252="",IF(X252="","No planned date",IF(TODAY()&gt;X252,"Behind — past planned date",IF(X252-TODAY()&lt;=30,"At risk — close to off track","On track"))),IF(TODAY()&gt;U252,"Behind — award date passed",IF(U252-TODAY()&lt;=30,"At risk — close to off track","On track"))),IF(X252="","No planned date",IF(AND(TODAY()&gt;X252,OR(Z252="",Z252&lt;100)),"Behind — past end date",IF(AND(T252&lt;&gt;"",X252&lt;&gt;"",Z252&lt;&gt;"",(Z252&lt;100),((TODAY()-T252)/MAX(X252-T252,1)*100)-Z252&gt;15),"Behind — progress lag",IF(AND(X252-TODAY()&lt;=30,X252-TODAY()&gt;=0,OR(Z252="",Z252&lt;90)),"At risk — close to off track","On track"))))))))</t>
        </is>
      </c>
      <c r="AH252" s="49" t="inlineStr">
        <is>
          <t>IF(OR(F252="",AC252="Completed / Handover",AC252="Cancelled"),"",IF(O252="Not awarded",IF(U252&lt;&gt;"",U252-TODAY(),IF(X252="","",X252-TODAY())),IF(X252="","",X252-TODAY())))</t>
        </is>
      </c>
      <c r="AI252" s="54" t="n"/>
      <c r="AJ252" s="54" t="n"/>
      <c r="AK252" s="54" t="n"/>
      <c r="AL252" s="54" t="n"/>
      <c r="AM252" s="54" t="n"/>
      <c r="AN252" s="54" t="n"/>
      <c r="AO252" s="54" t="n"/>
      <c r="AP252" s="54" t="n"/>
      <c r="AQ252" s="54" t="n"/>
      <c r="AR252" s="54" t="n"/>
      <c r="AS252" s="54" t="n"/>
      <c r="AT252" s="50" t="n"/>
      <c r="AU252" s="50" t="n"/>
      <c r="AV252" s="50" t="n"/>
      <c r="AW252" s="49" t="inlineStr">
        <is>
          <t>IF(OR(F252="",AJ252=""),"",IF(COUNT(AI252:AI252)=0,"",AJ252-LOOKUP(2,1/(AI252:AI252&lt;&gt;""),AI252:AI252)))</t>
        </is>
      </c>
      <c r="AX252" s="49" t="inlineStr">
        <is>
          <t>IF(OR(F252="",AK252=""),"",IF(COUNT(AI252:AJ252)=0,"",AK252-LOOKUP(2,1/(AI252:AJ252&lt;&gt;""),AI252:AJ252)))</t>
        </is>
      </c>
      <c r="AY252" s="49" t="inlineStr">
        <is>
          <t>IF(OR(F252="",AL252=""),"",IF(COUNT(AI252:AK252)=0,"",AL252-LOOKUP(2,1/(AI252:AK252&lt;&gt;""),AI252:AK252)))</t>
        </is>
      </c>
      <c r="AZ252" s="49" t="inlineStr">
        <is>
          <t>IF(OR(F252="",AM252=""),"",IF(COUNT(AI252:AL252)=0,"",AM252-LOOKUP(2,1/(AI252:AL252&lt;&gt;""),AI252:AL252)))</t>
        </is>
      </c>
      <c r="BA252" s="49" t="inlineStr">
        <is>
          <t>IF(OR(F252="",AN252=""),"",IF(COUNT(AI252:AM252)=0,"",AN252-LOOKUP(2,1/(AI252:AM252&lt;&gt;""),AI252:AM252)))</t>
        </is>
      </c>
      <c r="BB252" s="49" t="inlineStr">
        <is>
          <t>IF(OR(F252="",AO252=""),"",IF(COUNT(AI252:AN252)=0,"",AO252-LOOKUP(2,1/(AI252:AN252&lt;&gt;""),AI252:AN252)))</t>
        </is>
      </c>
      <c r="BC252" s="49" t="inlineStr">
        <is>
          <t>IF(OR(F252="",AP252=""),"",IF(COUNT(AI252:AO252)=0,"",AP252-LOOKUP(2,1/(AI252:AO252&lt;&gt;""),AI252:AO252)))</t>
        </is>
      </c>
      <c r="BD252" s="49" t="inlineStr">
        <is>
          <t>IF(OR(F252="",AQ252=""),"",IF(COUNT(AI252:AP252)=0,"",AQ252-LOOKUP(2,1/(AI252:AP252&lt;&gt;""),AI252:AP252)))</t>
        </is>
      </c>
      <c r="BE252" s="49" t="inlineStr">
        <is>
          <t>IF(OR(F252="",AR252=""),"",IF(COUNT(AI252:AQ252)=0,"",AR252-LOOKUP(2,1/(AI252:AQ252&lt;&gt;""),AI252:AQ252)))</t>
        </is>
      </c>
      <c r="BF252" s="49" t="inlineStr">
        <is>
          <t>IF(OR(F252="",AS252=""),"",IF(COUNT(AI252:AR252)=0,"",AS252-LOOKUP(2,1/(AI252:AR252&lt;&gt;""),AI252:AR252)))</t>
        </is>
      </c>
      <c r="BG252" s="49" t="inlineStr">
        <is>
          <t>IF(OR(F252="",AT252=""),"",IF(COUNT(AI252:AS252)=0,"",AT252-LOOKUP(2,1/(AI252:AS252&lt;&gt;""),AI252:AS252)))</t>
        </is>
      </c>
      <c r="BH252" s="49" t="inlineStr">
        <is>
          <t>IF(OR(F252="",AU252=""),"",IF(COUNT(AI252:AT252)=0,"",AU252-LOOKUP(2,1/(AI252:AT252&lt;&gt;""),AI252:AT252)))</t>
        </is>
      </c>
      <c r="BI252" s="49" t="inlineStr">
        <is>
          <t>IF(OR(F252="",AV252=""),"",IF(COUNT(AI252:AU252)=0,"",AV252-LOOKUP(2,1/(AI252:AU252&lt;&gt;""),AI252:AU252)))</t>
        </is>
      </c>
      <c r="BJ252" s="51" t="inlineStr">
        <is>
          <t>IF(J252="","All_Provinces",IFERROR(VLOOKUP(J252,'09_Lookups'!$A$4:$B$20,2,FALSE),"All_Provinces"))</t>
        </is>
      </c>
      <c r="BK252" s="51" t="inlineStr">
        <is>
          <t>IF(K252="","All_Districts",IFERROR(VLOOKUP(K252,'09_Lookups'!$E$4:$F$42,2,FALSE),"All_Districts"))</t>
        </is>
      </c>
    </row>
    <row r="253" outlineLevel="1" ht="18" customHeight="1">
      <c r="A253" s="42" t="inlineStr">
        <is>
          <t>IF(F253="","",ROW()-3)</t>
        </is>
      </c>
      <c r="B253" s="43" t="inlineStr">
        <is>
          <t>AF2-LLL-ALL</t>
        </is>
      </c>
      <c r="C253" s="43" t="inlineStr">
        <is>
          <t>EFSP-AF2 LLL supply and delivery (50 units)</t>
        </is>
      </c>
      <c r="D253" s="43" t="inlineStr">
        <is>
          <t>42 of 50</t>
        </is>
      </c>
      <c r="E253" s="44" t="inlineStr">
        <is>
          <t>AF2-LLL-N-042</t>
        </is>
      </c>
      <c r="F253" s="44" t="inlineStr">
        <is>
          <t>Shahidan, Dasht-e Lajam IS</t>
        </is>
      </c>
      <c r="G253" s="44" t="inlineStr">
        <is>
          <t>Laser Land Leveler (LLL)</t>
        </is>
      </c>
      <c r="H253" s="44" t="inlineStr">
        <is>
          <t>LLL unit</t>
        </is>
      </c>
      <c r="I253" s="44" t="inlineStr">
        <is>
          <t>Emergency Food Security Project (EFSP) – WBK/AF-2</t>
        </is>
      </c>
      <c r="J253" s="44" t="inlineStr">
        <is>
          <t>Northeast / Kunduz</t>
        </is>
      </c>
      <c r="K253" s="44" t="inlineStr">
        <is>
          <t>Baghlan</t>
        </is>
      </c>
      <c r="L253" s="44" t="inlineStr">
        <is>
          <t>Tala Wa Barfak</t>
        </is>
      </c>
      <c r="M253" s="44" t="inlineStr">
        <is>
          <t>1 unit(s)</t>
        </is>
      </c>
      <c r="N253" s="44" t="inlineStr">
        <is>
          <t>World Bank (WBK/AF-2)</t>
        </is>
      </c>
      <c r="O253" s="44" t="inlineStr">
        <is>
          <t>Not awarded</t>
        </is>
      </c>
      <c r="P253" s="44" t="inlineStr">
        <is>
          <t>6. Supply and delivery of LLL</t>
        </is>
      </c>
      <c r="Q253" s="44" t="inlineStr"/>
      <c r="R253" s="44" t="inlineStr"/>
      <c r="S253" s="45" t="n"/>
      <c r="T253" s="46" t="inlineStr">
        <is>
          <t>IF(AQ253="","",AQ253)</t>
        </is>
      </c>
      <c r="U253" s="47" t="n">
        <v>46325</v>
      </c>
      <c r="V253" s="48" t="n"/>
      <c r="W253" s="47" t="n">
        <v>46418</v>
      </c>
      <c r="X253" s="46" t="inlineStr">
        <is>
          <t>IF(W253&lt;&gt;"",W253,IF(OR(T253="",V253=""),"",EDATE(T253,V253)))</t>
        </is>
      </c>
      <c r="Y253" s="47" t="n"/>
      <c r="Z253" s="48" t="n"/>
      <c r="AA253" s="44" t="inlineStr">
        <is>
          <t>Under Awarding</t>
        </is>
      </c>
      <c r="AB253" s="44" t="inlineStr">
        <is>
          <t>The Procurement process is initiated in April and PO will be issued late October 2026. and delivery will be done by End of December 2026 and onward in January 2027 it is planned to be distributed to the selected beneficiaries.</t>
        </is>
      </c>
      <c r="AC253" s="42" t="inlineStr">
        <is>
          <t>IF(F253="","",IF(COUNT(AI253:AV253)=0,IF(AA253="","Not started",AA253),SUBSTITUTE(LOOKUP(2,1/(AI253:AV253&lt;&gt;""),$AI$3:$AV$3),"Date: ","")))</t>
        </is>
      </c>
      <c r="AD253" s="49" t="inlineStr">
        <is>
          <t>IF(OR(F253="",COUNT(AI253:AV253)=0),"",TODAY()-LOOKUP(2,1/(AI253:AV253&lt;&gt;""),AI253:AV253))</t>
        </is>
      </c>
      <c r="AE253" s="49" t="inlineStr">
        <is>
          <t>IF(OR(F253="",COUNT(AI253:AV253)&lt;2),"",LOOKUP(2,1/(AI253:AV253&lt;&gt;""),AI253:AV253)-MIN(AI253:AV253))</t>
        </is>
      </c>
      <c r="AF253" s="49" t="inlineStr">
        <is>
          <t>IF(OR(AD253="",AC253="Not started",AC253=""),"",IFERROR(AD253-IF(VLOOKUP(AC253,'06_Status_Pipeline'!$B$3:$E$20,4,FALSE)="",0,VLOOKUP(AC253,'06_Status_Pipeline'!$B$3:$E$20,4,FALSE)),""))</t>
        </is>
      </c>
      <c r="AG253" s="42" t="inlineStr">
        <is>
          <t>IF(F253="","",IF(OR(AA253="Cancelled",AC253="Cancelled"),"Cancelled",IF(OR(AC253="Completed / Handover",Y253&lt;&gt;"",Z253&gt;=100),"Completed — on track",IF(O253="Not awarded",IF(U253="",IF(X253="","No planned date",IF(TODAY()&gt;X253,"Behind — past planned date",IF(X253-TODAY()&lt;=30,"At risk — close to off track","On track"))),IF(TODAY()&gt;U253,"Behind — award date passed",IF(U253-TODAY()&lt;=30,"At risk — close to off track","On track"))),IF(X253="","No planned date",IF(AND(TODAY()&gt;X253,OR(Z253="",Z253&lt;100)),"Behind — past end date",IF(AND(T253&lt;&gt;"",X253&lt;&gt;"",Z253&lt;&gt;"",(Z253&lt;100),((TODAY()-T253)/MAX(X253-T253,1)*100)-Z253&gt;15),"Behind — progress lag",IF(AND(X253-TODAY()&lt;=30,X253-TODAY()&gt;=0,OR(Z253="",Z253&lt;90)),"At risk — close to off track","On track"))))))))</t>
        </is>
      </c>
      <c r="AH253" s="49" t="inlineStr">
        <is>
          <t>IF(OR(F253="",AC253="Completed / Handover",AC253="Cancelled"),"",IF(O253="Not awarded",IF(U253&lt;&gt;"",U253-TODAY(),IF(X253="","",X253-TODAY())),IF(X253="","",X253-TODAY())))</t>
        </is>
      </c>
      <c r="AI253" s="47" t="n"/>
      <c r="AJ253" s="47" t="n"/>
      <c r="AK253" s="47" t="n"/>
      <c r="AL253" s="47" t="n"/>
      <c r="AM253" s="47" t="n"/>
      <c r="AN253" s="47" t="n"/>
      <c r="AO253" s="47" t="n"/>
      <c r="AP253" s="47" t="n"/>
      <c r="AQ253" s="47" t="n"/>
      <c r="AR253" s="47" t="n"/>
      <c r="AS253" s="47" t="n"/>
      <c r="AT253" s="50" t="n"/>
      <c r="AU253" s="50" t="n"/>
      <c r="AV253" s="50" t="n"/>
      <c r="AW253" s="49" t="inlineStr">
        <is>
          <t>IF(OR(F253="",AJ253=""),"",IF(COUNT(AI253:AI253)=0,"",AJ253-LOOKUP(2,1/(AI253:AI253&lt;&gt;""),AI253:AI253)))</t>
        </is>
      </c>
      <c r="AX253" s="49" t="inlineStr">
        <is>
          <t>IF(OR(F253="",AK253=""),"",IF(COUNT(AI253:AJ253)=0,"",AK253-LOOKUP(2,1/(AI253:AJ253&lt;&gt;""),AI253:AJ253)))</t>
        </is>
      </c>
      <c r="AY253" s="49" t="inlineStr">
        <is>
          <t>IF(OR(F253="",AL253=""),"",IF(COUNT(AI253:AK253)=0,"",AL253-LOOKUP(2,1/(AI253:AK253&lt;&gt;""),AI253:AK253)))</t>
        </is>
      </c>
      <c r="AZ253" s="49" t="inlineStr">
        <is>
          <t>IF(OR(F253="",AM253=""),"",IF(COUNT(AI253:AL253)=0,"",AM253-LOOKUP(2,1/(AI253:AL253&lt;&gt;""),AI253:AL253)))</t>
        </is>
      </c>
      <c r="BA253" s="49" t="inlineStr">
        <is>
          <t>IF(OR(F253="",AN253=""),"",IF(COUNT(AI253:AM253)=0,"",AN253-LOOKUP(2,1/(AI253:AM253&lt;&gt;""),AI253:AM253)))</t>
        </is>
      </c>
      <c r="BB253" s="49" t="inlineStr">
        <is>
          <t>IF(OR(F253="",AO253=""),"",IF(COUNT(AI253:AN253)=0,"",AO253-LOOKUP(2,1/(AI253:AN253&lt;&gt;""),AI253:AN253)))</t>
        </is>
      </c>
      <c r="BC253" s="49" t="inlineStr">
        <is>
          <t>IF(OR(F253="",AP253=""),"",IF(COUNT(AI253:AO253)=0,"",AP253-LOOKUP(2,1/(AI253:AO253&lt;&gt;""),AI253:AO253)))</t>
        </is>
      </c>
      <c r="BD253" s="49" t="inlineStr">
        <is>
          <t>IF(OR(F253="",AQ253=""),"",IF(COUNT(AI253:AP253)=0,"",AQ253-LOOKUP(2,1/(AI253:AP253&lt;&gt;""),AI253:AP253)))</t>
        </is>
      </c>
      <c r="BE253" s="49" t="inlineStr">
        <is>
          <t>IF(OR(F253="",AR253=""),"",IF(COUNT(AI253:AQ253)=0,"",AR253-LOOKUP(2,1/(AI253:AQ253&lt;&gt;""),AI253:AQ253)))</t>
        </is>
      </c>
      <c r="BF253" s="49" t="inlineStr">
        <is>
          <t>IF(OR(F253="",AS253=""),"",IF(COUNT(AI253:AR253)=0,"",AS253-LOOKUP(2,1/(AI253:AR253&lt;&gt;""),AI253:AR253)))</t>
        </is>
      </c>
      <c r="BG253" s="49" t="inlineStr">
        <is>
          <t>IF(OR(F253="",AT253=""),"",IF(COUNT(AI253:AS253)=0,"",AT253-LOOKUP(2,1/(AI253:AS253&lt;&gt;""),AI253:AS253)))</t>
        </is>
      </c>
      <c r="BH253" s="49" t="inlineStr">
        <is>
          <t>IF(OR(F253="",AU253=""),"",IF(COUNT(AI253:AT253)=0,"",AU253-LOOKUP(2,1/(AI253:AT253&lt;&gt;""),AI253:AT253)))</t>
        </is>
      </c>
      <c r="BI253" s="49" t="inlineStr">
        <is>
          <t>IF(OR(F253="",AV253=""),"",IF(COUNT(AI253:AU253)=0,"",AV253-LOOKUP(2,1/(AI253:AU253&lt;&gt;""),AI253:AU253)))</t>
        </is>
      </c>
      <c r="BJ253" s="51" t="inlineStr">
        <is>
          <t>IF(J253="","All_Provinces",IFERROR(VLOOKUP(J253,'09_Lookups'!$A$4:$B$20,2,FALSE),"All_Provinces"))</t>
        </is>
      </c>
      <c r="BK253" s="51" t="inlineStr">
        <is>
          <t>IF(K253="","All_Districts",IFERROR(VLOOKUP(K253,'09_Lookups'!$E$4:$F$42,2,FALSE),"All_Districts"))</t>
        </is>
      </c>
    </row>
    <row r="254" outlineLevel="1" ht="18" customHeight="1">
      <c r="A254" s="42" t="inlineStr">
        <is>
          <t>IF(F254="","",ROW()-3)</t>
        </is>
      </c>
      <c r="B254" s="43" t="inlineStr">
        <is>
          <t>AF2-LLL-ALL</t>
        </is>
      </c>
      <c r="C254" s="43" t="inlineStr">
        <is>
          <t>EFSP-AF2 LLL supply and delivery (50 units)</t>
        </is>
      </c>
      <c r="D254" s="43" t="inlineStr">
        <is>
          <t>43 of 50</t>
        </is>
      </c>
      <c r="E254" s="52" t="inlineStr">
        <is>
          <t>AF2-LLL-N-043</t>
        </is>
      </c>
      <c r="F254" s="52" t="inlineStr">
        <is>
          <t>Shawarooz irrigation scheme</t>
        </is>
      </c>
      <c r="G254" s="52" t="inlineStr">
        <is>
          <t>Laser Land Leveler (LLL)</t>
        </is>
      </c>
      <c r="H254" s="52" t="inlineStr">
        <is>
          <t>LLL unit</t>
        </is>
      </c>
      <c r="I254" s="52" t="inlineStr">
        <is>
          <t>Emergency Food Security Project (EFSP) – WBK/AF-2</t>
        </is>
      </c>
      <c r="J254" s="52" t="inlineStr">
        <is>
          <t>South / Kandahar</t>
        </is>
      </c>
      <c r="K254" s="52" t="inlineStr">
        <is>
          <t>Zabul</t>
        </is>
      </c>
      <c r="L254" s="52" t="inlineStr">
        <is>
          <t>Khak e Afghan</t>
        </is>
      </c>
      <c r="M254" s="52" t="inlineStr">
        <is>
          <t>1 unit(s)</t>
        </is>
      </c>
      <c r="N254" s="52" t="inlineStr">
        <is>
          <t>World Bank (WBK/AF-2)</t>
        </is>
      </c>
      <c r="O254" s="52" t="inlineStr">
        <is>
          <t>Not awarded</t>
        </is>
      </c>
      <c r="P254" s="52" t="inlineStr">
        <is>
          <t>6. Supply and delivery of LLL</t>
        </is>
      </c>
      <c r="Q254" s="52" t="inlineStr"/>
      <c r="R254" s="52" t="inlineStr"/>
      <c r="S254" s="53" t="n"/>
      <c r="T254" s="46" t="inlineStr">
        <is>
          <t>IF(AQ254="","",AQ254)</t>
        </is>
      </c>
      <c r="U254" s="54" t="n">
        <v>46325</v>
      </c>
      <c r="V254" s="55" t="n"/>
      <c r="W254" s="54" t="n">
        <v>46418</v>
      </c>
      <c r="X254" s="46" t="inlineStr">
        <is>
          <t>IF(W254&lt;&gt;"",W254,IF(OR(T254="",V254=""),"",EDATE(T254,V254)))</t>
        </is>
      </c>
      <c r="Y254" s="54" t="n"/>
      <c r="Z254" s="55" t="n"/>
      <c r="AA254" s="52" t="inlineStr">
        <is>
          <t>Under Awarding</t>
        </is>
      </c>
      <c r="AB254" s="52" t="inlineStr">
        <is>
          <t>The Procurement process is initiated in April and PO will be issued late October 2026. and delivery will be done by End of December 2026 and onward in January 2027 it is planned to be distributed to the selected beneficiaries.</t>
        </is>
      </c>
      <c r="AC254" s="42" t="inlineStr">
        <is>
          <t>IF(F254="","",IF(COUNT(AI254:AV254)=0,IF(AA254="","Not started",AA254),SUBSTITUTE(LOOKUP(2,1/(AI254:AV254&lt;&gt;""),$AI$3:$AV$3),"Date: ","")))</t>
        </is>
      </c>
      <c r="AD254" s="49" t="inlineStr">
        <is>
          <t>IF(OR(F254="",COUNT(AI254:AV254)=0),"",TODAY()-LOOKUP(2,1/(AI254:AV254&lt;&gt;""),AI254:AV254))</t>
        </is>
      </c>
      <c r="AE254" s="49" t="inlineStr">
        <is>
          <t>IF(OR(F254="",COUNT(AI254:AV254)&lt;2),"",LOOKUP(2,1/(AI254:AV254&lt;&gt;""),AI254:AV254)-MIN(AI254:AV254))</t>
        </is>
      </c>
      <c r="AF254" s="49" t="inlineStr">
        <is>
          <t>IF(OR(AD254="",AC254="Not started",AC254=""),"",IFERROR(AD254-IF(VLOOKUP(AC254,'06_Status_Pipeline'!$B$3:$E$20,4,FALSE)="",0,VLOOKUP(AC254,'06_Status_Pipeline'!$B$3:$E$20,4,FALSE)),""))</t>
        </is>
      </c>
      <c r="AG254" s="42" t="inlineStr">
        <is>
          <t>IF(F254="","",IF(OR(AA254="Cancelled",AC254="Cancelled"),"Cancelled",IF(OR(AC254="Completed / Handover",Y254&lt;&gt;"",Z254&gt;=100),"Completed — on track",IF(O254="Not awarded",IF(U254="",IF(X254="","No planned date",IF(TODAY()&gt;X254,"Behind — past planned date",IF(X254-TODAY()&lt;=30,"At risk — close to off track","On track"))),IF(TODAY()&gt;U254,"Behind — award date passed",IF(U254-TODAY()&lt;=30,"At risk — close to off track","On track"))),IF(X254="","No planned date",IF(AND(TODAY()&gt;X254,OR(Z254="",Z254&lt;100)),"Behind — past end date",IF(AND(T254&lt;&gt;"",X254&lt;&gt;"",Z254&lt;&gt;"",(Z254&lt;100),((TODAY()-T254)/MAX(X254-T254,1)*100)-Z254&gt;15),"Behind — progress lag",IF(AND(X254-TODAY()&lt;=30,X254-TODAY()&gt;=0,OR(Z254="",Z254&lt;90)),"At risk — close to off track","On track"))))))))</t>
        </is>
      </c>
      <c r="AH254" s="49" t="inlineStr">
        <is>
          <t>IF(OR(F254="",AC254="Completed / Handover",AC254="Cancelled"),"",IF(O254="Not awarded",IF(U254&lt;&gt;"",U254-TODAY(),IF(X254="","",X254-TODAY())),IF(X254="","",X254-TODAY())))</t>
        </is>
      </c>
      <c r="AI254" s="54" t="n"/>
      <c r="AJ254" s="54" t="n"/>
      <c r="AK254" s="54" t="n"/>
      <c r="AL254" s="54" t="n"/>
      <c r="AM254" s="54" t="n"/>
      <c r="AN254" s="54" t="n"/>
      <c r="AO254" s="54" t="n"/>
      <c r="AP254" s="54" t="n"/>
      <c r="AQ254" s="54" t="n"/>
      <c r="AR254" s="54" t="n"/>
      <c r="AS254" s="54" t="n"/>
      <c r="AT254" s="50" t="n"/>
      <c r="AU254" s="50" t="n"/>
      <c r="AV254" s="50" t="n"/>
      <c r="AW254" s="49" t="inlineStr">
        <is>
          <t>IF(OR(F254="",AJ254=""),"",IF(COUNT(AI254:AI254)=0,"",AJ254-LOOKUP(2,1/(AI254:AI254&lt;&gt;""),AI254:AI254)))</t>
        </is>
      </c>
      <c r="AX254" s="49" t="inlineStr">
        <is>
          <t>IF(OR(F254="",AK254=""),"",IF(COUNT(AI254:AJ254)=0,"",AK254-LOOKUP(2,1/(AI254:AJ254&lt;&gt;""),AI254:AJ254)))</t>
        </is>
      </c>
      <c r="AY254" s="49" t="inlineStr">
        <is>
          <t>IF(OR(F254="",AL254=""),"",IF(COUNT(AI254:AK254)=0,"",AL254-LOOKUP(2,1/(AI254:AK254&lt;&gt;""),AI254:AK254)))</t>
        </is>
      </c>
      <c r="AZ254" s="49" t="inlineStr">
        <is>
          <t>IF(OR(F254="",AM254=""),"",IF(COUNT(AI254:AL254)=0,"",AM254-LOOKUP(2,1/(AI254:AL254&lt;&gt;""),AI254:AL254)))</t>
        </is>
      </c>
      <c r="BA254" s="49" t="inlineStr">
        <is>
          <t>IF(OR(F254="",AN254=""),"",IF(COUNT(AI254:AM254)=0,"",AN254-LOOKUP(2,1/(AI254:AM254&lt;&gt;""),AI254:AM254)))</t>
        </is>
      </c>
      <c r="BB254" s="49" t="inlineStr">
        <is>
          <t>IF(OR(F254="",AO254=""),"",IF(COUNT(AI254:AN254)=0,"",AO254-LOOKUP(2,1/(AI254:AN254&lt;&gt;""),AI254:AN254)))</t>
        </is>
      </c>
      <c r="BC254" s="49" t="inlineStr">
        <is>
          <t>IF(OR(F254="",AP254=""),"",IF(COUNT(AI254:AO254)=0,"",AP254-LOOKUP(2,1/(AI254:AO254&lt;&gt;""),AI254:AO254)))</t>
        </is>
      </c>
      <c r="BD254" s="49" t="inlineStr">
        <is>
          <t>IF(OR(F254="",AQ254=""),"",IF(COUNT(AI254:AP254)=0,"",AQ254-LOOKUP(2,1/(AI254:AP254&lt;&gt;""),AI254:AP254)))</t>
        </is>
      </c>
      <c r="BE254" s="49" t="inlineStr">
        <is>
          <t>IF(OR(F254="",AR254=""),"",IF(COUNT(AI254:AQ254)=0,"",AR254-LOOKUP(2,1/(AI254:AQ254&lt;&gt;""),AI254:AQ254)))</t>
        </is>
      </c>
      <c r="BF254" s="49" t="inlineStr">
        <is>
          <t>IF(OR(F254="",AS254=""),"",IF(COUNT(AI254:AR254)=0,"",AS254-LOOKUP(2,1/(AI254:AR254&lt;&gt;""),AI254:AR254)))</t>
        </is>
      </c>
      <c r="BG254" s="49" t="inlineStr">
        <is>
          <t>IF(OR(F254="",AT254=""),"",IF(COUNT(AI254:AS254)=0,"",AT254-LOOKUP(2,1/(AI254:AS254&lt;&gt;""),AI254:AS254)))</t>
        </is>
      </c>
      <c r="BH254" s="49" t="inlineStr">
        <is>
          <t>IF(OR(F254="",AU254=""),"",IF(COUNT(AI254:AT254)=0,"",AU254-LOOKUP(2,1/(AI254:AT254&lt;&gt;""),AI254:AT254)))</t>
        </is>
      </c>
      <c r="BI254" s="49" t="inlineStr">
        <is>
          <t>IF(OR(F254="",AV254=""),"",IF(COUNT(AI254:AU254)=0,"",AV254-LOOKUP(2,1/(AI254:AU254&lt;&gt;""),AI254:AU254)))</t>
        </is>
      </c>
      <c r="BJ254" s="51" t="inlineStr">
        <is>
          <t>IF(J254="","All_Provinces",IFERROR(VLOOKUP(J254,'09_Lookups'!$A$4:$B$20,2,FALSE),"All_Provinces"))</t>
        </is>
      </c>
      <c r="BK254" s="51" t="inlineStr">
        <is>
          <t>IF(K254="","All_Districts",IFERROR(VLOOKUP(K254,'09_Lookups'!$E$4:$F$42,2,FALSE),"All_Districts"))</t>
        </is>
      </c>
    </row>
    <row r="255" outlineLevel="1" ht="18" customHeight="1">
      <c r="A255" s="42" t="inlineStr">
        <is>
          <t>IF(F255="","",ROW()-3)</t>
        </is>
      </c>
      <c r="B255" s="43" t="inlineStr">
        <is>
          <t>AF2-LLL-ALL</t>
        </is>
      </c>
      <c r="C255" s="43" t="inlineStr">
        <is>
          <t>EFSP-AF2 LLL supply and delivery (50 units)</t>
        </is>
      </c>
      <c r="D255" s="43" t="inlineStr">
        <is>
          <t>44 of 50</t>
        </is>
      </c>
      <c r="E255" s="44" t="inlineStr">
        <is>
          <t>AF2-LLL-N-044</t>
        </is>
      </c>
      <c r="F255" s="44" t="inlineStr">
        <is>
          <t>Shir Abad Irrigation Scheme</t>
        </is>
      </c>
      <c r="G255" s="44" t="inlineStr">
        <is>
          <t>Laser Land Leveler (LLL)</t>
        </is>
      </c>
      <c r="H255" s="44" t="inlineStr">
        <is>
          <t>LLL unit</t>
        </is>
      </c>
      <c r="I255" s="44" t="inlineStr">
        <is>
          <t>Emergency Food Security Project (EFSP) – WBK/AF-2</t>
        </is>
      </c>
      <c r="J255" s="44" t="inlineStr">
        <is>
          <t>Southeast / Gardez</t>
        </is>
      </c>
      <c r="K255" s="44" t="inlineStr">
        <is>
          <t>Ghazni</t>
        </is>
      </c>
      <c r="L255" s="44" t="inlineStr">
        <is>
          <t>Qarabagh</t>
        </is>
      </c>
      <c r="M255" s="44" t="inlineStr">
        <is>
          <t>1 unit(s)</t>
        </is>
      </c>
      <c r="N255" s="44" t="inlineStr">
        <is>
          <t>World Bank (WBK/AF-2)</t>
        </is>
      </c>
      <c r="O255" s="44" t="inlineStr">
        <is>
          <t>Not awarded</t>
        </is>
      </c>
      <c r="P255" s="44" t="inlineStr">
        <is>
          <t>6. Supply and delivery of LLL</t>
        </is>
      </c>
      <c r="Q255" s="44" t="inlineStr"/>
      <c r="R255" s="44" t="inlineStr"/>
      <c r="S255" s="45" t="n"/>
      <c r="T255" s="46" t="inlineStr">
        <is>
          <t>IF(AQ255="","",AQ255)</t>
        </is>
      </c>
      <c r="U255" s="47" t="n">
        <v>46325</v>
      </c>
      <c r="V255" s="48" t="n"/>
      <c r="W255" s="47" t="n">
        <v>46418</v>
      </c>
      <c r="X255" s="46" t="inlineStr">
        <is>
          <t>IF(W255&lt;&gt;"",W255,IF(OR(T255="",V255=""),"",EDATE(T255,V255)))</t>
        </is>
      </c>
      <c r="Y255" s="47" t="n"/>
      <c r="Z255" s="48" t="n"/>
      <c r="AA255" s="44" t="inlineStr">
        <is>
          <t>Under Awarding</t>
        </is>
      </c>
      <c r="AB255" s="44" t="inlineStr">
        <is>
          <t>The Procurement process is initiated in April and PO will be issued late October 2026. and delivery will be done by End of December 2026 and onward in January 2027 it is planned to be distributed to the selected beneficiaries.</t>
        </is>
      </c>
      <c r="AC255" s="42" t="inlineStr">
        <is>
          <t>IF(F255="","",IF(COUNT(AI255:AV255)=0,IF(AA255="","Not started",AA255),SUBSTITUTE(LOOKUP(2,1/(AI255:AV255&lt;&gt;""),$AI$3:$AV$3),"Date: ","")))</t>
        </is>
      </c>
      <c r="AD255" s="49" t="inlineStr">
        <is>
          <t>IF(OR(F255="",COUNT(AI255:AV255)=0),"",TODAY()-LOOKUP(2,1/(AI255:AV255&lt;&gt;""),AI255:AV255))</t>
        </is>
      </c>
      <c r="AE255" s="49" t="inlineStr">
        <is>
          <t>IF(OR(F255="",COUNT(AI255:AV255)&lt;2),"",LOOKUP(2,1/(AI255:AV255&lt;&gt;""),AI255:AV255)-MIN(AI255:AV255))</t>
        </is>
      </c>
      <c r="AF255" s="49" t="inlineStr">
        <is>
          <t>IF(OR(AD255="",AC255="Not started",AC255=""),"",IFERROR(AD255-IF(VLOOKUP(AC255,'06_Status_Pipeline'!$B$3:$E$20,4,FALSE)="",0,VLOOKUP(AC255,'06_Status_Pipeline'!$B$3:$E$20,4,FALSE)),""))</t>
        </is>
      </c>
      <c r="AG255" s="42" t="inlineStr">
        <is>
          <t>IF(F255="","",IF(OR(AA255="Cancelled",AC255="Cancelled"),"Cancelled",IF(OR(AC255="Completed / Handover",Y255&lt;&gt;"",Z255&gt;=100),"Completed — on track",IF(O255="Not awarded",IF(U255="",IF(X255="","No planned date",IF(TODAY()&gt;X255,"Behind — past planned date",IF(X255-TODAY()&lt;=30,"At risk — close to off track","On track"))),IF(TODAY()&gt;U255,"Behind — award date passed",IF(U255-TODAY()&lt;=30,"At risk — close to off track","On track"))),IF(X255="","No planned date",IF(AND(TODAY()&gt;X255,OR(Z255="",Z255&lt;100)),"Behind — past end date",IF(AND(T255&lt;&gt;"",X255&lt;&gt;"",Z255&lt;&gt;"",(Z255&lt;100),((TODAY()-T255)/MAX(X255-T255,1)*100)-Z255&gt;15),"Behind — progress lag",IF(AND(X255-TODAY()&lt;=30,X255-TODAY()&gt;=0,OR(Z255="",Z255&lt;90)),"At risk — close to off track","On track"))))))))</t>
        </is>
      </c>
      <c r="AH255" s="49" t="inlineStr">
        <is>
          <t>IF(OR(F255="",AC255="Completed / Handover",AC255="Cancelled"),"",IF(O255="Not awarded",IF(U255&lt;&gt;"",U255-TODAY(),IF(X255="","",X255-TODAY())),IF(X255="","",X255-TODAY())))</t>
        </is>
      </c>
      <c r="AI255" s="47" t="n"/>
      <c r="AJ255" s="47" t="n"/>
      <c r="AK255" s="47" t="n"/>
      <c r="AL255" s="47" t="n"/>
      <c r="AM255" s="47" t="n"/>
      <c r="AN255" s="47" t="n"/>
      <c r="AO255" s="47" t="n"/>
      <c r="AP255" s="47" t="n"/>
      <c r="AQ255" s="47" t="n"/>
      <c r="AR255" s="47" t="n"/>
      <c r="AS255" s="47" t="n"/>
      <c r="AT255" s="50" t="n"/>
      <c r="AU255" s="50" t="n"/>
      <c r="AV255" s="50" t="n"/>
      <c r="AW255" s="49" t="inlineStr">
        <is>
          <t>IF(OR(F255="",AJ255=""),"",IF(COUNT(AI255:AI255)=0,"",AJ255-LOOKUP(2,1/(AI255:AI255&lt;&gt;""),AI255:AI255)))</t>
        </is>
      </c>
      <c r="AX255" s="49" t="inlineStr">
        <is>
          <t>IF(OR(F255="",AK255=""),"",IF(COUNT(AI255:AJ255)=0,"",AK255-LOOKUP(2,1/(AI255:AJ255&lt;&gt;""),AI255:AJ255)))</t>
        </is>
      </c>
      <c r="AY255" s="49" t="inlineStr">
        <is>
          <t>IF(OR(F255="",AL255=""),"",IF(COUNT(AI255:AK255)=0,"",AL255-LOOKUP(2,1/(AI255:AK255&lt;&gt;""),AI255:AK255)))</t>
        </is>
      </c>
      <c r="AZ255" s="49" t="inlineStr">
        <is>
          <t>IF(OR(F255="",AM255=""),"",IF(COUNT(AI255:AL255)=0,"",AM255-LOOKUP(2,1/(AI255:AL255&lt;&gt;""),AI255:AL255)))</t>
        </is>
      </c>
      <c r="BA255" s="49" t="inlineStr">
        <is>
          <t>IF(OR(F255="",AN255=""),"",IF(COUNT(AI255:AM255)=0,"",AN255-LOOKUP(2,1/(AI255:AM255&lt;&gt;""),AI255:AM255)))</t>
        </is>
      </c>
      <c r="BB255" s="49" t="inlineStr">
        <is>
          <t>IF(OR(F255="",AO255=""),"",IF(COUNT(AI255:AN255)=0,"",AO255-LOOKUP(2,1/(AI255:AN255&lt;&gt;""),AI255:AN255)))</t>
        </is>
      </c>
      <c r="BC255" s="49" t="inlineStr">
        <is>
          <t>IF(OR(F255="",AP255=""),"",IF(COUNT(AI255:AO255)=0,"",AP255-LOOKUP(2,1/(AI255:AO255&lt;&gt;""),AI255:AO255)))</t>
        </is>
      </c>
      <c r="BD255" s="49" t="inlineStr">
        <is>
          <t>IF(OR(F255="",AQ255=""),"",IF(COUNT(AI255:AP255)=0,"",AQ255-LOOKUP(2,1/(AI255:AP255&lt;&gt;""),AI255:AP255)))</t>
        </is>
      </c>
      <c r="BE255" s="49" t="inlineStr">
        <is>
          <t>IF(OR(F255="",AR255=""),"",IF(COUNT(AI255:AQ255)=0,"",AR255-LOOKUP(2,1/(AI255:AQ255&lt;&gt;""),AI255:AQ255)))</t>
        </is>
      </c>
      <c r="BF255" s="49" t="inlineStr">
        <is>
          <t>IF(OR(F255="",AS255=""),"",IF(COUNT(AI255:AR255)=0,"",AS255-LOOKUP(2,1/(AI255:AR255&lt;&gt;""),AI255:AR255)))</t>
        </is>
      </c>
      <c r="BG255" s="49" t="inlineStr">
        <is>
          <t>IF(OR(F255="",AT255=""),"",IF(COUNT(AI255:AS255)=0,"",AT255-LOOKUP(2,1/(AI255:AS255&lt;&gt;""),AI255:AS255)))</t>
        </is>
      </c>
      <c r="BH255" s="49" t="inlineStr">
        <is>
          <t>IF(OR(F255="",AU255=""),"",IF(COUNT(AI255:AT255)=0,"",AU255-LOOKUP(2,1/(AI255:AT255&lt;&gt;""),AI255:AT255)))</t>
        </is>
      </c>
      <c r="BI255" s="49" t="inlineStr">
        <is>
          <t>IF(OR(F255="",AV255=""),"",IF(COUNT(AI255:AU255)=0,"",AV255-LOOKUP(2,1/(AI255:AU255&lt;&gt;""),AI255:AU255)))</t>
        </is>
      </c>
      <c r="BJ255" s="51" t="inlineStr">
        <is>
          <t>IF(J255="","All_Provinces",IFERROR(VLOOKUP(J255,'09_Lookups'!$A$4:$B$20,2,FALSE),"All_Provinces"))</t>
        </is>
      </c>
      <c r="BK255" s="51" t="inlineStr">
        <is>
          <t>IF(K255="","All_Districts",IFERROR(VLOOKUP(K255,'09_Lookups'!$E$4:$F$42,2,FALSE),"All_Districts"))</t>
        </is>
      </c>
    </row>
    <row r="256" outlineLevel="1" ht="18" customHeight="1">
      <c r="A256" s="42" t="inlineStr">
        <is>
          <t>IF(F256="","",ROW()-3)</t>
        </is>
      </c>
      <c r="B256" s="43" t="inlineStr">
        <is>
          <t>AF2-LLL-ALL</t>
        </is>
      </c>
      <c r="C256" s="43" t="inlineStr">
        <is>
          <t>EFSP-AF2 LLL supply and delivery (50 units)</t>
        </is>
      </c>
      <c r="D256" s="43" t="inlineStr">
        <is>
          <t>45 of 50</t>
        </is>
      </c>
      <c r="E256" s="52" t="inlineStr">
        <is>
          <t>AF2-LLL-N-045</t>
        </is>
      </c>
      <c r="F256" s="52" t="inlineStr">
        <is>
          <t>Teshkhan Irrigation Scheme</t>
        </is>
      </c>
      <c r="G256" s="52" t="inlineStr">
        <is>
          <t>Laser Land Leveler (LLL)</t>
        </is>
      </c>
      <c r="H256" s="52" t="inlineStr">
        <is>
          <t>LLL unit</t>
        </is>
      </c>
      <c r="I256" s="52" t="inlineStr">
        <is>
          <t>Emergency Food Security Project (EFSP) – WBK/AF-2</t>
        </is>
      </c>
      <c r="J256" s="52" t="inlineStr">
        <is>
          <t>Northeast / Kunduz</t>
        </is>
      </c>
      <c r="K256" s="52" t="inlineStr">
        <is>
          <t>Badakhshan</t>
        </is>
      </c>
      <c r="L256" s="52" t="inlineStr">
        <is>
          <t>Ishkashim</t>
        </is>
      </c>
      <c r="M256" s="52" t="inlineStr">
        <is>
          <t>1 unit(s)</t>
        </is>
      </c>
      <c r="N256" s="52" t="inlineStr">
        <is>
          <t>World Bank (WBK/AF-2)</t>
        </is>
      </c>
      <c r="O256" s="52" t="inlineStr">
        <is>
          <t>Not awarded</t>
        </is>
      </c>
      <c r="P256" s="52" t="inlineStr">
        <is>
          <t>6. Supply and delivery of LLL</t>
        </is>
      </c>
      <c r="Q256" s="52" t="inlineStr"/>
      <c r="R256" s="52" t="inlineStr"/>
      <c r="S256" s="53" t="n"/>
      <c r="T256" s="46" t="inlineStr">
        <is>
          <t>IF(AQ256="","",AQ256)</t>
        </is>
      </c>
      <c r="U256" s="54" t="n">
        <v>46325</v>
      </c>
      <c r="V256" s="55" t="n"/>
      <c r="W256" s="54" t="n">
        <v>46418</v>
      </c>
      <c r="X256" s="46" t="inlineStr">
        <is>
          <t>IF(W256&lt;&gt;"",W256,IF(OR(T256="",V256=""),"",EDATE(T256,V256)))</t>
        </is>
      </c>
      <c r="Y256" s="54" t="n"/>
      <c r="Z256" s="55" t="n"/>
      <c r="AA256" s="52" t="inlineStr">
        <is>
          <t>Under Awarding</t>
        </is>
      </c>
      <c r="AB256" s="52" t="inlineStr">
        <is>
          <t>The Procurement process is initiated in April and PO will be issued late October 2026. and delivery will be done by End of December 2026 and onward in January 2027 it is planned to be distributed to the selected beneficiaries.</t>
        </is>
      </c>
      <c r="AC256" s="42" t="inlineStr">
        <is>
          <t>IF(F256="","",IF(COUNT(AI256:AV256)=0,IF(AA256="","Not started",AA256),SUBSTITUTE(LOOKUP(2,1/(AI256:AV256&lt;&gt;""),$AI$3:$AV$3),"Date: ","")))</t>
        </is>
      </c>
      <c r="AD256" s="49" t="inlineStr">
        <is>
          <t>IF(OR(F256="",COUNT(AI256:AV256)=0),"",TODAY()-LOOKUP(2,1/(AI256:AV256&lt;&gt;""),AI256:AV256))</t>
        </is>
      </c>
      <c r="AE256" s="49" t="inlineStr">
        <is>
          <t>IF(OR(F256="",COUNT(AI256:AV256)&lt;2),"",LOOKUP(2,1/(AI256:AV256&lt;&gt;""),AI256:AV256)-MIN(AI256:AV256))</t>
        </is>
      </c>
      <c r="AF256" s="49" t="inlineStr">
        <is>
          <t>IF(OR(AD256="",AC256="Not started",AC256=""),"",IFERROR(AD256-IF(VLOOKUP(AC256,'06_Status_Pipeline'!$B$3:$E$20,4,FALSE)="",0,VLOOKUP(AC256,'06_Status_Pipeline'!$B$3:$E$20,4,FALSE)),""))</t>
        </is>
      </c>
      <c r="AG256" s="42" t="inlineStr">
        <is>
          <t>IF(F256="","",IF(OR(AA256="Cancelled",AC256="Cancelled"),"Cancelled",IF(OR(AC256="Completed / Handover",Y256&lt;&gt;"",Z256&gt;=100),"Completed — on track",IF(O256="Not awarded",IF(U256="",IF(X256="","No planned date",IF(TODAY()&gt;X256,"Behind — past planned date",IF(X256-TODAY()&lt;=30,"At risk — close to off track","On track"))),IF(TODAY()&gt;U256,"Behind — award date passed",IF(U256-TODAY()&lt;=30,"At risk — close to off track","On track"))),IF(X256="","No planned date",IF(AND(TODAY()&gt;X256,OR(Z256="",Z256&lt;100)),"Behind — past end date",IF(AND(T256&lt;&gt;"",X256&lt;&gt;"",Z256&lt;&gt;"",(Z256&lt;100),((TODAY()-T256)/MAX(X256-T256,1)*100)-Z256&gt;15),"Behind — progress lag",IF(AND(X256-TODAY()&lt;=30,X256-TODAY()&gt;=0,OR(Z256="",Z256&lt;90)),"At risk — close to off track","On track"))))))))</t>
        </is>
      </c>
      <c r="AH256" s="49" t="inlineStr">
        <is>
          <t>IF(OR(F256="",AC256="Completed / Handover",AC256="Cancelled"),"",IF(O256="Not awarded",IF(U256&lt;&gt;"",U256-TODAY(),IF(X256="","",X256-TODAY())),IF(X256="","",X256-TODAY())))</t>
        </is>
      </c>
      <c r="AI256" s="54" t="n"/>
      <c r="AJ256" s="54" t="n"/>
      <c r="AK256" s="54" t="n"/>
      <c r="AL256" s="54" t="n"/>
      <c r="AM256" s="54" t="n"/>
      <c r="AN256" s="54" t="n"/>
      <c r="AO256" s="54" t="n"/>
      <c r="AP256" s="54" t="n"/>
      <c r="AQ256" s="54" t="n"/>
      <c r="AR256" s="54" t="n"/>
      <c r="AS256" s="54" t="n"/>
      <c r="AT256" s="50" t="n"/>
      <c r="AU256" s="50" t="n"/>
      <c r="AV256" s="50" t="n"/>
      <c r="AW256" s="49" t="inlineStr">
        <is>
          <t>IF(OR(F256="",AJ256=""),"",IF(COUNT(AI256:AI256)=0,"",AJ256-LOOKUP(2,1/(AI256:AI256&lt;&gt;""),AI256:AI256)))</t>
        </is>
      </c>
      <c r="AX256" s="49" t="inlineStr">
        <is>
          <t>IF(OR(F256="",AK256=""),"",IF(COUNT(AI256:AJ256)=0,"",AK256-LOOKUP(2,1/(AI256:AJ256&lt;&gt;""),AI256:AJ256)))</t>
        </is>
      </c>
      <c r="AY256" s="49" t="inlineStr">
        <is>
          <t>IF(OR(F256="",AL256=""),"",IF(COUNT(AI256:AK256)=0,"",AL256-LOOKUP(2,1/(AI256:AK256&lt;&gt;""),AI256:AK256)))</t>
        </is>
      </c>
      <c r="AZ256" s="49" t="inlineStr">
        <is>
          <t>IF(OR(F256="",AM256=""),"",IF(COUNT(AI256:AL256)=0,"",AM256-LOOKUP(2,1/(AI256:AL256&lt;&gt;""),AI256:AL256)))</t>
        </is>
      </c>
      <c r="BA256" s="49" t="inlineStr">
        <is>
          <t>IF(OR(F256="",AN256=""),"",IF(COUNT(AI256:AM256)=0,"",AN256-LOOKUP(2,1/(AI256:AM256&lt;&gt;""),AI256:AM256)))</t>
        </is>
      </c>
      <c r="BB256" s="49" t="inlineStr">
        <is>
          <t>IF(OR(F256="",AO256=""),"",IF(COUNT(AI256:AN256)=0,"",AO256-LOOKUP(2,1/(AI256:AN256&lt;&gt;""),AI256:AN256)))</t>
        </is>
      </c>
      <c r="BC256" s="49" t="inlineStr">
        <is>
          <t>IF(OR(F256="",AP256=""),"",IF(COUNT(AI256:AO256)=0,"",AP256-LOOKUP(2,1/(AI256:AO256&lt;&gt;""),AI256:AO256)))</t>
        </is>
      </c>
      <c r="BD256" s="49" t="inlineStr">
        <is>
          <t>IF(OR(F256="",AQ256=""),"",IF(COUNT(AI256:AP256)=0,"",AQ256-LOOKUP(2,1/(AI256:AP256&lt;&gt;""),AI256:AP256)))</t>
        </is>
      </c>
      <c r="BE256" s="49" t="inlineStr">
        <is>
          <t>IF(OR(F256="",AR256=""),"",IF(COUNT(AI256:AQ256)=0,"",AR256-LOOKUP(2,1/(AI256:AQ256&lt;&gt;""),AI256:AQ256)))</t>
        </is>
      </c>
      <c r="BF256" s="49" t="inlineStr">
        <is>
          <t>IF(OR(F256="",AS256=""),"",IF(COUNT(AI256:AR256)=0,"",AS256-LOOKUP(2,1/(AI256:AR256&lt;&gt;""),AI256:AR256)))</t>
        </is>
      </c>
      <c r="BG256" s="49" t="inlineStr">
        <is>
          <t>IF(OR(F256="",AT256=""),"",IF(COUNT(AI256:AS256)=0,"",AT256-LOOKUP(2,1/(AI256:AS256&lt;&gt;""),AI256:AS256)))</t>
        </is>
      </c>
      <c r="BH256" s="49" t="inlineStr">
        <is>
          <t>IF(OR(F256="",AU256=""),"",IF(COUNT(AI256:AT256)=0,"",AU256-LOOKUP(2,1/(AI256:AT256&lt;&gt;""),AI256:AT256)))</t>
        </is>
      </c>
      <c r="BI256" s="49" t="inlineStr">
        <is>
          <t>IF(OR(F256="",AV256=""),"",IF(COUNT(AI256:AU256)=0,"",AV256-LOOKUP(2,1/(AI256:AU256&lt;&gt;""),AI256:AU256)))</t>
        </is>
      </c>
      <c r="BJ256" s="51" t="inlineStr">
        <is>
          <t>IF(J256="","All_Provinces",IFERROR(VLOOKUP(J256,'09_Lookups'!$A$4:$B$20,2,FALSE),"All_Provinces"))</t>
        </is>
      </c>
      <c r="BK256" s="51" t="inlineStr">
        <is>
          <t>IF(K256="","All_Districts",IFERROR(VLOOKUP(K256,'09_Lookups'!$E$4:$F$42,2,FALSE),"All_Districts"))</t>
        </is>
      </c>
    </row>
    <row r="257" outlineLevel="1" ht="18" customHeight="1">
      <c r="A257" s="42" t="inlineStr">
        <is>
          <t>IF(F257="","",ROW()-3)</t>
        </is>
      </c>
      <c r="B257" s="43" t="inlineStr">
        <is>
          <t>AF2-LLL-ALL</t>
        </is>
      </c>
      <c r="C257" s="43" t="inlineStr">
        <is>
          <t>EFSP-AF2 LLL supply and delivery (50 units)</t>
        </is>
      </c>
      <c r="D257" s="43" t="inlineStr">
        <is>
          <t>46 of 50</t>
        </is>
      </c>
      <c r="E257" s="44" t="inlineStr">
        <is>
          <t>AF2-LLL-N-046</t>
        </is>
      </c>
      <c r="F257" s="44" t="inlineStr">
        <is>
          <t>Urdokas irrigation scheme</t>
        </is>
      </c>
      <c r="G257" s="44" t="inlineStr">
        <is>
          <t>Laser Land Leveler (LLL)</t>
        </is>
      </c>
      <c r="H257" s="44" t="inlineStr">
        <is>
          <t>LLL unit</t>
        </is>
      </c>
      <c r="I257" s="44" t="inlineStr">
        <is>
          <t>Emergency Food Security Project (EFSP) – WBK/AF-2</t>
        </is>
      </c>
      <c r="J257" s="44" t="inlineStr">
        <is>
          <t>South / Kandahar</t>
        </is>
      </c>
      <c r="K257" s="44" t="inlineStr">
        <is>
          <t>Kandahar</t>
        </is>
      </c>
      <c r="L257" s="44" t="inlineStr">
        <is>
          <t>Shawalikot</t>
        </is>
      </c>
      <c r="M257" s="44" t="inlineStr">
        <is>
          <t>1 unit(s)</t>
        </is>
      </c>
      <c r="N257" s="44" t="inlineStr">
        <is>
          <t>World Bank (WBK/AF-2)</t>
        </is>
      </c>
      <c r="O257" s="44" t="inlineStr">
        <is>
          <t>Not awarded</t>
        </is>
      </c>
      <c r="P257" s="44" t="inlineStr">
        <is>
          <t>6. Supply and delivery of LLL</t>
        </is>
      </c>
      <c r="Q257" s="44" t="inlineStr"/>
      <c r="R257" s="44" t="inlineStr"/>
      <c r="S257" s="45" t="n"/>
      <c r="T257" s="46" t="inlineStr">
        <is>
          <t>IF(AQ257="","",AQ257)</t>
        </is>
      </c>
      <c r="U257" s="47" t="n">
        <v>46325</v>
      </c>
      <c r="V257" s="48" t="n"/>
      <c r="W257" s="47" t="n">
        <v>46418</v>
      </c>
      <c r="X257" s="46" t="inlineStr">
        <is>
          <t>IF(W257&lt;&gt;"",W257,IF(OR(T257="",V257=""),"",EDATE(T257,V257)))</t>
        </is>
      </c>
      <c r="Y257" s="47" t="n"/>
      <c r="Z257" s="48" t="n"/>
      <c r="AA257" s="44" t="inlineStr">
        <is>
          <t>Under Awarding</t>
        </is>
      </c>
      <c r="AB257" s="44" t="inlineStr">
        <is>
          <t>The Procurement process is initiated in April and PO will be issued late October 2026. and delivery will be done by End of December 2026 and onward in January 2027 it is planned to be distributed to the selected beneficiaries.</t>
        </is>
      </c>
      <c r="AC257" s="42" t="inlineStr">
        <is>
          <t>IF(F257="","",IF(COUNT(AI257:AV257)=0,IF(AA257="","Not started",AA257),SUBSTITUTE(LOOKUP(2,1/(AI257:AV257&lt;&gt;""),$AI$3:$AV$3),"Date: ","")))</t>
        </is>
      </c>
      <c r="AD257" s="49" t="inlineStr">
        <is>
          <t>IF(OR(F257="",COUNT(AI257:AV257)=0),"",TODAY()-LOOKUP(2,1/(AI257:AV257&lt;&gt;""),AI257:AV257))</t>
        </is>
      </c>
      <c r="AE257" s="49" t="inlineStr">
        <is>
          <t>IF(OR(F257="",COUNT(AI257:AV257)&lt;2),"",LOOKUP(2,1/(AI257:AV257&lt;&gt;""),AI257:AV257)-MIN(AI257:AV257))</t>
        </is>
      </c>
      <c r="AF257" s="49" t="inlineStr">
        <is>
          <t>IF(OR(AD257="",AC257="Not started",AC257=""),"",IFERROR(AD257-IF(VLOOKUP(AC257,'06_Status_Pipeline'!$B$3:$E$20,4,FALSE)="",0,VLOOKUP(AC257,'06_Status_Pipeline'!$B$3:$E$20,4,FALSE)),""))</t>
        </is>
      </c>
      <c r="AG257" s="42" t="inlineStr">
        <is>
          <t>IF(F257="","",IF(OR(AA257="Cancelled",AC257="Cancelled"),"Cancelled",IF(OR(AC257="Completed / Handover",Y257&lt;&gt;"",Z257&gt;=100),"Completed — on track",IF(O257="Not awarded",IF(U257="",IF(X257="","No planned date",IF(TODAY()&gt;X257,"Behind — past planned date",IF(X257-TODAY()&lt;=30,"At risk — close to off track","On track"))),IF(TODAY()&gt;U257,"Behind — award date passed",IF(U257-TODAY()&lt;=30,"At risk — close to off track","On track"))),IF(X257="","No planned date",IF(AND(TODAY()&gt;X257,OR(Z257="",Z257&lt;100)),"Behind — past end date",IF(AND(T257&lt;&gt;"",X257&lt;&gt;"",Z257&lt;&gt;"",(Z257&lt;100),((TODAY()-T257)/MAX(X257-T257,1)*100)-Z257&gt;15),"Behind — progress lag",IF(AND(X257-TODAY()&lt;=30,X257-TODAY()&gt;=0,OR(Z257="",Z257&lt;90)),"At risk — close to off track","On track"))))))))</t>
        </is>
      </c>
      <c r="AH257" s="49" t="inlineStr">
        <is>
          <t>IF(OR(F257="",AC257="Completed / Handover",AC257="Cancelled"),"",IF(O257="Not awarded",IF(U257&lt;&gt;"",U257-TODAY(),IF(X257="","",X257-TODAY())),IF(X257="","",X257-TODAY())))</t>
        </is>
      </c>
      <c r="AI257" s="47" t="n"/>
      <c r="AJ257" s="47" t="n"/>
      <c r="AK257" s="47" t="n"/>
      <c r="AL257" s="47" t="n"/>
      <c r="AM257" s="47" t="n"/>
      <c r="AN257" s="47" t="n"/>
      <c r="AO257" s="47" t="n"/>
      <c r="AP257" s="47" t="n"/>
      <c r="AQ257" s="47" t="n"/>
      <c r="AR257" s="47" t="n"/>
      <c r="AS257" s="47" t="n"/>
      <c r="AT257" s="50" t="n"/>
      <c r="AU257" s="50" t="n"/>
      <c r="AV257" s="50" t="n"/>
      <c r="AW257" s="49" t="inlineStr">
        <is>
          <t>IF(OR(F257="",AJ257=""),"",IF(COUNT(AI257:AI257)=0,"",AJ257-LOOKUP(2,1/(AI257:AI257&lt;&gt;""),AI257:AI257)))</t>
        </is>
      </c>
      <c r="AX257" s="49" t="inlineStr">
        <is>
          <t>IF(OR(F257="",AK257=""),"",IF(COUNT(AI257:AJ257)=0,"",AK257-LOOKUP(2,1/(AI257:AJ257&lt;&gt;""),AI257:AJ257)))</t>
        </is>
      </c>
      <c r="AY257" s="49" t="inlineStr">
        <is>
          <t>IF(OR(F257="",AL257=""),"",IF(COUNT(AI257:AK257)=0,"",AL257-LOOKUP(2,1/(AI257:AK257&lt;&gt;""),AI257:AK257)))</t>
        </is>
      </c>
      <c r="AZ257" s="49" t="inlineStr">
        <is>
          <t>IF(OR(F257="",AM257=""),"",IF(COUNT(AI257:AL257)=0,"",AM257-LOOKUP(2,1/(AI257:AL257&lt;&gt;""),AI257:AL257)))</t>
        </is>
      </c>
      <c r="BA257" s="49" t="inlineStr">
        <is>
          <t>IF(OR(F257="",AN257=""),"",IF(COUNT(AI257:AM257)=0,"",AN257-LOOKUP(2,1/(AI257:AM257&lt;&gt;""),AI257:AM257)))</t>
        </is>
      </c>
      <c r="BB257" s="49" t="inlineStr">
        <is>
          <t>IF(OR(F257="",AO257=""),"",IF(COUNT(AI257:AN257)=0,"",AO257-LOOKUP(2,1/(AI257:AN257&lt;&gt;""),AI257:AN257)))</t>
        </is>
      </c>
      <c r="BC257" s="49" t="inlineStr">
        <is>
          <t>IF(OR(F257="",AP257=""),"",IF(COUNT(AI257:AO257)=0,"",AP257-LOOKUP(2,1/(AI257:AO257&lt;&gt;""),AI257:AO257)))</t>
        </is>
      </c>
      <c r="BD257" s="49" t="inlineStr">
        <is>
          <t>IF(OR(F257="",AQ257=""),"",IF(COUNT(AI257:AP257)=0,"",AQ257-LOOKUP(2,1/(AI257:AP257&lt;&gt;""),AI257:AP257)))</t>
        </is>
      </c>
      <c r="BE257" s="49" t="inlineStr">
        <is>
          <t>IF(OR(F257="",AR257=""),"",IF(COUNT(AI257:AQ257)=0,"",AR257-LOOKUP(2,1/(AI257:AQ257&lt;&gt;""),AI257:AQ257)))</t>
        </is>
      </c>
      <c r="BF257" s="49" t="inlineStr">
        <is>
          <t>IF(OR(F257="",AS257=""),"",IF(COUNT(AI257:AR257)=0,"",AS257-LOOKUP(2,1/(AI257:AR257&lt;&gt;""),AI257:AR257)))</t>
        </is>
      </c>
      <c r="BG257" s="49" t="inlineStr">
        <is>
          <t>IF(OR(F257="",AT257=""),"",IF(COUNT(AI257:AS257)=0,"",AT257-LOOKUP(2,1/(AI257:AS257&lt;&gt;""),AI257:AS257)))</t>
        </is>
      </c>
      <c r="BH257" s="49" t="inlineStr">
        <is>
          <t>IF(OR(F257="",AU257=""),"",IF(COUNT(AI257:AT257)=0,"",AU257-LOOKUP(2,1/(AI257:AT257&lt;&gt;""),AI257:AT257)))</t>
        </is>
      </c>
      <c r="BI257" s="49" t="inlineStr">
        <is>
          <t>IF(OR(F257="",AV257=""),"",IF(COUNT(AI257:AU257)=0,"",AV257-LOOKUP(2,1/(AI257:AU257&lt;&gt;""),AI257:AU257)))</t>
        </is>
      </c>
      <c r="BJ257" s="51" t="inlineStr">
        <is>
          <t>IF(J257="","All_Provinces",IFERROR(VLOOKUP(J257,'09_Lookups'!$A$4:$B$20,2,FALSE),"All_Provinces"))</t>
        </is>
      </c>
      <c r="BK257" s="51" t="inlineStr">
        <is>
          <t>IF(K257="","All_Districts",IFERROR(VLOOKUP(K257,'09_Lookups'!$E$4:$F$42,2,FALSE),"All_Districts"))</t>
        </is>
      </c>
    </row>
    <row r="258" outlineLevel="1" ht="18" customHeight="1">
      <c r="A258" s="42" t="inlineStr">
        <is>
          <t>IF(F258="","",ROW()-3)</t>
        </is>
      </c>
      <c r="B258" s="43" t="inlineStr">
        <is>
          <t>AF2-LLL-ALL</t>
        </is>
      </c>
      <c r="C258" s="43" t="inlineStr">
        <is>
          <t>EFSP-AF2 LLL supply and delivery (50 units)</t>
        </is>
      </c>
      <c r="D258" s="43" t="inlineStr">
        <is>
          <t>47 of 50</t>
        </is>
      </c>
      <c r="E258" s="52" t="inlineStr">
        <is>
          <t>AF2-LLL-N-047</t>
        </is>
      </c>
      <c r="F258" s="52" t="inlineStr">
        <is>
          <t>Welgai Irrigation Scheme</t>
        </is>
      </c>
      <c r="G258" s="52" t="inlineStr">
        <is>
          <t>Laser Land Leveler (LLL)</t>
        </is>
      </c>
      <c r="H258" s="52" t="inlineStr">
        <is>
          <t>LLL unit</t>
        </is>
      </c>
      <c r="I258" s="52" t="inlineStr">
        <is>
          <t>Emergency Food Security Project (EFSP) – WBK/AF-2</t>
        </is>
      </c>
      <c r="J258" s="52" t="inlineStr">
        <is>
          <t>Southeast / Gardez</t>
        </is>
      </c>
      <c r="K258" s="52" t="inlineStr">
        <is>
          <t>Khost</t>
        </is>
      </c>
      <c r="L258" s="52" t="inlineStr">
        <is>
          <t>Matoon</t>
        </is>
      </c>
      <c r="M258" s="52" t="inlineStr">
        <is>
          <t>1 unit(s)</t>
        </is>
      </c>
      <c r="N258" s="52" t="inlineStr">
        <is>
          <t>World Bank (WBK/AF-2)</t>
        </is>
      </c>
      <c r="O258" s="52" t="inlineStr">
        <is>
          <t>Not awarded</t>
        </is>
      </c>
      <c r="P258" s="52" t="inlineStr">
        <is>
          <t>6. Supply and delivery of LLL</t>
        </is>
      </c>
      <c r="Q258" s="52" t="inlineStr"/>
      <c r="R258" s="52" t="inlineStr"/>
      <c r="S258" s="53" t="n"/>
      <c r="T258" s="46" t="inlineStr">
        <is>
          <t>IF(AQ258="","",AQ258)</t>
        </is>
      </c>
      <c r="U258" s="54" t="n">
        <v>46325</v>
      </c>
      <c r="V258" s="55" t="n"/>
      <c r="W258" s="54" t="n">
        <v>46418</v>
      </c>
      <c r="X258" s="46" t="inlineStr">
        <is>
          <t>IF(W258&lt;&gt;"",W258,IF(OR(T258="",V258=""),"",EDATE(T258,V258)))</t>
        </is>
      </c>
      <c r="Y258" s="54" t="n"/>
      <c r="Z258" s="55" t="n"/>
      <c r="AA258" s="52" t="inlineStr">
        <is>
          <t>Under Awarding</t>
        </is>
      </c>
      <c r="AB258" s="52" t="inlineStr">
        <is>
          <t>The Procurement process is initiated in April and PO will be issued late October 2026. and delivery will be done by End of December 2026 and onward in January 2027 it is planned to be distributed to the selected beneficiaries.</t>
        </is>
      </c>
      <c r="AC258" s="42" t="inlineStr">
        <is>
          <t>IF(F258="","",IF(COUNT(AI258:AV258)=0,IF(AA258="","Not started",AA258),SUBSTITUTE(LOOKUP(2,1/(AI258:AV258&lt;&gt;""),$AI$3:$AV$3),"Date: ","")))</t>
        </is>
      </c>
      <c r="AD258" s="49" t="inlineStr">
        <is>
          <t>IF(OR(F258="",COUNT(AI258:AV258)=0),"",TODAY()-LOOKUP(2,1/(AI258:AV258&lt;&gt;""),AI258:AV258))</t>
        </is>
      </c>
      <c r="AE258" s="49" t="inlineStr">
        <is>
          <t>IF(OR(F258="",COUNT(AI258:AV258)&lt;2),"",LOOKUP(2,1/(AI258:AV258&lt;&gt;""),AI258:AV258)-MIN(AI258:AV258))</t>
        </is>
      </c>
      <c r="AF258" s="49" t="inlineStr">
        <is>
          <t>IF(OR(AD258="",AC258="Not started",AC258=""),"",IFERROR(AD258-IF(VLOOKUP(AC258,'06_Status_Pipeline'!$B$3:$E$20,4,FALSE)="",0,VLOOKUP(AC258,'06_Status_Pipeline'!$B$3:$E$20,4,FALSE)),""))</t>
        </is>
      </c>
      <c r="AG258" s="42" t="inlineStr">
        <is>
          <t>IF(F258="","",IF(OR(AA258="Cancelled",AC258="Cancelled"),"Cancelled",IF(OR(AC258="Completed / Handover",Y258&lt;&gt;"",Z258&gt;=100),"Completed — on track",IF(O258="Not awarded",IF(U258="",IF(X258="","No planned date",IF(TODAY()&gt;X258,"Behind — past planned date",IF(X258-TODAY()&lt;=30,"At risk — close to off track","On track"))),IF(TODAY()&gt;U258,"Behind — award date passed",IF(U258-TODAY()&lt;=30,"At risk — close to off track","On track"))),IF(X258="","No planned date",IF(AND(TODAY()&gt;X258,OR(Z258="",Z258&lt;100)),"Behind — past end date",IF(AND(T258&lt;&gt;"",X258&lt;&gt;"",Z258&lt;&gt;"",(Z258&lt;100),((TODAY()-T258)/MAX(X258-T258,1)*100)-Z258&gt;15),"Behind — progress lag",IF(AND(X258-TODAY()&lt;=30,X258-TODAY()&gt;=0,OR(Z258="",Z258&lt;90)),"At risk — close to off track","On track"))))))))</t>
        </is>
      </c>
      <c r="AH258" s="49" t="inlineStr">
        <is>
          <t>IF(OR(F258="",AC258="Completed / Handover",AC258="Cancelled"),"",IF(O258="Not awarded",IF(U258&lt;&gt;"",U258-TODAY(),IF(X258="","",X258-TODAY())),IF(X258="","",X258-TODAY())))</t>
        </is>
      </c>
      <c r="AI258" s="54" t="n"/>
      <c r="AJ258" s="54" t="n"/>
      <c r="AK258" s="54" t="n"/>
      <c r="AL258" s="54" t="n"/>
      <c r="AM258" s="54" t="n"/>
      <c r="AN258" s="54" t="n"/>
      <c r="AO258" s="54" t="n"/>
      <c r="AP258" s="54" t="n"/>
      <c r="AQ258" s="54" t="n"/>
      <c r="AR258" s="54" t="n"/>
      <c r="AS258" s="54" t="n"/>
      <c r="AT258" s="50" t="n"/>
      <c r="AU258" s="50" t="n"/>
      <c r="AV258" s="50" t="n"/>
      <c r="AW258" s="49" t="inlineStr">
        <is>
          <t>IF(OR(F258="",AJ258=""),"",IF(COUNT(AI258:AI258)=0,"",AJ258-LOOKUP(2,1/(AI258:AI258&lt;&gt;""),AI258:AI258)))</t>
        </is>
      </c>
      <c r="AX258" s="49" t="inlineStr">
        <is>
          <t>IF(OR(F258="",AK258=""),"",IF(COUNT(AI258:AJ258)=0,"",AK258-LOOKUP(2,1/(AI258:AJ258&lt;&gt;""),AI258:AJ258)))</t>
        </is>
      </c>
      <c r="AY258" s="49" t="inlineStr">
        <is>
          <t>IF(OR(F258="",AL258=""),"",IF(COUNT(AI258:AK258)=0,"",AL258-LOOKUP(2,1/(AI258:AK258&lt;&gt;""),AI258:AK258)))</t>
        </is>
      </c>
      <c r="AZ258" s="49" t="inlineStr">
        <is>
          <t>IF(OR(F258="",AM258=""),"",IF(COUNT(AI258:AL258)=0,"",AM258-LOOKUP(2,1/(AI258:AL258&lt;&gt;""),AI258:AL258)))</t>
        </is>
      </c>
      <c r="BA258" s="49" t="inlineStr">
        <is>
          <t>IF(OR(F258="",AN258=""),"",IF(COUNT(AI258:AM258)=0,"",AN258-LOOKUP(2,1/(AI258:AM258&lt;&gt;""),AI258:AM258)))</t>
        </is>
      </c>
      <c r="BB258" s="49" t="inlineStr">
        <is>
          <t>IF(OR(F258="",AO258=""),"",IF(COUNT(AI258:AN258)=0,"",AO258-LOOKUP(2,1/(AI258:AN258&lt;&gt;""),AI258:AN258)))</t>
        </is>
      </c>
      <c r="BC258" s="49" t="inlineStr">
        <is>
          <t>IF(OR(F258="",AP258=""),"",IF(COUNT(AI258:AO258)=0,"",AP258-LOOKUP(2,1/(AI258:AO258&lt;&gt;""),AI258:AO258)))</t>
        </is>
      </c>
      <c r="BD258" s="49" t="inlineStr">
        <is>
          <t>IF(OR(F258="",AQ258=""),"",IF(COUNT(AI258:AP258)=0,"",AQ258-LOOKUP(2,1/(AI258:AP258&lt;&gt;""),AI258:AP258)))</t>
        </is>
      </c>
      <c r="BE258" s="49" t="inlineStr">
        <is>
          <t>IF(OR(F258="",AR258=""),"",IF(COUNT(AI258:AQ258)=0,"",AR258-LOOKUP(2,1/(AI258:AQ258&lt;&gt;""),AI258:AQ258)))</t>
        </is>
      </c>
      <c r="BF258" s="49" t="inlineStr">
        <is>
          <t>IF(OR(F258="",AS258=""),"",IF(COUNT(AI258:AR258)=0,"",AS258-LOOKUP(2,1/(AI258:AR258&lt;&gt;""),AI258:AR258)))</t>
        </is>
      </c>
      <c r="BG258" s="49" t="inlineStr">
        <is>
          <t>IF(OR(F258="",AT258=""),"",IF(COUNT(AI258:AS258)=0,"",AT258-LOOKUP(2,1/(AI258:AS258&lt;&gt;""),AI258:AS258)))</t>
        </is>
      </c>
      <c r="BH258" s="49" t="inlineStr">
        <is>
          <t>IF(OR(F258="",AU258=""),"",IF(COUNT(AI258:AT258)=0,"",AU258-LOOKUP(2,1/(AI258:AT258&lt;&gt;""),AI258:AT258)))</t>
        </is>
      </c>
      <c r="BI258" s="49" t="inlineStr">
        <is>
          <t>IF(OR(F258="",AV258=""),"",IF(COUNT(AI258:AU258)=0,"",AV258-LOOKUP(2,1/(AI258:AU258&lt;&gt;""),AI258:AU258)))</t>
        </is>
      </c>
      <c r="BJ258" s="51" t="inlineStr">
        <is>
          <t>IF(J258="","All_Provinces",IFERROR(VLOOKUP(J258,'09_Lookups'!$A$4:$B$20,2,FALSE),"All_Provinces"))</t>
        </is>
      </c>
      <c r="BK258" s="51" t="inlineStr">
        <is>
          <t>IF(K258="","All_Districts",IFERROR(VLOOKUP(K258,'09_Lookups'!$E$4:$F$42,2,FALSE),"All_Districts"))</t>
        </is>
      </c>
    </row>
    <row r="259" outlineLevel="1" ht="18" customHeight="1">
      <c r="A259" s="42" t="inlineStr">
        <is>
          <t>IF(F259="","",ROW()-3)</t>
        </is>
      </c>
      <c r="B259" s="43" t="inlineStr">
        <is>
          <t>AF2-LLL-ALL</t>
        </is>
      </c>
      <c r="C259" s="43" t="inlineStr">
        <is>
          <t>EFSP-AF2 LLL supply and delivery (50 units)</t>
        </is>
      </c>
      <c r="D259" s="43" t="inlineStr">
        <is>
          <t>48 of 50</t>
        </is>
      </c>
      <c r="E259" s="44" t="inlineStr">
        <is>
          <t>AF2-LLL-N-048</t>
        </is>
      </c>
      <c r="F259" s="44" t="inlineStr">
        <is>
          <t>Yar Mohammad Khan Irrigation Scheme</t>
        </is>
      </c>
      <c r="G259" s="44" t="inlineStr">
        <is>
          <t>Laser Land Leveler (LLL)</t>
        </is>
      </c>
      <c r="H259" s="44" t="inlineStr">
        <is>
          <t>LLL unit</t>
        </is>
      </c>
      <c r="I259" s="44" t="inlineStr">
        <is>
          <t>Emergency Food Security Project (EFSP) – WBK/AF-2</t>
        </is>
      </c>
      <c r="J259" s="44" t="inlineStr">
        <is>
          <t>West / Herat</t>
        </is>
      </c>
      <c r="K259" s="44" t="inlineStr">
        <is>
          <t>Herat</t>
        </is>
      </c>
      <c r="L259" s="44" t="inlineStr">
        <is>
          <t>Obe</t>
        </is>
      </c>
      <c r="M259" s="44" t="inlineStr">
        <is>
          <t>1 unit(s)</t>
        </is>
      </c>
      <c r="N259" s="44" t="inlineStr">
        <is>
          <t>World Bank (WBK/AF-2)</t>
        </is>
      </c>
      <c r="O259" s="44" t="inlineStr">
        <is>
          <t>Not awarded</t>
        </is>
      </c>
      <c r="P259" s="44" t="inlineStr">
        <is>
          <t>6. Supply and delivery of LLL</t>
        </is>
      </c>
      <c r="Q259" s="44" t="inlineStr"/>
      <c r="R259" s="44" t="inlineStr"/>
      <c r="S259" s="45" t="n"/>
      <c r="T259" s="46" t="inlineStr">
        <is>
          <t>IF(AQ259="","",AQ259)</t>
        </is>
      </c>
      <c r="U259" s="47" t="n">
        <v>46325</v>
      </c>
      <c r="V259" s="48" t="n"/>
      <c r="W259" s="47" t="n">
        <v>46418</v>
      </c>
      <c r="X259" s="46" t="inlineStr">
        <is>
          <t>IF(W259&lt;&gt;"",W259,IF(OR(T259="",V259=""),"",EDATE(T259,V259)))</t>
        </is>
      </c>
      <c r="Y259" s="47" t="n"/>
      <c r="Z259" s="48" t="n"/>
      <c r="AA259" s="44" t="inlineStr">
        <is>
          <t>Under Awarding</t>
        </is>
      </c>
      <c r="AB259" s="44" t="inlineStr">
        <is>
          <t>The Procurement process is initiated in April and PO will be issued late October 2026. and delivery will be done by End of December 2026 and onward in January 2027 it is planned to be distributed to the selected beneficiaries.</t>
        </is>
      </c>
      <c r="AC259" s="42" t="inlineStr">
        <is>
          <t>IF(F259="","",IF(COUNT(AI259:AV259)=0,IF(AA259="","Not started",AA259),SUBSTITUTE(LOOKUP(2,1/(AI259:AV259&lt;&gt;""),$AI$3:$AV$3),"Date: ","")))</t>
        </is>
      </c>
      <c r="AD259" s="49" t="inlineStr">
        <is>
          <t>IF(OR(F259="",COUNT(AI259:AV259)=0),"",TODAY()-LOOKUP(2,1/(AI259:AV259&lt;&gt;""),AI259:AV259))</t>
        </is>
      </c>
      <c r="AE259" s="49" t="inlineStr">
        <is>
          <t>IF(OR(F259="",COUNT(AI259:AV259)&lt;2),"",LOOKUP(2,1/(AI259:AV259&lt;&gt;""),AI259:AV259)-MIN(AI259:AV259))</t>
        </is>
      </c>
      <c r="AF259" s="49" t="inlineStr">
        <is>
          <t>IF(OR(AD259="",AC259="Not started",AC259=""),"",IFERROR(AD259-IF(VLOOKUP(AC259,'06_Status_Pipeline'!$B$3:$E$20,4,FALSE)="",0,VLOOKUP(AC259,'06_Status_Pipeline'!$B$3:$E$20,4,FALSE)),""))</t>
        </is>
      </c>
      <c r="AG259" s="42" t="inlineStr">
        <is>
          <t>IF(F259="","",IF(OR(AA259="Cancelled",AC259="Cancelled"),"Cancelled",IF(OR(AC259="Completed / Handover",Y259&lt;&gt;"",Z259&gt;=100),"Completed — on track",IF(O259="Not awarded",IF(U259="",IF(X259="","No planned date",IF(TODAY()&gt;X259,"Behind — past planned date",IF(X259-TODAY()&lt;=30,"At risk — close to off track","On track"))),IF(TODAY()&gt;U259,"Behind — award date passed",IF(U259-TODAY()&lt;=30,"At risk — close to off track","On track"))),IF(X259="","No planned date",IF(AND(TODAY()&gt;X259,OR(Z259="",Z259&lt;100)),"Behind — past end date",IF(AND(T259&lt;&gt;"",X259&lt;&gt;"",Z259&lt;&gt;"",(Z259&lt;100),((TODAY()-T259)/MAX(X259-T259,1)*100)-Z259&gt;15),"Behind — progress lag",IF(AND(X259-TODAY()&lt;=30,X259-TODAY()&gt;=0,OR(Z259="",Z259&lt;90)),"At risk — close to off track","On track"))))))))</t>
        </is>
      </c>
      <c r="AH259" s="49" t="inlineStr">
        <is>
          <t>IF(OR(F259="",AC259="Completed / Handover",AC259="Cancelled"),"",IF(O259="Not awarded",IF(U259&lt;&gt;"",U259-TODAY(),IF(X259="","",X259-TODAY())),IF(X259="","",X259-TODAY())))</t>
        </is>
      </c>
      <c r="AI259" s="47" t="n"/>
      <c r="AJ259" s="47" t="n"/>
      <c r="AK259" s="47" t="n"/>
      <c r="AL259" s="47" t="n"/>
      <c r="AM259" s="47" t="n"/>
      <c r="AN259" s="47" t="n"/>
      <c r="AO259" s="47" t="n"/>
      <c r="AP259" s="47" t="n"/>
      <c r="AQ259" s="47" t="n"/>
      <c r="AR259" s="47" t="n"/>
      <c r="AS259" s="47" t="n"/>
      <c r="AT259" s="50" t="n"/>
      <c r="AU259" s="50" t="n"/>
      <c r="AV259" s="50" t="n"/>
      <c r="AW259" s="49" t="inlineStr">
        <is>
          <t>IF(OR(F259="",AJ259=""),"",IF(COUNT(AI259:AI259)=0,"",AJ259-LOOKUP(2,1/(AI259:AI259&lt;&gt;""),AI259:AI259)))</t>
        </is>
      </c>
      <c r="AX259" s="49" t="inlineStr">
        <is>
          <t>IF(OR(F259="",AK259=""),"",IF(COUNT(AI259:AJ259)=0,"",AK259-LOOKUP(2,1/(AI259:AJ259&lt;&gt;""),AI259:AJ259)))</t>
        </is>
      </c>
      <c r="AY259" s="49" t="inlineStr">
        <is>
          <t>IF(OR(F259="",AL259=""),"",IF(COUNT(AI259:AK259)=0,"",AL259-LOOKUP(2,1/(AI259:AK259&lt;&gt;""),AI259:AK259)))</t>
        </is>
      </c>
      <c r="AZ259" s="49" t="inlineStr">
        <is>
          <t>IF(OR(F259="",AM259=""),"",IF(COUNT(AI259:AL259)=0,"",AM259-LOOKUP(2,1/(AI259:AL259&lt;&gt;""),AI259:AL259)))</t>
        </is>
      </c>
      <c r="BA259" s="49" t="inlineStr">
        <is>
          <t>IF(OR(F259="",AN259=""),"",IF(COUNT(AI259:AM259)=0,"",AN259-LOOKUP(2,1/(AI259:AM259&lt;&gt;""),AI259:AM259)))</t>
        </is>
      </c>
      <c r="BB259" s="49" t="inlineStr">
        <is>
          <t>IF(OR(F259="",AO259=""),"",IF(COUNT(AI259:AN259)=0,"",AO259-LOOKUP(2,1/(AI259:AN259&lt;&gt;""),AI259:AN259)))</t>
        </is>
      </c>
      <c r="BC259" s="49" t="inlineStr">
        <is>
          <t>IF(OR(F259="",AP259=""),"",IF(COUNT(AI259:AO259)=0,"",AP259-LOOKUP(2,1/(AI259:AO259&lt;&gt;""),AI259:AO259)))</t>
        </is>
      </c>
      <c r="BD259" s="49" t="inlineStr">
        <is>
          <t>IF(OR(F259="",AQ259=""),"",IF(COUNT(AI259:AP259)=0,"",AQ259-LOOKUP(2,1/(AI259:AP259&lt;&gt;""),AI259:AP259)))</t>
        </is>
      </c>
      <c r="BE259" s="49" t="inlineStr">
        <is>
          <t>IF(OR(F259="",AR259=""),"",IF(COUNT(AI259:AQ259)=0,"",AR259-LOOKUP(2,1/(AI259:AQ259&lt;&gt;""),AI259:AQ259)))</t>
        </is>
      </c>
      <c r="BF259" s="49" t="inlineStr">
        <is>
          <t>IF(OR(F259="",AS259=""),"",IF(COUNT(AI259:AR259)=0,"",AS259-LOOKUP(2,1/(AI259:AR259&lt;&gt;""),AI259:AR259)))</t>
        </is>
      </c>
      <c r="BG259" s="49" t="inlineStr">
        <is>
          <t>IF(OR(F259="",AT259=""),"",IF(COUNT(AI259:AS259)=0,"",AT259-LOOKUP(2,1/(AI259:AS259&lt;&gt;""),AI259:AS259)))</t>
        </is>
      </c>
      <c r="BH259" s="49" t="inlineStr">
        <is>
          <t>IF(OR(F259="",AU259=""),"",IF(COUNT(AI259:AT259)=0,"",AU259-LOOKUP(2,1/(AI259:AT259&lt;&gt;""),AI259:AT259)))</t>
        </is>
      </c>
      <c r="BI259" s="49" t="inlineStr">
        <is>
          <t>IF(OR(F259="",AV259=""),"",IF(COUNT(AI259:AU259)=0,"",AV259-LOOKUP(2,1/(AI259:AU259&lt;&gt;""),AI259:AU259)))</t>
        </is>
      </c>
      <c r="BJ259" s="51" t="inlineStr">
        <is>
          <t>IF(J259="","All_Provinces",IFERROR(VLOOKUP(J259,'09_Lookups'!$A$4:$B$20,2,FALSE),"All_Provinces"))</t>
        </is>
      </c>
      <c r="BK259" s="51" t="inlineStr">
        <is>
          <t>IF(K259="","All_Districts",IFERROR(VLOOKUP(K259,'09_Lookups'!$E$4:$F$42,2,FALSE),"All_Districts"))</t>
        </is>
      </c>
    </row>
    <row r="260" outlineLevel="1" ht="18" customHeight="1">
      <c r="A260" s="42" t="inlineStr">
        <is>
          <t>IF(F260="","",ROW()-3)</t>
        </is>
      </c>
      <c r="B260" s="43" t="inlineStr">
        <is>
          <t>AF2-LLL-ALL</t>
        </is>
      </c>
      <c r="C260" s="43" t="inlineStr">
        <is>
          <t>EFSP-AF2 LLL supply and delivery (50 units)</t>
        </is>
      </c>
      <c r="D260" s="43" t="inlineStr">
        <is>
          <t>49 of 50</t>
        </is>
      </c>
      <c r="E260" s="52" t="inlineStr">
        <is>
          <t>AF2-LLL-N-049</t>
        </is>
      </c>
      <c r="F260" s="52" t="inlineStr">
        <is>
          <t>Zard Sang Irrigation Scheme</t>
        </is>
      </c>
      <c r="G260" s="52" t="inlineStr">
        <is>
          <t>Laser Land Leveler (LLL)</t>
        </is>
      </c>
      <c r="H260" s="52" t="inlineStr">
        <is>
          <t>LLL unit</t>
        </is>
      </c>
      <c r="I260" s="52" t="inlineStr">
        <is>
          <t>Emergency Food Security Project (EFSP) – WBK/AF-2</t>
        </is>
      </c>
      <c r="J260" s="52" t="inlineStr">
        <is>
          <t>Central Highland / Bamyan</t>
        </is>
      </c>
      <c r="K260" s="52" t="inlineStr">
        <is>
          <t>Bamyan</t>
        </is>
      </c>
      <c r="L260" s="52" t="inlineStr">
        <is>
          <t>Bamiyan</t>
        </is>
      </c>
      <c r="M260" s="52" t="inlineStr">
        <is>
          <t>1 unit(s)</t>
        </is>
      </c>
      <c r="N260" s="52" t="inlineStr">
        <is>
          <t>World Bank (WBK/AF-2)</t>
        </is>
      </c>
      <c r="O260" s="52" t="inlineStr">
        <is>
          <t>Not awarded</t>
        </is>
      </c>
      <c r="P260" s="52" t="inlineStr">
        <is>
          <t>6. Supply and delivery of LLL</t>
        </is>
      </c>
      <c r="Q260" s="52" t="inlineStr"/>
      <c r="R260" s="52" t="inlineStr"/>
      <c r="S260" s="53" t="n"/>
      <c r="T260" s="46" t="inlineStr">
        <is>
          <t>IF(AQ260="","",AQ260)</t>
        </is>
      </c>
      <c r="U260" s="54" t="n">
        <v>46325</v>
      </c>
      <c r="V260" s="55" t="n"/>
      <c r="W260" s="54" t="n">
        <v>46418</v>
      </c>
      <c r="X260" s="46" t="inlineStr">
        <is>
          <t>IF(W260&lt;&gt;"",W260,IF(OR(T260="",V260=""),"",EDATE(T260,V260)))</t>
        </is>
      </c>
      <c r="Y260" s="54" t="n"/>
      <c r="Z260" s="55" t="n"/>
      <c r="AA260" s="52" t="inlineStr">
        <is>
          <t>Under Awarding</t>
        </is>
      </c>
      <c r="AB260" s="52" t="inlineStr">
        <is>
          <t>The Procurement process is initiated in April and PO will be issued late October 2026. and delivery will be done by End of December 2026 and onward in January 2027 it is planned to be distributed to the selected beneficiaries.</t>
        </is>
      </c>
      <c r="AC260" s="42" t="inlineStr">
        <is>
          <t>IF(F260="","",IF(COUNT(AI260:AV260)=0,IF(AA260="","Not started",AA260),SUBSTITUTE(LOOKUP(2,1/(AI260:AV260&lt;&gt;""),$AI$3:$AV$3),"Date: ","")))</t>
        </is>
      </c>
      <c r="AD260" s="49" t="inlineStr">
        <is>
          <t>IF(OR(F260="",COUNT(AI260:AV260)=0),"",TODAY()-LOOKUP(2,1/(AI260:AV260&lt;&gt;""),AI260:AV260))</t>
        </is>
      </c>
      <c r="AE260" s="49" t="inlineStr">
        <is>
          <t>IF(OR(F260="",COUNT(AI260:AV260)&lt;2),"",LOOKUP(2,1/(AI260:AV260&lt;&gt;""),AI260:AV260)-MIN(AI260:AV260))</t>
        </is>
      </c>
      <c r="AF260" s="49" t="inlineStr">
        <is>
          <t>IF(OR(AD260="",AC260="Not started",AC260=""),"",IFERROR(AD260-IF(VLOOKUP(AC260,'06_Status_Pipeline'!$B$3:$E$20,4,FALSE)="",0,VLOOKUP(AC260,'06_Status_Pipeline'!$B$3:$E$20,4,FALSE)),""))</t>
        </is>
      </c>
      <c r="AG260" s="42" t="inlineStr">
        <is>
          <t>IF(F260="","",IF(OR(AA260="Cancelled",AC260="Cancelled"),"Cancelled",IF(OR(AC260="Completed / Handover",Y260&lt;&gt;"",Z260&gt;=100),"Completed — on track",IF(O260="Not awarded",IF(U260="",IF(X260="","No planned date",IF(TODAY()&gt;X260,"Behind — past planned date",IF(X260-TODAY()&lt;=30,"At risk — close to off track","On track"))),IF(TODAY()&gt;U260,"Behind — award date passed",IF(U260-TODAY()&lt;=30,"At risk — close to off track","On track"))),IF(X260="","No planned date",IF(AND(TODAY()&gt;X260,OR(Z260="",Z260&lt;100)),"Behind — past end date",IF(AND(T260&lt;&gt;"",X260&lt;&gt;"",Z260&lt;&gt;"",(Z260&lt;100),((TODAY()-T260)/MAX(X260-T260,1)*100)-Z260&gt;15),"Behind — progress lag",IF(AND(X260-TODAY()&lt;=30,X260-TODAY()&gt;=0,OR(Z260="",Z260&lt;90)),"At risk — close to off track","On track"))))))))</t>
        </is>
      </c>
      <c r="AH260" s="49" t="inlineStr">
        <is>
          <t>IF(OR(F260="",AC260="Completed / Handover",AC260="Cancelled"),"",IF(O260="Not awarded",IF(U260&lt;&gt;"",U260-TODAY(),IF(X260="","",X260-TODAY())),IF(X260="","",X260-TODAY())))</t>
        </is>
      </c>
      <c r="AI260" s="54" t="n"/>
      <c r="AJ260" s="54" t="n"/>
      <c r="AK260" s="54" t="n"/>
      <c r="AL260" s="54" t="n"/>
      <c r="AM260" s="54" t="n"/>
      <c r="AN260" s="54" t="n"/>
      <c r="AO260" s="54" t="n"/>
      <c r="AP260" s="54" t="n"/>
      <c r="AQ260" s="54" t="n"/>
      <c r="AR260" s="54" t="n"/>
      <c r="AS260" s="54" t="n"/>
      <c r="AT260" s="50" t="n"/>
      <c r="AU260" s="50" t="n"/>
      <c r="AV260" s="50" t="n"/>
      <c r="AW260" s="49" t="inlineStr">
        <is>
          <t>IF(OR(F260="",AJ260=""),"",IF(COUNT(AI260:AI260)=0,"",AJ260-LOOKUP(2,1/(AI260:AI260&lt;&gt;""),AI260:AI260)))</t>
        </is>
      </c>
      <c r="AX260" s="49" t="inlineStr">
        <is>
          <t>IF(OR(F260="",AK260=""),"",IF(COUNT(AI260:AJ260)=0,"",AK260-LOOKUP(2,1/(AI260:AJ260&lt;&gt;""),AI260:AJ260)))</t>
        </is>
      </c>
      <c r="AY260" s="49" t="inlineStr">
        <is>
          <t>IF(OR(F260="",AL260=""),"",IF(COUNT(AI260:AK260)=0,"",AL260-LOOKUP(2,1/(AI260:AK260&lt;&gt;""),AI260:AK260)))</t>
        </is>
      </c>
      <c r="AZ260" s="49" t="inlineStr">
        <is>
          <t>IF(OR(F260="",AM260=""),"",IF(COUNT(AI260:AL260)=0,"",AM260-LOOKUP(2,1/(AI260:AL260&lt;&gt;""),AI260:AL260)))</t>
        </is>
      </c>
      <c r="BA260" s="49" t="inlineStr">
        <is>
          <t>IF(OR(F260="",AN260=""),"",IF(COUNT(AI260:AM260)=0,"",AN260-LOOKUP(2,1/(AI260:AM260&lt;&gt;""),AI260:AM260)))</t>
        </is>
      </c>
      <c r="BB260" s="49" t="inlineStr">
        <is>
          <t>IF(OR(F260="",AO260=""),"",IF(COUNT(AI260:AN260)=0,"",AO260-LOOKUP(2,1/(AI260:AN260&lt;&gt;""),AI260:AN260)))</t>
        </is>
      </c>
      <c r="BC260" s="49" t="inlineStr">
        <is>
          <t>IF(OR(F260="",AP260=""),"",IF(COUNT(AI260:AO260)=0,"",AP260-LOOKUP(2,1/(AI260:AO260&lt;&gt;""),AI260:AO260)))</t>
        </is>
      </c>
      <c r="BD260" s="49" t="inlineStr">
        <is>
          <t>IF(OR(F260="",AQ260=""),"",IF(COUNT(AI260:AP260)=0,"",AQ260-LOOKUP(2,1/(AI260:AP260&lt;&gt;""),AI260:AP260)))</t>
        </is>
      </c>
      <c r="BE260" s="49" t="inlineStr">
        <is>
          <t>IF(OR(F260="",AR260=""),"",IF(COUNT(AI260:AQ260)=0,"",AR260-LOOKUP(2,1/(AI260:AQ260&lt;&gt;""),AI260:AQ260)))</t>
        </is>
      </c>
      <c r="BF260" s="49" t="inlineStr">
        <is>
          <t>IF(OR(F260="",AS260=""),"",IF(COUNT(AI260:AR260)=0,"",AS260-LOOKUP(2,1/(AI260:AR260&lt;&gt;""),AI260:AR260)))</t>
        </is>
      </c>
      <c r="BG260" s="49" t="inlineStr">
        <is>
          <t>IF(OR(F260="",AT260=""),"",IF(COUNT(AI260:AS260)=0,"",AT260-LOOKUP(2,1/(AI260:AS260&lt;&gt;""),AI260:AS260)))</t>
        </is>
      </c>
      <c r="BH260" s="49" t="inlineStr">
        <is>
          <t>IF(OR(F260="",AU260=""),"",IF(COUNT(AI260:AT260)=0,"",AU260-LOOKUP(2,1/(AI260:AT260&lt;&gt;""),AI260:AT260)))</t>
        </is>
      </c>
      <c r="BI260" s="49" t="inlineStr">
        <is>
          <t>IF(OR(F260="",AV260=""),"",IF(COUNT(AI260:AU260)=0,"",AV260-LOOKUP(2,1/(AI260:AU260&lt;&gt;""),AI260:AU260)))</t>
        </is>
      </c>
      <c r="BJ260" s="51" t="inlineStr">
        <is>
          <t>IF(J260="","All_Provinces",IFERROR(VLOOKUP(J260,'09_Lookups'!$A$4:$B$20,2,FALSE),"All_Provinces"))</t>
        </is>
      </c>
      <c r="BK260" s="51" t="inlineStr">
        <is>
          <t>IF(K260="","All_Districts",IFERROR(VLOOKUP(K260,'09_Lookups'!$E$4:$F$42,2,FALSE),"All_Districts"))</t>
        </is>
      </c>
    </row>
    <row r="261" outlineLevel="1" ht="18" customHeight="1">
      <c r="A261" s="42" t="inlineStr">
        <is>
          <t>IF(F261="","",ROW()-3)</t>
        </is>
      </c>
      <c r="B261" s="43" t="inlineStr">
        <is>
          <t>AF2-LLL-ALL</t>
        </is>
      </c>
      <c r="C261" s="43" t="inlineStr">
        <is>
          <t>EFSP-AF2 LLL supply and delivery (50 units)</t>
        </is>
      </c>
      <c r="D261" s="43" t="inlineStr">
        <is>
          <t>50 of 50</t>
        </is>
      </c>
      <c r="E261" s="44" t="inlineStr">
        <is>
          <t>AF2-LLL-N-050</t>
        </is>
      </c>
      <c r="F261" s="44" t="inlineStr">
        <is>
          <t>Zema Canal</t>
        </is>
      </c>
      <c r="G261" s="44" t="inlineStr">
        <is>
          <t>Laser Land Leveler (LLL)</t>
        </is>
      </c>
      <c r="H261" s="44" t="inlineStr">
        <is>
          <t>LLL unit</t>
        </is>
      </c>
      <c r="I261" s="44" t="inlineStr">
        <is>
          <t>Emergency Food Security Project (EFSP) – WBK/AF-2</t>
        </is>
      </c>
      <c r="J261" s="44" t="inlineStr">
        <is>
          <t>Central / Kabul</t>
        </is>
      </c>
      <c r="K261" s="44" t="inlineStr">
        <is>
          <t>Kabul</t>
        </is>
      </c>
      <c r="L261" s="44" t="inlineStr">
        <is>
          <t>Kalakan</t>
        </is>
      </c>
      <c r="M261" s="44" t="inlineStr">
        <is>
          <t>1 unit(s)</t>
        </is>
      </c>
      <c r="N261" s="44" t="inlineStr">
        <is>
          <t>World Bank (WBK/AF-2)</t>
        </is>
      </c>
      <c r="O261" s="44" t="inlineStr">
        <is>
          <t>Not awarded</t>
        </is>
      </c>
      <c r="P261" s="44" t="inlineStr">
        <is>
          <t>6. Supply and delivery of LLL</t>
        </is>
      </c>
      <c r="Q261" s="44" t="inlineStr"/>
      <c r="R261" s="44" t="inlineStr"/>
      <c r="S261" s="45" t="n"/>
      <c r="T261" s="46" t="inlineStr">
        <is>
          <t>IF(AQ261="","",AQ261)</t>
        </is>
      </c>
      <c r="U261" s="47" t="n">
        <v>46325</v>
      </c>
      <c r="V261" s="48" t="n"/>
      <c r="W261" s="47" t="n">
        <v>46418</v>
      </c>
      <c r="X261" s="46" t="inlineStr">
        <is>
          <t>IF(W261&lt;&gt;"",W261,IF(OR(T261="",V261=""),"",EDATE(T261,V261)))</t>
        </is>
      </c>
      <c r="Y261" s="47" t="n"/>
      <c r="Z261" s="48" t="n"/>
      <c r="AA261" s="44" t="inlineStr">
        <is>
          <t>Under Awarding</t>
        </is>
      </c>
      <c r="AB261" s="44" t="inlineStr">
        <is>
          <t>The Procurement process is initiated in April and PO will be issued late October 2026. and delivery will be done by End of December 2026 and onward in January 2027 it is planned to be distributed to the selected beneficiaries.</t>
        </is>
      </c>
      <c r="AC261" s="42" t="inlineStr">
        <is>
          <t>IF(F261="","",IF(COUNT(AI261:AV261)=0,IF(AA261="","Not started",AA261),SUBSTITUTE(LOOKUP(2,1/(AI261:AV261&lt;&gt;""),$AI$3:$AV$3),"Date: ","")))</t>
        </is>
      </c>
      <c r="AD261" s="49" t="inlineStr">
        <is>
          <t>IF(OR(F261="",COUNT(AI261:AV261)=0),"",TODAY()-LOOKUP(2,1/(AI261:AV261&lt;&gt;""),AI261:AV261))</t>
        </is>
      </c>
      <c r="AE261" s="49" t="inlineStr">
        <is>
          <t>IF(OR(F261="",COUNT(AI261:AV261)&lt;2),"",LOOKUP(2,1/(AI261:AV261&lt;&gt;""),AI261:AV261)-MIN(AI261:AV261))</t>
        </is>
      </c>
      <c r="AF261" s="49" t="inlineStr">
        <is>
          <t>IF(OR(AD261="",AC261="Not started",AC261=""),"",IFERROR(AD261-IF(VLOOKUP(AC261,'06_Status_Pipeline'!$B$3:$E$20,4,FALSE)="",0,VLOOKUP(AC261,'06_Status_Pipeline'!$B$3:$E$20,4,FALSE)),""))</t>
        </is>
      </c>
      <c r="AG261" s="42" t="inlineStr">
        <is>
          <t>IF(F261="","",IF(OR(AA261="Cancelled",AC261="Cancelled"),"Cancelled",IF(OR(AC261="Completed / Handover",Y261&lt;&gt;"",Z261&gt;=100),"Completed — on track",IF(O261="Not awarded",IF(U261="",IF(X261="","No planned date",IF(TODAY()&gt;X261,"Behind — past planned date",IF(X261-TODAY()&lt;=30,"At risk — close to off track","On track"))),IF(TODAY()&gt;U261,"Behind — award date passed",IF(U261-TODAY()&lt;=30,"At risk — close to off track","On track"))),IF(X261="","No planned date",IF(AND(TODAY()&gt;X261,OR(Z261="",Z261&lt;100)),"Behind — past end date",IF(AND(T261&lt;&gt;"",X261&lt;&gt;"",Z261&lt;&gt;"",(Z261&lt;100),((TODAY()-T261)/MAX(X261-T261,1)*100)-Z261&gt;15),"Behind — progress lag",IF(AND(X261-TODAY()&lt;=30,X261-TODAY()&gt;=0,OR(Z261="",Z261&lt;90)),"At risk — close to off track","On track"))))))))</t>
        </is>
      </c>
      <c r="AH261" s="49" t="inlineStr">
        <is>
          <t>IF(OR(F261="",AC261="Completed / Handover",AC261="Cancelled"),"",IF(O261="Not awarded",IF(U261&lt;&gt;"",U261-TODAY(),IF(X261="","",X261-TODAY())),IF(X261="","",X261-TODAY())))</t>
        </is>
      </c>
      <c r="AI261" s="47" t="n"/>
      <c r="AJ261" s="47" t="n"/>
      <c r="AK261" s="47" t="n"/>
      <c r="AL261" s="47" t="n"/>
      <c r="AM261" s="47" t="n"/>
      <c r="AN261" s="47" t="n"/>
      <c r="AO261" s="47" t="n"/>
      <c r="AP261" s="47" t="n"/>
      <c r="AQ261" s="47" t="n"/>
      <c r="AR261" s="47" t="n"/>
      <c r="AS261" s="47" t="n"/>
      <c r="AT261" s="50" t="n"/>
      <c r="AU261" s="50" t="n"/>
      <c r="AV261" s="50" t="n"/>
      <c r="AW261" s="49" t="inlineStr">
        <is>
          <t>IF(OR(F261="",AJ261=""),"",IF(COUNT(AI261:AI261)=0,"",AJ261-LOOKUP(2,1/(AI261:AI261&lt;&gt;""),AI261:AI261)))</t>
        </is>
      </c>
      <c r="AX261" s="49" t="inlineStr">
        <is>
          <t>IF(OR(F261="",AK261=""),"",IF(COUNT(AI261:AJ261)=0,"",AK261-LOOKUP(2,1/(AI261:AJ261&lt;&gt;""),AI261:AJ261)))</t>
        </is>
      </c>
      <c r="AY261" s="49" t="inlineStr">
        <is>
          <t>IF(OR(F261="",AL261=""),"",IF(COUNT(AI261:AK261)=0,"",AL261-LOOKUP(2,1/(AI261:AK261&lt;&gt;""),AI261:AK261)))</t>
        </is>
      </c>
      <c r="AZ261" s="49" t="inlineStr">
        <is>
          <t>IF(OR(F261="",AM261=""),"",IF(COUNT(AI261:AL261)=0,"",AM261-LOOKUP(2,1/(AI261:AL261&lt;&gt;""),AI261:AL261)))</t>
        </is>
      </c>
      <c r="BA261" s="49" t="inlineStr">
        <is>
          <t>IF(OR(F261="",AN261=""),"",IF(COUNT(AI261:AM261)=0,"",AN261-LOOKUP(2,1/(AI261:AM261&lt;&gt;""),AI261:AM261)))</t>
        </is>
      </c>
      <c r="BB261" s="49" t="inlineStr">
        <is>
          <t>IF(OR(F261="",AO261=""),"",IF(COUNT(AI261:AN261)=0,"",AO261-LOOKUP(2,1/(AI261:AN261&lt;&gt;""),AI261:AN261)))</t>
        </is>
      </c>
      <c r="BC261" s="49" t="inlineStr">
        <is>
          <t>IF(OR(F261="",AP261=""),"",IF(COUNT(AI261:AO261)=0,"",AP261-LOOKUP(2,1/(AI261:AO261&lt;&gt;""),AI261:AO261)))</t>
        </is>
      </c>
      <c r="BD261" s="49" t="inlineStr">
        <is>
          <t>IF(OR(F261="",AQ261=""),"",IF(COUNT(AI261:AP261)=0,"",AQ261-LOOKUP(2,1/(AI261:AP261&lt;&gt;""),AI261:AP261)))</t>
        </is>
      </c>
      <c r="BE261" s="49" t="inlineStr">
        <is>
          <t>IF(OR(F261="",AR261=""),"",IF(COUNT(AI261:AQ261)=0,"",AR261-LOOKUP(2,1/(AI261:AQ261&lt;&gt;""),AI261:AQ261)))</t>
        </is>
      </c>
      <c r="BF261" s="49" t="inlineStr">
        <is>
          <t>IF(OR(F261="",AS261=""),"",IF(COUNT(AI261:AR261)=0,"",AS261-LOOKUP(2,1/(AI261:AR261&lt;&gt;""),AI261:AR261)))</t>
        </is>
      </c>
      <c r="BG261" s="49" t="inlineStr">
        <is>
          <t>IF(OR(F261="",AT261=""),"",IF(COUNT(AI261:AS261)=0,"",AT261-LOOKUP(2,1/(AI261:AS261&lt;&gt;""),AI261:AS261)))</t>
        </is>
      </c>
      <c r="BH261" s="49" t="inlineStr">
        <is>
          <t>IF(OR(F261="",AU261=""),"",IF(COUNT(AI261:AT261)=0,"",AU261-LOOKUP(2,1/(AI261:AT261&lt;&gt;""),AI261:AT261)))</t>
        </is>
      </c>
      <c r="BI261" s="49" t="inlineStr">
        <is>
          <t>IF(OR(F261="",AV261=""),"",IF(COUNT(AI261:AU261)=0,"",AV261-LOOKUP(2,1/(AI261:AU261&lt;&gt;""),AI261:AU261)))</t>
        </is>
      </c>
      <c r="BJ261" s="51" t="inlineStr">
        <is>
          <t>IF(J261="","All_Provinces",IFERROR(VLOOKUP(J261,'09_Lookups'!$A$4:$B$20,2,FALSE),"All_Provinces"))</t>
        </is>
      </c>
      <c r="BK261" s="51" t="inlineStr">
        <is>
          <t>IF(K261="","All_Districts",IFERROR(VLOOKUP(K261,'09_Lookups'!$E$4:$F$42,2,FALSE),"All_Districts"))</t>
        </is>
      </c>
    </row>
    <row r="262" ht="18" customHeight="1">
      <c r="A262" s="32" t="inlineStr">
        <is>
          <t>IF(F262="","",ROW()-3)</t>
        </is>
      </c>
      <c r="B262" s="56" t="inlineStr">
        <is>
          <t>AF2-WSM-01</t>
        </is>
      </c>
      <c r="C262" s="56" t="inlineStr">
        <is>
          <t>Package #1-AF2 WSM: Construction of Dara Garmak Check dam, located in Qadis districts of Badghis province</t>
        </is>
      </c>
      <c r="D262" s="56" t="inlineStr">
        <is>
          <t>1 of 1</t>
        </is>
      </c>
      <c r="E262" s="34" t="inlineStr">
        <is>
          <t>AF2-WSM-N-001</t>
        </is>
      </c>
      <c r="F262" s="34" t="inlineStr">
        <is>
          <t>Dara Garmak Check dam</t>
        </is>
      </c>
      <c r="G262" s="34" t="inlineStr">
        <is>
          <t>Watershed Management</t>
        </is>
      </c>
      <c r="H262" s="34" t="inlineStr">
        <is>
          <t>Check Dam</t>
        </is>
      </c>
      <c r="I262" s="34" t="inlineStr">
        <is>
          <t>Emergency Food Security Project (EFSP) – WBK/AF-2</t>
        </is>
      </c>
      <c r="J262" s="34" t="inlineStr">
        <is>
          <t>West / Herat</t>
        </is>
      </c>
      <c r="K262" s="34" t="inlineStr">
        <is>
          <t>Badghis</t>
        </is>
      </c>
      <c r="L262" s="34" t="inlineStr">
        <is>
          <t>Qadis</t>
        </is>
      </c>
      <c r="M262" s="34" t="inlineStr">
        <is>
          <t>Langar</t>
        </is>
      </c>
      <c r="N262" s="34" t="inlineStr">
        <is>
          <t>World Bank (WBK/AF-2)</t>
        </is>
      </c>
      <c r="O262" s="34" t="inlineStr">
        <is>
          <t>Not awarded</t>
        </is>
      </c>
      <c r="P262" s="34" t="inlineStr">
        <is>
          <t>4.WSM remaining contracts</t>
        </is>
      </c>
      <c r="Q262" s="34" t="inlineStr"/>
      <c r="R262" s="34" t="inlineStr"/>
      <c r="S262" s="35" t="n">
        <v>131000</v>
      </c>
      <c r="T262" s="36" t="inlineStr">
        <is>
          <t>IF(AQ262="","",AQ262)</t>
        </is>
      </c>
      <c r="U262" s="37" t="n">
        <v>46361</v>
      </c>
      <c r="V262" s="38" t="n">
        <v>8.9</v>
      </c>
      <c r="W262" s="37" t="n">
        <v>46631</v>
      </c>
      <c r="X262" s="36" t="inlineStr">
        <is>
          <t>IF(W262&lt;&gt;"",W262,IF(OR(T262="",V262=""),"",EDATE(T262,V262)))</t>
        </is>
      </c>
      <c r="Y262" s="37" t="n"/>
      <c r="Z262" s="38" t="n"/>
      <c r="AA262" s="34" t="inlineStr">
        <is>
          <t>PR to be Raised</t>
        </is>
      </c>
      <c r="AB262" s="34" t="inlineStr">
        <is>
          <t>Construction of the check dam will be completed in six months. Additional three months have been kept as slack period during Jan-March.</t>
        </is>
      </c>
      <c r="AC262" s="32" t="inlineStr">
        <is>
          <t>IF(F262="","",IF(COUNT(AI262:AV262)=0,IF(AA262="","Not started",AA262),SUBSTITUTE(LOOKUP(2,1/(AI262:AV262&lt;&gt;""),$AI$3:$AV$3),"Date: ","")))</t>
        </is>
      </c>
      <c r="AD262" s="39" t="inlineStr">
        <is>
          <t>IF(OR(F262="",COUNT(AI262:AV262)=0),"",TODAY()-LOOKUP(2,1/(AI262:AV262&lt;&gt;""),AI262:AV262))</t>
        </is>
      </c>
      <c r="AE262" s="39" t="inlineStr">
        <is>
          <t>IF(OR(F262="",COUNT(AI262:AV262)&lt;2),"",LOOKUP(2,1/(AI262:AV262&lt;&gt;""),AI262:AV262)-MIN(AI262:AV262))</t>
        </is>
      </c>
      <c r="AF262" s="39" t="inlineStr">
        <is>
          <t>IF(OR(AD262="",AC262="Not started",AC262=""),"",IFERROR(AD262-IF(VLOOKUP(AC262,'06_Status_Pipeline'!$B$3:$E$20,4,FALSE)="",0,VLOOKUP(AC262,'06_Status_Pipeline'!$B$3:$E$20,4,FALSE)),""))</t>
        </is>
      </c>
      <c r="AG262" s="32" t="inlineStr">
        <is>
          <t>IF(F262="","",IF(OR(AA262="Cancelled",AC262="Cancelled"),"Cancelled",IF(OR(AC262="Completed / Handover",Y262&lt;&gt;"",Z262&gt;=100),"Completed — on track",IF(O262="Not awarded",IF(U262="",IF(X262="","No planned date",IF(TODAY()&gt;X262,"Behind — past planned date",IF(X262-TODAY()&lt;=30,"At risk — close to off track","On track"))),IF(TODAY()&gt;U262,"Behind — award date passed",IF(U262-TODAY()&lt;=30,"At risk — close to off track","On track"))),IF(X262="","No planned date",IF(AND(TODAY()&gt;X262,OR(Z262="",Z262&lt;100)),"Behind — past end date",IF(AND(T262&lt;&gt;"",X262&lt;&gt;"",Z262&lt;&gt;"",(Z262&lt;100),((TODAY()-T262)/MAX(X262-T262,1)*100)-Z262&gt;15),"Behind — progress lag",IF(AND(X262-TODAY()&lt;=30,X262-TODAY()&gt;=0,OR(Z262="",Z262&lt;90)),"At risk — close to off track","On track"))))))))</t>
        </is>
      </c>
      <c r="AH262" s="39" t="inlineStr">
        <is>
          <t>IF(OR(F262="",AC262="Completed / Handover",AC262="Cancelled"),"",IF(O262="Not awarded",IF(U262&lt;&gt;"",U262-TODAY(),IF(X262="","",X262-TODAY())),IF(X262="","",X262-TODAY())))</t>
        </is>
      </c>
      <c r="AI262" s="37" t="n"/>
      <c r="AJ262" s="37" t="n"/>
      <c r="AK262" s="37" t="n"/>
      <c r="AL262" s="37" t="n"/>
      <c r="AM262" s="37" t="n"/>
      <c r="AN262" s="37" t="n"/>
      <c r="AO262" s="37" t="n"/>
      <c r="AP262" s="37" t="n"/>
      <c r="AQ262" s="37" t="n"/>
      <c r="AR262" s="37" t="n"/>
      <c r="AS262" s="37" t="n"/>
      <c r="AT262" s="40" t="n"/>
      <c r="AU262" s="40" t="n"/>
      <c r="AV262" s="40" t="n"/>
      <c r="AW262" s="39" t="inlineStr">
        <is>
          <t>IF(OR(F262="",AJ262=""),"",IF(COUNT(AI262:AI262)=0,"",AJ262-LOOKUP(2,1/(AI262:AI262&lt;&gt;""),AI262:AI262)))</t>
        </is>
      </c>
      <c r="AX262" s="39" t="inlineStr">
        <is>
          <t>IF(OR(F262="",AK262=""),"",IF(COUNT(AI262:AJ262)=0,"",AK262-LOOKUP(2,1/(AI262:AJ262&lt;&gt;""),AI262:AJ262)))</t>
        </is>
      </c>
      <c r="AY262" s="39" t="inlineStr">
        <is>
          <t>IF(OR(F262="",AL262=""),"",IF(COUNT(AI262:AK262)=0,"",AL262-LOOKUP(2,1/(AI262:AK262&lt;&gt;""),AI262:AK262)))</t>
        </is>
      </c>
      <c r="AZ262" s="39" t="inlineStr">
        <is>
          <t>IF(OR(F262="",AM262=""),"",IF(COUNT(AI262:AL262)=0,"",AM262-LOOKUP(2,1/(AI262:AL262&lt;&gt;""),AI262:AL262)))</t>
        </is>
      </c>
      <c r="BA262" s="39" t="inlineStr">
        <is>
          <t>IF(OR(F262="",AN262=""),"",IF(COUNT(AI262:AM262)=0,"",AN262-LOOKUP(2,1/(AI262:AM262&lt;&gt;""),AI262:AM262)))</t>
        </is>
      </c>
      <c r="BB262" s="39" t="inlineStr">
        <is>
          <t>IF(OR(F262="",AO262=""),"",IF(COUNT(AI262:AN262)=0,"",AO262-LOOKUP(2,1/(AI262:AN262&lt;&gt;""),AI262:AN262)))</t>
        </is>
      </c>
      <c r="BC262" s="39" t="inlineStr">
        <is>
          <t>IF(OR(F262="",AP262=""),"",IF(COUNT(AI262:AO262)=0,"",AP262-LOOKUP(2,1/(AI262:AO262&lt;&gt;""),AI262:AO262)))</t>
        </is>
      </c>
      <c r="BD262" s="39" t="inlineStr">
        <is>
          <t>IF(OR(F262="",AQ262=""),"",IF(COUNT(AI262:AP262)=0,"",AQ262-LOOKUP(2,1/(AI262:AP262&lt;&gt;""),AI262:AP262)))</t>
        </is>
      </c>
      <c r="BE262" s="39" t="inlineStr">
        <is>
          <t>IF(OR(F262="",AR262=""),"",IF(COUNT(AI262:AQ262)=0,"",AR262-LOOKUP(2,1/(AI262:AQ262&lt;&gt;""),AI262:AQ262)))</t>
        </is>
      </c>
      <c r="BF262" s="39" t="inlineStr">
        <is>
          <t>IF(OR(F262="",AS262=""),"",IF(COUNT(AI262:AR262)=0,"",AS262-LOOKUP(2,1/(AI262:AR262&lt;&gt;""),AI262:AR262)))</t>
        </is>
      </c>
      <c r="BG262" s="39" t="inlineStr">
        <is>
          <t>IF(OR(F262="",AT262=""),"",IF(COUNT(AI262:AS262)=0,"",AT262-LOOKUP(2,1/(AI262:AS262&lt;&gt;""),AI262:AS262)))</t>
        </is>
      </c>
      <c r="BH262" s="39" t="inlineStr">
        <is>
          <t>IF(OR(F262="",AU262=""),"",IF(COUNT(AI262:AT262)=0,"",AU262-LOOKUP(2,1/(AI262:AT262&lt;&gt;""),AI262:AT262)))</t>
        </is>
      </c>
      <c r="BI262" s="39" t="inlineStr">
        <is>
          <t>IF(OR(F262="",AV262=""),"",IF(COUNT(AI262:AU262)=0,"",AV262-LOOKUP(2,1/(AI262:AU262&lt;&gt;""),AI262:AU262)))</t>
        </is>
      </c>
      <c r="BJ262" s="41" t="inlineStr">
        <is>
          <t>IF(J262="","All_Provinces",IFERROR(VLOOKUP(J262,'09_Lookups'!$A$4:$B$20,2,FALSE),"All_Provinces"))</t>
        </is>
      </c>
      <c r="BK262" s="41" t="inlineStr">
        <is>
          <t>IF(K262="","All_Districts",IFERROR(VLOOKUP(K262,'09_Lookups'!$E$4:$F$42,2,FALSE),"All_Districts"))</t>
        </is>
      </c>
    </row>
    <row r="263" ht="18" customHeight="1">
      <c r="A263" s="32" t="inlineStr">
        <is>
          <t>IF(F263="","",ROW()-3)</t>
        </is>
      </c>
      <c r="B263" s="62" t="inlineStr">
        <is>
          <t>AF2-WSM-02</t>
        </is>
      </c>
      <c r="C263" s="62" t="inlineStr">
        <is>
          <t>Package #2 -AF2 WSM: Construction of 1. Dareh Shah Toot-1, 2. Dareh ShahToot-2, and 3. Jar Sono check dams in Obe District of Herat Province</t>
        </is>
      </c>
      <c r="D263" s="62" t="inlineStr">
        <is>
          <t>1 of 3</t>
        </is>
      </c>
      <c r="E263" s="57" t="inlineStr">
        <is>
          <t>AF2-WSM-A-001</t>
        </is>
      </c>
      <c r="F263" s="57" t="inlineStr">
        <is>
          <t>Dareh Shah Toot Check dam-1</t>
        </is>
      </c>
      <c r="G263" s="57" t="inlineStr">
        <is>
          <t>Watershed Management</t>
        </is>
      </c>
      <c r="H263" s="57" t="inlineStr">
        <is>
          <t>Check Dam</t>
        </is>
      </c>
      <c r="I263" s="57" t="inlineStr">
        <is>
          <t>Emergency Food Security Project (EFSP) – WBK/AF-2</t>
        </is>
      </c>
      <c r="J263" s="57" t="inlineStr">
        <is>
          <t>West / Herat</t>
        </is>
      </c>
      <c r="K263" s="57" t="inlineStr">
        <is>
          <t>Herat</t>
        </is>
      </c>
      <c r="L263" s="57" t="inlineStr">
        <is>
          <t>Obe</t>
        </is>
      </c>
      <c r="M263" s="57" t="inlineStr">
        <is>
          <t>Gonabad, Qala Yar Mohammad Khan, Zori ha, Dasht Servan</t>
        </is>
      </c>
      <c r="N263" s="57" t="inlineStr">
        <is>
          <t>World Bank (WBK/AF-2)</t>
        </is>
      </c>
      <c r="O263" s="57" t="inlineStr">
        <is>
          <t>Awarded</t>
        </is>
      </c>
      <c r="P263" s="57" t="inlineStr">
        <is>
          <t>3.WSM awarded contracts</t>
        </is>
      </c>
      <c r="Q263" s="57" t="inlineStr">
        <is>
          <t>Shams Afghan Vision Construction and Logistic Services (SAVCC)</t>
        </is>
      </c>
      <c r="R263" s="57" t="inlineStr">
        <is>
          <t>014/2026</t>
        </is>
      </c>
      <c r="S263" s="58" t="n">
        <v>194033</v>
      </c>
      <c r="T263" s="36" t="inlineStr">
        <is>
          <t>IF(AQ263="","",AQ263)</t>
        </is>
      </c>
      <c r="U263" s="59" t="n"/>
      <c r="V263" s="60" t="n">
        <v>9.9</v>
      </c>
      <c r="W263" s="59" t="n">
        <v>46364</v>
      </c>
      <c r="X263" s="36" t="inlineStr">
        <is>
          <t>IF(W263&lt;&gt;"",W263,IF(OR(T263="",V263=""),"",EDATE(T263,V263)))</t>
        </is>
      </c>
      <c r="Y263" s="59" t="n"/>
      <c r="Z263" s="60" t="n">
        <v>95</v>
      </c>
      <c r="AA263" s="57" t="inlineStr">
        <is>
          <t>Under Construction</t>
        </is>
      </c>
      <c r="AB263" s="57" t="inlineStr">
        <is>
          <t>Expected to complete by the end of the contract NTE.</t>
        </is>
      </c>
      <c r="AC263" s="32" t="inlineStr">
        <is>
          <t>IF(F263="","",IF(COUNT(AI263:AV263)=0,IF(AA263="","Not started",AA263),SUBSTITUTE(LOOKUP(2,1/(AI263:AV263&lt;&gt;""),$AI$3:$AV$3),"Date: ","")))</t>
        </is>
      </c>
      <c r="AD263" s="39" t="inlineStr">
        <is>
          <t>IF(OR(F263="",COUNT(AI263:AV263)=0),"",TODAY()-LOOKUP(2,1/(AI263:AV263&lt;&gt;""),AI263:AV263))</t>
        </is>
      </c>
      <c r="AE263" s="39" t="inlineStr">
        <is>
          <t>IF(OR(F263="",COUNT(AI263:AV263)&lt;2),"",LOOKUP(2,1/(AI263:AV263&lt;&gt;""),AI263:AV263)-MIN(AI263:AV263))</t>
        </is>
      </c>
      <c r="AF263" s="39" t="inlineStr">
        <is>
          <t>IF(OR(AD263="",AC263="Not started",AC263=""),"",IFERROR(AD263-IF(VLOOKUP(AC263,'06_Status_Pipeline'!$B$3:$E$20,4,FALSE)="",0,VLOOKUP(AC263,'06_Status_Pipeline'!$B$3:$E$20,4,FALSE)),""))</t>
        </is>
      </c>
      <c r="AG263" s="32" t="inlineStr">
        <is>
          <t>IF(F263="","",IF(OR(AA263="Cancelled",AC263="Cancelled"),"Cancelled",IF(OR(AC263="Completed / Handover",Y263&lt;&gt;"",Z263&gt;=100),"Completed — on track",IF(O263="Not awarded",IF(U263="",IF(X263="","No planned date",IF(TODAY()&gt;X263,"Behind — past planned date",IF(X263-TODAY()&lt;=30,"At risk — close to off track","On track"))),IF(TODAY()&gt;U263,"Behind — award date passed",IF(U263-TODAY()&lt;=30,"At risk — close to off track","On track"))),IF(X263="","No planned date",IF(AND(TODAY()&gt;X263,OR(Z263="",Z263&lt;100)),"Behind — past end date",IF(AND(T263&lt;&gt;"",X263&lt;&gt;"",Z263&lt;&gt;"",(Z263&lt;100),((TODAY()-T263)/MAX(X263-T263,1)*100)-Z263&gt;15),"Behind — progress lag",IF(AND(X263-TODAY()&lt;=30,X263-TODAY()&gt;=0,OR(Z263="",Z263&lt;90)),"At risk — close to off track","On track"))))))))</t>
        </is>
      </c>
      <c r="AH263" s="39" t="inlineStr">
        <is>
          <t>IF(OR(F263="",AC263="Completed / Handover",AC263="Cancelled"),"",IF(O263="Not awarded",IF(U263&lt;&gt;"",U263-TODAY(),IF(X263="","",X263-TODAY())),IF(X263="","",X263-TODAY())))</t>
        </is>
      </c>
      <c r="AI263" s="66" t="n"/>
      <c r="AJ263" s="66" t="n"/>
      <c r="AK263" s="66" t="n"/>
      <c r="AL263" s="66" t="n"/>
      <c r="AM263" s="66" t="n"/>
      <c r="AN263" s="66" t="n"/>
      <c r="AO263" s="66" t="n"/>
      <c r="AP263" s="66" t="n"/>
      <c r="AQ263" s="66" t="n">
        <v>46062</v>
      </c>
      <c r="AR263" s="66" t="n">
        <v>46062</v>
      </c>
      <c r="AS263" s="66" t="n"/>
      <c r="AT263" s="40" t="n"/>
      <c r="AU263" s="40" t="n"/>
      <c r="AV263" s="40" t="n"/>
      <c r="AW263" s="39" t="inlineStr">
        <is>
          <t>IF(OR(F263="",AJ263=""),"",IF(COUNT(AI263:AI263)=0,"",AJ263-LOOKUP(2,1/(AI263:AI263&lt;&gt;""),AI263:AI263)))</t>
        </is>
      </c>
      <c r="AX263" s="39" t="inlineStr">
        <is>
          <t>IF(OR(F263="",AK263=""),"",IF(COUNT(AI263:AJ263)=0,"",AK263-LOOKUP(2,1/(AI263:AJ263&lt;&gt;""),AI263:AJ263)))</t>
        </is>
      </c>
      <c r="AY263" s="39" t="inlineStr">
        <is>
          <t>IF(OR(F263="",AL263=""),"",IF(COUNT(AI263:AK263)=0,"",AL263-LOOKUP(2,1/(AI263:AK263&lt;&gt;""),AI263:AK263)))</t>
        </is>
      </c>
      <c r="AZ263" s="39" t="inlineStr">
        <is>
          <t>IF(OR(F263="",AM263=""),"",IF(COUNT(AI263:AL263)=0,"",AM263-LOOKUP(2,1/(AI263:AL263&lt;&gt;""),AI263:AL263)))</t>
        </is>
      </c>
      <c r="BA263" s="39" t="inlineStr">
        <is>
          <t>IF(OR(F263="",AN263=""),"",IF(COUNT(AI263:AM263)=0,"",AN263-LOOKUP(2,1/(AI263:AM263&lt;&gt;""),AI263:AM263)))</t>
        </is>
      </c>
      <c r="BB263" s="39" t="inlineStr">
        <is>
          <t>IF(OR(F263="",AO263=""),"",IF(COUNT(AI263:AN263)=0,"",AO263-LOOKUP(2,1/(AI263:AN263&lt;&gt;""),AI263:AN263)))</t>
        </is>
      </c>
      <c r="BC263" s="39" t="inlineStr">
        <is>
          <t>IF(OR(F263="",AP263=""),"",IF(COUNT(AI263:AO263)=0,"",AP263-LOOKUP(2,1/(AI263:AO263&lt;&gt;""),AI263:AO263)))</t>
        </is>
      </c>
      <c r="BD263" s="39" t="inlineStr">
        <is>
          <t>IF(OR(F263="",AQ263=""),"",IF(COUNT(AI263:AP263)=0,"",AQ263-LOOKUP(2,1/(AI263:AP263&lt;&gt;""),AI263:AP263)))</t>
        </is>
      </c>
      <c r="BE263" s="39" t="inlineStr">
        <is>
          <t>IF(OR(F263="",AR263=""),"",IF(COUNT(AI263:AQ263)=0,"",AR263-LOOKUP(2,1/(AI263:AQ263&lt;&gt;""),AI263:AQ263)))</t>
        </is>
      </c>
      <c r="BF263" s="39" t="inlineStr">
        <is>
          <t>IF(OR(F263="",AS263=""),"",IF(COUNT(AI263:AR263)=0,"",AS263-LOOKUP(2,1/(AI263:AR263&lt;&gt;""),AI263:AR263)))</t>
        </is>
      </c>
      <c r="BG263" s="39" t="inlineStr">
        <is>
          <t>IF(OR(F263="",AT263=""),"",IF(COUNT(AI263:AS263)=0,"",AT263-LOOKUP(2,1/(AI263:AS263&lt;&gt;""),AI263:AS263)))</t>
        </is>
      </c>
      <c r="BH263" s="39" t="inlineStr">
        <is>
          <t>IF(OR(F263="",AU263=""),"",IF(COUNT(AI263:AT263)=0,"",AU263-LOOKUP(2,1/(AI263:AT263&lt;&gt;""),AI263:AT263)))</t>
        </is>
      </c>
      <c r="BI263" s="39" t="inlineStr">
        <is>
          <t>IF(OR(F263="",AV263=""),"",IF(COUNT(AI263:AU263)=0,"",AV263-LOOKUP(2,1/(AI263:AU263&lt;&gt;""),AI263:AU263)))</t>
        </is>
      </c>
      <c r="BJ263" s="41" t="inlineStr">
        <is>
          <t>IF(J263="","All_Provinces",IFERROR(VLOOKUP(J263,'09_Lookups'!$A$4:$B$20,2,FALSE),"All_Provinces"))</t>
        </is>
      </c>
      <c r="BK263" s="41" t="inlineStr">
        <is>
          <t>IF(K263="","All_Districts",IFERROR(VLOOKUP(K263,'09_Lookups'!$E$4:$F$42,2,FALSE),"All_Districts"))</t>
        </is>
      </c>
    </row>
    <row r="264" outlineLevel="1" ht="18" customHeight="1">
      <c r="A264" s="42" t="inlineStr">
        <is>
          <t>IF(F264="","",ROW()-3)</t>
        </is>
      </c>
      <c r="B264" s="63" t="inlineStr">
        <is>
          <t>AF2-WSM-02</t>
        </is>
      </c>
      <c r="C264" s="63" t="inlineStr">
        <is>
          <t>Package #2 -AF2 WSM: Construction of 1. Dareh Shah Toot-1, 2. Dareh ShahToot-2, and 3. Jar Sono check dams in Obe District of Herat Province</t>
        </is>
      </c>
      <c r="D264" s="63" t="inlineStr">
        <is>
          <t>2 of 3</t>
        </is>
      </c>
      <c r="E264" s="52" t="inlineStr">
        <is>
          <t>AF2-WSM-A-002</t>
        </is>
      </c>
      <c r="F264" s="52" t="inlineStr">
        <is>
          <t>Dareh Shah Toot Check dam-2</t>
        </is>
      </c>
      <c r="G264" s="52" t="inlineStr">
        <is>
          <t>Watershed Management</t>
        </is>
      </c>
      <c r="H264" s="52" t="inlineStr">
        <is>
          <t>Check Dam</t>
        </is>
      </c>
      <c r="I264" s="52" t="inlineStr">
        <is>
          <t>Emergency Food Security Project (EFSP) – WBK/AF-2</t>
        </is>
      </c>
      <c r="J264" s="52" t="inlineStr">
        <is>
          <t>West / Herat</t>
        </is>
      </c>
      <c r="K264" s="52" t="inlineStr">
        <is>
          <t>Herat</t>
        </is>
      </c>
      <c r="L264" s="52" t="inlineStr">
        <is>
          <t>Obe</t>
        </is>
      </c>
      <c r="M264" s="52" t="inlineStr"/>
      <c r="N264" s="52" t="inlineStr">
        <is>
          <t>World Bank (WBK/AF-2)</t>
        </is>
      </c>
      <c r="O264" s="52" t="inlineStr">
        <is>
          <t>Awarded</t>
        </is>
      </c>
      <c r="P264" s="52" t="inlineStr">
        <is>
          <t>3.WSM awarded contracts</t>
        </is>
      </c>
      <c r="Q264" s="52" t="inlineStr">
        <is>
          <t>Shams Afghan Vision Construction and Logistic Services (SAVCC)</t>
        </is>
      </c>
      <c r="R264" s="52" t="inlineStr">
        <is>
          <t>014/2026</t>
        </is>
      </c>
      <c r="S264" s="53" t="n"/>
      <c r="T264" s="46" t="inlineStr">
        <is>
          <t>IF(AQ264="","",AQ264)</t>
        </is>
      </c>
      <c r="U264" s="54" t="n"/>
      <c r="V264" s="55" t="n">
        <v>9.9</v>
      </c>
      <c r="W264" s="54" t="n">
        <v>46364</v>
      </c>
      <c r="X264" s="46" t="inlineStr">
        <is>
          <t>IF(W264&lt;&gt;"",W264,IF(OR(T264="",V264=""),"",EDATE(T264,V264)))</t>
        </is>
      </c>
      <c r="Y264" s="54" t="n"/>
      <c r="Z264" s="55" t="n">
        <v>75</v>
      </c>
      <c r="AA264" s="52" t="inlineStr">
        <is>
          <t>Under Construction</t>
        </is>
      </c>
      <c r="AB264" s="52" t="inlineStr">
        <is>
          <t>Expected to complete by the end of the contract NTE.</t>
        </is>
      </c>
      <c r="AC264" s="42" t="inlineStr">
        <is>
          <t>IF(F264="","",IF(COUNT(AI264:AV264)=0,IF(AA264="","Not started",AA264),SUBSTITUTE(LOOKUP(2,1/(AI264:AV264&lt;&gt;""),$AI$3:$AV$3),"Date: ","")))</t>
        </is>
      </c>
      <c r="AD264" s="49" t="inlineStr">
        <is>
          <t>IF(OR(F264="",COUNT(AI264:AV264)=0),"",TODAY()-LOOKUP(2,1/(AI264:AV264&lt;&gt;""),AI264:AV264))</t>
        </is>
      </c>
      <c r="AE264" s="49" t="inlineStr">
        <is>
          <t>IF(OR(F264="",COUNT(AI264:AV264)&lt;2),"",LOOKUP(2,1/(AI264:AV264&lt;&gt;""),AI264:AV264)-MIN(AI264:AV264))</t>
        </is>
      </c>
      <c r="AF264" s="49" t="inlineStr">
        <is>
          <t>IF(OR(AD264="",AC264="Not started",AC264=""),"",IFERROR(AD264-IF(VLOOKUP(AC264,'06_Status_Pipeline'!$B$3:$E$20,4,FALSE)="",0,VLOOKUP(AC264,'06_Status_Pipeline'!$B$3:$E$20,4,FALSE)),""))</t>
        </is>
      </c>
      <c r="AG264" s="42" t="inlineStr">
        <is>
          <t>IF(F264="","",IF(OR(AA264="Cancelled",AC264="Cancelled"),"Cancelled",IF(OR(AC264="Completed / Handover",Y264&lt;&gt;"",Z264&gt;=100),"Completed — on track",IF(O264="Not awarded",IF(U264="",IF(X264="","No planned date",IF(TODAY()&gt;X264,"Behind — past planned date",IF(X264-TODAY()&lt;=30,"At risk — close to off track","On track"))),IF(TODAY()&gt;U264,"Behind — award date passed",IF(U264-TODAY()&lt;=30,"At risk — close to off track","On track"))),IF(X264="","No planned date",IF(AND(TODAY()&gt;X264,OR(Z264="",Z264&lt;100)),"Behind — past end date",IF(AND(T264&lt;&gt;"",X264&lt;&gt;"",Z264&lt;&gt;"",(Z264&lt;100),((TODAY()-T264)/MAX(X264-T264,1)*100)-Z264&gt;15),"Behind — progress lag",IF(AND(X264-TODAY()&lt;=30,X264-TODAY()&gt;=0,OR(Z264="",Z264&lt;90)),"At risk — close to off track","On track"))))))))</t>
        </is>
      </c>
      <c r="AH264" s="49" t="inlineStr">
        <is>
          <t>IF(OR(F264="",AC264="Completed / Handover",AC264="Cancelled"),"",IF(O264="Not awarded",IF(U264&lt;&gt;"",U264-TODAY(),IF(X264="","",X264-TODAY())),IF(X264="","",X264-TODAY())))</t>
        </is>
      </c>
      <c r="AI264" s="67" t="n"/>
      <c r="AJ264" s="67" t="n"/>
      <c r="AK264" s="67" t="n"/>
      <c r="AL264" s="67" t="n"/>
      <c r="AM264" s="67" t="n"/>
      <c r="AN264" s="67" t="n"/>
      <c r="AO264" s="67" t="n"/>
      <c r="AP264" s="67" t="n"/>
      <c r="AQ264" s="67" t="n">
        <v>46062</v>
      </c>
      <c r="AR264" s="67" t="n">
        <v>46062</v>
      </c>
      <c r="AS264" s="67" t="n"/>
      <c r="AT264" s="50" t="n"/>
      <c r="AU264" s="50" t="n"/>
      <c r="AV264" s="50" t="n"/>
      <c r="AW264" s="49" t="inlineStr">
        <is>
          <t>IF(OR(F264="",AJ264=""),"",IF(COUNT(AI264:AI264)=0,"",AJ264-LOOKUP(2,1/(AI264:AI264&lt;&gt;""),AI264:AI264)))</t>
        </is>
      </c>
      <c r="AX264" s="49" t="inlineStr">
        <is>
          <t>IF(OR(F264="",AK264=""),"",IF(COUNT(AI264:AJ264)=0,"",AK264-LOOKUP(2,1/(AI264:AJ264&lt;&gt;""),AI264:AJ264)))</t>
        </is>
      </c>
      <c r="AY264" s="49" t="inlineStr">
        <is>
          <t>IF(OR(F264="",AL264=""),"",IF(COUNT(AI264:AK264)=0,"",AL264-LOOKUP(2,1/(AI264:AK264&lt;&gt;""),AI264:AK264)))</t>
        </is>
      </c>
      <c r="AZ264" s="49" t="inlineStr">
        <is>
          <t>IF(OR(F264="",AM264=""),"",IF(COUNT(AI264:AL264)=0,"",AM264-LOOKUP(2,1/(AI264:AL264&lt;&gt;""),AI264:AL264)))</t>
        </is>
      </c>
      <c r="BA264" s="49" t="inlineStr">
        <is>
          <t>IF(OR(F264="",AN264=""),"",IF(COUNT(AI264:AM264)=0,"",AN264-LOOKUP(2,1/(AI264:AM264&lt;&gt;""),AI264:AM264)))</t>
        </is>
      </c>
      <c r="BB264" s="49" t="inlineStr">
        <is>
          <t>IF(OR(F264="",AO264=""),"",IF(COUNT(AI264:AN264)=0,"",AO264-LOOKUP(2,1/(AI264:AN264&lt;&gt;""),AI264:AN264)))</t>
        </is>
      </c>
      <c r="BC264" s="49" t="inlineStr">
        <is>
          <t>IF(OR(F264="",AP264=""),"",IF(COUNT(AI264:AO264)=0,"",AP264-LOOKUP(2,1/(AI264:AO264&lt;&gt;""),AI264:AO264)))</t>
        </is>
      </c>
      <c r="BD264" s="49" t="inlineStr">
        <is>
          <t>IF(OR(F264="",AQ264=""),"",IF(COUNT(AI264:AP264)=0,"",AQ264-LOOKUP(2,1/(AI264:AP264&lt;&gt;""),AI264:AP264)))</t>
        </is>
      </c>
      <c r="BE264" s="49" t="inlineStr">
        <is>
          <t>IF(OR(F264="",AR264=""),"",IF(COUNT(AI264:AQ264)=0,"",AR264-LOOKUP(2,1/(AI264:AQ264&lt;&gt;""),AI264:AQ264)))</t>
        </is>
      </c>
      <c r="BF264" s="49" t="inlineStr">
        <is>
          <t>IF(OR(F264="",AS264=""),"",IF(COUNT(AI264:AR264)=0,"",AS264-LOOKUP(2,1/(AI264:AR264&lt;&gt;""),AI264:AR264)))</t>
        </is>
      </c>
      <c r="BG264" s="49" t="inlineStr">
        <is>
          <t>IF(OR(F264="",AT264=""),"",IF(COUNT(AI264:AS264)=0,"",AT264-LOOKUP(2,1/(AI264:AS264&lt;&gt;""),AI264:AS264)))</t>
        </is>
      </c>
      <c r="BH264" s="49" t="inlineStr">
        <is>
          <t>IF(OR(F264="",AU264=""),"",IF(COUNT(AI264:AT264)=0,"",AU264-LOOKUP(2,1/(AI264:AT264&lt;&gt;""),AI264:AT264)))</t>
        </is>
      </c>
      <c r="BI264" s="49" t="inlineStr">
        <is>
          <t>IF(OR(F264="",AV264=""),"",IF(COUNT(AI264:AU264)=0,"",AV264-LOOKUP(2,1/(AI264:AU264&lt;&gt;""),AI264:AU264)))</t>
        </is>
      </c>
      <c r="BJ264" s="51" t="inlineStr">
        <is>
          <t>IF(J264="","All_Provinces",IFERROR(VLOOKUP(J264,'09_Lookups'!$A$4:$B$20,2,FALSE),"All_Provinces"))</t>
        </is>
      </c>
      <c r="BK264" s="51" t="inlineStr">
        <is>
          <t>IF(K264="","All_Districts",IFERROR(VLOOKUP(K264,'09_Lookups'!$E$4:$F$42,2,FALSE),"All_Districts"))</t>
        </is>
      </c>
    </row>
    <row r="265" outlineLevel="1" ht="18" customHeight="1">
      <c r="A265" s="42" t="inlineStr">
        <is>
          <t>IF(F265="","",ROW()-3)</t>
        </is>
      </c>
      <c r="B265" s="63" t="inlineStr">
        <is>
          <t>AF2-WSM-02</t>
        </is>
      </c>
      <c r="C265" s="63" t="inlineStr">
        <is>
          <t>Package #2 -AF2 WSM: Construction of 1. Dareh Shah Toot-1, 2. Dareh ShahToot-2, and 3. Jar Sono check dams in Obe District of Herat Province</t>
        </is>
      </c>
      <c r="D265" s="63" t="inlineStr">
        <is>
          <t>3 of 3</t>
        </is>
      </c>
      <c r="E265" s="44" t="inlineStr">
        <is>
          <t>AF2-WSM-A-003</t>
        </is>
      </c>
      <c r="F265" s="44" t="inlineStr">
        <is>
          <t>Jar Sunu Check dam-3</t>
        </is>
      </c>
      <c r="G265" s="44" t="inlineStr">
        <is>
          <t>Watershed Management</t>
        </is>
      </c>
      <c r="H265" s="44" t="inlineStr">
        <is>
          <t>Check Dam</t>
        </is>
      </c>
      <c r="I265" s="44" t="inlineStr">
        <is>
          <t>Emergency Food Security Project (EFSP) – WBK/AF-2</t>
        </is>
      </c>
      <c r="J265" s="44" t="inlineStr">
        <is>
          <t>West / Herat</t>
        </is>
      </c>
      <c r="K265" s="44" t="inlineStr">
        <is>
          <t>Herat</t>
        </is>
      </c>
      <c r="L265" s="44" t="inlineStr">
        <is>
          <t>Obe</t>
        </is>
      </c>
      <c r="M265" s="44" t="inlineStr"/>
      <c r="N265" s="44" t="inlineStr">
        <is>
          <t>World Bank (WBK/AF-2)</t>
        </is>
      </c>
      <c r="O265" s="44" t="inlineStr">
        <is>
          <t>Awarded</t>
        </is>
      </c>
      <c r="P265" s="44" t="inlineStr">
        <is>
          <t>3.WSM awarded contracts</t>
        </is>
      </c>
      <c r="Q265" s="44" t="inlineStr">
        <is>
          <t>Shams Afghan Vision Construction and Logistic Services (SAVCC)</t>
        </is>
      </c>
      <c r="R265" s="44" t="inlineStr">
        <is>
          <t>014/2026</t>
        </is>
      </c>
      <c r="S265" s="45" t="n"/>
      <c r="T265" s="46" t="inlineStr">
        <is>
          <t>IF(AQ265="","",AQ265)</t>
        </is>
      </c>
      <c r="U265" s="47" t="n"/>
      <c r="V265" s="48" t="n">
        <v>9.9</v>
      </c>
      <c r="W265" s="47" t="n">
        <v>46364</v>
      </c>
      <c r="X265" s="46" t="inlineStr">
        <is>
          <t>IF(W265&lt;&gt;"",W265,IF(OR(T265="",V265=""),"",EDATE(T265,V265)))</t>
        </is>
      </c>
      <c r="Y265" s="47" t="n"/>
      <c r="Z265" s="48" t="n">
        <v>55</v>
      </c>
      <c r="AA265" s="44" t="inlineStr">
        <is>
          <t>Under Construction</t>
        </is>
      </c>
      <c r="AB265" s="44" t="inlineStr">
        <is>
          <t>Expected to complete by the end of the contract NTE.</t>
        </is>
      </c>
      <c r="AC265" s="42" t="inlineStr">
        <is>
          <t>IF(F265="","",IF(COUNT(AI265:AV265)=0,IF(AA265="","Not started",AA265),SUBSTITUTE(LOOKUP(2,1/(AI265:AV265&lt;&gt;""),$AI$3:$AV$3),"Date: ","")))</t>
        </is>
      </c>
      <c r="AD265" s="49" t="inlineStr">
        <is>
          <t>IF(OR(F265="",COUNT(AI265:AV265)=0),"",TODAY()-LOOKUP(2,1/(AI265:AV265&lt;&gt;""),AI265:AV265))</t>
        </is>
      </c>
      <c r="AE265" s="49" t="inlineStr">
        <is>
          <t>IF(OR(F265="",COUNT(AI265:AV265)&lt;2),"",LOOKUP(2,1/(AI265:AV265&lt;&gt;""),AI265:AV265)-MIN(AI265:AV265))</t>
        </is>
      </c>
      <c r="AF265" s="49" t="inlineStr">
        <is>
          <t>IF(OR(AD265="",AC265="Not started",AC265=""),"",IFERROR(AD265-IF(VLOOKUP(AC265,'06_Status_Pipeline'!$B$3:$E$20,4,FALSE)="",0,VLOOKUP(AC265,'06_Status_Pipeline'!$B$3:$E$20,4,FALSE)),""))</t>
        </is>
      </c>
      <c r="AG265" s="42" t="inlineStr">
        <is>
          <t>IF(F265="","",IF(OR(AA265="Cancelled",AC265="Cancelled"),"Cancelled",IF(OR(AC265="Completed / Handover",Y265&lt;&gt;"",Z265&gt;=100),"Completed — on track",IF(O265="Not awarded",IF(U265="",IF(X265="","No planned date",IF(TODAY()&gt;X265,"Behind — past planned date",IF(X265-TODAY()&lt;=30,"At risk — close to off track","On track"))),IF(TODAY()&gt;U265,"Behind — award date passed",IF(U265-TODAY()&lt;=30,"At risk — close to off track","On track"))),IF(X265="","No planned date",IF(AND(TODAY()&gt;X265,OR(Z265="",Z265&lt;100)),"Behind — past end date",IF(AND(T265&lt;&gt;"",X265&lt;&gt;"",Z265&lt;&gt;"",(Z265&lt;100),((TODAY()-T265)/MAX(X265-T265,1)*100)-Z265&gt;15),"Behind — progress lag",IF(AND(X265-TODAY()&lt;=30,X265-TODAY()&gt;=0,OR(Z265="",Z265&lt;90)),"At risk — close to off track","On track"))))))))</t>
        </is>
      </c>
      <c r="AH265" s="49" t="inlineStr">
        <is>
          <t>IF(OR(F265="",AC265="Completed / Handover",AC265="Cancelled"),"",IF(O265="Not awarded",IF(U265&lt;&gt;"",U265-TODAY(),IF(X265="","",X265-TODAY())),IF(X265="","",X265-TODAY())))</t>
        </is>
      </c>
      <c r="AI265" s="67" t="n"/>
      <c r="AJ265" s="67" t="n"/>
      <c r="AK265" s="67" t="n"/>
      <c r="AL265" s="67" t="n"/>
      <c r="AM265" s="67" t="n"/>
      <c r="AN265" s="67" t="n"/>
      <c r="AO265" s="67" t="n"/>
      <c r="AP265" s="67" t="n"/>
      <c r="AQ265" s="67" t="n">
        <v>46062</v>
      </c>
      <c r="AR265" s="67" t="n">
        <v>46062</v>
      </c>
      <c r="AS265" s="67" t="n"/>
      <c r="AT265" s="50" t="n"/>
      <c r="AU265" s="50" t="n"/>
      <c r="AV265" s="50" t="n"/>
      <c r="AW265" s="49" t="inlineStr">
        <is>
          <t>IF(OR(F265="",AJ265=""),"",IF(COUNT(AI265:AI265)=0,"",AJ265-LOOKUP(2,1/(AI265:AI265&lt;&gt;""),AI265:AI265)))</t>
        </is>
      </c>
      <c r="AX265" s="49" t="inlineStr">
        <is>
          <t>IF(OR(F265="",AK265=""),"",IF(COUNT(AI265:AJ265)=0,"",AK265-LOOKUP(2,1/(AI265:AJ265&lt;&gt;""),AI265:AJ265)))</t>
        </is>
      </c>
      <c r="AY265" s="49" t="inlineStr">
        <is>
          <t>IF(OR(F265="",AL265=""),"",IF(COUNT(AI265:AK265)=0,"",AL265-LOOKUP(2,1/(AI265:AK265&lt;&gt;""),AI265:AK265)))</t>
        </is>
      </c>
      <c r="AZ265" s="49" t="inlineStr">
        <is>
          <t>IF(OR(F265="",AM265=""),"",IF(COUNT(AI265:AL265)=0,"",AM265-LOOKUP(2,1/(AI265:AL265&lt;&gt;""),AI265:AL265)))</t>
        </is>
      </c>
      <c r="BA265" s="49" t="inlineStr">
        <is>
          <t>IF(OR(F265="",AN265=""),"",IF(COUNT(AI265:AM265)=0,"",AN265-LOOKUP(2,1/(AI265:AM265&lt;&gt;""),AI265:AM265)))</t>
        </is>
      </c>
      <c r="BB265" s="49" t="inlineStr">
        <is>
          <t>IF(OR(F265="",AO265=""),"",IF(COUNT(AI265:AN265)=0,"",AO265-LOOKUP(2,1/(AI265:AN265&lt;&gt;""),AI265:AN265)))</t>
        </is>
      </c>
      <c r="BC265" s="49" t="inlineStr">
        <is>
          <t>IF(OR(F265="",AP265=""),"",IF(COUNT(AI265:AO265)=0,"",AP265-LOOKUP(2,1/(AI265:AO265&lt;&gt;""),AI265:AO265)))</t>
        </is>
      </c>
      <c r="BD265" s="49" t="inlineStr">
        <is>
          <t>IF(OR(F265="",AQ265=""),"",IF(COUNT(AI265:AP265)=0,"",AQ265-LOOKUP(2,1/(AI265:AP265&lt;&gt;""),AI265:AP265)))</t>
        </is>
      </c>
      <c r="BE265" s="49" t="inlineStr">
        <is>
          <t>IF(OR(F265="",AR265=""),"",IF(COUNT(AI265:AQ265)=0,"",AR265-LOOKUP(2,1/(AI265:AQ265&lt;&gt;""),AI265:AQ265)))</t>
        </is>
      </c>
      <c r="BF265" s="49" t="inlineStr">
        <is>
          <t>IF(OR(F265="",AS265=""),"",IF(COUNT(AI265:AR265)=0,"",AS265-LOOKUP(2,1/(AI265:AR265&lt;&gt;""),AI265:AR265)))</t>
        </is>
      </c>
      <c r="BG265" s="49" t="inlineStr">
        <is>
          <t>IF(OR(F265="",AT265=""),"",IF(COUNT(AI265:AS265)=0,"",AT265-LOOKUP(2,1/(AI265:AS265&lt;&gt;""),AI265:AS265)))</t>
        </is>
      </c>
      <c r="BH265" s="49" t="inlineStr">
        <is>
          <t>IF(OR(F265="",AU265=""),"",IF(COUNT(AI265:AT265)=0,"",AU265-LOOKUP(2,1/(AI265:AT265&lt;&gt;""),AI265:AT265)))</t>
        </is>
      </c>
      <c r="BI265" s="49" t="inlineStr">
        <is>
          <t>IF(OR(F265="",AV265=""),"",IF(COUNT(AI265:AU265)=0,"",AV265-LOOKUP(2,1/(AI265:AU265&lt;&gt;""),AI265:AU265)))</t>
        </is>
      </c>
      <c r="BJ265" s="51" t="inlineStr">
        <is>
          <t>IF(J265="","All_Provinces",IFERROR(VLOOKUP(J265,'09_Lookups'!$A$4:$B$20,2,FALSE),"All_Provinces"))</t>
        </is>
      </c>
      <c r="BK265" s="51" t="inlineStr">
        <is>
          <t>IF(K265="","All_Districts",IFERROR(VLOOKUP(K265,'09_Lookups'!$E$4:$F$42,2,FALSE),"All_Districts"))</t>
        </is>
      </c>
    </row>
    <row r="266" ht="18" customHeight="1">
      <c r="A266" s="32" t="inlineStr">
        <is>
          <t>IF(F266="","",ROW()-3)</t>
        </is>
      </c>
      <c r="B266" s="64" t="inlineStr">
        <is>
          <t>AF2-WSM-03</t>
        </is>
      </c>
      <c r="C266" s="64" t="inlineStr">
        <is>
          <t>Package #3 -AF2 WSM: Construction of Koklam three Check Dams (# 1, # 2 and # 3 ) in Kushk-e-Kohna District of Herat Province</t>
        </is>
      </c>
      <c r="D266" s="64" t="inlineStr">
        <is>
          <t>1 of 3</t>
        </is>
      </c>
      <c r="E266" s="34" t="inlineStr">
        <is>
          <t>AF2-WSM-A-004</t>
        </is>
      </c>
      <c r="F266" s="34" t="inlineStr">
        <is>
          <t>Baland Bazar, Jar Ahmad Check Dam # 2</t>
        </is>
      </c>
      <c r="G266" s="34" t="inlineStr">
        <is>
          <t>Watershed Management</t>
        </is>
      </c>
      <c r="H266" s="34" t="inlineStr">
        <is>
          <t>Check Dam</t>
        </is>
      </c>
      <c r="I266" s="34" t="inlineStr">
        <is>
          <t>Emergency Food Security Project (EFSP) – WBK/AF-2</t>
        </is>
      </c>
      <c r="J266" s="34" t="inlineStr">
        <is>
          <t>West / Herat</t>
        </is>
      </c>
      <c r="K266" s="34" t="inlineStr">
        <is>
          <t>Herat</t>
        </is>
      </c>
      <c r="L266" s="34" t="inlineStr">
        <is>
          <t>Koshk-e-Kohna</t>
        </is>
      </c>
      <c r="M266" s="34" t="inlineStr"/>
      <c r="N266" s="34" t="inlineStr">
        <is>
          <t>World Bank (WBK/AF-2)</t>
        </is>
      </c>
      <c r="O266" s="34" t="inlineStr">
        <is>
          <t>Awarded</t>
        </is>
      </c>
      <c r="P266" s="34" t="inlineStr">
        <is>
          <t>3.WSM awarded contracts</t>
        </is>
      </c>
      <c r="Q266" s="34" t="inlineStr">
        <is>
          <t>Afghan Aakam Construction and Road Company. JV with D- Amini Mashwani Construction Company (AACC)</t>
        </is>
      </c>
      <c r="R266" s="34" t="inlineStr">
        <is>
          <t>006/2026</t>
        </is>
      </c>
      <c r="S266" s="35" t="n">
        <v>68058.60000000001</v>
      </c>
      <c r="T266" s="36" t="inlineStr">
        <is>
          <t>IF(AQ266="","",AQ266)</t>
        </is>
      </c>
      <c r="U266" s="37" t="n"/>
      <c r="V266" s="38" t="n">
        <v>10</v>
      </c>
      <c r="W266" s="37" t="n">
        <v>46346</v>
      </c>
      <c r="X266" s="36" t="inlineStr">
        <is>
          <t>IF(W266&lt;&gt;"",W266,IF(OR(T266="",V266=""),"",EDATE(T266,V266)))</t>
        </is>
      </c>
      <c r="Y266" s="37" t="n"/>
      <c r="Z266" s="38" t="n">
        <v>70</v>
      </c>
      <c r="AA266" s="34" t="inlineStr">
        <is>
          <t>Under Construction</t>
        </is>
      </c>
      <c r="AB266" s="34" t="inlineStr">
        <is>
          <t>Expected to complete by the end of the contract NTE.</t>
        </is>
      </c>
      <c r="AC266" s="32" t="inlineStr">
        <is>
          <t>IF(F266="","",IF(COUNT(AI266:AV266)=0,IF(AA266="","Not started",AA266),SUBSTITUTE(LOOKUP(2,1/(AI266:AV266&lt;&gt;""),$AI$3:$AV$3),"Date: ","")))</t>
        </is>
      </c>
      <c r="AD266" s="39" t="inlineStr">
        <is>
          <t>IF(OR(F266="",COUNT(AI266:AV266)=0),"",TODAY()-LOOKUP(2,1/(AI266:AV266&lt;&gt;""),AI266:AV266))</t>
        </is>
      </c>
      <c r="AE266" s="39" t="inlineStr">
        <is>
          <t>IF(OR(F266="",COUNT(AI266:AV266)&lt;2),"",LOOKUP(2,1/(AI266:AV266&lt;&gt;""),AI266:AV266)-MIN(AI266:AV266))</t>
        </is>
      </c>
      <c r="AF266" s="39" t="inlineStr">
        <is>
          <t>IF(OR(AD266="",AC266="Not started",AC266=""),"",IFERROR(AD266-IF(VLOOKUP(AC266,'06_Status_Pipeline'!$B$3:$E$20,4,FALSE)="",0,VLOOKUP(AC266,'06_Status_Pipeline'!$B$3:$E$20,4,FALSE)),""))</t>
        </is>
      </c>
      <c r="AG266" s="32" t="inlineStr">
        <is>
          <t>IF(F266="","",IF(OR(AA266="Cancelled",AC266="Cancelled"),"Cancelled",IF(OR(AC266="Completed / Handover",Y266&lt;&gt;"",Z266&gt;=100),"Completed — on track",IF(O266="Not awarded",IF(U266="",IF(X266="","No planned date",IF(TODAY()&gt;X266,"Behind — past planned date",IF(X266-TODAY()&lt;=30,"At risk — close to off track","On track"))),IF(TODAY()&gt;U266,"Behind — award date passed",IF(U266-TODAY()&lt;=30,"At risk — close to off track","On track"))),IF(X266="","No planned date",IF(AND(TODAY()&gt;X266,OR(Z266="",Z266&lt;100)),"Behind — past end date",IF(AND(T266&lt;&gt;"",X266&lt;&gt;"",Z266&lt;&gt;"",(Z266&lt;100),((TODAY()-T266)/MAX(X266-T266,1)*100)-Z266&gt;15),"Behind — progress lag",IF(AND(X266-TODAY()&lt;=30,X266-TODAY()&gt;=0,OR(Z266="",Z266&lt;90)),"At risk — close to off track","On track"))))))))</t>
        </is>
      </c>
      <c r="AH266" s="39" t="inlineStr">
        <is>
          <t>IF(OR(F266="",AC266="Completed / Handover",AC266="Cancelled"),"",IF(O266="Not awarded",IF(U266&lt;&gt;"",U266-TODAY(),IF(X266="","",X266-TODAY())),IF(X266="","",X266-TODAY())))</t>
        </is>
      </c>
      <c r="AI266" s="66" t="n"/>
      <c r="AJ266" s="66" t="n"/>
      <c r="AK266" s="66" t="n"/>
      <c r="AL266" s="66" t="n"/>
      <c r="AM266" s="66" t="n"/>
      <c r="AN266" s="66" t="n"/>
      <c r="AO266" s="66" t="n"/>
      <c r="AP266" s="66" t="n"/>
      <c r="AQ266" s="66" t="n">
        <v>46043</v>
      </c>
      <c r="AR266" s="66" t="n">
        <v>46043</v>
      </c>
      <c r="AS266" s="66" t="n"/>
      <c r="AT266" s="40" t="n"/>
      <c r="AU266" s="40" t="n"/>
      <c r="AV266" s="40" t="n"/>
      <c r="AW266" s="39" t="inlineStr">
        <is>
          <t>IF(OR(F266="",AJ266=""),"",IF(COUNT(AI266:AI266)=0,"",AJ266-LOOKUP(2,1/(AI266:AI266&lt;&gt;""),AI266:AI266)))</t>
        </is>
      </c>
      <c r="AX266" s="39" t="inlineStr">
        <is>
          <t>IF(OR(F266="",AK266=""),"",IF(COUNT(AI266:AJ266)=0,"",AK266-LOOKUP(2,1/(AI266:AJ266&lt;&gt;""),AI266:AJ266)))</t>
        </is>
      </c>
      <c r="AY266" s="39" t="inlineStr">
        <is>
          <t>IF(OR(F266="",AL266=""),"",IF(COUNT(AI266:AK266)=0,"",AL266-LOOKUP(2,1/(AI266:AK266&lt;&gt;""),AI266:AK266)))</t>
        </is>
      </c>
      <c r="AZ266" s="39" t="inlineStr">
        <is>
          <t>IF(OR(F266="",AM266=""),"",IF(COUNT(AI266:AL266)=0,"",AM266-LOOKUP(2,1/(AI266:AL266&lt;&gt;""),AI266:AL266)))</t>
        </is>
      </c>
      <c r="BA266" s="39" t="inlineStr">
        <is>
          <t>IF(OR(F266="",AN266=""),"",IF(COUNT(AI266:AM266)=0,"",AN266-LOOKUP(2,1/(AI266:AM266&lt;&gt;""),AI266:AM266)))</t>
        </is>
      </c>
      <c r="BB266" s="39" t="inlineStr">
        <is>
          <t>IF(OR(F266="",AO266=""),"",IF(COUNT(AI266:AN266)=0,"",AO266-LOOKUP(2,1/(AI266:AN266&lt;&gt;""),AI266:AN266)))</t>
        </is>
      </c>
      <c r="BC266" s="39" t="inlineStr">
        <is>
          <t>IF(OR(F266="",AP266=""),"",IF(COUNT(AI266:AO266)=0,"",AP266-LOOKUP(2,1/(AI266:AO266&lt;&gt;""),AI266:AO266)))</t>
        </is>
      </c>
      <c r="BD266" s="39" t="inlineStr">
        <is>
          <t>IF(OR(F266="",AQ266=""),"",IF(COUNT(AI266:AP266)=0,"",AQ266-LOOKUP(2,1/(AI266:AP266&lt;&gt;""),AI266:AP266)))</t>
        </is>
      </c>
      <c r="BE266" s="39" t="inlineStr">
        <is>
          <t>IF(OR(F266="",AR266=""),"",IF(COUNT(AI266:AQ266)=0,"",AR266-LOOKUP(2,1/(AI266:AQ266&lt;&gt;""),AI266:AQ266)))</t>
        </is>
      </c>
      <c r="BF266" s="39" t="inlineStr">
        <is>
          <t>IF(OR(F266="",AS266=""),"",IF(COUNT(AI266:AR266)=0,"",AS266-LOOKUP(2,1/(AI266:AR266&lt;&gt;""),AI266:AR266)))</t>
        </is>
      </c>
      <c r="BG266" s="39" t="inlineStr">
        <is>
          <t>IF(OR(F266="",AT266=""),"",IF(COUNT(AI266:AS266)=0,"",AT266-LOOKUP(2,1/(AI266:AS266&lt;&gt;""),AI266:AS266)))</t>
        </is>
      </c>
      <c r="BH266" s="39" t="inlineStr">
        <is>
          <t>IF(OR(F266="",AU266=""),"",IF(COUNT(AI266:AT266)=0,"",AU266-LOOKUP(2,1/(AI266:AT266&lt;&gt;""),AI266:AT266)))</t>
        </is>
      </c>
      <c r="BI266" s="39" t="inlineStr">
        <is>
          <t>IF(OR(F266="",AV266=""),"",IF(COUNT(AI266:AU266)=0,"",AV266-LOOKUP(2,1/(AI266:AU266&lt;&gt;""),AI266:AU266)))</t>
        </is>
      </c>
      <c r="BJ266" s="41" t="inlineStr">
        <is>
          <t>IF(J266="","All_Provinces",IFERROR(VLOOKUP(J266,'09_Lookups'!$A$4:$B$20,2,FALSE),"All_Provinces"))</t>
        </is>
      </c>
      <c r="BK266" s="41" t="inlineStr">
        <is>
          <t>IF(K266="","All_Districts",IFERROR(VLOOKUP(K266,'09_Lookups'!$E$4:$F$42,2,FALSE),"All_Districts"))</t>
        </is>
      </c>
    </row>
    <row r="267" outlineLevel="1" ht="18" customHeight="1">
      <c r="A267" s="42" t="inlineStr">
        <is>
          <t>IF(F267="","",ROW()-3)</t>
        </is>
      </c>
      <c r="B267" s="65" t="inlineStr">
        <is>
          <t>AF2-WSM-03</t>
        </is>
      </c>
      <c r="C267" s="65" t="inlineStr">
        <is>
          <t>Package #3 -AF2 WSM: Construction of Koklam three Check Dams (# 1, # 2 and # 3 ) in Kushk-e-Kohna District of Herat Province</t>
        </is>
      </c>
      <c r="D267" s="65" t="inlineStr">
        <is>
          <t>2 of 3</t>
        </is>
      </c>
      <c r="E267" s="44" t="inlineStr">
        <is>
          <t>AF2-WSM-A-005</t>
        </is>
      </c>
      <c r="F267" s="44" t="inlineStr">
        <is>
          <t>Jar Koklam, Dara Koklam Bala Check Dam # 1</t>
        </is>
      </c>
      <c r="G267" s="44" t="inlineStr">
        <is>
          <t>Watershed Management</t>
        </is>
      </c>
      <c r="H267" s="44" t="inlineStr">
        <is>
          <t>Check Dam</t>
        </is>
      </c>
      <c r="I267" s="44" t="inlineStr">
        <is>
          <t>Emergency Food Security Project (EFSP) – WBK/AF-2</t>
        </is>
      </c>
      <c r="J267" s="44" t="inlineStr">
        <is>
          <t>West / Herat</t>
        </is>
      </c>
      <c r="K267" s="44" t="inlineStr">
        <is>
          <t>Herat</t>
        </is>
      </c>
      <c r="L267" s="44" t="inlineStr">
        <is>
          <t>Koshk-e-Kohna</t>
        </is>
      </c>
      <c r="M267" s="44" t="inlineStr">
        <is>
          <t>Koklam village (Jar Koklam, Dara Koklam Bala, Baland Bazar, Jar Ahmad and Pastaliq Bazar)</t>
        </is>
      </c>
      <c r="N267" s="44" t="inlineStr">
        <is>
          <t>World Bank (WBK/AF-2)</t>
        </is>
      </c>
      <c r="O267" s="44" t="inlineStr">
        <is>
          <t>Awarded</t>
        </is>
      </c>
      <c r="P267" s="44" t="inlineStr">
        <is>
          <t>3.WSM awarded contracts</t>
        </is>
      </c>
      <c r="Q267" s="44" t="inlineStr">
        <is>
          <t>Afghan Aakam Construction and Road Company. JV with D- Amini Mashwani Construction Company (AACC)</t>
        </is>
      </c>
      <c r="R267" s="44" t="inlineStr">
        <is>
          <t>006/2026</t>
        </is>
      </c>
      <c r="S267" s="45" t="n">
        <v>71140.92</v>
      </c>
      <c r="T267" s="46" t="inlineStr">
        <is>
          <t>IF(AQ267="","",AQ267)</t>
        </is>
      </c>
      <c r="U267" s="47" t="n"/>
      <c r="V267" s="48" t="n">
        <v>10</v>
      </c>
      <c r="W267" s="47" t="n">
        <v>46346</v>
      </c>
      <c r="X267" s="46" t="inlineStr">
        <is>
          <t>IF(W267&lt;&gt;"",W267,IF(OR(T267="",V267=""),"",EDATE(T267,V267)))</t>
        </is>
      </c>
      <c r="Y267" s="47" t="n"/>
      <c r="Z267" s="48" t="n">
        <v>89</v>
      </c>
      <c r="AA267" s="44" t="inlineStr">
        <is>
          <t>Under Construction</t>
        </is>
      </c>
      <c r="AB267" s="44" t="inlineStr">
        <is>
          <t>Expected to complete by the end of the contract NTE.</t>
        </is>
      </c>
      <c r="AC267" s="42" t="inlineStr">
        <is>
          <t>IF(F267="","",IF(COUNT(AI267:AV267)=0,IF(AA267="","Not started",AA267),SUBSTITUTE(LOOKUP(2,1/(AI267:AV267&lt;&gt;""),$AI$3:$AV$3),"Date: ","")))</t>
        </is>
      </c>
      <c r="AD267" s="49" t="inlineStr">
        <is>
          <t>IF(OR(F267="",COUNT(AI267:AV267)=0),"",TODAY()-LOOKUP(2,1/(AI267:AV267&lt;&gt;""),AI267:AV267))</t>
        </is>
      </c>
      <c r="AE267" s="49" t="inlineStr">
        <is>
          <t>IF(OR(F267="",COUNT(AI267:AV267)&lt;2),"",LOOKUP(2,1/(AI267:AV267&lt;&gt;""),AI267:AV267)-MIN(AI267:AV267))</t>
        </is>
      </c>
      <c r="AF267" s="49" t="inlineStr">
        <is>
          <t>IF(OR(AD267="",AC267="Not started",AC267=""),"",IFERROR(AD267-IF(VLOOKUP(AC267,'06_Status_Pipeline'!$B$3:$E$20,4,FALSE)="",0,VLOOKUP(AC267,'06_Status_Pipeline'!$B$3:$E$20,4,FALSE)),""))</t>
        </is>
      </c>
      <c r="AG267" s="42" t="inlineStr">
        <is>
          <t>IF(F267="","",IF(OR(AA267="Cancelled",AC267="Cancelled"),"Cancelled",IF(OR(AC267="Completed / Handover",Y267&lt;&gt;"",Z267&gt;=100),"Completed — on track",IF(O267="Not awarded",IF(U267="",IF(X267="","No planned date",IF(TODAY()&gt;X267,"Behind — past planned date",IF(X267-TODAY()&lt;=30,"At risk — close to off track","On track"))),IF(TODAY()&gt;U267,"Behind — award date passed",IF(U267-TODAY()&lt;=30,"At risk — close to off track","On track"))),IF(X267="","No planned date",IF(AND(TODAY()&gt;X267,OR(Z267="",Z267&lt;100)),"Behind — past end date",IF(AND(T267&lt;&gt;"",X267&lt;&gt;"",Z267&lt;&gt;"",(Z267&lt;100),((TODAY()-T267)/MAX(X267-T267,1)*100)-Z267&gt;15),"Behind — progress lag",IF(AND(X267-TODAY()&lt;=30,X267-TODAY()&gt;=0,OR(Z267="",Z267&lt;90)),"At risk — close to off track","On track"))))))))</t>
        </is>
      </c>
      <c r="AH267" s="49" t="inlineStr">
        <is>
          <t>IF(OR(F267="",AC267="Completed / Handover",AC267="Cancelled"),"",IF(O267="Not awarded",IF(U267&lt;&gt;"",U267-TODAY(),IF(X267="","",X267-TODAY())),IF(X267="","",X267-TODAY())))</t>
        </is>
      </c>
      <c r="AI267" s="67" t="n"/>
      <c r="AJ267" s="67" t="n"/>
      <c r="AK267" s="67" t="n"/>
      <c r="AL267" s="67" t="n"/>
      <c r="AM267" s="67" t="n"/>
      <c r="AN267" s="67" t="n"/>
      <c r="AO267" s="67" t="n"/>
      <c r="AP267" s="67" t="n"/>
      <c r="AQ267" s="67" t="n">
        <v>46043</v>
      </c>
      <c r="AR267" s="67" t="n">
        <v>46043</v>
      </c>
      <c r="AS267" s="67" t="n"/>
      <c r="AT267" s="50" t="n"/>
      <c r="AU267" s="50" t="n"/>
      <c r="AV267" s="50" t="n"/>
      <c r="AW267" s="49" t="inlineStr">
        <is>
          <t>IF(OR(F267="",AJ267=""),"",IF(COUNT(AI267:AI267)=0,"",AJ267-LOOKUP(2,1/(AI267:AI267&lt;&gt;""),AI267:AI267)))</t>
        </is>
      </c>
      <c r="AX267" s="49" t="inlineStr">
        <is>
          <t>IF(OR(F267="",AK267=""),"",IF(COUNT(AI267:AJ267)=0,"",AK267-LOOKUP(2,1/(AI267:AJ267&lt;&gt;""),AI267:AJ267)))</t>
        </is>
      </c>
      <c r="AY267" s="49" t="inlineStr">
        <is>
          <t>IF(OR(F267="",AL267=""),"",IF(COUNT(AI267:AK267)=0,"",AL267-LOOKUP(2,1/(AI267:AK267&lt;&gt;""),AI267:AK267)))</t>
        </is>
      </c>
      <c r="AZ267" s="49" t="inlineStr">
        <is>
          <t>IF(OR(F267="",AM267=""),"",IF(COUNT(AI267:AL267)=0,"",AM267-LOOKUP(2,1/(AI267:AL267&lt;&gt;""),AI267:AL267)))</t>
        </is>
      </c>
      <c r="BA267" s="49" t="inlineStr">
        <is>
          <t>IF(OR(F267="",AN267=""),"",IF(COUNT(AI267:AM267)=0,"",AN267-LOOKUP(2,1/(AI267:AM267&lt;&gt;""),AI267:AM267)))</t>
        </is>
      </c>
      <c r="BB267" s="49" t="inlineStr">
        <is>
          <t>IF(OR(F267="",AO267=""),"",IF(COUNT(AI267:AN267)=0,"",AO267-LOOKUP(2,1/(AI267:AN267&lt;&gt;""),AI267:AN267)))</t>
        </is>
      </c>
      <c r="BC267" s="49" t="inlineStr">
        <is>
          <t>IF(OR(F267="",AP267=""),"",IF(COUNT(AI267:AO267)=0,"",AP267-LOOKUP(2,1/(AI267:AO267&lt;&gt;""),AI267:AO267)))</t>
        </is>
      </c>
      <c r="BD267" s="49" t="inlineStr">
        <is>
          <t>IF(OR(F267="",AQ267=""),"",IF(COUNT(AI267:AP267)=0,"",AQ267-LOOKUP(2,1/(AI267:AP267&lt;&gt;""),AI267:AP267)))</t>
        </is>
      </c>
      <c r="BE267" s="49" t="inlineStr">
        <is>
          <t>IF(OR(F267="",AR267=""),"",IF(COUNT(AI267:AQ267)=0,"",AR267-LOOKUP(2,1/(AI267:AQ267&lt;&gt;""),AI267:AQ267)))</t>
        </is>
      </c>
      <c r="BF267" s="49" t="inlineStr">
        <is>
          <t>IF(OR(F267="",AS267=""),"",IF(COUNT(AI267:AR267)=0,"",AS267-LOOKUP(2,1/(AI267:AR267&lt;&gt;""),AI267:AR267)))</t>
        </is>
      </c>
      <c r="BG267" s="49" t="inlineStr">
        <is>
          <t>IF(OR(F267="",AT267=""),"",IF(COUNT(AI267:AS267)=0,"",AT267-LOOKUP(2,1/(AI267:AS267&lt;&gt;""),AI267:AS267)))</t>
        </is>
      </c>
      <c r="BH267" s="49" t="inlineStr">
        <is>
          <t>IF(OR(F267="",AU267=""),"",IF(COUNT(AI267:AT267)=0,"",AU267-LOOKUP(2,1/(AI267:AT267&lt;&gt;""),AI267:AT267)))</t>
        </is>
      </c>
      <c r="BI267" s="49" t="inlineStr">
        <is>
          <t>IF(OR(F267="",AV267=""),"",IF(COUNT(AI267:AU267)=0,"",AV267-LOOKUP(2,1/(AI267:AU267&lt;&gt;""),AI267:AU267)))</t>
        </is>
      </c>
      <c r="BJ267" s="51" t="inlineStr">
        <is>
          <t>IF(J267="","All_Provinces",IFERROR(VLOOKUP(J267,'09_Lookups'!$A$4:$B$20,2,FALSE),"All_Provinces"))</t>
        </is>
      </c>
      <c r="BK267" s="51" t="inlineStr">
        <is>
          <t>IF(K267="","All_Districts",IFERROR(VLOOKUP(K267,'09_Lookups'!$E$4:$F$42,2,FALSE),"All_Districts"))</t>
        </is>
      </c>
    </row>
    <row r="268" outlineLevel="1" ht="18" customHeight="1">
      <c r="A268" s="42" t="inlineStr">
        <is>
          <t>IF(F268="","",ROW()-3)</t>
        </is>
      </c>
      <c r="B268" s="65" t="inlineStr">
        <is>
          <t>AF2-WSM-03</t>
        </is>
      </c>
      <c r="C268" s="65" t="inlineStr">
        <is>
          <t>Package #3 -AF2 WSM: Construction of Koklam three Check Dams (# 1, # 2 and # 3 ) in Kushk-e-Kohna District of Herat Province</t>
        </is>
      </c>
      <c r="D268" s="65" t="inlineStr">
        <is>
          <t>3 of 3</t>
        </is>
      </c>
      <c r="E268" s="52" t="inlineStr">
        <is>
          <t>AF2-WSM-A-006</t>
        </is>
      </c>
      <c r="F268" s="52" t="inlineStr">
        <is>
          <t>Pastaliq Bazar Check Dam # 3</t>
        </is>
      </c>
      <c r="G268" s="52" t="inlineStr">
        <is>
          <t>Watershed Management</t>
        </is>
      </c>
      <c r="H268" s="52" t="inlineStr">
        <is>
          <t>Check Dam</t>
        </is>
      </c>
      <c r="I268" s="52" t="inlineStr">
        <is>
          <t>Emergency Food Security Project (EFSP) – WBK/AF-2</t>
        </is>
      </c>
      <c r="J268" s="52" t="inlineStr">
        <is>
          <t>West / Herat</t>
        </is>
      </c>
      <c r="K268" s="52" t="inlineStr">
        <is>
          <t>Herat</t>
        </is>
      </c>
      <c r="L268" s="52" t="inlineStr">
        <is>
          <t>Koshk-e-Kohna</t>
        </is>
      </c>
      <c r="M268" s="52" t="inlineStr"/>
      <c r="N268" s="52" t="inlineStr">
        <is>
          <t>World Bank (WBK/AF-2)</t>
        </is>
      </c>
      <c r="O268" s="52" t="inlineStr">
        <is>
          <t>Awarded</t>
        </is>
      </c>
      <c r="P268" s="52" t="inlineStr">
        <is>
          <t>3.WSM awarded contracts</t>
        </is>
      </c>
      <c r="Q268" s="52" t="inlineStr">
        <is>
          <t>Afghan Aakam Construction and Road Company. JV with D- Amini Mashwani Construction Company (AACC)</t>
        </is>
      </c>
      <c r="R268" s="52" t="inlineStr">
        <is>
          <t>006/2026</t>
        </is>
      </c>
      <c r="S268" s="53" t="n">
        <v>74256.67999999999</v>
      </c>
      <c r="T268" s="46" t="inlineStr">
        <is>
          <t>IF(AQ268="","",AQ268)</t>
        </is>
      </c>
      <c r="U268" s="54" t="n"/>
      <c r="V268" s="55" t="n">
        <v>10</v>
      </c>
      <c r="W268" s="54" t="n">
        <v>46346</v>
      </c>
      <c r="X268" s="46" t="inlineStr">
        <is>
          <t>IF(W268&lt;&gt;"",W268,IF(OR(T268="",V268=""),"",EDATE(T268,V268)))</t>
        </is>
      </c>
      <c r="Y268" s="54" t="n"/>
      <c r="Z268" s="55" t="n">
        <v>30</v>
      </c>
      <c r="AA268" s="52" t="inlineStr">
        <is>
          <t>Under Construction</t>
        </is>
      </c>
      <c r="AB268" s="52" t="inlineStr">
        <is>
          <t>Expected to complete by the end of the contract NTE.</t>
        </is>
      </c>
      <c r="AC268" s="42" t="inlineStr">
        <is>
          <t>IF(F268="","",IF(COUNT(AI268:AV268)=0,IF(AA268="","Not started",AA268),SUBSTITUTE(LOOKUP(2,1/(AI268:AV268&lt;&gt;""),$AI$3:$AV$3),"Date: ","")))</t>
        </is>
      </c>
      <c r="AD268" s="49" t="inlineStr">
        <is>
          <t>IF(OR(F268="",COUNT(AI268:AV268)=0),"",TODAY()-LOOKUP(2,1/(AI268:AV268&lt;&gt;""),AI268:AV268))</t>
        </is>
      </c>
      <c r="AE268" s="49" t="inlineStr">
        <is>
          <t>IF(OR(F268="",COUNT(AI268:AV268)&lt;2),"",LOOKUP(2,1/(AI268:AV268&lt;&gt;""),AI268:AV268)-MIN(AI268:AV268))</t>
        </is>
      </c>
      <c r="AF268" s="49" t="inlineStr">
        <is>
          <t>IF(OR(AD268="",AC268="Not started",AC268=""),"",IFERROR(AD268-IF(VLOOKUP(AC268,'06_Status_Pipeline'!$B$3:$E$20,4,FALSE)="",0,VLOOKUP(AC268,'06_Status_Pipeline'!$B$3:$E$20,4,FALSE)),""))</t>
        </is>
      </c>
      <c r="AG268" s="42" t="inlineStr">
        <is>
          <t>IF(F268="","",IF(OR(AA268="Cancelled",AC268="Cancelled"),"Cancelled",IF(OR(AC268="Completed / Handover",Y268&lt;&gt;"",Z268&gt;=100),"Completed — on track",IF(O268="Not awarded",IF(U268="",IF(X268="","No planned date",IF(TODAY()&gt;X268,"Behind — past planned date",IF(X268-TODAY()&lt;=30,"At risk — close to off track","On track"))),IF(TODAY()&gt;U268,"Behind — award date passed",IF(U268-TODAY()&lt;=30,"At risk — close to off track","On track"))),IF(X268="","No planned date",IF(AND(TODAY()&gt;X268,OR(Z268="",Z268&lt;100)),"Behind — past end date",IF(AND(T268&lt;&gt;"",X268&lt;&gt;"",Z268&lt;&gt;"",(Z268&lt;100),((TODAY()-T268)/MAX(X268-T268,1)*100)-Z268&gt;15),"Behind — progress lag",IF(AND(X268-TODAY()&lt;=30,X268-TODAY()&gt;=0,OR(Z268="",Z268&lt;90)),"At risk — close to off track","On track"))))))))</t>
        </is>
      </c>
      <c r="AH268" s="49" t="inlineStr">
        <is>
          <t>IF(OR(F268="",AC268="Completed / Handover",AC268="Cancelled"),"",IF(O268="Not awarded",IF(U268&lt;&gt;"",U268-TODAY(),IF(X268="","",X268-TODAY())),IF(X268="","",X268-TODAY())))</t>
        </is>
      </c>
      <c r="AI268" s="67" t="n"/>
      <c r="AJ268" s="67" t="n"/>
      <c r="AK268" s="67" t="n"/>
      <c r="AL268" s="67" t="n"/>
      <c r="AM268" s="67" t="n"/>
      <c r="AN268" s="67" t="n"/>
      <c r="AO268" s="67" t="n"/>
      <c r="AP268" s="67" t="n"/>
      <c r="AQ268" s="67" t="n">
        <v>46043</v>
      </c>
      <c r="AR268" s="67" t="n">
        <v>46043</v>
      </c>
      <c r="AS268" s="67" t="n"/>
      <c r="AT268" s="50" t="n"/>
      <c r="AU268" s="50" t="n"/>
      <c r="AV268" s="50" t="n"/>
      <c r="AW268" s="49" t="inlineStr">
        <is>
          <t>IF(OR(F268="",AJ268=""),"",IF(COUNT(AI268:AI268)=0,"",AJ268-LOOKUP(2,1/(AI268:AI268&lt;&gt;""),AI268:AI268)))</t>
        </is>
      </c>
      <c r="AX268" s="49" t="inlineStr">
        <is>
          <t>IF(OR(F268="",AK268=""),"",IF(COUNT(AI268:AJ268)=0,"",AK268-LOOKUP(2,1/(AI268:AJ268&lt;&gt;""),AI268:AJ268)))</t>
        </is>
      </c>
      <c r="AY268" s="49" t="inlineStr">
        <is>
          <t>IF(OR(F268="",AL268=""),"",IF(COUNT(AI268:AK268)=0,"",AL268-LOOKUP(2,1/(AI268:AK268&lt;&gt;""),AI268:AK268)))</t>
        </is>
      </c>
      <c r="AZ268" s="49" t="inlineStr">
        <is>
          <t>IF(OR(F268="",AM268=""),"",IF(COUNT(AI268:AL268)=0,"",AM268-LOOKUP(2,1/(AI268:AL268&lt;&gt;""),AI268:AL268)))</t>
        </is>
      </c>
      <c r="BA268" s="49" t="inlineStr">
        <is>
          <t>IF(OR(F268="",AN268=""),"",IF(COUNT(AI268:AM268)=0,"",AN268-LOOKUP(2,1/(AI268:AM268&lt;&gt;""),AI268:AM268)))</t>
        </is>
      </c>
      <c r="BB268" s="49" t="inlineStr">
        <is>
          <t>IF(OR(F268="",AO268=""),"",IF(COUNT(AI268:AN268)=0,"",AO268-LOOKUP(2,1/(AI268:AN268&lt;&gt;""),AI268:AN268)))</t>
        </is>
      </c>
      <c r="BC268" s="49" t="inlineStr">
        <is>
          <t>IF(OR(F268="",AP268=""),"",IF(COUNT(AI268:AO268)=0,"",AP268-LOOKUP(2,1/(AI268:AO268&lt;&gt;""),AI268:AO268)))</t>
        </is>
      </c>
      <c r="BD268" s="49" t="inlineStr">
        <is>
          <t>IF(OR(F268="",AQ268=""),"",IF(COUNT(AI268:AP268)=0,"",AQ268-LOOKUP(2,1/(AI268:AP268&lt;&gt;""),AI268:AP268)))</t>
        </is>
      </c>
      <c r="BE268" s="49" t="inlineStr">
        <is>
          <t>IF(OR(F268="",AR268=""),"",IF(COUNT(AI268:AQ268)=0,"",AR268-LOOKUP(2,1/(AI268:AQ268&lt;&gt;""),AI268:AQ268)))</t>
        </is>
      </c>
      <c r="BF268" s="49" t="inlineStr">
        <is>
          <t>IF(OR(F268="",AS268=""),"",IF(COUNT(AI268:AR268)=0,"",AS268-LOOKUP(2,1/(AI268:AR268&lt;&gt;""),AI268:AR268)))</t>
        </is>
      </c>
      <c r="BG268" s="49" t="inlineStr">
        <is>
          <t>IF(OR(F268="",AT268=""),"",IF(COUNT(AI268:AS268)=0,"",AT268-LOOKUP(2,1/(AI268:AS268&lt;&gt;""),AI268:AS268)))</t>
        </is>
      </c>
      <c r="BH268" s="49" t="inlineStr">
        <is>
          <t>IF(OR(F268="",AU268=""),"",IF(COUNT(AI268:AT268)=0,"",AU268-LOOKUP(2,1/(AI268:AT268&lt;&gt;""),AI268:AT268)))</t>
        </is>
      </c>
      <c r="BI268" s="49" t="inlineStr">
        <is>
          <t>IF(OR(F268="",AV268=""),"",IF(COUNT(AI268:AU268)=0,"",AV268-LOOKUP(2,1/(AI268:AU268&lt;&gt;""),AI268:AU268)))</t>
        </is>
      </c>
      <c r="BJ268" s="51" t="inlineStr">
        <is>
          <t>IF(J268="","All_Provinces",IFERROR(VLOOKUP(J268,'09_Lookups'!$A$4:$B$20,2,FALSE),"All_Provinces"))</t>
        </is>
      </c>
      <c r="BK268" s="51" t="inlineStr">
        <is>
          <t>IF(K268="","All_Districts",IFERROR(VLOOKUP(K268,'09_Lookups'!$E$4:$F$42,2,FALSE),"All_Districts"))</t>
        </is>
      </c>
    </row>
    <row r="269" ht="18" customHeight="1">
      <c r="A269" s="32" t="inlineStr">
        <is>
          <t>IF(F269="","",ROW()-3)</t>
        </is>
      </c>
      <c r="B269" s="33" t="inlineStr">
        <is>
          <t>AF2-WSM-04</t>
        </is>
      </c>
      <c r="C269" s="33" t="inlineStr">
        <is>
          <t>Package #4-AF2 WSM: Construction of .Qalai Gerd check dam in Firozkoh dustrict of Ghor province.</t>
        </is>
      </c>
      <c r="D269" s="33" t="inlineStr">
        <is>
          <t>1 of 1</t>
        </is>
      </c>
      <c r="E269" s="57" t="inlineStr">
        <is>
          <t>AF2-WSM-N-002</t>
        </is>
      </c>
      <c r="F269" s="57" t="inlineStr">
        <is>
          <t>Qalai Gerd Check dam</t>
        </is>
      </c>
      <c r="G269" s="57" t="inlineStr">
        <is>
          <t>Watershed Management</t>
        </is>
      </c>
      <c r="H269" s="57" t="inlineStr">
        <is>
          <t>Check Dam</t>
        </is>
      </c>
      <c r="I269" s="57" t="inlineStr">
        <is>
          <t>Emergency Food Security Project (EFSP) – WBK/AF-2</t>
        </is>
      </c>
      <c r="J269" s="57" t="inlineStr">
        <is>
          <t>West / Herat</t>
        </is>
      </c>
      <c r="K269" s="57" t="inlineStr">
        <is>
          <t>Ghor</t>
        </is>
      </c>
      <c r="L269" s="57" t="inlineStr">
        <is>
          <t>Firozkoh</t>
        </is>
      </c>
      <c r="M269" s="57" t="inlineStr">
        <is>
          <t>Qalai Gerd</t>
        </is>
      </c>
      <c r="N269" s="57" t="inlineStr">
        <is>
          <t>World Bank (WBK/AF-2)</t>
        </is>
      </c>
      <c r="O269" s="57" t="inlineStr">
        <is>
          <t>Not awarded</t>
        </is>
      </c>
      <c r="P269" s="57" t="inlineStr">
        <is>
          <t>4.WSM remaining contracts</t>
        </is>
      </c>
      <c r="Q269" s="57" t="inlineStr"/>
      <c r="R269" s="57" t="inlineStr"/>
      <c r="S269" s="58" t="n">
        <v>219000</v>
      </c>
      <c r="T269" s="36" t="inlineStr">
        <is>
          <t>IF(AQ269="","",AQ269)</t>
        </is>
      </c>
      <c r="U269" s="59" t="n">
        <v>46366</v>
      </c>
      <c r="V269" s="60" t="n">
        <v>9.9</v>
      </c>
      <c r="W269" s="59" t="n">
        <v>46666</v>
      </c>
      <c r="X269" s="36" t="inlineStr">
        <is>
          <t>IF(W269&lt;&gt;"",W269,IF(OR(T269="",V269=""),"",EDATE(T269,V269)))</t>
        </is>
      </c>
      <c r="Y269" s="59" t="n"/>
      <c r="Z269" s="60" t="n"/>
      <c r="AA269" s="57" t="inlineStr">
        <is>
          <t>PR to be Raised</t>
        </is>
      </c>
      <c r="AB269" s="57" t="inlineStr">
        <is>
          <t>Construction of the check dam will be completed in seven months. Additional three months have been kept as slack period during Jan-March.</t>
        </is>
      </c>
      <c r="AC269" s="32" t="inlineStr">
        <is>
          <t>IF(F269="","",IF(COUNT(AI269:AV269)=0,IF(AA269="","Not started",AA269),SUBSTITUTE(LOOKUP(2,1/(AI269:AV269&lt;&gt;""),$AI$3:$AV$3),"Date: ","")))</t>
        </is>
      </c>
      <c r="AD269" s="39" t="inlineStr">
        <is>
          <t>IF(OR(F269="",COUNT(AI269:AV269)=0),"",TODAY()-LOOKUP(2,1/(AI269:AV269&lt;&gt;""),AI269:AV269))</t>
        </is>
      </c>
      <c r="AE269" s="39" t="inlineStr">
        <is>
          <t>IF(OR(F269="",COUNT(AI269:AV269)&lt;2),"",LOOKUP(2,1/(AI269:AV269&lt;&gt;""),AI269:AV269)-MIN(AI269:AV269))</t>
        </is>
      </c>
      <c r="AF269" s="39" t="inlineStr">
        <is>
          <t>IF(OR(AD269="",AC269="Not started",AC269=""),"",IFERROR(AD269-IF(VLOOKUP(AC269,'06_Status_Pipeline'!$B$3:$E$20,4,FALSE)="",0,VLOOKUP(AC269,'06_Status_Pipeline'!$B$3:$E$20,4,FALSE)),""))</t>
        </is>
      </c>
      <c r="AG269" s="32" t="inlineStr">
        <is>
          <t>IF(F269="","",IF(OR(AA269="Cancelled",AC269="Cancelled"),"Cancelled",IF(OR(AC269="Completed / Handover",Y269&lt;&gt;"",Z269&gt;=100),"Completed — on track",IF(O269="Not awarded",IF(U269="",IF(X269="","No planned date",IF(TODAY()&gt;X269,"Behind — past planned date",IF(X269-TODAY()&lt;=30,"At risk — close to off track","On track"))),IF(TODAY()&gt;U269,"Behind — award date passed",IF(U269-TODAY()&lt;=30,"At risk — close to off track","On track"))),IF(X269="","No planned date",IF(AND(TODAY()&gt;X269,OR(Z269="",Z269&lt;100)),"Behind — past end date",IF(AND(T269&lt;&gt;"",X269&lt;&gt;"",Z269&lt;&gt;"",(Z269&lt;100),((TODAY()-T269)/MAX(X269-T269,1)*100)-Z269&gt;15),"Behind — progress lag",IF(AND(X269-TODAY()&lt;=30,X269-TODAY()&gt;=0,OR(Z269="",Z269&lt;90)),"At risk — close to off track","On track"))))))))</t>
        </is>
      </c>
      <c r="AH269" s="39" t="inlineStr">
        <is>
          <t>IF(OR(F269="",AC269="Completed / Handover",AC269="Cancelled"),"",IF(O269="Not awarded",IF(U269&lt;&gt;"",U269-TODAY(),IF(X269="","",X269-TODAY())),IF(X269="","",X269-TODAY())))</t>
        </is>
      </c>
      <c r="AI269" s="59" t="n"/>
      <c r="AJ269" s="59" t="n"/>
      <c r="AK269" s="59" t="n"/>
      <c r="AL269" s="59" t="n"/>
      <c r="AM269" s="59" t="n"/>
      <c r="AN269" s="59" t="n"/>
      <c r="AO269" s="59" t="n"/>
      <c r="AP269" s="59" t="n"/>
      <c r="AQ269" s="59" t="n"/>
      <c r="AR269" s="59" t="n"/>
      <c r="AS269" s="59" t="n"/>
      <c r="AT269" s="40" t="n"/>
      <c r="AU269" s="40" t="n"/>
      <c r="AV269" s="40" t="n"/>
      <c r="AW269" s="39" t="inlineStr">
        <is>
          <t>IF(OR(F269="",AJ269=""),"",IF(COUNT(AI269:AI269)=0,"",AJ269-LOOKUP(2,1/(AI269:AI269&lt;&gt;""),AI269:AI269)))</t>
        </is>
      </c>
      <c r="AX269" s="39" t="inlineStr">
        <is>
          <t>IF(OR(F269="",AK269=""),"",IF(COUNT(AI269:AJ269)=0,"",AK269-LOOKUP(2,1/(AI269:AJ269&lt;&gt;""),AI269:AJ269)))</t>
        </is>
      </c>
      <c r="AY269" s="39" t="inlineStr">
        <is>
          <t>IF(OR(F269="",AL269=""),"",IF(COUNT(AI269:AK269)=0,"",AL269-LOOKUP(2,1/(AI269:AK269&lt;&gt;""),AI269:AK269)))</t>
        </is>
      </c>
      <c r="AZ269" s="39" t="inlineStr">
        <is>
          <t>IF(OR(F269="",AM269=""),"",IF(COUNT(AI269:AL269)=0,"",AM269-LOOKUP(2,1/(AI269:AL269&lt;&gt;""),AI269:AL269)))</t>
        </is>
      </c>
      <c r="BA269" s="39" t="inlineStr">
        <is>
          <t>IF(OR(F269="",AN269=""),"",IF(COUNT(AI269:AM269)=0,"",AN269-LOOKUP(2,1/(AI269:AM269&lt;&gt;""),AI269:AM269)))</t>
        </is>
      </c>
      <c r="BB269" s="39" t="inlineStr">
        <is>
          <t>IF(OR(F269="",AO269=""),"",IF(COUNT(AI269:AN269)=0,"",AO269-LOOKUP(2,1/(AI269:AN269&lt;&gt;""),AI269:AN269)))</t>
        </is>
      </c>
      <c r="BC269" s="39" t="inlineStr">
        <is>
          <t>IF(OR(F269="",AP269=""),"",IF(COUNT(AI269:AO269)=0,"",AP269-LOOKUP(2,1/(AI269:AO269&lt;&gt;""),AI269:AO269)))</t>
        </is>
      </c>
      <c r="BD269" s="39" t="inlineStr">
        <is>
          <t>IF(OR(F269="",AQ269=""),"",IF(COUNT(AI269:AP269)=0,"",AQ269-LOOKUP(2,1/(AI269:AP269&lt;&gt;""),AI269:AP269)))</t>
        </is>
      </c>
      <c r="BE269" s="39" t="inlineStr">
        <is>
          <t>IF(OR(F269="",AR269=""),"",IF(COUNT(AI269:AQ269)=0,"",AR269-LOOKUP(2,1/(AI269:AQ269&lt;&gt;""),AI269:AQ269)))</t>
        </is>
      </c>
      <c r="BF269" s="39" t="inlineStr">
        <is>
          <t>IF(OR(F269="",AS269=""),"",IF(COUNT(AI269:AR269)=0,"",AS269-LOOKUP(2,1/(AI269:AR269&lt;&gt;""),AI269:AR269)))</t>
        </is>
      </c>
      <c r="BG269" s="39" t="inlineStr">
        <is>
          <t>IF(OR(F269="",AT269=""),"",IF(COUNT(AI269:AS269)=0,"",AT269-LOOKUP(2,1/(AI269:AS269&lt;&gt;""),AI269:AS269)))</t>
        </is>
      </c>
      <c r="BH269" s="39" t="inlineStr">
        <is>
          <t>IF(OR(F269="",AU269=""),"",IF(COUNT(AI269:AT269)=0,"",AU269-LOOKUP(2,1/(AI269:AT269&lt;&gt;""),AI269:AT269)))</t>
        </is>
      </c>
      <c r="BI269" s="39" t="inlineStr">
        <is>
          <t>IF(OR(F269="",AV269=""),"",IF(COUNT(AI269:AU269)=0,"",AV269-LOOKUP(2,1/(AI269:AU269&lt;&gt;""),AI269:AU269)))</t>
        </is>
      </c>
      <c r="BJ269" s="41" t="inlineStr">
        <is>
          <t>IF(J269="","All_Provinces",IFERROR(VLOOKUP(J269,'09_Lookups'!$A$4:$B$20,2,FALSE),"All_Provinces"))</t>
        </is>
      </c>
      <c r="BK269" s="41" t="inlineStr">
        <is>
          <t>IF(K269="","All_Districts",IFERROR(VLOOKUP(K269,'09_Lookups'!$E$4:$F$42,2,FALSE),"All_Districts"))</t>
        </is>
      </c>
    </row>
    <row r="270" ht="18" customHeight="1">
      <c r="A270" s="32" t="inlineStr">
        <is>
          <t>IF(F270="","",ROW()-3)</t>
        </is>
      </c>
      <c r="B270" s="56" t="inlineStr">
        <is>
          <t>AF2-WSM-05</t>
        </is>
      </c>
      <c r="C270" s="56" t="inlineStr">
        <is>
          <t>Package #5-AF2 WSM/Part-2: Construction of 4 Check dams of 1.Farman Khil and 2.Kharoti in Qarghaee district of Laghman province; 3. Lokhy Solozi and 4. Lala Kali in Chaparhar districts of Nangarhar province.</t>
        </is>
      </c>
      <c r="D270" s="56" t="inlineStr">
        <is>
          <t>1 of 4</t>
        </is>
      </c>
      <c r="E270" s="34" t="inlineStr">
        <is>
          <t>AF2-WSM-A-007</t>
        </is>
      </c>
      <c r="F270" s="34" t="inlineStr">
        <is>
          <t>1. Farman khill Check dam</t>
        </is>
      </c>
      <c r="G270" s="34" t="inlineStr">
        <is>
          <t>Watershed Management</t>
        </is>
      </c>
      <c r="H270" s="34" t="inlineStr">
        <is>
          <t>Check Dam</t>
        </is>
      </c>
      <c r="I270" s="34" t="inlineStr">
        <is>
          <t>Emergency Food Security Project (EFSP) – WBK/AF-2</t>
        </is>
      </c>
      <c r="J270" s="34" t="inlineStr">
        <is>
          <t>East / Jalalabad</t>
        </is>
      </c>
      <c r="K270" s="34" t="inlineStr">
        <is>
          <t>Laghman</t>
        </is>
      </c>
      <c r="L270" s="34" t="inlineStr">
        <is>
          <t>Qarghaee</t>
        </is>
      </c>
      <c r="M270" s="34" t="inlineStr">
        <is>
          <t>Farmankhil</t>
        </is>
      </c>
      <c r="N270" s="34" t="inlineStr">
        <is>
          <t>World Bank (WBK/AF-2)</t>
        </is>
      </c>
      <c r="O270" s="34" t="inlineStr">
        <is>
          <t>Awarded</t>
        </is>
      </c>
      <c r="P270" s="34" t="inlineStr">
        <is>
          <t>3.WSM awarded contracts</t>
        </is>
      </c>
      <c r="Q270" s="34" t="inlineStr">
        <is>
          <t>Khaliqi Building &amp; Road Construction Company (KBRCC)</t>
        </is>
      </c>
      <c r="R270" s="34" t="inlineStr">
        <is>
          <t>040/2026</t>
        </is>
      </c>
      <c r="S270" s="35" t="n">
        <v>29781.88</v>
      </c>
      <c r="T270" s="36" t="inlineStr">
        <is>
          <t>IF(AQ270="","",AQ270)</t>
        </is>
      </c>
      <c r="U270" s="37" t="n"/>
      <c r="V270" s="38" t="n">
        <v>5</v>
      </c>
      <c r="W270" s="37" t="n">
        <v>46324</v>
      </c>
      <c r="X270" s="36" t="inlineStr">
        <is>
          <t>IF(W270&lt;&gt;"",W270,IF(OR(T270="",V270=""),"",EDATE(T270,V270)))</t>
        </is>
      </c>
      <c r="Y270" s="37" t="n"/>
      <c r="Z270" s="38" t="n">
        <v>50</v>
      </c>
      <c r="AA270" s="34" t="inlineStr">
        <is>
          <t>Under Construction</t>
        </is>
      </c>
      <c r="AB270" s="34" t="inlineStr">
        <is>
          <t>A check dam, a pond and a social structure. Contract extension needs to be sought.</t>
        </is>
      </c>
      <c r="AC270" s="32" t="inlineStr">
        <is>
          <t>IF(F270="","",IF(COUNT(AI270:AV270)=0,IF(AA270="","Not started",AA270),SUBSTITUTE(LOOKUP(2,1/(AI270:AV270&lt;&gt;""),$AI$3:$AV$3),"Date: ","")))</t>
        </is>
      </c>
      <c r="AD270" s="39" t="inlineStr">
        <is>
          <t>IF(OR(F270="",COUNT(AI270:AV270)=0),"",TODAY()-LOOKUP(2,1/(AI270:AV270&lt;&gt;""),AI270:AV270))</t>
        </is>
      </c>
      <c r="AE270" s="39" t="inlineStr">
        <is>
          <t>IF(OR(F270="",COUNT(AI270:AV270)&lt;2),"",LOOKUP(2,1/(AI270:AV270&lt;&gt;""),AI270:AV270)-MIN(AI270:AV270))</t>
        </is>
      </c>
      <c r="AF270" s="39" t="inlineStr">
        <is>
          <t>IF(OR(AD270="",AC270="Not started",AC270=""),"",IFERROR(AD270-IF(VLOOKUP(AC270,'06_Status_Pipeline'!$B$3:$E$20,4,FALSE)="",0,VLOOKUP(AC270,'06_Status_Pipeline'!$B$3:$E$20,4,FALSE)),""))</t>
        </is>
      </c>
      <c r="AG270" s="32" t="inlineStr">
        <is>
          <t>IF(F270="","",IF(OR(AA270="Cancelled",AC270="Cancelled"),"Cancelled",IF(OR(AC270="Completed / Handover",Y270&lt;&gt;"",Z270&gt;=100),"Completed — on track",IF(O270="Not awarded",IF(U270="",IF(X270="","No planned date",IF(TODAY()&gt;X270,"Behind — past planned date",IF(X270-TODAY()&lt;=30,"At risk — close to off track","On track"))),IF(TODAY()&gt;U270,"Behind — award date passed",IF(U270-TODAY()&lt;=30,"At risk — close to off track","On track"))),IF(X270="","No planned date",IF(AND(TODAY()&gt;X270,OR(Z270="",Z270&lt;100)),"Behind — past end date",IF(AND(T270&lt;&gt;"",X270&lt;&gt;"",Z270&lt;&gt;"",(Z270&lt;100),((TODAY()-T270)/MAX(X270-T270,1)*100)-Z270&gt;15),"Behind — progress lag",IF(AND(X270-TODAY()&lt;=30,X270-TODAY()&gt;=0,OR(Z270="",Z270&lt;90)),"At risk — close to off track","On track"))))))))</t>
        </is>
      </c>
      <c r="AH270" s="39" t="inlineStr">
        <is>
          <t>IF(OR(F270="",AC270="Completed / Handover",AC270="Cancelled"),"",IF(O270="Not awarded",IF(U270&lt;&gt;"",U270-TODAY(),IF(X270="","",X270-TODAY())),IF(X270="","",X270-TODAY())))</t>
        </is>
      </c>
      <c r="AI270" s="66" t="n"/>
      <c r="AJ270" s="66" t="n"/>
      <c r="AK270" s="66" t="n"/>
      <c r="AL270" s="66" t="n"/>
      <c r="AM270" s="66" t="n"/>
      <c r="AN270" s="66" t="n"/>
      <c r="AO270" s="66" t="n"/>
      <c r="AP270" s="66" t="n"/>
      <c r="AQ270" s="66" t="n">
        <v>46172</v>
      </c>
      <c r="AR270" s="66" t="n">
        <v>46172</v>
      </c>
      <c r="AS270" s="66" t="n"/>
      <c r="AT270" s="40" t="n"/>
      <c r="AU270" s="40" t="n"/>
      <c r="AV270" s="40" t="n"/>
      <c r="AW270" s="39" t="inlineStr">
        <is>
          <t>IF(OR(F270="",AJ270=""),"",IF(COUNT(AI270:AI270)=0,"",AJ270-LOOKUP(2,1/(AI270:AI270&lt;&gt;""),AI270:AI270)))</t>
        </is>
      </c>
      <c r="AX270" s="39" t="inlineStr">
        <is>
          <t>IF(OR(F270="",AK270=""),"",IF(COUNT(AI270:AJ270)=0,"",AK270-LOOKUP(2,1/(AI270:AJ270&lt;&gt;""),AI270:AJ270)))</t>
        </is>
      </c>
      <c r="AY270" s="39" t="inlineStr">
        <is>
          <t>IF(OR(F270="",AL270=""),"",IF(COUNT(AI270:AK270)=0,"",AL270-LOOKUP(2,1/(AI270:AK270&lt;&gt;""),AI270:AK270)))</t>
        </is>
      </c>
      <c r="AZ270" s="39" t="inlineStr">
        <is>
          <t>IF(OR(F270="",AM270=""),"",IF(COUNT(AI270:AL270)=0,"",AM270-LOOKUP(2,1/(AI270:AL270&lt;&gt;""),AI270:AL270)))</t>
        </is>
      </c>
      <c r="BA270" s="39" t="inlineStr">
        <is>
          <t>IF(OR(F270="",AN270=""),"",IF(COUNT(AI270:AM270)=0,"",AN270-LOOKUP(2,1/(AI270:AM270&lt;&gt;""),AI270:AM270)))</t>
        </is>
      </c>
      <c r="BB270" s="39" t="inlineStr">
        <is>
          <t>IF(OR(F270="",AO270=""),"",IF(COUNT(AI270:AN270)=0,"",AO270-LOOKUP(2,1/(AI270:AN270&lt;&gt;""),AI270:AN270)))</t>
        </is>
      </c>
      <c r="BC270" s="39" t="inlineStr">
        <is>
          <t>IF(OR(F270="",AP270=""),"",IF(COUNT(AI270:AO270)=0,"",AP270-LOOKUP(2,1/(AI270:AO270&lt;&gt;""),AI270:AO270)))</t>
        </is>
      </c>
      <c r="BD270" s="39" t="inlineStr">
        <is>
          <t>IF(OR(F270="",AQ270=""),"",IF(COUNT(AI270:AP270)=0,"",AQ270-LOOKUP(2,1/(AI270:AP270&lt;&gt;""),AI270:AP270)))</t>
        </is>
      </c>
      <c r="BE270" s="39" t="inlineStr">
        <is>
          <t>IF(OR(F270="",AR270=""),"",IF(COUNT(AI270:AQ270)=0,"",AR270-LOOKUP(2,1/(AI270:AQ270&lt;&gt;""),AI270:AQ270)))</t>
        </is>
      </c>
      <c r="BF270" s="39" t="inlineStr">
        <is>
          <t>IF(OR(F270="",AS270=""),"",IF(COUNT(AI270:AR270)=0,"",AS270-LOOKUP(2,1/(AI270:AR270&lt;&gt;""),AI270:AR270)))</t>
        </is>
      </c>
      <c r="BG270" s="39" t="inlineStr">
        <is>
          <t>IF(OR(F270="",AT270=""),"",IF(COUNT(AI270:AS270)=0,"",AT270-LOOKUP(2,1/(AI270:AS270&lt;&gt;""),AI270:AS270)))</t>
        </is>
      </c>
      <c r="BH270" s="39" t="inlineStr">
        <is>
          <t>IF(OR(F270="",AU270=""),"",IF(COUNT(AI270:AT270)=0,"",AU270-LOOKUP(2,1/(AI270:AT270&lt;&gt;""),AI270:AT270)))</t>
        </is>
      </c>
      <c r="BI270" s="39" t="inlineStr">
        <is>
          <t>IF(OR(F270="",AV270=""),"",IF(COUNT(AI270:AU270)=0,"",AV270-LOOKUP(2,1/(AI270:AU270&lt;&gt;""),AI270:AU270)))</t>
        </is>
      </c>
      <c r="BJ270" s="41" t="inlineStr">
        <is>
          <t>IF(J270="","All_Provinces",IFERROR(VLOOKUP(J270,'09_Lookups'!$A$4:$B$20,2,FALSE),"All_Provinces"))</t>
        </is>
      </c>
      <c r="BK270" s="41" t="inlineStr">
        <is>
          <t>IF(K270="","All_Districts",IFERROR(VLOOKUP(K270,'09_Lookups'!$E$4:$F$42,2,FALSE),"All_Districts"))</t>
        </is>
      </c>
    </row>
    <row r="271" outlineLevel="1" ht="18" customHeight="1">
      <c r="A271" s="42" t="inlineStr">
        <is>
          <t>IF(F271="","",ROW()-3)</t>
        </is>
      </c>
      <c r="B271" s="61" t="inlineStr">
        <is>
          <t>AF2-WSM-05</t>
        </is>
      </c>
      <c r="C271" s="61" t="inlineStr">
        <is>
          <t>Package #5-AF2 WSM/Part-2: Construction of 4 Check dams of 1.Farman Khil and 2.Kharoti in Qarghaee district of Laghman province; 3. Lokhy Solozi and 4. Lala Kali in Chaparhar districts of Nangarhar province.</t>
        </is>
      </c>
      <c r="D271" s="61" t="inlineStr">
        <is>
          <t>2 of 4</t>
        </is>
      </c>
      <c r="E271" s="44" t="inlineStr">
        <is>
          <t>AF2-WSM-A-008</t>
        </is>
      </c>
      <c r="F271" s="44" t="inlineStr">
        <is>
          <t>2. Kharoti Check dam</t>
        </is>
      </c>
      <c r="G271" s="44" t="inlineStr">
        <is>
          <t>Watershed Management</t>
        </is>
      </c>
      <c r="H271" s="44" t="inlineStr">
        <is>
          <t>Check Dam</t>
        </is>
      </c>
      <c r="I271" s="44" t="inlineStr">
        <is>
          <t>Emergency Food Security Project (EFSP) – WBK/AF-2</t>
        </is>
      </c>
      <c r="J271" s="44" t="inlineStr">
        <is>
          <t>East / Jalalabad</t>
        </is>
      </c>
      <c r="K271" s="44" t="inlineStr">
        <is>
          <t>Laghman</t>
        </is>
      </c>
      <c r="L271" s="44" t="inlineStr">
        <is>
          <t>Qarghaee</t>
        </is>
      </c>
      <c r="M271" s="44" t="inlineStr">
        <is>
          <t>Kharoti</t>
        </is>
      </c>
      <c r="N271" s="44" t="inlineStr">
        <is>
          <t>World Bank (WBK/AF-2)</t>
        </is>
      </c>
      <c r="O271" s="44" t="inlineStr">
        <is>
          <t>Awarded</t>
        </is>
      </c>
      <c r="P271" s="44" t="inlineStr">
        <is>
          <t>3.WSM awarded contracts</t>
        </is>
      </c>
      <c r="Q271" s="44" t="inlineStr">
        <is>
          <t>Khaliqi Building &amp; Road Construction Company (KBRCC)</t>
        </is>
      </c>
      <c r="R271" s="44" t="inlineStr">
        <is>
          <t>040/2026</t>
        </is>
      </c>
      <c r="S271" s="45" t="n">
        <v>24682.65</v>
      </c>
      <c r="T271" s="46" t="inlineStr">
        <is>
          <t>IF(AQ271="","",AQ271)</t>
        </is>
      </c>
      <c r="U271" s="47" t="n"/>
      <c r="V271" s="48" t="n">
        <v>5</v>
      </c>
      <c r="W271" s="47" t="n">
        <v>46324</v>
      </c>
      <c r="X271" s="46" t="inlineStr">
        <is>
          <t>IF(W271&lt;&gt;"",W271,IF(OR(T271="",V271=""),"",EDATE(T271,V271)))</t>
        </is>
      </c>
      <c r="Y271" s="47" t="n"/>
      <c r="Z271" s="48" t="n">
        <v>68</v>
      </c>
      <c r="AA271" s="44" t="inlineStr">
        <is>
          <t>Under Construction</t>
        </is>
      </c>
      <c r="AB271" s="44" t="inlineStr">
        <is>
          <t>A check dam, a pond and a social structure. Contract extension needs to be sought.</t>
        </is>
      </c>
      <c r="AC271" s="42" t="inlineStr">
        <is>
          <t>IF(F271="","",IF(COUNT(AI271:AV271)=0,IF(AA271="","Not started",AA271),SUBSTITUTE(LOOKUP(2,1/(AI271:AV271&lt;&gt;""),$AI$3:$AV$3),"Date: ","")))</t>
        </is>
      </c>
      <c r="AD271" s="49" t="inlineStr">
        <is>
          <t>IF(OR(F271="",COUNT(AI271:AV271)=0),"",TODAY()-LOOKUP(2,1/(AI271:AV271&lt;&gt;""),AI271:AV271))</t>
        </is>
      </c>
      <c r="AE271" s="49" t="inlineStr">
        <is>
          <t>IF(OR(F271="",COUNT(AI271:AV271)&lt;2),"",LOOKUP(2,1/(AI271:AV271&lt;&gt;""),AI271:AV271)-MIN(AI271:AV271))</t>
        </is>
      </c>
      <c r="AF271" s="49" t="inlineStr">
        <is>
          <t>IF(OR(AD271="",AC271="Not started",AC271=""),"",IFERROR(AD271-IF(VLOOKUP(AC271,'06_Status_Pipeline'!$B$3:$E$20,4,FALSE)="",0,VLOOKUP(AC271,'06_Status_Pipeline'!$B$3:$E$20,4,FALSE)),""))</t>
        </is>
      </c>
      <c r="AG271" s="42" t="inlineStr">
        <is>
          <t>IF(F271="","",IF(OR(AA271="Cancelled",AC271="Cancelled"),"Cancelled",IF(OR(AC271="Completed / Handover",Y271&lt;&gt;"",Z271&gt;=100),"Completed — on track",IF(O271="Not awarded",IF(U271="",IF(X271="","No planned date",IF(TODAY()&gt;X271,"Behind — past planned date",IF(X271-TODAY()&lt;=30,"At risk — close to off track","On track"))),IF(TODAY()&gt;U271,"Behind — award date passed",IF(U271-TODAY()&lt;=30,"At risk — close to off track","On track"))),IF(X271="","No planned date",IF(AND(TODAY()&gt;X271,OR(Z271="",Z271&lt;100)),"Behind — past end date",IF(AND(T271&lt;&gt;"",X271&lt;&gt;"",Z271&lt;&gt;"",(Z271&lt;100),((TODAY()-T271)/MAX(X271-T271,1)*100)-Z271&gt;15),"Behind — progress lag",IF(AND(X271-TODAY()&lt;=30,X271-TODAY()&gt;=0,OR(Z271="",Z271&lt;90)),"At risk — close to off track","On track"))))))))</t>
        </is>
      </c>
      <c r="AH271" s="49" t="inlineStr">
        <is>
          <t>IF(OR(F271="",AC271="Completed / Handover",AC271="Cancelled"),"",IF(O271="Not awarded",IF(U271&lt;&gt;"",U271-TODAY(),IF(X271="","",X271-TODAY())),IF(X271="","",X271-TODAY())))</t>
        </is>
      </c>
      <c r="AI271" s="67" t="n"/>
      <c r="AJ271" s="67" t="n"/>
      <c r="AK271" s="67" t="n"/>
      <c r="AL271" s="67" t="n"/>
      <c r="AM271" s="67" t="n"/>
      <c r="AN271" s="67" t="n"/>
      <c r="AO271" s="67" t="n"/>
      <c r="AP271" s="67" t="n"/>
      <c r="AQ271" s="67" t="n">
        <v>46172</v>
      </c>
      <c r="AR271" s="67" t="n">
        <v>46172</v>
      </c>
      <c r="AS271" s="67" t="n"/>
      <c r="AT271" s="50" t="n"/>
      <c r="AU271" s="50" t="n"/>
      <c r="AV271" s="50" t="n"/>
      <c r="AW271" s="49" t="inlineStr">
        <is>
          <t>IF(OR(F271="",AJ271=""),"",IF(COUNT(AI271:AI271)=0,"",AJ271-LOOKUP(2,1/(AI271:AI271&lt;&gt;""),AI271:AI271)))</t>
        </is>
      </c>
      <c r="AX271" s="49" t="inlineStr">
        <is>
          <t>IF(OR(F271="",AK271=""),"",IF(COUNT(AI271:AJ271)=0,"",AK271-LOOKUP(2,1/(AI271:AJ271&lt;&gt;""),AI271:AJ271)))</t>
        </is>
      </c>
      <c r="AY271" s="49" t="inlineStr">
        <is>
          <t>IF(OR(F271="",AL271=""),"",IF(COUNT(AI271:AK271)=0,"",AL271-LOOKUP(2,1/(AI271:AK271&lt;&gt;""),AI271:AK271)))</t>
        </is>
      </c>
      <c r="AZ271" s="49" t="inlineStr">
        <is>
          <t>IF(OR(F271="",AM271=""),"",IF(COUNT(AI271:AL271)=0,"",AM271-LOOKUP(2,1/(AI271:AL271&lt;&gt;""),AI271:AL271)))</t>
        </is>
      </c>
      <c r="BA271" s="49" t="inlineStr">
        <is>
          <t>IF(OR(F271="",AN271=""),"",IF(COUNT(AI271:AM271)=0,"",AN271-LOOKUP(2,1/(AI271:AM271&lt;&gt;""),AI271:AM271)))</t>
        </is>
      </c>
      <c r="BB271" s="49" t="inlineStr">
        <is>
          <t>IF(OR(F271="",AO271=""),"",IF(COUNT(AI271:AN271)=0,"",AO271-LOOKUP(2,1/(AI271:AN271&lt;&gt;""),AI271:AN271)))</t>
        </is>
      </c>
      <c r="BC271" s="49" t="inlineStr">
        <is>
          <t>IF(OR(F271="",AP271=""),"",IF(COUNT(AI271:AO271)=0,"",AP271-LOOKUP(2,1/(AI271:AO271&lt;&gt;""),AI271:AO271)))</t>
        </is>
      </c>
      <c r="BD271" s="49" t="inlineStr">
        <is>
          <t>IF(OR(F271="",AQ271=""),"",IF(COUNT(AI271:AP271)=0,"",AQ271-LOOKUP(2,1/(AI271:AP271&lt;&gt;""),AI271:AP271)))</t>
        </is>
      </c>
      <c r="BE271" s="49" t="inlineStr">
        <is>
          <t>IF(OR(F271="",AR271=""),"",IF(COUNT(AI271:AQ271)=0,"",AR271-LOOKUP(2,1/(AI271:AQ271&lt;&gt;""),AI271:AQ271)))</t>
        </is>
      </c>
      <c r="BF271" s="49" t="inlineStr">
        <is>
          <t>IF(OR(F271="",AS271=""),"",IF(COUNT(AI271:AR271)=0,"",AS271-LOOKUP(2,1/(AI271:AR271&lt;&gt;""),AI271:AR271)))</t>
        </is>
      </c>
      <c r="BG271" s="49" t="inlineStr">
        <is>
          <t>IF(OR(F271="",AT271=""),"",IF(COUNT(AI271:AS271)=0,"",AT271-LOOKUP(2,1/(AI271:AS271&lt;&gt;""),AI271:AS271)))</t>
        </is>
      </c>
      <c r="BH271" s="49" t="inlineStr">
        <is>
          <t>IF(OR(F271="",AU271=""),"",IF(COUNT(AI271:AT271)=0,"",AU271-LOOKUP(2,1/(AI271:AT271&lt;&gt;""),AI271:AT271)))</t>
        </is>
      </c>
      <c r="BI271" s="49" t="inlineStr">
        <is>
          <t>IF(OR(F271="",AV271=""),"",IF(COUNT(AI271:AU271)=0,"",AV271-LOOKUP(2,1/(AI271:AU271&lt;&gt;""),AI271:AU271)))</t>
        </is>
      </c>
      <c r="BJ271" s="51" t="inlineStr">
        <is>
          <t>IF(J271="","All_Provinces",IFERROR(VLOOKUP(J271,'09_Lookups'!$A$4:$B$20,2,FALSE),"All_Provinces"))</t>
        </is>
      </c>
      <c r="BK271" s="51" t="inlineStr">
        <is>
          <t>IF(K271="","All_Districts",IFERROR(VLOOKUP(K271,'09_Lookups'!$E$4:$F$42,2,FALSE),"All_Districts"))</t>
        </is>
      </c>
    </row>
    <row r="272" outlineLevel="1" ht="18" customHeight="1">
      <c r="A272" s="42" t="inlineStr">
        <is>
          <t>IF(F272="","",ROW()-3)</t>
        </is>
      </c>
      <c r="B272" s="61" t="inlineStr">
        <is>
          <t>AF2-WSM-05</t>
        </is>
      </c>
      <c r="C272" s="61" t="inlineStr">
        <is>
          <t>Package #5-AF2 WSM/Part-2: Construction of 4 Check dams of 1.Farman Khil and 2.Kharoti in Qarghaee district of Laghman province; 3. Lokhy Solozi and 4. Lala Kali in Chaparhar districts of Nangarhar province.</t>
        </is>
      </c>
      <c r="D272" s="61" t="inlineStr">
        <is>
          <t>3 of 4</t>
        </is>
      </c>
      <c r="E272" s="52" t="inlineStr">
        <is>
          <t>AF2-WSM-A-009</t>
        </is>
      </c>
      <c r="F272" s="52" t="inlineStr">
        <is>
          <t>3. Lokhy Solozi Check dam</t>
        </is>
      </c>
      <c r="G272" s="52" t="inlineStr">
        <is>
          <t>Watershed Management</t>
        </is>
      </c>
      <c r="H272" s="52" t="inlineStr">
        <is>
          <t>Check Dam</t>
        </is>
      </c>
      <c r="I272" s="52" t="inlineStr">
        <is>
          <t>Emergency Food Security Project (EFSP) – WBK/AF-2</t>
        </is>
      </c>
      <c r="J272" s="52" t="inlineStr">
        <is>
          <t>East / Jalalabad</t>
        </is>
      </c>
      <c r="K272" s="52" t="inlineStr">
        <is>
          <t>Nangarhar</t>
        </is>
      </c>
      <c r="L272" s="52" t="inlineStr">
        <is>
          <t>Chaparhar</t>
        </is>
      </c>
      <c r="M272" s="52" t="inlineStr">
        <is>
          <t>Lokhy Solozi</t>
        </is>
      </c>
      <c r="N272" s="52" t="inlineStr">
        <is>
          <t>World Bank (WBK/AF-2)</t>
        </is>
      </c>
      <c r="O272" s="52" t="inlineStr">
        <is>
          <t>Awarded</t>
        </is>
      </c>
      <c r="P272" s="52" t="inlineStr">
        <is>
          <t>3.WSM awarded contracts</t>
        </is>
      </c>
      <c r="Q272" s="52" t="inlineStr">
        <is>
          <t>Khaliqi Building &amp; Road Construction Company (KBRCC)</t>
        </is>
      </c>
      <c r="R272" s="52" t="inlineStr">
        <is>
          <t>040/2026</t>
        </is>
      </c>
      <c r="S272" s="53" t="n">
        <v>38189.61</v>
      </c>
      <c r="T272" s="46" t="inlineStr">
        <is>
          <t>IF(AQ272="","",AQ272)</t>
        </is>
      </c>
      <c r="U272" s="54" t="n"/>
      <c r="V272" s="55" t="n">
        <v>5</v>
      </c>
      <c r="W272" s="54" t="n">
        <v>46324</v>
      </c>
      <c r="X272" s="46" t="inlineStr">
        <is>
          <t>IF(W272&lt;&gt;"",W272,IF(OR(T272="",V272=""),"",EDATE(T272,V272)))</t>
        </is>
      </c>
      <c r="Y272" s="54" t="n"/>
      <c r="Z272" s="55" t="n">
        <v>60</v>
      </c>
      <c r="AA272" s="52" t="inlineStr">
        <is>
          <t>Under Construction</t>
        </is>
      </c>
      <c r="AB272" s="52" t="inlineStr">
        <is>
          <t>A check dam, a pond and a social structure. Contract extension needs to be sought.</t>
        </is>
      </c>
      <c r="AC272" s="42" t="inlineStr">
        <is>
          <t>IF(F272="","",IF(COUNT(AI272:AV272)=0,IF(AA272="","Not started",AA272),SUBSTITUTE(LOOKUP(2,1/(AI272:AV272&lt;&gt;""),$AI$3:$AV$3),"Date: ","")))</t>
        </is>
      </c>
      <c r="AD272" s="49" t="inlineStr">
        <is>
          <t>IF(OR(F272="",COUNT(AI272:AV272)=0),"",TODAY()-LOOKUP(2,1/(AI272:AV272&lt;&gt;""),AI272:AV272))</t>
        </is>
      </c>
      <c r="AE272" s="49" t="inlineStr">
        <is>
          <t>IF(OR(F272="",COUNT(AI272:AV272)&lt;2),"",LOOKUP(2,1/(AI272:AV272&lt;&gt;""),AI272:AV272)-MIN(AI272:AV272))</t>
        </is>
      </c>
      <c r="AF272" s="49" t="inlineStr">
        <is>
          <t>IF(OR(AD272="",AC272="Not started",AC272=""),"",IFERROR(AD272-IF(VLOOKUP(AC272,'06_Status_Pipeline'!$B$3:$E$20,4,FALSE)="",0,VLOOKUP(AC272,'06_Status_Pipeline'!$B$3:$E$20,4,FALSE)),""))</t>
        </is>
      </c>
      <c r="AG272" s="42" t="inlineStr">
        <is>
          <t>IF(F272="","",IF(OR(AA272="Cancelled",AC272="Cancelled"),"Cancelled",IF(OR(AC272="Completed / Handover",Y272&lt;&gt;"",Z272&gt;=100),"Completed — on track",IF(O272="Not awarded",IF(U272="",IF(X272="","No planned date",IF(TODAY()&gt;X272,"Behind — past planned date",IF(X272-TODAY()&lt;=30,"At risk — close to off track","On track"))),IF(TODAY()&gt;U272,"Behind — award date passed",IF(U272-TODAY()&lt;=30,"At risk — close to off track","On track"))),IF(X272="","No planned date",IF(AND(TODAY()&gt;X272,OR(Z272="",Z272&lt;100)),"Behind — past end date",IF(AND(T272&lt;&gt;"",X272&lt;&gt;"",Z272&lt;&gt;"",(Z272&lt;100),((TODAY()-T272)/MAX(X272-T272,1)*100)-Z272&gt;15),"Behind — progress lag",IF(AND(X272-TODAY()&lt;=30,X272-TODAY()&gt;=0,OR(Z272="",Z272&lt;90)),"At risk — close to off track","On track"))))))))</t>
        </is>
      </c>
      <c r="AH272" s="49" t="inlineStr">
        <is>
          <t>IF(OR(F272="",AC272="Completed / Handover",AC272="Cancelled"),"",IF(O272="Not awarded",IF(U272&lt;&gt;"",U272-TODAY(),IF(X272="","",X272-TODAY())),IF(X272="","",X272-TODAY())))</t>
        </is>
      </c>
      <c r="AI272" s="67" t="n"/>
      <c r="AJ272" s="67" t="n"/>
      <c r="AK272" s="67" t="n"/>
      <c r="AL272" s="67" t="n"/>
      <c r="AM272" s="67" t="n"/>
      <c r="AN272" s="67" t="n"/>
      <c r="AO272" s="67" t="n"/>
      <c r="AP272" s="67" t="n"/>
      <c r="AQ272" s="67" t="n">
        <v>46172</v>
      </c>
      <c r="AR272" s="67" t="n">
        <v>46172</v>
      </c>
      <c r="AS272" s="67" t="n"/>
      <c r="AT272" s="50" t="n"/>
      <c r="AU272" s="50" t="n"/>
      <c r="AV272" s="50" t="n"/>
      <c r="AW272" s="49" t="inlineStr">
        <is>
          <t>IF(OR(F272="",AJ272=""),"",IF(COUNT(AI272:AI272)=0,"",AJ272-LOOKUP(2,1/(AI272:AI272&lt;&gt;""),AI272:AI272)))</t>
        </is>
      </c>
      <c r="AX272" s="49" t="inlineStr">
        <is>
          <t>IF(OR(F272="",AK272=""),"",IF(COUNT(AI272:AJ272)=0,"",AK272-LOOKUP(2,1/(AI272:AJ272&lt;&gt;""),AI272:AJ272)))</t>
        </is>
      </c>
      <c r="AY272" s="49" t="inlineStr">
        <is>
          <t>IF(OR(F272="",AL272=""),"",IF(COUNT(AI272:AK272)=0,"",AL272-LOOKUP(2,1/(AI272:AK272&lt;&gt;""),AI272:AK272)))</t>
        </is>
      </c>
      <c r="AZ272" s="49" t="inlineStr">
        <is>
          <t>IF(OR(F272="",AM272=""),"",IF(COUNT(AI272:AL272)=0,"",AM272-LOOKUP(2,1/(AI272:AL272&lt;&gt;""),AI272:AL272)))</t>
        </is>
      </c>
      <c r="BA272" s="49" t="inlineStr">
        <is>
          <t>IF(OR(F272="",AN272=""),"",IF(COUNT(AI272:AM272)=0,"",AN272-LOOKUP(2,1/(AI272:AM272&lt;&gt;""),AI272:AM272)))</t>
        </is>
      </c>
      <c r="BB272" s="49" t="inlineStr">
        <is>
          <t>IF(OR(F272="",AO272=""),"",IF(COUNT(AI272:AN272)=0,"",AO272-LOOKUP(2,1/(AI272:AN272&lt;&gt;""),AI272:AN272)))</t>
        </is>
      </c>
      <c r="BC272" s="49" t="inlineStr">
        <is>
          <t>IF(OR(F272="",AP272=""),"",IF(COUNT(AI272:AO272)=0,"",AP272-LOOKUP(2,1/(AI272:AO272&lt;&gt;""),AI272:AO272)))</t>
        </is>
      </c>
      <c r="BD272" s="49" t="inlineStr">
        <is>
          <t>IF(OR(F272="",AQ272=""),"",IF(COUNT(AI272:AP272)=0,"",AQ272-LOOKUP(2,1/(AI272:AP272&lt;&gt;""),AI272:AP272)))</t>
        </is>
      </c>
      <c r="BE272" s="49" t="inlineStr">
        <is>
          <t>IF(OR(F272="",AR272=""),"",IF(COUNT(AI272:AQ272)=0,"",AR272-LOOKUP(2,1/(AI272:AQ272&lt;&gt;""),AI272:AQ272)))</t>
        </is>
      </c>
      <c r="BF272" s="49" t="inlineStr">
        <is>
          <t>IF(OR(F272="",AS272=""),"",IF(COUNT(AI272:AR272)=0,"",AS272-LOOKUP(2,1/(AI272:AR272&lt;&gt;""),AI272:AR272)))</t>
        </is>
      </c>
      <c r="BG272" s="49" t="inlineStr">
        <is>
          <t>IF(OR(F272="",AT272=""),"",IF(COUNT(AI272:AS272)=0,"",AT272-LOOKUP(2,1/(AI272:AS272&lt;&gt;""),AI272:AS272)))</t>
        </is>
      </c>
      <c r="BH272" s="49" t="inlineStr">
        <is>
          <t>IF(OR(F272="",AU272=""),"",IF(COUNT(AI272:AT272)=0,"",AU272-LOOKUP(2,1/(AI272:AT272&lt;&gt;""),AI272:AT272)))</t>
        </is>
      </c>
      <c r="BI272" s="49" t="inlineStr">
        <is>
          <t>IF(OR(F272="",AV272=""),"",IF(COUNT(AI272:AU272)=0,"",AV272-LOOKUP(2,1/(AI272:AU272&lt;&gt;""),AI272:AU272)))</t>
        </is>
      </c>
      <c r="BJ272" s="51" t="inlineStr">
        <is>
          <t>IF(J272="","All_Provinces",IFERROR(VLOOKUP(J272,'09_Lookups'!$A$4:$B$20,2,FALSE),"All_Provinces"))</t>
        </is>
      </c>
      <c r="BK272" s="51" t="inlineStr">
        <is>
          <t>IF(K272="","All_Districts",IFERROR(VLOOKUP(K272,'09_Lookups'!$E$4:$F$42,2,FALSE),"All_Districts"))</t>
        </is>
      </c>
    </row>
    <row r="273" outlineLevel="1" ht="18" customHeight="1">
      <c r="A273" s="42" t="inlineStr">
        <is>
          <t>IF(F273="","",ROW()-3)</t>
        </is>
      </c>
      <c r="B273" s="61" t="inlineStr">
        <is>
          <t>AF2-WSM-05</t>
        </is>
      </c>
      <c r="C273" s="61" t="inlineStr">
        <is>
          <t>Package #5-AF2 WSM/Part-2: Construction of 4 Check dams of 1.Farman Khil and 2.Kharoti in Qarghaee district of Laghman province; 3. Lokhy Solozi and 4. Lala Kali in Chaparhar districts of Nangarhar province.</t>
        </is>
      </c>
      <c r="D273" s="61" t="inlineStr">
        <is>
          <t>4 of 4</t>
        </is>
      </c>
      <c r="E273" s="44" t="inlineStr">
        <is>
          <t>AF2-WSM-A-010</t>
        </is>
      </c>
      <c r="F273" s="44" t="inlineStr">
        <is>
          <t>4. Lala Kali/Ranju Ghar Check dam</t>
        </is>
      </c>
      <c r="G273" s="44" t="inlineStr">
        <is>
          <t>Watershed Management</t>
        </is>
      </c>
      <c r="H273" s="44" t="inlineStr">
        <is>
          <t>Check Dam</t>
        </is>
      </c>
      <c r="I273" s="44" t="inlineStr">
        <is>
          <t>Emergency Food Security Project (EFSP) – WBK/AF-2</t>
        </is>
      </c>
      <c r="J273" s="44" t="inlineStr">
        <is>
          <t>East / Jalalabad</t>
        </is>
      </c>
      <c r="K273" s="44" t="inlineStr">
        <is>
          <t>Nangarhar</t>
        </is>
      </c>
      <c r="L273" s="44" t="inlineStr">
        <is>
          <t>Chaparhar</t>
        </is>
      </c>
      <c r="M273" s="44" t="inlineStr">
        <is>
          <t>Lala Kali/Ranjo ghar</t>
        </is>
      </c>
      <c r="N273" s="44" t="inlineStr">
        <is>
          <t>World Bank (WBK/AF-2)</t>
        </is>
      </c>
      <c r="O273" s="44" t="inlineStr">
        <is>
          <t>Awarded</t>
        </is>
      </c>
      <c r="P273" s="44" t="inlineStr">
        <is>
          <t>3.WSM awarded contracts</t>
        </is>
      </c>
      <c r="Q273" s="44" t="inlineStr">
        <is>
          <t>Khaliqi Building &amp; Road Construction Company (KBRCC)</t>
        </is>
      </c>
      <c r="R273" s="44" t="inlineStr">
        <is>
          <t>040/2026</t>
        </is>
      </c>
      <c r="S273" s="45" t="n">
        <v>17344.51</v>
      </c>
      <c r="T273" s="46" t="inlineStr">
        <is>
          <t>IF(AQ273="","",AQ273)</t>
        </is>
      </c>
      <c r="U273" s="47" t="n"/>
      <c r="V273" s="48" t="n">
        <v>5</v>
      </c>
      <c r="W273" s="47" t="n">
        <v>46324</v>
      </c>
      <c r="X273" s="46" t="inlineStr">
        <is>
          <t>IF(W273&lt;&gt;"",W273,IF(OR(T273="",V273=""),"",EDATE(T273,V273)))</t>
        </is>
      </c>
      <c r="Y273" s="47" t="n"/>
      <c r="Z273" s="48" t="n">
        <v>0</v>
      </c>
      <c r="AA273" s="44" t="inlineStr">
        <is>
          <t>Awarded</t>
        </is>
      </c>
      <c r="AB273" s="44" t="inlineStr">
        <is>
          <t>A check dam, a pond and a social structure. Contract extension needs to be sought.</t>
        </is>
      </c>
      <c r="AC273" s="42" t="inlineStr">
        <is>
          <t>IF(F273="","",IF(COUNT(AI273:AV273)=0,IF(AA273="","Not started",AA273),SUBSTITUTE(LOOKUP(2,1/(AI273:AV273&lt;&gt;""),$AI$3:$AV$3),"Date: ","")))</t>
        </is>
      </c>
      <c r="AD273" s="49" t="inlineStr">
        <is>
          <t>IF(OR(F273="",COUNT(AI273:AV273)=0),"",TODAY()-LOOKUP(2,1/(AI273:AV273&lt;&gt;""),AI273:AV273))</t>
        </is>
      </c>
      <c r="AE273" s="49" t="inlineStr">
        <is>
          <t>IF(OR(F273="",COUNT(AI273:AV273)&lt;2),"",LOOKUP(2,1/(AI273:AV273&lt;&gt;""),AI273:AV273)-MIN(AI273:AV273))</t>
        </is>
      </c>
      <c r="AF273" s="49" t="inlineStr">
        <is>
          <t>IF(OR(AD273="",AC273="Not started",AC273=""),"",IFERROR(AD273-IF(VLOOKUP(AC273,'06_Status_Pipeline'!$B$3:$E$20,4,FALSE)="",0,VLOOKUP(AC273,'06_Status_Pipeline'!$B$3:$E$20,4,FALSE)),""))</t>
        </is>
      </c>
      <c r="AG273" s="42" t="inlineStr">
        <is>
          <t>IF(F273="","",IF(OR(AA273="Cancelled",AC273="Cancelled"),"Cancelled",IF(OR(AC273="Completed / Handover",Y273&lt;&gt;"",Z273&gt;=100),"Completed — on track",IF(O273="Not awarded",IF(U273="",IF(X273="","No planned date",IF(TODAY()&gt;X273,"Behind — past planned date",IF(X273-TODAY()&lt;=30,"At risk — close to off track","On track"))),IF(TODAY()&gt;U273,"Behind — award date passed",IF(U273-TODAY()&lt;=30,"At risk — close to off track","On track"))),IF(X273="","No planned date",IF(AND(TODAY()&gt;X273,OR(Z273="",Z273&lt;100)),"Behind — past end date",IF(AND(T273&lt;&gt;"",X273&lt;&gt;"",Z273&lt;&gt;"",(Z273&lt;100),((TODAY()-T273)/MAX(X273-T273,1)*100)-Z273&gt;15),"Behind — progress lag",IF(AND(X273-TODAY()&lt;=30,X273-TODAY()&gt;=0,OR(Z273="",Z273&lt;90)),"At risk — close to off track","On track"))))))))</t>
        </is>
      </c>
      <c r="AH273" s="49" t="inlineStr">
        <is>
          <t>IF(OR(F273="",AC273="Completed / Handover",AC273="Cancelled"),"",IF(O273="Not awarded",IF(U273&lt;&gt;"",U273-TODAY(),IF(X273="","",X273-TODAY())),IF(X273="","",X273-TODAY())))</t>
        </is>
      </c>
      <c r="AI273" s="67" t="n"/>
      <c r="AJ273" s="67" t="n"/>
      <c r="AK273" s="67" t="n"/>
      <c r="AL273" s="67" t="n"/>
      <c r="AM273" s="67" t="n"/>
      <c r="AN273" s="67" t="n"/>
      <c r="AO273" s="67" t="n"/>
      <c r="AP273" s="67" t="n"/>
      <c r="AQ273" s="67" t="n">
        <v>46172</v>
      </c>
      <c r="AR273" s="67" t="n"/>
      <c r="AS273" s="67" t="n"/>
      <c r="AT273" s="50" t="n"/>
      <c r="AU273" s="50" t="n"/>
      <c r="AV273" s="50" t="n"/>
      <c r="AW273" s="49" t="inlineStr">
        <is>
          <t>IF(OR(F273="",AJ273=""),"",IF(COUNT(AI273:AI273)=0,"",AJ273-LOOKUP(2,1/(AI273:AI273&lt;&gt;""),AI273:AI273)))</t>
        </is>
      </c>
      <c r="AX273" s="49" t="inlineStr">
        <is>
          <t>IF(OR(F273="",AK273=""),"",IF(COUNT(AI273:AJ273)=0,"",AK273-LOOKUP(2,1/(AI273:AJ273&lt;&gt;""),AI273:AJ273)))</t>
        </is>
      </c>
      <c r="AY273" s="49" t="inlineStr">
        <is>
          <t>IF(OR(F273="",AL273=""),"",IF(COUNT(AI273:AK273)=0,"",AL273-LOOKUP(2,1/(AI273:AK273&lt;&gt;""),AI273:AK273)))</t>
        </is>
      </c>
      <c r="AZ273" s="49" t="inlineStr">
        <is>
          <t>IF(OR(F273="",AM273=""),"",IF(COUNT(AI273:AL273)=0,"",AM273-LOOKUP(2,1/(AI273:AL273&lt;&gt;""),AI273:AL273)))</t>
        </is>
      </c>
      <c r="BA273" s="49" t="inlineStr">
        <is>
          <t>IF(OR(F273="",AN273=""),"",IF(COUNT(AI273:AM273)=0,"",AN273-LOOKUP(2,1/(AI273:AM273&lt;&gt;""),AI273:AM273)))</t>
        </is>
      </c>
      <c r="BB273" s="49" t="inlineStr">
        <is>
          <t>IF(OR(F273="",AO273=""),"",IF(COUNT(AI273:AN273)=0,"",AO273-LOOKUP(2,1/(AI273:AN273&lt;&gt;""),AI273:AN273)))</t>
        </is>
      </c>
      <c r="BC273" s="49" t="inlineStr">
        <is>
          <t>IF(OR(F273="",AP273=""),"",IF(COUNT(AI273:AO273)=0,"",AP273-LOOKUP(2,1/(AI273:AO273&lt;&gt;""),AI273:AO273)))</t>
        </is>
      </c>
      <c r="BD273" s="49" t="inlineStr">
        <is>
          <t>IF(OR(F273="",AQ273=""),"",IF(COUNT(AI273:AP273)=0,"",AQ273-LOOKUP(2,1/(AI273:AP273&lt;&gt;""),AI273:AP273)))</t>
        </is>
      </c>
      <c r="BE273" s="49" t="inlineStr">
        <is>
          <t>IF(OR(F273="",AR273=""),"",IF(COUNT(AI273:AQ273)=0,"",AR273-LOOKUP(2,1/(AI273:AQ273&lt;&gt;""),AI273:AQ273)))</t>
        </is>
      </c>
      <c r="BF273" s="49" t="inlineStr">
        <is>
          <t>IF(OR(F273="",AS273=""),"",IF(COUNT(AI273:AR273)=0,"",AS273-LOOKUP(2,1/(AI273:AR273&lt;&gt;""),AI273:AR273)))</t>
        </is>
      </c>
      <c r="BG273" s="49" t="inlineStr">
        <is>
          <t>IF(OR(F273="",AT273=""),"",IF(COUNT(AI273:AS273)=0,"",AT273-LOOKUP(2,1/(AI273:AS273&lt;&gt;""),AI273:AS273)))</t>
        </is>
      </c>
      <c r="BH273" s="49" t="inlineStr">
        <is>
          <t>IF(OR(F273="",AU273=""),"",IF(COUNT(AI273:AT273)=0,"",AU273-LOOKUP(2,1/(AI273:AT273&lt;&gt;""),AI273:AT273)))</t>
        </is>
      </c>
      <c r="BI273" s="49" t="inlineStr">
        <is>
          <t>IF(OR(F273="",AV273=""),"",IF(COUNT(AI273:AU273)=0,"",AV273-LOOKUP(2,1/(AI273:AU273&lt;&gt;""),AI273:AU273)))</t>
        </is>
      </c>
      <c r="BJ273" s="51" t="inlineStr">
        <is>
          <t>IF(J273="","All_Provinces",IFERROR(VLOOKUP(J273,'09_Lookups'!$A$4:$B$20,2,FALSE),"All_Provinces"))</t>
        </is>
      </c>
      <c r="BK273" s="51" t="inlineStr">
        <is>
          <t>IF(K273="","All_Districts",IFERROR(VLOOKUP(K273,'09_Lookups'!$E$4:$F$42,2,FALSE),"All_Districts"))</t>
        </is>
      </c>
    </row>
    <row r="274" ht="18" customHeight="1">
      <c r="A274" s="32" t="inlineStr">
        <is>
          <t>IF(F274="","",ROW()-3)</t>
        </is>
      </c>
      <c r="B274" s="62" t="inlineStr">
        <is>
          <t>AF2-WSM-06</t>
        </is>
      </c>
      <c r="C274" s="62" t="inlineStr">
        <is>
          <t>Package #6-AF2 WSM: Construction of Jarobi Tangi, Chaghari and Adore check dams, located in Shirzad, Rodat, and Khogyani, districts of Nangarhar province.</t>
        </is>
      </c>
      <c r="D274" s="62" t="inlineStr">
        <is>
          <t>1 of 3</t>
        </is>
      </c>
      <c r="E274" s="34" t="inlineStr">
        <is>
          <t>AF2-WSM-A-011</t>
        </is>
      </c>
      <c r="F274" s="34" t="inlineStr">
        <is>
          <t>1. Markikhil/Jarobi Tangi Check dam</t>
        </is>
      </c>
      <c r="G274" s="34" t="inlineStr">
        <is>
          <t>Watershed Management</t>
        </is>
      </c>
      <c r="H274" s="34" t="inlineStr">
        <is>
          <t>Check Dam</t>
        </is>
      </c>
      <c r="I274" s="34" t="inlineStr">
        <is>
          <t>Emergency Food Security Project (EFSP) – WBK/AF-2</t>
        </is>
      </c>
      <c r="J274" s="34" t="inlineStr">
        <is>
          <t>East / Jalalabad</t>
        </is>
      </c>
      <c r="K274" s="34" t="inlineStr">
        <is>
          <t>Nangarhar</t>
        </is>
      </c>
      <c r="L274" s="34" t="inlineStr">
        <is>
          <t>Sherzad</t>
        </is>
      </c>
      <c r="M274" s="34" t="inlineStr">
        <is>
          <t>Jarobi Tangi</t>
        </is>
      </c>
      <c r="N274" s="34" t="inlineStr">
        <is>
          <t>World Bank (WBK/AF-2)</t>
        </is>
      </c>
      <c r="O274" s="34" t="inlineStr">
        <is>
          <t>Awarded</t>
        </is>
      </c>
      <c r="P274" s="34" t="inlineStr">
        <is>
          <t>3.WSM awarded contracts</t>
        </is>
      </c>
      <c r="Q274" s="34" t="inlineStr">
        <is>
          <t>Naeemi Safi Construction &amp; Construction Material Company (NSCC)</t>
        </is>
      </c>
      <c r="R274" s="34" t="inlineStr">
        <is>
          <t>065/2026</t>
        </is>
      </c>
      <c r="S274" s="35" t="n">
        <v>51209.99</v>
      </c>
      <c r="T274" s="36" t="inlineStr">
        <is>
          <t>IF(AQ274="","",AQ274)</t>
        </is>
      </c>
      <c r="U274" s="37" t="n"/>
      <c r="V274" s="38" t="n">
        <v>6.9</v>
      </c>
      <c r="W274" s="37" t="n">
        <v>46225</v>
      </c>
      <c r="X274" s="36" t="inlineStr">
        <is>
          <t>IF(W274&lt;&gt;"",W274,IF(OR(T274="",V274=""),"",EDATE(T274,V274)))</t>
        </is>
      </c>
      <c r="Y274" s="37" t="n"/>
      <c r="Z274" s="38" t="n">
        <v>100</v>
      </c>
      <c r="AA274" s="34" t="inlineStr">
        <is>
          <t>Completed / Handover</t>
        </is>
      </c>
      <c r="AB274" s="34" t="inlineStr">
        <is>
          <t>Completed on July, 2026</t>
        </is>
      </c>
      <c r="AC274" s="32" t="inlineStr">
        <is>
          <t>IF(F274="","",IF(COUNT(AI274:AV274)=0,IF(AA274="","Not started",AA274),SUBSTITUTE(LOOKUP(2,1/(AI274:AV274&lt;&gt;""),$AI$3:$AV$3),"Date: ","")))</t>
        </is>
      </c>
      <c r="AD274" s="39" t="inlineStr">
        <is>
          <t>IF(OR(F274="",COUNT(AI274:AV274)=0),"",TODAY()-LOOKUP(2,1/(AI274:AV274&lt;&gt;""),AI274:AV274))</t>
        </is>
      </c>
      <c r="AE274" s="39" t="inlineStr">
        <is>
          <t>IF(OR(F274="",COUNT(AI274:AV274)&lt;2),"",LOOKUP(2,1/(AI274:AV274&lt;&gt;""),AI274:AV274)-MIN(AI274:AV274))</t>
        </is>
      </c>
      <c r="AF274" s="39" t="inlineStr">
        <is>
          <t>IF(OR(AD274="",AC274="Not started",AC274=""),"",IFERROR(AD274-IF(VLOOKUP(AC274,'06_Status_Pipeline'!$B$3:$E$20,4,FALSE)="",0,VLOOKUP(AC274,'06_Status_Pipeline'!$B$3:$E$20,4,FALSE)),""))</t>
        </is>
      </c>
      <c r="AG274" s="32" t="inlineStr">
        <is>
          <t>IF(F274="","",IF(OR(AA274="Cancelled",AC274="Cancelled"),"Cancelled",IF(OR(AC274="Completed / Handover",Y274&lt;&gt;"",Z274&gt;=100),"Completed — on track",IF(O274="Not awarded",IF(U274="",IF(X274="","No planned date",IF(TODAY()&gt;X274,"Behind — past planned date",IF(X274-TODAY()&lt;=30,"At risk — close to off track","On track"))),IF(TODAY()&gt;U274,"Behind — award date passed",IF(U274-TODAY()&lt;=30,"At risk — close to off track","On track"))),IF(X274="","No planned date",IF(AND(TODAY()&gt;X274,OR(Z274="",Z274&lt;100)),"Behind — past end date",IF(AND(T274&lt;&gt;"",X274&lt;&gt;"",Z274&lt;&gt;"",(Z274&lt;100),((TODAY()-T274)/MAX(X274-T274,1)*100)-Z274&gt;15),"Behind — progress lag",IF(AND(X274-TODAY()&lt;=30,X274-TODAY()&gt;=0,OR(Z274="",Z274&lt;90)),"At risk — close to off track","On track"))))))))</t>
        </is>
      </c>
      <c r="AH274" s="39" t="inlineStr">
        <is>
          <t>IF(OR(F274="",AC274="Completed / Handover",AC274="Cancelled"),"",IF(O274="Not awarded",IF(U274&lt;&gt;"",U274-TODAY(),IF(X274="","",X274-TODAY())),IF(X274="","",X274-TODAY())))</t>
        </is>
      </c>
      <c r="AI274" s="66" t="n"/>
      <c r="AJ274" s="66" t="n"/>
      <c r="AK274" s="66" t="n"/>
      <c r="AL274" s="66" t="n"/>
      <c r="AM274" s="66" t="n"/>
      <c r="AN274" s="66" t="n"/>
      <c r="AO274" s="66" t="n"/>
      <c r="AP274" s="66" t="n"/>
      <c r="AQ274" s="66" t="n">
        <v>46014</v>
      </c>
      <c r="AR274" s="66" t="n">
        <v>46014</v>
      </c>
      <c r="AS274" s="66" t="n">
        <v>46225</v>
      </c>
      <c r="AT274" s="40" t="n"/>
      <c r="AU274" s="40" t="n"/>
      <c r="AV274" s="40" t="n"/>
      <c r="AW274" s="39" t="inlineStr">
        <is>
          <t>IF(OR(F274="",AJ274=""),"",IF(COUNT(AI274:AI274)=0,"",AJ274-LOOKUP(2,1/(AI274:AI274&lt;&gt;""),AI274:AI274)))</t>
        </is>
      </c>
      <c r="AX274" s="39" t="inlineStr">
        <is>
          <t>IF(OR(F274="",AK274=""),"",IF(COUNT(AI274:AJ274)=0,"",AK274-LOOKUP(2,1/(AI274:AJ274&lt;&gt;""),AI274:AJ274)))</t>
        </is>
      </c>
      <c r="AY274" s="39" t="inlineStr">
        <is>
          <t>IF(OR(F274="",AL274=""),"",IF(COUNT(AI274:AK274)=0,"",AL274-LOOKUP(2,1/(AI274:AK274&lt;&gt;""),AI274:AK274)))</t>
        </is>
      </c>
      <c r="AZ274" s="39" t="inlineStr">
        <is>
          <t>IF(OR(F274="",AM274=""),"",IF(COUNT(AI274:AL274)=0,"",AM274-LOOKUP(2,1/(AI274:AL274&lt;&gt;""),AI274:AL274)))</t>
        </is>
      </c>
      <c r="BA274" s="39" t="inlineStr">
        <is>
          <t>IF(OR(F274="",AN274=""),"",IF(COUNT(AI274:AM274)=0,"",AN274-LOOKUP(2,1/(AI274:AM274&lt;&gt;""),AI274:AM274)))</t>
        </is>
      </c>
      <c r="BB274" s="39" t="inlineStr">
        <is>
          <t>IF(OR(F274="",AO274=""),"",IF(COUNT(AI274:AN274)=0,"",AO274-LOOKUP(2,1/(AI274:AN274&lt;&gt;""),AI274:AN274)))</t>
        </is>
      </c>
      <c r="BC274" s="39" t="inlineStr">
        <is>
          <t>IF(OR(F274="",AP274=""),"",IF(COUNT(AI274:AO274)=0,"",AP274-LOOKUP(2,1/(AI274:AO274&lt;&gt;""),AI274:AO274)))</t>
        </is>
      </c>
      <c r="BD274" s="39" t="inlineStr">
        <is>
          <t>IF(OR(F274="",AQ274=""),"",IF(COUNT(AI274:AP274)=0,"",AQ274-LOOKUP(2,1/(AI274:AP274&lt;&gt;""),AI274:AP274)))</t>
        </is>
      </c>
      <c r="BE274" s="39" t="inlineStr">
        <is>
          <t>IF(OR(F274="",AR274=""),"",IF(COUNT(AI274:AQ274)=0,"",AR274-LOOKUP(2,1/(AI274:AQ274&lt;&gt;""),AI274:AQ274)))</t>
        </is>
      </c>
      <c r="BF274" s="39" t="inlineStr">
        <is>
          <t>IF(OR(F274="",AS274=""),"",IF(COUNT(AI274:AR274)=0,"",AS274-LOOKUP(2,1/(AI274:AR274&lt;&gt;""),AI274:AR274)))</t>
        </is>
      </c>
      <c r="BG274" s="39" t="inlineStr">
        <is>
          <t>IF(OR(F274="",AT274=""),"",IF(COUNT(AI274:AS274)=0,"",AT274-LOOKUP(2,1/(AI274:AS274&lt;&gt;""),AI274:AS274)))</t>
        </is>
      </c>
      <c r="BH274" s="39" t="inlineStr">
        <is>
          <t>IF(OR(F274="",AU274=""),"",IF(COUNT(AI274:AT274)=0,"",AU274-LOOKUP(2,1/(AI274:AT274&lt;&gt;""),AI274:AT274)))</t>
        </is>
      </c>
      <c r="BI274" s="39" t="inlineStr">
        <is>
          <t>IF(OR(F274="",AV274=""),"",IF(COUNT(AI274:AU274)=0,"",AV274-LOOKUP(2,1/(AI274:AU274&lt;&gt;""),AI274:AU274)))</t>
        </is>
      </c>
      <c r="BJ274" s="41" t="inlineStr">
        <is>
          <t>IF(J274="","All_Provinces",IFERROR(VLOOKUP(J274,'09_Lookups'!$A$4:$B$20,2,FALSE),"All_Provinces"))</t>
        </is>
      </c>
      <c r="BK274" s="41" t="inlineStr">
        <is>
          <t>IF(K274="","All_Districts",IFERROR(VLOOKUP(K274,'09_Lookups'!$E$4:$F$42,2,FALSE),"All_Districts"))</t>
        </is>
      </c>
    </row>
    <row r="275" outlineLevel="1" ht="18" customHeight="1">
      <c r="A275" s="42" t="inlineStr">
        <is>
          <t>IF(F275="","",ROW()-3)</t>
        </is>
      </c>
      <c r="B275" s="63" t="inlineStr">
        <is>
          <t>AF2-WSM-06</t>
        </is>
      </c>
      <c r="C275" s="63" t="inlineStr">
        <is>
          <t>Package #6-AF2 WSM: Construction of Jarobi Tangi, Chaghari and Adore check dams, located in Shirzad, Rodat, and Khogyani, districts of Nangarhar province.</t>
        </is>
      </c>
      <c r="D275" s="63" t="inlineStr">
        <is>
          <t>2 of 3</t>
        </is>
      </c>
      <c r="E275" s="44" t="inlineStr">
        <is>
          <t>AF2-WSM-A-012</t>
        </is>
      </c>
      <c r="F275" s="44" t="inlineStr">
        <is>
          <t>2. Chaghari Check dams</t>
        </is>
      </c>
      <c r="G275" s="44" t="inlineStr">
        <is>
          <t>Watershed Management</t>
        </is>
      </c>
      <c r="H275" s="44" t="inlineStr">
        <is>
          <t>Check Dam</t>
        </is>
      </c>
      <c r="I275" s="44" t="inlineStr">
        <is>
          <t>Emergency Food Security Project (EFSP) – WBK/AF-2</t>
        </is>
      </c>
      <c r="J275" s="44" t="inlineStr">
        <is>
          <t>East / Jalalabad</t>
        </is>
      </c>
      <c r="K275" s="44" t="inlineStr">
        <is>
          <t>Nangarhar</t>
        </is>
      </c>
      <c r="L275" s="44" t="inlineStr">
        <is>
          <t>Rodat</t>
        </is>
      </c>
      <c r="M275" s="44" t="inlineStr">
        <is>
          <t>Chaghari</t>
        </is>
      </c>
      <c r="N275" s="44" t="inlineStr">
        <is>
          <t>World Bank (WBK/AF-2)</t>
        </is>
      </c>
      <c r="O275" s="44" t="inlineStr">
        <is>
          <t>Awarded</t>
        </is>
      </c>
      <c r="P275" s="44" t="inlineStr">
        <is>
          <t>3.WSM awarded contracts</t>
        </is>
      </c>
      <c r="Q275" s="44" t="inlineStr">
        <is>
          <t>Naeemi Safi Construction &amp; Construction Material Company (NSCC)</t>
        </is>
      </c>
      <c r="R275" s="44" t="inlineStr">
        <is>
          <t>065/2026</t>
        </is>
      </c>
      <c r="S275" s="45" t="n">
        <v>27989.43</v>
      </c>
      <c r="T275" s="46" t="inlineStr">
        <is>
          <t>IF(AQ275="","",AQ275)</t>
        </is>
      </c>
      <c r="U275" s="47" t="n"/>
      <c r="V275" s="48" t="n">
        <v>6.9</v>
      </c>
      <c r="W275" s="47" t="n">
        <v>46225</v>
      </c>
      <c r="X275" s="46" t="inlineStr">
        <is>
          <t>IF(W275&lt;&gt;"",W275,IF(OR(T275="",V275=""),"",EDATE(T275,V275)))</t>
        </is>
      </c>
      <c r="Y275" s="47" t="n"/>
      <c r="Z275" s="48" t="n">
        <v>100</v>
      </c>
      <c r="AA275" s="44" t="inlineStr">
        <is>
          <t>Completed / Handover</t>
        </is>
      </c>
      <c r="AB275" s="44" t="inlineStr">
        <is>
          <t>Completed on July, 2026</t>
        </is>
      </c>
      <c r="AC275" s="42" t="inlineStr">
        <is>
          <t>IF(F275="","",IF(COUNT(AI275:AV275)=0,IF(AA275="","Not started",AA275),SUBSTITUTE(LOOKUP(2,1/(AI275:AV275&lt;&gt;""),$AI$3:$AV$3),"Date: ","")))</t>
        </is>
      </c>
      <c r="AD275" s="49" t="inlineStr">
        <is>
          <t>IF(OR(F275="",COUNT(AI275:AV275)=0),"",TODAY()-LOOKUP(2,1/(AI275:AV275&lt;&gt;""),AI275:AV275))</t>
        </is>
      </c>
      <c r="AE275" s="49" t="inlineStr">
        <is>
          <t>IF(OR(F275="",COUNT(AI275:AV275)&lt;2),"",LOOKUP(2,1/(AI275:AV275&lt;&gt;""),AI275:AV275)-MIN(AI275:AV275))</t>
        </is>
      </c>
      <c r="AF275" s="49" t="inlineStr">
        <is>
          <t>IF(OR(AD275="",AC275="Not started",AC275=""),"",IFERROR(AD275-IF(VLOOKUP(AC275,'06_Status_Pipeline'!$B$3:$E$20,4,FALSE)="",0,VLOOKUP(AC275,'06_Status_Pipeline'!$B$3:$E$20,4,FALSE)),""))</t>
        </is>
      </c>
      <c r="AG275" s="42" t="inlineStr">
        <is>
          <t>IF(F275="","",IF(OR(AA275="Cancelled",AC275="Cancelled"),"Cancelled",IF(OR(AC275="Completed / Handover",Y275&lt;&gt;"",Z275&gt;=100),"Completed — on track",IF(O275="Not awarded",IF(U275="",IF(X275="","No planned date",IF(TODAY()&gt;X275,"Behind — past planned date",IF(X275-TODAY()&lt;=30,"At risk — close to off track","On track"))),IF(TODAY()&gt;U275,"Behind — award date passed",IF(U275-TODAY()&lt;=30,"At risk — close to off track","On track"))),IF(X275="","No planned date",IF(AND(TODAY()&gt;X275,OR(Z275="",Z275&lt;100)),"Behind — past end date",IF(AND(T275&lt;&gt;"",X275&lt;&gt;"",Z275&lt;&gt;"",(Z275&lt;100),((TODAY()-T275)/MAX(X275-T275,1)*100)-Z275&gt;15),"Behind — progress lag",IF(AND(X275-TODAY()&lt;=30,X275-TODAY()&gt;=0,OR(Z275="",Z275&lt;90)),"At risk — close to off track","On track"))))))))</t>
        </is>
      </c>
      <c r="AH275" s="49" t="inlineStr">
        <is>
          <t>IF(OR(F275="",AC275="Completed / Handover",AC275="Cancelled"),"",IF(O275="Not awarded",IF(U275&lt;&gt;"",U275-TODAY(),IF(X275="","",X275-TODAY())),IF(X275="","",X275-TODAY())))</t>
        </is>
      </c>
      <c r="AI275" s="67" t="n"/>
      <c r="AJ275" s="67" t="n"/>
      <c r="AK275" s="67" t="n"/>
      <c r="AL275" s="67" t="n"/>
      <c r="AM275" s="67" t="n"/>
      <c r="AN275" s="67" t="n"/>
      <c r="AO275" s="67" t="n"/>
      <c r="AP275" s="67" t="n"/>
      <c r="AQ275" s="67" t="n">
        <v>46014</v>
      </c>
      <c r="AR275" s="67" t="n">
        <v>46014</v>
      </c>
      <c r="AS275" s="67" t="n">
        <v>46225</v>
      </c>
      <c r="AT275" s="50" t="n"/>
      <c r="AU275" s="50" t="n"/>
      <c r="AV275" s="50" t="n"/>
      <c r="AW275" s="49" t="inlineStr">
        <is>
          <t>IF(OR(F275="",AJ275=""),"",IF(COUNT(AI275:AI275)=0,"",AJ275-LOOKUP(2,1/(AI275:AI275&lt;&gt;""),AI275:AI275)))</t>
        </is>
      </c>
      <c r="AX275" s="49" t="inlineStr">
        <is>
          <t>IF(OR(F275="",AK275=""),"",IF(COUNT(AI275:AJ275)=0,"",AK275-LOOKUP(2,1/(AI275:AJ275&lt;&gt;""),AI275:AJ275)))</t>
        </is>
      </c>
      <c r="AY275" s="49" t="inlineStr">
        <is>
          <t>IF(OR(F275="",AL275=""),"",IF(COUNT(AI275:AK275)=0,"",AL275-LOOKUP(2,1/(AI275:AK275&lt;&gt;""),AI275:AK275)))</t>
        </is>
      </c>
      <c r="AZ275" s="49" t="inlineStr">
        <is>
          <t>IF(OR(F275="",AM275=""),"",IF(COUNT(AI275:AL275)=0,"",AM275-LOOKUP(2,1/(AI275:AL275&lt;&gt;""),AI275:AL275)))</t>
        </is>
      </c>
      <c r="BA275" s="49" t="inlineStr">
        <is>
          <t>IF(OR(F275="",AN275=""),"",IF(COUNT(AI275:AM275)=0,"",AN275-LOOKUP(2,1/(AI275:AM275&lt;&gt;""),AI275:AM275)))</t>
        </is>
      </c>
      <c r="BB275" s="49" t="inlineStr">
        <is>
          <t>IF(OR(F275="",AO275=""),"",IF(COUNT(AI275:AN275)=0,"",AO275-LOOKUP(2,1/(AI275:AN275&lt;&gt;""),AI275:AN275)))</t>
        </is>
      </c>
      <c r="BC275" s="49" t="inlineStr">
        <is>
          <t>IF(OR(F275="",AP275=""),"",IF(COUNT(AI275:AO275)=0,"",AP275-LOOKUP(2,1/(AI275:AO275&lt;&gt;""),AI275:AO275)))</t>
        </is>
      </c>
      <c r="BD275" s="49" t="inlineStr">
        <is>
          <t>IF(OR(F275="",AQ275=""),"",IF(COUNT(AI275:AP275)=0,"",AQ275-LOOKUP(2,1/(AI275:AP275&lt;&gt;""),AI275:AP275)))</t>
        </is>
      </c>
      <c r="BE275" s="49" t="inlineStr">
        <is>
          <t>IF(OR(F275="",AR275=""),"",IF(COUNT(AI275:AQ275)=0,"",AR275-LOOKUP(2,1/(AI275:AQ275&lt;&gt;""),AI275:AQ275)))</t>
        </is>
      </c>
      <c r="BF275" s="49" t="inlineStr">
        <is>
          <t>IF(OR(F275="",AS275=""),"",IF(COUNT(AI275:AR275)=0,"",AS275-LOOKUP(2,1/(AI275:AR275&lt;&gt;""),AI275:AR275)))</t>
        </is>
      </c>
      <c r="BG275" s="49" t="inlineStr">
        <is>
          <t>IF(OR(F275="",AT275=""),"",IF(COUNT(AI275:AS275)=0,"",AT275-LOOKUP(2,1/(AI275:AS275&lt;&gt;""),AI275:AS275)))</t>
        </is>
      </c>
      <c r="BH275" s="49" t="inlineStr">
        <is>
          <t>IF(OR(F275="",AU275=""),"",IF(COUNT(AI275:AT275)=0,"",AU275-LOOKUP(2,1/(AI275:AT275&lt;&gt;""),AI275:AT275)))</t>
        </is>
      </c>
      <c r="BI275" s="49" t="inlineStr">
        <is>
          <t>IF(OR(F275="",AV275=""),"",IF(COUNT(AI275:AU275)=0,"",AV275-LOOKUP(2,1/(AI275:AU275&lt;&gt;""),AI275:AU275)))</t>
        </is>
      </c>
      <c r="BJ275" s="51" t="inlineStr">
        <is>
          <t>IF(J275="","All_Provinces",IFERROR(VLOOKUP(J275,'09_Lookups'!$A$4:$B$20,2,FALSE),"All_Provinces"))</t>
        </is>
      </c>
      <c r="BK275" s="51" t="inlineStr">
        <is>
          <t>IF(K275="","All_Districts",IFERROR(VLOOKUP(K275,'09_Lookups'!$E$4:$F$42,2,FALSE),"All_Districts"))</t>
        </is>
      </c>
    </row>
    <row r="276" outlineLevel="1" ht="18" customHeight="1">
      <c r="A276" s="42" t="inlineStr">
        <is>
          <t>IF(F276="","",ROW()-3)</t>
        </is>
      </c>
      <c r="B276" s="63" t="inlineStr">
        <is>
          <t>AF2-WSM-06</t>
        </is>
      </c>
      <c r="C276" s="63" t="inlineStr">
        <is>
          <t>Package #6-AF2 WSM: Construction of Jarobi Tangi, Chaghari and Adore check dams, located in Shirzad, Rodat, and Khogyani, districts of Nangarhar province.</t>
        </is>
      </c>
      <c r="D276" s="63" t="inlineStr">
        <is>
          <t>3 of 3</t>
        </is>
      </c>
      <c r="E276" s="52" t="inlineStr">
        <is>
          <t>AF2-WSM-A-013</t>
        </is>
      </c>
      <c r="F276" s="52" t="inlineStr">
        <is>
          <t>3. Adore check dam</t>
        </is>
      </c>
      <c r="G276" s="52" t="inlineStr">
        <is>
          <t>Watershed Management</t>
        </is>
      </c>
      <c r="H276" s="52" t="inlineStr">
        <is>
          <t>Check Dam</t>
        </is>
      </c>
      <c r="I276" s="52" t="inlineStr">
        <is>
          <t>Emergency Food Security Project (EFSP) – WBK/AF-2</t>
        </is>
      </c>
      <c r="J276" s="52" t="inlineStr">
        <is>
          <t>East / Jalalabad</t>
        </is>
      </c>
      <c r="K276" s="52" t="inlineStr">
        <is>
          <t>Nangarhar</t>
        </is>
      </c>
      <c r="L276" s="52" t="inlineStr">
        <is>
          <t>Khogyani</t>
        </is>
      </c>
      <c r="M276" s="52" t="inlineStr">
        <is>
          <t>Adore</t>
        </is>
      </c>
      <c r="N276" s="52" t="inlineStr">
        <is>
          <t>World Bank (WBK/AF-2)</t>
        </is>
      </c>
      <c r="O276" s="52" t="inlineStr">
        <is>
          <t>Awarded</t>
        </is>
      </c>
      <c r="P276" s="52" t="inlineStr">
        <is>
          <t>3.WSM awarded contracts</t>
        </is>
      </c>
      <c r="Q276" s="52" t="inlineStr">
        <is>
          <t>Naeemi Safi Construction &amp; Construction Material Company (NSCC)</t>
        </is>
      </c>
      <c r="R276" s="52" t="inlineStr">
        <is>
          <t>065/2026</t>
        </is>
      </c>
      <c r="S276" s="53" t="n">
        <v>50713.55</v>
      </c>
      <c r="T276" s="46" t="inlineStr">
        <is>
          <t>IF(AQ276="","",AQ276)</t>
        </is>
      </c>
      <c r="U276" s="54" t="n"/>
      <c r="V276" s="55" t="n">
        <v>6.9</v>
      </c>
      <c r="W276" s="54" t="n">
        <v>46225</v>
      </c>
      <c r="X276" s="46" t="inlineStr">
        <is>
          <t>IF(W276&lt;&gt;"",W276,IF(OR(T276="",V276=""),"",EDATE(T276,V276)))</t>
        </is>
      </c>
      <c r="Y276" s="54" t="n"/>
      <c r="Z276" s="55" t="n">
        <v>100</v>
      </c>
      <c r="AA276" s="52" t="inlineStr">
        <is>
          <t>Completed / Handover</t>
        </is>
      </c>
      <c r="AB276" s="52" t="inlineStr">
        <is>
          <t>Completed on July, 2026</t>
        </is>
      </c>
      <c r="AC276" s="42" t="inlineStr">
        <is>
          <t>IF(F276="","",IF(COUNT(AI276:AV276)=0,IF(AA276="","Not started",AA276),SUBSTITUTE(LOOKUP(2,1/(AI276:AV276&lt;&gt;""),$AI$3:$AV$3),"Date: ","")))</t>
        </is>
      </c>
      <c r="AD276" s="49" t="inlineStr">
        <is>
          <t>IF(OR(F276="",COUNT(AI276:AV276)=0),"",TODAY()-LOOKUP(2,1/(AI276:AV276&lt;&gt;""),AI276:AV276))</t>
        </is>
      </c>
      <c r="AE276" s="49" t="inlineStr">
        <is>
          <t>IF(OR(F276="",COUNT(AI276:AV276)&lt;2),"",LOOKUP(2,1/(AI276:AV276&lt;&gt;""),AI276:AV276)-MIN(AI276:AV276))</t>
        </is>
      </c>
      <c r="AF276" s="49" t="inlineStr">
        <is>
          <t>IF(OR(AD276="",AC276="Not started",AC276=""),"",IFERROR(AD276-IF(VLOOKUP(AC276,'06_Status_Pipeline'!$B$3:$E$20,4,FALSE)="",0,VLOOKUP(AC276,'06_Status_Pipeline'!$B$3:$E$20,4,FALSE)),""))</t>
        </is>
      </c>
      <c r="AG276" s="42" t="inlineStr">
        <is>
          <t>IF(F276="","",IF(OR(AA276="Cancelled",AC276="Cancelled"),"Cancelled",IF(OR(AC276="Completed / Handover",Y276&lt;&gt;"",Z276&gt;=100),"Completed — on track",IF(O276="Not awarded",IF(U276="",IF(X276="","No planned date",IF(TODAY()&gt;X276,"Behind — past planned date",IF(X276-TODAY()&lt;=30,"At risk — close to off track","On track"))),IF(TODAY()&gt;U276,"Behind — award date passed",IF(U276-TODAY()&lt;=30,"At risk — close to off track","On track"))),IF(X276="","No planned date",IF(AND(TODAY()&gt;X276,OR(Z276="",Z276&lt;100)),"Behind — past end date",IF(AND(T276&lt;&gt;"",X276&lt;&gt;"",Z276&lt;&gt;"",(Z276&lt;100),((TODAY()-T276)/MAX(X276-T276,1)*100)-Z276&gt;15),"Behind — progress lag",IF(AND(X276-TODAY()&lt;=30,X276-TODAY()&gt;=0,OR(Z276="",Z276&lt;90)),"At risk — close to off track","On track"))))))))</t>
        </is>
      </c>
      <c r="AH276" s="49" t="inlineStr">
        <is>
          <t>IF(OR(F276="",AC276="Completed / Handover",AC276="Cancelled"),"",IF(O276="Not awarded",IF(U276&lt;&gt;"",U276-TODAY(),IF(X276="","",X276-TODAY())),IF(X276="","",X276-TODAY())))</t>
        </is>
      </c>
      <c r="AI276" s="67" t="n"/>
      <c r="AJ276" s="67" t="n"/>
      <c r="AK276" s="67" t="n"/>
      <c r="AL276" s="67" t="n"/>
      <c r="AM276" s="67" t="n"/>
      <c r="AN276" s="67" t="n"/>
      <c r="AO276" s="67" t="n"/>
      <c r="AP276" s="67" t="n"/>
      <c r="AQ276" s="67" t="n">
        <v>46014</v>
      </c>
      <c r="AR276" s="67" t="n">
        <v>46014</v>
      </c>
      <c r="AS276" s="67" t="n">
        <v>46225</v>
      </c>
      <c r="AT276" s="50" t="n"/>
      <c r="AU276" s="50" t="n"/>
      <c r="AV276" s="50" t="n"/>
      <c r="AW276" s="49" t="inlineStr">
        <is>
          <t>IF(OR(F276="",AJ276=""),"",IF(COUNT(AI276:AI276)=0,"",AJ276-LOOKUP(2,1/(AI276:AI276&lt;&gt;""),AI276:AI276)))</t>
        </is>
      </c>
      <c r="AX276" s="49" t="inlineStr">
        <is>
          <t>IF(OR(F276="",AK276=""),"",IF(COUNT(AI276:AJ276)=0,"",AK276-LOOKUP(2,1/(AI276:AJ276&lt;&gt;""),AI276:AJ276)))</t>
        </is>
      </c>
      <c r="AY276" s="49" t="inlineStr">
        <is>
          <t>IF(OR(F276="",AL276=""),"",IF(COUNT(AI276:AK276)=0,"",AL276-LOOKUP(2,1/(AI276:AK276&lt;&gt;""),AI276:AK276)))</t>
        </is>
      </c>
      <c r="AZ276" s="49" t="inlineStr">
        <is>
          <t>IF(OR(F276="",AM276=""),"",IF(COUNT(AI276:AL276)=0,"",AM276-LOOKUP(2,1/(AI276:AL276&lt;&gt;""),AI276:AL276)))</t>
        </is>
      </c>
      <c r="BA276" s="49" t="inlineStr">
        <is>
          <t>IF(OR(F276="",AN276=""),"",IF(COUNT(AI276:AM276)=0,"",AN276-LOOKUP(2,1/(AI276:AM276&lt;&gt;""),AI276:AM276)))</t>
        </is>
      </c>
      <c r="BB276" s="49" t="inlineStr">
        <is>
          <t>IF(OR(F276="",AO276=""),"",IF(COUNT(AI276:AN276)=0,"",AO276-LOOKUP(2,1/(AI276:AN276&lt;&gt;""),AI276:AN276)))</t>
        </is>
      </c>
      <c r="BC276" s="49" t="inlineStr">
        <is>
          <t>IF(OR(F276="",AP276=""),"",IF(COUNT(AI276:AO276)=0,"",AP276-LOOKUP(2,1/(AI276:AO276&lt;&gt;""),AI276:AO276)))</t>
        </is>
      </c>
      <c r="BD276" s="49" t="inlineStr">
        <is>
          <t>IF(OR(F276="",AQ276=""),"",IF(COUNT(AI276:AP276)=0,"",AQ276-LOOKUP(2,1/(AI276:AP276&lt;&gt;""),AI276:AP276)))</t>
        </is>
      </c>
      <c r="BE276" s="49" t="inlineStr">
        <is>
          <t>IF(OR(F276="",AR276=""),"",IF(COUNT(AI276:AQ276)=0,"",AR276-LOOKUP(2,1/(AI276:AQ276&lt;&gt;""),AI276:AQ276)))</t>
        </is>
      </c>
      <c r="BF276" s="49" t="inlineStr">
        <is>
          <t>IF(OR(F276="",AS276=""),"",IF(COUNT(AI276:AR276)=0,"",AS276-LOOKUP(2,1/(AI276:AR276&lt;&gt;""),AI276:AR276)))</t>
        </is>
      </c>
      <c r="BG276" s="49" t="inlineStr">
        <is>
          <t>IF(OR(F276="",AT276=""),"",IF(COUNT(AI276:AS276)=0,"",AT276-LOOKUP(2,1/(AI276:AS276&lt;&gt;""),AI276:AS276)))</t>
        </is>
      </c>
      <c r="BH276" s="49" t="inlineStr">
        <is>
          <t>IF(OR(F276="",AU276=""),"",IF(COUNT(AI276:AT276)=0,"",AU276-LOOKUP(2,1/(AI276:AT276&lt;&gt;""),AI276:AT276)))</t>
        </is>
      </c>
      <c r="BI276" s="49" t="inlineStr">
        <is>
          <t>IF(OR(F276="",AV276=""),"",IF(COUNT(AI276:AU276)=0,"",AV276-LOOKUP(2,1/(AI276:AU276&lt;&gt;""),AI276:AU276)))</t>
        </is>
      </c>
      <c r="BJ276" s="51" t="inlineStr">
        <is>
          <t>IF(J276="","All_Provinces",IFERROR(VLOOKUP(J276,'09_Lookups'!$A$4:$B$20,2,FALSE),"All_Provinces"))</t>
        </is>
      </c>
      <c r="BK276" s="51" t="inlineStr">
        <is>
          <t>IF(K276="","All_Districts",IFERROR(VLOOKUP(K276,'09_Lookups'!$E$4:$F$42,2,FALSE),"All_Districts"))</t>
        </is>
      </c>
    </row>
    <row r="277" ht="18" customHeight="1">
      <c r="A277" s="32" t="inlineStr">
        <is>
          <t>IF(F277="","",ROW()-3)</t>
        </is>
      </c>
      <c r="B277" s="64" t="inlineStr">
        <is>
          <t>AF2-WSM-07</t>
        </is>
      </c>
      <c r="C277" s="64" t="inlineStr">
        <is>
          <t>Package #7-AF2 WSM: Construction of 3 Check dams of 1.Dargrak, 2. Migano, and 3.Lachagali the Sawkai, Khas Kunar and Narang districts of Kunar province.</t>
        </is>
      </c>
      <c r="D277" s="64" t="inlineStr">
        <is>
          <t>1 of 3</t>
        </is>
      </c>
      <c r="E277" s="57" t="inlineStr">
        <is>
          <t>AF2-WSM-A-014</t>
        </is>
      </c>
      <c r="F277" s="57" t="inlineStr">
        <is>
          <t>Dargarak Check Dam</t>
        </is>
      </c>
      <c r="G277" s="57" t="inlineStr">
        <is>
          <t>Watershed Management</t>
        </is>
      </c>
      <c r="H277" s="57" t="inlineStr">
        <is>
          <t>Check Dam</t>
        </is>
      </c>
      <c r="I277" s="57" t="inlineStr">
        <is>
          <t>Emergency Food Security Project (EFSP) – WBK/AF-2</t>
        </is>
      </c>
      <c r="J277" s="57" t="inlineStr">
        <is>
          <t>East / Jalalabad</t>
        </is>
      </c>
      <c r="K277" s="57" t="inlineStr">
        <is>
          <t>Kunar</t>
        </is>
      </c>
      <c r="L277" s="57" t="inlineStr">
        <is>
          <t>Sawkai</t>
        </is>
      </c>
      <c r="M277" s="57" t="inlineStr">
        <is>
          <t>Daar Garak</t>
        </is>
      </c>
      <c r="N277" s="57" t="inlineStr">
        <is>
          <t>World Bank (WBK/AF-2)</t>
        </is>
      </c>
      <c r="O277" s="57" t="inlineStr">
        <is>
          <t>Awarded</t>
        </is>
      </c>
      <c r="P277" s="57" t="inlineStr">
        <is>
          <t>3.WSM awarded contracts</t>
        </is>
      </c>
      <c r="Q277" s="57" t="inlineStr">
        <is>
          <t>Green Bentley construction Company (GBCC)</t>
        </is>
      </c>
      <c r="R277" s="57" t="inlineStr">
        <is>
          <t>064/2026</t>
        </is>
      </c>
      <c r="S277" s="58" t="n"/>
      <c r="T277" s="36" t="inlineStr">
        <is>
          <t>IF(AQ277="","",AQ277)</t>
        </is>
      </c>
      <c r="U277" s="59" t="n"/>
      <c r="V277" s="60" t="n">
        <v>4.9</v>
      </c>
      <c r="W277" s="59" t="n">
        <v>46456</v>
      </c>
      <c r="X277" s="36" t="inlineStr">
        <is>
          <t>IF(W277&lt;&gt;"",W277,IF(OR(T277="",V277=""),"",EDATE(T277,V277)))</t>
        </is>
      </c>
      <c r="Y277" s="59" t="n"/>
      <c r="Z277" s="60" t="n">
        <v>0</v>
      </c>
      <c r="AA277" s="57" t="inlineStr">
        <is>
          <t>Awarded</t>
        </is>
      </c>
      <c r="AB277" s="57" t="inlineStr">
        <is>
          <t>Awarded on 11 oct.2026</t>
        </is>
      </c>
      <c r="AC277" s="32" t="inlineStr">
        <is>
          <t>IF(F277="","",IF(COUNT(AI277:AV277)=0,IF(AA277="","Not started",AA277),SUBSTITUTE(LOOKUP(2,1/(AI277:AV277&lt;&gt;""),$AI$3:$AV$3),"Date: ","")))</t>
        </is>
      </c>
      <c r="AD277" s="39" t="inlineStr">
        <is>
          <t>IF(OR(F277="",COUNT(AI277:AV277)=0),"",TODAY()-LOOKUP(2,1/(AI277:AV277&lt;&gt;""),AI277:AV277))</t>
        </is>
      </c>
      <c r="AE277" s="39" t="inlineStr">
        <is>
          <t>IF(OR(F277="",COUNT(AI277:AV277)&lt;2),"",LOOKUP(2,1/(AI277:AV277&lt;&gt;""),AI277:AV277)-MIN(AI277:AV277))</t>
        </is>
      </c>
      <c r="AF277" s="39" t="inlineStr">
        <is>
          <t>IF(OR(AD277="",AC277="Not started",AC277=""),"",IFERROR(AD277-IF(VLOOKUP(AC277,'06_Status_Pipeline'!$B$3:$E$20,4,FALSE)="",0,VLOOKUP(AC277,'06_Status_Pipeline'!$B$3:$E$20,4,FALSE)),""))</t>
        </is>
      </c>
      <c r="AG277" s="32" t="inlineStr">
        <is>
          <t>IF(F277="","",IF(OR(AA277="Cancelled",AC277="Cancelled"),"Cancelled",IF(OR(AC277="Completed / Handover",Y277&lt;&gt;"",Z277&gt;=100),"Completed — on track",IF(O277="Not awarded",IF(U277="",IF(X277="","No planned date",IF(TODAY()&gt;X277,"Behind — past planned date",IF(X277-TODAY()&lt;=30,"At risk — close to off track","On track"))),IF(TODAY()&gt;U277,"Behind — award date passed",IF(U277-TODAY()&lt;=30,"At risk — close to off track","On track"))),IF(X277="","No planned date",IF(AND(TODAY()&gt;X277,OR(Z277="",Z277&lt;100)),"Behind — past end date",IF(AND(T277&lt;&gt;"",X277&lt;&gt;"",Z277&lt;&gt;"",(Z277&lt;100),((TODAY()-T277)/MAX(X277-T277,1)*100)-Z277&gt;15),"Behind — progress lag",IF(AND(X277-TODAY()&lt;=30,X277-TODAY()&gt;=0,OR(Z277="",Z277&lt;90)),"At risk — close to off track","On track"))))))))</t>
        </is>
      </c>
      <c r="AH277" s="39" t="inlineStr">
        <is>
          <t>IF(OR(F277="",AC277="Completed / Handover",AC277="Cancelled"),"",IF(O277="Not awarded",IF(U277&lt;&gt;"",U277-TODAY(),IF(X277="","",X277-TODAY())),IF(X277="","",X277-TODAY())))</t>
        </is>
      </c>
      <c r="AI277" s="66" t="n"/>
      <c r="AJ277" s="66" t="n"/>
      <c r="AK277" s="66" t="n"/>
      <c r="AL277" s="66" t="n"/>
      <c r="AM277" s="66" t="n"/>
      <c r="AN277" s="66" t="n"/>
      <c r="AO277" s="66" t="n"/>
      <c r="AP277" s="66" t="n"/>
      <c r="AQ277" s="66" t="n">
        <v>46306</v>
      </c>
      <c r="AR277" s="66" t="n"/>
      <c r="AS277" s="66" t="n"/>
      <c r="AT277" s="40" t="n"/>
      <c r="AU277" s="40" t="n"/>
      <c r="AV277" s="40" t="n"/>
      <c r="AW277" s="39" t="inlineStr">
        <is>
          <t>IF(OR(F277="",AJ277=""),"",IF(COUNT(AI277:AI277)=0,"",AJ277-LOOKUP(2,1/(AI277:AI277&lt;&gt;""),AI277:AI277)))</t>
        </is>
      </c>
      <c r="AX277" s="39" t="inlineStr">
        <is>
          <t>IF(OR(F277="",AK277=""),"",IF(COUNT(AI277:AJ277)=0,"",AK277-LOOKUP(2,1/(AI277:AJ277&lt;&gt;""),AI277:AJ277)))</t>
        </is>
      </c>
      <c r="AY277" s="39" t="inlineStr">
        <is>
          <t>IF(OR(F277="",AL277=""),"",IF(COUNT(AI277:AK277)=0,"",AL277-LOOKUP(2,1/(AI277:AK277&lt;&gt;""),AI277:AK277)))</t>
        </is>
      </c>
      <c r="AZ277" s="39" t="inlineStr">
        <is>
          <t>IF(OR(F277="",AM277=""),"",IF(COUNT(AI277:AL277)=0,"",AM277-LOOKUP(2,1/(AI277:AL277&lt;&gt;""),AI277:AL277)))</t>
        </is>
      </c>
      <c r="BA277" s="39" t="inlineStr">
        <is>
          <t>IF(OR(F277="",AN277=""),"",IF(COUNT(AI277:AM277)=0,"",AN277-LOOKUP(2,1/(AI277:AM277&lt;&gt;""),AI277:AM277)))</t>
        </is>
      </c>
      <c r="BB277" s="39" t="inlineStr">
        <is>
          <t>IF(OR(F277="",AO277=""),"",IF(COUNT(AI277:AN277)=0,"",AO277-LOOKUP(2,1/(AI277:AN277&lt;&gt;""),AI277:AN277)))</t>
        </is>
      </c>
      <c r="BC277" s="39" t="inlineStr">
        <is>
          <t>IF(OR(F277="",AP277=""),"",IF(COUNT(AI277:AO277)=0,"",AP277-LOOKUP(2,1/(AI277:AO277&lt;&gt;""),AI277:AO277)))</t>
        </is>
      </c>
      <c r="BD277" s="39" t="inlineStr">
        <is>
          <t>IF(OR(F277="",AQ277=""),"",IF(COUNT(AI277:AP277)=0,"",AQ277-LOOKUP(2,1/(AI277:AP277&lt;&gt;""),AI277:AP277)))</t>
        </is>
      </c>
      <c r="BE277" s="39" t="inlineStr">
        <is>
          <t>IF(OR(F277="",AR277=""),"",IF(COUNT(AI277:AQ277)=0,"",AR277-LOOKUP(2,1/(AI277:AQ277&lt;&gt;""),AI277:AQ277)))</t>
        </is>
      </c>
      <c r="BF277" s="39" t="inlineStr">
        <is>
          <t>IF(OR(F277="",AS277=""),"",IF(COUNT(AI277:AR277)=0,"",AS277-LOOKUP(2,1/(AI277:AR277&lt;&gt;""),AI277:AR277)))</t>
        </is>
      </c>
      <c r="BG277" s="39" t="inlineStr">
        <is>
          <t>IF(OR(F277="",AT277=""),"",IF(COUNT(AI277:AS277)=0,"",AT277-LOOKUP(2,1/(AI277:AS277&lt;&gt;""),AI277:AS277)))</t>
        </is>
      </c>
      <c r="BH277" s="39" t="inlineStr">
        <is>
          <t>IF(OR(F277="",AU277=""),"",IF(COUNT(AI277:AT277)=0,"",AU277-LOOKUP(2,1/(AI277:AT277&lt;&gt;""),AI277:AT277)))</t>
        </is>
      </c>
      <c r="BI277" s="39" t="inlineStr">
        <is>
          <t>IF(OR(F277="",AV277=""),"",IF(COUNT(AI277:AU277)=0,"",AV277-LOOKUP(2,1/(AI277:AU277&lt;&gt;""),AI277:AU277)))</t>
        </is>
      </c>
      <c r="BJ277" s="41" t="inlineStr">
        <is>
          <t>IF(J277="","All_Provinces",IFERROR(VLOOKUP(J277,'09_Lookups'!$A$4:$B$20,2,FALSE),"All_Provinces"))</t>
        </is>
      </c>
      <c r="BK277" s="41" t="inlineStr">
        <is>
          <t>IF(K277="","All_Districts",IFERROR(VLOOKUP(K277,'09_Lookups'!$E$4:$F$42,2,FALSE),"All_Districts"))</t>
        </is>
      </c>
    </row>
    <row r="278" outlineLevel="1" ht="18" customHeight="1">
      <c r="A278" s="42" t="inlineStr">
        <is>
          <t>IF(F278="","",ROW()-3)</t>
        </is>
      </c>
      <c r="B278" s="65" t="inlineStr">
        <is>
          <t>AF2-WSM-07</t>
        </is>
      </c>
      <c r="C278" s="65" t="inlineStr">
        <is>
          <t>Package #7-AF2 WSM: Construction of 3 Check dams of 1.Dargrak, 2. Migano, and 3.Lachagali the Sawkai, Khas Kunar and Narang districts of Kunar province.</t>
        </is>
      </c>
      <c r="D278" s="65" t="inlineStr">
        <is>
          <t>2 of 3</t>
        </is>
      </c>
      <c r="E278" s="52" t="inlineStr">
        <is>
          <t>AF2-WSM-A-015</t>
        </is>
      </c>
      <c r="F278" s="52" t="inlineStr">
        <is>
          <t>Lachagali Boulder Check Dam and Water Pond</t>
        </is>
      </c>
      <c r="G278" s="52" t="inlineStr">
        <is>
          <t>Watershed Management</t>
        </is>
      </c>
      <c r="H278" s="52" t="inlineStr">
        <is>
          <t>Check Dam and Water Pond</t>
        </is>
      </c>
      <c r="I278" s="52" t="inlineStr">
        <is>
          <t>Emergency Food Security Project (EFSP) – WBK/AF-2</t>
        </is>
      </c>
      <c r="J278" s="52" t="inlineStr">
        <is>
          <t>East / Jalalabad</t>
        </is>
      </c>
      <c r="K278" s="52" t="inlineStr">
        <is>
          <t>Kunar</t>
        </is>
      </c>
      <c r="L278" s="52" t="inlineStr">
        <is>
          <t>Narang</t>
        </is>
      </c>
      <c r="M278" s="52" t="inlineStr">
        <is>
          <t>Lachagali/ Jaroobi</t>
        </is>
      </c>
      <c r="N278" s="52" t="inlineStr">
        <is>
          <t>World Bank (WBK/AF-2)</t>
        </is>
      </c>
      <c r="O278" s="52" t="inlineStr">
        <is>
          <t>Awarded</t>
        </is>
      </c>
      <c r="P278" s="52" t="inlineStr">
        <is>
          <t>3.WSM awarded contracts</t>
        </is>
      </c>
      <c r="Q278" s="52" t="inlineStr">
        <is>
          <t>Green Bentley construction Company (GBCC)</t>
        </is>
      </c>
      <c r="R278" s="52" t="inlineStr">
        <is>
          <t>064/2026</t>
        </is>
      </c>
      <c r="S278" s="53" t="n">
        <v>99590</v>
      </c>
      <c r="T278" s="46" t="inlineStr">
        <is>
          <t>IF(AQ278="","",AQ278)</t>
        </is>
      </c>
      <c r="U278" s="54" t="n"/>
      <c r="V278" s="55" t="n">
        <v>4.9</v>
      </c>
      <c r="W278" s="54" t="n">
        <v>46456</v>
      </c>
      <c r="X278" s="46" t="inlineStr">
        <is>
          <t>IF(W278&lt;&gt;"",W278,IF(OR(T278="",V278=""),"",EDATE(T278,V278)))</t>
        </is>
      </c>
      <c r="Y278" s="54" t="n"/>
      <c r="Z278" s="55" t="n">
        <v>0</v>
      </c>
      <c r="AA278" s="52" t="inlineStr">
        <is>
          <t>Awarded</t>
        </is>
      </c>
      <c r="AB278" s="52" t="inlineStr">
        <is>
          <t>Completed on July, 2026</t>
        </is>
      </c>
      <c r="AC278" s="42" t="inlineStr">
        <is>
          <t>IF(F278="","",IF(COUNT(AI278:AV278)=0,IF(AA278="","Not started",AA278),SUBSTITUTE(LOOKUP(2,1/(AI278:AV278&lt;&gt;""),$AI$3:$AV$3),"Date: ","")))</t>
        </is>
      </c>
      <c r="AD278" s="49" t="inlineStr">
        <is>
          <t>IF(OR(F278="",COUNT(AI278:AV278)=0),"",TODAY()-LOOKUP(2,1/(AI278:AV278&lt;&gt;""),AI278:AV278))</t>
        </is>
      </c>
      <c r="AE278" s="49" t="inlineStr">
        <is>
          <t>IF(OR(F278="",COUNT(AI278:AV278)&lt;2),"",LOOKUP(2,1/(AI278:AV278&lt;&gt;""),AI278:AV278)-MIN(AI278:AV278))</t>
        </is>
      </c>
      <c r="AF278" s="49" t="inlineStr">
        <is>
          <t>IF(OR(AD278="",AC278="Not started",AC278=""),"",IFERROR(AD278-IF(VLOOKUP(AC278,'06_Status_Pipeline'!$B$3:$E$20,4,FALSE)="",0,VLOOKUP(AC278,'06_Status_Pipeline'!$B$3:$E$20,4,FALSE)),""))</t>
        </is>
      </c>
      <c r="AG278" s="42" t="inlineStr">
        <is>
          <t>IF(F278="","",IF(OR(AA278="Cancelled",AC278="Cancelled"),"Cancelled",IF(OR(AC278="Completed / Handover",Y278&lt;&gt;"",Z278&gt;=100),"Completed — on track",IF(O278="Not awarded",IF(U278="",IF(X278="","No planned date",IF(TODAY()&gt;X278,"Behind — past planned date",IF(X278-TODAY()&lt;=30,"At risk — close to off track","On track"))),IF(TODAY()&gt;U278,"Behind — award date passed",IF(U278-TODAY()&lt;=30,"At risk — close to off track","On track"))),IF(X278="","No planned date",IF(AND(TODAY()&gt;X278,OR(Z278="",Z278&lt;100)),"Behind — past end date",IF(AND(T278&lt;&gt;"",X278&lt;&gt;"",Z278&lt;&gt;"",(Z278&lt;100),((TODAY()-T278)/MAX(X278-T278,1)*100)-Z278&gt;15),"Behind — progress lag",IF(AND(X278-TODAY()&lt;=30,X278-TODAY()&gt;=0,OR(Z278="",Z278&lt;90)),"At risk — close to off track","On track"))))))))</t>
        </is>
      </c>
      <c r="AH278" s="49" t="inlineStr">
        <is>
          <t>IF(OR(F278="",AC278="Completed / Handover",AC278="Cancelled"),"",IF(O278="Not awarded",IF(U278&lt;&gt;"",U278-TODAY(),IF(X278="","",X278-TODAY())),IF(X278="","",X278-TODAY())))</t>
        </is>
      </c>
      <c r="AI278" s="67" t="n"/>
      <c r="AJ278" s="67" t="n"/>
      <c r="AK278" s="67" t="n"/>
      <c r="AL278" s="67" t="n"/>
      <c r="AM278" s="67" t="n"/>
      <c r="AN278" s="67" t="n"/>
      <c r="AO278" s="67" t="n"/>
      <c r="AP278" s="67" t="n"/>
      <c r="AQ278" s="67" t="n">
        <v>46306</v>
      </c>
      <c r="AR278" s="67" t="n"/>
      <c r="AS278" s="67" t="n"/>
      <c r="AT278" s="50" t="n"/>
      <c r="AU278" s="50" t="n"/>
      <c r="AV278" s="50" t="n"/>
      <c r="AW278" s="49" t="inlineStr">
        <is>
          <t>IF(OR(F278="",AJ278=""),"",IF(COUNT(AI278:AI278)=0,"",AJ278-LOOKUP(2,1/(AI278:AI278&lt;&gt;""),AI278:AI278)))</t>
        </is>
      </c>
      <c r="AX278" s="49" t="inlineStr">
        <is>
          <t>IF(OR(F278="",AK278=""),"",IF(COUNT(AI278:AJ278)=0,"",AK278-LOOKUP(2,1/(AI278:AJ278&lt;&gt;""),AI278:AJ278)))</t>
        </is>
      </c>
      <c r="AY278" s="49" t="inlineStr">
        <is>
          <t>IF(OR(F278="",AL278=""),"",IF(COUNT(AI278:AK278)=0,"",AL278-LOOKUP(2,1/(AI278:AK278&lt;&gt;""),AI278:AK278)))</t>
        </is>
      </c>
      <c r="AZ278" s="49" t="inlineStr">
        <is>
          <t>IF(OR(F278="",AM278=""),"",IF(COUNT(AI278:AL278)=0,"",AM278-LOOKUP(2,1/(AI278:AL278&lt;&gt;""),AI278:AL278)))</t>
        </is>
      </c>
      <c r="BA278" s="49" t="inlineStr">
        <is>
          <t>IF(OR(F278="",AN278=""),"",IF(COUNT(AI278:AM278)=0,"",AN278-LOOKUP(2,1/(AI278:AM278&lt;&gt;""),AI278:AM278)))</t>
        </is>
      </c>
      <c r="BB278" s="49" t="inlineStr">
        <is>
          <t>IF(OR(F278="",AO278=""),"",IF(COUNT(AI278:AN278)=0,"",AO278-LOOKUP(2,1/(AI278:AN278&lt;&gt;""),AI278:AN278)))</t>
        </is>
      </c>
      <c r="BC278" s="49" t="inlineStr">
        <is>
          <t>IF(OR(F278="",AP278=""),"",IF(COUNT(AI278:AO278)=0,"",AP278-LOOKUP(2,1/(AI278:AO278&lt;&gt;""),AI278:AO278)))</t>
        </is>
      </c>
      <c r="BD278" s="49" t="inlineStr">
        <is>
          <t>IF(OR(F278="",AQ278=""),"",IF(COUNT(AI278:AP278)=0,"",AQ278-LOOKUP(2,1/(AI278:AP278&lt;&gt;""),AI278:AP278)))</t>
        </is>
      </c>
      <c r="BE278" s="49" t="inlineStr">
        <is>
          <t>IF(OR(F278="",AR278=""),"",IF(COUNT(AI278:AQ278)=0,"",AR278-LOOKUP(2,1/(AI278:AQ278&lt;&gt;""),AI278:AQ278)))</t>
        </is>
      </c>
      <c r="BF278" s="49" t="inlineStr">
        <is>
          <t>IF(OR(F278="",AS278=""),"",IF(COUNT(AI278:AR278)=0,"",AS278-LOOKUP(2,1/(AI278:AR278&lt;&gt;""),AI278:AR278)))</t>
        </is>
      </c>
      <c r="BG278" s="49" t="inlineStr">
        <is>
          <t>IF(OR(F278="",AT278=""),"",IF(COUNT(AI278:AS278)=0,"",AT278-LOOKUP(2,1/(AI278:AS278&lt;&gt;""),AI278:AS278)))</t>
        </is>
      </c>
      <c r="BH278" s="49" t="inlineStr">
        <is>
          <t>IF(OR(F278="",AU278=""),"",IF(COUNT(AI278:AT278)=0,"",AU278-LOOKUP(2,1/(AI278:AT278&lt;&gt;""),AI278:AT278)))</t>
        </is>
      </c>
      <c r="BI278" s="49" t="inlineStr">
        <is>
          <t>IF(OR(F278="",AV278=""),"",IF(COUNT(AI278:AU278)=0,"",AV278-LOOKUP(2,1/(AI278:AU278&lt;&gt;""),AI278:AU278)))</t>
        </is>
      </c>
      <c r="BJ278" s="51" t="inlineStr">
        <is>
          <t>IF(J278="","All_Provinces",IFERROR(VLOOKUP(J278,'09_Lookups'!$A$4:$B$20,2,FALSE),"All_Provinces"))</t>
        </is>
      </c>
      <c r="BK278" s="51" t="inlineStr">
        <is>
          <t>IF(K278="","All_Districts",IFERROR(VLOOKUP(K278,'09_Lookups'!$E$4:$F$42,2,FALSE),"All_Districts"))</t>
        </is>
      </c>
    </row>
    <row r="279" outlineLevel="1" ht="18" customHeight="1">
      <c r="A279" s="42" t="inlineStr">
        <is>
          <t>IF(F279="","",ROW()-3)</t>
        </is>
      </c>
      <c r="B279" s="65" t="inlineStr">
        <is>
          <t>AF2-WSM-07</t>
        </is>
      </c>
      <c r="C279" s="65" t="inlineStr">
        <is>
          <t>Package #7-AF2 WSM: Construction of 3 Check dams of 1.Dargrak, 2. Migano, and 3.Lachagali the Sawkai, Khas Kunar and Narang districts of Kunar province.</t>
        </is>
      </c>
      <c r="D279" s="65" t="inlineStr">
        <is>
          <t>3 of 3</t>
        </is>
      </c>
      <c r="E279" s="44" t="inlineStr">
        <is>
          <t>AF2-WSM-A-016</t>
        </is>
      </c>
      <c r="F279" s="44" t="inlineStr">
        <is>
          <t>Miagan Check Dam</t>
        </is>
      </c>
      <c r="G279" s="44" t="inlineStr">
        <is>
          <t>Watershed Management</t>
        </is>
      </c>
      <c r="H279" s="44" t="inlineStr">
        <is>
          <t>Check Dam</t>
        </is>
      </c>
      <c r="I279" s="44" t="inlineStr">
        <is>
          <t>Emergency Food Security Project (EFSP) – WBK/AF-2</t>
        </is>
      </c>
      <c r="J279" s="44" t="inlineStr">
        <is>
          <t>East / Jalalabad</t>
        </is>
      </c>
      <c r="K279" s="44" t="inlineStr">
        <is>
          <t>Kunar</t>
        </is>
      </c>
      <c r="L279" s="44" t="inlineStr">
        <is>
          <t>Khas Kunar</t>
        </is>
      </c>
      <c r="M279" s="44" t="inlineStr">
        <is>
          <t>Miagan Kali</t>
        </is>
      </c>
      <c r="N279" s="44" t="inlineStr">
        <is>
          <t>World Bank (WBK/AF-2)</t>
        </is>
      </c>
      <c r="O279" s="44" t="inlineStr">
        <is>
          <t>Awarded</t>
        </is>
      </c>
      <c r="P279" s="44" t="inlineStr">
        <is>
          <t>3.WSM awarded contracts</t>
        </is>
      </c>
      <c r="Q279" s="44" t="inlineStr">
        <is>
          <t>Green Bentley construction Company (GBCC)</t>
        </is>
      </c>
      <c r="R279" s="44" t="inlineStr">
        <is>
          <t>064/2026</t>
        </is>
      </c>
      <c r="S279" s="45" t="n"/>
      <c r="T279" s="46" t="inlineStr">
        <is>
          <t>IF(AQ279="","",AQ279)</t>
        </is>
      </c>
      <c r="U279" s="47" t="n"/>
      <c r="V279" s="48" t="n">
        <v>4.9</v>
      </c>
      <c r="W279" s="47" t="n">
        <v>46456</v>
      </c>
      <c r="X279" s="46" t="inlineStr">
        <is>
          <t>IF(W279&lt;&gt;"",W279,IF(OR(T279="",V279=""),"",EDATE(T279,V279)))</t>
        </is>
      </c>
      <c r="Y279" s="47" t="n"/>
      <c r="Z279" s="48" t="n">
        <v>0</v>
      </c>
      <c r="AA279" s="44" t="inlineStr">
        <is>
          <t>Awarded</t>
        </is>
      </c>
      <c r="AB279" s="44" t="inlineStr">
        <is>
          <t>Awarded on 11 oct.2026</t>
        </is>
      </c>
      <c r="AC279" s="42" t="inlineStr">
        <is>
          <t>IF(F279="","",IF(COUNT(AI279:AV279)=0,IF(AA279="","Not started",AA279),SUBSTITUTE(LOOKUP(2,1/(AI279:AV279&lt;&gt;""),$AI$3:$AV$3),"Date: ","")))</t>
        </is>
      </c>
      <c r="AD279" s="49" t="inlineStr">
        <is>
          <t>IF(OR(F279="",COUNT(AI279:AV279)=0),"",TODAY()-LOOKUP(2,1/(AI279:AV279&lt;&gt;""),AI279:AV279))</t>
        </is>
      </c>
      <c r="AE279" s="49" t="inlineStr">
        <is>
          <t>IF(OR(F279="",COUNT(AI279:AV279)&lt;2),"",LOOKUP(2,1/(AI279:AV279&lt;&gt;""),AI279:AV279)-MIN(AI279:AV279))</t>
        </is>
      </c>
      <c r="AF279" s="49" t="inlineStr">
        <is>
          <t>IF(OR(AD279="",AC279="Not started",AC279=""),"",IFERROR(AD279-IF(VLOOKUP(AC279,'06_Status_Pipeline'!$B$3:$E$20,4,FALSE)="",0,VLOOKUP(AC279,'06_Status_Pipeline'!$B$3:$E$20,4,FALSE)),""))</t>
        </is>
      </c>
      <c r="AG279" s="42" t="inlineStr">
        <is>
          <t>IF(F279="","",IF(OR(AA279="Cancelled",AC279="Cancelled"),"Cancelled",IF(OR(AC279="Completed / Handover",Y279&lt;&gt;"",Z279&gt;=100),"Completed — on track",IF(O279="Not awarded",IF(U279="",IF(X279="","No planned date",IF(TODAY()&gt;X279,"Behind — past planned date",IF(X279-TODAY()&lt;=30,"At risk — close to off track","On track"))),IF(TODAY()&gt;U279,"Behind — award date passed",IF(U279-TODAY()&lt;=30,"At risk — close to off track","On track"))),IF(X279="","No planned date",IF(AND(TODAY()&gt;X279,OR(Z279="",Z279&lt;100)),"Behind — past end date",IF(AND(T279&lt;&gt;"",X279&lt;&gt;"",Z279&lt;&gt;"",(Z279&lt;100),((TODAY()-T279)/MAX(X279-T279,1)*100)-Z279&gt;15),"Behind — progress lag",IF(AND(X279-TODAY()&lt;=30,X279-TODAY()&gt;=0,OR(Z279="",Z279&lt;90)),"At risk — close to off track","On track"))))))))</t>
        </is>
      </c>
      <c r="AH279" s="49" t="inlineStr">
        <is>
          <t>IF(OR(F279="",AC279="Completed / Handover",AC279="Cancelled"),"",IF(O279="Not awarded",IF(U279&lt;&gt;"",U279-TODAY(),IF(X279="","",X279-TODAY())),IF(X279="","",X279-TODAY())))</t>
        </is>
      </c>
      <c r="AI279" s="67" t="n"/>
      <c r="AJ279" s="67" t="n"/>
      <c r="AK279" s="67" t="n"/>
      <c r="AL279" s="67" t="n"/>
      <c r="AM279" s="67" t="n"/>
      <c r="AN279" s="67" t="n"/>
      <c r="AO279" s="67" t="n"/>
      <c r="AP279" s="67" t="n"/>
      <c r="AQ279" s="67" t="n">
        <v>46306</v>
      </c>
      <c r="AR279" s="67" t="n"/>
      <c r="AS279" s="67" t="n"/>
      <c r="AT279" s="50" t="n"/>
      <c r="AU279" s="50" t="n"/>
      <c r="AV279" s="50" t="n"/>
      <c r="AW279" s="49" t="inlineStr">
        <is>
          <t>IF(OR(F279="",AJ279=""),"",IF(COUNT(AI279:AI279)=0,"",AJ279-LOOKUP(2,1/(AI279:AI279&lt;&gt;""),AI279:AI279)))</t>
        </is>
      </c>
      <c r="AX279" s="49" t="inlineStr">
        <is>
          <t>IF(OR(F279="",AK279=""),"",IF(COUNT(AI279:AJ279)=0,"",AK279-LOOKUP(2,1/(AI279:AJ279&lt;&gt;""),AI279:AJ279)))</t>
        </is>
      </c>
      <c r="AY279" s="49" t="inlineStr">
        <is>
          <t>IF(OR(F279="",AL279=""),"",IF(COUNT(AI279:AK279)=0,"",AL279-LOOKUP(2,1/(AI279:AK279&lt;&gt;""),AI279:AK279)))</t>
        </is>
      </c>
      <c r="AZ279" s="49" t="inlineStr">
        <is>
          <t>IF(OR(F279="",AM279=""),"",IF(COUNT(AI279:AL279)=0,"",AM279-LOOKUP(2,1/(AI279:AL279&lt;&gt;""),AI279:AL279)))</t>
        </is>
      </c>
      <c r="BA279" s="49" t="inlineStr">
        <is>
          <t>IF(OR(F279="",AN279=""),"",IF(COUNT(AI279:AM279)=0,"",AN279-LOOKUP(2,1/(AI279:AM279&lt;&gt;""),AI279:AM279)))</t>
        </is>
      </c>
      <c r="BB279" s="49" t="inlineStr">
        <is>
          <t>IF(OR(F279="",AO279=""),"",IF(COUNT(AI279:AN279)=0,"",AO279-LOOKUP(2,1/(AI279:AN279&lt;&gt;""),AI279:AN279)))</t>
        </is>
      </c>
      <c r="BC279" s="49" t="inlineStr">
        <is>
          <t>IF(OR(F279="",AP279=""),"",IF(COUNT(AI279:AO279)=0,"",AP279-LOOKUP(2,1/(AI279:AO279&lt;&gt;""),AI279:AO279)))</t>
        </is>
      </c>
      <c r="BD279" s="49" t="inlineStr">
        <is>
          <t>IF(OR(F279="",AQ279=""),"",IF(COUNT(AI279:AP279)=0,"",AQ279-LOOKUP(2,1/(AI279:AP279&lt;&gt;""),AI279:AP279)))</t>
        </is>
      </c>
      <c r="BE279" s="49" t="inlineStr">
        <is>
          <t>IF(OR(F279="",AR279=""),"",IF(COUNT(AI279:AQ279)=0,"",AR279-LOOKUP(2,1/(AI279:AQ279&lt;&gt;""),AI279:AQ279)))</t>
        </is>
      </c>
      <c r="BF279" s="49" t="inlineStr">
        <is>
          <t>IF(OR(F279="",AS279=""),"",IF(COUNT(AI279:AR279)=0,"",AS279-LOOKUP(2,1/(AI279:AR279&lt;&gt;""),AI279:AR279)))</t>
        </is>
      </c>
      <c r="BG279" s="49" t="inlineStr">
        <is>
          <t>IF(OR(F279="",AT279=""),"",IF(COUNT(AI279:AS279)=0,"",AT279-LOOKUP(2,1/(AI279:AS279&lt;&gt;""),AI279:AS279)))</t>
        </is>
      </c>
      <c r="BH279" s="49" t="inlineStr">
        <is>
          <t>IF(OR(F279="",AU279=""),"",IF(COUNT(AI279:AT279)=0,"",AU279-LOOKUP(2,1/(AI279:AT279&lt;&gt;""),AI279:AT279)))</t>
        </is>
      </c>
      <c r="BI279" s="49" t="inlineStr">
        <is>
          <t>IF(OR(F279="",AV279=""),"",IF(COUNT(AI279:AU279)=0,"",AV279-LOOKUP(2,1/(AI279:AU279&lt;&gt;""),AI279:AU279)))</t>
        </is>
      </c>
      <c r="BJ279" s="51" t="inlineStr">
        <is>
          <t>IF(J279="","All_Provinces",IFERROR(VLOOKUP(J279,'09_Lookups'!$A$4:$B$20,2,FALSE),"All_Provinces"))</t>
        </is>
      </c>
      <c r="BK279" s="51" t="inlineStr">
        <is>
          <t>IF(K279="","All_Districts",IFERROR(VLOOKUP(K279,'09_Lookups'!$E$4:$F$42,2,FALSE),"All_Districts"))</t>
        </is>
      </c>
    </row>
    <row r="280" ht="18" customHeight="1">
      <c r="A280" s="32" t="inlineStr">
        <is>
          <t>IF(F280="","",ROW()-3)</t>
        </is>
      </c>
      <c r="B280" s="33" t="inlineStr">
        <is>
          <t>AF2-WSM-08</t>
        </is>
      </c>
      <c r="C280" s="33" t="inlineStr">
        <is>
          <t>Package #8-AF2 WSM: Construction of 1.Ghazgai Check dam in Khake Jabar districts, 2.Toop Dara Check dam and 3.Toot Dara Check dam in Center/ 13th City district Kabul province.</t>
        </is>
      </c>
      <c r="D280" s="33" t="inlineStr">
        <is>
          <t>1 of 3</t>
        </is>
      </c>
      <c r="E280" s="34" t="inlineStr">
        <is>
          <t>AF2-WSM-A-017</t>
        </is>
      </c>
      <c r="F280" s="34" t="inlineStr">
        <is>
          <t>1.Toop Dara Check dam</t>
        </is>
      </c>
      <c r="G280" s="34" t="inlineStr">
        <is>
          <t>Watershed Management</t>
        </is>
      </c>
      <c r="H280" s="34" t="inlineStr">
        <is>
          <t>Check Dam</t>
        </is>
      </c>
      <c r="I280" s="34" t="inlineStr">
        <is>
          <t>Emergency Food Security Project (EFSP) – WBK/AF-2</t>
        </is>
      </c>
      <c r="J280" s="34" t="inlineStr">
        <is>
          <t>Central / Kabul</t>
        </is>
      </c>
      <c r="K280" s="34" t="inlineStr">
        <is>
          <t>Kabul</t>
        </is>
      </c>
      <c r="L280" s="34" t="inlineStr">
        <is>
          <t>Center</t>
        </is>
      </c>
      <c r="M280" s="34" t="inlineStr">
        <is>
          <t>13th district</t>
        </is>
      </c>
      <c r="N280" s="34" t="inlineStr">
        <is>
          <t>World Bank (WBK/AF-2)</t>
        </is>
      </c>
      <c r="O280" s="34" t="inlineStr">
        <is>
          <t>Awarded</t>
        </is>
      </c>
      <c r="P280" s="34" t="inlineStr">
        <is>
          <t>3.WSM awarded contracts</t>
        </is>
      </c>
      <c r="Q280" s="34" t="inlineStr">
        <is>
          <t>ALTIN CONSTRUCTION AND ROAD BUILDING COMPANY (ACC)</t>
        </is>
      </c>
      <c r="R280" s="34" t="inlineStr">
        <is>
          <t>005/2026</t>
        </is>
      </c>
      <c r="S280" s="35" t="n">
        <v>65749</v>
      </c>
      <c r="T280" s="36" t="inlineStr">
        <is>
          <t>IF(AQ280="","",AQ280)</t>
        </is>
      </c>
      <c r="U280" s="37" t="n"/>
      <c r="V280" s="38" t="n">
        <v>6.9</v>
      </c>
      <c r="W280" s="37" t="n">
        <v>46253</v>
      </c>
      <c r="X280" s="36" t="inlineStr">
        <is>
          <t>IF(W280&lt;&gt;"",W280,IF(OR(T280="",V280=""),"",EDATE(T280,V280)))</t>
        </is>
      </c>
      <c r="Y280" s="37" t="n"/>
      <c r="Z280" s="38" t="n">
        <v>100</v>
      </c>
      <c r="AA280" s="34" t="inlineStr">
        <is>
          <t>Completed / Handover</t>
        </is>
      </c>
      <c r="AB280" s="34" t="inlineStr">
        <is>
          <t>Completed on July, 2026</t>
        </is>
      </c>
      <c r="AC280" s="32" t="inlineStr">
        <is>
          <t>IF(F280="","",IF(COUNT(AI280:AV280)=0,IF(AA280="","Not started",AA280),SUBSTITUTE(LOOKUP(2,1/(AI280:AV280&lt;&gt;""),$AI$3:$AV$3),"Date: ","")))</t>
        </is>
      </c>
      <c r="AD280" s="39" t="inlineStr">
        <is>
          <t>IF(OR(F280="",COUNT(AI280:AV280)=0),"",TODAY()-LOOKUP(2,1/(AI280:AV280&lt;&gt;""),AI280:AV280))</t>
        </is>
      </c>
      <c r="AE280" s="39" t="inlineStr">
        <is>
          <t>IF(OR(F280="",COUNT(AI280:AV280)&lt;2),"",LOOKUP(2,1/(AI280:AV280&lt;&gt;""),AI280:AV280)-MIN(AI280:AV280))</t>
        </is>
      </c>
      <c r="AF280" s="39" t="inlineStr">
        <is>
          <t>IF(OR(AD280="",AC280="Not started",AC280=""),"",IFERROR(AD280-IF(VLOOKUP(AC280,'06_Status_Pipeline'!$B$3:$E$20,4,FALSE)="",0,VLOOKUP(AC280,'06_Status_Pipeline'!$B$3:$E$20,4,FALSE)),""))</t>
        </is>
      </c>
      <c r="AG280" s="32" t="inlineStr">
        <is>
          <t>IF(F280="","",IF(OR(AA280="Cancelled",AC280="Cancelled"),"Cancelled",IF(OR(AC280="Completed / Handover",Y280&lt;&gt;"",Z280&gt;=100),"Completed — on track",IF(O280="Not awarded",IF(U280="",IF(X280="","No planned date",IF(TODAY()&gt;X280,"Behind — past planned date",IF(X280-TODAY()&lt;=30,"At risk — close to off track","On track"))),IF(TODAY()&gt;U280,"Behind — award date passed",IF(U280-TODAY()&lt;=30,"At risk — close to off track","On track"))),IF(X280="","No planned date",IF(AND(TODAY()&gt;X280,OR(Z280="",Z280&lt;100)),"Behind — past end date",IF(AND(T280&lt;&gt;"",X280&lt;&gt;"",Z280&lt;&gt;"",(Z280&lt;100),((TODAY()-T280)/MAX(X280-T280,1)*100)-Z280&gt;15),"Behind — progress lag",IF(AND(X280-TODAY()&lt;=30,X280-TODAY()&gt;=0,OR(Z280="",Z280&lt;90)),"At risk — close to off track","On track"))))))))</t>
        </is>
      </c>
      <c r="AH280" s="39" t="inlineStr">
        <is>
          <t>IF(OR(F280="",AC280="Completed / Handover",AC280="Cancelled"),"",IF(O280="Not awarded",IF(U280&lt;&gt;"",U280-TODAY(),IF(X280="","",X280-TODAY())),IF(X280="","",X280-TODAY())))</t>
        </is>
      </c>
      <c r="AI280" s="66" t="n"/>
      <c r="AJ280" s="66" t="n"/>
      <c r="AK280" s="66" t="n"/>
      <c r="AL280" s="66" t="n"/>
      <c r="AM280" s="66" t="n"/>
      <c r="AN280" s="66" t="n"/>
      <c r="AO280" s="66" t="n"/>
      <c r="AP280" s="66" t="n"/>
      <c r="AQ280" s="66" t="n">
        <v>46042</v>
      </c>
      <c r="AR280" s="66" t="n">
        <v>46042</v>
      </c>
      <c r="AS280" s="66" t="n">
        <v>46253</v>
      </c>
      <c r="AT280" s="40" t="n"/>
      <c r="AU280" s="40" t="n"/>
      <c r="AV280" s="40" t="n"/>
      <c r="AW280" s="39" t="inlineStr">
        <is>
          <t>IF(OR(F280="",AJ280=""),"",IF(COUNT(AI280:AI280)=0,"",AJ280-LOOKUP(2,1/(AI280:AI280&lt;&gt;""),AI280:AI280)))</t>
        </is>
      </c>
      <c r="AX280" s="39" t="inlineStr">
        <is>
          <t>IF(OR(F280="",AK280=""),"",IF(COUNT(AI280:AJ280)=0,"",AK280-LOOKUP(2,1/(AI280:AJ280&lt;&gt;""),AI280:AJ280)))</t>
        </is>
      </c>
      <c r="AY280" s="39" t="inlineStr">
        <is>
          <t>IF(OR(F280="",AL280=""),"",IF(COUNT(AI280:AK280)=0,"",AL280-LOOKUP(2,1/(AI280:AK280&lt;&gt;""),AI280:AK280)))</t>
        </is>
      </c>
      <c r="AZ280" s="39" t="inlineStr">
        <is>
          <t>IF(OR(F280="",AM280=""),"",IF(COUNT(AI280:AL280)=0,"",AM280-LOOKUP(2,1/(AI280:AL280&lt;&gt;""),AI280:AL280)))</t>
        </is>
      </c>
      <c r="BA280" s="39" t="inlineStr">
        <is>
          <t>IF(OR(F280="",AN280=""),"",IF(COUNT(AI280:AM280)=0,"",AN280-LOOKUP(2,1/(AI280:AM280&lt;&gt;""),AI280:AM280)))</t>
        </is>
      </c>
      <c r="BB280" s="39" t="inlineStr">
        <is>
          <t>IF(OR(F280="",AO280=""),"",IF(COUNT(AI280:AN280)=0,"",AO280-LOOKUP(2,1/(AI280:AN280&lt;&gt;""),AI280:AN280)))</t>
        </is>
      </c>
      <c r="BC280" s="39" t="inlineStr">
        <is>
          <t>IF(OR(F280="",AP280=""),"",IF(COUNT(AI280:AO280)=0,"",AP280-LOOKUP(2,1/(AI280:AO280&lt;&gt;""),AI280:AO280)))</t>
        </is>
      </c>
      <c r="BD280" s="39" t="inlineStr">
        <is>
          <t>IF(OR(F280="",AQ280=""),"",IF(COUNT(AI280:AP280)=0,"",AQ280-LOOKUP(2,1/(AI280:AP280&lt;&gt;""),AI280:AP280)))</t>
        </is>
      </c>
      <c r="BE280" s="39" t="inlineStr">
        <is>
          <t>IF(OR(F280="",AR280=""),"",IF(COUNT(AI280:AQ280)=0,"",AR280-LOOKUP(2,1/(AI280:AQ280&lt;&gt;""),AI280:AQ280)))</t>
        </is>
      </c>
      <c r="BF280" s="39" t="inlineStr">
        <is>
          <t>IF(OR(F280="",AS280=""),"",IF(COUNT(AI280:AR280)=0,"",AS280-LOOKUP(2,1/(AI280:AR280&lt;&gt;""),AI280:AR280)))</t>
        </is>
      </c>
      <c r="BG280" s="39" t="inlineStr">
        <is>
          <t>IF(OR(F280="",AT280=""),"",IF(COUNT(AI280:AS280)=0,"",AT280-LOOKUP(2,1/(AI280:AS280&lt;&gt;""),AI280:AS280)))</t>
        </is>
      </c>
      <c r="BH280" s="39" t="inlineStr">
        <is>
          <t>IF(OR(F280="",AU280=""),"",IF(COUNT(AI280:AT280)=0,"",AU280-LOOKUP(2,1/(AI280:AT280&lt;&gt;""),AI280:AT280)))</t>
        </is>
      </c>
      <c r="BI280" s="39" t="inlineStr">
        <is>
          <t>IF(OR(F280="",AV280=""),"",IF(COUNT(AI280:AU280)=0,"",AV280-LOOKUP(2,1/(AI280:AU280&lt;&gt;""),AI280:AU280)))</t>
        </is>
      </c>
      <c r="BJ280" s="41" t="inlineStr">
        <is>
          <t>IF(J280="","All_Provinces",IFERROR(VLOOKUP(J280,'09_Lookups'!$A$4:$B$20,2,FALSE),"All_Provinces"))</t>
        </is>
      </c>
      <c r="BK280" s="41" t="inlineStr">
        <is>
          <t>IF(K280="","All_Districts",IFERROR(VLOOKUP(K280,'09_Lookups'!$E$4:$F$42,2,FALSE),"All_Districts"))</t>
        </is>
      </c>
    </row>
    <row r="281" outlineLevel="1" ht="18" customHeight="1">
      <c r="A281" s="42" t="inlineStr">
        <is>
          <t>IF(F281="","",ROW()-3)</t>
        </is>
      </c>
      <c r="B281" s="43" t="inlineStr">
        <is>
          <t>AF2-WSM-08</t>
        </is>
      </c>
      <c r="C281" s="43" t="inlineStr">
        <is>
          <t>Package #8-AF2 WSM: Construction of 1.Ghazgai Check dam in Khake Jabar districts, 2.Toop Dara Check dam and 3.Toot Dara Check dam in Center/ 13th City district Kabul province.</t>
        </is>
      </c>
      <c r="D281" s="43" t="inlineStr">
        <is>
          <t>2 of 3</t>
        </is>
      </c>
      <c r="E281" s="44" t="inlineStr">
        <is>
          <t>AF2-WSM-A-018</t>
        </is>
      </c>
      <c r="F281" s="44" t="inlineStr">
        <is>
          <t>2.Toot Dara Check dam</t>
        </is>
      </c>
      <c r="G281" s="44" t="inlineStr">
        <is>
          <t>Watershed Management</t>
        </is>
      </c>
      <c r="H281" s="44" t="inlineStr">
        <is>
          <t>Check Dam</t>
        </is>
      </c>
      <c r="I281" s="44" t="inlineStr">
        <is>
          <t>Emergency Food Security Project (EFSP) – WBK/AF-2</t>
        </is>
      </c>
      <c r="J281" s="44" t="inlineStr">
        <is>
          <t>Central / Kabul</t>
        </is>
      </c>
      <c r="K281" s="44" t="inlineStr">
        <is>
          <t>Kabul</t>
        </is>
      </c>
      <c r="L281" s="44" t="inlineStr">
        <is>
          <t>Center</t>
        </is>
      </c>
      <c r="M281" s="44" t="inlineStr">
        <is>
          <t>13th district</t>
        </is>
      </c>
      <c r="N281" s="44" t="inlineStr">
        <is>
          <t>World Bank (WBK/AF-2)</t>
        </is>
      </c>
      <c r="O281" s="44" t="inlineStr">
        <is>
          <t>Awarded</t>
        </is>
      </c>
      <c r="P281" s="44" t="inlineStr">
        <is>
          <t>3.WSM awarded contracts</t>
        </is>
      </c>
      <c r="Q281" s="44" t="inlineStr">
        <is>
          <t>ALTIN CONSTRUCTION AND ROAD BUILDING COMPANY (ACC)</t>
        </is>
      </c>
      <c r="R281" s="44" t="inlineStr">
        <is>
          <t>005/2026</t>
        </is>
      </c>
      <c r="S281" s="45" t="n"/>
      <c r="T281" s="46" t="inlineStr">
        <is>
          <t>IF(AQ281="","",AQ281)</t>
        </is>
      </c>
      <c r="U281" s="47" t="n"/>
      <c r="V281" s="48" t="n">
        <v>6.9</v>
      </c>
      <c r="W281" s="47" t="n">
        <v>46253</v>
      </c>
      <c r="X281" s="46" t="inlineStr">
        <is>
          <t>IF(W281&lt;&gt;"",W281,IF(OR(T281="",V281=""),"",EDATE(T281,V281)))</t>
        </is>
      </c>
      <c r="Y281" s="47" t="n"/>
      <c r="Z281" s="48" t="n">
        <v>100</v>
      </c>
      <c r="AA281" s="44" t="inlineStr">
        <is>
          <t>Completed / Handover</t>
        </is>
      </c>
      <c r="AB281" s="44" t="inlineStr">
        <is>
          <t>Completed on July, 2026</t>
        </is>
      </c>
      <c r="AC281" s="42" t="inlineStr">
        <is>
          <t>IF(F281="","",IF(COUNT(AI281:AV281)=0,IF(AA281="","Not started",AA281),SUBSTITUTE(LOOKUP(2,1/(AI281:AV281&lt;&gt;""),$AI$3:$AV$3),"Date: ","")))</t>
        </is>
      </c>
      <c r="AD281" s="49" t="inlineStr">
        <is>
          <t>IF(OR(F281="",COUNT(AI281:AV281)=0),"",TODAY()-LOOKUP(2,1/(AI281:AV281&lt;&gt;""),AI281:AV281))</t>
        </is>
      </c>
      <c r="AE281" s="49" t="inlineStr">
        <is>
          <t>IF(OR(F281="",COUNT(AI281:AV281)&lt;2),"",LOOKUP(2,1/(AI281:AV281&lt;&gt;""),AI281:AV281)-MIN(AI281:AV281))</t>
        </is>
      </c>
      <c r="AF281" s="49" t="inlineStr">
        <is>
          <t>IF(OR(AD281="",AC281="Not started",AC281=""),"",IFERROR(AD281-IF(VLOOKUP(AC281,'06_Status_Pipeline'!$B$3:$E$20,4,FALSE)="",0,VLOOKUP(AC281,'06_Status_Pipeline'!$B$3:$E$20,4,FALSE)),""))</t>
        </is>
      </c>
      <c r="AG281" s="42" t="inlineStr">
        <is>
          <t>IF(F281="","",IF(OR(AA281="Cancelled",AC281="Cancelled"),"Cancelled",IF(OR(AC281="Completed / Handover",Y281&lt;&gt;"",Z281&gt;=100),"Completed — on track",IF(O281="Not awarded",IF(U281="",IF(X281="","No planned date",IF(TODAY()&gt;X281,"Behind — past planned date",IF(X281-TODAY()&lt;=30,"At risk — close to off track","On track"))),IF(TODAY()&gt;U281,"Behind — award date passed",IF(U281-TODAY()&lt;=30,"At risk — close to off track","On track"))),IF(X281="","No planned date",IF(AND(TODAY()&gt;X281,OR(Z281="",Z281&lt;100)),"Behind — past end date",IF(AND(T281&lt;&gt;"",X281&lt;&gt;"",Z281&lt;&gt;"",(Z281&lt;100),((TODAY()-T281)/MAX(X281-T281,1)*100)-Z281&gt;15),"Behind — progress lag",IF(AND(X281-TODAY()&lt;=30,X281-TODAY()&gt;=0,OR(Z281="",Z281&lt;90)),"At risk — close to off track","On track"))))))))</t>
        </is>
      </c>
      <c r="AH281" s="49" t="inlineStr">
        <is>
          <t>IF(OR(F281="",AC281="Completed / Handover",AC281="Cancelled"),"",IF(O281="Not awarded",IF(U281&lt;&gt;"",U281-TODAY(),IF(X281="","",X281-TODAY())),IF(X281="","",X281-TODAY())))</t>
        </is>
      </c>
      <c r="AI281" s="67" t="n"/>
      <c r="AJ281" s="67" t="n"/>
      <c r="AK281" s="67" t="n"/>
      <c r="AL281" s="67" t="n"/>
      <c r="AM281" s="67" t="n"/>
      <c r="AN281" s="67" t="n"/>
      <c r="AO281" s="67" t="n"/>
      <c r="AP281" s="67" t="n"/>
      <c r="AQ281" s="67" t="n">
        <v>46042</v>
      </c>
      <c r="AR281" s="67" t="n">
        <v>46042</v>
      </c>
      <c r="AS281" s="67" t="n">
        <v>46253</v>
      </c>
      <c r="AT281" s="50" t="n"/>
      <c r="AU281" s="50" t="n"/>
      <c r="AV281" s="50" t="n"/>
      <c r="AW281" s="49" t="inlineStr">
        <is>
          <t>IF(OR(F281="",AJ281=""),"",IF(COUNT(AI281:AI281)=0,"",AJ281-LOOKUP(2,1/(AI281:AI281&lt;&gt;""),AI281:AI281)))</t>
        </is>
      </c>
      <c r="AX281" s="49" t="inlineStr">
        <is>
          <t>IF(OR(F281="",AK281=""),"",IF(COUNT(AI281:AJ281)=0,"",AK281-LOOKUP(2,1/(AI281:AJ281&lt;&gt;""),AI281:AJ281)))</t>
        </is>
      </c>
      <c r="AY281" s="49" t="inlineStr">
        <is>
          <t>IF(OR(F281="",AL281=""),"",IF(COUNT(AI281:AK281)=0,"",AL281-LOOKUP(2,1/(AI281:AK281&lt;&gt;""),AI281:AK281)))</t>
        </is>
      </c>
      <c r="AZ281" s="49" t="inlineStr">
        <is>
          <t>IF(OR(F281="",AM281=""),"",IF(COUNT(AI281:AL281)=0,"",AM281-LOOKUP(2,1/(AI281:AL281&lt;&gt;""),AI281:AL281)))</t>
        </is>
      </c>
      <c r="BA281" s="49" t="inlineStr">
        <is>
          <t>IF(OR(F281="",AN281=""),"",IF(COUNT(AI281:AM281)=0,"",AN281-LOOKUP(2,1/(AI281:AM281&lt;&gt;""),AI281:AM281)))</t>
        </is>
      </c>
      <c r="BB281" s="49" t="inlineStr">
        <is>
          <t>IF(OR(F281="",AO281=""),"",IF(COUNT(AI281:AN281)=0,"",AO281-LOOKUP(2,1/(AI281:AN281&lt;&gt;""),AI281:AN281)))</t>
        </is>
      </c>
      <c r="BC281" s="49" t="inlineStr">
        <is>
          <t>IF(OR(F281="",AP281=""),"",IF(COUNT(AI281:AO281)=0,"",AP281-LOOKUP(2,1/(AI281:AO281&lt;&gt;""),AI281:AO281)))</t>
        </is>
      </c>
      <c r="BD281" s="49" t="inlineStr">
        <is>
          <t>IF(OR(F281="",AQ281=""),"",IF(COUNT(AI281:AP281)=0,"",AQ281-LOOKUP(2,1/(AI281:AP281&lt;&gt;""),AI281:AP281)))</t>
        </is>
      </c>
      <c r="BE281" s="49" t="inlineStr">
        <is>
          <t>IF(OR(F281="",AR281=""),"",IF(COUNT(AI281:AQ281)=0,"",AR281-LOOKUP(2,1/(AI281:AQ281&lt;&gt;""),AI281:AQ281)))</t>
        </is>
      </c>
      <c r="BF281" s="49" t="inlineStr">
        <is>
          <t>IF(OR(F281="",AS281=""),"",IF(COUNT(AI281:AR281)=0,"",AS281-LOOKUP(2,1/(AI281:AR281&lt;&gt;""),AI281:AR281)))</t>
        </is>
      </c>
      <c r="BG281" s="49" t="inlineStr">
        <is>
          <t>IF(OR(F281="",AT281=""),"",IF(COUNT(AI281:AS281)=0,"",AT281-LOOKUP(2,1/(AI281:AS281&lt;&gt;""),AI281:AS281)))</t>
        </is>
      </c>
      <c r="BH281" s="49" t="inlineStr">
        <is>
          <t>IF(OR(F281="",AU281=""),"",IF(COUNT(AI281:AT281)=0,"",AU281-LOOKUP(2,1/(AI281:AT281&lt;&gt;""),AI281:AT281)))</t>
        </is>
      </c>
      <c r="BI281" s="49" t="inlineStr">
        <is>
          <t>IF(OR(F281="",AV281=""),"",IF(COUNT(AI281:AU281)=0,"",AV281-LOOKUP(2,1/(AI281:AU281&lt;&gt;""),AI281:AU281)))</t>
        </is>
      </c>
      <c r="BJ281" s="51" t="inlineStr">
        <is>
          <t>IF(J281="","All_Provinces",IFERROR(VLOOKUP(J281,'09_Lookups'!$A$4:$B$20,2,FALSE),"All_Provinces"))</t>
        </is>
      </c>
      <c r="BK281" s="51" t="inlineStr">
        <is>
          <t>IF(K281="","All_Districts",IFERROR(VLOOKUP(K281,'09_Lookups'!$E$4:$F$42,2,FALSE),"All_Districts"))</t>
        </is>
      </c>
    </row>
    <row r="282" outlineLevel="1" ht="18" customHeight="1">
      <c r="A282" s="42" t="inlineStr">
        <is>
          <t>IF(F282="","",ROW()-3)</t>
        </is>
      </c>
      <c r="B282" s="43" t="inlineStr">
        <is>
          <t>AF2-WSM-08</t>
        </is>
      </c>
      <c r="C282" s="43" t="inlineStr">
        <is>
          <t>Package #8-AF2 WSM: Construction of 1.Ghazgai Check dam in Khake Jabar districts, 2.Toop Dara Check dam and 3.Toot Dara Check dam in Center/ 13th City district Kabul province.</t>
        </is>
      </c>
      <c r="D282" s="43" t="inlineStr">
        <is>
          <t>3 of 3</t>
        </is>
      </c>
      <c r="E282" s="52" t="inlineStr">
        <is>
          <t>AF2-WSM-A-019</t>
        </is>
      </c>
      <c r="F282" s="52" t="inlineStr">
        <is>
          <t>3.Ghazgi Check dam</t>
        </is>
      </c>
      <c r="G282" s="52" t="inlineStr">
        <is>
          <t>Watershed Management</t>
        </is>
      </c>
      <c r="H282" s="52" t="inlineStr">
        <is>
          <t>Check Dam</t>
        </is>
      </c>
      <c r="I282" s="52" t="inlineStr">
        <is>
          <t>Emergency Food Security Project (EFSP) – WBK/AF-2</t>
        </is>
      </c>
      <c r="J282" s="52" t="inlineStr">
        <is>
          <t>Central / Kabul</t>
        </is>
      </c>
      <c r="K282" s="52" t="inlineStr">
        <is>
          <t>Kabul</t>
        </is>
      </c>
      <c r="L282" s="52" t="inlineStr">
        <is>
          <t>Khake Jabar</t>
        </is>
      </c>
      <c r="M282" s="52" t="inlineStr">
        <is>
          <t>Ghazgai</t>
        </is>
      </c>
      <c r="N282" s="52" t="inlineStr">
        <is>
          <t>World Bank (WBK/AF-2)</t>
        </is>
      </c>
      <c r="O282" s="52" t="inlineStr">
        <is>
          <t>Awarded</t>
        </is>
      </c>
      <c r="P282" s="52" t="inlineStr">
        <is>
          <t>3.WSM awarded contracts</t>
        </is>
      </c>
      <c r="Q282" s="52" t="inlineStr">
        <is>
          <t>ALTIN CONSTRUCTION AND ROAD BUILDING COMPANY (ACC)</t>
        </is>
      </c>
      <c r="R282" s="52" t="inlineStr">
        <is>
          <t>005/2026</t>
        </is>
      </c>
      <c r="S282" s="53" t="n"/>
      <c r="T282" s="46" t="inlineStr">
        <is>
          <t>IF(AQ282="","",AQ282)</t>
        </is>
      </c>
      <c r="U282" s="54" t="n"/>
      <c r="V282" s="55" t="n">
        <v>6.9</v>
      </c>
      <c r="W282" s="54" t="n">
        <v>46253</v>
      </c>
      <c r="X282" s="46" t="inlineStr">
        <is>
          <t>IF(W282&lt;&gt;"",W282,IF(OR(T282="",V282=""),"",EDATE(T282,V282)))</t>
        </is>
      </c>
      <c r="Y282" s="54" t="n"/>
      <c r="Z282" s="55" t="n">
        <v>100</v>
      </c>
      <c r="AA282" s="52" t="inlineStr">
        <is>
          <t>Completed / Handover</t>
        </is>
      </c>
      <c r="AB282" s="52" t="inlineStr">
        <is>
          <t>Completed on July, 2026</t>
        </is>
      </c>
      <c r="AC282" s="42" t="inlineStr">
        <is>
          <t>IF(F282="","",IF(COUNT(AI282:AV282)=0,IF(AA282="","Not started",AA282),SUBSTITUTE(LOOKUP(2,1/(AI282:AV282&lt;&gt;""),$AI$3:$AV$3),"Date: ","")))</t>
        </is>
      </c>
      <c r="AD282" s="49" t="inlineStr">
        <is>
          <t>IF(OR(F282="",COUNT(AI282:AV282)=0),"",TODAY()-LOOKUP(2,1/(AI282:AV282&lt;&gt;""),AI282:AV282))</t>
        </is>
      </c>
      <c r="AE282" s="49" t="inlineStr">
        <is>
          <t>IF(OR(F282="",COUNT(AI282:AV282)&lt;2),"",LOOKUP(2,1/(AI282:AV282&lt;&gt;""),AI282:AV282)-MIN(AI282:AV282))</t>
        </is>
      </c>
      <c r="AF282" s="49" t="inlineStr">
        <is>
          <t>IF(OR(AD282="",AC282="Not started",AC282=""),"",IFERROR(AD282-IF(VLOOKUP(AC282,'06_Status_Pipeline'!$B$3:$E$20,4,FALSE)="",0,VLOOKUP(AC282,'06_Status_Pipeline'!$B$3:$E$20,4,FALSE)),""))</t>
        </is>
      </c>
      <c r="AG282" s="42" t="inlineStr">
        <is>
          <t>IF(F282="","",IF(OR(AA282="Cancelled",AC282="Cancelled"),"Cancelled",IF(OR(AC282="Completed / Handover",Y282&lt;&gt;"",Z282&gt;=100),"Completed — on track",IF(O282="Not awarded",IF(U282="",IF(X282="","No planned date",IF(TODAY()&gt;X282,"Behind — past planned date",IF(X282-TODAY()&lt;=30,"At risk — close to off track","On track"))),IF(TODAY()&gt;U282,"Behind — award date passed",IF(U282-TODAY()&lt;=30,"At risk — close to off track","On track"))),IF(X282="","No planned date",IF(AND(TODAY()&gt;X282,OR(Z282="",Z282&lt;100)),"Behind — past end date",IF(AND(T282&lt;&gt;"",X282&lt;&gt;"",Z282&lt;&gt;"",(Z282&lt;100),((TODAY()-T282)/MAX(X282-T282,1)*100)-Z282&gt;15),"Behind — progress lag",IF(AND(X282-TODAY()&lt;=30,X282-TODAY()&gt;=0,OR(Z282="",Z282&lt;90)),"At risk — close to off track","On track"))))))))</t>
        </is>
      </c>
      <c r="AH282" s="49" t="inlineStr">
        <is>
          <t>IF(OR(F282="",AC282="Completed / Handover",AC282="Cancelled"),"",IF(O282="Not awarded",IF(U282&lt;&gt;"",U282-TODAY(),IF(X282="","",X282-TODAY())),IF(X282="","",X282-TODAY())))</t>
        </is>
      </c>
      <c r="AI282" s="67" t="n"/>
      <c r="AJ282" s="67" t="n"/>
      <c r="AK282" s="67" t="n"/>
      <c r="AL282" s="67" t="n"/>
      <c r="AM282" s="67" t="n"/>
      <c r="AN282" s="67" t="n"/>
      <c r="AO282" s="67" t="n"/>
      <c r="AP282" s="67" t="n"/>
      <c r="AQ282" s="67" t="n">
        <v>46042</v>
      </c>
      <c r="AR282" s="67" t="n">
        <v>46042</v>
      </c>
      <c r="AS282" s="67" t="n">
        <v>46253</v>
      </c>
      <c r="AT282" s="50" t="n"/>
      <c r="AU282" s="50" t="n"/>
      <c r="AV282" s="50" t="n"/>
      <c r="AW282" s="49" t="inlineStr">
        <is>
          <t>IF(OR(F282="",AJ282=""),"",IF(COUNT(AI282:AI282)=0,"",AJ282-LOOKUP(2,1/(AI282:AI282&lt;&gt;""),AI282:AI282)))</t>
        </is>
      </c>
      <c r="AX282" s="49" t="inlineStr">
        <is>
          <t>IF(OR(F282="",AK282=""),"",IF(COUNT(AI282:AJ282)=0,"",AK282-LOOKUP(2,1/(AI282:AJ282&lt;&gt;""),AI282:AJ282)))</t>
        </is>
      </c>
      <c r="AY282" s="49" t="inlineStr">
        <is>
          <t>IF(OR(F282="",AL282=""),"",IF(COUNT(AI282:AK282)=0,"",AL282-LOOKUP(2,1/(AI282:AK282&lt;&gt;""),AI282:AK282)))</t>
        </is>
      </c>
      <c r="AZ282" s="49" t="inlineStr">
        <is>
          <t>IF(OR(F282="",AM282=""),"",IF(COUNT(AI282:AL282)=0,"",AM282-LOOKUP(2,1/(AI282:AL282&lt;&gt;""),AI282:AL282)))</t>
        </is>
      </c>
      <c r="BA282" s="49" t="inlineStr">
        <is>
          <t>IF(OR(F282="",AN282=""),"",IF(COUNT(AI282:AM282)=0,"",AN282-LOOKUP(2,1/(AI282:AM282&lt;&gt;""),AI282:AM282)))</t>
        </is>
      </c>
      <c r="BB282" s="49" t="inlineStr">
        <is>
          <t>IF(OR(F282="",AO282=""),"",IF(COUNT(AI282:AN282)=0,"",AO282-LOOKUP(2,1/(AI282:AN282&lt;&gt;""),AI282:AN282)))</t>
        </is>
      </c>
      <c r="BC282" s="49" t="inlineStr">
        <is>
          <t>IF(OR(F282="",AP282=""),"",IF(COUNT(AI282:AO282)=0,"",AP282-LOOKUP(2,1/(AI282:AO282&lt;&gt;""),AI282:AO282)))</t>
        </is>
      </c>
      <c r="BD282" s="49" t="inlineStr">
        <is>
          <t>IF(OR(F282="",AQ282=""),"",IF(COUNT(AI282:AP282)=0,"",AQ282-LOOKUP(2,1/(AI282:AP282&lt;&gt;""),AI282:AP282)))</t>
        </is>
      </c>
      <c r="BE282" s="49" t="inlineStr">
        <is>
          <t>IF(OR(F282="",AR282=""),"",IF(COUNT(AI282:AQ282)=0,"",AR282-LOOKUP(2,1/(AI282:AQ282&lt;&gt;""),AI282:AQ282)))</t>
        </is>
      </c>
      <c r="BF282" s="49" t="inlineStr">
        <is>
          <t>IF(OR(F282="",AS282=""),"",IF(COUNT(AI282:AR282)=0,"",AS282-LOOKUP(2,1/(AI282:AR282&lt;&gt;""),AI282:AR282)))</t>
        </is>
      </c>
      <c r="BG282" s="49" t="inlineStr">
        <is>
          <t>IF(OR(F282="",AT282=""),"",IF(COUNT(AI282:AS282)=0,"",AT282-LOOKUP(2,1/(AI282:AS282&lt;&gt;""),AI282:AS282)))</t>
        </is>
      </c>
      <c r="BH282" s="49" t="inlineStr">
        <is>
          <t>IF(OR(F282="",AU282=""),"",IF(COUNT(AI282:AT282)=0,"",AU282-LOOKUP(2,1/(AI282:AT282&lt;&gt;""),AI282:AT282)))</t>
        </is>
      </c>
      <c r="BI282" s="49" t="inlineStr">
        <is>
          <t>IF(OR(F282="",AV282=""),"",IF(COUNT(AI282:AU282)=0,"",AV282-LOOKUP(2,1/(AI282:AU282&lt;&gt;""),AI282:AU282)))</t>
        </is>
      </c>
      <c r="BJ282" s="51" t="inlineStr">
        <is>
          <t>IF(J282="","All_Provinces",IFERROR(VLOOKUP(J282,'09_Lookups'!$A$4:$B$20,2,FALSE),"All_Provinces"))</t>
        </is>
      </c>
      <c r="BK282" s="51" t="inlineStr">
        <is>
          <t>IF(K282="","All_Districts",IFERROR(VLOOKUP(K282,'09_Lookups'!$E$4:$F$42,2,FALSE),"All_Districts"))</t>
        </is>
      </c>
    </row>
    <row r="283" ht="18" customHeight="1">
      <c r="A283" s="32" t="inlineStr">
        <is>
          <t>IF(F283="","",ROW()-3)</t>
        </is>
      </c>
      <c r="B283" s="56" t="inlineStr">
        <is>
          <t>AF2-WSM-09</t>
        </is>
      </c>
      <c r="C283" s="56" t="inlineStr">
        <is>
          <t>Package #9-AF2 WSM: Construction of 1.Aka Khil Check dam and 2. Sra Qala Check dam in Sayed district, 3.Khar Check dam and 4.Mardala Check dam, located in Jaghatu districts of Wardak province.</t>
        </is>
      </c>
      <c r="D283" s="56" t="inlineStr">
        <is>
          <t>1 of 4</t>
        </is>
      </c>
      <c r="E283" s="57" t="inlineStr">
        <is>
          <t>AF2-WSM-A-020</t>
        </is>
      </c>
      <c r="F283" s="57" t="inlineStr">
        <is>
          <t>1.Aka Khil Check dams</t>
        </is>
      </c>
      <c r="G283" s="57" t="inlineStr">
        <is>
          <t>Watershed Management</t>
        </is>
      </c>
      <c r="H283" s="57" t="inlineStr">
        <is>
          <t>Check Dam</t>
        </is>
      </c>
      <c r="I283" s="57" t="inlineStr">
        <is>
          <t>Emergency Food Security Project (EFSP) – WBK/AF-2</t>
        </is>
      </c>
      <c r="J283" s="57" t="inlineStr">
        <is>
          <t>Central / Kabul</t>
        </is>
      </c>
      <c r="K283" s="57" t="inlineStr">
        <is>
          <t>Maidan Wardak</t>
        </is>
      </c>
      <c r="L283" s="57" t="inlineStr">
        <is>
          <t>Sayed Abad</t>
        </is>
      </c>
      <c r="M283" s="57" t="inlineStr">
        <is>
          <t>Aka Khil</t>
        </is>
      </c>
      <c r="N283" s="57" t="inlineStr">
        <is>
          <t>World Bank (WBK/AF-2)</t>
        </is>
      </c>
      <c r="O283" s="57" t="inlineStr">
        <is>
          <t>Awarded</t>
        </is>
      </c>
      <c r="P283" s="57" t="inlineStr">
        <is>
          <t>3.WSM awarded contracts</t>
        </is>
      </c>
      <c r="Q283" s="57" t="inlineStr">
        <is>
          <t>Sayed Abad Construction Company (SACC)</t>
        </is>
      </c>
      <c r="R283" s="57" t="inlineStr">
        <is>
          <t>021/2026</t>
        </is>
      </c>
      <c r="S283" s="58" t="n">
        <v>68618.92</v>
      </c>
      <c r="T283" s="36" t="inlineStr">
        <is>
          <t>IF(AQ283="","",AQ283)</t>
        </is>
      </c>
      <c r="U283" s="59" t="n"/>
      <c r="V283" s="60" t="n">
        <v>7</v>
      </c>
      <c r="W283" s="59" t="n">
        <v>46303</v>
      </c>
      <c r="X283" s="36" t="inlineStr">
        <is>
          <t>IF(W283&lt;&gt;"",W283,IF(OR(T283="",V283=""),"",EDATE(T283,V283)))</t>
        </is>
      </c>
      <c r="Y283" s="59" t="n"/>
      <c r="Z283" s="60" t="n">
        <v>100</v>
      </c>
      <c r="AA283" s="57" t="inlineStr">
        <is>
          <t>Completed / Handover</t>
        </is>
      </c>
      <c r="AB283" s="57" t="inlineStr">
        <is>
          <t>Completed on August, 2026</t>
        </is>
      </c>
      <c r="AC283" s="32" t="inlineStr">
        <is>
          <t>IF(F283="","",IF(COUNT(AI283:AV283)=0,IF(AA283="","Not started",AA283),SUBSTITUTE(LOOKUP(2,1/(AI283:AV283&lt;&gt;""),$AI$3:$AV$3),"Date: ","")))</t>
        </is>
      </c>
      <c r="AD283" s="39" t="inlineStr">
        <is>
          <t>IF(OR(F283="",COUNT(AI283:AV283)=0),"",TODAY()-LOOKUP(2,1/(AI283:AV283&lt;&gt;""),AI283:AV283))</t>
        </is>
      </c>
      <c r="AE283" s="39" t="inlineStr">
        <is>
          <t>IF(OR(F283="",COUNT(AI283:AV283)&lt;2),"",LOOKUP(2,1/(AI283:AV283&lt;&gt;""),AI283:AV283)-MIN(AI283:AV283))</t>
        </is>
      </c>
      <c r="AF283" s="39" t="inlineStr">
        <is>
          <t>IF(OR(AD283="",AC283="Not started",AC283=""),"",IFERROR(AD283-IF(VLOOKUP(AC283,'06_Status_Pipeline'!$B$3:$E$20,4,FALSE)="",0,VLOOKUP(AC283,'06_Status_Pipeline'!$B$3:$E$20,4,FALSE)),""))</t>
        </is>
      </c>
      <c r="AG283" s="32" t="inlineStr">
        <is>
          <t>IF(F283="","",IF(OR(AA283="Cancelled",AC283="Cancelled"),"Cancelled",IF(OR(AC283="Completed / Handover",Y283&lt;&gt;"",Z283&gt;=100),"Completed — on track",IF(O283="Not awarded",IF(U283="",IF(X283="","No planned date",IF(TODAY()&gt;X283,"Behind — past planned date",IF(X283-TODAY()&lt;=30,"At risk — close to off track","On track"))),IF(TODAY()&gt;U283,"Behind — award date passed",IF(U283-TODAY()&lt;=30,"At risk — close to off track","On track"))),IF(X283="","No planned date",IF(AND(TODAY()&gt;X283,OR(Z283="",Z283&lt;100)),"Behind — past end date",IF(AND(T283&lt;&gt;"",X283&lt;&gt;"",Z283&lt;&gt;"",(Z283&lt;100),((TODAY()-T283)/MAX(X283-T283,1)*100)-Z283&gt;15),"Behind — progress lag",IF(AND(X283-TODAY()&lt;=30,X283-TODAY()&gt;=0,OR(Z283="",Z283&lt;90)),"At risk — close to off track","On track"))))))))</t>
        </is>
      </c>
      <c r="AH283" s="39" t="inlineStr">
        <is>
          <t>IF(OR(F283="",AC283="Completed / Handover",AC283="Cancelled"),"",IF(O283="Not awarded",IF(U283&lt;&gt;"",U283-TODAY(),IF(X283="","",X283-TODAY())),IF(X283="","",X283-TODAY())))</t>
        </is>
      </c>
      <c r="AI283" s="66" t="n"/>
      <c r="AJ283" s="66" t="n"/>
      <c r="AK283" s="66" t="n"/>
      <c r="AL283" s="66" t="n"/>
      <c r="AM283" s="66" t="n"/>
      <c r="AN283" s="66" t="n"/>
      <c r="AO283" s="66" t="n"/>
      <c r="AP283" s="66" t="n"/>
      <c r="AQ283" s="66" t="n">
        <v>46091</v>
      </c>
      <c r="AR283" s="66" t="n">
        <v>46091</v>
      </c>
      <c r="AS283" s="66" t="n">
        <v>46303</v>
      </c>
      <c r="AT283" s="40" t="n"/>
      <c r="AU283" s="40" t="n"/>
      <c r="AV283" s="40" t="n"/>
      <c r="AW283" s="39" t="inlineStr">
        <is>
          <t>IF(OR(F283="",AJ283=""),"",IF(COUNT(AI283:AI283)=0,"",AJ283-LOOKUP(2,1/(AI283:AI283&lt;&gt;""),AI283:AI283)))</t>
        </is>
      </c>
      <c r="AX283" s="39" t="inlineStr">
        <is>
          <t>IF(OR(F283="",AK283=""),"",IF(COUNT(AI283:AJ283)=0,"",AK283-LOOKUP(2,1/(AI283:AJ283&lt;&gt;""),AI283:AJ283)))</t>
        </is>
      </c>
      <c r="AY283" s="39" t="inlineStr">
        <is>
          <t>IF(OR(F283="",AL283=""),"",IF(COUNT(AI283:AK283)=0,"",AL283-LOOKUP(2,1/(AI283:AK283&lt;&gt;""),AI283:AK283)))</t>
        </is>
      </c>
      <c r="AZ283" s="39" t="inlineStr">
        <is>
          <t>IF(OR(F283="",AM283=""),"",IF(COUNT(AI283:AL283)=0,"",AM283-LOOKUP(2,1/(AI283:AL283&lt;&gt;""),AI283:AL283)))</t>
        </is>
      </c>
      <c r="BA283" s="39" t="inlineStr">
        <is>
          <t>IF(OR(F283="",AN283=""),"",IF(COUNT(AI283:AM283)=0,"",AN283-LOOKUP(2,1/(AI283:AM283&lt;&gt;""),AI283:AM283)))</t>
        </is>
      </c>
      <c r="BB283" s="39" t="inlineStr">
        <is>
          <t>IF(OR(F283="",AO283=""),"",IF(COUNT(AI283:AN283)=0,"",AO283-LOOKUP(2,1/(AI283:AN283&lt;&gt;""),AI283:AN283)))</t>
        </is>
      </c>
      <c r="BC283" s="39" t="inlineStr">
        <is>
          <t>IF(OR(F283="",AP283=""),"",IF(COUNT(AI283:AO283)=0,"",AP283-LOOKUP(2,1/(AI283:AO283&lt;&gt;""),AI283:AO283)))</t>
        </is>
      </c>
      <c r="BD283" s="39" t="inlineStr">
        <is>
          <t>IF(OR(F283="",AQ283=""),"",IF(COUNT(AI283:AP283)=0,"",AQ283-LOOKUP(2,1/(AI283:AP283&lt;&gt;""),AI283:AP283)))</t>
        </is>
      </c>
      <c r="BE283" s="39" t="inlineStr">
        <is>
          <t>IF(OR(F283="",AR283=""),"",IF(COUNT(AI283:AQ283)=0,"",AR283-LOOKUP(2,1/(AI283:AQ283&lt;&gt;""),AI283:AQ283)))</t>
        </is>
      </c>
      <c r="BF283" s="39" t="inlineStr">
        <is>
          <t>IF(OR(F283="",AS283=""),"",IF(COUNT(AI283:AR283)=0,"",AS283-LOOKUP(2,1/(AI283:AR283&lt;&gt;""),AI283:AR283)))</t>
        </is>
      </c>
      <c r="BG283" s="39" t="inlineStr">
        <is>
          <t>IF(OR(F283="",AT283=""),"",IF(COUNT(AI283:AS283)=0,"",AT283-LOOKUP(2,1/(AI283:AS283&lt;&gt;""),AI283:AS283)))</t>
        </is>
      </c>
      <c r="BH283" s="39" t="inlineStr">
        <is>
          <t>IF(OR(F283="",AU283=""),"",IF(COUNT(AI283:AT283)=0,"",AU283-LOOKUP(2,1/(AI283:AT283&lt;&gt;""),AI283:AT283)))</t>
        </is>
      </c>
      <c r="BI283" s="39" t="inlineStr">
        <is>
          <t>IF(OR(F283="",AV283=""),"",IF(COUNT(AI283:AU283)=0,"",AV283-LOOKUP(2,1/(AI283:AU283&lt;&gt;""),AI283:AU283)))</t>
        </is>
      </c>
      <c r="BJ283" s="41" t="inlineStr">
        <is>
          <t>IF(J283="","All_Provinces",IFERROR(VLOOKUP(J283,'09_Lookups'!$A$4:$B$20,2,FALSE),"All_Provinces"))</t>
        </is>
      </c>
      <c r="BK283" s="41" t="inlineStr">
        <is>
          <t>IF(K283="","All_Districts",IFERROR(VLOOKUP(K283,'09_Lookups'!$E$4:$F$42,2,FALSE),"All_Districts"))</t>
        </is>
      </c>
    </row>
    <row r="284" outlineLevel="1" ht="18" customHeight="1">
      <c r="A284" s="42" t="inlineStr">
        <is>
          <t>IF(F284="","",ROW()-3)</t>
        </is>
      </c>
      <c r="B284" s="61" t="inlineStr">
        <is>
          <t>AF2-WSM-09</t>
        </is>
      </c>
      <c r="C284" s="61" t="inlineStr">
        <is>
          <t>Package #9-AF2 WSM: Construction of 1.Aka Khil Check dam and 2. Sra Qala Check dam in Sayed district, 3.Khar Check dam and 4.Mardala Check dam, located in Jaghatu districts of Wardak province.</t>
        </is>
      </c>
      <c r="D284" s="61" t="inlineStr">
        <is>
          <t>2 of 4</t>
        </is>
      </c>
      <c r="E284" s="52" t="inlineStr">
        <is>
          <t>AF2-WSM-A-021</t>
        </is>
      </c>
      <c r="F284" s="52" t="inlineStr">
        <is>
          <t>2.Sra Qala Check dams</t>
        </is>
      </c>
      <c r="G284" s="52" t="inlineStr">
        <is>
          <t>Watershed Management</t>
        </is>
      </c>
      <c r="H284" s="52" t="inlineStr">
        <is>
          <t>Check Dam</t>
        </is>
      </c>
      <c r="I284" s="52" t="inlineStr">
        <is>
          <t>Emergency Food Security Project (EFSP) – WBK/AF-2</t>
        </is>
      </c>
      <c r="J284" s="52" t="inlineStr">
        <is>
          <t>Central / Kabul</t>
        </is>
      </c>
      <c r="K284" s="52" t="inlineStr">
        <is>
          <t>Maidan Wardak</t>
        </is>
      </c>
      <c r="L284" s="52" t="inlineStr">
        <is>
          <t>Sayed Abad</t>
        </is>
      </c>
      <c r="M284" s="52" t="inlineStr">
        <is>
          <t>Sra Qala</t>
        </is>
      </c>
      <c r="N284" s="52" t="inlineStr">
        <is>
          <t>World Bank (WBK/AF-2)</t>
        </is>
      </c>
      <c r="O284" s="52" t="inlineStr">
        <is>
          <t>Awarded</t>
        </is>
      </c>
      <c r="P284" s="52" t="inlineStr">
        <is>
          <t>3.WSM awarded contracts</t>
        </is>
      </c>
      <c r="Q284" s="52" t="inlineStr">
        <is>
          <t>Sayed Abad Construction Company (SACC)</t>
        </is>
      </c>
      <c r="R284" s="52" t="inlineStr">
        <is>
          <t>021/2026</t>
        </is>
      </c>
      <c r="S284" s="53" t="n"/>
      <c r="T284" s="46" t="inlineStr">
        <is>
          <t>IF(AQ284="","",AQ284)</t>
        </is>
      </c>
      <c r="U284" s="54" t="n"/>
      <c r="V284" s="55" t="n">
        <v>7</v>
      </c>
      <c r="W284" s="54" t="n">
        <v>46303</v>
      </c>
      <c r="X284" s="46" t="inlineStr">
        <is>
          <t>IF(W284&lt;&gt;"",W284,IF(OR(T284="",V284=""),"",EDATE(T284,V284)))</t>
        </is>
      </c>
      <c r="Y284" s="54" t="n"/>
      <c r="Z284" s="55" t="n">
        <v>100</v>
      </c>
      <c r="AA284" s="52" t="inlineStr">
        <is>
          <t>Completed / Handover</t>
        </is>
      </c>
      <c r="AB284" s="52" t="inlineStr">
        <is>
          <t>Completed on August, 2026</t>
        </is>
      </c>
      <c r="AC284" s="42" t="inlineStr">
        <is>
          <t>IF(F284="","",IF(COUNT(AI284:AV284)=0,IF(AA284="","Not started",AA284),SUBSTITUTE(LOOKUP(2,1/(AI284:AV284&lt;&gt;""),$AI$3:$AV$3),"Date: ","")))</t>
        </is>
      </c>
      <c r="AD284" s="49" t="inlineStr">
        <is>
          <t>IF(OR(F284="",COUNT(AI284:AV284)=0),"",TODAY()-LOOKUP(2,1/(AI284:AV284&lt;&gt;""),AI284:AV284))</t>
        </is>
      </c>
      <c r="AE284" s="49" t="inlineStr">
        <is>
          <t>IF(OR(F284="",COUNT(AI284:AV284)&lt;2),"",LOOKUP(2,1/(AI284:AV284&lt;&gt;""),AI284:AV284)-MIN(AI284:AV284))</t>
        </is>
      </c>
      <c r="AF284" s="49" t="inlineStr">
        <is>
          <t>IF(OR(AD284="",AC284="Not started",AC284=""),"",IFERROR(AD284-IF(VLOOKUP(AC284,'06_Status_Pipeline'!$B$3:$E$20,4,FALSE)="",0,VLOOKUP(AC284,'06_Status_Pipeline'!$B$3:$E$20,4,FALSE)),""))</t>
        </is>
      </c>
      <c r="AG284" s="42" t="inlineStr">
        <is>
          <t>IF(F284="","",IF(OR(AA284="Cancelled",AC284="Cancelled"),"Cancelled",IF(OR(AC284="Completed / Handover",Y284&lt;&gt;"",Z284&gt;=100),"Completed — on track",IF(O284="Not awarded",IF(U284="",IF(X284="","No planned date",IF(TODAY()&gt;X284,"Behind — past planned date",IF(X284-TODAY()&lt;=30,"At risk — close to off track","On track"))),IF(TODAY()&gt;U284,"Behind — award date passed",IF(U284-TODAY()&lt;=30,"At risk — close to off track","On track"))),IF(X284="","No planned date",IF(AND(TODAY()&gt;X284,OR(Z284="",Z284&lt;100)),"Behind — past end date",IF(AND(T284&lt;&gt;"",X284&lt;&gt;"",Z284&lt;&gt;"",(Z284&lt;100),((TODAY()-T284)/MAX(X284-T284,1)*100)-Z284&gt;15),"Behind — progress lag",IF(AND(X284-TODAY()&lt;=30,X284-TODAY()&gt;=0,OR(Z284="",Z284&lt;90)),"At risk — close to off track","On track"))))))))</t>
        </is>
      </c>
      <c r="AH284" s="49" t="inlineStr">
        <is>
          <t>IF(OR(F284="",AC284="Completed / Handover",AC284="Cancelled"),"",IF(O284="Not awarded",IF(U284&lt;&gt;"",U284-TODAY(),IF(X284="","",X284-TODAY())),IF(X284="","",X284-TODAY())))</t>
        </is>
      </c>
      <c r="AI284" s="67" t="n"/>
      <c r="AJ284" s="67" t="n"/>
      <c r="AK284" s="67" t="n"/>
      <c r="AL284" s="67" t="n"/>
      <c r="AM284" s="67" t="n"/>
      <c r="AN284" s="67" t="n"/>
      <c r="AO284" s="67" t="n"/>
      <c r="AP284" s="67" t="n"/>
      <c r="AQ284" s="67" t="n">
        <v>46091</v>
      </c>
      <c r="AR284" s="67" t="n">
        <v>46091</v>
      </c>
      <c r="AS284" s="67" t="n">
        <v>46303</v>
      </c>
      <c r="AT284" s="50" t="n"/>
      <c r="AU284" s="50" t="n"/>
      <c r="AV284" s="50" t="n"/>
      <c r="AW284" s="49" t="inlineStr">
        <is>
          <t>IF(OR(F284="",AJ284=""),"",IF(COUNT(AI284:AI284)=0,"",AJ284-LOOKUP(2,1/(AI284:AI284&lt;&gt;""),AI284:AI284)))</t>
        </is>
      </c>
      <c r="AX284" s="49" t="inlineStr">
        <is>
          <t>IF(OR(F284="",AK284=""),"",IF(COUNT(AI284:AJ284)=0,"",AK284-LOOKUP(2,1/(AI284:AJ284&lt;&gt;""),AI284:AJ284)))</t>
        </is>
      </c>
      <c r="AY284" s="49" t="inlineStr">
        <is>
          <t>IF(OR(F284="",AL284=""),"",IF(COUNT(AI284:AK284)=0,"",AL284-LOOKUP(2,1/(AI284:AK284&lt;&gt;""),AI284:AK284)))</t>
        </is>
      </c>
      <c r="AZ284" s="49" t="inlineStr">
        <is>
          <t>IF(OR(F284="",AM284=""),"",IF(COUNT(AI284:AL284)=0,"",AM284-LOOKUP(2,1/(AI284:AL284&lt;&gt;""),AI284:AL284)))</t>
        </is>
      </c>
      <c r="BA284" s="49" t="inlineStr">
        <is>
          <t>IF(OR(F284="",AN284=""),"",IF(COUNT(AI284:AM284)=0,"",AN284-LOOKUP(2,1/(AI284:AM284&lt;&gt;""),AI284:AM284)))</t>
        </is>
      </c>
      <c r="BB284" s="49" t="inlineStr">
        <is>
          <t>IF(OR(F284="",AO284=""),"",IF(COUNT(AI284:AN284)=0,"",AO284-LOOKUP(2,1/(AI284:AN284&lt;&gt;""),AI284:AN284)))</t>
        </is>
      </c>
      <c r="BC284" s="49" t="inlineStr">
        <is>
          <t>IF(OR(F284="",AP284=""),"",IF(COUNT(AI284:AO284)=0,"",AP284-LOOKUP(2,1/(AI284:AO284&lt;&gt;""),AI284:AO284)))</t>
        </is>
      </c>
      <c r="BD284" s="49" t="inlineStr">
        <is>
          <t>IF(OR(F284="",AQ284=""),"",IF(COUNT(AI284:AP284)=0,"",AQ284-LOOKUP(2,1/(AI284:AP284&lt;&gt;""),AI284:AP284)))</t>
        </is>
      </c>
      <c r="BE284" s="49" t="inlineStr">
        <is>
          <t>IF(OR(F284="",AR284=""),"",IF(COUNT(AI284:AQ284)=0,"",AR284-LOOKUP(2,1/(AI284:AQ284&lt;&gt;""),AI284:AQ284)))</t>
        </is>
      </c>
      <c r="BF284" s="49" t="inlineStr">
        <is>
          <t>IF(OR(F284="",AS284=""),"",IF(COUNT(AI284:AR284)=0,"",AS284-LOOKUP(2,1/(AI284:AR284&lt;&gt;""),AI284:AR284)))</t>
        </is>
      </c>
      <c r="BG284" s="49" t="inlineStr">
        <is>
          <t>IF(OR(F284="",AT284=""),"",IF(COUNT(AI284:AS284)=0,"",AT284-LOOKUP(2,1/(AI284:AS284&lt;&gt;""),AI284:AS284)))</t>
        </is>
      </c>
      <c r="BH284" s="49" t="inlineStr">
        <is>
          <t>IF(OR(F284="",AU284=""),"",IF(COUNT(AI284:AT284)=0,"",AU284-LOOKUP(2,1/(AI284:AT284&lt;&gt;""),AI284:AT284)))</t>
        </is>
      </c>
      <c r="BI284" s="49" t="inlineStr">
        <is>
          <t>IF(OR(F284="",AV284=""),"",IF(COUNT(AI284:AU284)=0,"",AV284-LOOKUP(2,1/(AI284:AU284&lt;&gt;""),AI284:AU284)))</t>
        </is>
      </c>
      <c r="BJ284" s="51" t="inlineStr">
        <is>
          <t>IF(J284="","All_Provinces",IFERROR(VLOOKUP(J284,'09_Lookups'!$A$4:$B$20,2,FALSE),"All_Provinces"))</t>
        </is>
      </c>
      <c r="BK284" s="51" t="inlineStr">
        <is>
          <t>IF(K284="","All_Districts",IFERROR(VLOOKUP(K284,'09_Lookups'!$E$4:$F$42,2,FALSE),"All_Districts"))</t>
        </is>
      </c>
    </row>
    <row r="285" outlineLevel="1" ht="18" customHeight="1">
      <c r="A285" s="42" t="inlineStr">
        <is>
          <t>IF(F285="","",ROW()-3)</t>
        </is>
      </c>
      <c r="B285" s="61" t="inlineStr">
        <is>
          <t>AF2-WSM-09</t>
        </is>
      </c>
      <c r="C285" s="61" t="inlineStr">
        <is>
          <t>Package #9-AF2 WSM: Construction of 1.Aka Khil Check dam and 2. Sra Qala Check dam in Sayed district, 3.Khar Check dam and 4.Mardala Check dam, located in Jaghatu districts of Wardak province.</t>
        </is>
      </c>
      <c r="D285" s="61" t="inlineStr">
        <is>
          <t>3 of 4</t>
        </is>
      </c>
      <c r="E285" s="44" t="inlineStr">
        <is>
          <t>AF2-WSM-A-022</t>
        </is>
      </c>
      <c r="F285" s="44" t="inlineStr">
        <is>
          <t>3.Khar Check dams</t>
        </is>
      </c>
      <c r="G285" s="44" t="inlineStr">
        <is>
          <t>Watershed Management</t>
        </is>
      </c>
      <c r="H285" s="44" t="inlineStr">
        <is>
          <t>Check Dam</t>
        </is>
      </c>
      <c r="I285" s="44" t="inlineStr">
        <is>
          <t>Emergency Food Security Project (EFSP) – WBK/AF-2</t>
        </is>
      </c>
      <c r="J285" s="44" t="inlineStr">
        <is>
          <t>Central / Kabul</t>
        </is>
      </c>
      <c r="K285" s="44" t="inlineStr">
        <is>
          <t>Maidan Wardak</t>
        </is>
      </c>
      <c r="L285" s="44" t="inlineStr">
        <is>
          <t>Jaghatu</t>
        </is>
      </c>
      <c r="M285" s="44" t="inlineStr">
        <is>
          <t>Khar</t>
        </is>
      </c>
      <c r="N285" s="44" t="inlineStr">
        <is>
          <t>World Bank (WBK/AF-2)</t>
        </is>
      </c>
      <c r="O285" s="44" t="inlineStr">
        <is>
          <t>Awarded</t>
        </is>
      </c>
      <c r="P285" s="44" t="inlineStr">
        <is>
          <t>3.WSM awarded contracts</t>
        </is>
      </c>
      <c r="Q285" s="44" t="inlineStr">
        <is>
          <t>Sayed Abad Construction Company (SACC)</t>
        </is>
      </c>
      <c r="R285" s="44" t="inlineStr">
        <is>
          <t>021/2026</t>
        </is>
      </c>
      <c r="S285" s="45" t="n"/>
      <c r="T285" s="46" t="inlineStr">
        <is>
          <t>IF(AQ285="","",AQ285)</t>
        </is>
      </c>
      <c r="U285" s="47" t="n"/>
      <c r="V285" s="48" t="n">
        <v>7</v>
      </c>
      <c r="W285" s="47" t="n">
        <v>46303</v>
      </c>
      <c r="X285" s="46" t="inlineStr">
        <is>
          <t>IF(W285&lt;&gt;"",W285,IF(OR(T285="",V285=""),"",EDATE(T285,V285)))</t>
        </is>
      </c>
      <c r="Y285" s="47" t="n"/>
      <c r="Z285" s="48" t="n">
        <v>100</v>
      </c>
      <c r="AA285" s="44" t="inlineStr">
        <is>
          <t>Completed / Handover</t>
        </is>
      </c>
      <c r="AB285" s="44" t="inlineStr">
        <is>
          <t>Completed on August, 2026</t>
        </is>
      </c>
      <c r="AC285" s="42" t="inlineStr">
        <is>
          <t>IF(F285="","",IF(COUNT(AI285:AV285)=0,IF(AA285="","Not started",AA285),SUBSTITUTE(LOOKUP(2,1/(AI285:AV285&lt;&gt;""),$AI$3:$AV$3),"Date: ","")))</t>
        </is>
      </c>
      <c r="AD285" s="49" t="inlineStr">
        <is>
          <t>IF(OR(F285="",COUNT(AI285:AV285)=0),"",TODAY()-LOOKUP(2,1/(AI285:AV285&lt;&gt;""),AI285:AV285))</t>
        </is>
      </c>
      <c r="AE285" s="49" t="inlineStr">
        <is>
          <t>IF(OR(F285="",COUNT(AI285:AV285)&lt;2),"",LOOKUP(2,1/(AI285:AV285&lt;&gt;""),AI285:AV285)-MIN(AI285:AV285))</t>
        </is>
      </c>
      <c r="AF285" s="49" t="inlineStr">
        <is>
          <t>IF(OR(AD285="",AC285="Not started",AC285=""),"",IFERROR(AD285-IF(VLOOKUP(AC285,'06_Status_Pipeline'!$B$3:$E$20,4,FALSE)="",0,VLOOKUP(AC285,'06_Status_Pipeline'!$B$3:$E$20,4,FALSE)),""))</t>
        </is>
      </c>
      <c r="AG285" s="42" t="inlineStr">
        <is>
          <t>IF(F285="","",IF(OR(AA285="Cancelled",AC285="Cancelled"),"Cancelled",IF(OR(AC285="Completed / Handover",Y285&lt;&gt;"",Z285&gt;=100),"Completed — on track",IF(O285="Not awarded",IF(U285="",IF(X285="","No planned date",IF(TODAY()&gt;X285,"Behind — past planned date",IF(X285-TODAY()&lt;=30,"At risk — close to off track","On track"))),IF(TODAY()&gt;U285,"Behind — award date passed",IF(U285-TODAY()&lt;=30,"At risk — close to off track","On track"))),IF(X285="","No planned date",IF(AND(TODAY()&gt;X285,OR(Z285="",Z285&lt;100)),"Behind — past end date",IF(AND(T285&lt;&gt;"",X285&lt;&gt;"",Z285&lt;&gt;"",(Z285&lt;100),((TODAY()-T285)/MAX(X285-T285,1)*100)-Z285&gt;15),"Behind — progress lag",IF(AND(X285-TODAY()&lt;=30,X285-TODAY()&gt;=0,OR(Z285="",Z285&lt;90)),"At risk — close to off track","On track"))))))))</t>
        </is>
      </c>
      <c r="AH285" s="49" t="inlineStr">
        <is>
          <t>IF(OR(F285="",AC285="Completed / Handover",AC285="Cancelled"),"",IF(O285="Not awarded",IF(U285&lt;&gt;"",U285-TODAY(),IF(X285="","",X285-TODAY())),IF(X285="","",X285-TODAY())))</t>
        </is>
      </c>
      <c r="AI285" s="67" t="n"/>
      <c r="AJ285" s="67" t="n"/>
      <c r="AK285" s="67" t="n"/>
      <c r="AL285" s="67" t="n"/>
      <c r="AM285" s="67" t="n"/>
      <c r="AN285" s="67" t="n"/>
      <c r="AO285" s="67" t="n"/>
      <c r="AP285" s="67" t="n"/>
      <c r="AQ285" s="67" t="n">
        <v>46091</v>
      </c>
      <c r="AR285" s="67" t="n">
        <v>46091</v>
      </c>
      <c r="AS285" s="67" t="n">
        <v>46303</v>
      </c>
      <c r="AT285" s="50" t="n"/>
      <c r="AU285" s="50" t="n"/>
      <c r="AV285" s="50" t="n"/>
      <c r="AW285" s="49" t="inlineStr">
        <is>
          <t>IF(OR(F285="",AJ285=""),"",IF(COUNT(AI285:AI285)=0,"",AJ285-LOOKUP(2,1/(AI285:AI285&lt;&gt;""),AI285:AI285)))</t>
        </is>
      </c>
      <c r="AX285" s="49" t="inlineStr">
        <is>
          <t>IF(OR(F285="",AK285=""),"",IF(COUNT(AI285:AJ285)=0,"",AK285-LOOKUP(2,1/(AI285:AJ285&lt;&gt;""),AI285:AJ285)))</t>
        </is>
      </c>
      <c r="AY285" s="49" t="inlineStr">
        <is>
          <t>IF(OR(F285="",AL285=""),"",IF(COUNT(AI285:AK285)=0,"",AL285-LOOKUP(2,1/(AI285:AK285&lt;&gt;""),AI285:AK285)))</t>
        </is>
      </c>
      <c r="AZ285" s="49" t="inlineStr">
        <is>
          <t>IF(OR(F285="",AM285=""),"",IF(COUNT(AI285:AL285)=0,"",AM285-LOOKUP(2,1/(AI285:AL285&lt;&gt;""),AI285:AL285)))</t>
        </is>
      </c>
      <c r="BA285" s="49" t="inlineStr">
        <is>
          <t>IF(OR(F285="",AN285=""),"",IF(COUNT(AI285:AM285)=0,"",AN285-LOOKUP(2,1/(AI285:AM285&lt;&gt;""),AI285:AM285)))</t>
        </is>
      </c>
      <c r="BB285" s="49" t="inlineStr">
        <is>
          <t>IF(OR(F285="",AO285=""),"",IF(COUNT(AI285:AN285)=0,"",AO285-LOOKUP(2,1/(AI285:AN285&lt;&gt;""),AI285:AN285)))</t>
        </is>
      </c>
      <c r="BC285" s="49" t="inlineStr">
        <is>
          <t>IF(OR(F285="",AP285=""),"",IF(COUNT(AI285:AO285)=0,"",AP285-LOOKUP(2,1/(AI285:AO285&lt;&gt;""),AI285:AO285)))</t>
        </is>
      </c>
      <c r="BD285" s="49" t="inlineStr">
        <is>
          <t>IF(OR(F285="",AQ285=""),"",IF(COUNT(AI285:AP285)=0,"",AQ285-LOOKUP(2,1/(AI285:AP285&lt;&gt;""),AI285:AP285)))</t>
        </is>
      </c>
      <c r="BE285" s="49" t="inlineStr">
        <is>
          <t>IF(OR(F285="",AR285=""),"",IF(COUNT(AI285:AQ285)=0,"",AR285-LOOKUP(2,1/(AI285:AQ285&lt;&gt;""),AI285:AQ285)))</t>
        </is>
      </c>
      <c r="BF285" s="49" t="inlineStr">
        <is>
          <t>IF(OR(F285="",AS285=""),"",IF(COUNT(AI285:AR285)=0,"",AS285-LOOKUP(2,1/(AI285:AR285&lt;&gt;""),AI285:AR285)))</t>
        </is>
      </c>
      <c r="BG285" s="49" t="inlineStr">
        <is>
          <t>IF(OR(F285="",AT285=""),"",IF(COUNT(AI285:AS285)=0,"",AT285-LOOKUP(2,1/(AI285:AS285&lt;&gt;""),AI285:AS285)))</t>
        </is>
      </c>
      <c r="BH285" s="49" t="inlineStr">
        <is>
          <t>IF(OR(F285="",AU285=""),"",IF(COUNT(AI285:AT285)=0,"",AU285-LOOKUP(2,1/(AI285:AT285&lt;&gt;""),AI285:AT285)))</t>
        </is>
      </c>
      <c r="BI285" s="49" t="inlineStr">
        <is>
          <t>IF(OR(F285="",AV285=""),"",IF(COUNT(AI285:AU285)=0,"",AV285-LOOKUP(2,1/(AI285:AU285&lt;&gt;""),AI285:AU285)))</t>
        </is>
      </c>
      <c r="BJ285" s="51" t="inlineStr">
        <is>
          <t>IF(J285="","All_Provinces",IFERROR(VLOOKUP(J285,'09_Lookups'!$A$4:$B$20,2,FALSE),"All_Provinces"))</t>
        </is>
      </c>
      <c r="BK285" s="51" t="inlineStr">
        <is>
          <t>IF(K285="","All_Districts",IFERROR(VLOOKUP(K285,'09_Lookups'!$E$4:$F$42,2,FALSE),"All_Districts"))</t>
        </is>
      </c>
    </row>
    <row r="286" outlineLevel="1" ht="18" customHeight="1">
      <c r="A286" s="42" t="inlineStr">
        <is>
          <t>IF(F286="","",ROW()-3)</t>
        </is>
      </c>
      <c r="B286" s="61" t="inlineStr">
        <is>
          <t>AF2-WSM-09</t>
        </is>
      </c>
      <c r="C286" s="61" t="inlineStr">
        <is>
          <t>Package #9-AF2 WSM: Construction of 1.Aka Khil Check dam and 2. Sra Qala Check dam in Sayed district, 3.Khar Check dam and 4.Mardala Check dam, located in Jaghatu districts of Wardak province.</t>
        </is>
      </c>
      <c r="D286" s="61" t="inlineStr">
        <is>
          <t>4 of 4</t>
        </is>
      </c>
      <c r="E286" s="52" t="inlineStr">
        <is>
          <t>AF2-WSM-A-023</t>
        </is>
      </c>
      <c r="F286" s="52" t="inlineStr">
        <is>
          <t>4.Mardala Check dams</t>
        </is>
      </c>
      <c r="G286" s="52" t="inlineStr">
        <is>
          <t>Watershed Management</t>
        </is>
      </c>
      <c r="H286" s="52" t="inlineStr">
        <is>
          <t>Check Dam</t>
        </is>
      </c>
      <c r="I286" s="52" t="inlineStr">
        <is>
          <t>Emergency Food Security Project (EFSP) – WBK/AF-2</t>
        </is>
      </c>
      <c r="J286" s="52" t="inlineStr">
        <is>
          <t>Central / Kabul</t>
        </is>
      </c>
      <c r="K286" s="52" t="inlineStr">
        <is>
          <t>Maidan Wardak</t>
        </is>
      </c>
      <c r="L286" s="52" t="inlineStr">
        <is>
          <t>Jaghatu</t>
        </is>
      </c>
      <c r="M286" s="52" t="inlineStr">
        <is>
          <t>Mardala</t>
        </is>
      </c>
      <c r="N286" s="52" t="inlineStr">
        <is>
          <t>World Bank (WBK/AF-2)</t>
        </is>
      </c>
      <c r="O286" s="52" t="inlineStr">
        <is>
          <t>Awarded</t>
        </is>
      </c>
      <c r="P286" s="52" t="inlineStr">
        <is>
          <t>3.WSM awarded contracts</t>
        </is>
      </c>
      <c r="Q286" s="52" t="inlineStr">
        <is>
          <t>Sayed Abad Construction Company (SACC)</t>
        </is>
      </c>
      <c r="R286" s="52" t="inlineStr">
        <is>
          <t>021/2026</t>
        </is>
      </c>
      <c r="S286" s="53" t="n"/>
      <c r="T286" s="46" t="inlineStr">
        <is>
          <t>IF(AQ286="","",AQ286)</t>
        </is>
      </c>
      <c r="U286" s="54" t="n"/>
      <c r="V286" s="55" t="n">
        <v>7</v>
      </c>
      <c r="W286" s="54" t="n">
        <v>46303</v>
      </c>
      <c r="X286" s="46" t="inlineStr">
        <is>
          <t>IF(W286&lt;&gt;"",W286,IF(OR(T286="",V286=""),"",EDATE(T286,V286)))</t>
        </is>
      </c>
      <c r="Y286" s="54" t="n"/>
      <c r="Z286" s="55" t="n">
        <v>100</v>
      </c>
      <c r="AA286" s="52" t="inlineStr">
        <is>
          <t>Completed / Handover</t>
        </is>
      </c>
      <c r="AB286" s="52" t="inlineStr">
        <is>
          <t>Completed on August, 2026</t>
        </is>
      </c>
      <c r="AC286" s="42" t="inlineStr">
        <is>
          <t>IF(F286="","",IF(COUNT(AI286:AV286)=0,IF(AA286="","Not started",AA286),SUBSTITUTE(LOOKUP(2,1/(AI286:AV286&lt;&gt;""),$AI$3:$AV$3),"Date: ","")))</t>
        </is>
      </c>
      <c r="AD286" s="49" t="inlineStr">
        <is>
          <t>IF(OR(F286="",COUNT(AI286:AV286)=0),"",TODAY()-LOOKUP(2,1/(AI286:AV286&lt;&gt;""),AI286:AV286))</t>
        </is>
      </c>
      <c r="AE286" s="49" t="inlineStr">
        <is>
          <t>IF(OR(F286="",COUNT(AI286:AV286)&lt;2),"",LOOKUP(2,1/(AI286:AV286&lt;&gt;""),AI286:AV286)-MIN(AI286:AV286))</t>
        </is>
      </c>
      <c r="AF286" s="49" t="inlineStr">
        <is>
          <t>IF(OR(AD286="",AC286="Not started",AC286=""),"",IFERROR(AD286-IF(VLOOKUP(AC286,'06_Status_Pipeline'!$B$3:$E$20,4,FALSE)="",0,VLOOKUP(AC286,'06_Status_Pipeline'!$B$3:$E$20,4,FALSE)),""))</t>
        </is>
      </c>
      <c r="AG286" s="42" t="inlineStr">
        <is>
          <t>IF(F286="","",IF(OR(AA286="Cancelled",AC286="Cancelled"),"Cancelled",IF(OR(AC286="Completed / Handover",Y286&lt;&gt;"",Z286&gt;=100),"Completed — on track",IF(O286="Not awarded",IF(U286="",IF(X286="","No planned date",IF(TODAY()&gt;X286,"Behind — past planned date",IF(X286-TODAY()&lt;=30,"At risk — close to off track","On track"))),IF(TODAY()&gt;U286,"Behind — award date passed",IF(U286-TODAY()&lt;=30,"At risk — close to off track","On track"))),IF(X286="","No planned date",IF(AND(TODAY()&gt;X286,OR(Z286="",Z286&lt;100)),"Behind — past end date",IF(AND(T286&lt;&gt;"",X286&lt;&gt;"",Z286&lt;&gt;"",(Z286&lt;100),((TODAY()-T286)/MAX(X286-T286,1)*100)-Z286&gt;15),"Behind — progress lag",IF(AND(X286-TODAY()&lt;=30,X286-TODAY()&gt;=0,OR(Z286="",Z286&lt;90)),"At risk — close to off track","On track"))))))))</t>
        </is>
      </c>
      <c r="AH286" s="49" t="inlineStr">
        <is>
          <t>IF(OR(F286="",AC286="Completed / Handover",AC286="Cancelled"),"",IF(O286="Not awarded",IF(U286&lt;&gt;"",U286-TODAY(),IF(X286="","",X286-TODAY())),IF(X286="","",X286-TODAY())))</t>
        </is>
      </c>
      <c r="AI286" s="67" t="n"/>
      <c r="AJ286" s="67" t="n"/>
      <c r="AK286" s="67" t="n"/>
      <c r="AL286" s="67" t="n"/>
      <c r="AM286" s="67" t="n"/>
      <c r="AN286" s="67" t="n"/>
      <c r="AO286" s="67" t="n"/>
      <c r="AP286" s="67" t="n"/>
      <c r="AQ286" s="67" t="n">
        <v>46091</v>
      </c>
      <c r="AR286" s="67" t="n">
        <v>46091</v>
      </c>
      <c r="AS286" s="67" t="n">
        <v>46303</v>
      </c>
      <c r="AT286" s="50" t="n"/>
      <c r="AU286" s="50" t="n"/>
      <c r="AV286" s="50" t="n"/>
      <c r="AW286" s="49" t="inlineStr">
        <is>
          <t>IF(OR(F286="",AJ286=""),"",IF(COUNT(AI286:AI286)=0,"",AJ286-LOOKUP(2,1/(AI286:AI286&lt;&gt;""),AI286:AI286)))</t>
        </is>
      </c>
      <c r="AX286" s="49" t="inlineStr">
        <is>
          <t>IF(OR(F286="",AK286=""),"",IF(COUNT(AI286:AJ286)=0,"",AK286-LOOKUP(2,1/(AI286:AJ286&lt;&gt;""),AI286:AJ286)))</t>
        </is>
      </c>
      <c r="AY286" s="49" t="inlineStr">
        <is>
          <t>IF(OR(F286="",AL286=""),"",IF(COUNT(AI286:AK286)=0,"",AL286-LOOKUP(2,1/(AI286:AK286&lt;&gt;""),AI286:AK286)))</t>
        </is>
      </c>
      <c r="AZ286" s="49" t="inlineStr">
        <is>
          <t>IF(OR(F286="",AM286=""),"",IF(COUNT(AI286:AL286)=0,"",AM286-LOOKUP(2,1/(AI286:AL286&lt;&gt;""),AI286:AL286)))</t>
        </is>
      </c>
      <c r="BA286" s="49" t="inlineStr">
        <is>
          <t>IF(OR(F286="",AN286=""),"",IF(COUNT(AI286:AM286)=0,"",AN286-LOOKUP(2,1/(AI286:AM286&lt;&gt;""),AI286:AM286)))</t>
        </is>
      </c>
      <c r="BB286" s="49" t="inlineStr">
        <is>
          <t>IF(OR(F286="",AO286=""),"",IF(COUNT(AI286:AN286)=0,"",AO286-LOOKUP(2,1/(AI286:AN286&lt;&gt;""),AI286:AN286)))</t>
        </is>
      </c>
      <c r="BC286" s="49" t="inlineStr">
        <is>
          <t>IF(OR(F286="",AP286=""),"",IF(COUNT(AI286:AO286)=0,"",AP286-LOOKUP(2,1/(AI286:AO286&lt;&gt;""),AI286:AO286)))</t>
        </is>
      </c>
      <c r="BD286" s="49" t="inlineStr">
        <is>
          <t>IF(OR(F286="",AQ286=""),"",IF(COUNT(AI286:AP286)=0,"",AQ286-LOOKUP(2,1/(AI286:AP286&lt;&gt;""),AI286:AP286)))</t>
        </is>
      </c>
      <c r="BE286" s="49" t="inlineStr">
        <is>
          <t>IF(OR(F286="",AR286=""),"",IF(COUNT(AI286:AQ286)=0,"",AR286-LOOKUP(2,1/(AI286:AQ286&lt;&gt;""),AI286:AQ286)))</t>
        </is>
      </c>
      <c r="BF286" s="49" t="inlineStr">
        <is>
          <t>IF(OR(F286="",AS286=""),"",IF(COUNT(AI286:AR286)=0,"",AS286-LOOKUP(2,1/(AI286:AR286&lt;&gt;""),AI286:AR286)))</t>
        </is>
      </c>
      <c r="BG286" s="49" t="inlineStr">
        <is>
          <t>IF(OR(F286="",AT286=""),"",IF(COUNT(AI286:AS286)=0,"",AT286-LOOKUP(2,1/(AI286:AS286&lt;&gt;""),AI286:AS286)))</t>
        </is>
      </c>
      <c r="BH286" s="49" t="inlineStr">
        <is>
          <t>IF(OR(F286="",AU286=""),"",IF(COUNT(AI286:AT286)=0,"",AU286-LOOKUP(2,1/(AI286:AT286&lt;&gt;""),AI286:AT286)))</t>
        </is>
      </c>
      <c r="BI286" s="49" t="inlineStr">
        <is>
          <t>IF(OR(F286="",AV286=""),"",IF(COUNT(AI286:AU286)=0,"",AV286-LOOKUP(2,1/(AI286:AU286&lt;&gt;""),AI286:AU286)))</t>
        </is>
      </c>
      <c r="BJ286" s="51" t="inlineStr">
        <is>
          <t>IF(J286="","All_Provinces",IFERROR(VLOOKUP(J286,'09_Lookups'!$A$4:$B$20,2,FALSE),"All_Provinces"))</t>
        </is>
      </c>
      <c r="BK286" s="51" t="inlineStr">
        <is>
          <t>IF(K286="","All_Districts",IFERROR(VLOOKUP(K286,'09_Lookups'!$E$4:$F$42,2,FALSE),"All_Districts"))</t>
        </is>
      </c>
    </row>
    <row r="287" ht="18" customHeight="1">
      <c r="A287" s="32" t="inlineStr">
        <is>
          <t>IF(F287="","",ROW()-3)</t>
        </is>
      </c>
      <c r="B287" s="62" t="inlineStr">
        <is>
          <t>AF2-WSM-10</t>
        </is>
      </c>
      <c r="C287" s="62" t="inlineStr">
        <is>
          <t>Package #10-AF2 WSM: Construction of Loy Shenkai Check dams # 1 and # 2 in Tagab district, and Shahr-e-Naw Check dam # 3 located in Nijrab districts of Kapisa province.</t>
        </is>
      </c>
      <c r="D287" s="62" t="inlineStr">
        <is>
          <t>1 of 3</t>
        </is>
      </c>
      <c r="E287" s="57" t="inlineStr">
        <is>
          <t>AF2-WSM-A-024</t>
        </is>
      </c>
      <c r="F287" s="57" t="inlineStr">
        <is>
          <t>1. Loy Shenkai Check dams-1</t>
        </is>
      </c>
      <c r="G287" s="57" t="inlineStr">
        <is>
          <t>Watershed Management</t>
        </is>
      </c>
      <c r="H287" s="57" t="inlineStr">
        <is>
          <t>Check Dam</t>
        </is>
      </c>
      <c r="I287" s="57" t="inlineStr">
        <is>
          <t>Emergency Food Security Project (EFSP) – WBK/AF-2</t>
        </is>
      </c>
      <c r="J287" s="57" t="inlineStr">
        <is>
          <t>Central / Kabul</t>
        </is>
      </c>
      <c r="K287" s="57" t="inlineStr">
        <is>
          <t>Kapisa</t>
        </is>
      </c>
      <c r="L287" s="57" t="inlineStr">
        <is>
          <t>Tagab</t>
        </is>
      </c>
      <c r="M287" s="57" t="inlineStr">
        <is>
          <t>Loy Shenkai-1</t>
        </is>
      </c>
      <c r="N287" s="57" t="inlineStr">
        <is>
          <t>World Bank (WBK/AF-2)</t>
        </is>
      </c>
      <c r="O287" s="57" t="inlineStr">
        <is>
          <t>Awarded</t>
        </is>
      </c>
      <c r="P287" s="57" t="inlineStr">
        <is>
          <t>3.WSM awarded contracts</t>
        </is>
      </c>
      <c r="Q287" s="57" t="inlineStr">
        <is>
          <t>Kapisa Kohna Dah Construction Company (KKCC)</t>
        </is>
      </c>
      <c r="R287" s="57" t="inlineStr">
        <is>
          <t>020/2026</t>
        </is>
      </c>
      <c r="S287" s="58" t="n">
        <v>44028.02</v>
      </c>
      <c r="T287" s="36" t="inlineStr">
        <is>
          <t>IF(AQ287="","",AQ287)</t>
        </is>
      </c>
      <c r="U287" s="59" t="n"/>
      <c r="V287" s="60" t="n">
        <v>6</v>
      </c>
      <c r="W287" s="59" t="n">
        <v>46273</v>
      </c>
      <c r="X287" s="36" t="inlineStr">
        <is>
          <t>IF(W287&lt;&gt;"",W287,IF(OR(T287="",V287=""),"",EDATE(T287,V287)))</t>
        </is>
      </c>
      <c r="Y287" s="59" t="n"/>
      <c r="Z287" s="60" t="n">
        <v>100</v>
      </c>
      <c r="AA287" s="57" t="inlineStr">
        <is>
          <t>Completed / Handover</t>
        </is>
      </c>
      <c r="AB287" s="57" t="inlineStr">
        <is>
          <t>Completed on August 2026</t>
        </is>
      </c>
      <c r="AC287" s="32" t="inlineStr">
        <is>
          <t>IF(F287="","",IF(COUNT(AI287:AV287)=0,IF(AA287="","Not started",AA287),SUBSTITUTE(LOOKUP(2,1/(AI287:AV287&lt;&gt;""),$AI$3:$AV$3),"Date: ","")))</t>
        </is>
      </c>
      <c r="AD287" s="39" t="inlineStr">
        <is>
          <t>IF(OR(F287="",COUNT(AI287:AV287)=0),"",TODAY()-LOOKUP(2,1/(AI287:AV287&lt;&gt;""),AI287:AV287))</t>
        </is>
      </c>
      <c r="AE287" s="39" t="inlineStr">
        <is>
          <t>IF(OR(F287="",COUNT(AI287:AV287)&lt;2),"",LOOKUP(2,1/(AI287:AV287&lt;&gt;""),AI287:AV287)-MIN(AI287:AV287))</t>
        </is>
      </c>
      <c r="AF287" s="39" t="inlineStr">
        <is>
          <t>IF(OR(AD287="",AC287="Not started",AC287=""),"",IFERROR(AD287-IF(VLOOKUP(AC287,'06_Status_Pipeline'!$B$3:$E$20,4,FALSE)="",0,VLOOKUP(AC287,'06_Status_Pipeline'!$B$3:$E$20,4,FALSE)),""))</t>
        </is>
      </c>
      <c r="AG287" s="32" t="inlineStr">
        <is>
          <t>IF(F287="","",IF(OR(AA287="Cancelled",AC287="Cancelled"),"Cancelled",IF(OR(AC287="Completed / Handover",Y287&lt;&gt;"",Z287&gt;=100),"Completed — on track",IF(O287="Not awarded",IF(U287="",IF(X287="","No planned date",IF(TODAY()&gt;X287,"Behind — past planned date",IF(X287-TODAY()&lt;=30,"At risk — close to off track","On track"))),IF(TODAY()&gt;U287,"Behind — award date passed",IF(U287-TODAY()&lt;=30,"At risk — close to off track","On track"))),IF(X287="","No planned date",IF(AND(TODAY()&gt;X287,OR(Z287="",Z287&lt;100)),"Behind — past end date",IF(AND(T287&lt;&gt;"",X287&lt;&gt;"",Z287&lt;&gt;"",(Z287&lt;100),((TODAY()-T287)/MAX(X287-T287,1)*100)-Z287&gt;15),"Behind — progress lag",IF(AND(X287-TODAY()&lt;=30,X287-TODAY()&gt;=0,OR(Z287="",Z287&lt;90)),"At risk — close to off track","On track"))))))))</t>
        </is>
      </c>
      <c r="AH287" s="39" t="inlineStr">
        <is>
          <t>IF(OR(F287="",AC287="Completed / Handover",AC287="Cancelled"),"",IF(O287="Not awarded",IF(U287&lt;&gt;"",U287-TODAY(),IF(X287="","",X287-TODAY())),IF(X287="","",X287-TODAY())))</t>
        </is>
      </c>
      <c r="AI287" s="66" t="n"/>
      <c r="AJ287" s="66" t="n"/>
      <c r="AK287" s="66" t="n"/>
      <c r="AL287" s="66" t="n"/>
      <c r="AM287" s="66" t="n"/>
      <c r="AN287" s="66" t="n"/>
      <c r="AO287" s="66" t="n"/>
      <c r="AP287" s="66" t="n"/>
      <c r="AQ287" s="66" t="n">
        <v>46090</v>
      </c>
      <c r="AR287" s="66" t="n">
        <v>46090</v>
      </c>
      <c r="AS287" s="66" t="n">
        <v>46273</v>
      </c>
      <c r="AT287" s="40" t="n"/>
      <c r="AU287" s="40" t="n"/>
      <c r="AV287" s="40" t="n"/>
      <c r="AW287" s="39" t="inlineStr">
        <is>
          <t>IF(OR(F287="",AJ287=""),"",IF(COUNT(AI287:AI287)=0,"",AJ287-LOOKUP(2,1/(AI287:AI287&lt;&gt;""),AI287:AI287)))</t>
        </is>
      </c>
      <c r="AX287" s="39" t="inlineStr">
        <is>
          <t>IF(OR(F287="",AK287=""),"",IF(COUNT(AI287:AJ287)=0,"",AK287-LOOKUP(2,1/(AI287:AJ287&lt;&gt;""),AI287:AJ287)))</t>
        </is>
      </c>
      <c r="AY287" s="39" t="inlineStr">
        <is>
          <t>IF(OR(F287="",AL287=""),"",IF(COUNT(AI287:AK287)=0,"",AL287-LOOKUP(2,1/(AI287:AK287&lt;&gt;""),AI287:AK287)))</t>
        </is>
      </c>
      <c r="AZ287" s="39" t="inlineStr">
        <is>
          <t>IF(OR(F287="",AM287=""),"",IF(COUNT(AI287:AL287)=0,"",AM287-LOOKUP(2,1/(AI287:AL287&lt;&gt;""),AI287:AL287)))</t>
        </is>
      </c>
      <c r="BA287" s="39" t="inlineStr">
        <is>
          <t>IF(OR(F287="",AN287=""),"",IF(COUNT(AI287:AM287)=0,"",AN287-LOOKUP(2,1/(AI287:AM287&lt;&gt;""),AI287:AM287)))</t>
        </is>
      </c>
      <c r="BB287" s="39" t="inlineStr">
        <is>
          <t>IF(OR(F287="",AO287=""),"",IF(COUNT(AI287:AN287)=0,"",AO287-LOOKUP(2,1/(AI287:AN287&lt;&gt;""),AI287:AN287)))</t>
        </is>
      </c>
      <c r="BC287" s="39" t="inlineStr">
        <is>
          <t>IF(OR(F287="",AP287=""),"",IF(COUNT(AI287:AO287)=0,"",AP287-LOOKUP(2,1/(AI287:AO287&lt;&gt;""),AI287:AO287)))</t>
        </is>
      </c>
      <c r="BD287" s="39" t="inlineStr">
        <is>
          <t>IF(OR(F287="",AQ287=""),"",IF(COUNT(AI287:AP287)=0,"",AQ287-LOOKUP(2,1/(AI287:AP287&lt;&gt;""),AI287:AP287)))</t>
        </is>
      </c>
      <c r="BE287" s="39" t="inlineStr">
        <is>
          <t>IF(OR(F287="",AR287=""),"",IF(COUNT(AI287:AQ287)=0,"",AR287-LOOKUP(2,1/(AI287:AQ287&lt;&gt;""),AI287:AQ287)))</t>
        </is>
      </c>
      <c r="BF287" s="39" t="inlineStr">
        <is>
          <t>IF(OR(F287="",AS287=""),"",IF(COUNT(AI287:AR287)=0,"",AS287-LOOKUP(2,1/(AI287:AR287&lt;&gt;""),AI287:AR287)))</t>
        </is>
      </c>
      <c r="BG287" s="39" t="inlineStr">
        <is>
          <t>IF(OR(F287="",AT287=""),"",IF(COUNT(AI287:AS287)=0,"",AT287-LOOKUP(2,1/(AI287:AS287&lt;&gt;""),AI287:AS287)))</t>
        </is>
      </c>
      <c r="BH287" s="39" t="inlineStr">
        <is>
          <t>IF(OR(F287="",AU287=""),"",IF(COUNT(AI287:AT287)=0,"",AU287-LOOKUP(2,1/(AI287:AT287&lt;&gt;""),AI287:AT287)))</t>
        </is>
      </c>
      <c r="BI287" s="39" t="inlineStr">
        <is>
          <t>IF(OR(F287="",AV287=""),"",IF(COUNT(AI287:AU287)=0,"",AV287-LOOKUP(2,1/(AI287:AU287&lt;&gt;""),AI287:AU287)))</t>
        </is>
      </c>
      <c r="BJ287" s="41" t="inlineStr">
        <is>
          <t>IF(J287="","All_Provinces",IFERROR(VLOOKUP(J287,'09_Lookups'!$A$4:$B$20,2,FALSE),"All_Provinces"))</t>
        </is>
      </c>
      <c r="BK287" s="41" t="inlineStr">
        <is>
          <t>IF(K287="","All_Districts",IFERROR(VLOOKUP(K287,'09_Lookups'!$E$4:$F$42,2,FALSE),"All_Districts"))</t>
        </is>
      </c>
    </row>
    <row r="288" outlineLevel="1" ht="18" customHeight="1">
      <c r="A288" s="42" t="inlineStr">
        <is>
          <t>IF(F288="","",ROW()-3)</t>
        </is>
      </c>
      <c r="B288" s="63" t="inlineStr">
        <is>
          <t>AF2-WSM-10</t>
        </is>
      </c>
      <c r="C288" s="63" t="inlineStr">
        <is>
          <t>Package #10-AF2 WSM: Construction of Loy Shenkai Check dams # 1 and # 2 in Tagab district, and Shahr-e-Naw Check dam # 3 located in Nijrab districts of Kapisa province.</t>
        </is>
      </c>
      <c r="D288" s="63" t="inlineStr">
        <is>
          <t>2 of 3</t>
        </is>
      </c>
      <c r="E288" s="52" t="inlineStr">
        <is>
          <t>AF2-WSM-A-025</t>
        </is>
      </c>
      <c r="F288" s="52" t="inlineStr">
        <is>
          <t>2. Loy Shenkai Check dams-2</t>
        </is>
      </c>
      <c r="G288" s="52" t="inlineStr">
        <is>
          <t>Watershed Management</t>
        </is>
      </c>
      <c r="H288" s="52" t="inlineStr">
        <is>
          <t>Check Dam</t>
        </is>
      </c>
      <c r="I288" s="52" t="inlineStr">
        <is>
          <t>Emergency Food Security Project (EFSP) – WBK/AF-2</t>
        </is>
      </c>
      <c r="J288" s="52" t="inlineStr">
        <is>
          <t>Central / Kabul</t>
        </is>
      </c>
      <c r="K288" s="52" t="inlineStr">
        <is>
          <t>Kapisa</t>
        </is>
      </c>
      <c r="L288" s="52" t="inlineStr">
        <is>
          <t>Tagab</t>
        </is>
      </c>
      <c r="M288" s="52" t="inlineStr">
        <is>
          <t>Loy Shenkai-2</t>
        </is>
      </c>
      <c r="N288" s="52" t="inlineStr">
        <is>
          <t>World Bank (WBK/AF-2)</t>
        </is>
      </c>
      <c r="O288" s="52" t="inlineStr">
        <is>
          <t>Awarded</t>
        </is>
      </c>
      <c r="P288" s="52" t="inlineStr">
        <is>
          <t>3.WSM awarded contracts</t>
        </is>
      </c>
      <c r="Q288" s="52" t="inlineStr">
        <is>
          <t>Kapisa Kohna Dah Construction Company (KKCC)</t>
        </is>
      </c>
      <c r="R288" s="52" t="inlineStr">
        <is>
          <t>020/2026</t>
        </is>
      </c>
      <c r="S288" s="53" t="n"/>
      <c r="T288" s="46" t="inlineStr">
        <is>
          <t>IF(AQ288="","",AQ288)</t>
        </is>
      </c>
      <c r="U288" s="54" t="n"/>
      <c r="V288" s="55" t="n">
        <v>6</v>
      </c>
      <c r="W288" s="54" t="n">
        <v>46273</v>
      </c>
      <c r="X288" s="46" t="inlineStr">
        <is>
          <t>IF(W288&lt;&gt;"",W288,IF(OR(T288="",V288=""),"",EDATE(T288,V288)))</t>
        </is>
      </c>
      <c r="Y288" s="54" t="n"/>
      <c r="Z288" s="55" t="n">
        <v>100</v>
      </c>
      <c r="AA288" s="52" t="inlineStr">
        <is>
          <t>Completed / Handover</t>
        </is>
      </c>
      <c r="AB288" s="52" t="inlineStr">
        <is>
          <t>Completed on August 2026</t>
        </is>
      </c>
      <c r="AC288" s="42" t="inlineStr">
        <is>
          <t>IF(F288="","",IF(COUNT(AI288:AV288)=0,IF(AA288="","Not started",AA288),SUBSTITUTE(LOOKUP(2,1/(AI288:AV288&lt;&gt;""),$AI$3:$AV$3),"Date: ","")))</t>
        </is>
      </c>
      <c r="AD288" s="49" t="inlineStr">
        <is>
          <t>IF(OR(F288="",COUNT(AI288:AV288)=0),"",TODAY()-LOOKUP(2,1/(AI288:AV288&lt;&gt;""),AI288:AV288))</t>
        </is>
      </c>
      <c r="AE288" s="49" t="inlineStr">
        <is>
          <t>IF(OR(F288="",COUNT(AI288:AV288)&lt;2),"",LOOKUP(2,1/(AI288:AV288&lt;&gt;""),AI288:AV288)-MIN(AI288:AV288))</t>
        </is>
      </c>
      <c r="AF288" s="49" t="inlineStr">
        <is>
          <t>IF(OR(AD288="",AC288="Not started",AC288=""),"",IFERROR(AD288-IF(VLOOKUP(AC288,'06_Status_Pipeline'!$B$3:$E$20,4,FALSE)="",0,VLOOKUP(AC288,'06_Status_Pipeline'!$B$3:$E$20,4,FALSE)),""))</t>
        </is>
      </c>
      <c r="AG288" s="42" t="inlineStr">
        <is>
          <t>IF(F288="","",IF(OR(AA288="Cancelled",AC288="Cancelled"),"Cancelled",IF(OR(AC288="Completed / Handover",Y288&lt;&gt;"",Z288&gt;=100),"Completed — on track",IF(O288="Not awarded",IF(U288="",IF(X288="","No planned date",IF(TODAY()&gt;X288,"Behind — past planned date",IF(X288-TODAY()&lt;=30,"At risk — close to off track","On track"))),IF(TODAY()&gt;U288,"Behind — award date passed",IF(U288-TODAY()&lt;=30,"At risk — close to off track","On track"))),IF(X288="","No planned date",IF(AND(TODAY()&gt;X288,OR(Z288="",Z288&lt;100)),"Behind — past end date",IF(AND(T288&lt;&gt;"",X288&lt;&gt;"",Z288&lt;&gt;"",(Z288&lt;100),((TODAY()-T288)/MAX(X288-T288,1)*100)-Z288&gt;15),"Behind — progress lag",IF(AND(X288-TODAY()&lt;=30,X288-TODAY()&gt;=0,OR(Z288="",Z288&lt;90)),"At risk — close to off track","On track"))))))))</t>
        </is>
      </c>
      <c r="AH288" s="49" t="inlineStr">
        <is>
          <t>IF(OR(F288="",AC288="Completed / Handover",AC288="Cancelled"),"",IF(O288="Not awarded",IF(U288&lt;&gt;"",U288-TODAY(),IF(X288="","",X288-TODAY())),IF(X288="","",X288-TODAY())))</t>
        </is>
      </c>
      <c r="AI288" s="67" t="n"/>
      <c r="AJ288" s="67" t="n"/>
      <c r="AK288" s="67" t="n"/>
      <c r="AL288" s="67" t="n"/>
      <c r="AM288" s="67" t="n"/>
      <c r="AN288" s="67" t="n"/>
      <c r="AO288" s="67" t="n"/>
      <c r="AP288" s="67" t="n"/>
      <c r="AQ288" s="67" t="n">
        <v>46090</v>
      </c>
      <c r="AR288" s="67" t="n">
        <v>46090</v>
      </c>
      <c r="AS288" s="67" t="n">
        <v>46273</v>
      </c>
      <c r="AT288" s="50" t="n"/>
      <c r="AU288" s="50" t="n"/>
      <c r="AV288" s="50" t="n"/>
      <c r="AW288" s="49" t="inlineStr">
        <is>
          <t>IF(OR(F288="",AJ288=""),"",IF(COUNT(AI288:AI288)=0,"",AJ288-LOOKUP(2,1/(AI288:AI288&lt;&gt;""),AI288:AI288)))</t>
        </is>
      </c>
      <c r="AX288" s="49" t="inlineStr">
        <is>
          <t>IF(OR(F288="",AK288=""),"",IF(COUNT(AI288:AJ288)=0,"",AK288-LOOKUP(2,1/(AI288:AJ288&lt;&gt;""),AI288:AJ288)))</t>
        </is>
      </c>
      <c r="AY288" s="49" t="inlineStr">
        <is>
          <t>IF(OR(F288="",AL288=""),"",IF(COUNT(AI288:AK288)=0,"",AL288-LOOKUP(2,1/(AI288:AK288&lt;&gt;""),AI288:AK288)))</t>
        </is>
      </c>
      <c r="AZ288" s="49" t="inlineStr">
        <is>
          <t>IF(OR(F288="",AM288=""),"",IF(COUNT(AI288:AL288)=0,"",AM288-LOOKUP(2,1/(AI288:AL288&lt;&gt;""),AI288:AL288)))</t>
        </is>
      </c>
      <c r="BA288" s="49" t="inlineStr">
        <is>
          <t>IF(OR(F288="",AN288=""),"",IF(COUNT(AI288:AM288)=0,"",AN288-LOOKUP(2,1/(AI288:AM288&lt;&gt;""),AI288:AM288)))</t>
        </is>
      </c>
      <c r="BB288" s="49" t="inlineStr">
        <is>
          <t>IF(OR(F288="",AO288=""),"",IF(COUNT(AI288:AN288)=0,"",AO288-LOOKUP(2,1/(AI288:AN288&lt;&gt;""),AI288:AN288)))</t>
        </is>
      </c>
      <c r="BC288" s="49" t="inlineStr">
        <is>
          <t>IF(OR(F288="",AP288=""),"",IF(COUNT(AI288:AO288)=0,"",AP288-LOOKUP(2,1/(AI288:AO288&lt;&gt;""),AI288:AO288)))</t>
        </is>
      </c>
      <c r="BD288" s="49" t="inlineStr">
        <is>
          <t>IF(OR(F288="",AQ288=""),"",IF(COUNT(AI288:AP288)=0,"",AQ288-LOOKUP(2,1/(AI288:AP288&lt;&gt;""),AI288:AP288)))</t>
        </is>
      </c>
      <c r="BE288" s="49" t="inlineStr">
        <is>
          <t>IF(OR(F288="",AR288=""),"",IF(COUNT(AI288:AQ288)=0,"",AR288-LOOKUP(2,1/(AI288:AQ288&lt;&gt;""),AI288:AQ288)))</t>
        </is>
      </c>
      <c r="BF288" s="49" t="inlineStr">
        <is>
          <t>IF(OR(F288="",AS288=""),"",IF(COUNT(AI288:AR288)=0,"",AS288-LOOKUP(2,1/(AI288:AR288&lt;&gt;""),AI288:AR288)))</t>
        </is>
      </c>
      <c r="BG288" s="49" t="inlineStr">
        <is>
          <t>IF(OR(F288="",AT288=""),"",IF(COUNT(AI288:AS288)=0,"",AT288-LOOKUP(2,1/(AI288:AS288&lt;&gt;""),AI288:AS288)))</t>
        </is>
      </c>
      <c r="BH288" s="49" t="inlineStr">
        <is>
          <t>IF(OR(F288="",AU288=""),"",IF(COUNT(AI288:AT288)=0,"",AU288-LOOKUP(2,1/(AI288:AT288&lt;&gt;""),AI288:AT288)))</t>
        </is>
      </c>
      <c r="BI288" s="49" t="inlineStr">
        <is>
          <t>IF(OR(F288="",AV288=""),"",IF(COUNT(AI288:AU288)=0,"",AV288-LOOKUP(2,1/(AI288:AU288&lt;&gt;""),AI288:AU288)))</t>
        </is>
      </c>
      <c r="BJ288" s="51" t="inlineStr">
        <is>
          <t>IF(J288="","All_Provinces",IFERROR(VLOOKUP(J288,'09_Lookups'!$A$4:$B$20,2,FALSE),"All_Provinces"))</t>
        </is>
      </c>
      <c r="BK288" s="51" t="inlineStr">
        <is>
          <t>IF(K288="","All_Districts",IFERROR(VLOOKUP(K288,'09_Lookups'!$E$4:$F$42,2,FALSE),"All_Districts"))</t>
        </is>
      </c>
    </row>
    <row r="289" outlineLevel="1" ht="18" customHeight="1">
      <c r="A289" s="42" t="inlineStr">
        <is>
          <t>IF(F289="","",ROW()-3)</t>
        </is>
      </c>
      <c r="B289" s="63" t="inlineStr">
        <is>
          <t>AF2-WSM-10</t>
        </is>
      </c>
      <c r="C289" s="63" t="inlineStr">
        <is>
          <t>Package #10-AF2 WSM: Construction of Loy Shenkai Check dams # 1 and # 2 in Tagab district, and Shahr-e-Naw Check dam # 3 located in Nijrab districts of Kapisa province.</t>
        </is>
      </c>
      <c r="D289" s="63" t="inlineStr">
        <is>
          <t>3 of 3</t>
        </is>
      </c>
      <c r="E289" s="44" t="inlineStr">
        <is>
          <t>AF2-WSM-A-026</t>
        </is>
      </c>
      <c r="F289" s="44" t="inlineStr">
        <is>
          <t>3. Shahr-e-Naw Check dam</t>
        </is>
      </c>
      <c r="G289" s="44" t="inlineStr">
        <is>
          <t>Watershed Management</t>
        </is>
      </c>
      <c r="H289" s="44" t="inlineStr">
        <is>
          <t>Check Dam</t>
        </is>
      </c>
      <c r="I289" s="44" t="inlineStr">
        <is>
          <t>Emergency Food Security Project (EFSP) – WBK/AF-2</t>
        </is>
      </c>
      <c r="J289" s="44" t="inlineStr">
        <is>
          <t>Central / Kabul</t>
        </is>
      </c>
      <c r="K289" s="44" t="inlineStr">
        <is>
          <t>Kapisa</t>
        </is>
      </c>
      <c r="L289" s="44" t="inlineStr">
        <is>
          <t>Nijrab</t>
        </is>
      </c>
      <c r="M289" s="44" t="inlineStr">
        <is>
          <t>Shahr-e-Naw</t>
        </is>
      </c>
      <c r="N289" s="44" t="inlineStr">
        <is>
          <t>World Bank (WBK/AF-2)</t>
        </is>
      </c>
      <c r="O289" s="44" t="inlineStr">
        <is>
          <t>Awarded</t>
        </is>
      </c>
      <c r="P289" s="44" t="inlineStr">
        <is>
          <t>3.WSM awarded contracts</t>
        </is>
      </c>
      <c r="Q289" s="44" t="inlineStr">
        <is>
          <t>Kapisa Kohna Dah Construction Company (KKCC)</t>
        </is>
      </c>
      <c r="R289" s="44" t="inlineStr">
        <is>
          <t>020/2026</t>
        </is>
      </c>
      <c r="S289" s="45" t="n"/>
      <c r="T289" s="46" t="inlineStr">
        <is>
          <t>IF(AQ289="","",AQ289)</t>
        </is>
      </c>
      <c r="U289" s="47" t="n"/>
      <c r="V289" s="48" t="n">
        <v>6</v>
      </c>
      <c r="W289" s="47" t="n">
        <v>46273</v>
      </c>
      <c r="X289" s="46" t="inlineStr">
        <is>
          <t>IF(W289&lt;&gt;"",W289,IF(OR(T289="",V289=""),"",EDATE(T289,V289)))</t>
        </is>
      </c>
      <c r="Y289" s="47" t="n"/>
      <c r="Z289" s="48" t="n">
        <v>100</v>
      </c>
      <c r="AA289" s="44" t="inlineStr">
        <is>
          <t>Completed / Handover</t>
        </is>
      </c>
      <c r="AB289" s="44" t="inlineStr">
        <is>
          <t>Completed on August 2026</t>
        </is>
      </c>
      <c r="AC289" s="42" t="inlineStr">
        <is>
          <t>IF(F289="","",IF(COUNT(AI289:AV289)=0,IF(AA289="","Not started",AA289),SUBSTITUTE(LOOKUP(2,1/(AI289:AV289&lt;&gt;""),$AI$3:$AV$3),"Date: ","")))</t>
        </is>
      </c>
      <c r="AD289" s="49" t="inlineStr">
        <is>
          <t>IF(OR(F289="",COUNT(AI289:AV289)=0),"",TODAY()-LOOKUP(2,1/(AI289:AV289&lt;&gt;""),AI289:AV289))</t>
        </is>
      </c>
      <c r="AE289" s="49" t="inlineStr">
        <is>
          <t>IF(OR(F289="",COUNT(AI289:AV289)&lt;2),"",LOOKUP(2,1/(AI289:AV289&lt;&gt;""),AI289:AV289)-MIN(AI289:AV289))</t>
        </is>
      </c>
      <c r="AF289" s="49" t="inlineStr">
        <is>
          <t>IF(OR(AD289="",AC289="Not started",AC289=""),"",IFERROR(AD289-IF(VLOOKUP(AC289,'06_Status_Pipeline'!$B$3:$E$20,4,FALSE)="",0,VLOOKUP(AC289,'06_Status_Pipeline'!$B$3:$E$20,4,FALSE)),""))</t>
        </is>
      </c>
      <c r="AG289" s="42" t="inlineStr">
        <is>
          <t>IF(F289="","",IF(OR(AA289="Cancelled",AC289="Cancelled"),"Cancelled",IF(OR(AC289="Completed / Handover",Y289&lt;&gt;"",Z289&gt;=100),"Completed — on track",IF(O289="Not awarded",IF(U289="",IF(X289="","No planned date",IF(TODAY()&gt;X289,"Behind — past planned date",IF(X289-TODAY()&lt;=30,"At risk — close to off track","On track"))),IF(TODAY()&gt;U289,"Behind — award date passed",IF(U289-TODAY()&lt;=30,"At risk — close to off track","On track"))),IF(X289="","No planned date",IF(AND(TODAY()&gt;X289,OR(Z289="",Z289&lt;100)),"Behind — past end date",IF(AND(T289&lt;&gt;"",X289&lt;&gt;"",Z289&lt;&gt;"",(Z289&lt;100),((TODAY()-T289)/MAX(X289-T289,1)*100)-Z289&gt;15),"Behind — progress lag",IF(AND(X289-TODAY()&lt;=30,X289-TODAY()&gt;=0,OR(Z289="",Z289&lt;90)),"At risk — close to off track","On track"))))))))</t>
        </is>
      </c>
      <c r="AH289" s="49" t="inlineStr">
        <is>
          <t>IF(OR(F289="",AC289="Completed / Handover",AC289="Cancelled"),"",IF(O289="Not awarded",IF(U289&lt;&gt;"",U289-TODAY(),IF(X289="","",X289-TODAY())),IF(X289="","",X289-TODAY())))</t>
        </is>
      </c>
      <c r="AI289" s="67" t="n"/>
      <c r="AJ289" s="67" t="n"/>
      <c r="AK289" s="67" t="n"/>
      <c r="AL289" s="67" t="n"/>
      <c r="AM289" s="67" t="n"/>
      <c r="AN289" s="67" t="n"/>
      <c r="AO289" s="67" t="n"/>
      <c r="AP289" s="67" t="n"/>
      <c r="AQ289" s="67" t="n">
        <v>46090</v>
      </c>
      <c r="AR289" s="67" t="n">
        <v>46090</v>
      </c>
      <c r="AS289" s="67" t="n">
        <v>46273</v>
      </c>
      <c r="AT289" s="50" t="n"/>
      <c r="AU289" s="50" t="n"/>
      <c r="AV289" s="50" t="n"/>
      <c r="AW289" s="49" t="inlineStr">
        <is>
          <t>IF(OR(F289="",AJ289=""),"",IF(COUNT(AI289:AI289)=0,"",AJ289-LOOKUP(2,1/(AI289:AI289&lt;&gt;""),AI289:AI289)))</t>
        </is>
      </c>
      <c r="AX289" s="49" t="inlineStr">
        <is>
          <t>IF(OR(F289="",AK289=""),"",IF(COUNT(AI289:AJ289)=0,"",AK289-LOOKUP(2,1/(AI289:AJ289&lt;&gt;""),AI289:AJ289)))</t>
        </is>
      </c>
      <c r="AY289" s="49" t="inlineStr">
        <is>
          <t>IF(OR(F289="",AL289=""),"",IF(COUNT(AI289:AK289)=0,"",AL289-LOOKUP(2,1/(AI289:AK289&lt;&gt;""),AI289:AK289)))</t>
        </is>
      </c>
      <c r="AZ289" s="49" t="inlineStr">
        <is>
          <t>IF(OR(F289="",AM289=""),"",IF(COUNT(AI289:AL289)=0,"",AM289-LOOKUP(2,1/(AI289:AL289&lt;&gt;""),AI289:AL289)))</t>
        </is>
      </c>
      <c r="BA289" s="49" t="inlineStr">
        <is>
          <t>IF(OR(F289="",AN289=""),"",IF(COUNT(AI289:AM289)=0,"",AN289-LOOKUP(2,1/(AI289:AM289&lt;&gt;""),AI289:AM289)))</t>
        </is>
      </c>
      <c r="BB289" s="49" t="inlineStr">
        <is>
          <t>IF(OR(F289="",AO289=""),"",IF(COUNT(AI289:AN289)=0,"",AO289-LOOKUP(2,1/(AI289:AN289&lt;&gt;""),AI289:AN289)))</t>
        </is>
      </c>
      <c r="BC289" s="49" t="inlineStr">
        <is>
          <t>IF(OR(F289="",AP289=""),"",IF(COUNT(AI289:AO289)=0,"",AP289-LOOKUP(2,1/(AI289:AO289&lt;&gt;""),AI289:AO289)))</t>
        </is>
      </c>
      <c r="BD289" s="49" t="inlineStr">
        <is>
          <t>IF(OR(F289="",AQ289=""),"",IF(COUNT(AI289:AP289)=0,"",AQ289-LOOKUP(2,1/(AI289:AP289&lt;&gt;""),AI289:AP289)))</t>
        </is>
      </c>
      <c r="BE289" s="49" t="inlineStr">
        <is>
          <t>IF(OR(F289="",AR289=""),"",IF(COUNT(AI289:AQ289)=0,"",AR289-LOOKUP(2,1/(AI289:AQ289&lt;&gt;""),AI289:AQ289)))</t>
        </is>
      </c>
      <c r="BF289" s="49" t="inlineStr">
        <is>
          <t>IF(OR(F289="",AS289=""),"",IF(COUNT(AI289:AR289)=0,"",AS289-LOOKUP(2,1/(AI289:AR289&lt;&gt;""),AI289:AR289)))</t>
        </is>
      </c>
      <c r="BG289" s="49" t="inlineStr">
        <is>
          <t>IF(OR(F289="",AT289=""),"",IF(COUNT(AI289:AS289)=0,"",AT289-LOOKUP(2,1/(AI289:AS289&lt;&gt;""),AI289:AS289)))</t>
        </is>
      </c>
      <c r="BH289" s="49" t="inlineStr">
        <is>
          <t>IF(OR(F289="",AU289=""),"",IF(COUNT(AI289:AT289)=0,"",AU289-LOOKUP(2,1/(AI289:AT289&lt;&gt;""),AI289:AT289)))</t>
        </is>
      </c>
      <c r="BI289" s="49" t="inlineStr">
        <is>
          <t>IF(OR(F289="",AV289=""),"",IF(COUNT(AI289:AU289)=0,"",AV289-LOOKUP(2,1/(AI289:AU289&lt;&gt;""),AI289:AU289)))</t>
        </is>
      </c>
      <c r="BJ289" s="51" t="inlineStr">
        <is>
          <t>IF(J289="","All_Provinces",IFERROR(VLOOKUP(J289,'09_Lookups'!$A$4:$B$20,2,FALSE),"All_Provinces"))</t>
        </is>
      </c>
      <c r="BK289" s="51" t="inlineStr">
        <is>
          <t>IF(K289="","All_Districts",IFERROR(VLOOKUP(K289,'09_Lookups'!$E$4:$F$42,2,FALSE),"All_Districts"))</t>
        </is>
      </c>
    </row>
    <row r="290" ht="18" customHeight="1">
      <c r="A290" s="32" t="inlineStr">
        <is>
          <t>IF(F290="","",ROW()-3)</t>
        </is>
      </c>
      <c r="B290" s="64" t="inlineStr">
        <is>
          <t>AF2-WSM-11</t>
        </is>
      </c>
      <c r="C290" s="64" t="inlineStr">
        <is>
          <t>Package #11-AF2 WSM: Construction of 3 Check dams 1.Wolangak in Shikh Ali, 2.Sanzalai, and 3.Sharkai Olia in Koh-e-Safi district of Parwan province.</t>
        </is>
      </c>
      <c r="D290" s="64" t="inlineStr">
        <is>
          <t>1 of 3</t>
        </is>
      </c>
      <c r="E290" s="34" t="inlineStr">
        <is>
          <t>AF2-WSM-A-027</t>
        </is>
      </c>
      <c r="F290" s="34" t="inlineStr">
        <is>
          <t>Sanzalai and Sharki Olia</t>
        </is>
      </c>
      <c r="G290" s="34" t="inlineStr">
        <is>
          <t>Watershed Management</t>
        </is>
      </c>
      <c r="H290" s="34" t="inlineStr">
        <is>
          <t>Check Dam</t>
        </is>
      </c>
      <c r="I290" s="34" t="inlineStr">
        <is>
          <t>Emergency Food Security Project (EFSP) – WBK/AF-2</t>
        </is>
      </c>
      <c r="J290" s="34" t="inlineStr">
        <is>
          <t>Central / Kabul</t>
        </is>
      </c>
      <c r="K290" s="34" t="inlineStr">
        <is>
          <t>Parwan</t>
        </is>
      </c>
      <c r="L290" s="34" t="inlineStr">
        <is>
          <t>Koh-e-Safi</t>
        </is>
      </c>
      <c r="M290" s="34" t="inlineStr">
        <is>
          <t>Sanzalai</t>
        </is>
      </c>
      <c r="N290" s="34" t="inlineStr">
        <is>
          <t>World Bank (WBK/AF-2)</t>
        </is>
      </c>
      <c r="O290" s="34" t="inlineStr">
        <is>
          <t>Awarded</t>
        </is>
      </c>
      <c r="P290" s="34" t="inlineStr">
        <is>
          <t>3.WSM awarded contracts</t>
        </is>
      </c>
      <c r="Q290" s="34" t="inlineStr">
        <is>
          <t>Hemat Ghorzang Construction &amp; Logistic Service Company (HGCC)</t>
        </is>
      </c>
      <c r="R290" s="34" t="inlineStr">
        <is>
          <t>043/2026</t>
        </is>
      </c>
      <c r="S290" s="35" t="n"/>
      <c r="T290" s="36" t="inlineStr">
        <is>
          <t>IF(AQ290="","",AQ290)</t>
        </is>
      </c>
      <c r="U290" s="37" t="n"/>
      <c r="V290" s="38" t="n">
        <v>5</v>
      </c>
      <c r="W290" s="37" t="n">
        <v>46349</v>
      </c>
      <c r="X290" s="36" t="inlineStr">
        <is>
          <t>IF(W290&lt;&gt;"",W290,IF(OR(T290="",V290=""),"",EDATE(T290,V290)))</t>
        </is>
      </c>
      <c r="Y290" s="37" t="n"/>
      <c r="Z290" s="38" t="n">
        <v>20</v>
      </c>
      <c r="AA290" s="34" t="inlineStr">
        <is>
          <t>Under Construction</t>
        </is>
      </c>
      <c r="AB290" s="34" t="inlineStr">
        <is>
          <t>Completed on August 2026</t>
        </is>
      </c>
      <c r="AC290" s="32" t="inlineStr">
        <is>
          <t>IF(F290="","",IF(COUNT(AI290:AV290)=0,IF(AA290="","Not started",AA290),SUBSTITUTE(LOOKUP(2,1/(AI290:AV290&lt;&gt;""),$AI$3:$AV$3),"Date: ","")))</t>
        </is>
      </c>
      <c r="AD290" s="39" t="inlineStr">
        <is>
          <t>IF(OR(F290="",COUNT(AI290:AV290)=0),"",TODAY()-LOOKUP(2,1/(AI290:AV290&lt;&gt;""),AI290:AV290))</t>
        </is>
      </c>
      <c r="AE290" s="39" t="inlineStr">
        <is>
          <t>IF(OR(F290="",COUNT(AI290:AV290)&lt;2),"",LOOKUP(2,1/(AI290:AV290&lt;&gt;""),AI290:AV290)-MIN(AI290:AV290))</t>
        </is>
      </c>
      <c r="AF290" s="39" t="inlineStr">
        <is>
          <t>IF(OR(AD290="",AC290="Not started",AC290=""),"",IFERROR(AD290-IF(VLOOKUP(AC290,'06_Status_Pipeline'!$B$3:$E$20,4,FALSE)="",0,VLOOKUP(AC290,'06_Status_Pipeline'!$B$3:$E$20,4,FALSE)),""))</t>
        </is>
      </c>
      <c r="AG290" s="32" t="inlineStr">
        <is>
          <t>IF(F290="","",IF(OR(AA290="Cancelled",AC290="Cancelled"),"Cancelled",IF(OR(AC290="Completed / Handover",Y290&lt;&gt;"",Z290&gt;=100),"Completed — on track",IF(O290="Not awarded",IF(U290="",IF(X290="","No planned date",IF(TODAY()&gt;X290,"Behind — past planned date",IF(X290-TODAY()&lt;=30,"At risk — close to off track","On track"))),IF(TODAY()&gt;U290,"Behind — award date passed",IF(U290-TODAY()&lt;=30,"At risk — close to off track","On track"))),IF(X290="","No planned date",IF(AND(TODAY()&gt;X290,OR(Z290="",Z290&lt;100)),"Behind — past end date",IF(AND(T290&lt;&gt;"",X290&lt;&gt;"",Z290&lt;&gt;"",(Z290&lt;100),((TODAY()-T290)/MAX(X290-T290,1)*100)-Z290&gt;15),"Behind — progress lag",IF(AND(X290-TODAY()&lt;=30,X290-TODAY()&gt;=0,OR(Z290="",Z290&lt;90)),"At risk — close to off track","On track"))))))))</t>
        </is>
      </c>
      <c r="AH290" s="39" t="inlineStr">
        <is>
          <t>IF(OR(F290="",AC290="Completed / Handover",AC290="Cancelled"),"",IF(O290="Not awarded",IF(U290&lt;&gt;"",U290-TODAY(),IF(X290="","",X290-TODAY())),IF(X290="","",X290-TODAY())))</t>
        </is>
      </c>
      <c r="AI290" s="66" t="n"/>
      <c r="AJ290" s="66" t="n"/>
      <c r="AK290" s="66" t="n"/>
      <c r="AL290" s="66" t="n"/>
      <c r="AM290" s="66" t="n"/>
      <c r="AN290" s="66" t="n"/>
      <c r="AO290" s="66" t="n"/>
      <c r="AP290" s="66" t="n"/>
      <c r="AQ290" s="66" t="n">
        <v>46197</v>
      </c>
      <c r="AR290" s="66" t="n">
        <v>46197</v>
      </c>
      <c r="AS290" s="66" t="n"/>
      <c r="AT290" s="40" t="n"/>
      <c r="AU290" s="40" t="n"/>
      <c r="AV290" s="40" t="n"/>
      <c r="AW290" s="39" t="inlineStr">
        <is>
          <t>IF(OR(F290="",AJ290=""),"",IF(COUNT(AI290:AI290)=0,"",AJ290-LOOKUP(2,1/(AI290:AI290&lt;&gt;""),AI290:AI290)))</t>
        </is>
      </c>
      <c r="AX290" s="39" t="inlineStr">
        <is>
          <t>IF(OR(F290="",AK290=""),"",IF(COUNT(AI290:AJ290)=0,"",AK290-LOOKUP(2,1/(AI290:AJ290&lt;&gt;""),AI290:AJ290)))</t>
        </is>
      </c>
      <c r="AY290" s="39" t="inlineStr">
        <is>
          <t>IF(OR(F290="",AL290=""),"",IF(COUNT(AI290:AK290)=0,"",AL290-LOOKUP(2,1/(AI290:AK290&lt;&gt;""),AI290:AK290)))</t>
        </is>
      </c>
      <c r="AZ290" s="39" t="inlineStr">
        <is>
          <t>IF(OR(F290="",AM290=""),"",IF(COUNT(AI290:AL290)=0,"",AM290-LOOKUP(2,1/(AI290:AL290&lt;&gt;""),AI290:AL290)))</t>
        </is>
      </c>
      <c r="BA290" s="39" t="inlineStr">
        <is>
          <t>IF(OR(F290="",AN290=""),"",IF(COUNT(AI290:AM290)=0,"",AN290-LOOKUP(2,1/(AI290:AM290&lt;&gt;""),AI290:AM290)))</t>
        </is>
      </c>
      <c r="BB290" s="39" t="inlineStr">
        <is>
          <t>IF(OR(F290="",AO290=""),"",IF(COUNT(AI290:AN290)=0,"",AO290-LOOKUP(2,1/(AI290:AN290&lt;&gt;""),AI290:AN290)))</t>
        </is>
      </c>
      <c r="BC290" s="39" t="inlineStr">
        <is>
          <t>IF(OR(F290="",AP290=""),"",IF(COUNT(AI290:AO290)=0,"",AP290-LOOKUP(2,1/(AI290:AO290&lt;&gt;""),AI290:AO290)))</t>
        </is>
      </c>
      <c r="BD290" s="39" t="inlineStr">
        <is>
          <t>IF(OR(F290="",AQ290=""),"",IF(COUNT(AI290:AP290)=0,"",AQ290-LOOKUP(2,1/(AI290:AP290&lt;&gt;""),AI290:AP290)))</t>
        </is>
      </c>
      <c r="BE290" s="39" t="inlineStr">
        <is>
          <t>IF(OR(F290="",AR290=""),"",IF(COUNT(AI290:AQ290)=0,"",AR290-LOOKUP(2,1/(AI290:AQ290&lt;&gt;""),AI290:AQ290)))</t>
        </is>
      </c>
      <c r="BF290" s="39" t="inlineStr">
        <is>
          <t>IF(OR(F290="",AS290=""),"",IF(COUNT(AI290:AR290)=0,"",AS290-LOOKUP(2,1/(AI290:AR290&lt;&gt;""),AI290:AR290)))</t>
        </is>
      </c>
      <c r="BG290" s="39" t="inlineStr">
        <is>
          <t>IF(OR(F290="",AT290=""),"",IF(COUNT(AI290:AS290)=0,"",AT290-LOOKUP(2,1/(AI290:AS290&lt;&gt;""),AI290:AS290)))</t>
        </is>
      </c>
      <c r="BH290" s="39" t="inlineStr">
        <is>
          <t>IF(OR(F290="",AU290=""),"",IF(COUNT(AI290:AT290)=0,"",AU290-LOOKUP(2,1/(AI290:AT290&lt;&gt;""),AI290:AT290)))</t>
        </is>
      </c>
      <c r="BI290" s="39" t="inlineStr">
        <is>
          <t>IF(OR(F290="",AV290=""),"",IF(COUNT(AI290:AU290)=0,"",AV290-LOOKUP(2,1/(AI290:AU290&lt;&gt;""),AI290:AU290)))</t>
        </is>
      </c>
      <c r="BJ290" s="41" t="inlineStr">
        <is>
          <t>IF(J290="","All_Provinces",IFERROR(VLOOKUP(J290,'09_Lookups'!$A$4:$B$20,2,FALSE),"All_Provinces"))</t>
        </is>
      </c>
      <c r="BK290" s="41" t="inlineStr">
        <is>
          <t>IF(K290="","All_Districts",IFERROR(VLOOKUP(K290,'09_Lookups'!$E$4:$F$42,2,FALSE),"All_Districts"))</t>
        </is>
      </c>
    </row>
    <row r="291" outlineLevel="1" ht="18" customHeight="1">
      <c r="A291" s="42" t="inlineStr">
        <is>
          <t>IF(F291="","",ROW()-3)</t>
        </is>
      </c>
      <c r="B291" s="65" t="inlineStr">
        <is>
          <t>AF2-WSM-11</t>
        </is>
      </c>
      <c r="C291" s="65" t="inlineStr">
        <is>
          <t>Package #11-AF2 WSM: Construction of 3 Check dams 1.Wolangak in Shikh Ali, 2.Sanzalai, and 3.Sharkai Olia in Koh-e-Safi district of Parwan province.</t>
        </is>
      </c>
      <c r="D291" s="65" t="inlineStr">
        <is>
          <t>2 of 3</t>
        </is>
      </c>
      <c r="E291" s="44" t="inlineStr">
        <is>
          <t>AF2-WSM-A-028</t>
        </is>
      </c>
      <c r="F291" s="44" t="inlineStr">
        <is>
          <t>Sharkai Olia Check dam</t>
        </is>
      </c>
      <c r="G291" s="44" t="inlineStr">
        <is>
          <t>Watershed Management</t>
        </is>
      </c>
      <c r="H291" s="44" t="inlineStr">
        <is>
          <t>Check Dam</t>
        </is>
      </c>
      <c r="I291" s="44" t="inlineStr">
        <is>
          <t>Emergency Food Security Project (EFSP) – WBK/AF-2</t>
        </is>
      </c>
      <c r="J291" s="44" t="inlineStr">
        <is>
          <t>Central / Kabul</t>
        </is>
      </c>
      <c r="K291" s="44" t="inlineStr">
        <is>
          <t>Parwan</t>
        </is>
      </c>
      <c r="L291" s="44" t="inlineStr">
        <is>
          <t>Koh-e-Safi</t>
        </is>
      </c>
      <c r="M291" s="44" t="inlineStr">
        <is>
          <t>Sharki Olia</t>
        </is>
      </c>
      <c r="N291" s="44" t="inlineStr">
        <is>
          <t>World Bank (WBK/AF-2)</t>
        </is>
      </c>
      <c r="O291" s="44" t="inlineStr">
        <is>
          <t>Awarded</t>
        </is>
      </c>
      <c r="P291" s="44" t="inlineStr">
        <is>
          <t>3.WSM awarded contracts</t>
        </is>
      </c>
      <c r="Q291" s="44" t="inlineStr">
        <is>
          <t>Hemat Ghorzang Construction &amp; Logistic Service Company (HGCC)</t>
        </is>
      </c>
      <c r="R291" s="44" t="inlineStr">
        <is>
          <t>043/2026</t>
        </is>
      </c>
      <c r="S291" s="45" t="n"/>
      <c r="T291" s="46" t="inlineStr">
        <is>
          <t>IF(AQ291="","",AQ291)</t>
        </is>
      </c>
      <c r="U291" s="47" t="n"/>
      <c r="V291" s="48" t="n">
        <v>5</v>
      </c>
      <c r="W291" s="47" t="n">
        <v>46349</v>
      </c>
      <c r="X291" s="46" t="inlineStr">
        <is>
          <t>IF(W291&lt;&gt;"",W291,IF(OR(T291="",V291=""),"",EDATE(T291,V291)))</t>
        </is>
      </c>
      <c r="Y291" s="47" t="n"/>
      <c r="Z291" s="48" t="n">
        <v>5</v>
      </c>
      <c r="AA291" s="44" t="inlineStr">
        <is>
          <t>Under Construction</t>
        </is>
      </c>
      <c r="AB291" s="44" t="inlineStr">
        <is>
          <t>Completed on August 2026</t>
        </is>
      </c>
      <c r="AC291" s="42" t="inlineStr">
        <is>
          <t>IF(F291="","",IF(COUNT(AI291:AV291)=0,IF(AA291="","Not started",AA291),SUBSTITUTE(LOOKUP(2,1/(AI291:AV291&lt;&gt;""),$AI$3:$AV$3),"Date: ","")))</t>
        </is>
      </c>
      <c r="AD291" s="49" t="inlineStr">
        <is>
          <t>IF(OR(F291="",COUNT(AI291:AV291)=0),"",TODAY()-LOOKUP(2,1/(AI291:AV291&lt;&gt;""),AI291:AV291))</t>
        </is>
      </c>
      <c r="AE291" s="49" t="inlineStr">
        <is>
          <t>IF(OR(F291="",COUNT(AI291:AV291)&lt;2),"",LOOKUP(2,1/(AI291:AV291&lt;&gt;""),AI291:AV291)-MIN(AI291:AV291))</t>
        </is>
      </c>
      <c r="AF291" s="49" t="inlineStr">
        <is>
          <t>IF(OR(AD291="",AC291="Not started",AC291=""),"",IFERROR(AD291-IF(VLOOKUP(AC291,'06_Status_Pipeline'!$B$3:$E$20,4,FALSE)="",0,VLOOKUP(AC291,'06_Status_Pipeline'!$B$3:$E$20,4,FALSE)),""))</t>
        </is>
      </c>
      <c r="AG291" s="42" t="inlineStr">
        <is>
          <t>IF(F291="","",IF(OR(AA291="Cancelled",AC291="Cancelled"),"Cancelled",IF(OR(AC291="Completed / Handover",Y291&lt;&gt;"",Z291&gt;=100),"Completed — on track",IF(O291="Not awarded",IF(U291="",IF(X291="","No planned date",IF(TODAY()&gt;X291,"Behind — past planned date",IF(X291-TODAY()&lt;=30,"At risk — close to off track","On track"))),IF(TODAY()&gt;U291,"Behind — award date passed",IF(U291-TODAY()&lt;=30,"At risk — close to off track","On track"))),IF(X291="","No planned date",IF(AND(TODAY()&gt;X291,OR(Z291="",Z291&lt;100)),"Behind — past end date",IF(AND(T291&lt;&gt;"",X291&lt;&gt;"",Z291&lt;&gt;"",(Z291&lt;100),((TODAY()-T291)/MAX(X291-T291,1)*100)-Z291&gt;15),"Behind — progress lag",IF(AND(X291-TODAY()&lt;=30,X291-TODAY()&gt;=0,OR(Z291="",Z291&lt;90)),"At risk — close to off track","On track"))))))))</t>
        </is>
      </c>
      <c r="AH291" s="49" t="inlineStr">
        <is>
          <t>IF(OR(F291="",AC291="Completed / Handover",AC291="Cancelled"),"",IF(O291="Not awarded",IF(U291&lt;&gt;"",U291-TODAY(),IF(X291="","",X291-TODAY())),IF(X291="","",X291-TODAY())))</t>
        </is>
      </c>
      <c r="AI291" s="67" t="n"/>
      <c r="AJ291" s="67" t="n"/>
      <c r="AK291" s="67" t="n"/>
      <c r="AL291" s="67" t="n"/>
      <c r="AM291" s="67" t="n"/>
      <c r="AN291" s="67" t="n"/>
      <c r="AO291" s="67" t="n"/>
      <c r="AP291" s="67" t="n"/>
      <c r="AQ291" s="67" t="n">
        <v>46197</v>
      </c>
      <c r="AR291" s="67" t="n">
        <v>46197</v>
      </c>
      <c r="AS291" s="67" t="n"/>
      <c r="AT291" s="50" t="n"/>
      <c r="AU291" s="50" t="n"/>
      <c r="AV291" s="50" t="n"/>
      <c r="AW291" s="49" t="inlineStr">
        <is>
          <t>IF(OR(F291="",AJ291=""),"",IF(COUNT(AI291:AI291)=0,"",AJ291-LOOKUP(2,1/(AI291:AI291&lt;&gt;""),AI291:AI291)))</t>
        </is>
      </c>
      <c r="AX291" s="49" t="inlineStr">
        <is>
          <t>IF(OR(F291="",AK291=""),"",IF(COUNT(AI291:AJ291)=0,"",AK291-LOOKUP(2,1/(AI291:AJ291&lt;&gt;""),AI291:AJ291)))</t>
        </is>
      </c>
      <c r="AY291" s="49" t="inlineStr">
        <is>
          <t>IF(OR(F291="",AL291=""),"",IF(COUNT(AI291:AK291)=0,"",AL291-LOOKUP(2,1/(AI291:AK291&lt;&gt;""),AI291:AK291)))</t>
        </is>
      </c>
      <c r="AZ291" s="49" t="inlineStr">
        <is>
          <t>IF(OR(F291="",AM291=""),"",IF(COUNT(AI291:AL291)=0,"",AM291-LOOKUP(2,1/(AI291:AL291&lt;&gt;""),AI291:AL291)))</t>
        </is>
      </c>
      <c r="BA291" s="49" t="inlineStr">
        <is>
          <t>IF(OR(F291="",AN291=""),"",IF(COUNT(AI291:AM291)=0,"",AN291-LOOKUP(2,1/(AI291:AM291&lt;&gt;""),AI291:AM291)))</t>
        </is>
      </c>
      <c r="BB291" s="49" t="inlineStr">
        <is>
          <t>IF(OR(F291="",AO291=""),"",IF(COUNT(AI291:AN291)=0,"",AO291-LOOKUP(2,1/(AI291:AN291&lt;&gt;""),AI291:AN291)))</t>
        </is>
      </c>
      <c r="BC291" s="49" t="inlineStr">
        <is>
          <t>IF(OR(F291="",AP291=""),"",IF(COUNT(AI291:AO291)=0,"",AP291-LOOKUP(2,1/(AI291:AO291&lt;&gt;""),AI291:AO291)))</t>
        </is>
      </c>
      <c r="BD291" s="49" t="inlineStr">
        <is>
          <t>IF(OR(F291="",AQ291=""),"",IF(COUNT(AI291:AP291)=0,"",AQ291-LOOKUP(2,1/(AI291:AP291&lt;&gt;""),AI291:AP291)))</t>
        </is>
      </c>
      <c r="BE291" s="49" t="inlineStr">
        <is>
          <t>IF(OR(F291="",AR291=""),"",IF(COUNT(AI291:AQ291)=0,"",AR291-LOOKUP(2,1/(AI291:AQ291&lt;&gt;""),AI291:AQ291)))</t>
        </is>
      </c>
      <c r="BF291" s="49" t="inlineStr">
        <is>
          <t>IF(OR(F291="",AS291=""),"",IF(COUNT(AI291:AR291)=0,"",AS291-LOOKUP(2,1/(AI291:AR291&lt;&gt;""),AI291:AR291)))</t>
        </is>
      </c>
      <c r="BG291" s="49" t="inlineStr">
        <is>
          <t>IF(OR(F291="",AT291=""),"",IF(COUNT(AI291:AS291)=0,"",AT291-LOOKUP(2,1/(AI291:AS291&lt;&gt;""),AI291:AS291)))</t>
        </is>
      </c>
      <c r="BH291" s="49" t="inlineStr">
        <is>
          <t>IF(OR(F291="",AU291=""),"",IF(COUNT(AI291:AT291)=0,"",AU291-LOOKUP(2,1/(AI291:AT291&lt;&gt;""),AI291:AT291)))</t>
        </is>
      </c>
      <c r="BI291" s="49" t="inlineStr">
        <is>
          <t>IF(OR(F291="",AV291=""),"",IF(COUNT(AI291:AU291)=0,"",AV291-LOOKUP(2,1/(AI291:AU291&lt;&gt;""),AI291:AU291)))</t>
        </is>
      </c>
      <c r="BJ291" s="51" t="inlineStr">
        <is>
          <t>IF(J291="","All_Provinces",IFERROR(VLOOKUP(J291,'09_Lookups'!$A$4:$B$20,2,FALSE),"All_Provinces"))</t>
        </is>
      </c>
      <c r="BK291" s="51" t="inlineStr">
        <is>
          <t>IF(K291="","All_Districts",IFERROR(VLOOKUP(K291,'09_Lookups'!$E$4:$F$42,2,FALSE),"All_Districts"))</t>
        </is>
      </c>
    </row>
    <row r="292" outlineLevel="1" ht="18" customHeight="1">
      <c r="A292" s="42" t="inlineStr">
        <is>
          <t>IF(F292="","",ROW()-3)</t>
        </is>
      </c>
      <c r="B292" s="65" t="inlineStr">
        <is>
          <t>AF2-WSM-11</t>
        </is>
      </c>
      <c r="C292" s="65" t="inlineStr">
        <is>
          <t>Package #11-AF2 WSM: Construction of 3 Check dams 1.Wolangak in Shikh Ali, 2.Sanzalai, and 3.Sharkai Olia in Koh-e-Safi district of Parwan province.</t>
        </is>
      </c>
      <c r="D292" s="65" t="inlineStr">
        <is>
          <t>3 of 3</t>
        </is>
      </c>
      <c r="E292" s="52" t="inlineStr">
        <is>
          <t>AF2-WSM-A-029</t>
        </is>
      </c>
      <c r="F292" s="52" t="inlineStr">
        <is>
          <t>Wolangak Check dams</t>
        </is>
      </c>
      <c r="G292" s="52" t="inlineStr">
        <is>
          <t>Watershed Management</t>
        </is>
      </c>
      <c r="H292" s="52" t="inlineStr">
        <is>
          <t>Check Dam</t>
        </is>
      </c>
      <c r="I292" s="52" t="inlineStr">
        <is>
          <t>Emergency Food Security Project (EFSP) – WBK/AF-2</t>
        </is>
      </c>
      <c r="J292" s="52" t="inlineStr">
        <is>
          <t>Central / Kabul</t>
        </is>
      </c>
      <c r="K292" s="52" t="inlineStr">
        <is>
          <t>Parwan</t>
        </is>
      </c>
      <c r="L292" s="52" t="inlineStr">
        <is>
          <t>Shikh Ali</t>
        </is>
      </c>
      <c r="M292" s="52" t="inlineStr">
        <is>
          <t>Wolangak</t>
        </is>
      </c>
      <c r="N292" s="52" t="inlineStr">
        <is>
          <t>World Bank (WBK/AF-2)</t>
        </is>
      </c>
      <c r="O292" s="52" t="inlineStr">
        <is>
          <t>Awarded</t>
        </is>
      </c>
      <c r="P292" s="52" t="inlineStr">
        <is>
          <t>3.WSM awarded contracts</t>
        </is>
      </c>
      <c r="Q292" s="52" t="inlineStr">
        <is>
          <t>Hemat Ghorzang Construction &amp; Logistic Service Company (HGCC)</t>
        </is>
      </c>
      <c r="R292" s="52" t="inlineStr">
        <is>
          <t>043/2026</t>
        </is>
      </c>
      <c r="S292" s="53" t="n">
        <v>77145</v>
      </c>
      <c r="T292" s="46" t="inlineStr">
        <is>
          <t>IF(AQ292="","",AQ292)</t>
        </is>
      </c>
      <c r="U292" s="54" t="n"/>
      <c r="V292" s="55" t="n">
        <v>5</v>
      </c>
      <c r="W292" s="54" t="n">
        <v>46349</v>
      </c>
      <c r="X292" s="46" t="inlineStr">
        <is>
          <t>IF(W292&lt;&gt;"",W292,IF(OR(T292="",V292=""),"",EDATE(T292,V292)))</t>
        </is>
      </c>
      <c r="Y292" s="54" t="n"/>
      <c r="Z292" s="55" t="n">
        <v>0</v>
      </c>
      <c r="AA292" s="52" t="inlineStr">
        <is>
          <t>Awarded</t>
        </is>
      </c>
      <c r="AB292" s="52" t="inlineStr">
        <is>
          <t>Completed on August 2026</t>
        </is>
      </c>
      <c r="AC292" s="42" t="inlineStr">
        <is>
          <t>IF(F292="","",IF(COUNT(AI292:AV292)=0,IF(AA292="","Not started",AA292),SUBSTITUTE(LOOKUP(2,1/(AI292:AV292&lt;&gt;""),$AI$3:$AV$3),"Date: ","")))</t>
        </is>
      </c>
      <c r="AD292" s="49" t="inlineStr">
        <is>
          <t>IF(OR(F292="",COUNT(AI292:AV292)=0),"",TODAY()-LOOKUP(2,1/(AI292:AV292&lt;&gt;""),AI292:AV292))</t>
        </is>
      </c>
      <c r="AE292" s="49" t="inlineStr">
        <is>
          <t>IF(OR(F292="",COUNT(AI292:AV292)&lt;2),"",LOOKUP(2,1/(AI292:AV292&lt;&gt;""),AI292:AV292)-MIN(AI292:AV292))</t>
        </is>
      </c>
      <c r="AF292" s="49" t="inlineStr">
        <is>
          <t>IF(OR(AD292="",AC292="Not started",AC292=""),"",IFERROR(AD292-IF(VLOOKUP(AC292,'06_Status_Pipeline'!$B$3:$E$20,4,FALSE)="",0,VLOOKUP(AC292,'06_Status_Pipeline'!$B$3:$E$20,4,FALSE)),""))</t>
        </is>
      </c>
      <c r="AG292" s="42" t="inlineStr">
        <is>
          <t>IF(F292="","",IF(OR(AA292="Cancelled",AC292="Cancelled"),"Cancelled",IF(OR(AC292="Completed / Handover",Y292&lt;&gt;"",Z292&gt;=100),"Completed — on track",IF(O292="Not awarded",IF(U292="",IF(X292="","No planned date",IF(TODAY()&gt;X292,"Behind — past planned date",IF(X292-TODAY()&lt;=30,"At risk — close to off track","On track"))),IF(TODAY()&gt;U292,"Behind — award date passed",IF(U292-TODAY()&lt;=30,"At risk — close to off track","On track"))),IF(X292="","No planned date",IF(AND(TODAY()&gt;X292,OR(Z292="",Z292&lt;100)),"Behind — past end date",IF(AND(T292&lt;&gt;"",X292&lt;&gt;"",Z292&lt;&gt;"",(Z292&lt;100),((TODAY()-T292)/MAX(X292-T292,1)*100)-Z292&gt;15),"Behind — progress lag",IF(AND(X292-TODAY()&lt;=30,X292-TODAY()&gt;=0,OR(Z292="",Z292&lt;90)),"At risk — close to off track","On track"))))))))</t>
        </is>
      </c>
      <c r="AH292" s="49" t="inlineStr">
        <is>
          <t>IF(OR(F292="",AC292="Completed / Handover",AC292="Cancelled"),"",IF(O292="Not awarded",IF(U292&lt;&gt;"",U292-TODAY(),IF(X292="","",X292-TODAY())),IF(X292="","",X292-TODAY())))</t>
        </is>
      </c>
      <c r="AI292" s="67" t="n"/>
      <c r="AJ292" s="67" t="n"/>
      <c r="AK292" s="67" t="n"/>
      <c r="AL292" s="67" t="n"/>
      <c r="AM292" s="67" t="n"/>
      <c r="AN292" s="67" t="n"/>
      <c r="AO292" s="67" t="n"/>
      <c r="AP292" s="67" t="n"/>
      <c r="AQ292" s="67" t="n">
        <v>46197</v>
      </c>
      <c r="AR292" s="67" t="n"/>
      <c r="AS292" s="67" t="n"/>
      <c r="AT292" s="50" t="n"/>
      <c r="AU292" s="50" t="n"/>
      <c r="AV292" s="50" t="n"/>
      <c r="AW292" s="49" t="inlineStr">
        <is>
          <t>IF(OR(F292="",AJ292=""),"",IF(COUNT(AI292:AI292)=0,"",AJ292-LOOKUP(2,1/(AI292:AI292&lt;&gt;""),AI292:AI292)))</t>
        </is>
      </c>
      <c r="AX292" s="49" t="inlineStr">
        <is>
          <t>IF(OR(F292="",AK292=""),"",IF(COUNT(AI292:AJ292)=0,"",AK292-LOOKUP(2,1/(AI292:AJ292&lt;&gt;""),AI292:AJ292)))</t>
        </is>
      </c>
      <c r="AY292" s="49" t="inlineStr">
        <is>
          <t>IF(OR(F292="",AL292=""),"",IF(COUNT(AI292:AK292)=0,"",AL292-LOOKUP(2,1/(AI292:AK292&lt;&gt;""),AI292:AK292)))</t>
        </is>
      </c>
      <c r="AZ292" s="49" t="inlineStr">
        <is>
          <t>IF(OR(F292="",AM292=""),"",IF(COUNT(AI292:AL292)=0,"",AM292-LOOKUP(2,1/(AI292:AL292&lt;&gt;""),AI292:AL292)))</t>
        </is>
      </c>
      <c r="BA292" s="49" t="inlineStr">
        <is>
          <t>IF(OR(F292="",AN292=""),"",IF(COUNT(AI292:AM292)=0,"",AN292-LOOKUP(2,1/(AI292:AM292&lt;&gt;""),AI292:AM292)))</t>
        </is>
      </c>
      <c r="BB292" s="49" t="inlineStr">
        <is>
          <t>IF(OR(F292="",AO292=""),"",IF(COUNT(AI292:AN292)=0,"",AO292-LOOKUP(2,1/(AI292:AN292&lt;&gt;""),AI292:AN292)))</t>
        </is>
      </c>
      <c r="BC292" s="49" t="inlineStr">
        <is>
          <t>IF(OR(F292="",AP292=""),"",IF(COUNT(AI292:AO292)=0,"",AP292-LOOKUP(2,1/(AI292:AO292&lt;&gt;""),AI292:AO292)))</t>
        </is>
      </c>
      <c r="BD292" s="49" t="inlineStr">
        <is>
          <t>IF(OR(F292="",AQ292=""),"",IF(COUNT(AI292:AP292)=0,"",AQ292-LOOKUP(2,1/(AI292:AP292&lt;&gt;""),AI292:AP292)))</t>
        </is>
      </c>
      <c r="BE292" s="49" t="inlineStr">
        <is>
          <t>IF(OR(F292="",AR292=""),"",IF(COUNT(AI292:AQ292)=0,"",AR292-LOOKUP(2,1/(AI292:AQ292&lt;&gt;""),AI292:AQ292)))</t>
        </is>
      </c>
      <c r="BF292" s="49" t="inlineStr">
        <is>
          <t>IF(OR(F292="",AS292=""),"",IF(COUNT(AI292:AR292)=0,"",AS292-LOOKUP(2,1/(AI292:AR292&lt;&gt;""),AI292:AR292)))</t>
        </is>
      </c>
      <c r="BG292" s="49" t="inlineStr">
        <is>
          <t>IF(OR(F292="",AT292=""),"",IF(COUNT(AI292:AS292)=0,"",AT292-LOOKUP(2,1/(AI292:AS292&lt;&gt;""),AI292:AS292)))</t>
        </is>
      </c>
      <c r="BH292" s="49" t="inlineStr">
        <is>
          <t>IF(OR(F292="",AU292=""),"",IF(COUNT(AI292:AT292)=0,"",AU292-LOOKUP(2,1/(AI292:AT292&lt;&gt;""),AI292:AT292)))</t>
        </is>
      </c>
      <c r="BI292" s="49" t="inlineStr">
        <is>
          <t>IF(OR(F292="",AV292=""),"",IF(COUNT(AI292:AU292)=0,"",AV292-LOOKUP(2,1/(AI292:AU292&lt;&gt;""),AI292:AU292)))</t>
        </is>
      </c>
      <c r="BJ292" s="51" t="inlineStr">
        <is>
          <t>IF(J292="","All_Provinces",IFERROR(VLOOKUP(J292,'09_Lookups'!$A$4:$B$20,2,FALSE),"All_Provinces"))</t>
        </is>
      </c>
      <c r="BK292" s="51" t="inlineStr">
        <is>
          <t>IF(K292="","All_Districts",IFERROR(VLOOKUP(K292,'09_Lookups'!$E$4:$F$42,2,FALSE),"All_Districts"))</t>
        </is>
      </c>
    </row>
    <row r="293" ht="18" customHeight="1">
      <c r="A293" s="32" t="inlineStr">
        <is>
          <t>IF(F293="","",ROW()-3)</t>
        </is>
      </c>
      <c r="B293" s="33" t="inlineStr">
        <is>
          <t>AF2-WSM-12</t>
        </is>
      </c>
      <c r="C293" s="33" t="inlineStr">
        <is>
          <t>Package #12-AF2 WSM: Construction of 4 Check dams 1. Qoli Ghafoor, 2. Dara-e-Qala-e-Qazi in PD#13 Kabul city, 3.Gul Mohammad and 4.Qala-e-Shah Mahmood in Deh Sabz district of Kabul province.</t>
        </is>
      </c>
      <c r="D293" s="33" t="inlineStr">
        <is>
          <t>1 of 2</t>
        </is>
      </c>
      <c r="E293" s="57" t="inlineStr">
        <is>
          <t>AF2-WSM-N-003</t>
        </is>
      </c>
      <c r="F293" s="57" t="inlineStr">
        <is>
          <t>Gul Mohammad, Qalai e Shah mohammad Check dams</t>
        </is>
      </c>
      <c r="G293" s="57" t="inlineStr">
        <is>
          <t>Watershed Management</t>
        </is>
      </c>
      <c r="H293" s="57" t="inlineStr">
        <is>
          <t>Check Dam</t>
        </is>
      </c>
      <c r="I293" s="57" t="inlineStr">
        <is>
          <t>Emergency Food Security Project (EFSP) – WBK/AF-2</t>
        </is>
      </c>
      <c r="J293" s="57" t="inlineStr">
        <is>
          <t>Central / Kabul</t>
        </is>
      </c>
      <c r="K293" s="57" t="inlineStr">
        <is>
          <t>Kabul</t>
        </is>
      </c>
      <c r="L293" s="57" t="inlineStr">
        <is>
          <t>Deh Sabz</t>
        </is>
      </c>
      <c r="M293" s="57" t="inlineStr">
        <is>
          <t>Gul Mohammad, Qalai e Shah mohammad</t>
        </is>
      </c>
      <c r="N293" s="57" t="inlineStr">
        <is>
          <t>World Bank (WBK/AF-2)</t>
        </is>
      </c>
      <c r="O293" s="57" t="inlineStr">
        <is>
          <t>Not awarded</t>
        </is>
      </c>
      <c r="P293" s="57" t="inlineStr">
        <is>
          <t>4.WSM remaining contracts</t>
        </is>
      </c>
      <c r="Q293" s="57" t="inlineStr"/>
      <c r="R293" s="57" t="inlineStr"/>
      <c r="S293" s="58" t="n">
        <v>197430</v>
      </c>
      <c r="T293" s="36" t="inlineStr">
        <is>
          <t>IF(AQ293="","",AQ293)</t>
        </is>
      </c>
      <c r="U293" s="59" t="n">
        <v>46371</v>
      </c>
      <c r="V293" s="60" t="n">
        <v>8.9</v>
      </c>
      <c r="W293" s="59" t="n">
        <v>46641</v>
      </c>
      <c r="X293" s="36" t="inlineStr">
        <is>
          <t>IF(W293&lt;&gt;"",W293,IF(OR(T293="",V293=""),"",EDATE(T293,V293)))</t>
        </is>
      </c>
      <c r="Y293" s="59" t="n"/>
      <c r="Z293" s="60" t="n"/>
      <c r="AA293" s="57" t="inlineStr">
        <is>
          <t>PR to be Raised</t>
        </is>
      </c>
      <c r="AB293" s="57" t="inlineStr">
        <is>
          <t>Construction of the check dam will be completed in seven months. Additional three months have been kept as slack period during Jan-March.</t>
        </is>
      </c>
      <c r="AC293" s="32" t="inlineStr">
        <is>
          <t>IF(F293="","",IF(COUNT(AI293:AV293)=0,IF(AA293="","Not started",AA293),SUBSTITUTE(LOOKUP(2,1/(AI293:AV293&lt;&gt;""),$AI$3:$AV$3),"Date: ","")))</t>
        </is>
      </c>
      <c r="AD293" s="39" t="inlineStr">
        <is>
          <t>IF(OR(F293="",COUNT(AI293:AV293)=0),"",TODAY()-LOOKUP(2,1/(AI293:AV293&lt;&gt;""),AI293:AV293))</t>
        </is>
      </c>
      <c r="AE293" s="39" t="inlineStr">
        <is>
          <t>IF(OR(F293="",COUNT(AI293:AV293)&lt;2),"",LOOKUP(2,1/(AI293:AV293&lt;&gt;""),AI293:AV293)-MIN(AI293:AV293))</t>
        </is>
      </c>
      <c r="AF293" s="39" t="inlineStr">
        <is>
          <t>IF(OR(AD293="",AC293="Not started",AC293=""),"",IFERROR(AD293-IF(VLOOKUP(AC293,'06_Status_Pipeline'!$B$3:$E$20,4,FALSE)="",0,VLOOKUP(AC293,'06_Status_Pipeline'!$B$3:$E$20,4,FALSE)),""))</t>
        </is>
      </c>
      <c r="AG293" s="32" t="inlineStr">
        <is>
          <t>IF(F293="","",IF(OR(AA293="Cancelled",AC293="Cancelled"),"Cancelled",IF(OR(AC293="Completed / Handover",Y293&lt;&gt;"",Z293&gt;=100),"Completed — on track",IF(O293="Not awarded",IF(U293="",IF(X293="","No planned date",IF(TODAY()&gt;X293,"Behind — past planned date",IF(X293-TODAY()&lt;=30,"At risk — close to off track","On track"))),IF(TODAY()&gt;U293,"Behind — award date passed",IF(U293-TODAY()&lt;=30,"At risk — close to off track","On track"))),IF(X293="","No planned date",IF(AND(TODAY()&gt;X293,OR(Z293="",Z293&lt;100)),"Behind — past end date",IF(AND(T293&lt;&gt;"",X293&lt;&gt;"",Z293&lt;&gt;"",(Z293&lt;100),((TODAY()-T293)/MAX(X293-T293,1)*100)-Z293&gt;15),"Behind — progress lag",IF(AND(X293-TODAY()&lt;=30,X293-TODAY()&gt;=0,OR(Z293="",Z293&lt;90)),"At risk — close to off track","On track"))))))))</t>
        </is>
      </c>
      <c r="AH293" s="39" t="inlineStr">
        <is>
          <t>IF(OR(F293="",AC293="Completed / Handover",AC293="Cancelled"),"",IF(O293="Not awarded",IF(U293&lt;&gt;"",U293-TODAY(),IF(X293="","",X293-TODAY())),IF(X293="","",X293-TODAY())))</t>
        </is>
      </c>
      <c r="AI293" s="59" t="n"/>
      <c r="AJ293" s="59" t="n"/>
      <c r="AK293" s="59" t="n"/>
      <c r="AL293" s="59" t="n"/>
      <c r="AM293" s="59" t="n"/>
      <c r="AN293" s="59" t="n"/>
      <c r="AO293" s="59" t="n"/>
      <c r="AP293" s="59" t="n"/>
      <c r="AQ293" s="59" t="n"/>
      <c r="AR293" s="59" t="n"/>
      <c r="AS293" s="59" t="n"/>
      <c r="AT293" s="40" t="n"/>
      <c r="AU293" s="40" t="n"/>
      <c r="AV293" s="40" t="n"/>
      <c r="AW293" s="39" t="inlineStr">
        <is>
          <t>IF(OR(F293="",AJ293=""),"",IF(COUNT(AI293:AI293)=0,"",AJ293-LOOKUP(2,1/(AI293:AI293&lt;&gt;""),AI293:AI293)))</t>
        </is>
      </c>
      <c r="AX293" s="39" t="inlineStr">
        <is>
          <t>IF(OR(F293="",AK293=""),"",IF(COUNT(AI293:AJ293)=0,"",AK293-LOOKUP(2,1/(AI293:AJ293&lt;&gt;""),AI293:AJ293)))</t>
        </is>
      </c>
      <c r="AY293" s="39" t="inlineStr">
        <is>
          <t>IF(OR(F293="",AL293=""),"",IF(COUNT(AI293:AK293)=0,"",AL293-LOOKUP(2,1/(AI293:AK293&lt;&gt;""),AI293:AK293)))</t>
        </is>
      </c>
      <c r="AZ293" s="39" t="inlineStr">
        <is>
          <t>IF(OR(F293="",AM293=""),"",IF(COUNT(AI293:AL293)=0,"",AM293-LOOKUP(2,1/(AI293:AL293&lt;&gt;""),AI293:AL293)))</t>
        </is>
      </c>
      <c r="BA293" s="39" t="inlineStr">
        <is>
          <t>IF(OR(F293="",AN293=""),"",IF(COUNT(AI293:AM293)=0,"",AN293-LOOKUP(2,1/(AI293:AM293&lt;&gt;""),AI293:AM293)))</t>
        </is>
      </c>
      <c r="BB293" s="39" t="inlineStr">
        <is>
          <t>IF(OR(F293="",AO293=""),"",IF(COUNT(AI293:AN293)=0,"",AO293-LOOKUP(2,1/(AI293:AN293&lt;&gt;""),AI293:AN293)))</t>
        </is>
      </c>
      <c r="BC293" s="39" t="inlineStr">
        <is>
          <t>IF(OR(F293="",AP293=""),"",IF(COUNT(AI293:AO293)=0,"",AP293-LOOKUP(2,1/(AI293:AO293&lt;&gt;""),AI293:AO293)))</t>
        </is>
      </c>
      <c r="BD293" s="39" t="inlineStr">
        <is>
          <t>IF(OR(F293="",AQ293=""),"",IF(COUNT(AI293:AP293)=0,"",AQ293-LOOKUP(2,1/(AI293:AP293&lt;&gt;""),AI293:AP293)))</t>
        </is>
      </c>
      <c r="BE293" s="39" t="inlineStr">
        <is>
          <t>IF(OR(F293="",AR293=""),"",IF(COUNT(AI293:AQ293)=0,"",AR293-LOOKUP(2,1/(AI293:AQ293&lt;&gt;""),AI293:AQ293)))</t>
        </is>
      </c>
      <c r="BF293" s="39" t="inlineStr">
        <is>
          <t>IF(OR(F293="",AS293=""),"",IF(COUNT(AI293:AR293)=0,"",AS293-LOOKUP(2,1/(AI293:AR293&lt;&gt;""),AI293:AR293)))</t>
        </is>
      </c>
      <c r="BG293" s="39" t="inlineStr">
        <is>
          <t>IF(OR(F293="",AT293=""),"",IF(COUNT(AI293:AS293)=0,"",AT293-LOOKUP(2,1/(AI293:AS293&lt;&gt;""),AI293:AS293)))</t>
        </is>
      </c>
      <c r="BH293" s="39" t="inlineStr">
        <is>
          <t>IF(OR(F293="",AU293=""),"",IF(COUNT(AI293:AT293)=0,"",AU293-LOOKUP(2,1/(AI293:AT293&lt;&gt;""),AI293:AT293)))</t>
        </is>
      </c>
      <c r="BI293" s="39" t="inlineStr">
        <is>
          <t>IF(OR(F293="",AV293=""),"",IF(COUNT(AI293:AU293)=0,"",AV293-LOOKUP(2,1/(AI293:AU293&lt;&gt;""),AI293:AU293)))</t>
        </is>
      </c>
      <c r="BJ293" s="41" t="inlineStr">
        <is>
          <t>IF(J293="","All_Provinces",IFERROR(VLOOKUP(J293,'09_Lookups'!$A$4:$B$20,2,FALSE),"All_Provinces"))</t>
        </is>
      </c>
      <c r="BK293" s="41" t="inlineStr">
        <is>
          <t>IF(K293="","All_Districts",IFERROR(VLOOKUP(K293,'09_Lookups'!$E$4:$F$42,2,FALSE),"All_Districts"))</t>
        </is>
      </c>
    </row>
    <row r="294" outlineLevel="1" ht="18" customHeight="1">
      <c r="A294" s="42" t="inlineStr">
        <is>
          <t>IF(F294="","",ROW()-3)</t>
        </is>
      </c>
      <c r="B294" s="43" t="inlineStr">
        <is>
          <t>AF2-WSM-12</t>
        </is>
      </c>
      <c r="C294" s="43" t="inlineStr">
        <is>
          <t>Package #12-AF2 WSM: Construction of 4 Check dams 1. Qoli Ghafoor, 2. Dara-e-Qala-e-Qazi in PD#13 Kabul city, 3.Gul Mohammad and 4.Qala-e-Shah Mahmood in Deh Sabz district of Kabul province.</t>
        </is>
      </c>
      <c r="D294" s="43" t="inlineStr">
        <is>
          <t>2 of 2</t>
        </is>
      </c>
      <c r="E294" s="52" t="inlineStr">
        <is>
          <t>AF2-WSM-N-004</t>
        </is>
      </c>
      <c r="F294" s="52" t="inlineStr">
        <is>
          <t>Qoli Ghafoor, Dara-e-Qala-e-Qazi Check dams</t>
        </is>
      </c>
      <c r="G294" s="52" t="inlineStr">
        <is>
          <t>Watershed Management</t>
        </is>
      </c>
      <c r="H294" s="52" t="inlineStr">
        <is>
          <t>Check Dam</t>
        </is>
      </c>
      <c r="I294" s="52" t="inlineStr">
        <is>
          <t>Emergency Food Security Project (EFSP) – WBK/AF-2</t>
        </is>
      </c>
      <c r="J294" s="52" t="inlineStr">
        <is>
          <t>Central / Kabul</t>
        </is>
      </c>
      <c r="K294" s="52" t="inlineStr">
        <is>
          <t>Kabul</t>
        </is>
      </c>
      <c r="L294" s="52" t="inlineStr">
        <is>
          <t>PD#13 Kabul</t>
        </is>
      </c>
      <c r="M294" s="52" t="inlineStr">
        <is>
          <t>Qoli Ghafoor, Dara-e-Qala-e-Qazi</t>
        </is>
      </c>
      <c r="N294" s="52" t="inlineStr">
        <is>
          <t>World Bank (WBK/AF-2)</t>
        </is>
      </c>
      <c r="O294" s="52" t="inlineStr">
        <is>
          <t>Not awarded</t>
        </is>
      </c>
      <c r="P294" s="52" t="inlineStr">
        <is>
          <t>4.WSM remaining contracts</t>
        </is>
      </c>
      <c r="Q294" s="52" t="inlineStr"/>
      <c r="R294" s="52" t="inlineStr"/>
      <c r="S294" s="53" t="n">
        <v>197430</v>
      </c>
      <c r="T294" s="46" t="inlineStr">
        <is>
          <t>IF(AQ294="","",AQ294)</t>
        </is>
      </c>
      <c r="U294" s="54" t="n">
        <v>46371</v>
      </c>
      <c r="V294" s="55" t="n">
        <v>8.9</v>
      </c>
      <c r="W294" s="54" t="n">
        <v>46641</v>
      </c>
      <c r="X294" s="46" t="inlineStr">
        <is>
          <t>IF(W294&lt;&gt;"",W294,IF(OR(T294="",V294=""),"",EDATE(T294,V294)))</t>
        </is>
      </c>
      <c r="Y294" s="54" t="n"/>
      <c r="Z294" s="55" t="n"/>
      <c r="AA294" s="52" t="inlineStr">
        <is>
          <t>PR to be Raised</t>
        </is>
      </c>
      <c r="AB294" s="52" t="inlineStr">
        <is>
          <t>Construction of the check dam will be completed in seven months. Additional three months have been kept as slack period during Jan-March.</t>
        </is>
      </c>
      <c r="AC294" s="42" t="inlineStr">
        <is>
          <t>IF(F294="","",IF(COUNT(AI294:AV294)=0,IF(AA294="","Not started",AA294),SUBSTITUTE(LOOKUP(2,1/(AI294:AV294&lt;&gt;""),$AI$3:$AV$3),"Date: ","")))</t>
        </is>
      </c>
      <c r="AD294" s="49" t="inlineStr">
        <is>
          <t>IF(OR(F294="",COUNT(AI294:AV294)=0),"",TODAY()-LOOKUP(2,1/(AI294:AV294&lt;&gt;""),AI294:AV294))</t>
        </is>
      </c>
      <c r="AE294" s="49" t="inlineStr">
        <is>
          <t>IF(OR(F294="",COUNT(AI294:AV294)&lt;2),"",LOOKUP(2,1/(AI294:AV294&lt;&gt;""),AI294:AV294)-MIN(AI294:AV294))</t>
        </is>
      </c>
      <c r="AF294" s="49" t="inlineStr">
        <is>
          <t>IF(OR(AD294="",AC294="Not started",AC294=""),"",IFERROR(AD294-IF(VLOOKUP(AC294,'06_Status_Pipeline'!$B$3:$E$20,4,FALSE)="",0,VLOOKUP(AC294,'06_Status_Pipeline'!$B$3:$E$20,4,FALSE)),""))</t>
        </is>
      </c>
      <c r="AG294" s="42" t="inlineStr">
        <is>
          <t>IF(F294="","",IF(OR(AA294="Cancelled",AC294="Cancelled"),"Cancelled",IF(OR(AC294="Completed / Handover",Y294&lt;&gt;"",Z294&gt;=100),"Completed — on track",IF(O294="Not awarded",IF(U294="",IF(X294="","No planned date",IF(TODAY()&gt;X294,"Behind — past planned date",IF(X294-TODAY()&lt;=30,"At risk — close to off track","On track"))),IF(TODAY()&gt;U294,"Behind — award date passed",IF(U294-TODAY()&lt;=30,"At risk — close to off track","On track"))),IF(X294="","No planned date",IF(AND(TODAY()&gt;X294,OR(Z294="",Z294&lt;100)),"Behind — past end date",IF(AND(T294&lt;&gt;"",X294&lt;&gt;"",Z294&lt;&gt;"",(Z294&lt;100),((TODAY()-T294)/MAX(X294-T294,1)*100)-Z294&gt;15),"Behind — progress lag",IF(AND(X294-TODAY()&lt;=30,X294-TODAY()&gt;=0,OR(Z294="",Z294&lt;90)),"At risk — close to off track","On track"))))))))</t>
        </is>
      </c>
      <c r="AH294" s="49" t="inlineStr">
        <is>
          <t>IF(OR(F294="",AC294="Completed / Handover",AC294="Cancelled"),"",IF(O294="Not awarded",IF(U294&lt;&gt;"",U294-TODAY(),IF(X294="","",X294-TODAY())),IF(X294="","",X294-TODAY())))</t>
        </is>
      </c>
      <c r="AI294" s="54" t="n"/>
      <c r="AJ294" s="54" t="n"/>
      <c r="AK294" s="54" t="n"/>
      <c r="AL294" s="54" t="n"/>
      <c r="AM294" s="54" t="n"/>
      <c r="AN294" s="54" t="n"/>
      <c r="AO294" s="54" t="n"/>
      <c r="AP294" s="54" t="n"/>
      <c r="AQ294" s="54" t="n"/>
      <c r="AR294" s="54" t="n"/>
      <c r="AS294" s="54" t="n"/>
      <c r="AT294" s="50" t="n"/>
      <c r="AU294" s="50" t="n"/>
      <c r="AV294" s="50" t="n"/>
      <c r="AW294" s="49" t="inlineStr">
        <is>
          <t>IF(OR(F294="",AJ294=""),"",IF(COUNT(AI294:AI294)=0,"",AJ294-LOOKUP(2,1/(AI294:AI294&lt;&gt;""),AI294:AI294)))</t>
        </is>
      </c>
      <c r="AX294" s="49" t="inlineStr">
        <is>
          <t>IF(OR(F294="",AK294=""),"",IF(COUNT(AI294:AJ294)=0,"",AK294-LOOKUP(2,1/(AI294:AJ294&lt;&gt;""),AI294:AJ294)))</t>
        </is>
      </c>
      <c r="AY294" s="49" t="inlineStr">
        <is>
          <t>IF(OR(F294="",AL294=""),"",IF(COUNT(AI294:AK294)=0,"",AL294-LOOKUP(2,1/(AI294:AK294&lt;&gt;""),AI294:AK294)))</t>
        </is>
      </c>
      <c r="AZ294" s="49" t="inlineStr">
        <is>
          <t>IF(OR(F294="",AM294=""),"",IF(COUNT(AI294:AL294)=0,"",AM294-LOOKUP(2,1/(AI294:AL294&lt;&gt;""),AI294:AL294)))</t>
        </is>
      </c>
      <c r="BA294" s="49" t="inlineStr">
        <is>
          <t>IF(OR(F294="",AN294=""),"",IF(COUNT(AI294:AM294)=0,"",AN294-LOOKUP(2,1/(AI294:AM294&lt;&gt;""),AI294:AM294)))</t>
        </is>
      </c>
      <c r="BB294" s="49" t="inlineStr">
        <is>
          <t>IF(OR(F294="",AO294=""),"",IF(COUNT(AI294:AN294)=0,"",AO294-LOOKUP(2,1/(AI294:AN294&lt;&gt;""),AI294:AN294)))</t>
        </is>
      </c>
      <c r="BC294" s="49" t="inlineStr">
        <is>
          <t>IF(OR(F294="",AP294=""),"",IF(COUNT(AI294:AO294)=0,"",AP294-LOOKUP(2,1/(AI294:AO294&lt;&gt;""),AI294:AO294)))</t>
        </is>
      </c>
      <c r="BD294" s="49" t="inlineStr">
        <is>
          <t>IF(OR(F294="",AQ294=""),"",IF(COUNT(AI294:AP294)=0,"",AQ294-LOOKUP(2,1/(AI294:AP294&lt;&gt;""),AI294:AP294)))</t>
        </is>
      </c>
      <c r="BE294" s="49" t="inlineStr">
        <is>
          <t>IF(OR(F294="",AR294=""),"",IF(COUNT(AI294:AQ294)=0,"",AR294-LOOKUP(2,1/(AI294:AQ294&lt;&gt;""),AI294:AQ294)))</t>
        </is>
      </c>
      <c r="BF294" s="49" t="inlineStr">
        <is>
          <t>IF(OR(F294="",AS294=""),"",IF(COUNT(AI294:AR294)=0,"",AS294-LOOKUP(2,1/(AI294:AR294&lt;&gt;""),AI294:AR294)))</t>
        </is>
      </c>
      <c r="BG294" s="49" t="inlineStr">
        <is>
          <t>IF(OR(F294="",AT294=""),"",IF(COUNT(AI294:AS294)=0,"",AT294-LOOKUP(2,1/(AI294:AS294&lt;&gt;""),AI294:AS294)))</t>
        </is>
      </c>
      <c r="BH294" s="49" t="inlineStr">
        <is>
          <t>IF(OR(F294="",AU294=""),"",IF(COUNT(AI294:AT294)=0,"",AU294-LOOKUP(2,1/(AI294:AT294&lt;&gt;""),AI294:AT294)))</t>
        </is>
      </c>
      <c r="BI294" s="49" t="inlineStr">
        <is>
          <t>IF(OR(F294="",AV294=""),"",IF(COUNT(AI294:AU294)=0,"",AV294-LOOKUP(2,1/(AI294:AU294&lt;&gt;""),AI294:AU294)))</t>
        </is>
      </c>
      <c r="BJ294" s="51" t="inlineStr">
        <is>
          <t>IF(J294="","All_Provinces",IFERROR(VLOOKUP(J294,'09_Lookups'!$A$4:$B$20,2,FALSE),"All_Provinces"))</t>
        </is>
      </c>
      <c r="BK294" s="51" t="inlineStr">
        <is>
          <t>IF(K294="","All_Districts",IFERROR(VLOOKUP(K294,'09_Lookups'!$E$4:$F$42,2,FALSE),"All_Districts"))</t>
        </is>
      </c>
    </row>
    <row r="295" ht="18" customHeight="1">
      <c r="A295" s="32" t="inlineStr">
        <is>
          <t>IF(F295="","",ROW()-3)</t>
        </is>
      </c>
      <c r="B295" s="56" t="inlineStr">
        <is>
          <t>AF2-WSM-13</t>
        </is>
      </c>
      <c r="C295" s="56" t="inlineStr">
        <is>
          <t>Package #13-AF2 WSM: Construction of 4 Check Dams in 4 district sites of 1.Kata Khana in Yakawlang , 2. Nawora in Panjab, 3.Nahorak in Waras, and 4.Bayani in Sayghan districts of Bamyan province</t>
        </is>
      </c>
      <c r="D295" s="56" t="inlineStr">
        <is>
          <t>1 of 4</t>
        </is>
      </c>
      <c r="E295" s="57" t="inlineStr">
        <is>
          <t>AF2-WSM-A-030</t>
        </is>
      </c>
      <c r="F295" s="57" t="inlineStr">
        <is>
          <t>1.Kata Khana Check dam</t>
        </is>
      </c>
      <c r="G295" s="57" t="inlineStr">
        <is>
          <t>Watershed Management</t>
        </is>
      </c>
      <c r="H295" s="57" t="inlineStr">
        <is>
          <t>Check Dam</t>
        </is>
      </c>
      <c r="I295" s="57" t="inlineStr">
        <is>
          <t>Emergency Food Security Project (EFSP) – WBK/AF-2</t>
        </is>
      </c>
      <c r="J295" s="57" t="inlineStr">
        <is>
          <t>Central Highland / Bamyan</t>
        </is>
      </c>
      <c r="K295" s="57" t="inlineStr">
        <is>
          <t>Bamyan</t>
        </is>
      </c>
      <c r="L295" s="57" t="inlineStr">
        <is>
          <t>Yakawalang</t>
        </is>
      </c>
      <c r="M295" s="57" t="inlineStr">
        <is>
          <t>Kata Khana, Check dam</t>
        </is>
      </c>
      <c r="N295" s="57" t="inlineStr">
        <is>
          <t>World Bank (WBK/AF-2)</t>
        </is>
      </c>
      <c r="O295" s="57" t="inlineStr">
        <is>
          <t>Awarded</t>
        </is>
      </c>
      <c r="P295" s="57" t="inlineStr">
        <is>
          <t>3.WSM awarded contracts</t>
        </is>
      </c>
      <c r="Q295" s="57" t="inlineStr">
        <is>
          <t>Estehkam Baba Construction and Road Construction Company (EBCC)</t>
        </is>
      </c>
      <c r="R295" s="57" t="inlineStr">
        <is>
          <t>051/2026</t>
        </is>
      </c>
      <c r="S295" s="58" t="n">
        <v>66705.50999999999</v>
      </c>
      <c r="T295" s="36" t="inlineStr">
        <is>
          <t>IF(AQ295="","",AQ295)</t>
        </is>
      </c>
      <c r="U295" s="59" t="n"/>
      <c r="V295" s="60" t="n">
        <v>7</v>
      </c>
      <c r="W295" s="59" t="n">
        <v>46439</v>
      </c>
      <c r="X295" s="36" t="inlineStr">
        <is>
          <t>IF(W295&lt;&gt;"",W295,IF(OR(T295="",V295=""),"",EDATE(T295,V295)))</t>
        </is>
      </c>
      <c r="Y295" s="59" t="n"/>
      <c r="Z295" s="60" t="n">
        <v>35</v>
      </c>
      <c r="AA295" s="57" t="inlineStr">
        <is>
          <t>Under Construction</t>
        </is>
      </c>
      <c r="AB295" s="57" t="inlineStr">
        <is>
          <t>Completed on August 2026</t>
        </is>
      </c>
      <c r="AC295" s="32" t="inlineStr">
        <is>
          <t>IF(F295="","",IF(COUNT(AI295:AV295)=0,IF(AA295="","Not started",AA295),SUBSTITUTE(LOOKUP(2,1/(AI295:AV295&lt;&gt;""),$AI$3:$AV$3),"Date: ","")))</t>
        </is>
      </c>
      <c r="AD295" s="39" t="inlineStr">
        <is>
          <t>IF(OR(F295="",COUNT(AI295:AV295)=0),"",TODAY()-LOOKUP(2,1/(AI295:AV295&lt;&gt;""),AI295:AV295))</t>
        </is>
      </c>
      <c r="AE295" s="39" t="inlineStr">
        <is>
          <t>IF(OR(F295="",COUNT(AI295:AV295)&lt;2),"",LOOKUP(2,1/(AI295:AV295&lt;&gt;""),AI295:AV295)-MIN(AI295:AV295))</t>
        </is>
      </c>
      <c r="AF295" s="39" t="inlineStr">
        <is>
          <t>IF(OR(AD295="",AC295="Not started",AC295=""),"",IFERROR(AD295-IF(VLOOKUP(AC295,'06_Status_Pipeline'!$B$3:$E$20,4,FALSE)="",0,VLOOKUP(AC295,'06_Status_Pipeline'!$B$3:$E$20,4,FALSE)),""))</t>
        </is>
      </c>
      <c r="AG295" s="32" t="inlineStr">
        <is>
          <t>IF(F295="","",IF(OR(AA295="Cancelled",AC295="Cancelled"),"Cancelled",IF(OR(AC295="Completed / Handover",Y295&lt;&gt;"",Z295&gt;=100),"Completed — on track",IF(O295="Not awarded",IF(U295="",IF(X295="","No planned date",IF(TODAY()&gt;X295,"Behind — past planned date",IF(X295-TODAY()&lt;=30,"At risk — close to off track","On track"))),IF(TODAY()&gt;U295,"Behind — award date passed",IF(U295-TODAY()&lt;=30,"At risk — close to off track","On track"))),IF(X295="","No planned date",IF(AND(TODAY()&gt;X295,OR(Z295="",Z295&lt;100)),"Behind — past end date",IF(AND(T295&lt;&gt;"",X295&lt;&gt;"",Z295&lt;&gt;"",(Z295&lt;100),((TODAY()-T295)/MAX(X295-T295,1)*100)-Z295&gt;15),"Behind — progress lag",IF(AND(X295-TODAY()&lt;=30,X295-TODAY()&gt;=0,OR(Z295="",Z295&lt;90)),"At risk — close to off track","On track"))))))))</t>
        </is>
      </c>
      <c r="AH295" s="39" t="inlineStr">
        <is>
          <t>IF(OR(F295="",AC295="Completed / Handover",AC295="Cancelled"),"",IF(O295="Not awarded",IF(U295&lt;&gt;"",U295-TODAY(),IF(X295="","",X295-TODAY())),IF(X295="","",X295-TODAY())))</t>
        </is>
      </c>
      <c r="AI295" s="66" t="n"/>
      <c r="AJ295" s="66" t="n"/>
      <c r="AK295" s="66" t="n"/>
      <c r="AL295" s="66" t="n"/>
      <c r="AM295" s="66" t="n"/>
      <c r="AN295" s="66" t="n"/>
      <c r="AO295" s="66" t="n"/>
      <c r="AP295" s="66" t="n"/>
      <c r="AQ295" s="66" t="n">
        <v>46225</v>
      </c>
      <c r="AR295" s="66" t="n">
        <v>46225</v>
      </c>
      <c r="AS295" s="66" t="n"/>
      <c r="AT295" s="40" t="n"/>
      <c r="AU295" s="40" t="n"/>
      <c r="AV295" s="40" t="n"/>
      <c r="AW295" s="39" t="inlineStr">
        <is>
          <t>IF(OR(F295="",AJ295=""),"",IF(COUNT(AI295:AI295)=0,"",AJ295-LOOKUP(2,1/(AI295:AI295&lt;&gt;""),AI295:AI295)))</t>
        </is>
      </c>
      <c r="AX295" s="39" t="inlineStr">
        <is>
          <t>IF(OR(F295="",AK295=""),"",IF(COUNT(AI295:AJ295)=0,"",AK295-LOOKUP(2,1/(AI295:AJ295&lt;&gt;""),AI295:AJ295)))</t>
        </is>
      </c>
      <c r="AY295" s="39" t="inlineStr">
        <is>
          <t>IF(OR(F295="",AL295=""),"",IF(COUNT(AI295:AK295)=0,"",AL295-LOOKUP(2,1/(AI295:AK295&lt;&gt;""),AI295:AK295)))</t>
        </is>
      </c>
      <c r="AZ295" s="39" t="inlineStr">
        <is>
          <t>IF(OR(F295="",AM295=""),"",IF(COUNT(AI295:AL295)=0,"",AM295-LOOKUP(2,1/(AI295:AL295&lt;&gt;""),AI295:AL295)))</t>
        </is>
      </c>
      <c r="BA295" s="39" t="inlineStr">
        <is>
          <t>IF(OR(F295="",AN295=""),"",IF(COUNT(AI295:AM295)=0,"",AN295-LOOKUP(2,1/(AI295:AM295&lt;&gt;""),AI295:AM295)))</t>
        </is>
      </c>
      <c r="BB295" s="39" t="inlineStr">
        <is>
          <t>IF(OR(F295="",AO295=""),"",IF(COUNT(AI295:AN295)=0,"",AO295-LOOKUP(2,1/(AI295:AN295&lt;&gt;""),AI295:AN295)))</t>
        </is>
      </c>
      <c r="BC295" s="39" t="inlineStr">
        <is>
          <t>IF(OR(F295="",AP295=""),"",IF(COUNT(AI295:AO295)=0,"",AP295-LOOKUP(2,1/(AI295:AO295&lt;&gt;""),AI295:AO295)))</t>
        </is>
      </c>
      <c r="BD295" s="39" t="inlineStr">
        <is>
          <t>IF(OR(F295="",AQ295=""),"",IF(COUNT(AI295:AP295)=0,"",AQ295-LOOKUP(2,1/(AI295:AP295&lt;&gt;""),AI295:AP295)))</t>
        </is>
      </c>
      <c r="BE295" s="39" t="inlineStr">
        <is>
          <t>IF(OR(F295="",AR295=""),"",IF(COUNT(AI295:AQ295)=0,"",AR295-LOOKUP(2,1/(AI295:AQ295&lt;&gt;""),AI295:AQ295)))</t>
        </is>
      </c>
      <c r="BF295" s="39" t="inlineStr">
        <is>
          <t>IF(OR(F295="",AS295=""),"",IF(COUNT(AI295:AR295)=0,"",AS295-LOOKUP(2,1/(AI295:AR295&lt;&gt;""),AI295:AR295)))</t>
        </is>
      </c>
      <c r="BG295" s="39" t="inlineStr">
        <is>
          <t>IF(OR(F295="",AT295=""),"",IF(COUNT(AI295:AS295)=0,"",AT295-LOOKUP(2,1/(AI295:AS295&lt;&gt;""),AI295:AS295)))</t>
        </is>
      </c>
      <c r="BH295" s="39" t="inlineStr">
        <is>
          <t>IF(OR(F295="",AU295=""),"",IF(COUNT(AI295:AT295)=0,"",AU295-LOOKUP(2,1/(AI295:AT295&lt;&gt;""),AI295:AT295)))</t>
        </is>
      </c>
      <c r="BI295" s="39" t="inlineStr">
        <is>
          <t>IF(OR(F295="",AV295=""),"",IF(COUNT(AI295:AU295)=0,"",AV295-LOOKUP(2,1/(AI295:AU295&lt;&gt;""),AI295:AU295)))</t>
        </is>
      </c>
      <c r="BJ295" s="41" t="inlineStr">
        <is>
          <t>IF(J295="","All_Provinces",IFERROR(VLOOKUP(J295,'09_Lookups'!$A$4:$B$20,2,FALSE),"All_Provinces"))</t>
        </is>
      </c>
      <c r="BK295" s="41" t="inlineStr">
        <is>
          <t>IF(K295="","All_Districts",IFERROR(VLOOKUP(K295,'09_Lookups'!$E$4:$F$42,2,FALSE),"All_Districts"))</t>
        </is>
      </c>
    </row>
    <row r="296" outlineLevel="1" ht="18" customHeight="1">
      <c r="A296" s="42" t="inlineStr">
        <is>
          <t>IF(F296="","",ROW()-3)</t>
        </is>
      </c>
      <c r="B296" s="61" t="inlineStr">
        <is>
          <t>AF2-WSM-13</t>
        </is>
      </c>
      <c r="C296" s="61" t="inlineStr">
        <is>
          <t>Package #13-AF2 WSM: Construction of 4 Check Dams in 4 district sites of 1.Kata Khana in Yakawlang , 2. Nawora in Panjab, 3.Nahorak in Waras, and 4.Bayani in Sayghan districts of Bamyan province</t>
        </is>
      </c>
      <c r="D296" s="61" t="inlineStr">
        <is>
          <t>2 of 4</t>
        </is>
      </c>
      <c r="E296" s="52" t="inlineStr">
        <is>
          <t>AF2-WSM-A-031</t>
        </is>
      </c>
      <c r="F296" s="52" t="inlineStr">
        <is>
          <t>2.Nawora Check dam</t>
        </is>
      </c>
      <c r="G296" s="52" t="inlineStr">
        <is>
          <t>Watershed Management</t>
        </is>
      </c>
      <c r="H296" s="52" t="inlineStr">
        <is>
          <t>Check Dam</t>
        </is>
      </c>
      <c r="I296" s="52" t="inlineStr">
        <is>
          <t>Emergency Food Security Project (EFSP) – WBK/AF-2</t>
        </is>
      </c>
      <c r="J296" s="52" t="inlineStr">
        <is>
          <t>Central Highland / Bamyan</t>
        </is>
      </c>
      <c r="K296" s="52" t="inlineStr">
        <is>
          <t>Bamyan</t>
        </is>
      </c>
      <c r="L296" s="52" t="inlineStr">
        <is>
          <t>Panjab</t>
        </is>
      </c>
      <c r="M296" s="52" t="inlineStr">
        <is>
          <t>Nawora</t>
        </is>
      </c>
      <c r="N296" s="52" t="inlineStr">
        <is>
          <t>World Bank (WBK/AF-2)</t>
        </is>
      </c>
      <c r="O296" s="52" t="inlineStr">
        <is>
          <t>Awarded</t>
        </is>
      </c>
      <c r="P296" s="52" t="inlineStr">
        <is>
          <t>3.WSM awarded contracts</t>
        </is>
      </c>
      <c r="Q296" s="52" t="inlineStr">
        <is>
          <t>Estehkam Baba Construction and Road Construction Company (EBCC)</t>
        </is>
      </c>
      <c r="R296" s="52" t="inlineStr">
        <is>
          <t>051/2026</t>
        </is>
      </c>
      <c r="S296" s="53" t="n">
        <v>52796.76</v>
      </c>
      <c r="T296" s="46" t="inlineStr">
        <is>
          <t>IF(AQ296="","",AQ296)</t>
        </is>
      </c>
      <c r="U296" s="54" t="n"/>
      <c r="V296" s="55" t="n">
        <v>7</v>
      </c>
      <c r="W296" s="54" t="n">
        <v>46439</v>
      </c>
      <c r="X296" s="46" t="inlineStr">
        <is>
          <t>IF(W296&lt;&gt;"",W296,IF(OR(T296="",V296=""),"",EDATE(T296,V296)))</t>
        </is>
      </c>
      <c r="Y296" s="54" t="n"/>
      <c r="Z296" s="55" t="n">
        <v>45</v>
      </c>
      <c r="AA296" s="52" t="inlineStr">
        <is>
          <t>Under Construction</t>
        </is>
      </c>
      <c r="AB296" s="52" t="inlineStr">
        <is>
          <t>Completed on August 2026</t>
        </is>
      </c>
      <c r="AC296" s="42" t="inlineStr">
        <is>
          <t>IF(F296="","",IF(COUNT(AI296:AV296)=0,IF(AA296="","Not started",AA296),SUBSTITUTE(LOOKUP(2,1/(AI296:AV296&lt;&gt;""),$AI$3:$AV$3),"Date: ","")))</t>
        </is>
      </c>
      <c r="AD296" s="49" t="inlineStr">
        <is>
          <t>IF(OR(F296="",COUNT(AI296:AV296)=0),"",TODAY()-LOOKUP(2,1/(AI296:AV296&lt;&gt;""),AI296:AV296))</t>
        </is>
      </c>
      <c r="AE296" s="49" t="inlineStr">
        <is>
          <t>IF(OR(F296="",COUNT(AI296:AV296)&lt;2),"",LOOKUP(2,1/(AI296:AV296&lt;&gt;""),AI296:AV296)-MIN(AI296:AV296))</t>
        </is>
      </c>
      <c r="AF296" s="49" t="inlineStr">
        <is>
          <t>IF(OR(AD296="",AC296="Not started",AC296=""),"",IFERROR(AD296-IF(VLOOKUP(AC296,'06_Status_Pipeline'!$B$3:$E$20,4,FALSE)="",0,VLOOKUP(AC296,'06_Status_Pipeline'!$B$3:$E$20,4,FALSE)),""))</t>
        </is>
      </c>
      <c r="AG296" s="42" t="inlineStr">
        <is>
          <t>IF(F296="","",IF(OR(AA296="Cancelled",AC296="Cancelled"),"Cancelled",IF(OR(AC296="Completed / Handover",Y296&lt;&gt;"",Z296&gt;=100),"Completed — on track",IF(O296="Not awarded",IF(U296="",IF(X296="","No planned date",IF(TODAY()&gt;X296,"Behind — past planned date",IF(X296-TODAY()&lt;=30,"At risk — close to off track","On track"))),IF(TODAY()&gt;U296,"Behind — award date passed",IF(U296-TODAY()&lt;=30,"At risk — close to off track","On track"))),IF(X296="","No planned date",IF(AND(TODAY()&gt;X296,OR(Z296="",Z296&lt;100)),"Behind — past end date",IF(AND(T296&lt;&gt;"",X296&lt;&gt;"",Z296&lt;&gt;"",(Z296&lt;100),((TODAY()-T296)/MAX(X296-T296,1)*100)-Z296&gt;15),"Behind — progress lag",IF(AND(X296-TODAY()&lt;=30,X296-TODAY()&gt;=0,OR(Z296="",Z296&lt;90)),"At risk — close to off track","On track"))))))))</t>
        </is>
      </c>
      <c r="AH296" s="49" t="inlineStr">
        <is>
          <t>IF(OR(F296="",AC296="Completed / Handover",AC296="Cancelled"),"",IF(O296="Not awarded",IF(U296&lt;&gt;"",U296-TODAY(),IF(X296="","",X296-TODAY())),IF(X296="","",X296-TODAY())))</t>
        </is>
      </c>
      <c r="AI296" s="67" t="n"/>
      <c r="AJ296" s="67" t="n"/>
      <c r="AK296" s="67" t="n"/>
      <c r="AL296" s="67" t="n"/>
      <c r="AM296" s="67" t="n"/>
      <c r="AN296" s="67" t="n"/>
      <c r="AO296" s="67" t="n"/>
      <c r="AP296" s="67" t="n"/>
      <c r="AQ296" s="67" t="n">
        <v>46225</v>
      </c>
      <c r="AR296" s="67" t="n">
        <v>46225</v>
      </c>
      <c r="AS296" s="67" t="n"/>
      <c r="AT296" s="50" t="n"/>
      <c r="AU296" s="50" t="n"/>
      <c r="AV296" s="50" t="n"/>
      <c r="AW296" s="49" t="inlineStr">
        <is>
          <t>IF(OR(F296="",AJ296=""),"",IF(COUNT(AI296:AI296)=0,"",AJ296-LOOKUP(2,1/(AI296:AI296&lt;&gt;""),AI296:AI296)))</t>
        </is>
      </c>
      <c r="AX296" s="49" t="inlineStr">
        <is>
          <t>IF(OR(F296="",AK296=""),"",IF(COUNT(AI296:AJ296)=0,"",AK296-LOOKUP(2,1/(AI296:AJ296&lt;&gt;""),AI296:AJ296)))</t>
        </is>
      </c>
      <c r="AY296" s="49" t="inlineStr">
        <is>
          <t>IF(OR(F296="",AL296=""),"",IF(COUNT(AI296:AK296)=0,"",AL296-LOOKUP(2,1/(AI296:AK296&lt;&gt;""),AI296:AK296)))</t>
        </is>
      </c>
      <c r="AZ296" s="49" t="inlineStr">
        <is>
          <t>IF(OR(F296="",AM296=""),"",IF(COUNT(AI296:AL296)=0,"",AM296-LOOKUP(2,1/(AI296:AL296&lt;&gt;""),AI296:AL296)))</t>
        </is>
      </c>
      <c r="BA296" s="49" t="inlineStr">
        <is>
          <t>IF(OR(F296="",AN296=""),"",IF(COUNT(AI296:AM296)=0,"",AN296-LOOKUP(2,1/(AI296:AM296&lt;&gt;""),AI296:AM296)))</t>
        </is>
      </c>
      <c r="BB296" s="49" t="inlineStr">
        <is>
          <t>IF(OR(F296="",AO296=""),"",IF(COUNT(AI296:AN296)=0,"",AO296-LOOKUP(2,1/(AI296:AN296&lt;&gt;""),AI296:AN296)))</t>
        </is>
      </c>
      <c r="BC296" s="49" t="inlineStr">
        <is>
          <t>IF(OR(F296="",AP296=""),"",IF(COUNT(AI296:AO296)=0,"",AP296-LOOKUP(2,1/(AI296:AO296&lt;&gt;""),AI296:AO296)))</t>
        </is>
      </c>
      <c r="BD296" s="49" t="inlineStr">
        <is>
          <t>IF(OR(F296="",AQ296=""),"",IF(COUNT(AI296:AP296)=0,"",AQ296-LOOKUP(2,1/(AI296:AP296&lt;&gt;""),AI296:AP296)))</t>
        </is>
      </c>
      <c r="BE296" s="49" t="inlineStr">
        <is>
          <t>IF(OR(F296="",AR296=""),"",IF(COUNT(AI296:AQ296)=0,"",AR296-LOOKUP(2,1/(AI296:AQ296&lt;&gt;""),AI296:AQ296)))</t>
        </is>
      </c>
      <c r="BF296" s="49" t="inlineStr">
        <is>
          <t>IF(OR(F296="",AS296=""),"",IF(COUNT(AI296:AR296)=0,"",AS296-LOOKUP(2,1/(AI296:AR296&lt;&gt;""),AI296:AR296)))</t>
        </is>
      </c>
      <c r="BG296" s="49" t="inlineStr">
        <is>
          <t>IF(OR(F296="",AT296=""),"",IF(COUNT(AI296:AS296)=0,"",AT296-LOOKUP(2,1/(AI296:AS296&lt;&gt;""),AI296:AS296)))</t>
        </is>
      </c>
      <c r="BH296" s="49" t="inlineStr">
        <is>
          <t>IF(OR(F296="",AU296=""),"",IF(COUNT(AI296:AT296)=0,"",AU296-LOOKUP(2,1/(AI296:AT296&lt;&gt;""),AI296:AT296)))</t>
        </is>
      </c>
      <c r="BI296" s="49" t="inlineStr">
        <is>
          <t>IF(OR(F296="",AV296=""),"",IF(COUNT(AI296:AU296)=0,"",AV296-LOOKUP(2,1/(AI296:AU296&lt;&gt;""),AI296:AU296)))</t>
        </is>
      </c>
      <c r="BJ296" s="51" t="inlineStr">
        <is>
          <t>IF(J296="","All_Provinces",IFERROR(VLOOKUP(J296,'09_Lookups'!$A$4:$B$20,2,FALSE),"All_Provinces"))</t>
        </is>
      </c>
      <c r="BK296" s="51" t="inlineStr">
        <is>
          <t>IF(K296="","All_Districts",IFERROR(VLOOKUP(K296,'09_Lookups'!$E$4:$F$42,2,FALSE),"All_Districts"))</t>
        </is>
      </c>
    </row>
    <row r="297" outlineLevel="1" ht="18" customHeight="1">
      <c r="A297" s="42" t="inlineStr">
        <is>
          <t>IF(F297="","",ROW()-3)</t>
        </is>
      </c>
      <c r="B297" s="61" t="inlineStr">
        <is>
          <t>AF2-WSM-13</t>
        </is>
      </c>
      <c r="C297" s="61" t="inlineStr">
        <is>
          <t>Package #13-AF2 WSM: Construction of 4 Check Dams in 4 district sites of 1.Kata Khana in Yakawlang , 2. Nawora in Panjab, 3.Nahorak in Waras, and 4.Bayani in Sayghan districts of Bamyan province</t>
        </is>
      </c>
      <c r="D297" s="61" t="inlineStr">
        <is>
          <t>3 of 4</t>
        </is>
      </c>
      <c r="E297" s="44" t="inlineStr">
        <is>
          <t>AF2-WSM-A-032</t>
        </is>
      </c>
      <c r="F297" s="44" t="inlineStr">
        <is>
          <t>3.Nahorak Check dam</t>
        </is>
      </c>
      <c r="G297" s="44" t="inlineStr">
        <is>
          <t>Watershed Management</t>
        </is>
      </c>
      <c r="H297" s="44" t="inlineStr">
        <is>
          <t>Check Dam</t>
        </is>
      </c>
      <c r="I297" s="44" t="inlineStr">
        <is>
          <t>Emergency Food Security Project (EFSP) – WBK/AF-2</t>
        </is>
      </c>
      <c r="J297" s="44" t="inlineStr">
        <is>
          <t>Central Highland / Bamyan</t>
        </is>
      </c>
      <c r="K297" s="44" t="inlineStr">
        <is>
          <t>Bamyan</t>
        </is>
      </c>
      <c r="L297" s="44" t="inlineStr">
        <is>
          <t>Waras</t>
        </is>
      </c>
      <c r="M297" s="44" t="inlineStr">
        <is>
          <t>Nahorak</t>
        </is>
      </c>
      <c r="N297" s="44" t="inlineStr">
        <is>
          <t>World Bank (WBK/AF-2)</t>
        </is>
      </c>
      <c r="O297" s="44" t="inlineStr">
        <is>
          <t>Awarded</t>
        </is>
      </c>
      <c r="P297" s="44" t="inlineStr">
        <is>
          <t>3.WSM awarded contracts</t>
        </is>
      </c>
      <c r="Q297" s="44" t="inlineStr">
        <is>
          <t>Estehkam Baba Construction and Road Construction Company (EBCC)</t>
        </is>
      </c>
      <c r="R297" s="44" t="inlineStr">
        <is>
          <t>051/2026</t>
        </is>
      </c>
      <c r="S297" s="45" t="n">
        <v>54600.65</v>
      </c>
      <c r="T297" s="46" t="inlineStr">
        <is>
          <t>IF(AQ297="","",AQ297)</t>
        </is>
      </c>
      <c r="U297" s="47" t="n"/>
      <c r="V297" s="48" t="n">
        <v>7</v>
      </c>
      <c r="W297" s="47" t="n">
        <v>46439</v>
      </c>
      <c r="X297" s="46" t="inlineStr">
        <is>
          <t>IF(W297&lt;&gt;"",W297,IF(OR(T297="",V297=""),"",EDATE(T297,V297)))</t>
        </is>
      </c>
      <c r="Y297" s="47" t="n"/>
      <c r="Z297" s="48" t="n">
        <v>60</v>
      </c>
      <c r="AA297" s="44" t="inlineStr">
        <is>
          <t>Under Construction</t>
        </is>
      </c>
      <c r="AB297" s="44" t="inlineStr">
        <is>
          <t>Completed on August 2026</t>
        </is>
      </c>
      <c r="AC297" s="42" t="inlineStr">
        <is>
          <t>IF(F297="","",IF(COUNT(AI297:AV297)=0,IF(AA297="","Not started",AA297),SUBSTITUTE(LOOKUP(2,1/(AI297:AV297&lt;&gt;""),$AI$3:$AV$3),"Date: ","")))</t>
        </is>
      </c>
      <c r="AD297" s="49" t="inlineStr">
        <is>
          <t>IF(OR(F297="",COUNT(AI297:AV297)=0),"",TODAY()-LOOKUP(2,1/(AI297:AV297&lt;&gt;""),AI297:AV297))</t>
        </is>
      </c>
      <c r="AE297" s="49" t="inlineStr">
        <is>
          <t>IF(OR(F297="",COUNT(AI297:AV297)&lt;2),"",LOOKUP(2,1/(AI297:AV297&lt;&gt;""),AI297:AV297)-MIN(AI297:AV297))</t>
        </is>
      </c>
      <c r="AF297" s="49" t="inlineStr">
        <is>
          <t>IF(OR(AD297="",AC297="Not started",AC297=""),"",IFERROR(AD297-IF(VLOOKUP(AC297,'06_Status_Pipeline'!$B$3:$E$20,4,FALSE)="",0,VLOOKUP(AC297,'06_Status_Pipeline'!$B$3:$E$20,4,FALSE)),""))</t>
        </is>
      </c>
      <c r="AG297" s="42" t="inlineStr">
        <is>
          <t>IF(F297="","",IF(OR(AA297="Cancelled",AC297="Cancelled"),"Cancelled",IF(OR(AC297="Completed / Handover",Y297&lt;&gt;"",Z297&gt;=100),"Completed — on track",IF(O297="Not awarded",IF(U297="",IF(X297="","No planned date",IF(TODAY()&gt;X297,"Behind — past planned date",IF(X297-TODAY()&lt;=30,"At risk — close to off track","On track"))),IF(TODAY()&gt;U297,"Behind — award date passed",IF(U297-TODAY()&lt;=30,"At risk — close to off track","On track"))),IF(X297="","No planned date",IF(AND(TODAY()&gt;X297,OR(Z297="",Z297&lt;100)),"Behind — past end date",IF(AND(T297&lt;&gt;"",X297&lt;&gt;"",Z297&lt;&gt;"",(Z297&lt;100),((TODAY()-T297)/MAX(X297-T297,1)*100)-Z297&gt;15),"Behind — progress lag",IF(AND(X297-TODAY()&lt;=30,X297-TODAY()&gt;=0,OR(Z297="",Z297&lt;90)),"At risk — close to off track","On track"))))))))</t>
        </is>
      </c>
      <c r="AH297" s="49" t="inlineStr">
        <is>
          <t>IF(OR(F297="",AC297="Completed / Handover",AC297="Cancelled"),"",IF(O297="Not awarded",IF(U297&lt;&gt;"",U297-TODAY(),IF(X297="","",X297-TODAY())),IF(X297="","",X297-TODAY())))</t>
        </is>
      </c>
      <c r="AI297" s="67" t="n"/>
      <c r="AJ297" s="67" t="n"/>
      <c r="AK297" s="67" t="n"/>
      <c r="AL297" s="67" t="n"/>
      <c r="AM297" s="67" t="n"/>
      <c r="AN297" s="67" t="n"/>
      <c r="AO297" s="67" t="n"/>
      <c r="AP297" s="67" t="n"/>
      <c r="AQ297" s="67" t="n">
        <v>46225</v>
      </c>
      <c r="AR297" s="67" t="n">
        <v>46225</v>
      </c>
      <c r="AS297" s="67" t="n"/>
      <c r="AT297" s="50" t="n"/>
      <c r="AU297" s="50" t="n"/>
      <c r="AV297" s="50" t="n"/>
      <c r="AW297" s="49" t="inlineStr">
        <is>
          <t>IF(OR(F297="",AJ297=""),"",IF(COUNT(AI297:AI297)=0,"",AJ297-LOOKUP(2,1/(AI297:AI297&lt;&gt;""),AI297:AI297)))</t>
        </is>
      </c>
      <c r="AX297" s="49" t="inlineStr">
        <is>
          <t>IF(OR(F297="",AK297=""),"",IF(COUNT(AI297:AJ297)=0,"",AK297-LOOKUP(2,1/(AI297:AJ297&lt;&gt;""),AI297:AJ297)))</t>
        </is>
      </c>
      <c r="AY297" s="49" t="inlineStr">
        <is>
          <t>IF(OR(F297="",AL297=""),"",IF(COUNT(AI297:AK297)=0,"",AL297-LOOKUP(2,1/(AI297:AK297&lt;&gt;""),AI297:AK297)))</t>
        </is>
      </c>
      <c r="AZ297" s="49" t="inlineStr">
        <is>
          <t>IF(OR(F297="",AM297=""),"",IF(COUNT(AI297:AL297)=0,"",AM297-LOOKUP(2,1/(AI297:AL297&lt;&gt;""),AI297:AL297)))</t>
        </is>
      </c>
      <c r="BA297" s="49" t="inlineStr">
        <is>
          <t>IF(OR(F297="",AN297=""),"",IF(COUNT(AI297:AM297)=0,"",AN297-LOOKUP(2,1/(AI297:AM297&lt;&gt;""),AI297:AM297)))</t>
        </is>
      </c>
      <c r="BB297" s="49" t="inlineStr">
        <is>
          <t>IF(OR(F297="",AO297=""),"",IF(COUNT(AI297:AN297)=0,"",AO297-LOOKUP(2,1/(AI297:AN297&lt;&gt;""),AI297:AN297)))</t>
        </is>
      </c>
      <c r="BC297" s="49" t="inlineStr">
        <is>
          <t>IF(OR(F297="",AP297=""),"",IF(COUNT(AI297:AO297)=0,"",AP297-LOOKUP(2,1/(AI297:AO297&lt;&gt;""),AI297:AO297)))</t>
        </is>
      </c>
      <c r="BD297" s="49" t="inlineStr">
        <is>
          <t>IF(OR(F297="",AQ297=""),"",IF(COUNT(AI297:AP297)=0,"",AQ297-LOOKUP(2,1/(AI297:AP297&lt;&gt;""),AI297:AP297)))</t>
        </is>
      </c>
      <c r="BE297" s="49" t="inlineStr">
        <is>
          <t>IF(OR(F297="",AR297=""),"",IF(COUNT(AI297:AQ297)=0,"",AR297-LOOKUP(2,1/(AI297:AQ297&lt;&gt;""),AI297:AQ297)))</t>
        </is>
      </c>
      <c r="BF297" s="49" t="inlineStr">
        <is>
          <t>IF(OR(F297="",AS297=""),"",IF(COUNT(AI297:AR297)=0,"",AS297-LOOKUP(2,1/(AI297:AR297&lt;&gt;""),AI297:AR297)))</t>
        </is>
      </c>
      <c r="BG297" s="49" t="inlineStr">
        <is>
          <t>IF(OR(F297="",AT297=""),"",IF(COUNT(AI297:AS297)=0,"",AT297-LOOKUP(2,1/(AI297:AS297&lt;&gt;""),AI297:AS297)))</t>
        </is>
      </c>
      <c r="BH297" s="49" t="inlineStr">
        <is>
          <t>IF(OR(F297="",AU297=""),"",IF(COUNT(AI297:AT297)=0,"",AU297-LOOKUP(2,1/(AI297:AT297&lt;&gt;""),AI297:AT297)))</t>
        </is>
      </c>
      <c r="BI297" s="49" t="inlineStr">
        <is>
          <t>IF(OR(F297="",AV297=""),"",IF(COUNT(AI297:AU297)=0,"",AV297-LOOKUP(2,1/(AI297:AU297&lt;&gt;""),AI297:AU297)))</t>
        </is>
      </c>
      <c r="BJ297" s="51" t="inlineStr">
        <is>
          <t>IF(J297="","All_Provinces",IFERROR(VLOOKUP(J297,'09_Lookups'!$A$4:$B$20,2,FALSE),"All_Provinces"))</t>
        </is>
      </c>
      <c r="BK297" s="51" t="inlineStr">
        <is>
          <t>IF(K297="","All_Districts",IFERROR(VLOOKUP(K297,'09_Lookups'!$E$4:$F$42,2,FALSE),"All_Districts"))</t>
        </is>
      </c>
    </row>
    <row r="298" outlineLevel="1" ht="18" customHeight="1">
      <c r="A298" s="42" t="inlineStr">
        <is>
          <t>IF(F298="","",ROW()-3)</t>
        </is>
      </c>
      <c r="B298" s="61" t="inlineStr">
        <is>
          <t>AF2-WSM-13</t>
        </is>
      </c>
      <c r="C298" s="61" t="inlineStr">
        <is>
          <t>Package #13-AF2 WSM: Construction of 4 Check Dams in 4 district sites of 1.Kata Khana in Yakawlang , 2. Nawora in Panjab, 3.Nahorak in Waras, and 4.Bayani in Sayghan districts of Bamyan province</t>
        </is>
      </c>
      <c r="D298" s="61" t="inlineStr">
        <is>
          <t>4 of 4</t>
        </is>
      </c>
      <c r="E298" s="52" t="inlineStr">
        <is>
          <t>AF2-WSM-A-033</t>
        </is>
      </c>
      <c r="F298" s="52" t="inlineStr">
        <is>
          <t>4.Bayani Check dam</t>
        </is>
      </c>
      <c r="G298" s="52" t="inlineStr">
        <is>
          <t>Watershed Management</t>
        </is>
      </c>
      <c r="H298" s="52" t="inlineStr">
        <is>
          <t>Check Dam</t>
        </is>
      </c>
      <c r="I298" s="52" t="inlineStr">
        <is>
          <t>Emergency Food Security Project (EFSP) – WBK/AF-2</t>
        </is>
      </c>
      <c r="J298" s="52" t="inlineStr">
        <is>
          <t>Central Highland / Bamyan</t>
        </is>
      </c>
      <c r="K298" s="52" t="inlineStr">
        <is>
          <t>Bamyan</t>
        </is>
      </c>
      <c r="L298" s="52" t="inlineStr">
        <is>
          <t>Sayghan</t>
        </is>
      </c>
      <c r="M298" s="52" t="inlineStr">
        <is>
          <t>Bayani</t>
        </is>
      </c>
      <c r="N298" s="52" t="inlineStr">
        <is>
          <t>World Bank (WBK/AF-2)</t>
        </is>
      </c>
      <c r="O298" s="52" t="inlineStr">
        <is>
          <t>Awarded</t>
        </is>
      </c>
      <c r="P298" s="52" t="inlineStr">
        <is>
          <t>3.WSM awarded contracts</t>
        </is>
      </c>
      <c r="Q298" s="52" t="inlineStr">
        <is>
          <t>Estehkam Baba Construction and Road Construction Company (EBCC)</t>
        </is>
      </c>
      <c r="R298" s="52" t="inlineStr">
        <is>
          <t>051/2026</t>
        </is>
      </c>
      <c r="S298" s="53" t="n">
        <v>35843.07</v>
      </c>
      <c r="T298" s="46" t="inlineStr">
        <is>
          <t>IF(AQ298="","",AQ298)</t>
        </is>
      </c>
      <c r="U298" s="54" t="n"/>
      <c r="V298" s="55" t="n">
        <v>7</v>
      </c>
      <c r="W298" s="54" t="n">
        <v>46439</v>
      </c>
      <c r="X298" s="46" t="inlineStr">
        <is>
          <t>IF(W298&lt;&gt;"",W298,IF(OR(T298="",V298=""),"",EDATE(T298,V298)))</t>
        </is>
      </c>
      <c r="Y298" s="54" t="n"/>
      <c r="Z298" s="55" t="n">
        <v>50</v>
      </c>
      <c r="AA298" s="52" t="inlineStr">
        <is>
          <t>Under Construction</t>
        </is>
      </c>
      <c r="AB298" s="52" t="inlineStr">
        <is>
          <t>Completed on August 2026</t>
        </is>
      </c>
      <c r="AC298" s="42" t="inlineStr">
        <is>
          <t>IF(F298="","",IF(COUNT(AI298:AV298)=0,IF(AA298="","Not started",AA298),SUBSTITUTE(LOOKUP(2,1/(AI298:AV298&lt;&gt;""),$AI$3:$AV$3),"Date: ","")))</t>
        </is>
      </c>
      <c r="AD298" s="49" t="inlineStr">
        <is>
          <t>IF(OR(F298="",COUNT(AI298:AV298)=0),"",TODAY()-LOOKUP(2,1/(AI298:AV298&lt;&gt;""),AI298:AV298))</t>
        </is>
      </c>
      <c r="AE298" s="49" t="inlineStr">
        <is>
          <t>IF(OR(F298="",COUNT(AI298:AV298)&lt;2),"",LOOKUP(2,1/(AI298:AV298&lt;&gt;""),AI298:AV298)-MIN(AI298:AV298))</t>
        </is>
      </c>
      <c r="AF298" s="49" t="inlineStr">
        <is>
          <t>IF(OR(AD298="",AC298="Not started",AC298=""),"",IFERROR(AD298-IF(VLOOKUP(AC298,'06_Status_Pipeline'!$B$3:$E$20,4,FALSE)="",0,VLOOKUP(AC298,'06_Status_Pipeline'!$B$3:$E$20,4,FALSE)),""))</t>
        </is>
      </c>
      <c r="AG298" s="42" t="inlineStr">
        <is>
          <t>IF(F298="","",IF(OR(AA298="Cancelled",AC298="Cancelled"),"Cancelled",IF(OR(AC298="Completed / Handover",Y298&lt;&gt;"",Z298&gt;=100),"Completed — on track",IF(O298="Not awarded",IF(U298="",IF(X298="","No planned date",IF(TODAY()&gt;X298,"Behind — past planned date",IF(X298-TODAY()&lt;=30,"At risk — close to off track","On track"))),IF(TODAY()&gt;U298,"Behind — award date passed",IF(U298-TODAY()&lt;=30,"At risk — close to off track","On track"))),IF(X298="","No planned date",IF(AND(TODAY()&gt;X298,OR(Z298="",Z298&lt;100)),"Behind — past end date",IF(AND(T298&lt;&gt;"",X298&lt;&gt;"",Z298&lt;&gt;"",(Z298&lt;100),((TODAY()-T298)/MAX(X298-T298,1)*100)-Z298&gt;15),"Behind — progress lag",IF(AND(X298-TODAY()&lt;=30,X298-TODAY()&gt;=0,OR(Z298="",Z298&lt;90)),"At risk — close to off track","On track"))))))))</t>
        </is>
      </c>
      <c r="AH298" s="49" t="inlineStr">
        <is>
          <t>IF(OR(F298="",AC298="Completed / Handover",AC298="Cancelled"),"",IF(O298="Not awarded",IF(U298&lt;&gt;"",U298-TODAY(),IF(X298="","",X298-TODAY())),IF(X298="","",X298-TODAY())))</t>
        </is>
      </c>
      <c r="AI298" s="67" t="n"/>
      <c r="AJ298" s="67" t="n"/>
      <c r="AK298" s="67" t="n"/>
      <c r="AL298" s="67" t="n"/>
      <c r="AM298" s="67" t="n"/>
      <c r="AN298" s="67" t="n"/>
      <c r="AO298" s="67" t="n"/>
      <c r="AP298" s="67" t="n"/>
      <c r="AQ298" s="67" t="n">
        <v>46225</v>
      </c>
      <c r="AR298" s="67" t="n">
        <v>46225</v>
      </c>
      <c r="AS298" s="67" t="n"/>
      <c r="AT298" s="50" t="n"/>
      <c r="AU298" s="50" t="n"/>
      <c r="AV298" s="50" t="n"/>
      <c r="AW298" s="49" t="inlineStr">
        <is>
          <t>IF(OR(F298="",AJ298=""),"",IF(COUNT(AI298:AI298)=0,"",AJ298-LOOKUP(2,1/(AI298:AI298&lt;&gt;""),AI298:AI298)))</t>
        </is>
      </c>
      <c r="AX298" s="49" t="inlineStr">
        <is>
          <t>IF(OR(F298="",AK298=""),"",IF(COUNT(AI298:AJ298)=0,"",AK298-LOOKUP(2,1/(AI298:AJ298&lt;&gt;""),AI298:AJ298)))</t>
        </is>
      </c>
      <c r="AY298" s="49" t="inlineStr">
        <is>
          <t>IF(OR(F298="",AL298=""),"",IF(COUNT(AI298:AK298)=0,"",AL298-LOOKUP(2,1/(AI298:AK298&lt;&gt;""),AI298:AK298)))</t>
        </is>
      </c>
      <c r="AZ298" s="49" t="inlineStr">
        <is>
          <t>IF(OR(F298="",AM298=""),"",IF(COUNT(AI298:AL298)=0,"",AM298-LOOKUP(2,1/(AI298:AL298&lt;&gt;""),AI298:AL298)))</t>
        </is>
      </c>
      <c r="BA298" s="49" t="inlineStr">
        <is>
          <t>IF(OR(F298="",AN298=""),"",IF(COUNT(AI298:AM298)=0,"",AN298-LOOKUP(2,1/(AI298:AM298&lt;&gt;""),AI298:AM298)))</t>
        </is>
      </c>
      <c r="BB298" s="49" t="inlineStr">
        <is>
          <t>IF(OR(F298="",AO298=""),"",IF(COUNT(AI298:AN298)=0,"",AO298-LOOKUP(2,1/(AI298:AN298&lt;&gt;""),AI298:AN298)))</t>
        </is>
      </c>
      <c r="BC298" s="49" t="inlineStr">
        <is>
          <t>IF(OR(F298="",AP298=""),"",IF(COUNT(AI298:AO298)=0,"",AP298-LOOKUP(2,1/(AI298:AO298&lt;&gt;""),AI298:AO298)))</t>
        </is>
      </c>
      <c r="BD298" s="49" t="inlineStr">
        <is>
          <t>IF(OR(F298="",AQ298=""),"",IF(COUNT(AI298:AP298)=0,"",AQ298-LOOKUP(2,1/(AI298:AP298&lt;&gt;""),AI298:AP298)))</t>
        </is>
      </c>
      <c r="BE298" s="49" t="inlineStr">
        <is>
          <t>IF(OR(F298="",AR298=""),"",IF(COUNT(AI298:AQ298)=0,"",AR298-LOOKUP(2,1/(AI298:AQ298&lt;&gt;""),AI298:AQ298)))</t>
        </is>
      </c>
      <c r="BF298" s="49" t="inlineStr">
        <is>
          <t>IF(OR(F298="",AS298=""),"",IF(COUNT(AI298:AR298)=0,"",AS298-LOOKUP(2,1/(AI298:AR298&lt;&gt;""),AI298:AR298)))</t>
        </is>
      </c>
      <c r="BG298" s="49" t="inlineStr">
        <is>
          <t>IF(OR(F298="",AT298=""),"",IF(COUNT(AI298:AS298)=0,"",AT298-LOOKUP(2,1/(AI298:AS298&lt;&gt;""),AI298:AS298)))</t>
        </is>
      </c>
      <c r="BH298" s="49" t="inlineStr">
        <is>
          <t>IF(OR(F298="",AU298=""),"",IF(COUNT(AI298:AT298)=0,"",AU298-LOOKUP(2,1/(AI298:AT298&lt;&gt;""),AI298:AT298)))</t>
        </is>
      </c>
      <c r="BI298" s="49" t="inlineStr">
        <is>
          <t>IF(OR(F298="",AV298=""),"",IF(COUNT(AI298:AU298)=0,"",AV298-LOOKUP(2,1/(AI298:AU298&lt;&gt;""),AI298:AU298)))</t>
        </is>
      </c>
      <c r="BJ298" s="51" t="inlineStr">
        <is>
          <t>IF(J298="","All_Provinces",IFERROR(VLOOKUP(J298,'09_Lookups'!$A$4:$B$20,2,FALSE),"All_Provinces"))</t>
        </is>
      </c>
      <c r="BK298" s="51" t="inlineStr">
        <is>
          <t>IF(K298="","All_Districts",IFERROR(VLOOKUP(K298,'09_Lookups'!$E$4:$F$42,2,FALSE),"All_Districts"))</t>
        </is>
      </c>
    </row>
    <row r="299" ht="18" customHeight="1">
      <c r="A299" s="32" t="inlineStr">
        <is>
          <t>IF(F299="","",ROW()-3)</t>
        </is>
      </c>
      <c r="B299" s="62" t="inlineStr">
        <is>
          <t>AF2-WSM-14</t>
        </is>
      </c>
      <c r="C299" s="62" t="inlineStr">
        <is>
          <t>Package #14-AF2 WSM: Construction of 1.Shahristan Check dama in Shahristan district, 2.Miramor Check dam in Miramor district, and 3.Khidir Check dams in Khidir districts of Daykundi province.</t>
        </is>
      </c>
      <c r="D299" s="62" t="inlineStr">
        <is>
          <t>1 of 3</t>
        </is>
      </c>
      <c r="E299" s="57" t="inlineStr">
        <is>
          <t>AF2-WSM-A-034</t>
        </is>
      </c>
      <c r="F299" s="57" t="inlineStr">
        <is>
          <t>1. Shahristan Check dam</t>
        </is>
      </c>
      <c r="G299" s="57" t="inlineStr">
        <is>
          <t>Watershed Management</t>
        </is>
      </c>
      <c r="H299" s="57" t="inlineStr">
        <is>
          <t>Check Dam</t>
        </is>
      </c>
      <c r="I299" s="57" t="inlineStr">
        <is>
          <t>Emergency Food Security Project (EFSP) – WBK/AF-2</t>
        </is>
      </c>
      <c r="J299" s="57" t="inlineStr">
        <is>
          <t>Central Highland / Bamyan</t>
        </is>
      </c>
      <c r="K299" s="57" t="inlineStr">
        <is>
          <t>Daykundi</t>
        </is>
      </c>
      <c r="L299" s="57" t="inlineStr">
        <is>
          <t>Shahristan</t>
        </is>
      </c>
      <c r="M299" s="57" t="inlineStr">
        <is>
          <t>Dar Band, Dasht-e Safid, Madar, Lorange</t>
        </is>
      </c>
      <c r="N299" s="57" t="inlineStr">
        <is>
          <t>World Bank (WBK/AF-2)</t>
        </is>
      </c>
      <c r="O299" s="57" t="inlineStr">
        <is>
          <t>Awarded</t>
        </is>
      </c>
      <c r="P299" s="57" t="inlineStr">
        <is>
          <t>3.WSM awarded contracts</t>
        </is>
      </c>
      <c r="Q299" s="57" t="inlineStr">
        <is>
          <t>Da Maidan Zawahnono Construction Company (DMZCC)</t>
        </is>
      </c>
      <c r="R299" s="57" t="inlineStr">
        <is>
          <t>025/2026</t>
        </is>
      </c>
      <c r="S299" s="58" t="n">
        <v>52946.05</v>
      </c>
      <c r="T299" s="36" t="inlineStr">
        <is>
          <t>IF(AQ299="","",AQ299)</t>
        </is>
      </c>
      <c r="U299" s="59" t="n"/>
      <c r="V299" s="60" t="n">
        <v>7</v>
      </c>
      <c r="W299" s="59" t="n">
        <v>46325</v>
      </c>
      <c r="X299" s="36" t="inlineStr">
        <is>
          <t>IF(W299&lt;&gt;"",W299,IF(OR(T299="",V299=""),"",EDATE(T299,V299)))</t>
        </is>
      </c>
      <c r="Y299" s="59" t="n"/>
      <c r="Z299" s="60" t="n">
        <v>100</v>
      </c>
      <c r="AA299" s="57" t="inlineStr">
        <is>
          <t>Completed / Handover</t>
        </is>
      </c>
      <c r="AB299" s="57" t="inlineStr">
        <is>
          <t>Completed on Sep, 2026</t>
        </is>
      </c>
      <c r="AC299" s="32" t="inlineStr">
        <is>
          <t>IF(F299="","",IF(COUNT(AI299:AV299)=0,IF(AA299="","Not started",AA299),SUBSTITUTE(LOOKUP(2,1/(AI299:AV299&lt;&gt;""),$AI$3:$AV$3),"Date: ","")))</t>
        </is>
      </c>
      <c r="AD299" s="39" t="inlineStr">
        <is>
          <t>IF(OR(F299="",COUNT(AI299:AV299)=0),"",TODAY()-LOOKUP(2,1/(AI299:AV299&lt;&gt;""),AI299:AV299))</t>
        </is>
      </c>
      <c r="AE299" s="39" t="inlineStr">
        <is>
          <t>IF(OR(F299="",COUNT(AI299:AV299)&lt;2),"",LOOKUP(2,1/(AI299:AV299&lt;&gt;""),AI299:AV299)-MIN(AI299:AV299))</t>
        </is>
      </c>
      <c r="AF299" s="39" t="inlineStr">
        <is>
          <t>IF(OR(AD299="",AC299="Not started",AC299=""),"",IFERROR(AD299-IF(VLOOKUP(AC299,'06_Status_Pipeline'!$B$3:$E$20,4,FALSE)="",0,VLOOKUP(AC299,'06_Status_Pipeline'!$B$3:$E$20,4,FALSE)),""))</t>
        </is>
      </c>
      <c r="AG299" s="32" t="inlineStr">
        <is>
          <t>IF(F299="","",IF(OR(AA299="Cancelled",AC299="Cancelled"),"Cancelled",IF(OR(AC299="Completed / Handover",Y299&lt;&gt;"",Z299&gt;=100),"Completed — on track",IF(O299="Not awarded",IF(U299="",IF(X299="","No planned date",IF(TODAY()&gt;X299,"Behind — past planned date",IF(X299-TODAY()&lt;=30,"At risk — close to off track","On track"))),IF(TODAY()&gt;U299,"Behind — award date passed",IF(U299-TODAY()&lt;=30,"At risk — close to off track","On track"))),IF(X299="","No planned date",IF(AND(TODAY()&gt;X299,OR(Z299="",Z299&lt;100)),"Behind — past end date",IF(AND(T299&lt;&gt;"",X299&lt;&gt;"",Z299&lt;&gt;"",(Z299&lt;100),((TODAY()-T299)/MAX(X299-T299,1)*100)-Z299&gt;15),"Behind — progress lag",IF(AND(X299-TODAY()&lt;=30,X299-TODAY()&gt;=0,OR(Z299="",Z299&lt;90)),"At risk — close to off track","On track"))))))))</t>
        </is>
      </c>
      <c r="AH299" s="39" t="inlineStr">
        <is>
          <t>IF(OR(F299="",AC299="Completed / Handover",AC299="Cancelled"),"",IF(O299="Not awarded",IF(U299&lt;&gt;"",U299-TODAY(),IF(X299="","",X299-TODAY())),IF(X299="","",X299-TODAY())))</t>
        </is>
      </c>
      <c r="AI299" s="66" t="n"/>
      <c r="AJ299" s="66" t="n"/>
      <c r="AK299" s="66" t="n"/>
      <c r="AL299" s="66" t="n"/>
      <c r="AM299" s="66" t="n"/>
      <c r="AN299" s="66" t="n"/>
      <c r="AO299" s="66" t="n"/>
      <c r="AP299" s="66" t="n"/>
      <c r="AQ299" s="66" t="n">
        <v>46113</v>
      </c>
      <c r="AR299" s="66" t="n">
        <v>46113</v>
      </c>
      <c r="AS299" s="66" t="n">
        <v>46325</v>
      </c>
      <c r="AT299" s="40" t="n"/>
      <c r="AU299" s="40" t="n"/>
      <c r="AV299" s="40" t="n"/>
      <c r="AW299" s="39" t="inlineStr">
        <is>
          <t>IF(OR(F299="",AJ299=""),"",IF(COUNT(AI299:AI299)=0,"",AJ299-LOOKUP(2,1/(AI299:AI299&lt;&gt;""),AI299:AI299)))</t>
        </is>
      </c>
      <c r="AX299" s="39" t="inlineStr">
        <is>
          <t>IF(OR(F299="",AK299=""),"",IF(COUNT(AI299:AJ299)=0,"",AK299-LOOKUP(2,1/(AI299:AJ299&lt;&gt;""),AI299:AJ299)))</t>
        </is>
      </c>
      <c r="AY299" s="39" t="inlineStr">
        <is>
          <t>IF(OR(F299="",AL299=""),"",IF(COUNT(AI299:AK299)=0,"",AL299-LOOKUP(2,1/(AI299:AK299&lt;&gt;""),AI299:AK299)))</t>
        </is>
      </c>
      <c r="AZ299" s="39" t="inlineStr">
        <is>
          <t>IF(OR(F299="",AM299=""),"",IF(COUNT(AI299:AL299)=0,"",AM299-LOOKUP(2,1/(AI299:AL299&lt;&gt;""),AI299:AL299)))</t>
        </is>
      </c>
      <c r="BA299" s="39" t="inlineStr">
        <is>
          <t>IF(OR(F299="",AN299=""),"",IF(COUNT(AI299:AM299)=0,"",AN299-LOOKUP(2,1/(AI299:AM299&lt;&gt;""),AI299:AM299)))</t>
        </is>
      </c>
      <c r="BB299" s="39" t="inlineStr">
        <is>
          <t>IF(OR(F299="",AO299=""),"",IF(COUNT(AI299:AN299)=0,"",AO299-LOOKUP(2,1/(AI299:AN299&lt;&gt;""),AI299:AN299)))</t>
        </is>
      </c>
      <c r="BC299" s="39" t="inlineStr">
        <is>
          <t>IF(OR(F299="",AP299=""),"",IF(COUNT(AI299:AO299)=0,"",AP299-LOOKUP(2,1/(AI299:AO299&lt;&gt;""),AI299:AO299)))</t>
        </is>
      </c>
      <c r="BD299" s="39" t="inlineStr">
        <is>
          <t>IF(OR(F299="",AQ299=""),"",IF(COUNT(AI299:AP299)=0,"",AQ299-LOOKUP(2,1/(AI299:AP299&lt;&gt;""),AI299:AP299)))</t>
        </is>
      </c>
      <c r="BE299" s="39" t="inlineStr">
        <is>
          <t>IF(OR(F299="",AR299=""),"",IF(COUNT(AI299:AQ299)=0,"",AR299-LOOKUP(2,1/(AI299:AQ299&lt;&gt;""),AI299:AQ299)))</t>
        </is>
      </c>
      <c r="BF299" s="39" t="inlineStr">
        <is>
          <t>IF(OR(F299="",AS299=""),"",IF(COUNT(AI299:AR299)=0,"",AS299-LOOKUP(2,1/(AI299:AR299&lt;&gt;""),AI299:AR299)))</t>
        </is>
      </c>
      <c r="BG299" s="39" t="inlineStr">
        <is>
          <t>IF(OR(F299="",AT299=""),"",IF(COUNT(AI299:AS299)=0,"",AT299-LOOKUP(2,1/(AI299:AS299&lt;&gt;""),AI299:AS299)))</t>
        </is>
      </c>
      <c r="BH299" s="39" t="inlineStr">
        <is>
          <t>IF(OR(F299="",AU299=""),"",IF(COUNT(AI299:AT299)=0,"",AU299-LOOKUP(2,1/(AI299:AT299&lt;&gt;""),AI299:AT299)))</t>
        </is>
      </c>
      <c r="BI299" s="39" t="inlineStr">
        <is>
          <t>IF(OR(F299="",AV299=""),"",IF(COUNT(AI299:AU299)=0,"",AV299-LOOKUP(2,1/(AI299:AU299&lt;&gt;""),AI299:AU299)))</t>
        </is>
      </c>
      <c r="BJ299" s="41" t="inlineStr">
        <is>
          <t>IF(J299="","All_Provinces",IFERROR(VLOOKUP(J299,'09_Lookups'!$A$4:$B$20,2,FALSE),"All_Provinces"))</t>
        </is>
      </c>
      <c r="BK299" s="41" t="inlineStr">
        <is>
          <t>IF(K299="","All_Districts",IFERROR(VLOOKUP(K299,'09_Lookups'!$E$4:$F$42,2,FALSE),"All_Districts"))</t>
        </is>
      </c>
    </row>
    <row r="300" outlineLevel="1" ht="18" customHeight="1">
      <c r="A300" s="42" t="inlineStr">
        <is>
          <t>IF(F300="","",ROW()-3)</t>
        </is>
      </c>
      <c r="B300" s="63" t="inlineStr">
        <is>
          <t>AF2-WSM-14</t>
        </is>
      </c>
      <c r="C300" s="63" t="inlineStr">
        <is>
          <t>Package #14-AF2 WSM: Construction of 1.Shahristan Check dama in Shahristan district, 2.Miramor Check dam in Miramor district, and 3.Khidir Check dams in Khidir districts of Daykundi province.</t>
        </is>
      </c>
      <c r="D300" s="63" t="inlineStr">
        <is>
          <t>2 of 3</t>
        </is>
      </c>
      <c r="E300" s="52" t="inlineStr">
        <is>
          <t>AF2-WSM-A-035</t>
        </is>
      </c>
      <c r="F300" s="52" t="inlineStr">
        <is>
          <t>2. Miramor Check dam</t>
        </is>
      </c>
      <c r="G300" s="52" t="inlineStr">
        <is>
          <t>Watershed Management</t>
        </is>
      </c>
      <c r="H300" s="52" t="inlineStr">
        <is>
          <t>Check Dam</t>
        </is>
      </c>
      <c r="I300" s="52" t="inlineStr">
        <is>
          <t>Emergency Food Security Project (EFSP) – WBK/AF-2</t>
        </is>
      </c>
      <c r="J300" s="52" t="inlineStr">
        <is>
          <t>Central Highland / Bamyan</t>
        </is>
      </c>
      <c r="K300" s="52" t="inlineStr">
        <is>
          <t>Daykundi</t>
        </is>
      </c>
      <c r="L300" s="52" t="inlineStr">
        <is>
          <t>Miramor</t>
        </is>
      </c>
      <c r="M300" s="52" t="inlineStr">
        <is>
          <t>Folad, Deh Ghulam,</t>
        </is>
      </c>
      <c r="N300" s="52" t="inlineStr">
        <is>
          <t>World Bank (WBK/AF-2)</t>
        </is>
      </c>
      <c r="O300" s="52" t="inlineStr">
        <is>
          <t>Awarded</t>
        </is>
      </c>
      <c r="P300" s="52" t="inlineStr">
        <is>
          <t>3.WSM awarded contracts</t>
        </is>
      </c>
      <c r="Q300" s="52" t="inlineStr">
        <is>
          <t>Da Maidan Zawahnono Construction Company (DMZCC)</t>
        </is>
      </c>
      <c r="R300" s="52" t="inlineStr">
        <is>
          <t>025/2026</t>
        </is>
      </c>
      <c r="S300" s="53" t="n">
        <v>48360.86</v>
      </c>
      <c r="T300" s="46" t="inlineStr">
        <is>
          <t>IF(AQ300="","",AQ300)</t>
        </is>
      </c>
      <c r="U300" s="54" t="n"/>
      <c r="V300" s="55" t="n">
        <v>7</v>
      </c>
      <c r="W300" s="54" t="n">
        <v>46325</v>
      </c>
      <c r="X300" s="46" t="inlineStr">
        <is>
          <t>IF(W300&lt;&gt;"",W300,IF(OR(T300="",V300=""),"",EDATE(T300,V300)))</t>
        </is>
      </c>
      <c r="Y300" s="54" t="n"/>
      <c r="Z300" s="55" t="n">
        <v>100</v>
      </c>
      <c r="AA300" s="52" t="inlineStr">
        <is>
          <t>Completed / Handover</t>
        </is>
      </c>
      <c r="AB300" s="52" t="inlineStr">
        <is>
          <t>Completed on Sep, 2026</t>
        </is>
      </c>
      <c r="AC300" s="42" t="inlineStr">
        <is>
          <t>IF(F300="","",IF(COUNT(AI300:AV300)=0,IF(AA300="","Not started",AA300),SUBSTITUTE(LOOKUP(2,1/(AI300:AV300&lt;&gt;""),$AI$3:$AV$3),"Date: ","")))</t>
        </is>
      </c>
      <c r="AD300" s="49" t="inlineStr">
        <is>
          <t>IF(OR(F300="",COUNT(AI300:AV300)=0),"",TODAY()-LOOKUP(2,1/(AI300:AV300&lt;&gt;""),AI300:AV300))</t>
        </is>
      </c>
      <c r="AE300" s="49" t="inlineStr">
        <is>
          <t>IF(OR(F300="",COUNT(AI300:AV300)&lt;2),"",LOOKUP(2,1/(AI300:AV300&lt;&gt;""),AI300:AV300)-MIN(AI300:AV300))</t>
        </is>
      </c>
      <c r="AF300" s="49" t="inlineStr">
        <is>
          <t>IF(OR(AD300="",AC300="Not started",AC300=""),"",IFERROR(AD300-IF(VLOOKUP(AC300,'06_Status_Pipeline'!$B$3:$E$20,4,FALSE)="",0,VLOOKUP(AC300,'06_Status_Pipeline'!$B$3:$E$20,4,FALSE)),""))</t>
        </is>
      </c>
      <c r="AG300" s="42" t="inlineStr">
        <is>
          <t>IF(F300="","",IF(OR(AA300="Cancelled",AC300="Cancelled"),"Cancelled",IF(OR(AC300="Completed / Handover",Y300&lt;&gt;"",Z300&gt;=100),"Completed — on track",IF(O300="Not awarded",IF(U300="",IF(X300="","No planned date",IF(TODAY()&gt;X300,"Behind — past planned date",IF(X300-TODAY()&lt;=30,"At risk — close to off track","On track"))),IF(TODAY()&gt;U300,"Behind — award date passed",IF(U300-TODAY()&lt;=30,"At risk — close to off track","On track"))),IF(X300="","No planned date",IF(AND(TODAY()&gt;X300,OR(Z300="",Z300&lt;100)),"Behind — past end date",IF(AND(T300&lt;&gt;"",X300&lt;&gt;"",Z300&lt;&gt;"",(Z300&lt;100),((TODAY()-T300)/MAX(X300-T300,1)*100)-Z300&gt;15),"Behind — progress lag",IF(AND(X300-TODAY()&lt;=30,X300-TODAY()&gt;=0,OR(Z300="",Z300&lt;90)),"At risk — close to off track","On track"))))))))</t>
        </is>
      </c>
      <c r="AH300" s="49" t="inlineStr">
        <is>
          <t>IF(OR(F300="",AC300="Completed / Handover",AC300="Cancelled"),"",IF(O300="Not awarded",IF(U300&lt;&gt;"",U300-TODAY(),IF(X300="","",X300-TODAY())),IF(X300="","",X300-TODAY())))</t>
        </is>
      </c>
      <c r="AI300" s="67" t="n"/>
      <c r="AJ300" s="67" t="n"/>
      <c r="AK300" s="67" t="n"/>
      <c r="AL300" s="67" t="n"/>
      <c r="AM300" s="67" t="n"/>
      <c r="AN300" s="67" t="n"/>
      <c r="AO300" s="67" t="n"/>
      <c r="AP300" s="67" t="n"/>
      <c r="AQ300" s="67" t="n">
        <v>46113</v>
      </c>
      <c r="AR300" s="67" t="n">
        <v>46113</v>
      </c>
      <c r="AS300" s="67" t="n">
        <v>46325</v>
      </c>
      <c r="AT300" s="50" t="n"/>
      <c r="AU300" s="50" t="n"/>
      <c r="AV300" s="50" t="n"/>
      <c r="AW300" s="49" t="inlineStr">
        <is>
          <t>IF(OR(F300="",AJ300=""),"",IF(COUNT(AI300:AI300)=0,"",AJ300-LOOKUP(2,1/(AI300:AI300&lt;&gt;""),AI300:AI300)))</t>
        </is>
      </c>
      <c r="AX300" s="49" t="inlineStr">
        <is>
          <t>IF(OR(F300="",AK300=""),"",IF(COUNT(AI300:AJ300)=0,"",AK300-LOOKUP(2,1/(AI300:AJ300&lt;&gt;""),AI300:AJ300)))</t>
        </is>
      </c>
      <c r="AY300" s="49" t="inlineStr">
        <is>
          <t>IF(OR(F300="",AL300=""),"",IF(COUNT(AI300:AK300)=0,"",AL300-LOOKUP(2,1/(AI300:AK300&lt;&gt;""),AI300:AK300)))</t>
        </is>
      </c>
      <c r="AZ300" s="49" t="inlineStr">
        <is>
          <t>IF(OR(F300="",AM300=""),"",IF(COUNT(AI300:AL300)=0,"",AM300-LOOKUP(2,1/(AI300:AL300&lt;&gt;""),AI300:AL300)))</t>
        </is>
      </c>
      <c r="BA300" s="49" t="inlineStr">
        <is>
          <t>IF(OR(F300="",AN300=""),"",IF(COUNT(AI300:AM300)=0,"",AN300-LOOKUP(2,1/(AI300:AM300&lt;&gt;""),AI300:AM300)))</t>
        </is>
      </c>
      <c r="BB300" s="49" t="inlineStr">
        <is>
          <t>IF(OR(F300="",AO300=""),"",IF(COUNT(AI300:AN300)=0,"",AO300-LOOKUP(2,1/(AI300:AN300&lt;&gt;""),AI300:AN300)))</t>
        </is>
      </c>
      <c r="BC300" s="49" t="inlineStr">
        <is>
          <t>IF(OR(F300="",AP300=""),"",IF(COUNT(AI300:AO300)=0,"",AP300-LOOKUP(2,1/(AI300:AO300&lt;&gt;""),AI300:AO300)))</t>
        </is>
      </c>
      <c r="BD300" s="49" t="inlineStr">
        <is>
          <t>IF(OR(F300="",AQ300=""),"",IF(COUNT(AI300:AP300)=0,"",AQ300-LOOKUP(2,1/(AI300:AP300&lt;&gt;""),AI300:AP300)))</t>
        </is>
      </c>
      <c r="BE300" s="49" t="inlineStr">
        <is>
          <t>IF(OR(F300="",AR300=""),"",IF(COUNT(AI300:AQ300)=0,"",AR300-LOOKUP(2,1/(AI300:AQ300&lt;&gt;""),AI300:AQ300)))</t>
        </is>
      </c>
      <c r="BF300" s="49" t="inlineStr">
        <is>
          <t>IF(OR(F300="",AS300=""),"",IF(COUNT(AI300:AR300)=0,"",AS300-LOOKUP(2,1/(AI300:AR300&lt;&gt;""),AI300:AR300)))</t>
        </is>
      </c>
      <c r="BG300" s="49" t="inlineStr">
        <is>
          <t>IF(OR(F300="",AT300=""),"",IF(COUNT(AI300:AS300)=0,"",AT300-LOOKUP(2,1/(AI300:AS300&lt;&gt;""),AI300:AS300)))</t>
        </is>
      </c>
      <c r="BH300" s="49" t="inlineStr">
        <is>
          <t>IF(OR(F300="",AU300=""),"",IF(COUNT(AI300:AT300)=0,"",AU300-LOOKUP(2,1/(AI300:AT300&lt;&gt;""),AI300:AT300)))</t>
        </is>
      </c>
      <c r="BI300" s="49" t="inlineStr">
        <is>
          <t>IF(OR(F300="",AV300=""),"",IF(COUNT(AI300:AU300)=0,"",AV300-LOOKUP(2,1/(AI300:AU300&lt;&gt;""),AI300:AU300)))</t>
        </is>
      </c>
      <c r="BJ300" s="51" t="inlineStr">
        <is>
          <t>IF(J300="","All_Provinces",IFERROR(VLOOKUP(J300,'09_Lookups'!$A$4:$B$20,2,FALSE),"All_Provinces"))</t>
        </is>
      </c>
      <c r="BK300" s="51" t="inlineStr">
        <is>
          <t>IF(K300="","All_Districts",IFERROR(VLOOKUP(K300,'09_Lookups'!$E$4:$F$42,2,FALSE),"All_Districts"))</t>
        </is>
      </c>
    </row>
    <row r="301" outlineLevel="1" ht="18" customHeight="1">
      <c r="A301" s="42" t="inlineStr">
        <is>
          <t>IF(F301="","",ROW()-3)</t>
        </is>
      </c>
      <c r="B301" s="63" t="inlineStr">
        <is>
          <t>AF2-WSM-14</t>
        </is>
      </c>
      <c r="C301" s="63" t="inlineStr">
        <is>
          <t>Package #14-AF2 WSM: Construction of 1.Shahristan Check dama in Shahristan district, 2.Miramor Check dam in Miramor district, and 3.Khidir Check dams in Khidir districts of Daykundi province.</t>
        </is>
      </c>
      <c r="D301" s="63" t="inlineStr">
        <is>
          <t>3 of 3</t>
        </is>
      </c>
      <c r="E301" s="44" t="inlineStr">
        <is>
          <t>AF2-WSM-A-036</t>
        </is>
      </c>
      <c r="F301" s="44" t="inlineStr">
        <is>
          <t>3. Khidir Check dam</t>
        </is>
      </c>
      <c r="G301" s="44" t="inlineStr">
        <is>
          <t>Watershed Management</t>
        </is>
      </c>
      <c r="H301" s="44" t="inlineStr">
        <is>
          <t>Check Dam</t>
        </is>
      </c>
      <c r="I301" s="44" t="inlineStr">
        <is>
          <t>Emergency Food Security Project (EFSP) – WBK/AF-2</t>
        </is>
      </c>
      <c r="J301" s="44" t="inlineStr">
        <is>
          <t>Central Highland / Bamyan</t>
        </is>
      </c>
      <c r="K301" s="44" t="inlineStr">
        <is>
          <t>Daykundi</t>
        </is>
      </c>
      <c r="L301" s="44" t="inlineStr">
        <is>
          <t>Khidir</t>
        </is>
      </c>
      <c r="M301" s="44" t="inlineStr">
        <is>
          <t>Dahan-e Degshoyak, Dahan-e Mardakmoda</t>
        </is>
      </c>
      <c r="N301" s="44" t="inlineStr">
        <is>
          <t>World Bank (WBK/AF-2)</t>
        </is>
      </c>
      <c r="O301" s="44" t="inlineStr">
        <is>
          <t>Awarded</t>
        </is>
      </c>
      <c r="P301" s="44" t="inlineStr">
        <is>
          <t>3.WSM awarded contracts</t>
        </is>
      </c>
      <c r="Q301" s="44" t="inlineStr">
        <is>
          <t>Da Maidan Zawahnono Construction Company (DMZCC)</t>
        </is>
      </c>
      <c r="R301" s="44" t="inlineStr">
        <is>
          <t>025/2026</t>
        </is>
      </c>
      <c r="S301" s="45" t="n">
        <v>40132.5</v>
      </c>
      <c r="T301" s="46" t="inlineStr">
        <is>
          <t>IF(AQ301="","",AQ301)</t>
        </is>
      </c>
      <c r="U301" s="47" t="n"/>
      <c r="V301" s="48" t="n">
        <v>7</v>
      </c>
      <c r="W301" s="47" t="n">
        <v>46325</v>
      </c>
      <c r="X301" s="46" t="inlineStr">
        <is>
          <t>IF(W301&lt;&gt;"",W301,IF(OR(T301="",V301=""),"",EDATE(T301,V301)))</t>
        </is>
      </c>
      <c r="Y301" s="47" t="n"/>
      <c r="Z301" s="48" t="n">
        <v>100</v>
      </c>
      <c r="AA301" s="44" t="inlineStr">
        <is>
          <t>Completed / Handover</t>
        </is>
      </c>
      <c r="AB301" s="44" t="inlineStr">
        <is>
          <t>Completed on Sep, 2026</t>
        </is>
      </c>
      <c r="AC301" s="42" t="inlineStr">
        <is>
          <t>IF(F301="","",IF(COUNT(AI301:AV301)=0,IF(AA301="","Not started",AA301),SUBSTITUTE(LOOKUP(2,1/(AI301:AV301&lt;&gt;""),$AI$3:$AV$3),"Date: ","")))</t>
        </is>
      </c>
      <c r="AD301" s="49" t="inlineStr">
        <is>
          <t>IF(OR(F301="",COUNT(AI301:AV301)=0),"",TODAY()-LOOKUP(2,1/(AI301:AV301&lt;&gt;""),AI301:AV301))</t>
        </is>
      </c>
      <c r="AE301" s="49" t="inlineStr">
        <is>
          <t>IF(OR(F301="",COUNT(AI301:AV301)&lt;2),"",LOOKUP(2,1/(AI301:AV301&lt;&gt;""),AI301:AV301)-MIN(AI301:AV301))</t>
        </is>
      </c>
      <c r="AF301" s="49" t="inlineStr">
        <is>
          <t>IF(OR(AD301="",AC301="Not started",AC301=""),"",IFERROR(AD301-IF(VLOOKUP(AC301,'06_Status_Pipeline'!$B$3:$E$20,4,FALSE)="",0,VLOOKUP(AC301,'06_Status_Pipeline'!$B$3:$E$20,4,FALSE)),""))</t>
        </is>
      </c>
      <c r="AG301" s="42" t="inlineStr">
        <is>
          <t>IF(F301="","",IF(OR(AA301="Cancelled",AC301="Cancelled"),"Cancelled",IF(OR(AC301="Completed / Handover",Y301&lt;&gt;"",Z301&gt;=100),"Completed — on track",IF(O301="Not awarded",IF(U301="",IF(X301="","No planned date",IF(TODAY()&gt;X301,"Behind — past planned date",IF(X301-TODAY()&lt;=30,"At risk — close to off track","On track"))),IF(TODAY()&gt;U301,"Behind — award date passed",IF(U301-TODAY()&lt;=30,"At risk — close to off track","On track"))),IF(X301="","No planned date",IF(AND(TODAY()&gt;X301,OR(Z301="",Z301&lt;100)),"Behind — past end date",IF(AND(T301&lt;&gt;"",X301&lt;&gt;"",Z301&lt;&gt;"",(Z301&lt;100),((TODAY()-T301)/MAX(X301-T301,1)*100)-Z301&gt;15),"Behind — progress lag",IF(AND(X301-TODAY()&lt;=30,X301-TODAY()&gt;=0,OR(Z301="",Z301&lt;90)),"At risk — close to off track","On track"))))))))</t>
        </is>
      </c>
      <c r="AH301" s="49" t="inlineStr">
        <is>
          <t>IF(OR(F301="",AC301="Completed / Handover",AC301="Cancelled"),"",IF(O301="Not awarded",IF(U301&lt;&gt;"",U301-TODAY(),IF(X301="","",X301-TODAY())),IF(X301="","",X301-TODAY())))</t>
        </is>
      </c>
      <c r="AI301" s="67" t="n"/>
      <c r="AJ301" s="67" t="n"/>
      <c r="AK301" s="67" t="n"/>
      <c r="AL301" s="67" t="n"/>
      <c r="AM301" s="67" t="n"/>
      <c r="AN301" s="67" t="n"/>
      <c r="AO301" s="67" t="n"/>
      <c r="AP301" s="67" t="n"/>
      <c r="AQ301" s="67" t="n">
        <v>46113</v>
      </c>
      <c r="AR301" s="67" t="n">
        <v>46113</v>
      </c>
      <c r="AS301" s="67" t="n">
        <v>46325</v>
      </c>
      <c r="AT301" s="50" t="n"/>
      <c r="AU301" s="50" t="n"/>
      <c r="AV301" s="50" t="n"/>
      <c r="AW301" s="49" t="inlineStr">
        <is>
          <t>IF(OR(F301="",AJ301=""),"",IF(COUNT(AI301:AI301)=0,"",AJ301-LOOKUP(2,1/(AI301:AI301&lt;&gt;""),AI301:AI301)))</t>
        </is>
      </c>
      <c r="AX301" s="49" t="inlineStr">
        <is>
          <t>IF(OR(F301="",AK301=""),"",IF(COUNT(AI301:AJ301)=0,"",AK301-LOOKUP(2,1/(AI301:AJ301&lt;&gt;""),AI301:AJ301)))</t>
        </is>
      </c>
      <c r="AY301" s="49" t="inlineStr">
        <is>
          <t>IF(OR(F301="",AL301=""),"",IF(COUNT(AI301:AK301)=0,"",AL301-LOOKUP(2,1/(AI301:AK301&lt;&gt;""),AI301:AK301)))</t>
        </is>
      </c>
      <c r="AZ301" s="49" t="inlineStr">
        <is>
          <t>IF(OR(F301="",AM301=""),"",IF(COUNT(AI301:AL301)=0,"",AM301-LOOKUP(2,1/(AI301:AL301&lt;&gt;""),AI301:AL301)))</t>
        </is>
      </c>
      <c r="BA301" s="49" t="inlineStr">
        <is>
          <t>IF(OR(F301="",AN301=""),"",IF(COUNT(AI301:AM301)=0,"",AN301-LOOKUP(2,1/(AI301:AM301&lt;&gt;""),AI301:AM301)))</t>
        </is>
      </c>
      <c r="BB301" s="49" t="inlineStr">
        <is>
          <t>IF(OR(F301="",AO301=""),"",IF(COUNT(AI301:AN301)=0,"",AO301-LOOKUP(2,1/(AI301:AN301&lt;&gt;""),AI301:AN301)))</t>
        </is>
      </c>
      <c r="BC301" s="49" t="inlineStr">
        <is>
          <t>IF(OR(F301="",AP301=""),"",IF(COUNT(AI301:AO301)=0,"",AP301-LOOKUP(2,1/(AI301:AO301&lt;&gt;""),AI301:AO301)))</t>
        </is>
      </c>
      <c r="BD301" s="49" t="inlineStr">
        <is>
          <t>IF(OR(F301="",AQ301=""),"",IF(COUNT(AI301:AP301)=0,"",AQ301-LOOKUP(2,1/(AI301:AP301&lt;&gt;""),AI301:AP301)))</t>
        </is>
      </c>
      <c r="BE301" s="49" t="inlineStr">
        <is>
          <t>IF(OR(F301="",AR301=""),"",IF(COUNT(AI301:AQ301)=0,"",AR301-LOOKUP(2,1/(AI301:AQ301&lt;&gt;""),AI301:AQ301)))</t>
        </is>
      </c>
      <c r="BF301" s="49" t="inlineStr">
        <is>
          <t>IF(OR(F301="",AS301=""),"",IF(COUNT(AI301:AR301)=0,"",AS301-LOOKUP(2,1/(AI301:AR301&lt;&gt;""),AI301:AR301)))</t>
        </is>
      </c>
      <c r="BG301" s="49" t="inlineStr">
        <is>
          <t>IF(OR(F301="",AT301=""),"",IF(COUNT(AI301:AS301)=0,"",AT301-LOOKUP(2,1/(AI301:AS301&lt;&gt;""),AI301:AS301)))</t>
        </is>
      </c>
      <c r="BH301" s="49" t="inlineStr">
        <is>
          <t>IF(OR(F301="",AU301=""),"",IF(COUNT(AI301:AT301)=0,"",AU301-LOOKUP(2,1/(AI301:AT301&lt;&gt;""),AI301:AT301)))</t>
        </is>
      </c>
      <c r="BI301" s="49" t="inlineStr">
        <is>
          <t>IF(OR(F301="",AV301=""),"",IF(COUNT(AI301:AU301)=0,"",AV301-LOOKUP(2,1/(AI301:AU301&lt;&gt;""),AI301:AU301)))</t>
        </is>
      </c>
      <c r="BJ301" s="51" t="inlineStr">
        <is>
          <t>IF(J301="","All_Provinces",IFERROR(VLOOKUP(J301,'09_Lookups'!$A$4:$B$20,2,FALSE),"All_Provinces"))</t>
        </is>
      </c>
      <c r="BK301" s="51" t="inlineStr">
        <is>
          <t>IF(K301="","All_Districts",IFERROR(VLOOKUP(K301,'09_Lookups'!$E$4:$F$42,2,FALSE),"All_Districts"))</t>
        </is>
      </c>
    </row>
    <row r="302" ht="18" customHeight="1">
      <c r="A302" s="32" t="inlineStr">
        <is>
          <t>IF(F302="","",ROW()-3)</t>
        </is>
      </c>
      <c r="B302" s="64" t="inlineStr">
        <is>
          <t>AF2-WSM-15</t>
        </is>
      </c>
      <c r="C302" s="64" t="inlineStr">
        <is>
          <t>Package #15-AF2 WSM: Construction of 3 Check dams of 1. Sangmom, 2. Shilan Korga, and 3.Khulbar in Nili, Ashtarlay, and Sang Takhta districts of Daykundi province.</t>
        </is>
      </c>
      <c r="D302" s="64" t="inlineStr">
        <is>
          <t>1 of 3</t>
        </is>
      </c>
      <c r="E302" s="34" t="inlineStr">
        <is>
          <t>AF2-WSM-A-037</t>
        </is>
      </c>
      <c r="F302" s="34" t="inlineStr">
        <is>
          <t>Khulbarg Check dam</t>
        </is>
      </c>
      <c r="G302" s="34" t="inlineStr">
        <is>
          <t>Watershed Management</t>
        </is>
      </c>
      <c r="H302" s="34" t="inlineStr">
        <is>
          <t>Check Dam</t>
        </is>
      </c>
      <c r="I302" s="34" t="inlineStr">
        <is>
          <t>Emergency Food Security Project (EFSP) – WBK/AF-2</t>
        </is>
      </c>
      <c r="J302" s="34" t="inlineStr">
        <is>
          <t>Central Highland / Bamyan</t>
        </is>
      </c>
      <c r="K302" s="34" t="inlineStr">
        <is>
          <t>Daykundi</t>
        </is>
      </c>
      <c r="L302" s="34" t="inlineStr">
        <is>
          <t>Sang Takht wa Bandar</t>
        </is>
      </c>
      <c r="M302" s="34" t="inlineStr">
        <is>
          <t>Shamshir Sang, Dughur Ulya &amp; Sufla</t>
        </is>
      </c>
      <c r="N302" s="34" t="inlineStr">
        <is>
          <t>World Bank (WBK/AF-2)</t>
        </is>
      </c>
      <c r="O302" s="34" t="inlineStr">
        <is>
          <t>Awarded</t>
        </is>
      </c>
      <c r="P302" s="34" t="inlineStr">
        <is>
          <t>3.WSM awarded contracts</t>
        </is>
      </c>
      <c r="Q302" s="34" t="inlineStr">
        <is>
          <t>Bahartamadun Construction Company (BCC)</t>
        </is>
      </c>
      <c r="R302" s="34" t="inlineStr">
        <is>
          <t>065/2026</t>
        </is>
      </c>
      <c r="S302" s="35" t="n"/>
      <c r="T302" s="36" t="inlineStr">
        <is>
          <t>IF(AQ302="","",AQ302)</t>
        </is>
      </c>
      <c r="U302" s="37" t="n"/>
      <c r="V302" s="38" t="n">
        <v>4.9</v>
      </c>
      <c r="W302" s="37" t="n">
        <v>46453</v>
      </c>
      <c r="X302" s="36" t="inlineStr">
        <is>
          <t>IF(W302&lt;&gt;"",W302,IF(OR(T302="",V302=""),"",EDATE(T302,V302)))</t>
        </is>
      </c>
      <c r="Y302" s="37" t="n"/>
      <c r="Z302" s="38" t="n"/>
      <c r="AA302" s="34" t="inlineStr">
        <is>
          <t>Awarded</t>
        </is>
      </c>
      <c r="AB302" s="34" t="inlineStr">
        <is>
          <t>Completed on Sep, 2026</t>
        </is>
      </c>
      <c r="AC302" s="32" t="inlineStr">
        <is>
          <t>IF(F302="","",IF(COUNT(AI302:AV302)=0,IF(AA302="","Not started",AA302),SUBSTITUTE(LOOKUP(2,1/(AI302:AV302&lt;&gt;""),$AI$3:$AV$3),"Date: ","")))</t>
        </is>
      </c>
      <c r="AD302" s="39" t="inlineStr">
        <is>
          <t>IF(OR(F302="",COUNT(AI302:AV302)=0),"",TODAY()-LOOKUP(2,1/(AI302:AV302&lt;&gt;""),AI302:AV302))</t>
        </is>
      </c>
      <c r="AE302" s="39" t="inlineStr">
        <is>
          <t>IF(OR(F302="",COUNT(AI302:AV302)&lt;2),"",LOOKUP(2,1/(AI302:AV302&lt;&gt;""),AI302:AV302)-MIN(AI302:AV302))</t>
        </is>
      </c>
      <c r="AF302" s="39" t="inlineStr">
        <is>
          <t>IF(OR(AD302="",AC302="Not started",AC302=""),"",IFERROR(AD302-IF(VLOOKUP(AC302,'06_Status_Pipeline'!$B$3:$E$20,4,FALSE)="",0,VLOOKUP(AC302,'06_Status_Pipeline'!$B$3:$E$20,4,FALSE)),""))</t>
        </is>
      </c>
      <c r="AG302" s="32" t="inlineStr">
        <is>
          <t>IF(F302="","",IF(OR(AA302="Cancelled",AC302="Cancelled"),"Cancelled",IF(OR(AC302="Completed / Handover",Y302&lt;&gt;"",Z302&gt;=100),"Completed — on track",IF(O302="Not awarded",IF(U302="",IF(X302="","No planned date",IF(TODAY()&gt;X302,"Behind — past planned date",IF(X302-TODAY()&lt;=30,"At risk — close to off track","On track"))),IF(TODAY()&gt;U302,"Behind — award date passed",IF(U302-TODAY()&lt;=30,"At risk — close to off track","On track"))),IF(X302="","No planned date",IF(AND(TODAY()&gt;X302,OR(Z302="",Z302&lt;100)),"Behind — past end date",IF(AND(T302&lt;&gt;"",X302&lt;&gt;"",Z302&lt;&gt;"",(Z302&lt;100),((TODAY()-T302)/MAX(X302-T302,1)*100)-Z302&gt;15),"Behind — progress lag",IF(AND(X302-TODAY()&lt;=30,X302-TODAY()&gt;=0,OR(Z302="",Z302&lt;90)),"At risk — close to off track","On track"))))))))</t>
        </is>
      </c>
      <c r="AH302" s="39" t="inlineStr">
        <is>
          <t>IF(OR(F302="",AC302="Completed / Handover",AC302="Cancelled"),"",IF(O302="Not awarded",IF(U302&lt;&gt;"",U302-TODAY(),IF(X302="","",X302-TODAY())),IF(X302="","",X302-TODAY())))</t>
        </is>
      </c>
      <c r="AI302" s="66" t="n"/>
      <c r="AJ302" s="66" t="n"/>
      <c r="AK302" s="66" t="n"/>
      <c r="AL302" s="66" t="n"/>
      <c r="AM302" s="66" t="n"/>
      <c r="AN302" s="66" t="n"/>
      <c r="AO302" s="66" t="n"/>
      <c r="AP302" s="66" t="n"/>
      <c r="AQ302" s="66" t="n">
        <v>46303</v>
      </c>
      <c r="AR302" s="66" t="n"/>
      <c r="AS302" s="66" t="n"/>
      <c r="AT302" s="40" t="n"/>
      <c r="AU302" s="40" t="n"/>
      <c r="AV302" s="40" t="n"/>
      <c r="AW302" s="39" t="inlineStr">
        <is>
          <t>IF(OR(F302="",AJ302=""),"",IF(COUNT(AI302:AI302)=0,"",AJ302-LOOKUP(2,1/(AI302:AI302&lt;&gt;""),AI302:AI302)))</t>
        </is>
      </c>
      <c r="AX302" s="39" t="inlineStr">
        <is>
          <t>IF(OR(F302="",AK302=""),"",IF(COUNT(AI302:AJ302)=0,"",AK302-LOOKUP(2,1/(AI302:AJ302&lt;&gt;""),AI302:AJ302)))</t>
        </is>
      </c>
      <c r="AY302" s="39" t="inlineStr">
        <is>
          <t>IF(OR(F302="",AL302=""),"",IF(COUNT(AI302:AK302)=0,"",AL302-LOOKUP(2,1/(AI302:AK302&lt;&gt;""),AI302:AK302)))</t>
        </is>
      </c>
      <c r="AZ302" s="39" t="inlineStr">
        <is>
          <t>IF(OR(F302="",AM302=""),"",IF(COUNT(AI302:AL302)=0,"",AM302-LOOKUP(2,1/(AI302:AL302&lt;&gt;""),AI302:AL302)))</t>
        </is>
      </c>
      <c r="BA302" s="39" t="inlineStr">
        <is>
          <t>IF(OR(F302="",AN302=""),"",IF(COUNT(AI302:AM302)=0,"",AN302-LOOKUP(2,1/(AI302:AM302&lt;&gt;""),AI302:AM302)))</t>
        </is>
      </c>
      <c r="BB302" s="39" t="inlineStr">
        <is>
          <t>IF(OR(F302="",AO302=""),"",IF(COUNT(AI302:AN302)=0,"",AO302-LOOKUP(2,1/(AI302:AN302&lt;&gt;""),AI302:AN302)))</t>
        </is>
      </c>
      <c r="BC302" s="39" t="inlineStr">
        <is>
          <t>IF(OR(F302="",AP302=""),"",IF(COUNT(AI302:AO302)=0,"",AP302-LOOKUP(2,1/(AI302:AO302&lt;&gt;""),AI302:AO302)))</t>
        </is>
      </c>
      <c r="BD302" s="39" t="inlineStr">
        <is>
          <t>IF(OR(F302="",AQ302=""),"",IF(COUNT(AI302:AP302)=0,"",AQ302-LOOKUP(2,1/(AI302:AP302&lt;&gt;""),AI302:AP302)))</t>
        </is>
      </c>
      <c r="BE302" s="39" t="inlineStr">
        <is>
          <t>IF(OR(F302="",AR302=""),"",IF(COUNT(AI302:AQ302)=0,"",AR302-LOOKUP(2,1/(AI302:AQ302&lt;&gt;""),AI302:AQ302)))</t>
        </is>
      </c>
      <c r="BF302" s="39" t="inlineStr">
        <is>
          <t>IF(OR(F302="",AS302=""),"",IF(COUNT(AI302:AR302)=0,"",AS302-LOOKUP(2,1/(AI302:AR302&lt;&gt;""),AI302:AR302)))</t>
        </is>
      </c>
      <c r="BG302" s="39" t="inlineStr">
        <is>
          <t>IF(OR(F302="",AT302=""),"",IF(COUNT(AI302:AS302)=0,"",AT302-LOOKUP(2,1/(AI302:AS302&lt;&gt;""),AI302:AS302)))</t>
        </is>
      </c>
      <c r="BH302" s="39" t="inlineStr">
        <is>
          <t>IF(OR(F302="",AU302=""),"",IF(COUNT(AI302:AT302)=0,"",AU302-LOOKUP(2,1/(AI302:AT302&lt;&gt;""),AI302:AT302)))</t>
        </is>
      </c>
      <c r="BI302" s="39" t="inlineStr">
        <is>
          <t>IF(OR(F302="",AV302=""),"",IF(COUNT(AI302:AU302)=0,"",AV302-LOOKUP(2,1/(AI302:AU302&lt;&gt;""),AI302:AU302)))</t>
        </is>
      </c>
      <c r="BJ302" s="41" t="inlineStr">
        <is>
          <t>IF(J302="","All_Provinces",IFERROR(VLOOKUP(J302,'09_Lookups'!$A$4:$B$20,2,FALSE),"All_Provinces"))</t>
        </is>
      </c>
      <c r="BK302" s="41" t="inlineStr">
        <is>
          <t>IF(K302="","All_Districts",IFERROR(VLOOKUP(K302,'09_Lookups'!$E$4:$F$42,2,FALSE),"All_Districts"))</t>
        </is>
      </c>
    </row>
    <row r="303" outlineLevel="1" ht="18" customHeight="1">
      <c r="A303" s="42" t="inlineStr">
        <is>
          <t>IF(F303="","",ROW()-3)</t>
        </is>
      </c>
      <c r="B303" s="65" t="inlineStr">
        <is>
          <t>AF2-WSM-15</t>
        </is>
      </c>
      <c r="C303" s="65" t="inlineStr">
        <is>
          <t>Package #15-AF2 WSM: Construction of 3 Check dams of 1. Sangmom, 2. Shilan Korga, and 3.Khulbar in Nili, Ashtarlay, and Sang Takhta districts of Daykundi province.</t>
        </is>
      </c>
      <c r="D303" s="65" t="inlineStr">
        <is>
          <t>2 of 3</t>
        </is>
      </c>
      <c r="E303" s="44" t="inlineStr">
        <is>
          <t>AF2-WSM-A-038</t>
        </is>
      </c>
      <c r="F303" s="44" t="inlineStr">
        <is>
          <t>Sangmom Check dam</t>
        </is>
      </c>
      <c r="G303" s="44" t="inlineStr">
        <is>
          <t>Watershed Management</t>
        </is>
      </c>
      <c r="H303" s="44" t="inlineStr">
        <is>
          <t>Check Dam</t>
        </is>
      </c>
      <c r="I303" s="44" t="inlineStr">
        <is>
          <t>Emergency Food Security Project (EFSP) – WBK/AF-2</t>
        </is>
      </c>
      <c r="J303" s="44" t="inlineStr">
        <is>
          <t>Central Highland / Bamyan</t>
        </is>
      </c>
      <c r="K303" s="44" t="inlineStr">
        <is>
          <t>Daykundi</t>
        </is>
      </c>
      <c r="L303" s="44" t="inlineStr">
        <is>
          <t>Nili</t>
        </is>
      </c>
      <c r="M303" s="44" t="inlineStr">
        <is>
          <t>Sangmom</t>
        </is>
      </c>
      <c r="N303" s="44" t="inlineStr">
        <is>
          <t>World Bank (WBK/AF-2)</t>
        </is>
      </c>
      <c r="O303" s="44" t="inlineStr">
        <is>
          <t>Awarded</t>
        </is>
      </c>
      <c r="P303" s="44" t="inlineStr">
        <is>
          <t>3.WSM awarded contracts</t>
        </is>
      </c>
      <c r="Q303" s="44" t="inlineStr">
        <is>
          <t>Bahartamadun Construction Company (BCC)</t>
        </is>
      </c>
      <c r="R303" s="44" t="inlineStr">
        <is>
          <t>065/2026</t>
        </is>
      </c>
      <c r="S303" s="45" t="n">
        <v>179455</v>
      </c>
      <c r="T303" s="46" t="inlineStr">
        <is>
          <t>IF(AQ303="","",AQ303)</t>
        </is>
      </c>
      <c r="U303" s="47" t="n"/>
      <c r="V303" s="48" t="n">
        <v>4.9</v>
      </c>
      <c r="W303" s="47" t="n">
        <v>46453</v>
      </c>
      <c r="X303" s="46" t="inlineStr">
        <is>
          <t>IF(W303&lt;&gt;"",W303,IF(OR(T303="",V303=""),"",EDATE(T303,V303)))</t>
        </is>
      </c>
      <c r="Y303" s="47" t="n"/>
      <c r="Z303" s="48" t="n"/>
      <c r="AA303" s="44" t="inlineStr">
        <is>
          <t>Awarded</t>
        </is>
      </c>
      <c r="AB303" s="44" t="inlineStr">
        <is>
          <t>Completed on Sep, 2026</t>
        </is>
      </c>
      <c r="AC303" s="42" t="inlineStr">
        <is>
          <t>IF(F303="","",IF(COUNT(AI303:AV303)=0,IF(AA303="","Not started",AA303),SUBSTITUTE(LOOKUP(2,1/(AI303:AV303&lt;&gt;""),$AI$3:$AV$3),"Date: ","")))</t>
        </is>
      </c>
      <c r="AD303" s="49" t="inlineStr">
        <is>
          <t>IF(OR(F303="",COUNT(AI303:AV303)=0),"",TODAY()-LOOKUP(2,1/(AI303:AV303&lt;&gt;""),AI303:AV303))</t>
        </is>
      </c>
      <c r="AE303" s="49" t="inlineStr">
        <is>
          <t>IF(OR(F303="",COUNT(AI303:AV303)&lt;2),"",LOOKUP(2,1/(AI303:AV303&lt;&gt;""),AI303:AV303)-MIN(AI303:AV303))</t>
        </is>
      </c>
      <c r="AF303" s="49" t="inlineStr">
        <is>
          <t>IF(OR(AD303="",AC303="Not started",AC303=""),"",IFERROR(AD303-IF(VLOOKUP(AC303,'06_Status_Pipeline'!$B$3:$E$20,4,FALSE)="",0,VLOOKUP(AC303,'06_Status_Pipeline'!$B$3:$E$20,4,FALSE)),""))</t>
        </is>
      </c>
      <c r="AG303" s="42" t="inlineStr">
        <is>
          <t>IF(F303="","",IF(OR(AA303="Cancelled",AC303="Cancelled"),"Cancelled",IF(OR(AC303="Completed / Handover",Y303&lt;&gt;"",Z303&gt;=100),"Completed — on track",IF(O303="Not awarded",IF(U303="",IF(X303="","No planned date",IF(TODAY()&gt;X303,"Behind — past planned date",IF(X303-TODAY()&lt;=30,"At risk — close to off track","On track"))),IF(TODAY()&gt;U303,"Behind — award date passed",IF(U303-TODAY()&lt;=30,"At risk — close to off track","On track"))),IF(X303="","No planned date",IF(AND(TODAY()&gt;X303,OR(Z303="",Z303&lt;100)),"Behind — past end date",IF(AND(T303&lt;&gt;"",X303&lt;&gt;"",Z303&lt;&gt;"",(Z303&lt;100),((TODAY()-T303)/MAX(X303-T303,1)*100)-Z303&gt;15),"Behind — progress lag",IF(AND(X303-TODAY()&lt;=30,X303-TODAY()&gt;=0,OR(Z303="",Z303&lt;90)),"At risk — close to off track","On track"))))))))</t>
        </is>
      </c>
      <c r="AH303" s="49" t="inlineStr">
        <is>
          <t>IF(OR(F303="",AC303="Completed / Handover",AC303="Cancelled"),"",IF(O303="Not awarded",IF(U303&lt;&gt;"",U303-TODAY(),IF(X303="","",X303-TODAY())),IF(X303="","",X303-TODAY())))</t>
        </is>
      </c>
      <c r="AI303" s="67" t="n"/>
      <c r="AJ303" s="67" t="n"/>
      <c r="AK303" s="67" t="n"/>
      <c r="AL303" s="67" t="n"/>
      <c r="AM303" s="67" t="n"/>
      <c r="AN303" s="67" t="n"/>
      <c r="AO303" s="67" t="n"/>
      <c r="AP303" s="67" t="n"/>
      <c r="AQ303" s="67" t="n">
        <v>46303</v>
      </c>
      <c r="AR303" s="67" t="n"/>
      <c r="AS303" s="67" t="n"/>
      <c r="AT303" s="50" t="n"/>
      <c r="AU303" s="50" t="n"/>
      <c r="AV303" s="50" t="n"/>
      <c r="AW303" s="49" t="inlineStr">
        <is>
          <t>IF(OR(F303="",AJ303=""),"",IF(COUNT(AI303:AI303)=0,"",AJ303-LOOKUP(2,1/(AI303:AI303&lt;&gt;""),AI303:AI303)))</t>
        </is>
      </c>
      <c r="AX303" s="49" t="inlineStr">
        <is>
          <t>IF(OR(F303="",AK303=""),"",IF(COUNT(AI303:AJ303)=0,"",AK303-LOOKUP(2,1/(AI303:AJ303&lt;&gt;""),AI303:AJ303)))</t>
        </is>
      </c>
      <c r="AY303" s="49" t="inlineStr">
        <is>
          <t>IF(OR(F303="",AL303=""),"",IF(COUNT(AI303:AK303)=0,"",AL303-LOOKUP(2,1/(AI303:AK303&lt;&gt;""),AI303:AK303)))</t>
        </is>
      </c>
      <c r="AZ303" s="49" t="inlineStr">
        <is>
          <t>IF(OR(F303="",AM303=""),"",IF(COUNT(AI303:AL303)=0,"",AM303-LOOKUP(2,1/(AI303:AL303&lt;&gt;""),AI303:AL303)))</t>
        </is>
      </c>
      <c r="BA303" s="49" t="inlineStr">
        <is>
          <t>IF(OR(F303="",AN303=""),"",IF(COUNT(AI303:AM303)=0,"",AN303-LOOKUP(2,1/(AI303:AM303&lt;&gt;""),AI303:AM303)))</t>
        </is>
      </c>
      <c r="BB303" s="49" t="inlineStr">
        <is>
          <t>IF(OR(F303="",AO303=""),"",IF(COUNT(AI303:AN303)=0,"",AO303-LOOKUP(2,1/(AI303:AN303&lt;&gt;""),AI303:AN303)))</t>
        </is>
      </c>
      <c r="BC303" s="49" t="inlineStr">
        <is>
          <t>IF(OR(F303="",AP303=""),"",IF(COUNT(AI303:AO303)=0,"",AP303-LOOKUP(2,1/(AI303:AO303&lt;&gt;""),AI303:AO303)))</t>
        </is>
      </c>
      <c r="BD303" s="49" t="inlineStr">
        <is>
          <t>IF(OR(F303="",AQ303=""),"",IF(COUNT(AI303:AP303)=0,"",AQ303-LOOKUP(2,1/(AI303:AP303&lt;&gt;""),AI303:AP303)))</t>
        </is>
      </c>
      <c r="BE303" s="49" t="inlineStr">
        <is>
          <t>IF(OR(F303="",AR303=""),"",IF(COUNT(AI303:AQ303)=0,"",AR303-LOOKUP(2,1/(AI303:AQ303&lt;&gt;""),AI303:AQ303)))</t>
        </is>
      </c>
      <c r="BF303" s="49" t="inlineStr">
        <is>
          <t>IF(OR(F303="",AS303=""),"",IF(COUNT(AI303:AR303)=0,"",AS303-LOOKUP(2,1/(AI303:AR303&lt;&gt;""),AI303:AR303)))</t>
        </is>
      </c>
      <c r="BG303" s="49" t="inlineStr">
        <is>
          <t>IF(OR(F303="",AT303=""),"",IF(COUNT(AI303:AS303)=0,"",AT303-LOOKUP(2,1/(AI303:AS303&lt;&gt;""),AI303:AS303)))</t>
        </is>
      </c>
      <c r="BH303" s="49" t="inlineStr">
        <is>
          <t>IF(OR(F303="",AU303=""),"",IF(COUNT(AI303:AT303)=0,"",AU303-LOOKUP(2,1/(AI303:AT303&lt;&gt;""),AI303:AT303)))</t>
        </is>
      </c>
      <c r="BI303" s="49" t="inlineStr">
        <is>
          <t>IF(OR(F303="",AV303=""),"",IF(COUNT(AI303:AU303)=0,"",AV303-LOOKUP(2,1/(AI303:AU303&lt;&gt;""),AI303:AU303)))</t>
        </is>
      </c>
      <c r="BJ303" s="51" t="inlineStr">
        <is>
          <t>IF(J303="","All_Provinces",IFERROR(VLOOKUP(J303,'09_Lookups'!$A$4:$B$20,2,FALSE),"All_Provinces"))</t>
        </is>
      </c>
      <c r="BK303" s="51" t="inlineStr">
        <is>
          <t>IF(K303="","All_Districts",IFERROR(VLOOKUP(K303,'09_Lookups'!$E$4:$F$42,2,FALSE),"All_Districts"))</t>
        </is>
      </c>
    </row>
    <row r="304" outlineLevel="1" ht="18" customHeight="1">
      <c r="A304" s="42" t="inlineStr">
        <is>
          <t>IF(F304="","",ROW()-3)</t>
        </is>
      </c>
      <c r="B304" s="65" t="inlineStr">
        <is>
          <t>AF2-WSM-15</t>
        </is>
      </c>
      <c r="C304" s="65" t="inlineStr">
        <is>
          <t>Package #15-AF2 WSM: Construction of 3 Check dams of 1. Sangmom, 2. Shilan Korga, and 3.Khulbar in Nili, Ashtarlay, and Sang Takhta districts of Daykundi province.</t>
        </is>
      </c>
      <c r="D304" s="65" t="inlineStr">
        <is>
          <t>3 of 3</t>
        </is>
      </c>
      <c r="E304" s="52" t="inlineStr">
        <is>
          <t>AF2-WSM-A-039</t>
        </is>
      </c>
      <c r="F304" s="52" t="inlineStr">
        <is>
          <t>Shilan Korga Check dam</t>
        </is>
      </c>
      <c r="G304" s="52" t="inlineStr">
        <is>
          <t>Watershed Management</t>
        </is>
      </c>
      <c r="H304" s="52" t="inlineStr">
        <is>
          <t>Check Dam</t>
        </is>
      </c>
      <c r="I304" s="52" t="inlineStr">
        <is>
          <t>Emergency Food Security Project (EFSP) – WBK/AF-2</t>
        </is>
      </c>
      <c r="J304" s="52" t="inlineStr">
        <is>
          <t>Central Highland / Bamyan</t>
        </is>
      </c>
      <c r="K304" s="52" t="inlineStr">
        <is>
          <t>Daykundi</t>
        </is>
      </c>
      <c r="L304" s="52" t="inlineStr">
        <is>
          <t>Ashtarlay</t>
        </is>
      </c>
      <c r="M304" s="52" t="inlineStr">
        <is>
          <t>Korga-e Shelan, Naiak-e Shelan</t>
        </is>
      </c>
      <c r="N304" s="52" t="inlineStr">
        <is>
          <t>World Bank (WBK/AF-2)</t>
        </is>
      </c>
      <c r="O304" s="52" t="inlineStr">
        <is>
          <t>Awarded</t>
        </is>
      </c>
      <c r="P304" s="52" t="inlineStr">
        <is>
          <t>3.WSM awarded contracts</t>
        </is>
      </c>
      <c r="Q304" s="52" t="inlineStr">
        <is>
          <t>Bahartamadun Construction Company (BCC)</t>
        </is>
      </c>
      <c r="R304" s="52" t="inlineStr">
        <is>
          <t>065/2026</t>
        </is>
      </c>
      <c r="S304" s="53" t="n"/>
      <c r="T304" s="46" t="inlineStr">
        <is>
          <t>IF(AQ304="","",AQ304)</t>
        </is>
      </c>
      <c r="U304" s="54" t="n"/>
      <c r="V304" s="55" t="n">
        <v>4.9</v>
      </c>
      <c r="W304" s="54" t="n">
        <v>46453</v>
      </c>
      <c r="X304" s="46" t="inlineStr">
        <is>
          <t>IF(W304&lt;&gt;"",W304,IF(OR(T304="",V304=""),"",EDATE(T304,V304)))</t>
        </is>
      </c>
      <c r="Y304" s="54" t="n"/>
      <c r="Z304" s="55" t="n"/>
      <c r="AA304" s="52" t="inlineStr">
        <is>
          <t>Awarded</t>
        </is>
      </c>
      <c r="AB304" s="52" t="inlineStr">
        <is>
          <t>Completed on Sep, 2026</t>
        </is>
      </c>
      <c r="AC304" s="42" t="inlineStr">
        <is>
          <t>IF(F304="","",IF(COUNT(AI304:AV304)=0,IF(AA304="","Not started",AA304),SUBSTITUTE(LOOKUP(2,1/(AI304:AV304&lt;&gt;""),$AI$3:$AV$3),"Date: ","")))</t>
        </is>
      </c>
      <c r="AD304" s="49" t="inlineStr">
        <is>
          <t>IF(OR(F304="",COUNT(AI304:AV304)=0),"",TODAY()-LOOKUP(2,1/(AI304:AV304&lt;&gt;""),AI304:AV304))</t>
        </is>
      </c>
      <c r="AE304" s="49" t="inlineStr">
        <is>
          <t>IF(OR(F304="",COUNT(AI304:AV304)&lt;2),"",LOOKUP(2,1/(AI304:AV304&lt;&gt;""),AI304:AV304)-MIN(AI304:AV304))</t>
        </is>
      </c>
      <c r="AF304" s="49" t="inlineStr">
        <is>
          <t>IF(OR(AD304="",AC304="Not started",AC304=""),"",IFERROR(AD304-IF(VLOOKUP(AC304,'06_Status_Pipeline'!$B$3:$E$20,4,FALSE)="",0,VLOOKUP(AC304,'06_Status_Pipeline'!$B$3:$E$20,4,FALSE)),""))</t>
        </is>
      </c>
      <c r="AG304" s="42" t="inlineStr">
        <is>
          <t>IF(F304="","",IF(OR(AA304="Cancelled",AC304="Cancelled"),"Cancelled",IF(OR(AC304="Completed / Handover",Y304&lt;&gt;"",Z304&gt;=100),"Completed — on track",IF(O304="Not awarded",IF(U304="",IF(X304="","No planned date",IF(TODAY()&gt;X304,"Behind — past planned date",IF(X304-TODAY()&lt;=30,"At risk — close to off track","On track"))),IF(TODAY()&gt;U304,"Behind — award date passed",IF(U304-TODAY()&lt;=30,"At risk — close to off track","On track"))),IF(X304="","No planned date",IF(AND(TODAY()&gt;X304,OR(Z304="",Z304&lt;100)),"Behind — past end date",IF(AND(T304&lt;&gt;"",X304&lt;&gt;"",Z304&lt;&gt;"",(Z304&lt;100),((TODAY()-T304)/MAX(X304-T304,1)*100)-Z304&gt;15),"Behind — progress lag",IF(AND(X304-TODAY()&lt;=30,X304-TODAY()&gt;=0,OR(Z304="",Z304&lt;90)),"At risk — close to off track","On track"))))))))</t>
        </is>
      </c>
      <c r="AH304" s="49" t="inlineStr">
        <is>
          <t>IF(OR(F304="",AC304="Completed / Handover",AC304="Cancelled"),"",IF(O304="Not awarded",IF(U304&lt;&gt;"",U304-TODAY(),IF(X304="","",X304-TODAY())),IF(X304="","",X304-TODAY())))</t>
        </is>
      </c>
      <c r="AI304" s="67" t="n"/>
      <c r="AJ304" s="67" t="n"/>
      <c r="AK304" s="67" t="n"/>
      <c r="AL304" s="67" t="n"/>
      <c r="AM304" s="67" t="n"/>
      <c r="AN304" s="67" t="n"/>
      <c r="AO304" s="67" t="n"/>
      <c r="AP304" s="67" t="n"/>
      <c r="AQ304" s="67" t="n">
        <v>46303</v>
      </c>
      <c r="AR304" s="67" t="n"/>
      <c r="AS304" s="67" t="n"/>
      <c r="AT304" s="50" t="n"/>
      <c r="AU304" s="50" t="n"/>
      <c r="AV304" s="50" t="n"/>
      <c r="AW304" s="49" t="inlineStr">
        <is>
          <t>IF(OR(F304="",AJ304=""),"",IF(COUNT(AI304:AI304)=0,"",AJ304-LOOKUP(2,1/(AI304:AI304&lt;&gt;""),AI304:AI304)))</t>
        </is>
      </c>
      <c r="AX304" s="49" t="inlineStr">
        <is>
          <t>IF(OR(F304="",AK304=""),"",IF(COUNT(AI304:AJ304)=0,"",AK304-LOOKUP(2,1/(AI304:AJ304&lt;&gt;""),AI304:AJ304)))</t>
        </is>
      </c>
      <c r="AY304" s="49" t="inlineStr">
        <is>
          <t>IF(OR(F304="",AL304=""),"",IF(COUNT(AI304:AK304)=0,"",AL304-LOOKUP(2,1/(AI304:AK304&lt;&gt;""),AI304:AK304)))</t>
        </is>
      </c>
      <c r="AZ304" s="49" t="inlineStr">
        <is>
          <t>IF(OR(F304="",AM304=""),"",IF(COUNT(AI304:AL304)=0,"",AM304-LOOKUP(2,1/(AI304:AL304&lt;&gt;""),AI304:AL304)))</t>
        </is>
      </c>
      <c r="BA304" s="49" t="inlineStr">
        <is>
          <t>IF(OR(F304="",AN304=""),"",IF(COUNT(AI304:AM304)=0,"",AN304-LOOKUP(2,1/(AI304:AM304&lt;&gt;""),AI304:AM304)))</t>
        </is>
      </c>
      <c r="BB304" s="49" t="inlineStr">
        <is>
          <t>IF(OR(F304="",AO304=""),"",IF(COUNT(AI304:AN304)=0,"",AO304-LOOKUP(2,1/(AI304:AN304&lt;&gt;""),AI304:AN304)))</t>
        </is>
      </c>
      <c r="BC304" s="49" t="inlineStr">
        <is>
          <t>IF(OR(F304="",AP304=""),"",IF(COUNT(AI304:AO304)=0,"",AP304-LOOKUP(2,1/(AI304:AO304&lt;&gt;""),AI304:AO304)))</t>
        </is>
      </c>
      <c r="BD304" s="49" t="inlineStr">
        <is>
          <t>IF(OR(F304="",AQ304=""),"",IF(COUNT(AI304:AP304)=0,"",AQ304-LOOKUP(2,1/(AI304:AP304&lt;&gt;""),AI304:AP304)))</t>
        </is>
      </c>
      <c r="BE304" s="49" t="inlineStr">
        <is>
          <t>IF(OR(F304="",AR304=""),"",IF(COUNT(AI304:AQ304)=0,"",AR304-LOOKUP(2,1/(AI304:AQ304&lt;&gt;""),AI304:AQ304)))</t>
        </is>
      </c>
      <c r="BF304" s="49" t="inlineStr">
        <is>
          <t>IF(OR(F304="",AS304=""),"",IF(COUNT(AI304:AR304)=0,"",AS304-LOOKUP(2,1/(AI304:AR304&lt;&gt;""),AI304:AR304)))</t>
        </is>
      </c>
      <c r="BG304" s="49" t="inlineStr">
        <is>
          <t>IF(OR(F304="",AT304=""),"",IF(COUNT(AI304:AS304)=0,"",AT304-LOOKUP(2,1/(AI304:AS304&lt;&gt;""),AI304:AS304)))</t>
        </is>
      </c>
      <c r="BH304" s="49" t="inlineStr">
        <is>
          <t>IF(OR(F304="",AU304=""),"",IF(COUNT(AI304:AT304)=0,"",AU304-LOOKUP(2,1/(AI304:AT304&lt;&gt;""),AI304:AT304)))</t>
        </is>
      </c>
      <c r="BI304" s="49" t="inlineStr">
        <is>
          <t>IF(OR(F304="",AV304=""),"",IF(COUNT(AI304:AU304)=0,"",AV304-LOOKUP(2,1/(AI304:AU304&lt;&gt;""),AI304:AU304)))</t>
        </is>
      </c>
      <c r="BJ304" s="51" t="inlineStr">
        <is>
          <t>IF(J304="","All_Provinces",IFERROR(VLOOKUP(J304,'09_Lookups'!$A$4:$B$20,2,FALSE),"All_Provinces"))</t>
        </is>
      </c>
      <c r="BK304" s="51" t="inlineStr">
        <is>
          <t>IF(K304="","All_Districts",IFERROR(VLOOKUP(K304,'09_Lookups'!$E$4:$F$42,2,FALSE),"All_Districts"))</t>
        </is>
      </c>
    </row>
    <row r="305" ht="18" customHeight="1">
      <c r="A305" s="32" t="inlineStr">
        <is>
          <t>IF(F305="","",ROW()-3)</t>
        </is>
      </c>
      <c r="B305" s="33" t="inlineStr">
        <is>
          <t>AF2-WSM-16</t>
        </is>
      </c>
      <c r="C305" s="33" t="inlineStr">
        <is>
          <t>Package #16-AF2 WSM: Construction of Panami Check dams, located in Mohammad Agha district of Logar province.</t>
        </is>
      </c>
      <c r="D305" s="33" t="inlineStr">
        <is>
          <t>1 of 1</t>
        </is>
      </c>
      <c r="E305" s="57" t="inlineStr">
        <is>
          <t>AF2-WSM-A-040</t>
        </is>
      </c>
      <c r="F305" s="57" t="inlineStr">
        <is>
          <t>Panami Check dam</t>
        </is>
      </c>
      <c r="G305" s="57" t="inlineStr">
        <is>
          <t>Watershed Management</t>
        </is>
      </c>
      <c r="H305" s="57" t="inlineStr">
        <is>
          <t>Check Dam</t>
        </is>
      </c>
      <c r="I305" s="57" t="inlineStr">
        <is>
          <t>Emergency Food Security Project (EFSP) – WBK/AF-2</t>
        </is>
      </c>
      <c r="J305" s="57" t="inlineStr">
        <is>
          <t>Southeast / Gardez</t>
        </is>
      </c>
      <c r="K305" s="57" t="inlineStr">
        <is>
          <t>Logar</t>
        </is>
      </c>
      <c r="L305" s="57" t="inlineStr">
        <is>
          <t>M.Agha</t>
        </is>
      </c>
      <c r="M305" s="57" t="inlineStr">
        <is>
          <t>Ab Bazak (Panami)</t>
        </is>
      </c>
      <c r="N305" s="57" t="inlineStr">
        <is>
          <t>World Bank (WBK/AF-2)</t>
        </is>
      </c>
      <c r="O305" s="57" t="inlineStr">
        <is>
          <t>Awarded</t>
        </is>
      </c>
      <c r="P305" s="57" t="inlineStr">
        <is>
          <t>3.WSM awarded contracts</t>
        </is>
      </c>
      <c r="Q305" s="57" t="inlineStr">
        <is>
          <t>Sayed Shirazi Construction and Road Building Company (SCRC)</t>
        </is>
      </c>
      <c r="R305" s="57" t="inlineStr">
        <is>
          <t>030/2026</t>
        </is>
      </c>
      <c r="S305" s="58" t="n">
        <v>109583.21</v>
      </c>
      <c r="T305" s="36" t="inlineStr">
        <is>
          <t>IF(AQ305="","",AQ305)</t>
        </is>
      </c>
      <c r="U305" s="59" t="n"/>
      <c r="V305" s="60" t="n">
        <v>7</v>
      </c>
      <c r="W305" s="59" t="n">
        <v>46343</v>
      </c>
      <c r="X305" s="36" t="inlineStr">
        <is>
          <t>IF(W305&lt;&gt;"",W305,IF(OR(T305="",V305=""),"",EDATE(T305,V305)))</t>
        </is>
      </c>
      <c r="Y305" s="59" t="n"/>
      <c r="Z305" s="60" t="n">
        <v>64</v>
      </c>
      <c r="AA305" s="57" t="inlineStr">
        <is>
          <t>Under Construction</t>
        </is>
      </c>
      <c r="AB305" s="57" t="inlineStr">
        <is>
          <t>Completed on Sep, 2026</t>
        </is>
      </c>
      <c r="AC305" s="32" t="inlineStr">
        <is>
          <t>IF(F305="","",IF(COUNT(AI305:AV305)=0,IF(AA305="","Not started",AA305),SUBSTITUTE(LOOKUP(2,1/(AI305:AV305&lt;&gt;""),$AI$3:$AV$3),"Date: ","")))</t>
        </is>
      </c>
      <c r="AD305" s="39" t="inlineStr">
        <is>
          <t>IF(OR(F305="",COUNT(AI305:AV305)=0),"",TODAY()-LOOKUP(2,1/(AI305:AV305&lt;&gt;""),AI305:AV305))</t>
        </is>
      </c>
      <c r="AE305" s="39" t="inlineStr">
        <is>
          <t>IF(OR(F305="",COUNT(AI305:AV305)&lt;2),"",LOOKUP(2,1/(AI305:AV305&lt;&gt;""),AI305:AV305)-MIN(AI305:AV305))</t>
        </is>
      </c>
      <c r="AF305" s="39" t="inlineStr">
        <is>
          <t>IF(OR(AD305="",AC305="Not started",AC305=""),"",IFERROR(AD305-IF(VLOOKUP(AC305,'06_Status_Pipeline'!$B$3:$E$20,4,FALSE)="",0,VLOOKUP(AC305,'06_Status_Pipeline'!$B$3:$E$20,4,FALSE)),""))</t>
        </is>
      </c>
      <c r="AG305" s="32" t="inlineStr">
        <is>
          <t>IF(F305="","",IF(OR(AA305="Cancelled",AC305="Cancelled"),"Cancelled",IF(OR(AC305="Completed / Handover",Y305&lt;&gt;"",Z305&gt;=100),"Completed — on track",IF(O305="Not awarded",IF(U305="",IF(X305="","No planned date",IF(TODAY()&gt;X305,"Behind — past planned date",IF(X305-TODAY()&lt;=30,"At risk — close to off track","On track"))),IF(TODAY()&gt;U305,"Behind — award date passed",IF(U305-TODAY()&lt;=30,"At risk — close to off track","On track"))),IF(X305="","No planned date",IF(AND(TODAY()&gt;X305,OR(Z305="",Z305&lt;100)),"Behind — past end date",IF(AND(T305&lt;&gt;"",X305&lt;&gt;"",Z305&lt;&gt;"",(Z305&lt;100),((TODAY()-T305)/MAX(X305-T305,1)*100)-Z305&gt;15),"Behind — progress lag",IF(AND(X305-TODAY()&lt;=30,X305-TODAY()&gt;=0,OR(Z305="",Z305&lt;90)),"At risk — close to off track","On track"))))))))</t>
        </is>
      </c>
      <c r="AH305" s="39" t="inlineStr">
        <is>
          <t>IF(OR(F305="",AC305="Completed / Handover",AC305="Cancelled"),"",IF(O305="Not awarded",IF(U305&lt;&gt;"",U305-TODAY(),IF(X305="","",X305-TODAY())),IF(X305="","",X305-TODAY())))</t>
        </is>
      </c>
      <c r="AI305" s="66" t="n"/>
      <c r="AJ305" s="66" t="n"/>
      <c r="AK305" s="66" t="n"/>
      <c r="AL305" s="66" t="n"/>
      <c r="AM305" s="66" t="n"/>
      <c r="AN305" s="66" t="n"/>
      <c r="AO305" s="66" t="n"/>
      <c r="AP305" s="66" t="n"/>
      <c r="AQ305" s="66" t="n">
        <v>46130</v>
      </c>
      <c r="AR305" s="66" t="n">
        <v>46130</v>
      </c>
      <c r="AS305" s="66" t="n"/>
      <c r="AT305" s="40" t="n"/>
      <c r="AU305" s="40" t="n"/>
      <c r="AV305" s="40" t="n"/>
      <c r="AW305" s="39" t="inlineStr">
        <is>
          <t>IF(OR(F305="",AJ305=""),"",IF(COUNT(AI305:AI305)=0,"",AJ305-LOOKUP(2,1/(AI305:AI305&lt;&gt;""),AI305:AI305)))</t>
        </is>
      </c>
      <c r="AX305" s="39" t="inlineStr">
        <is>
          <t>IF(OR(F305="",AK305=""),"",IF(COUNT(AI305:AJ305)=0,"",AK305-LOOKUP(2,1/(AI305:AJ305&lt;&gt;""),AI305:AJ305)))</t>
        </is>
      </c>
      <c r="AY305" s="39" t="inlineStr">
        <is>
          <t>IF(OR(F305="",AL305=""),"",IF(COUNT(AI305:AK305)=0,"",AL305-LOOKUP(2,1/(AI305:AK305&lt;&gt;""),AI305:AK305)))</t>
        </is>
      </c>
      <c r="AZ305" s="39" t="inlineStr">
        <is>
          <t>IF(OR(F305="",AM305=""),"",IF(COUNT(AI305:AL305)=0,"",AM305-LOOKUP(2,1/(AI305:AL305&lt;&gt;""),AI305:AL305)))</t>
        </is>
      </c>
      <c r="BA305" s="39" t="inlineStr">
        <is>
          <t>IF(OR(F305="",AN305=""),"",IF(COUNT(AI305:AM305)=0,"",AN305-LOOKUP(2,1/(AI305:AM305&lt;&gt;""),AI305:AM305)))</t>
        </is>
      </c>
      <c r="BB305" s="39" t="inlineStr">
        <is>
          <t>IF(OR(F305="",AO305=""),"",IF(COUNT(AI305:AN305)=0,"",AO305-LOOKUP(2,1/(AI305:AN305&lt;&gt;""),AI305:AN305)))</t>
        </is>
      </c>
      <c r="BC305" s="39" t="inlineStr">
        <is>
          <t>IF(OR(F305="",AP305=""),"",IF(COUNT(AI305:AO305)=0,"",AP305-LOOKUP(2,1/(AI305:AO305&lt;&gt;""),AI305:AO305)))</t>
        </is>
      </c>
      <c r="BD305" s="39" t="inlineStr">
        <is>
          <t>IF(OR(F305="",AQ305=""),"",IF(COUNT(AI305:AP305)=0,"",AQ305-LOOKUP(2,1/(AI305:AP305&lt;&gt;""),AI305:AP305)))</t>
        </is>
      </c>
      <c r="BE305" s="39" t="inlineStr">
        <is>
          <t>IF(OR(F305="",AR305=""),"",IF(COUNT(AI305:AQ305)=0,"",AR305-LOOKUP(2,1/(AI305:AQ305&lt;&gt;""),AI305:AQ305)))</t>
        </is>
      </c>
      <c r="BF305" s="39" t="inlineStr">
        <is>
          <t>IF(OR(F305="",AS305=""),"",IF(COUNT(AI305:AR305)=0,"",AS305-LOOKUP(2,1/(AI305:AR305&lt;&gt;""),AI305:AR305)))</t>
        </is>
      </c>
      <c r="BG305" s="39" t="inlineStr">
        <is>
          <t>IF(OR(F305="",AT305=""),"",IF(COUNT(AI305:AS305)=0,"",AT305-LOOKUP(2,1/(AI305:AS305&lt;&gt;""),AI305:AS305)))</t>
        </is>
      </c>
      <c r="BH305" s="39" t="inlineStr">
        <is>
          <t>IF(OR(F305="",AU305=""),"",IF(COUNT(AI305:AT305)=0,"",AU305-LOOKUP(2,1/(AI305:AT305&lt;&gt;""),AI305:AT305)))</t>
        </is>
      </c>
      <c r="BI305" s="39" t="inlineStr">
        <is>
          <t>IF(OR(F305="",AV305=""),"",IF(COUNT(AI305:AU305)=0,"",AV305-LOOKUP(2,1/(AI305:AU305&lt;&gt;""),AI305:AU305)))</t>
        </is>
      </c>
      <c r="BJ305" s="41" t="inlineStr">
        <is>
          <t>IF(J305="","All_Provinces",IFERROR(VLOOKUP(J305,'09_Lookups'!$A$4:$B$20,2,FALSE),"All_Provinces"))</t>
        </is>
      </c>
      <c r="BK305" s="41" t="inlineStr">
        <is>
          <t>IF(K305="","All_Districts",IFERROR(VLOOKUP(K305,'09_Lookups'!$E$4:$F$42,2,FALSE),"All_Districts"))</t>
        </is>
      </c>
    </row>
    <row r="306" ht="18" customHeight="1">
      <c r="A306" s="32" t="inlineStr">
        <is>
          <t>IF(F306="","",ROW()-3)</t>
        </is>
      </c>
      <c r="B306" s="56" t="inlineStr">
        <is>
          <t>AF2-WSM-17</t>
        </is>
      </c>
      <c r="C306" s="56" t="inlineStr">
        <is>
          <t>Package #17-AF2 WSM: Construction of Ghoriza Check dams, located in Sayed Karam districts of Paktya province.</t>
        </is>
      </c>
      <c r="D306" s="56" t="inlineStr">
        <is>
          <t>1 of 1</t>
        </is>
      </c>
      <c r="E306" s="34" t="inlineStr">
        <is>
          <t>AF2-WSM-N-005</t>
        </is>
      </c>
      <c r="F306" s="34" t="inlineStr">
        <is>
          <t>Ghawreza Check dam</t>
        </is>
      </c>
      <c r="G306" s="34" t="inlineStr">
        <is>
          <t>Watershed Management</t>
        </is>
      </c>
      <c r="H306" s="34" t="inlineStr">
        <is>
          <t>Check Dam</t>
        </is>
      </c>
      <c r="I306" s="34" t="inlineStr">
        <is>
          <t>Emergency Food Security Project (EFSP) – WBK/AF-2</t>
        </is>
      </c>
      <c r="J306" s="34" t="inlineStr">
        <is>
          <t>Southeast / Gardez</t>
        </is>
      </c>
      <c r="K306" s="34" t="inlineStr">
        <is>
          <t>Paktya</t>
        </is>
      </c>
      <c r="L306" s="34" t="inlineStr">
        <is>
          <t>Sayed Karam</t>
        </is>
      </c>
      <c r="M306" s="34" t="inlineStr">
        <is>
          <t>Bara Ghoriza</t>
        </is>
      </c>
      <c r="N306" s="34" t="inlineStr">
        <is>
          <t>World Bank (WBK/AF-2)</t>
        </is>
      </c>
      <c r="O306" s="34" t="inlineStr">
        <is>
          <t>Not awarded</t>
        </is>
      </c>
      <c r="P306" s="34" t="inlineStr">
        <is>
          <t>4.WSM remaining contracts</t>
        </is>
      </c>
      <c r="Q306" s="34" t="inlineStr"/>
      <c r="R306" s="34" t="inlineStr"/>
      <c r="S306" s="35" t="n">
        <v>86330</v>
      </c>
      <c r="T306" s="36" t="inlineStr">
        <is>
          <t>IF(AQ306="","",AQ306)</t>
        </is>
      </c>
      <c r="U306" s="37" t="n">
        <v>46346</v>
      </c>
      <c r="V306" s="38" t="n">
        <v>7.2</v>
      </c>
      <c r="W306" s="37" t="n">
        <v>46566</v>
      </c>
      <c r="X306" s="36" t="inlineStr">
        <is>
          <t>IF(W306&lt;&gt;"",W306,IF(OR(T306="",V306=""),"",EDATE(T306,V306)))</t>
        </is>
      </c>
      <c r="Y306" s="37" t="n"/>
      <c r="Z306" s="38" t="n"/>
      <c r="AA306" s="34" t="inlineStr">
        <is>
          <t>PR to be Raised</t>
        </is>
      </c>
      <c r="AB306" s="34" t="inlineStr">
        <is>
          <t>Construction of the check dam will be completed in four months. 20-Dec to March end as the slack period.</t>
        </is>
      </c>
      <c r="AC306" s="32" t="inlineStr">
        <is>
          <t>IF(F306="","",IF(COUNT(AI306:AV306)=0,IF(AA306="","Not started",AA306),SUBSTITUTE(LOOKUP(2,1/(AI306:AV306&lt;&gt;""),$AI$3:$AV$3),"Date: ","")))</t>
        </is>
      </c>
      <c r="AD306" s="39" t="inlineStr">
        <is>
          <t>IF(OR(F306="",COUNT(AI306:AV306)=0),"",TODAY()-LOOKUP(2,1/(AI306:AV306&lt;&gt;""),AI306:AV306))</t>
        </is>
      </c>
      <c r="AE306" s="39" t="inlineStr">
        <is>
          <t>IF(OR(F306="",COUNT(AI306:AV306)&lt;2),"",LOOKUP(2,1/(AI306:AV306&lt;&gt;""),AI306:AV306)-MIN(AI306:AV306))</t>
        </is>
      </c>
      <c r="AF306" s="39" t="inlineStr">
        <is>
          <t>IF(OR(AD306="",AC306="Not started",AC306=""),"",IFERROR(AD306-IF(VLOOKUP(AC306,'06_Status_Pipeline'!$B$3:$E$20,4,FALSE)="",0,VLOOKUP(AC306,'06_Status_Pipeline'!$B$3:$E$20,4,FALSE)),""))</t>
        </is>
      </c>
      <c r="AG306" s="32" t="inlineStr">
        <is>
          <t>IF(F306="","",IF(OR(AA306="Cancelled",AC306="Cancelled"),"Cancelled",IF(OR(AC306="Completed / Handover",Y306&lt;&gt;"",Z306&gt;=100),"Completed — on track",IF(O306="Not awarded",IF(U306="",IF(X306="","No planned date",IF(TODAY()&gt;X306,"Behind — past planned date",IF(X306-TODAY()&lt;=30,"At risk — close to off track","On track"))),IF(TODAY()&gt;U306,"Behind — award date passed",IF(U306-TODAY()&lt;=30,"At risk — close to off track","On track"))),IF(X306="","No planned date",IF(AND(TODAY()&gt;X306,OR(Z306="",Z306&lt;100)),"Behind — past end date",IF(AND(T306&lt;&gt;"",X306&lt;&gt;"",Z306&lt;&gt;"",(Z306&lt;100),((TODAY()-T306)/MAX(X306-T306,1)*100)-Z306&gt;15),"Behind — progress lag",IF(AND(X306-TODAY()&lt;=30,X306-TODAY()&gt;=0,OR(Z306="",Z306&lt;90)),"At risk — close to off track","On track"))))))))</t>
        </is>
      </c>
      <c r="AH306" s="39" t="inlineStr">
        <is>
          <t>IF(OR(F306="",AC306="Completed / Handover",AC306="Cancelled"),"",IF(O306="Not awarded",IF(U306&lt;&gt;"",U306-TODAY(),IF(X306="","",X306-TODAY())),IF(X306="","",X306-TODAY())))</t>
        </is>
      </c>
      <c r="AI306" s="37" t="n"/>
      <c r="AJ306" s="37" t="n"/>
      <c r="AK306" s="37" t="n"/>
      <c r="AL306" s="37" t="n"/>
      <c r="AM306" s="37" t="n"/>
      <c r="AN306" s="37" t="n"/>
      <c r="AO306" s="37" t="n"/>
      <c r="AP306" s="37" t="n"/>
      <c r="AQ306" s="37" t="n"/>
      <c r="AR306" s="37" t="n"/>
      <c r="AS306" s="37" t="n"/>
      <c r="AT306" s="40" t="n"/>
      <c r="AU306" s="40" t="n"/>
      <c r="AV306" s="40" t="n"/>
      <c r="AW306" s="39" t="inlineStr">
        <is>
          <t>IF(OR(F306="",AJ306=""),"",IF(COUNT(AI306:AI306)=0,"",AJ306-LOOKUP(2,1/(AI306:AI306&lt;&gt;""),AI306:AI306)))</t>
        </is>
      </c>
      <c r="AX306" s="39" t="inlineStr">
        <is>
          <t>IF(OR(F306="",AK306=""),"",IF(COUNT(AI306:AJ306)=0,"",AK306-LOOKUP(2,1/(AI306:AJ306&lt;&gt;""),AI306:AJ306)))</t>
        </is>
      </c>
      <c r="AY306" s="39" t="inlineStr">
        <is>
          <t>IF(OR(F306="",AL306=""),"",IF(COUNT(AI306:AK306)=0,"",AL306-LOOKUP(2,1/(AI306:AK306&lt;&gt;""),AI306:AK306)))</t>
        </is>
      </c>
      <c r="AZ306" s="39" t="inlineStr">
        <is>
          <t>IF(OR(F306="",AM306=""),"",IF(COUNT(AI306:AL306)=0,"",AM306-LOOKUP(2,1/(AI306:AL306&lt;&gt;""),AI306:AL306)))</t>
        </is>
      </c>
      <c r="BA306" s="39" t="inlineStr">
        <is>
          <t>IF(OR(F306="",AN306=""),"",IF(COUNT(AI306:AM306)=0,"",AN306-LOOKUP(2,1/(AI306:AM306&lt;&gt;""),AI306:AM306)))</t>
        </is>
      </c>
      <c r="BB306" s="39" t="inlineStr">
        <is>
          <t>IF(OR(F306="",AO306=""),"",IF(COUNT(AI306:AN306)=0,"",AO306-LOOKUP(2,1/(AI306:AN306&lt;&gt;""),AI306:AN306)))</t>
        </is>
      </c>
      <c r="BC306" s="39" t="inlineStr">
        <is>
          <t>IF(OR(F306="",AP306=""),"",IF(COUNT(AI306:AO306)=0,"",AP306-LOOKUP(2,1/(AI306:AO306&lt;&gt;""),AI306:AO306)))</t>
        </is>
      </c>
      <c r="BD306" s="39" t="inlineStr">
        <is>
          <t>IF(OR(F306="",AQ306=""),"",IF(COUNT(AI306:AP306)=0,"",AQ306-LOOKUP(2,1/(AI306:AP306&lt;&gt;""),AI306:AP306)))</t>
        </is>
      </c>
      <c r="BE306" s="39" t="inlineStr">
        <is>
          <t>IF(OR(F306="",AR306=""),"",IF(COUNT(AI306:AQ306)=0,"",AR306-LOOKUP(2,1/(AI306:AQ306&lt;&gt;""),AI306:AQ306)))</t>
        </is>
      </c>
      <c r="BF306" s="39" t="inlineStr">
        <is>
          <t>IF(OR(F306="",AS306=""),"",IF(COUNT(AI306:AR306)=0,"",AS306-LOOKUP(2,1/(AI306:AR306&lt;&gt;""),AI306:AR306)))</t>
        </is>
      </c>
      <c r="BG306" s="39" t="inlineStr">
        <is>
          <t>IF(OR(F306="",AT306=""),"",IF(COUNT(AI306:AS306)=0,"",AT306-LOOKUP(2,1/(AI306:AS306&lt;&gt;""),AI306:AS306)))</t>
        </is>
      </c>
      <c r="BH306" s="39" t="inlineStr">
        <is>
          <t>IF(OR(F306="",AU306=""),"",IF(COUNT(AI306:AT306)=0,"",AU306-LOOKUP(2,1/(AI306:AT306&lt;&gt;""),AI306:AT306)))</t>
        </is>
      </c>
      <c r="BI306" s="39" t="inlineStr">
        <is>
          <t>IF(OR(F306="",AV306=""),"",IF(COUNT(AI306:AU306)=0,"",AV306-LOOKUP(2,1/(AI306:AU306&lt;&gt;""),AI306:AU306)))</t>
        </is>
      </c>
      <c r="BJ306" s="41" t="inlineStr">
        <is>
          <t>IF(J306="","All_Provinces",IFERROR(VLOOKUP(J306,'09_Lookups'!$A$4:$B$20,2,FALSE),"All_Provinces"))</t>
        </is>
      </c>
      <c r="BK306" s="41" t="inlineStr">
        <is>
          <t>IF(K306="","All_Districts",IFERROR(VLOOKUP(K306,'09_Lookups'!$E$4:$F$42,2,FALSE),"All_Districts"))</t>
        </is>
      </c>
    </row>
    <row r="307" ht="18" customHeight="1">
      <c r="A307" s="32" t="inlineStr">
        <is>
          <t>IF(F307="","",ROW()-3)</t>
        </is>
      </c>
      <c r="B307" s="62" t="inlineStr">
        <is>
          <t>AF2-WSM-18</t>
        </is>
      </c>
      <c r="C307" s="62" t="inlineStr">
        <is>
          <t>Package #18-AF2 WSM: Construction of Muqarab Check dams, located in Gelan districts of Ghazni province.</t>
        </is>
      </c>
      <c r="D307" s="62" t="inlineStr">
        <is>
          <t>1 of 1</t>
        </is>
      </c>
      <c r="E307" s="57" t="inlineStr">
        <is>
          <t>AF2-WSM-A-041</t>
        </is>
      </c>
      <c r="F307" s="57" t="inlineStr">
        <is>
          <t>Muqarab Check dam</t>
        </is>
      </c>
      <c r="G307" s="57" t="inlineStr">
        <is>
          <t>Watershed Management</t>
        </is>
      </c>
      <c r="H307" s="57" t="inlineStr">
        <is>
          <t>Check Dam</t>
        </is>
      </c>
      <c r="I307" s="57" t="inlineStr">
        <is>
          <t>Emergency Food Security Project (EFSP) – WBK/AF-2</t>
        </is>
      </c>
      <c r="J307" s="57" t="inlineStr">
        <is>
          <t>Southeast / Gardez</t>
        </is>
      </c>
      <c r="K307" s="57" t="inlineStr">
        <is>
          <t>Ghazni</t>
        </is>
      </c>
      <c r="L307" s="57" t="inlineStr">
        <is>
          <t>Gelan</t>
        </is>
      </c>
      <c r="M307" s="57" t="inlineStr">
        <is>
          <t>Muqarab</t>
        </is>
      </c>
      <c r="N307" s="57" t="inlineStr">
        <is>
          <t>World Bank (WBK/AF-2)</t>
        </is>
      </c>
      <c r="O307" s="57" t="inlineStr">
        <is>
          <t>Awarded</t>
        </is>
      </c>
      <c r="P307" s="57" t="inlineStr">
        <is>
          <t>3.WSM awarded contracts</t>
        </is>
      </c>
      <c r="Q307" s="57" t="inlineStr">
        <is>
          <t>Hemat safi construction company (HSCC)</t>
        </is>
      </c>
      <c r="R307" s="57" t="inlineStr">
        <is>
          <t>047/2026</t>
        </is>
      </c>
      <c r="S307" s="58" t="n">
        <v>79567.97</v>
      </c>
      <c r="T307" s="36" t="inlineStr">
        <is>
          <t>IF(AQ307="","",AQ307)</t>
        </is>
      </c>
      <c r="U307" s="59" t="n"/>
      <c r="V307" s="60" t="n">
        <v>6</v>
      </c>
      <c r="W307" s="59" t="n">
        <v>46409</v>
      </c>
      <c r="X307" s="36" t="inlineStr">
        <is>
          <t>IF(W307&lt;&gt;"",W307,IF(OR(T307="",V307=""),"",EDATE(T307,V307)))</t>
        </is>
      </c>
      <c r="Y307" s="59" t="n"/>
      <c r="Z307" s="60" t="n">
        <v>36</v>
      </c>
      <c r="AA307" s="57" t="inlineStr">
        <is>
          <t>Under Construction</t>
        </is>
      </c>
      <c r="AB307" s="57" t="inlineStr">
        <is>
          <t>Completed on Sep, 2026</t>
        </is>
      </c>
      <c r="AC307" s="32" t="inlineStr">
        <is>
          <t>IF(F307="","",IF(COUNT(AI307:AV307)=0,IF(AA307="","Not started",AA307),SUBSTITUTE(LOOKUP(2,1/(AI307:AV307&lt;&gt;""),$AI$3:$AV$3),"Date: ","")))</t>
        </is>
      </c>
      <c r="AD307" s="39" t="inlineStr">
        <is>
          <t>IF(OR(F307="",COUNT(AI307:AV307)=0),"",TODAY()-LOOKUP(2,1/(AI307:AV307&lt;&gt;""),AI307:AV307))</t>
        </is>
      </c>
      <c r="AE307" s="39" t="inlineStr">
        <is>
          <t>IF(OR(F307="",COUNT(AI307:AV307)&lt;2),"",LOOKUP(2,1/(AI307:AV307&lt;&gt;""),AI307:AV307)-MIN(AI307:AV307))</t>
        </is>
      </c>
      <c r="AF307" s="39" t="inlineStr">
        <is>
          <t>IF(OR(AD307="",AC307="Not started",AC307=""),"",IFERROR(AD307-IF(VLOOKUP(AC307,'06_Status_Pipeline'!$B$3:$E$20,4,FALSE)="",0,VLOOKUP(AC307,'06_Status_Pipeline'!$B$3:$E$20,4,FALSE)),""))</t>
        </is>
      </c>
      <c r="AG307" s="32" t="inlineStr">
        <is>
          <t>IF(F307="","",IF(OR(AA307="Cancelled",AC307="Cancelled"),"Cancelled",IF(OR(AC307="Completed / Handover",Y307&lt;&gt;"",Z307&gt;=100),"Completed — on track",IF(O307="Not awarded",IF(U307="",IF(X307="","No planned date",IF(TODAY()&gt;X307,"Behind — past planned date",IF(X307-TODAY()&lt;=30,"At risk — close to off track","On track"))),IF(TODAY()&gt;U307,"Behind — award date passed",IF(U307-TODAY()&lt;=30,"At risk — close to off track","On track"))),IF(X307="","No planned date",IF(AND(TODAY()&gt;X307,OR(Z307="",Z307&lt;100)),"Behind — past end date",IF(AND(T307&lt;&gt;"",X307&lt;&gt;"",Z307&lt;&gt;"",(Z307&lt;100),((TODAY()-T307)/MAX(X307-T307,1)*100)-Z307&gt;15),"Behind — progress lag",IF(AND(X307-TODAY()&lt;=30,X307-TODAY()&gt;=0,OR(Z307="",Z307&lt;90)),"At risk — close to off track","On track"))))))))</t>
        </is>
      </c>
      <c r="AH307" s="39" t="inlineStr">
        <is>
          <t>IF(OR(F307="",AC307="Completed / Handover",AC307="Cancelled"),"",IF(O307="Not awarded",IF(U307&lt;&gt;"",U307-TODAY(),IF(X307="","",X307-TODAY())),IF(X307="","",X307-TODAY())))</t>
        </is>
      </c>
      <c r="AI307" s="66" t="n"/>
      <c r="AJ307" s="66" t="n"/>
      <c r="AK307" s="66" t="n"/>
      <c r="AL307" s="66" t="n"/>
      <c r="AM307" s="66" t="n"/>
      <c r="AN307" s="66" t="n"/>
      <c r="AO307" s="66" t="n"/>
      <c r="AP307" s="66" t="n"/>
      <c r="AQ307" s="66" t="n">
        <v>46226</v>
      </c>
      <c r="AR307" s="66" t="n">
        <v>46226</v>
      </c>
      <c r="AS307" s="66" t="n"/>
      <c r="AT307" s="40" t="n"/>
      <c r="AU307" s="40" t="n"/>
      <c r="AV307" s="40" t="n"/>
      <c r="AW307" s="39" t="inlineStr">
        <is>
          <t>IF(OR(F307="",AJ307=""),"",IF(COUNT(AI307:AI307)=0,"",AJ307-LOOKUP(2,1/(AI307:AI307&lt;&gt;""),AI307:AI307)))</t>
        </is>
      </c>
      <c r="AX307" s="39" t="inlineStr">
        <is>
          <t>IF(OR(F307="",AK307=""),"",IF(COUNT(AI307:AJ307)=0,"",AK307-LOOKUP(2,1/(AI307:AJ307&lt;&gt;""),AI307:AJ307)))</t>
        </is>
      </c>
      <c r="AY307" s="39" t="inlineStr">
        <is>
          <t>IF(OR(F307="",AL307=""),"",IF(COUNT(AI307:AK307)=0,"",AL307-LOOKUP(2,1/(AI307:AK307&lt;&gt;""),AI307:AK307)))</t>
        </is>
      </c>
      <c r="AZ307" s="39" t="inlineStr">
        <is>
          <t>IF(OR(F307="",AM307=""),"",IF(COUNT(AI307:AL307)=0,"",AM307-LOOKUP(2,1/(AI307:AL307&lt;&gt;""),AI307:AL307)))</t>
        </is>
      </c>
      <c r="BA307" s="39" t="inlineStr">
        <is>
          <t>IF(OR(F307="",AN307=""),"",IF(COUNT(AI307:AM307)=0,"",AN307-LOOKUP(2,1/(AI307:AM307&lt;&gt;""),AI307:AM307)))</t>
        </is>
      </c>
      <c r="BB307" s="39" t="inlineStr">
        <is>
          <t>IF(OR(F307="",AO307=""),"",IF(COUNT(AI307:AN307)=0,"",AO307-LOOKUP(2,1/(AI307:AN307&lt;&gt;""),AI307:AN307)))</t>
        </is>
      </c>
      <c r="BC307" s="39" t="inlineStr">
        <is>
          <t>IF(OR(F307="",AP307=""),"",IF(COUNT(AI307:AO307)=0,"",AP307-LOOKUP(2,1/(AI307:AO307&lt;&gt;""),AI307:AO307)))</t>
        </is>
      </c>
      <c r="BD307" s="39" t="inlineStr">
        <is>
          <t>IF(OR(F307="",AQ307=""),"",IF(COUNT(AI307:AP307)=0,"",AQ307-LOOKUP(2,1/(AI307:AP307&lt;&gt;""),AI307:AP307)))</t>
        </is>
      </c>
      <c r="BE307" s="39" t="inlineStr">
        <is>
          <t>IF(OR(F307="",AR307=""),"",IF(COUNT(AI307:AQ307)=0,"",AR307-LOOKUP(2,1/(AI307:AQ307&lt;&gt;""),AI307:AQ307)))</t>
        </is>
      </c>
      <c r="BF307" s="39" t="inlineStr">
        <is>
          <t>IF(OR(F307="",AS307=""),"",IF(COUNT(AI307:AR307)=0,"",AS307-LOOKUP(2,1/(AI307:AR307&lt;&gt;""),AI307:AR307)))</t>
        </is>
      </c>
      <c r="BG307" s="39" t="inlineStr">
        <is>
          <t>IF(OR(F307="",AT307=""),"",IF(COUNT(AI307:AS307)=0,"",AT307-LOOKUP(2,1/(AI307:AS307&lt;&gt;""),AI307:AS307)))</t>
        </is>
      </c>
      <c r="BH307" s="39" t="inlineStr">
        <is>
          <t>IF(OR(F307="",AU307=""),"",IF(COUNT(AI307:AT307)=0,"",AU307-LOOKUP(2,1/(AI307:AT307&lt;&gt;""),AI307:AT307)))</t>
        </is>
      </c>
      <c r="BI307" s="39" t="inlineStr">
        <is>
          <t>IF(OR(F307="",AV307=""),"",IF(COUNT(AI307:AU307)=0,"",AV307-LOOKUP(2,1/(AI307:AU307&lt;&gt;""),AI307:AU307)))</t>
        </is>
      </c>
      <c r="BJ307" s="41" t="inlineStr">
        <is>
          <t>IF(J307="","All_Provinces",IFERROR(VLOOKUP(J307,'09_Lookups'!$A$4:$B$20,2,FALSE),"All_Provinces"))</t>
        </is>
      </c>
      <c r="BK307" s="41" t="inlineStr">
        <is>
          <t>IF(K307="","All_Districts",IFERROR(VLOOKUP(K307,'09_Lookups'!$E$4:$F$42,2,FALSE),"All_Districts"))</t>
        </is>
      </c>
    </row>
    <row r="308" ht="18" customHeight="1">
      <c r="A308" s="32" t="inlineStr">
        <is>
          <t>IF(F308="","",ROW()-3)</t>
        </is>
      </c>
      <c r="B308" s="64" t="inlineStr">
        <is>
          <t>AF2-WSM-19</t>
        </is>
      </c>
      <c r="C308" s="64" t="inlineStr">
        <is>
          <t>Package #19-AF2 WSM: Construction of two Check dams 1. Wazgarai and 2. Chenargai in Zazai Maidan districts of Khost province.</t>
        </is>
      </c>
      <c r="D308" s="64" t="inlineStr">
        <is>
          <t>1 of 1</t>
        </is>
      </c>
      <c r="E308" s="34" t="inlineStr">
        <is>
          <t>AF2-WSM-N-006</t>
        </is>
      </c>
      <c r="F308" s="34" t="inlineStr">
        <is>
          <t>Wozgarai and Chenargai Check dams</t>
        </is>
      </c>
      <c r="G308" s="34" t="inlineStr">
        <is>
          <t>Watershed Management</t>
        </is>
      </c>
      <c r="H308" s="34" t="inlineStr">
        <is>
          <t>Check Dam</t>
        </is>
      </c>
      <c r="I308" s="34" t="inlineStr">
        <is>
          <t>Emergency Food Security Project (EFSP) – WBK/AF-2</t>
        </is>
      </c>
      <c r="J308" s="34" t="inlineStr">
        <is>
          <t>Southeast / Gardez</t>
        </is>
      </c>
      <c r="K308" s="34" t="inlineStr">
        <is>
          <t>Khost</t>
        </is>
      </c>
      <c r="L308" s="34" t="inlineStr">
        <is>
          <t>Zazai Maidan</t>
        </is>
      </c>
      <c r="M308" s="34" t="inlineStr">
        <is>
          <t>3.Wozgarai, Majbor Abad and Chenargai</t>
        </is>
      </c>
      <c r="N308" s="34" t="inlineStr">
        <is>
          <t>World Bank (WBK/AF-2)</t>
        </is>
      </c>
      <c r="O308" s="34" t="inlineStr">
        <is>
          <t>Not awarded</t>
        </is>
      </c>
      <c r="P308" s="34" t="inlineStr">
        <is>
          <t>4.WSM remaining contracts</t>
        </is>
      </c>
      <c r="Q308" s="34" t="inlineStr"/>
      <c r="R308" s="34" t="inlineStr"/>
      <c r="S308" s="35" t="n">
        <v>85715.75999999999</v>
      </c>
      <c r="T308" s="36" t="inlineStr">
        <is>
          <t>IF(AQ308="","",AQ308)</t>
        </is>
      </c>
      <c r="U308" s="37" t="n">
        <v>46356</v>
      </c>
      <c r="V308" s="38" t="n">
        <v>6.9</v>
      </c>
      <c r="W308" s="37" t="n">
        <v>46566</v>
      </c>
      <c r="X308" s="36" t="inlineStr">
        <is>
          <t>IF(W308&lt;&gt;"",W308,IF(OR(T308="",V308=""),"",EDATE(T308,V308)))</t>
        </is>
      </c>
      <c r="Y308" s="37" t="n"/>
      <c r="Z308" s="38" t="n"/>
      <c r="AA308" s="34" t="inlineStr">
        <is>
          <t>ITB Launched</t>
        </is>
      </c>
      <c r="AB308" s="34" t="inlineStr">
        <is>
          <t>Construction of the check dam will be completed in four months. Jan to March end as the slack period.</t>
        </is>
      </c>
      <c r="AC308" s="32" t="inlineStr">
        <is>
          <t>IF(F308="","",IF(COUNT(AI308:AV308)=0,IF(AA308="","Not started",AA308),SUBSTITUTE(LOOKUP(2,1/(AI308:AV308&lt;&gt;""),$AI$3:$AV$3),"Date: ","")))</t>
        </is>
      </c>
      <c r="AD308" s="39" t="inlineStr">
        <is>
          <t>IF(OR(F308="",COUNT(AI308:AV308)=0),"",TODAY()-LOOKUP(2,1/(AI308:AV308&lt;&gt;""),AI308:AV308))</t>
        </is>
      </c>
      <c r="AE308" s="39" t="inlineStr">
        <is>
          <t>IF(OR(F308="",COUNT(AI308:AV308)&lt;2),"",LOOKUP(2,1/(AI308:AV308&lt;&gt;""),AI308:AV308)-MIN(AI308:AV308))</t>
        </is>
      </c>
      <c r="AF308" s="39" t="inlineStr">
        <is>
          <t>IF(OR(AD308="",AC308="Not started",AC308=""),"",IFERROR(AD308-IF(VLOOKUP(AC308,'06_Status_Pipeline'!$B$3:$E$20,4,FALSE)="",0,VLOOKUP(AC308,'06_Status_Pipeline'!$B$3:$E$20,4,FALSE)),""))</t>
        </is>
      </c>
      <c r="AG308" s="32" t="inlineStr">
        <is>
          <t>IF(F308="","",IF(OR(AA308="Cancelled",AC308="Cancelled"),"Cancelled",IF(OR(AC308="Completed / Handover",Y308&lt;&gt;"",Z308&gt;=100),"Completed — on track",IF(O308="Not awarded",IF(U308="",IF(X308="","No planned date",IF(TODAY()&gt;X308,"Behind — past planned date",IF(X308-TODAY()&lt;=30,"At risk — close to off track","On track"))),IF(TODAY()&gt;U308,"Behind — award date passed",IF(U308-TODAY()&lt;=30,"At risk — close to off track","On track"))),IF(X308="","No planned date",IF(AND(TODAY()&gt;X308,OR(Z308="",Z308&lt;100)),"Behind — past end date",IF(AND(T308&lt;&gt;"",X308&lt;&gt;"",Z308&lt;&gt;"",(Z308&lt;100),((TODAY()-T308)/MAX(X308-T308,1)*100)-Z308&gt;15),"Behind — progress lag",IF(AND(X308-TODAY()&lt;=30,X308-TODAY()&gt;=0,OR(Z308="",Z308&lt;90)),"At risk — close to off track","On track"))))))))</t>
        </is>
      </c>
      <c r="AH308" s="39" t="inlineStr">
        <is>
          <t>IF(OR(F308="",AC308="Completed / Handover",AC308="Cancelled"),"",IF(O308="Not awarded",IF(U308&lt;&gt;"",U308-TODAY(),IF(X308="","",X308-TODAY())),IF(X308="","",X308-TODAY())))</t>
        </is>
      </c>
      <c r="AI308" s="37" t="n"/>
      <c r="AJ308" s="37" t="n"/>
      <c r="AK308" s="37" t="n"/>
      <c r="AL308" s="37" t="n"/>
      <c r="AM308" s="37" t="n"/>
      <c r="AN308" s="37" t="n"/>
      <c r="AO308" s="37" t="n"/>
      <c r="AP308" s="37" t="n"/>
      <c r="AQ308" s="37" t="n"/>
      <c r="AR308" s="37" t="n"/>
      <c r="AS308" s="37" t="n"/>
      <c r="AT308" s="40" t="n"/>
      <c r="AU308" s="40" t="n"/>
      <c r="AV308" s="40" t="n"/>
      <c r="AW308" s="39" t="inlineStr">
        <is>
          <t>IF(OR(F308="",AJ308=""),"",IF(COUNT(AI308:AI308)=0,"",AJ308-LOOKUP(2,1/(AI308:AI308&lt;&gt;""),AI308:AI308)))</t>
        </is>
      </c>
      <c r="AX308" s="39" t="inlineStr">
        <is>
          <t>IF(OR(F308="",AK308=""),"",IF(COUNT(AI308:AJ308)=0,"",AK308-LOOKUP(2,1/(AI308:AJ308&lt;&gt;""),AI308:AJ308)))</t>
        </is>
      </c>
      <c r="AY308" s="39" t="inlineStr">
        <is>
          <t>IF(OR(F308="",AL308=""),"",IF(COUNT(AI308:AK308)=0,"",AL308-LOOKUP(2,1/(AI308:AK308&lt;&gt;""),AI308:AK308)))</t>
        </is>
      </c>
      <c r="AZ308" s="39" t="inlineStr">
        <is>
          <t>IF(OR(F308="",AM308=""),"",IF(COUNT(AI308:AL308)=0,"",AM308-LOOKUP(2,1/(AI308:AL308&lt;&gt;""),AI308:AL308)))</t>
        </is>
      </c>
      <c r="BA308" s="39" t="inlineStr">
        <is>
          <t>IF(OR(F308="",AN308=""),"",IF(COUNT(AI308:AM308)=0,"",AN308-LOOKUP(2,1/(AI308:AM308&lt;&gt;""),AI308:AM308)))</t>
        </is>
      </c>
      <c r="BB308" s="39" t="inlineStr">
        <is>
          <t>IF(OR(F308="",AO308=""),"",IF(COUNT(AI308:AN308)=0,"",AO308-LOOKUP(2,1/(AI308:AN308&lt;&gt;""),AI308:AN308)))</t>
        </is>
      </c>
      <c r="BC308" s="39" t="inlineStr">
        <is>
          <t>IF(OR(F308="",AP308=""),"",IF(COUNT(AI308:AO308)=0,"",AP308-LOOKUP(2,1/(AI308:AO308&lt;&gt;""),AI308:AO308)))</t>
        </is>
      </c>
      <c r="BD308" s="39" t="inlineStr">
        <is>
          <t>IF(OR(F308="",AQ308=""),"",IF(COUNT(AI308:AP308)=0,"",AQ308-LOOKUP(2,1/(AI308:AP308&lt;&gt;""),AI308:AP308)))</t>
        </is>
      </c>
      <c r="BE308" s="39" t="inlineStr">
        <is>
          <t>IF(OR(F308="",AR308=""),"",IF(COUNT(AI308:AQ308)=0,"",AR308-LOOKUP(2,1/(AI308:AQ308&lt;&gt;""),AI308:AQ308)))</t>
        </is>
      </c>
      <c r="BF308" s="39" t="inlineStr">
        <is>
          <t>IF(OR(F308="",AS308=""),"",IF(COUNT(AI308:AR308)=0,"",AS308-LOOKUP(2,1/(AI308:AR308&lt;&gt;""),AI308:AR308)))</t>
        </is>
      </c>
      <c r="BG308" s="39" t="inlineStr">
        <is>
          <t>IF(OR(F308="",AT308=""),"",IF(COUNT(AI308:AS308)=0,"",AT308-LOOKUP(2,1/(AI308:AS308&lt;&gt;""),AI308:AS308)))</t>
        </is>
      </c>
      <c r="BH308" s="39" t="inlineStr">
        <is>
          <t>IF(OR(F308="",AU308=""),"",IF(COUNT(AI308:AT308)=0,"",AU308-LOOKUP(2,1/(AI308:AT308&lt;&gt;""),AI308:AT308)))</t>
        </is>
      </c>
      <c r="BI308" s="39" t="inlineStr">
        <is>
          <t>IF(OR(F308="",AV308=""),"",IF(COUNT(AI308:AU308)=0,"",AV308-LOOKUP(2,1/(AI308:AU308&lt;&gt;""),AI308:AU308)))</t>
        </is>
      </c>
      <c r="BJ308" s="41" t="inlineStr">
        <is>
          <t>IF(J308="","All_Provinces",IFERROR(VLOOKUP(J308,'09_Lookups'!$A$4:$B$20,2,FALSE),"All_Provinces"))</t>
        </is>
      </c>
      <c r="BK308" s="41" t="inlineStr">
        <is>
          <t>IF(K308="","All_Districts",IFERROR(VLOOKUP(K308,'09_Lookups'!$E$4:$F$42,2,FALSE),"All_Districts"))</t>
        </is>
      </c>
    </row>
    <row r="309" ht="18" customHeight="1">
      <c r="A309" s="32" t="inlineStr">
        <is>
          <t>IF(F309="","",ROW()-3)</t>
        </is>
      </c>
      <c r="B309" s="33" t="inlineStr">
        <is>
          <t>AF2-WSM-20</t>
        </is>
      </c>
      <c r="C309" s="33" t="inlineStr">
        <is>
          <t>Package #20-AF2 WSM: Construction of Sapari Check dams, located in Sarubi districts of Paktika province.</t>
        </is>
      </c>
      <c r="D309" s="33" t="inlineStr">
        <is>
          <t>1 of 1</t>
        </is>
      </c>
      <c r="E309" s="57" t="inlineStr">
        <is>
          <t>AF2-WSM-N-007</t>
        </is>
      </c>
      <c r="F309" s="57" t="inlineStr">
        <is>
          <t>Sapari Check dam</t>
        </is>
      </c>
      <c r="G309" s="57" t="inlineStr">
        <is>
          <t>Watershed Management</t>
        </is>
      </c>
      <c r="H309" s="57" t="inlineStr">
        <is>
          <t>Check Dam</t>
        </is>
      </c>
      <c r="I309" s="57" t="inlineStr">
        <is>
          <t>Emergency Food Security Project (EFSP) – WBK/AF-2</t>
        </is>
      </c>
      <c r="J309" s="57" t="inlineStr">
        <is>
          <t>Southeast / Gardez</t>
        </is>
      </c>
      <c r="K309" s="57" t="inlineStr">
        <is>
          <t>Paktika</t>
        </is>
      </c>
      <c r="L309" s="57" t="inlineStr">
        <is>
          <t>Sarubi</t>
        </is>
      </c>
      <c r="M309" s="57" t="inlineStr">
        <is>
          <t>Abas Khil</t>
        </is>
      </c>
      <c r="N309" s="57" t="inlineStr">
        <is>
          <t>World Bank (WBK/AF-2)</t>
        </is>
      </c>
      <c r="O309" s="57" t="inlineStr">
        <is>
          <t>Not awarded</t>
        </is>
      </c>
      <c r="P309" s="57" t="inlineStr">
        <is>
          <t>4.WSM remaining contracts</t>
        </is>
      </c>
      <c r="Q309" s="57" t="inlineStr"/>
      <c r="R309" s="57" t="inlineStr"/>
      <c r="S309" s="58" t="n">
        <v>84683</v>
      </c>
      <c r="T309" s="36" t="inlineStr">
        <is>
          <t>IF(AQ309="","",AQ309)</t>
        </is>
      </c>
      <c r="U309" s="59" t="n">
        <v>46351</v>
      </c>
      <c r="V309" s="60" t="n">
        <v>7.2</v>
      </c>
      <c r="W309" s="59" t="n">
        <v>46571</v>
      </c>
      <c r="X309" s="36" t="inlineStr">
        <is>
          <t>IF(W309&lt;&gt;"",W309,IF(OR(T309="",V309=""),"",EDATE(T309,V309)))</t>
        </is>
      </c>
      <c r="Y309" s="59" t="n"/>
      <c r="Z309" s="60" t="n"/>
      <c r="AA309" s="57" t="inlineStr">
        <is>
          <t>PR to be Raised</t>
        </is>
      </c>
      <c r="AB309" s="57" t="inlineStr">
        <is>
          <t>Construction of the check dam will be completed in four months. Jan to March end as the slack period.</t>
        </is>
      </c>
      <c r="AC309" s="32" t="inlineStr">
        <is>
          <t>IF(F309="","",IF(COUNT(AI309:AV309)=0,IF(AA309="","Not started",AA309),SUBSTITUTE(LOOKUP(2,1/(AI309:AV309&lt;&gt;""),$AI$3:$AV$3),"Date: ","")))</t>
        </is>
      </c>
      <c r="AD309" s="39" t="inlineStr">
        <is>
          <t>IF(OR(F309="",COUNT(AI309:AV309)=0),"",TODAY()-LOOKUP(2,1/(AI309:AV309&lt;&gt;""),AI309:AV309))</t>
        </is>
      </c>
      <c r="AE309" s="39" t="inlineStr">
        <is>
          <t>IF(OR(F309="",COUNT(AI309:AV309)&lt;2),"",LOOKUP(2,1/(AI309:AV309&lt;&gt;""),AI309:AV309)-MIN(AI309:AV309))</t>
        </is>
      </c>
      <c r="AF309" s="39" t="inlineStr">
        <is>
          <t>IF(OR(AD309="",AC309="Not started",AC309=""),"",IFERROR(AD309-IF(VLOOKUP(AC309,'06_Status_Pipeline'!$B$3:$E$20,4,FALSE)="",0,VLOOKUP(AC309,'06_Status_Pipeline'!$B$3:$E$20,4,FALSE)),""))</t>
        </is>
      </c>
      <c r="AG309" s="32" t="inlineStr">
        <is>
          <t>IF(F309="","",IF(OR(AA309="Cancelled",AC309="Cancelled"),"Cancelled",IF(OR(AC309="Completed / Handover",Y309&lt;&gt;"",Z309&gt;=100),"Completed — on track",IF(O309="Not awarded",IF(U309="",IF(X309="","No planned date",IF(TODAY()&gt;X309,"Behind — past planned date",IF(X309-TODAY()&lt;=30,"At risk — close to off track","On track"))),IF(TODAY()&gt;U309,"Behind — award date passed",IF(U309-TODAY()&lt;=30,"At risk — close to off track","On track"))),IF(X309="","No planned date",IF(AND(TODAY()&gt;X309,OR(Z309="",Z309&lt;100)),"Behind — past end date",IF(AND(T309&lt;&gt;"",X309&lt;&gt;"",Z309&lt;&gt;"",(Z309&lt;100),((TODAY()-T309)/MAX(X309-T309,1)*100)-Z309&gt;15),"Behind — progress lag",IF(AND(X309-TODAY()&lt;=30,X309-TODAY()&gt;=0,OR(Z309="",Z309&lt;90)),"At risk — close to off track","On track"))))))))</t>
        </is>
      </c>
      <c r="AH309" s="39" t="inlineStr">
        <is>
          <t>IF(OR(F309="",AC309="Completed / Handover",AC309="Cancelled"),"",IF(O309="Not awarded",IF(U309&lt;&gt;"",U309-TODAY(),IF(X309="","",X309-TODAY())),IF(X309="","",X309-TODAY())))</t>
        </is>
      </c>
      <c r="AI309" s="59" t="n"/>
      <c r="AJ309" s="59" t="n"/>
      <c r="AK309" s="59" t="n"/>
      <c r="AL309" s="59" t="n"/>
      <c r="AM309" s="59" t="n"/>
      <c r="AN309" s="59" t="n"/>
      <c r="AO309" s="59" t="n"/>
      <c r="AP309" s="59" t="n"/>
      <c r="AQ309" s="59" t="n"/>
      <c r="AR309" s="59" t="n"/>
      <c r="AS309" s="59" t="n"/>
      <c r="AT309" s="40" t="n"/>
      <c r="AU309" s="40" t="n"/>
      <c r="AV309" s="40" t="n"/>
      <c r="AW309" s="39" t="inlineStr">
        <is>
          <t>IF(OR(F309="",AJ309=""),"",IF(COUNT(AI309:AI309)=0,"",AJ309-LOOKUP(2,1/(AI309:AI309&lt;&gt;""),AI309:AI309)))</t>
        </is>
      </c>
      <c r="AX309" s="39" t="inlineStr">
        <is>
          <t>IF(OR(F309="",AK309=""),"",IF(COUNT(AI309:AJ309)=0,"",AK309-LOOKUP(2,1/(AI309:AJ309&lt;&gt;""),AI309:AJ309)))</t>
        </is>
      </c>
      <c r="AY309" s="39" t="inlineStr">
        <is>
          <t>IF(OR(F309="",AL309=""),"",IF(COUNT(AI309:AK309)=0,"",AL309-LOOKUP(2,1/(AI309:AK309&lt;&gt;""),AI309:AK309)))</t>
        </is>
      </c>
      <c r="AZ309" s="39" t="inlineStr">
        <is>
          <t>IF(OR(F309="",AM309=""),"",IF(COUNT(AI309:AL309)=0,"",AM309-LOOKUP(2,1/(AI309:AL309&lt;&gt;""),AI309:AL309)))</t>
        </is>
      </c>
      <c r="BA309" s="39" t="inlineStr">
        <is>
          <t>IF(OR(F309="",AN309=""),"",IF(COUNT(AI309:AM309)=0,"",AN309-LOOKUP(2,1/(AI309:AM309&lt;&gt;""),AI309:AM309)))</t>
        </is>
      </c>
      <c r="BB309" s="39" t="inlineStr">
        <is>
          <t>IF(OR(F309="",AO309=""),"",IF(COUNT(AI309:AN309)=0,"",AO309-LOOKUP(2,1/(AI309:AN309&lt;&gt;""),AI309:AN309)))</t>
        </is>
      </c>
      <c r="BC309" s="39" t="inlineStr">
        <is>
          <t>IF(OR(F309="",AP309=""),"",IF(COUNT(AI309:AO309)=0,"",AP309-LOOKUP(2,1/(AI309:AO309&lt;&gt;""),AI309:AO309)))</t>
        </is>
      </c>
      <c r="BD309" s="39" t="inlineStr">
        <is>
          <t>IF(OR(F309="",AQ309=""),"",IF(COUNT(AI309:AP309)=0,"",AQ309-LOOKUP(2,1/(AI309:AP309&lt;&gt;""),AI309:AP309)))</t>
        </is>
      </c>
      <c r="BE309" s="39" t="inlineStr">
        <is>
          <t>IF(OR(F309="",AR309=""),"",IF(COUNT(AI309:AQ309)=0,"",AR309-LOOKUP(2,1/(AI309:AQ309&lt;&gt;""),AI309:AQ309)))</t>
        </is>
      </c>
      <c r="BF309" s="39" t="inlineStr">
        <is>
          <t>IF(OR(F309="",AS309=""),"",IF(COUNT(AI309:AR309)=0,"",AS309-LOOKUP(2,1/(AI309:AR309&lt;&gt;""),AI309:AR309)))</t>
        </is>
      </c>
      <c r="BG309" s="39" t="inlineStr">
        <is>
          <t>IF(OR(F309="",AT309=""),"",IF(COUNT(AI309:AS309)=0,"",AT309-LOOKUP(2,1/(AI309:AS309&lt;&gt;""),AI309:AS309)))</t>
        </is>
      </c>
      <c r="BH309" s="39" t="inlineStr">
        <is>
          <t>IF(OR(F309="",AU309=""),"",IF(COUNT(AI309:AT309)=0,"",AU309-LOOKUP(2,1/(AI309:AT309&lt;&gt;""),AI309:AT309)))</t>
        </is>
      </c>
      <c r="BI309" s="39" t="inlineStr">
        <is>
          <t>IF(OR(F309="",AV309=""),"",IF(COUNT(AI309:AU309)=0,"",AV309-LOOKUP(2,1/(AI309:AU309&lt;&gt;""),AI309:AU309)))</t>
        </is>
      </c>
      <c r="BJ309" s="41" t="inlineStr">
        <is>
          <t>IF(J309="","All_Provinces",IFERROR(VLOOKUP(J309,'09_Lookups'!$A$4:$B$20,2,FALSE),"All_Provinces"))</t>
        </is>
      </c>
      <c r="BK309" s="41" t="inlineStr">
        <is>
          <t>IF(K309="","All_Districts",IFERROR(VLOOKUP(K309,'09_Lookups'!$E$4:$F$42,2,FALSE),"All_Districts"))</t>
        </is>
      </c>
    </row>
    <row r="310" ht="18" customHeight="1">
      <c r="A310" s="32" t="inlineStr">
        <is>
          <t>IF(F310="","",ROW()-3)</t>
        </is>
      </c>
      <c r="B310" s="56" t="inlineStr">
        <is>
          <t>AF2-WSM-21</t>
        </is>
      </c>
      <c r="C310" s="56" t="inlineStr">
        <is>
          <t>Package #21-AF2 WSM: Construction of 4 Check Dams 1.Choghazey and 2.Sardarkey in Arghistan, 3. Loy Laher in Spin Boldak and 4.Ab Samad Aka in Takhta Pull districts of Kandahar province.</t>
        </is>
      </c>
      <c r="D310" s="56" t="inlineStr">
        <is>
          <t>1 of 4</t>
        </is>
      </c>
      <c r="E310" s="34" t="inlineStr">
        <is>
          <t>AF2-WSM-A-042</t>
        </is>
      </c>
      <c r="F310" s="34" t="inlineStr">
        <is>
          <t>Ab Samad Aka Check Dam</t>
        </is>
      </c>
      <c r="G310" s="34" t="inlineStr">
        <is>
          <t>Watershed Management</t>
        </is>
      </c>
      <c r="H310" s="34" t="inlineStr">
        <is>
          <t>Check Dam</t>
        </is>
      </c>
      <c r="I310" s="34" t="inlineStr">
        <is>
          <t>Emergency Food Security Project (EFSP) – WBK/AF-2</t>
        </is>
      </c>
      <c r="J310" s="34" t="inlineStr">
        <is>
          <t>South / Kandahar</t>
        </is>
      </c>
      <c r="K310" s="34" t="inlineStr">
        <is>
          <t>Kandahar</t>
        </is>
      </c>
      <c r="L310" s="34" t="inlineStr">
        <is>
          <t>Takhta Pul</t>
        </is>
      </c>
      <c r="M310" s="34" t="inlineStr">
        <is>
          <t>Choghazey</t>
        </is>
      </c>
      <c r="N310" s="34" t="inlineStr">
        <is>
          <t>World Bank (WBK/AF-2)</t>
        </is>
      </c>
      <c r="O310" s="34" t="inlineStr">
        <is>
          <t>Awarded</t>
        </is>
      </c>
      <c r="P310" s="34" t="inlineStr">
        <is>
          <t>3.WSM awarded contracts</t>
        </is>
      </c>
      <c r="Q310" s="34" t="inlineStr">
        <is>
          <t>Bakhter Pairoz Construction Company (BPCC)</t>
        </is>
      </c>
      <c r="R310" s="34" t="inlineStr">
        <is>
          <t>031/2026</t>
        </is>
      </c>
      <c r="S310" s="35" t="n">
        <v>38337.07</v>
      </c>
      <c r="T310" s="36" t="inlineStr">
        <is>
          <t>IF(AQ310="","",AQ310)</t>
        </is>
      </c>
      <c r="U310" s="37" t="n"/>
      <c r="V310" s="38" t="n">
        <v>5</v>
      </c>
      <c r="W310" s="37" t="n">
        <v>46292</v>
      </c>
      <c r="X310" s="36" t="inlineStr">
        <is>
          <t>IF(W310&lt;&gt;"",W310,IF(OR(T310="",V310=""),"",EDATE(T310,V310)))</t>
        </is>
      </c>
      <c r="Y310" s="37" t="n"/>
      <c r="Z310" s="38" t="n">
        <v>10</v>
      </c>
      <c r="AA310" s="34" t="inlineStr">
        <is>
          <t>Under Construction</t>
        </is>
      </c>
      <c r="AB310" s="34" t="inlineStr">
        <is>
          <t>Completed on Sep, 2026</t>
        </is>
      </c>
      <c r="AC310" s="32" t="inlineStr">
        <is>
          <t>IF(F310="","",IF(COUNT(AI310:AV310)=0,IF(AA310="","Not started",AA310),SUBSTITUTE(LOOKUP(2,1/(AI310:AV310&lt;&gt;""),$AI$3:$AV$3),"Date: ","")))</t>
        </is>
      </c>
      <c r="AD310" s="39" t="inlineStr">
        <is>
          <t>IF(OR(F310="",COUNT(AI310:AV310)=0),"",TODAY()-LOOKUP(2,1/(AI310:AV310&lt;&gt;""),AI310:AV310))</t>
        </is>
      </c>
      <c r="AE310" s="39" t="inlineStr">
        <is>
          <t>IF(OR(F310="",COUNT(AI310:AV310)&lt;2),"",LOOKUP(2,1/(AI310:AV310&lt;&gt;""),AI310:AV310)-MIN(AI310:AV310))</t>
        </is>
      </c>
      <c r="AF310" s="39" t="inlineStr">
        <is>
          <t>IF(OR(AD310="",AC310="Not started",AC310=""),"",IFERROR(AD310-IF(VLOOKUP(AC310,'06_Status_Pipeline'!$B$3:$E$20,4,FALSE)="",0,VLOOKUP(AC310,'06_Status_Pipeline'!$B$3:$E$20,4,FALSE)),""))</t>
        </is>
      </c>
      <c r="AG310" s="32" t="inlineStr">
        <is>
          <t>IF(F310="","",IF(OR(AA310="Cancelled",AC310="Cancelled"),"Cancelled",IF(OR(AC310="Completed / Handover",Y310&lt;&gt;"",Z310&gt;=100),"Completed — on track",IF(O310="Not awarded",IF(U310="",IF(X310="","No planned date",IF(TODAY()&gt;X310,"Behind — past planned date",IF(X310-TODAY()&lt;=30,"At risk — close to off track","On track"))),IF(TODAY()&gt;U310,"Behind — award date passed",IF(U310-TODAY()&lt;=30,"At risk — close to off track","On track"))),IF(X310="","No planned date",IF(AND(TODAY()&gt;X310,OR(Z310="",Z310&lt;100)),"Behind — past end date",IF(AND(T310&lt;&gt;"",X310&lt;&gt;"",Z310&lt;&gt;"",(Z310&lt;100),((TODAY()-T310)/MAX(X310-T310,1)*100)-Z310&gt;15),"Behind — progress lag",IF(AND(X310-TODAY()&lt;=30,X310-TODAY()&gt;=0,OR(Z310="",Z310&lt;90)),"At risk — close to off track","On track"))))))))</t>
        </is>
      </c>
      <c r="AH310" s="39" t="inlineStr">
        <is>
          <t>IF(OR(F310="",AC310="Completed / Handover",AC310="Cancelled"),"",IF(O310="Not awarded",IF(U310&lt;&gt;"",U310-TODAY(),IF(X310="","",X310-TODAY())),IF(X310="","",X310-TODAY())))</t>
        </is>
      </c>
      <c r="AI310" s="66" t="n"/>
      <c r="AJ310" s="66" t="n"/>
      <c r="AK310" s="66" t="n"/>
      <c r="AL310" s="66" t="n"/>
      <c r="AM310" s="66" t="n"/>
      <c r="AN310" s="66" t="n"/>
      <c r="AO310" s="66" t="n"/>
      <c r="AP310" s="66" t="n"/>
      <c r="AQ310" s="66" t="n">
        <v>46140</v>
      </c>
      <c r="AR310" s="66" t="n">
        <v>46140</v>
      </c>
      <c r="AS310" s="66" t="n"/>
      <c r="AT310" s="40" t="n"/>
      <c r="AU310" s="40" t="n"/>
      <c r="AV310" s="40" t="n"/>
      <c r="AW310" s="39" t="inlineStr">
        <is>
          <t>IF(OR(F310="",AJ310=""),"",IF(COUNT(AI310:AI310)=0,"",AJ310-LOOKUP(2,1/(AI310:AI310&lt;&gt;""),AI310:AI310)))</t>
        </is>
      </c>
      <c r="AX310" s="39" t="inlineStr">
        <is>
          <t>IF(OR(F310="",AK310=""),"",IF(COUNT(AI310:AJ310)=0,"",AK310-LOOKUP(2,1/(AI310:AJ310&lt;&gt;""),AI310:AJ310)))</t>
        </is>
      </c>
      <c r="AY310" s="39" t="inlineStr">
        <is>
          <t>IF(OR(F310="",AL310=""),"",IF(COUNT(AI310:AK310)=0,"",AL310-LOOKUP(2,1/(AI310:AK310&lt;&gt;""),AI310:AK310)))</t>
        </is>
      </c>
      <c r="AZ310" s="39" t="inlineStr">
        <is>
          <t>IF(OR(F310="",AM310=""),"",IF(COUNT(AI310:AL310)=0,"",AM310-LOOKUP(2,1/(AI310:AL310&lt;&gt;""),AI310:AL310)))</t>
        </is>
      </c>
      <c r="BA310" s="39" t="inlineStr">
        <is>
          <t>IF(OR(F310="",AN310=""),"",IF(COUNT(AI310:AM310)=0,"",AN310-LOOKUP(2,1/(AI310:AM310&lt;&gt;""),AI310:AM310)))</t>
        </is>
      </c>
      <c r="BB310" s="39" t="inlineStr">
        <is>
          <t>IF(OR(F310="",AO310=""),"",IF(COUNT(AI310:AN310)=0,"",AO310-LOOKUP(2,1/(AI310:AN310&lt;&gt;""),AI310:AN310)))</t>
        </is>
      </c>
      <c r="BC310" s="39" t="inlineStr">
        <is>
          <t>IF(OR(F310="",AP310=""),"",IF(COUNT(AI310:AO310)=0,"",AP310-LOOKUP(2,1/(AI310:AO310&lt;&gt;""),AI310:AO310)))</t>
        </is>
      </c>
      <c r="BD310" s="39" t="inlineStr">
        <is>
          <t>IF(OR(F310="",AQ310=""),"",IF(COUNT(AI310:AP310)=0,"",AQ310-LOOKUP(2,1/(AI310:AP310&lt;&gt;""),AI310:AP310)))</t>
        </is>
      </c>
      <c r="BE310" s="39" t="inlineStr">
        <is>
          <t>IF(OR(F310="",AR310=""),"",IF(COUNT(AI310:AQ310)=0,"",AR310-LOOKUP(2,1/(AI310:AQ310&lt;&gt;""),AI310:AQ310)))</t>
        </is>
      </c>
      <c r="BF310" s="39" t="inlineStr">
        <is>
          <t>IF(OR(F310="",AS310=""),"",IF(COUNT(AI310:AR310)=0,"",AS310-LOOKUP(2,1/(AI310:AR310&lt;&gt;""),AI310:AR310)))</t>
        </is>
      </c>
      <c r="BG310" s="39" t="inlineStr">
        <is>
          <t>IF(OR(F310="",AT310=""),"",IF(COUNT(AI310:AS310)=0,"",AT310-LOOKUP(2,1/(AI310:AS310&lt;&gt;""),AI310:AS310)))</t>
        </is>
      </c>
      <c r="BH310" s="39" t="inlineStr">
        <is>
          <t>IF(OR(F310="",AU310=""),"",IF(COUNT(AI310:AT310)=0,"",AU310-LOOKUP(2,1/(AI310:AT310&lt;&gt;""),AI310:AT310)))</t>
        </is>
      </c>
      <c r="BI310" s="39" t="inlineStr">
        <is>
          <t>IF(OR(F310="",AV310=""),"",IF(COUNT(AI310:AU310)=0,"",AV310-LOOKUP(2,1/(AI310:AU310&lt;&gt;""),AI310:AU310)))</t>
        </is>
      </c>
      <c r="BJ310" s="41" t="inlineStr">
        <is>
          <t>IF(J310="","All_Provinces",IFERROR(VLOOKUP(J310,'09_Lookups'!$A$4:$B$20,2,FALSE),"All_Provinces"))</t>
        </is>
      </c>
      <c r="BK310" s="41" t="inlineStr">
        <is>
          <t>IF(K310="","All_Districts",IFERROR(VLOOKUP(K310,'09_Lookups'!$E$4:$F$42,2,FALSE),"All_Districts"))</t>
        </is>
      </c>
    </row>
    <row r="311" outlineLevel="1" ht="18" customHeight="1">
      <c r="A311" s="42" t="inlineStr">
        <is>
          <t>IF(F311="","",ROW()-3)</t>
        </is>
      </c>
      <c r="B311" s="61" t="inlineStr">
        <is>
          <t>AF2-WSM-21</t>
        </is>
      </c>
      <c r="C311" s="61" t="inlineStr">
        <is>
          <t>Package #21-AF2 WSM: Construction of 4 Check Dams 1.Choghazey and 2.Sardarkey in Arghistan, 3. Loy Laher in Spin Boldak and 4.Ab Samad Aka in Takhta Pull districts of Kandahar province.</t>
        </is>
      </c>
      <c r="D311" s="61" t="inlineStr">
        <is>
          <t>2 of 4</t>
        </is>
      </c>
      <c r="E311" s="44" t="inlineStr">
        <is>
          <t>AF2-WSM-A-043</t>
        </is>
      </c>
      <c r="F311" s="44" t="inlineStr">
        <is>
          <t>Choghazey Check Dam</t>
        </is>
      </c>
      <c r="G311" s="44" t="inlineStr">
        <is>
          <t>Watershed Management</t>
        </is>
      </c>
      <c r="H311" s="44" t="inlineStr">
        <is>
          <t>Check Dam</t>
        </is>
      </c>
      <c r="I311" s="44" t="inlineStr">
        <is>
          <t>Emergency Food Security Project (EFSP) – WBK/AF-2</t>
        </is>
      </c>
      <c r="J311" s="44" t="inlineStr">
        <is>
          <t>South / Kandahar</t>
        </is>
      </c>
      <c r="K311" s="44" t="inlineStr">
        <is>
          <t>Kandahar</t>
        </is>
      </c>
      <c r="L311" s="44" t="inlineStr">
        <is>
          <t>Arghistan</t>
        </is>
      </c>
      <c r="M311" s="44" t="inlineStr">
        <is>
          <t>Ab Samad Aka</t>
        </is>
      </c>
      <c r="N311" s="44" t="inlineStr">
        <is>
          <t>World Bank (WBK/AF-2)</t>
        </is>
      </c>
      <c r="O311" s="44" t="inlineStr">
        <is>
          <t>Awarded</t>
        </is>
      </c>
      <c r="P311" s="44" t="inlineStr">
        <is>
          <t>3.WSM awarded contracts</t>
        </is>
      </c>
      <c r="Q311" s="44" t="inlineStr">
        <is>
          <t>Bakhter Pairoz Construction Company (BPCC)</t>
        </is>
      </c>
      <c r="R311" s="44" t="inlineStr">
        <is>
          <t>031/2026</t>
        </is>
      </c>
      <c r="S311" s="45" t="n">
        <v>12021.06</v>
      </c>
      <c r="T311" s="46" t="inlineStr">
        <is>
          <t>IF(AQ311="","",AQ311)</t>
        </is>
      </c>
      <c r="U311" s="47" t="n"/>
      <c r="V311" s="48" t="n">
        <v>5</v>
      </c>
      <c r="W311" s="47" t="n">
        <v>46292</v>
      </c>
      <c r="X311" s="46" t="inlineStr">
        <is>
          <t>IF(W311&lt;&gt;"",W311,IF(OR(T311="",V311=""),"",EDATE(T311,V311)))</t>
        </is>
      </c>
      <c r="Y311" s="47" t="n"/>
      <c r="Z311" s="48" t="n">
        <v>100</v>
      </c>
      <c r="AA311" s="44" t="inlineStr">
        <is>
          <t>Completed / Handover</t>
        </is>
      </c>
      <c r="AB311" s="44" t="inlineStr">
        <is>
          <t>Completed on Sep, 2026</t>
        </is>
      </c>
      <c r="AC311" s="42" t="inlineStr">
        <is>
          <t>IF(F311="","",IF(COUNT(AI311:AV311)=0,IF(AA311="","Not started",AA311),SUBSTITUTE(LOOKUP(2,1/(AI311:AV311&lt;&gt;""),$AI$3:$AV$3),"Date: ","")))</t>
        </is>
      </c>
      <c r="AD311" s="49" t="inlineStr">
        <is>
          <t>IF(OR(F311="",COUNT(AI311:AV311)=0),"",TODAY()-LOOKUP(2,1/(AI311:AV311&lt;&gt;""),AI311:AV311))</t>
        </is>
      </c>
      <c r="AE311" s="49" t="inlineStr">
        <is>
          <t>IF(OR(F311="",COUNT(AI311:AV311)&lt;2),"",LOOKUP(2,1/(AI311:AV311&lt;&gt;""),AI311:AV311)-MIN(AI311:AV311))</t>
        </is>
      </c>
      <c r="AF311" s="49" t="inlineStr">
        <is>
          <t>IF(OR(AD311="",AC311="Not started",AC311=""),"",IFERROR(AD311-IF(VLOOKUP(AC311,'06_Status_Pipeline'!$B$3:$E$20,4,FALSE)="",0,VLOOKUP(AC311,'06_Status_Pipeline'!$B$3:$E$20,4,FALSE)),""))</t>
        </is>
      </c>
      <c r="AG311" s="42" t="inlineStr">
        <is>
          <t>IF(F311="","",IF(OR(AA311="Cancelled",AC311="Cancelled"),"Cancelled",IF(OR(AC311="Completed / Handover",Y311&lt;&gt;"",Z311&gt;=100),"Completed — on track",IF(O311="Not awarded",IF(U311="",IF(X311="","No planned date",IF(TODAY()&gt;X311,"Behind — past planned date",IF(X311-TODAY()&lt;=30,"At risk — close to off track","On track"))),IF(TODAY()&gt;U311,"Behind — award date passed",IF(U311-TODAY()&lt;=30,"At risk — close to off track","On track"))),IF(X311="","No planned date",IF(AND(TODAY()&gt;X311,OR(Z311="",Z311&lt;100)),"Behind — past end date",IF(AND(T311&lt;&gt;"",X311&lt;&gt;"",Z311&lt;&gt;"",(Z311&lt;100),((TODAY()-T311)/MAX(X311-T311,1)*100)-Z311&gt;15),"Behind — progress lag",IF(AND(X311-TODAY()&lt;=30,X311-TODAY()&gt;=0,OR(Z311="",Z311&lt;90)),"At risk — close to off track","On track"))))))))</t>
        </is>
      </c>
      <c r="AH311" s="49" t="inlineStr">
        <is>
          <t>IF(OR(F311="",AC311="Completed / Handover",AC311="Cancelled"),"",IF(O311="Not awarded",IF(U311&lt;&gt;"",U311-TODAY(),IF(X311="","",X311-TODAY())),IF(X311="","",X311-TODAY())))</t>
        </is>
      </c>
      <c r="AI311" s="67" t="n"/>
      <c r="AJ311" s="67" t="n"/>
      <c r="AK311" s="67" t="n"/>
      <c r="AL311" s="67" t="n"/>
      <c r="AM311" s="67" t="n"/>
      <c r="AN311" s="67" t="n"/>
      <c r="AO311" s="67" t="n"/>
      <c r="AP311" s="67" t="n"/>
      <c r="AQ311" s="67" t="n">
        <v>46140</v>
      </c>
      <c r="AR311" s="67" t="n">
        <v>46140</v>
      </c>
      <c r="AS311" s="67" t="n">
        <v>46292</v>
      </c>
      <c r="AT311" s="50" t="n"/>
      <c r="AU311" s="50" t="n"/>
      <c r="AV311" s="50" t="n"/>
      <c r="AW311" s="49" t="inlineStr">
        <is>
          <t>IF(OR(F311="",AJ311=""),"",IF(COUNT(AI311:AI311)=0,"",AJ311-LOOKUP(2,1/(AI311:AI311&lt;&gt;""),AI311:AI311)))</t>
        </is>
      </c>
      <c r="AX311" s="49" t="inlineStr">
        <is>
          <t>IF(OR(F311="",AK311=""),"",IF(COUNT(AI311:AJ311)=0,"",AK311-LOOKUP(2,1/(AI311:AJ311&lt;&gt;""),AI311:AJ311)))</t>
        </is>
      </c>
      <c r="AY311" s="49" t="inlineStr">
        <is>
          <t>IF(OR(F311="",AL311=""),"",IF(COUNT(AI311:AK311)=0,"",AL311-LOOKUP(2,1/(AI311:AK311&lt;&gt;""),AI311:AK311)))</t>
        </is>
      </c>
      <c r="AZ311" s="49" t="inlineStr">
        <is>
          <t>IF(OR(F311="",AM311=""),"",IF(COUNT(AI311:AL311)=0,"",AM311-LOOKUP(2,1/(AI311:AL311&lt;&gt;""),AI311:AL311)))</t>
        </is>
      </c>
      <c r="BA311" s="49" t="inlineStr">
        <is>
          <t>IF(OR(F311="",AN311=""),"",IF(COUNT(AI311:AM311)=0,"",AN311-LOOKUP(2,1/(AI311:AM311&lt;&gt;""),AI311:AM311)))</t>
        </is>
      </c>
      <c r="BB311" s="49" t="inlineStr">
        <is>
          <t>IF(OR(F311="",AO311=""),"",IF(COUNT(AI311:AN311)=0,"",AO311-LOOKUP(2,1/(AI311:AN311&lt;&gt;""),AI311:AN311)))</t>
        </is>
      </c>
      <c r="BC311" s="49" t="inlineStr">
        <is>
          <t>IF(OR(F311="",AP311=""),"",IF(COUNT(AI311:AO311)=0,"",AP311-LOOKUP(2,1/(AI311:AO311&lt;&gt;""),AI311:AO311)))</t>
        </is>
      </c>
      <c r="BD311" s="49" t="inlineStr">
        <is>
          <t>IF(OR(F311="",AQ311=""),"",IF(COUNT(AI311:AP311)=0,"",AQ311-LOOKUP(2,1/(AI311:AP311&lt;&gt;""),AI311:AP311)))</t>
        </is>
      </c>
      <c r="BE311" s="49" t="inlineStr">
        <is>
          <t>IF(OR(F311="",AR311=""),"",IF(COUNT(AI311:AQ311)=0,"",AR311-LOOKUP(2,1/(AI311:AQ311&lt;&gt;""),AI311:AQ311)))</t>
        </is>
      </c>
      <c r="BF311" s="49" t="inlineStr">
        <is>
          <t>IF(OR(F311="",AS311=""),"",IF(COUNT(AI311:AR311)=0,"",AS311-LOOKUP(2,1/(AI311:AR311&lt;&gt;""),AI311:AR311)))</t>
        </is>
      </c>
      <c r="BG311" s="49" t="inlineStr">
        <is>
          <t>IF(OR(F311="",AT311=""),"",IF(COUNT(AI311:AS311)=0,"",AT311-LOOKUP(2,1/(AI311:AS311&lt;&gt;""),AI311:AS311)))</t>
        </is>
      </c>
      <c r="BH311" s="49" t="inlineStr">
        <is>
          <t>IF(OR(F311="",AU311=""),"",IF(COUNT(AI311:AT311)=0,"",AU311-LOOKUP(2,1/(AI311:AT311&lt;&gt;""),AI311:AT311)))</t>
        </is>
      </c>
      <c r="BI311" s="49" t="inlineStr">
        <is>
          <t>IF(OR(F311="",AV311=""),"",IF(COUNT(AI311:AU311)=0,"",AV311-LOOKUP(2,1/(AI311:AU311&lt;&gt;""),AI311:AU311)))</t>
        </is>
      </c>
      <c r="BJ311" s="51" t="inlineStr">
        <is>
          <t>IF(J311="","All_Provinces",IFERROR(VLOOKUP(J311,'09_Lookups'!$A$4:$B$20,2,FALSE),"All_Provinces"))</t>
        </is>
      </c>
      <c r="BK311" s="51" t="inlineStr">
        <is>
          <t>IF(K311="","All_Districts",IFERROR(VLOOKUP(K311,'09_Lookups'!$E$4:$F$42,2,FALSE),"All_Districts"))</t>
        </is>
      </c>
    </row>
    <row r="312" outlineLevel="1" ht="18" customHeight="1">
      <c r="A312" s="42" t="inlineStr">
        <is>
          <t>IF(F312="","",ROW()-3)</t>
        </is>
      </c>
      <c r="B312" s="61" t="inlineStr">
        <is>
          <t>AF2-WSM-21</t>
        </is>
      </c>
      <c r="C312" s="61" t="inlineStr">
        <is>
          <t>Package #21-AF2 WSM: Construction of 4 Check Dams 1.Choghazey and 2.Sardarkey in Arghistan, 3. Loy Laher in Spin Boldak and 4.Ab Samad Aka in Takhta Pull districts of Kandahar province.</t>
        </is>
      </c>
      <c r="D312" s="61" t="inlineStr">
        <is>
          <t>3 of 4</t>
        </is>
      </c>
      <c r="E312" s="52" t="inlineStr">
        <is>
          <t>AF2-WSM-A-044</t>
        </is>
      </c>
      <c r="F312" s="52" t="inlineStr">
        <is>
          <t>Loy Laher Check Dam</t>
        </is>
      </c>
      <c r="G312" s="52" t="inlineStr">
        <is>
          <t>Watershed Management</t>
        </is>
      </c>
      <c r="H312" s="52" t="inlineStr">
        <is>
          <t>Check Dam</t>
        </is>
      </c>
      <c r="I312" s="52" t="inlineStr">
        <is>
          <t>Emergency Food Security Project (EFSP) – WBK/AF-2</t>
        </is>
      </c>
      <c r="J312" s="52" t="inlineStr">
        <is>
          <t>South / Kandahar</t>
        </is>
      </c>
      <c r="K312" s="52" t="inlineStr">
        <is>
          <t>Kandahar</t>
        </is>
      </c>
      <c r="L312" s="52" t="inlineStr">
        <is>
          <t>Spin Boldak</t>
        </is>
      </c>
      <c r="M312" s="52" t="inlineStr">
        <is>
          <t>Sardarkey</t>
        </is>
      </c>
      <c r="N312" s="52" t="inlineStr">
        <is>
          <t>World Bank (WBK/AF-2)</t>
        </is>
      </c>
      <c r="O312" s="52" t="inlineStr">
        <is>
          <t>Awarded</t>
        </is>
      </c>
      <c r="P312" s="52" t="inlineStr">
        <is>
          <t>3.WSM awarded contracts</t>
        </is>
      </c>
      <c r="Q312" s="52" t="inlineStr">
        <is>
          <t>Bakhter Pairoz Construction Company (BPCC)</t>
        </is>
      </c>
      <c r="R312" s="52" t="inlineStr">
        <is>
          <t>031/2026</t>
        </is>
      </c>
      <c r="S312" s="53" t="n">
        <v>30196.08</v>
      </c>
      <c r="T312" s="46" t="inlineStr">
        <is>
          <t>IF(AQ312="","",AQ312)</t>
        </is>
      </c>
      <c r="U312" s="54" t="n"/>
      <c r="V312" s="55" t="n">
        <v>5</v>
      </c>
      <c r="W312" s="54" t="n">
        <v>46292</v>
      </c>
      <c r="X312" s="46" t="inlineStr">
        <is>
          <t>IF(W312&lt;&gt;"",W312,IF(OR(T312="",V312=""),"",EDATE(T312,V312)))</t>
        </is>
      </c>
      <c r="Y312" s="54" t="n"/>
      <c r="Z312" s="55" t="n">
        <v>15</v>
      </c>
      <c r="AA312" s="52" t="inlineStr">
        <is>
          <t>Under Construction</t>
        </is>
      </c>
      <c r="AB312" s="52" t="inlineStr">
        <is>
          <t>Completed on Sep, 2026</t>
        </is>
      </c>
      <c r="AC312" s="42" t="inlineStr">
        <is>
          <t>IF(F312="","",IF(COUNT(AI312:AV312)=0,IF(AA312="","Not started",AA312),SUBSTITUTE(LOOKUP(2,1/(AI312:AV312&lt;&gt;""),$AI$3:$AV$3),"Date: ","")))</t>
        </is>
      </c>
      <c r="AD312" s="49" t="inlineStr">
        <is>
          <t>IF(OR(F312="",COUNT(AI312:AV312)=0),"",TODAY()-LOOKUP(2,1/(AI312:AV312&lt;&gt;""),AI312:AV312))</t>
        </is>
      </c>
      <c r="AE312" s="49" t="inlineStr">
        <is>
          <t>IF(OR(F312="",COUNT(AI312:AV312)&lt;2),"",LOOKUP(2,1/(AI312:AV312&lt;&gt;""),AI312:AV312)-MIN(AI312:AV312))</t>
        </is>
      </c>
      <c r="AF312" s="49" t="inlineStr">
        <is>
          <t>IF(OR(AD312="",AC312="Not started",AC312=""),"",IFERROR(AD312-IF(VLOOKUP(AC312,'06_Status_Pipeline'!$B$3:$E$20,4,FALSE)="",0,VLOOKUP(AC312,'06_Status_Pipeline'!$B$3:$E$20,4,FALSE)),""))</t>
        </is>
      </c>
      <c r="AG312" s="42" t="inlineStr">
        <is>
          <t>IF(F312="","",IF(OR(AA312="Cancelled",AC312="Cancelled"),"Cancelled",IF(OR(AC312="Completed / Handover",Y312&lt;&gt;"",Z312&gt;=100),"Completed — on track",IF(O312="Not awarded",IF(U312="",IF(X312="","No planned date",IF(TODAY()&gt;X312,"Behind — past planned date",IF(X312-TODAY()&lt;=30,"At risk — close to off track","On track"))),IF(TODAY()&gt;U312,"Behind — award date passed",IF(U312-TODAY()&lt;=30,"At risk — close to off track","On track"))),IF(X312="","No planned date",IF(AND(TODAY()&gt;X312,OR(Z312="",Z312&lt;100)),"Behind — past end date",IF(AND(T312&lt;&gt;"",X312&lt;&gt;"",Z312&lt;&gt;"",(Z312&lt;100),((TODAY()-T312)/MAX(X312-T312,1)*100)-Z312&gt;15),"Behind — progress lag",IF(AND(X312-TODAY()&lt;=30,X312-TODAY()&gt;=0,OR(Z312="",Z312&lt;90)),"At risk — close to off track","On track"))))))))</t>
        </is>
      </c>
      <c r="AH312" s="49" t="inlineStr">
        <is>
          <t>IF(OR(F312="",AC312="Completed / Handover",AC312="Cancelled"),"",IF(O312="Not awarded",IF(U312&lt;&gt;"",U312-TODAY(),IF(X312="","",X312-TODAY())),IF(X312="","",X312-TODAY())))</t>
        </is>
      </c>
      <c r="AI312" s="67" t="n"/>
      <c r="AJ312" s="67" t="n"/>
      <c r="AK312" s="67" t="n"/>
      <c r="AL312" s="67" t="n"/>
      <c r="AM312" s="67" t="n"/>
      <c r="AN312" s="67" t="n"/>
      <c r="AO312" s="67" t="n"/>
      <c r="AP312" s="67" t="n"/>
      <c r="AQ312" s="67" t="n">
        <v>46140</v>
      </c>
      <c r="AR312" s="67" t="n">
        <v>46140</v>
      </c>
      <c r="AS312" s="67" t="n"/>
      <c r="AT312" s="50" t="n"/>
      <c r="AU312" s="50" t="n"/>
      <c r="AV312" s="50" t="n"/>
      <c r="AW312" s="49" t="inlineStr">
        <is>
          <t>IF(OR(F312="",AJ312=""),"",IF(COUNT(AI312:AI312)=0,"",AJ312-LOOKUP(2,1/(AI312:AI312&lt;&gt;""),AI312:AI312)))</t>
        </is>
      </c>
      <c r="AX312" s="49" t="inlineStr">
        <is>
          <t>IF(OR(F312="",AK312=""),"",IF(COUNT(AI312:AJ312)=0,"",AK312-LOOKUP(2,1/(AI312:AJ312&lt;&gt;""),AI312:AJ312)))</t>
        </is>
      </c>
      <c r="AY312" s="49" t="inlineStr">
        <is>
          <t>IF(OR(F312="",AL312=""),"",IF(COUNT(AI312:AK312)=0,"",AL312-LOOKUP(2,1/(AI312:AK312&lt;&gt;""),AI312:AK312)))</t>
        </is>
      </c>
      <c r="AZ312" s="49" t="inlineStr">
        <is>
          <t>IF(OR(F312="",AM312=""),"",IF(COUNT(AI312:AL312)=0,"",AM312-LOOKUP(2,1/(AI312:AL312&lt;&gt;""),AI312:AL312)))</t>
        </is>
      </c>
      <c r="BA312" s="49" t="inlineStr">
        <is>
          <t>IF(OR(F312="",AN312=""),"",IF(COUNT(AI312:AM312)=0,"",AN312-LOOKUP(2,1/(AI312:AM312&lt;&gt;""),AI312:AM312)))</t>
        </is>
      </c>
      <c r="BB312" s="49" t="inlineStr">
        <is>
          <t>IF(OR(F312="",AO312=""),"",IF(COUNT(AI312:AN312)=0,"",AO312-LOOKUP(2,1/(AI312:AN312&lt;&gt;""),AI312:AN312)))</t>
        </is>
      </c>
      <c r="BC312" s="49" t="inlineStr">
        <is>
          <t>IF(OR(F312="",AP312=""),"",IF(COUNT(AI312:AO312)=0,"",AP312-LOOKUP(2,1/(AI312:AO312&lt;&gt;""),AI312:AO312)))</t>
        </is>
      </c>
      <c r="BD312" s="49" t="inlineStr">
        <is>
          <t>IF(OR(F312="",AQ312=""),"",IF(COUNT(AI312:AP312)=0,"",AQ312-LOOKUP(2,1/(AI312:AP312&lt;&gt;""),AI312:AP312)))</t>
        </is>
      </c>
      <c r="BE312" s="49" t="inlineStr">
        <is>
          <t>IF(OR(F312="",AR312=""),"",IF(COUNT(AI312:AQ312)=0,"",AR312-LOOKUP(2,1/(AI312:AQ312&lt;&gt;""),AI312:AQ312)))</t>
        </is>
      </c>
      <c r="BF312" s="49" t="inlineStr">
        <is>
          <t>IF(OR(F312="",AS312=""),"",IF(COUNT(AI312:AR312)=0,"",AS312-LOOKUP(2,1/(AI312:AR312&lt;&gt;""),AI312:AR312)))</t>
        </is>
      </c>
      <c r="BG312" s="49" t="inlineStr">
        <is>
          <t>IF(OR(F312="",AT312=""),"",IF(COUNT(AI312:AS312)=0,"",AT312-LOOKUP(2,1/(AI312:AS312&lt;&gt;""),AI312:AS312)))</t>
        </is>
      </c>
      <c r="BH312" s="49" t="inlineStr">
        <is>
          <t>IF(OR(F312="",AU312=""),"",IF(COUNT(AI312:AT312)=0,"",AU312-LOOKUP(2,1/(AI312:AT312&lt;&gt;""),AI312:AT312)))</t>
        </is>
      </c>
      <c r="BI312" s="49" t="inlineStr">
        <is>
          <t>IF(OR(F312="",AV312=""),"",IF(COUNT(AI312:AU312)=0,"",AV312-LOOKUP(2,1/(AI312:AU312&lt;&gt;""),AI312:AU312)))</t>
        </is>
      </c>
      <c r="BJ312" s="51" t="inlineStr">
        <is>
          <t>IF(J312="","All_Provinces",IFERROR(VLOOKUP(J312,'09_Lookups'!$A$4:$B$20,2,FALSE),"All_Provinces"))</t>
        </is>
      </c>
      <c r="BK312" s="51" t="inlineStr">
        <is>
          <t>IF(K312="","All_Districts",IFERROR(VLOOKUP(K312,'09_Lookups'!$E$4:$F$42,2,FALSE),"All_Districts"))</t>
        </is>
      </c>
    </row>
    <row r="313" outlineLevel="1" ht="18" customHeight="1">
      <c r="A313" s="42" t="inlineStr">
        <is>
          <t>IF(F313="","",ROW()-3)</t>
        </is>
      </c>
      <c r="B313" s="61" t="inlineStr">
        <is>
          <t>AF2-WSM-21</t>
        </is>
      </c>
      <c r="C313" s="61" t="inlineStr">
        <is>
          <t>Package #21-AF2 WSM: Construction of 4 Check Dams 1.Choghazey and 2.Sardarkey in Arghistan, 3. Loy Laher in Spin Boldak and 4.Ab Samad Aka in Takhta Pull districts of Kandahar province.</t>
        </is>
      </c>
      <c r="D313" s="61" t="inlineStr">
        <is>
          <t>4 of 4</t>
        </is>
      </c>
      <c r="E313" s="44" t="inlineStr">
        <is>
          <t>AF2-WSM-A-045</t>
        </is>
      </c>
      <c r="F313" s="44" t="inlineStr">
        <is>
          <t>Sardarkey Check Dam</t>
        </is>
      </c>
      <c r="G313" s="44" t="inlineStr">
        <is>
          <t>Watershed Management</t>
        </is>
      </c>
      <c r="H313" s="44" t="inlineStr">
        <is>
          <t>Check Dam</t>
        </is>
      </c>
      <c r="I313" s="44" t="inlineStr">
        <is>
          <t>Emergency Food Security Project (EFSP) – WBK/AF-2</t>
        </is>
      </c>
      <c r="J313" s="44" t="inlineStr">
        <is>
          <t>South / Kandahar</t>
        </is>
      </c>
      <c r="K313" s="44" t="inlineStr">
        <is>
          <t>Kandahar</t>
        </is>
      </c>
      <c r="L313" s="44" t="inlineStr">
        <is>
          <t>Arghistan</t>
        </is>
      </c>
      <c r="M313" s="44" t="inlineStr">
        <is>
          <t>Loy Laher</t>
        </is>
      </c>
      <c r="N313" s="44" t="inlineStr">
        <is>
          <t>World Bank (WBK/AF-2)</t>
        </is>
      </c>
      <c r="O313" s="44" t="inlineStr">
        <is>
          <t>Awarded</t>
        </is>
      </c>
      <c r="P313" s="44" t="inlineStr">
        <is>
          <t>3.WSM awarded contracts</t>
        </is>
      </c>
      <c r="Q313" s="44" t="inlineStr">
        <is>
          <t>Bakhter Pairoz Construction Company (BPCC)</t>
        </is>
      </c>
      <c r="R313" s="44" t="inlineStr">
        <is>
          <t>031/2026</t>
        </is>
      </c>
      <c r="S313" s="45" t="n">
        <v>34095.16</v>
      </c>
      <c r="T313" s="46" t="inlineStr">
        <is>
          <t>IF(AQ313="","",AQ313)</t>
        </is>
      </c>
      <c r="U313" s="47" t="n"/>
      <c r="V313" s="48" t="n">
        <v>5</v>
      </c>
      <c r="W313" s="47" t="n">
        <v>46292</v>
      </c>
      <c r="X313" s="46" t="inlineStr">
        <is>
          <t>IF(W313&lt;&gt;"",W313,IF(OR(T313="",V313=""),"",EDATE(T313,V313)))</t>
        </is>
      </c>
      <c r="Y313" s="47" t="n"/>
      <c r="Z313" s="48" t="n">
        <v>95</v>
      </c>
      <c r="AA313" s="44" t="inlineStr">
        <is>
          <t>Under Construction</t>
        </is>
      </c>
      <c r="AB313" s="44" t="inlineStr">
        <is>
          <t>Completed on Sep, 2026</t>
        </is>
      </c>
      <c r="AC313" s="42" t="inlineStr">
        <is>
          <t>IF(F313="","",IF(COUNT(AI313:AV313)=0,IF(AA313="","Not started",AA313),SUBSTITUTE(LOOKUP(2,1/(AI313:AV313&lt;&gt;""),$AI$3:$AV$3),"Date: ","")))</t>
        </is>
      </c>
      <c r="AD313" s="49" t="inlineStr">
        <is>
          <t>IF(OR(F313="",COUNT(AI313:AV313)=0),"",TODAY()-LOOKUP(2,1/(AI313:AV313&lt;&gt;""),AI313:AV313))</t>
        </is>
      </c>
      <c r="AE313" s="49" t="inlineStr">
        <is>
          <t>IF(OR(F313="",COUNT(AI313:AV313)&lt;2),"",LOOKUP(2,1/(AI313:AV313&lt;&gt;""),AI313:AV313)-MIN(AI313:AV313))</t>
        </is>
      </c>
      <c r="AF313" s="49" t="inlineStr">
        <is>
          <t>IF(OR(AD313="",AC313="Not started",AC313=""),"",IFERROR(AD313-IF(VLOOKUP(AC313,'06_Status_Pipeline'!$B$3:$E$20,4,FALSE)="",0,VLOOKUP(AC313,'06_Status_Pipeline'!$B$3:$E$20,4,FALSE)),""))</t>
        </is>
      </c>
      <c r="AG313" s="42" t="inlineStr">
        <is>
          <t>IF(F313="","",IF(OR(AA313="Cancelled",AC313="Cancelled"),"Cancelled",IF(OR(AC313="Completed / Handover",Y313&lt;&gt;"",Z313&gt;=100),"Completed — on track",IF(O313="Not awarded",IF(U313="",IF(X313="","No planned date",IF(TODAY()&gt;X313,"Behind — past planned date",IF(X313-TODAY()&lt;=30,"At risk — close to off track","On track"))),IF(TODAY()&gt;U313,"Behind — award date passed",IF(U313-TODAY()&lt;=30,"At risk — close to off track","On track"))),IF(X313="","No planned date",IF(AND(TODAY()&gt;X313,OR(Z313="",Z313&lt;100)),"Behind — past end date",IF(AND(T313&lt;&gt;"",X313&lt;&gt;"",Z313&lt;&gt;"",(Z313&lt;100),((TODAY()-T313)/MAX(X313-T313,1)*100)-Z313&gt;15),"Behind — progress lag",IF(AND(X313-TODAY()&lt;=30,X313-TODAY()&gt;=0,OR(Z313="",Z313&lt;90)),"At risk — close to off track","On track"))))))))</t>
        </is>
      </c>
      <c r="AH313" s="49" t="inlineStr">
        <is>
          <t>IF(OR(F313="",AC313="Completed / Handover",AC313="Cancelled"),"",IF(O313="Not awarded",IF(U313&lt;&gt;"",U313-TODAY(),IF(X313="","",X313-TODAY())),IF(X313="","",X313-TODAY())))</t>
        </is>
      </c>
      <c r="AI313" s="67" t="n"/>
      <c r="AJ313" s="67" t="n"/>
      <c r="AK313" s="67" t="n"/>
      <c r="AL313" s="67" t="n"/>
      <c r="AM313" s="67" t="n"/>
      <c r="AN313" s="67" t="n"/>
      <c r="AO313" s="67" t="n"/>
      <c r="AP313" s="67" t="n"/>
      <c r="AQ313" s="67" t="n">
        <v>46140</v>
      </c>
      <c r="AR313" s="67" t="n">
        <v>46140</v>
      </c>
      <c r="AS313" s="67" t="n"/>
      <c r="AT313" s="50" t="n"/>
      <c r="AU313" s="50" t="n"/>
      <c r="AV313" s="50" t="n"/>
      <c r="AW313" s="49" t="inlineStr">
        <is>
          <t>IF(OR(F313="",AJ313=""),"",IF(COUNT(AI313:AI313)=0,"",AJ313-LOOKUP(2,1/(AI313:AI313&lt;&gt;""),AI313:AI313)))</t>
        </is>
      </c>
      <c r="AX313" s="49" t="inlineStr">
        <is>
          <t>IF(OR(F313="",AK313=""),"",IF(COUNT(AI313:AJ313)=0,"",AK313-LOOKUP(2,1/(AI313:AJ313&lt;&gt;""),AI313:AJ313)))</t>
        </is>
      </c>
      <c r="AY313" s="49" t="inlineStr">
        <is>
          <t>IF(OR(F313="",AL313=""),"",IF(COUNT(AI313:AK313)=0,"",AL313-LOOKUP(2,1/(AI313:AK313&lt;&gt;""),AI313:AK313)))</t>
        </is>
      </c>
      <c r="AZ313" s="49" t="inlineStr">
        <is>
          <t>IF(OR(F313="",AM313=""),"",IF(COUNT(AI313:AL313)=0,"",AM313-LOOKUP(2,1/(AI313:AL313&lt;&gt;""),AI313:AL313)))</t>
        </is>
      </c>
      <c r="BA313" s="49" t="inlineStr">
        <is>
          <t>IF(OR(F313="",AN313=""),"",IF(COUNT(AI313:AM313)=0,"",AN313-LOOKUP(2,1/(AI313:AM313&lt;&gt;""),AI313:AM313)))</t>
        </is>
      </c>
      <c r="BB313" s="49" t="inlineStr">
        <is>
          <t>IF(OR(F313="",AO313=""),"",IF(COUNT(AI313:AN313)=0,"",AO313-LOOKUP(2,1/(AI313:AN313&lt;&gt;""),AI313:AN313)))</t>
        </is>
      </c>
      <c r="BC313" s="49" t="inlineStr">
        <is>
          <t>IF(OR(F313="",AP313=""),"",IF(COUNT(AI313:AO313)=0,"",AP313-LOOKUP(2,1/(AI313:AO313&lt;&gt;""),AI313:AO313)))</t>
        </is>
      </c>
      <c r="BD313" s="49" t="inlineStr">
        <is>
          <t>IF(OR(F313="",AQ313=""),"",IF(COUNT(AI313:AP313)=0,"",AQ313-LOOKUP(2,1/(AI313:AP313&lt;&gt;""),AI313:AP313)))</t>
        </is>
      </c>
      <c r="BE313" s="49" t="inlineStr">
        <is>
          <t>IF(OR(F313="",AR313=""),"",IF(COUNT(AI313:AQ313)=0,"",AR313-LOOKUP(2,1/(AI313:AQ313&lt;&gt;""),AI313:AQ313)))</t>
        </is>
      </c>
      <c r="BF313" s="49" t="inlineStr">
        <is>
          <t>IF(OR(F313="",AS313=""),"",IF(COUNT(AI313:AR313)=0,"",AS313-LOOKUP(2,1/(AI313:AR313&lt;&gt;""),AI313:AR313)))</t>
        </is>
      </c>
      <c r="BG313" s="49" t="inlineStr">
        <is>
          <t>IF(OR(F313="",AT313=""),"",IF(COUNT(AI313:AS313)=0,"",AT313-LOOKUP(2,1/(AI313:AS313&lt;&gt;""),AI313:AS313)))</t>
        </is>
      </c>
      <c r="BH313" s="49" t="inlineStr">
        <is>
          <t>IF(OR(F313="",AU313=""),"",IF(COUNT(AI313:AT313)=0,"",AU313-LOOKUP(2,1/(AI313:AT313&lt;&gt;""),AI313:AT313)))</t>
        </is>
      </c>
      <c r="BI313" s="49" t="inlineStr">
        <is>
          <t>IF(OR(F313="",AV313=""),"",IF(COUNT(AI313:AU313)=0,"",AV313-LOOKUP(2,1/(AI313:AU313&lt;&gt;""),AI313:AU313)))</t>
        </is>
      </c>
      <c r="BJ313" s="51" t="inlineStr">
        <is>
          <t>IF(J313="","All_Provinces",IFERROR(VLOOKUP(J313,'09_Lookups'!$A$4:$B$20,2,FALSE),"All_Provinces"))</t>
        </is>
      </c>
      <c r="BK313" s="51" t="inlineStr">
        <is>
          <t>IF(K313="","All_Districts",IFERROR(VLOOKUP(K313,'09_Lookups'!$E$4:$F$42,2,FALSE),"All_Districts"))</t>
        </is>
      </c>
    </row>
    <row r="314" ht="18" customHeight="1">
      <c r="A314" s="32" t="inlineStr">
        <is>
          <t>IF(F314="","",ROW()-3)</t>
        </is>
      </c>
      <c r="B314" s="62" t="inlineStr">
        <is>
          <t>AF2-WSM-22</t>
        </is>
      </c>
      <c r="C314" s="62" t="inlineStr">
        <is>
          <t>Package #22-AF2 WSM: Construction of 5 Check dams 1.Kocni Karez , 2.By Khosh , 3. Ghul Khani, 4. Chy Dara in Ghorak district , and 5. Khanjak Mastan Aka in Nesh district of Kandahar province.</t>
        </is>
      </c>
      <c r="D314" s="62" t="inlineStr">
        <is>
          <t>1 of 5</t>
        </is>
      </c>
      <c r="E314" s="34" t="inlineStr">
        <is>
          <t>AF2-WSM-N-008</t>
        </is>
      </c>
      <c r="F314" s="34" t="inlineStr">
        <is>
          <t>By Khosh Dara Check Dam</t>
        </is>
      </c>
      <c r="G314" s="34" t="inlineStr">
        <is>
          <t>Watershed Management</t>
        </is>
      </c>
      <c r="H314" s="34" t="inlineStr">
        <is>
          <t>Check Dam</t>
        </is>
      </c>
      <c r="I314" s="34" t="inlineStr">
        <is>
          <t>Emergency Food Security Project (EFSP) – WBK/AF-2</t>
        </is>
      </c>
      <c r="J314" s="34" t="inlineStr">
        <is>
          <t>South / Kandahar</t>
        </is>
      </c>
      <c r="K314" s="34" t="inlineStr">
        <is>
          <t>Kandahar</t>
        </is>
      </c>
      <c r="L314" s="34" t="inlineStr">
        <is>
          <t>Ghorak</t>
        </is>
      </c>
      <c r="M314" s="34" t="inlineStr">
        <is>
          <t>By Khosh Village</t>
        </is>
      </c>
      <c r="N314" s="34" t="inlineStr">
        <is>
          <t>World Bank (WBK/AF-2)</t>
        </is>
      </c>
      <c r="O314" s="34" t="inlineStr">
        <is>
          <t>Not awarded</t>
        </is>
      </c>
      <c r="P314" s="34" t="inlineStr">
        <is>
          <t>4.WSM remaining contracts</t>
        </is>
      </c>
      <c r="Q314" s="34" t="inlineStr"/>
      <c r="R314" s="34" t="inlineStr"/>
      <c r="S314" s="35" t="n">
        <v>135000</v>
      </c>
      <c r="T314" s="36" t="inlineStr">
        <is>
          <t>IF(AQ314="","",AQ314)</t>
        </is>
      </c>
      <c r="U314" s="37" t="n">
        <v>46356</v>
      </c>
      <c r="V314" s="38" t="n">
        <v>5.9</v>
      </c>
      <c r="W314" s="37" t="n">
        <v>46536</v>
      </c>
      <c r="X314" s="36" t="inlineStr">
        <is>
          <t>IF(W314&lt;&gt;"",W314,IF(OR(T314="",V314=""),"",EDATE(T314,V314)))</t>
        </is>
      </c>
      <c r="Y314" s="37" t="n"/>
      <c r="Z314" s="38" t="n"/>
      <c r="AA314" s="34" t="inlineStr">
        <is>
          <t>Under Design</t>
        </is>
      </c>
      <c r="AB314" s="34" t="inlineStr">
        <is>
          <t>Technical clearance is expected to receive at end October. PR raised and ITB launched by the first week of November and award of contract by the end of November. Construction period for six months</t>
        </is>
      </c>
      <c r="AC314" s="32" t="inlineStr">
        <is>
          <t>IF(F314="","",IF(COUNT(AI314:AV314)=0,IF(AA314="","Not started",AA314),SUBSTITUTE(LOOKUP(2,1/(AI314:AV314&lt;&gt;""),$AI$3:$AV$3),"Date: ","")))</t>
        </is>
      </c>
      <c r="AD314" s="39" t="inlineStr">
        <is>
          <t>IF(OR(F314="",COUNT(AI314:AV314)=0),"",TODAY()-LOOKUP(2,1/(AI314:AV314&lt;&gt;""),AI314:AV314))</t>
        </is>
      </c>
      <c r="AE314" s="39" t="inlineStr">
        <is>
          <t>IF(OR(F314="",COUNT(AI314:AV314)&lt;2),"",LOOKUP(2,1/(AI314:AV314&lt;&gt;""),AI314:AV314)-MIN(AI314:AV314))</t>
        </is>
      </c>
      <c r="AF314" s="39" t="inlineStr">
        <is>
          <t>IF(OR(AD314="",AC314="Not started",AC314=""),"",IFERROR(AD314-IF(VLOOKUP(AC314,'06_Status_Pipeline'!$B$3:$E$20,4,FALSE)="",0,VLOOKUP(AC314,'06_Status_Pipeline'!$B$3:$E$20,4,FALSE)),""))</t>
        </is>
      </c>
      <c r="AG314" s="32" t="inlineStr">
        <is>
          <t>IF(F314="","",IF(OR(AA314="Cancelled",AC314="Cancelled"),"Cancelled",IF(OR(AC314="Completed / Handover",Y314&lt;&gt;"",Z314&gt;=100),"Completed — on track",IF(O314="Not awarded",IF(U314="",IF(X314="","No planned date",IF(TODAY()&gt;X314,"Behind — past planned date",IF(X314-TODAY()&lt;=30,"At risk — close to off track","On track"))),IF(TODAY()&gt;U314,"Behind — award date passed",IF(U314-TODAY()&lt;=30,"At risk — close to off track","On track"))),IF(X314="","No planned date",IF(AND(TODAY()&gt;X314,OR(Z314="",Z314&lt;100)),"Behind — past end date",IF(AND(T314&lt;&gt;"",X314&lt;&gt;"",Z314&lt;&gt;"",(Z314&lt;100),((TODAY()-T314)/MAX(X314-T314,1)*100)-Z314&gt;15),"Behind — progress lag",IF(AND(X314-TODAY()&lt;=30,X314-TODAY()&gt;=0,OR(Z314="",Z314&lt;90)),"At risk — close to off track","On track"))))))))</t>
        </is>
      </c>
      <c r="AH314" s="39" t="inlineStr">
        <is>
          <t>IF(OR(F314="",AC314="Completed / Handover",AC314="Cancelled"),"",IF(O314="Not awarded",IF(U314&lt;&gt;"",U314-TODAY(),IF(X314="","",X314-TODAY())),IF(X314="","",X314-TODAY())))</t>
        </is>
      </c>
      <c r="AI314" s="37" t="n"/>
      <c r="AJ314" s="37" t="n"/>
      <c r="AK314" s="37" t="n"/>
      <c r="AL314" s="37" t="n"/>
      <c r="AM314" s="37" t="n"/>
      <c r="AN314" s="37" t="n"/>
      <c r="AO314" s="37" t="n"/>
      <c r="AP314" s="37" t="n"/>
      <c r="AQ314" s="37" t="n"/>
      <c r="AR314" s="37" t="n"/>
      <c r="AS314" s="37" t="n"/>
      <c r="AT314" s="40" t="n"/>
      <c r="AU314" s="40" t="n"/>
      <c r="AV314" s="40" t="n"/>
      <c r="AW314" s="39" t="inlineStr">
        <is>
          <t>IF(OR(F314="",AJ314=""),"",IF(COUNT(AI314:AI314)=0,"",AJ314-LOOKUP(2,1/(AI314:AI314&lt;&gt;""),AI314:AI314)))</t>
        </is>
      </c>
      <c r="AX314" s="39" t="inlineStr">
        <is>
          <t>IF(OR(F314="",AK314=""),"",IF(COUNT(AI314:AJ314)=0,"",AK314-LOOKUP(2,1/(AI314:AJ314&lt;&gt;""),AI314:AJ314)))</t>
        </is>
      </c>
      <c r="AY314" s="39" t="inlineStr">
        <is>
          <t>IF(OR(F314="",AL314=""),"",IF(COUNT(AI314:AK314)=0,"",AL314-LOOKUP(2,1/(AI314:AK314&lt;&gt;""),AI314:AK314)))</t>
        </is>
      </c>
      <c r="AZ314" s="39" t="inlineStr">
        <is>
          <t>IF(OR(F314="",AM314=""),"",IF(COUNT(AI314:AL314)=0,"",AM314-LOOKUP(2,1/(AI314:AL314&lt;&gt;""),AI314:AL314)))</t>
        </is>
      </c>
      <c r="BA314" s="39" t="inlineStr">
        <is>
          <t>IF(OR(F314="",AN314=""),"",IF(COUNT(AI314:AM314)=0,"",AN314-LOOKUP(2,1/(AI314:AM314&lt;&gt;""),AI314:AM314)))</t>
        </is>
      </c>
      <c r="BB314" s="39" t="inlineStr">
        <is>
          <t>IF(OR(F314="",AO314=""),"",IF(COUNT(AI314:AN314)=0,"",AO314-LOOKUP(2,1/(AI314:AN314&lt;&gt;""),AI314:AN314)))</t>
        </is>
      </c>
      <c r="BC314" s="39" t="inlineStr">
        <is>
          <t>IF(OR(F314="",AP314=""),"",IF(COUNT(AI314:AO314)=0,"",AP314-LOOKUP(2,1/(AI314:AO314&lt;&gt;""),AI314:AO314)))</t>
        </is>
      </c>
      <c r="BD314" s="39" t="inlineStr">
        <is>
          <t>IF(OR(F314="",AQ314=""),"",IF(COUNT(AI314:AP314)=0,"",AQ314-LOOKUP(2,1/(AI314:AP314&lt;&gt;""),AI314:AP314)))</t>
        </is>
      </c>
      <c r="BE314" s="39" t="inlineStr">
        <is>
          <t>IF(OR(F314="",AR314=""),"",IF(COUNT(AI314:AQ314)=0,"",AR314-LOOKUP(2,1/(AI314:AQ314&lt;&gt;""),AI314:AQ314)))</t>
        </is>
      </c>
      <c r="BF314" s="39" t="inlineStr">
        <is>
          <t>IF(OR(F314="",AS314=""),"",IF(COUNT(AI314:AR314)=0,"",AS314-LOOKUP(2,1/(AI314:AR314&lt;&gt;""),AI314:AR314)))</t>
        </is>
      </c>
      <c r="BG314" s="39" t="inlineStr">
        <is>
          <t>IF(OR(F314="",AT314=""),"",IF(COUNT(AI314:AS314)=0,"",AT314-LOOKUP(2,1/(AI314:AS314&lt;&gt;""),AI314:AS314)))</t>
        </is>
      </c>
      <c r="BH314" s="39" t="inlineStr">
        <is>
          <t>IF(OR(F314="",AU314=""),"",IF(COUNT(AI314:AT314)=0,"",AU314-LOOKUP(2,1/(AI314:AT314&lt;&gt;""),AI314:AT314)))</t>
        </is>
      </c>
      <c r="BI314" s="39" t="inlineStr">
        <is>
          <t>IF(OR(F314="",AV314=""),"",IF(COUNT(AI314:AU314)=0,"",AV314-LOOKUP(2,1/(AI314:AU314&lt;&gt;""),AI314:AU314)))</t>
        </is>
      </c>
      <c r="BJ314" s="41" t="inlineStr">
        <is>
          <t>IF(J314="","All_Provinces",IFERROR(VLOOKUP(J314,'09_Lookups'!$A$4:$B$20,2,FALSE),"All_Provinces"))</t>
        </is>
      </c>
      <c r="BK314" s="41" t="inlineStr">
        <is>
          <t>IF(K314="","All_Districts",IFERROR(VLOOKUP(K314,'09_Lookups'!$E$4:$F$42,2,FALSE),"All_Districts"))</t>
        </is>
      </c>
    </row>
    <row r="315" outlineLevel="1" ht="18" customHeight="1">
      <c r="A315" s="42" t="inlineStr">
        <is>
          <t>IF(F315="","",ROW()-3)</t>
        </is>
      </c>
      <c r="B315" s="63" t="inlineStr">
        <is>
          <t>AF2-WSM-22</t>
        </is>
      </c>
      <c r="C315" s="63" t="inlineStr">
        <is>
          <t>Package #22-AF2 WSM: Construction of 5 Check dams 1.Kocni Karez , 2.By Khosh , 3. Ghul Khani, 4. Chy Dara in Ghorak district , and 5. Khanjak Mastan Aka in Nesh district of Kandahar province.</t>
        </is>
      </c>
      <c r="D315" s="63" t="inlineStr">
        <is>
          <t>2 of 5</t>
        </is>
      </c>
      <c r="E315" s="44" t="inlineStr">
        <is>
          <t>AF2-WSM-N-009</t>
        </is>
      </c>
      <c r="F315" s="44" t="inlineStr">
        <is>
          <t>Chy Dara Check Dam</t>
        </is>
      </c>
      <c r="G315" s="44" t="inlineStr">
        <is>
          <t>Watershed Management</t>
        </is>
      </c>
      <c r="H315" s="44" t="inlineStr">
        <is>
          <t>Check Dam</t>
        </is>
      </c>
      <c r="I315" s="44" t="inlineStr">
        <is>
          <t>Emergency Food Security Project (EFSP) – WBK/AF-2</t>
        </is>
      </c>
      <c r="J315" s="44" t="inlineStr">
        <is>
          <t>South / Kandahar</t>
        </is>
      </c>
      <c r="K315" s="44" t="inlineStr">
        <is>
          <t>Kandahar</t>
        </is>
      </c>
      <c r="L315" s="44" t="inlineStr">
        <is>
          <t>Ghorak</t>
        </is>
      </c>
      <c r="M315" s="44" t="inlineStr">
        <is>
          <t>Chy dar Village</t>
        </is>
      </c>
      <c r="N315" s="44" t="inlineStr">
        <is>
          <t>World Bank (WBK/AF-2)</t>
        </is>
      </c>
      <c r="O315" s="44" t="inlineStr">
        <is>
          <t>Not awarded</t>
        </is>
      </c>
      <c r="P315" s="44" t="inlineStr">
        <is>
          <t>4.WSM remaining contracts</t>
        </is>
      </c>
      <c r="Q315" s="44" t="inlineStr"/>
      <c r="R315" s="44" t="inlineStr"/>
      <c r="S315" s="45" t="n">
        <v>135000</v>
      </c>
      <c r="T315" s="46" t="inlineStr">
        <is>
          <t>IF(AQ315="","",AQ315)</t>
        </is>
      </c>
      <c r="U315" s="47" t="n">
        <v>46356</v>
      </c>
      <c r="V315" s="48" t="n">
        <v>5.9</v>
      </c>
      <c r="W315" s="47" t="n">
        <v>46536</v>
      </c>
      <c r="X315" s="46" t="inlineStr">
        <is>
          <t>IF(W315&lt;&gt;"",W315,IF(OR(T315="",V315=""),"",EDATE(T315,V315)))</t>
        </is>
      </c>
      <c r="Y315" s="47" t="n"/>
      <c r="Z315" s="48" t="n"/>
      <c r="AA315" s="44" t="inlineStr">
        <is>
          <t>Under Design</t>
        </is>
      </c>
      <c r="AB315" s="44" t="inlineStr">
        <is>
          <t>Technical clearance is expected to receive at end October. PR raised and ITB launched by the first week of November and award of contract by the end of November. Construction period for six months</t>
        </is>
      </c>
      <c r="AC315" s="42" t="inlineStr">
        <is>
          <t>IF(F315="","",IF(COUNT(AI315:AV315)=0,IF(AA315="","Not started",AA315),SUBSTITUTE(LOOKUP(2,1/(AI315:AV315&lt;&gt;""),$AI$3:$AV$3),"Date: ","")))</t>
        </is>
      </c>
      <c r="AD315" s="49" t="inlineStr">
        <is>
          <t>IF(OR(F315="",COUNT(AI315:AV315)=0),"",TODAY()-LOOKUP(2,1/(AI315:AV315&lt;&gt;""),AI315:AV315))</t>
        </is>
      </c>
      <c r="AE315" s="49" t="inlineStr">
        <is>
          <t>IF(OR(F315="",COUNT(AI315:AV315)&lt;2),"",LOOKUP(2,1/(AI315:AV315&lt;&gt;""),AI315:AV315)-MIN(AI315:AV315))</t>
        </is>
      </c>
      <c r="AF315" s="49" t="inlineStr">
        <is>
          <t>IF(OR(AD315="",AC315="Not started",AC315=""),"",IFERROR(AD315-IF(VLOOKUP(AC315,'06_Status_Pipeline'!$B$3:$E$20,4,FALSE)="",0,VLOOKUP(AC315,'06_Status_Pipeline'!$B$3:$E$20,4,FALSE)),""))</t>
        </is>
      </c>
      <c r="AG315" s="42" t="inlineStr">
        <is>
          <t>IF(F315="","",IF(OR(AA315="Cancelled",AC315="Cancelled"),"Cancelled",IF(OR(AC315="Completed / Handover",Y315&lt;&gt;"",Z315&gt;=100),"Completed — on track",IF(O315="Not awarded",IF(U315="",IF(X315="","No planned date",IF(TODAY()&gt;X315,"Behind — past planned date",IF(X315-TODAY()&lt;=30,"At risk — close to off track","On track"))),IF(TODAY()&gt;U315,"Behind — award date passed",IF(U315-TODAY()&lt;=30,"At risk — close to off track","On track"))),IF(X315="","No planned date",IF(AND(TODAY()&gt;X315,OR(Z315="",Z315&lt;100)),"Behind — past end date",IF(AND(T315&lt;&gt;"",X315&lt;&gt;"",Z315&lt;&gt;"",(Z315&lt;100),((TODAY()-T315)/MAX(X315-T315,1)*100)-Z315&gt;15),"Behind — progress lag",IF(AND(X315-TODAY()&lt;=30,X315-TODAY()&gt;=0,OR(Z315="",Z315&lt;90)),"At risk — close to off track","On track"))))))))</t>
        </is>
      </c>
      <c r="AH315" s="49" t="inlineStr">
        <is>
          <t>IF(OR(F315="",AC315="Completed / Handover",AC315="Cancelled"),"",IF(O315="Not awarded",IF(U315&lt;&gt;"",U315-TODAY(),IF(X315="","",X315-TODAY())),IF(X315="","",X315-TODAY())))</t>
        </is>
      </c>
      <c r="AI315" s="47" t="n"/>
      <c r="AJ315" s="47" t="n"/>
      <c r="AK315" s="47" t="n"/>
      <c r="AL315" s="47" t="n"/>
      <c r="AM315" s="47" t="n"/>
      <c r="AN315" s="47" t="n"/>
      <c r="AO315" s="47" t="n"/>
      <c r="AP315" s="47" t="n"/>
      <c r="AQ315" s="47" t="n"/>
      <c r="AR315" s="47" t="n"/>
      <c r="AS315" s="47" t="n"/>
      <c r="AT315" s="50" t="n"/>
      <c r="AU315" s="50" t="n"/>
      <c r="AV315" s="50" t="n"/>
      <c r="AW315" s="49" t="inlineStr">
        <is>
          <t>IF(OR(F315="",AJ315=""),"",IF(COUNT(AI315:AI315)=0,"",AJ315-LOOKUP(2,1/(AI315:AI315&lt;&gt;""),AI315:AI315)))</t>
        </is>
      </c>
      <c r="AX315" s="49" t="inlineStr">
        <is>
          <t>IF(OR(F315="",AK315=""),"",IF(COUNT(AI315:AJ315)=0,"",AK315-LOOKUP(2,1/(AI315:AJ315&lt;&gt;""),AI315:AJ315)))</t>
        </is>
      </c>
      <c r="AY315" s="49" t="inlineStr">
        <is>
          <t>IF(OR(F315="",AL315=""),"",IF(COUNT(AI315:AK315)=0,"",AL315-LOOKUP(2,1/(AI315:AK315&lt;&gt;""),AI315:AK315)))</t>
        </is>
      </c>
      <c r="AZ315" s="49" t="inlineStr">
        <is>
          <t>IF(OR(F315="",AM315=""),"",IF(COUNT(AI315:AL315)=0,"",AM315-LOOKUP(2,1/(AI315:AL315&lt;&gt;""),AI315:AL315)))</t>
        </is>
      </c>
      <c r="BA315" s="49" t="inlineStr">
        <is>
          <t>IF(OR(F315="",AN315=""),"",IF(COUNT(AI315:AM315)=0,"",AN315-LOOKUP(2,1/(AI315:AM315&lt;&gt;""),AI315:AM315)))</t>
        </is>
      </c>
      <c r="BB315" s="49" t="inlineStr">
        <is>
          <t>IF(OR(F315="",AO315=""),"",IF(COUNT(AI315:AN315)=0,"",AO315-LOOKUP(2,1/(AI315:AN315&lt;&gt;""),AI315:AN315)))</t>
        </is>
      </c>
      <c r="BC315" s="49" t="inlineStr">
        <is>
          <t>IF(OR(F315="",AP315=""),"",IF(COUNT(AI315:AO315)=0,"",AP315-LOOKUP(2,1/(AI315:AO315&lt;&gt;""),AI315:AO315)))</t>
        </is>
      </c>
      <c r="BD315" s="49" t="inlineStr">
        <is>
          <t>IF(OR(F315="",AQ315=""),"",IF(COUNT(AI315:AP315)=0,"",AQ315-LOOKUP(2,1/(AI315:AP315&lt;&gt;""),AI315:AP315)))</t>
        </is>
      </c>
      <c r="BE315" s="49" t="inlineStr">
        <is>
          <t>IF(OR(F315="",AR315=""),"",IF(COUNT(AI315:AQ315)=0,"",AR315-LOOKUP(2,1/(AI315:AQ315&lt;&gt;""),AI315:AQ315)))</t>
        </is>
      </c>
      <c r="BF315" s="49" t="inlineStr">
        <is>
          <t>IF(OR(F315="",AS315=""),"",IF(COUNT(AI315:AR315)=0,"",AS315-LOOKUP(2,1/(AI315:AR315&lt;&gt;""),AI315:AR315)))</t>
        </is>
      </c>
      <c r="BG315" s="49" t="inlineStr">
        <is>
          <t>IF(OR(F315="",AT315=""),"",IF(COUNT(AI315:AS315)=0,"",AT315-LOOKUP(2,1/(AI315:AS315&lt;&gt;""),AI315:AS315)))</t>
        </is>
      </c>
      <c r="BH315" s="49" t="inlineStr">
        <is>
          <t>IF(OR(F315="",AU315=""),"",IF(COUNT(AI315:AT315)=0,"",AU315-LOOKUP(2,1/(AI315:AT315&lt;&gt;""),AI315:AT315)))</t>
        </is>
      </c>
      <c r="BI315" s="49" t="inlineStr">
        <is>
          <t>IF(OR(F315="",AV315=""),"",IF(COUNT(AI315:AU315)=0,"",AV315-LOOKUP(2,1/(AI315:AU315&lt;&gt;""),AI315:AU315)))</t>
        </is>
      </c>
      <c r="BJ315" s="51" t="inlineStr">
        <is>
          <t>IF(J315="","All_Provinces",IFERROR(VLOOKUP(J315,'09_Lookups'!$A$4:$B$20,2,FALSE),"All_Provinces"))</t>
        </is>
      </c>
      <c r="BK315" s="51" t="inlineStr">
        <is>
          <t>IF(K315="","All_Districts",IFERROR(VLOOKUP(K315,'09_Lookups'!$E$4:$F$42,2,FALSE),"All_Districts"))</t>
        </is>
      </c>
    </row>
    <row r="316" outlineLevel="1" ht="18" customHeight="1">
      <c r="A316" s="42" t="inlineStr">
        <is>
          <t>IF(F316="","",ROW()-3)</t>
        </is>
      </c>
      <c r="B316" s="63" t="inlineStr">
        <is>
          <t>AF2-WSM-22</t>
        </is>
      </c>
      <c r="C316" s="63" t="inlineStr">
        <is>
          <t>Package #22-AF2 WSM: Construction of 5 Check dams 1.Kocni Karez , 2.By Khosh , 3. Ghul Khani, 4. Chy Dara in Ghorak district , and 5. Khanjak Mastan Aka in Nesh district of Kandahar province.</t>
        </is>
      </c>
      <c r="D316" s="63" t="inlineStr">
        <is>
          <t>3 of 5</t>
        </is>
      </c>
      <c r="E316" s="52" t="inlineStr">
        <is>
          <t>AF2-WSM-N-010</t>
        </is>
      </c>
      <c r="F316" s="52" t="inlineStr">
        <is>
          <t>Ghul Khani Dara Check Dam</t>
        </is>
      </c>
      <c r="G316" s="52" t="inlineStr">
        <is>
          <t>Watershed Management</t>
        </is>
      </c>
      <c r="H316" s="52" t="inlineStr">
        <is>
          <t>Check Dam</t>
        </is>
      </c>
      <c r="I316" s="52" t="inlineStr">
        <is>
          <t>Emergency Food Security Project (EFSP) – WBK/AF-2</t>
        </is>
      </c>
      <c r="J316" s="52" t="inlineStr">
        <is>
          <t>South / Kandahar</t>
        </is>
      </c>
      <c r="K316" s="52" t="inlineStr">
        <is>
          <t>Kandahar</t>
        </is>
      </c>
      <c r="L316" s="52" t="inlineStr">
        <is>
          <t>Ghorak</t>
        </is>
      </c>
      <c r="M316" s="52" t="inlineStr">
        <is>
          <t>Ghul Khani Village</t>
        </is>
      </c>
      <c r="N316" s="52" t="inlineStr">
        <is>
          <t>World Bank (WBK/AF-2)</t>
        </is>
      </c>
      <c r="O316" s="52" t="inlineStr">
        <is>
          <t>Not awarded</t>
        </is>
      </c>
      <c r="P316" s="52" t="inlineStr">
        <is>
          <t>4.WSM remaining contracts</t>
        </is>
      </c>
      <c r="Q316" s="52" t="inlineStr"/>
      <c r="R316" s="52" t="inlineStr"/>
      <c r="S316" s="53" t="n">
        <v>135000</v>
      </c>
      <c r="T316" s="46" t="inlineStr">
        <is>
          <t>IF(AQ316="","",AQ316)</t>
        </is>
      </c>
      <c r="U316" s="54" t="n">
        <v>46356</v>
      </c>
      <c r="V316" s="55" t="n">
        <v>5.9</v>
      </c>
      <c r="W316" s="54" t="n">
        <v>46536</v>
      </c>
      <c r="X316" s="46" t="inlineStr">
        <is>
          <t>IF(W316&lt;&gt;"",W316,IF(OR(T316="",V316=""),"",EDATE(T316,V316)))</t>
        </is>
      </c>
      <c r="Y316" s="54" t="n"/>
      <c r="Z316" s="55" t="n"/>
      <c r="AA316" s="52" t="inlineStr">
        <is>
          <t>Under Design</t>
        </is>
      </c>
      <c r="AB316" s="52" t="inlineStr">
        <is>
          <t>Technical clearance is expected to receive at end October. PR raised and ITB launched by the first week of November and award of contract by the end of November. Construction period for six months</t>
        </is>
      </c>
      <c r="AC316" s="42" t="inlineStr">
        <is>
          <t>IF(F316="","",IF(COUNT(AI316:AV316)=0,IF(AA316="","Not started",AA316),SUBSTITUTE(LOOKUP(2,1/(AI316:AV316&lt;&gt;""),$AI$3:$AV$3),"Date: ","")))</t>
        </is>
      </c>
      <c r="AD316" s="49" t="inlineStr">
        <is>
          <t>IF(OR(F316="",COUNT(AI316:AV316)=0),"",TODAY()-LOOKUP(2,1/(AI316:AV316&lt;&gt;""),AI316:AV316))</t>
        </is>
      </c>
      <c r="AE316" s="49" t="inlineStr">
        <is>
          <t>IF(OR(F316="",COUNT(AI316:AV316)&lt;2),"",LOOKUP(2,1/(AI316:AV316&lt;&gt;""),AI316:AV316)-MIN(AI316:AV316))</t>
        </is>
      </c>
      <c r="AF316" s="49" t="inlineStr">
        <is>
          <t>IF(OR(AD316="",AC316="Not started",AC316=""),"",IFERROR(AD316-IF(VLOOKUP(AC316,'06_Status_Pipeline'!$B$3:$E$20,4,FALSE)="",0,VLOOKUP(AC316,'06_Status_Pipeline'!$B$3:$E$20,4,FALSE)),""))</t>
        </is>
      </c>
      <c r="AG316" s="42" t="inlineStr">
        <is>
          <t>IF(F316="","",IF(OR(AA316="Cancelled",AC316="Cancelled"),"Cancelled",IF(OR(AC316="Completed / Handover",Y316&lt;&gt;"",Z316&gt;=100),"Completed — on track",IF(O316="Not awarded",IF(U316="",IF(X316="","No planned date",IF(TODAY()&gt;X316,"Behind — past planned date",IF(X316-TODAY()&lt;=30,"At risk — close to off track","On track"))),IF(TODAY()&gt;U316,"Behind — award date passed",IF(U316-TODAY()&lt;=30,"At risk — close to off track","On track"))),IF(X316="","No planned date",IF(AND(TODAY()&gt;X316,OR(Z316="",Z316&lt;100)),"Behind — past end date",IF(AND(T316&lt;&gt;"",X316&lt;&gt;"",Z316&lt;&gt;"",(Z316&lt;100),((TODAY()-T316)/MAX(X316-T316,1)*100)-Z316&gt;15),"Behind — progress lag",IF(AND(X316-TODAY()&lt;=30,X316-TODAY()&gt;=0,OR(Z316="",Z316&lt;90)),"At risk — close to off track","On track"))))))))</t>
        </is>
      </c>
      <c r="AH316" s="49" t="inlineStr">
        <is>
          <t>IF(OR(F316="",AC316="Completed / Handover",AC316="Cancelled"),"",IF(O316="Not awarded",IF(U316&lt;&gt;"",U316-TODAY(),IF(X316="","",X316-TODAY())),IF(X316="","",X316-TODAY())))</t>
        </is>
      </c>
      <c r="AI316" s="54" t="n"/>
      <c r="AJ316" s="54" t="n"/>
      <c r="AK316" s="54" t="n"/>
      <c r="AL316" s="54" t="n"/>
      <c r="AM316" s="54" t="n"/>
      <c r="AN316" s="54" t="n"/>
      <c r="AO316" s="54" t="n"/>
      <c r="AP316" s="54" t="n"/>
      <c r="AQ316" s="54" t="n"/>
      <c r="AR316" s="54" t="n"/>
      <c r="AS316" s="54" t="n"/>
      <c r="AT316" s="50" t="n"/>
      <c r="AU316" s="50" t="n"/>
      <c r="AV316" s="50" t="n"/>
      <c r="AW316" s="49" t="inlineStr">
        <is>
          <t>IF(OR(F316="",AJ316=""),"",IF(COUNT(AI316:AI316)=0,"",AJ316-LOOKUP(2,1/(AI316:AI316&lt;&gt;""),AI316:AI316)))</t>
        </is>
      </c>
      <c r="AX316" s="49" t="inlineStr">
        <is>
          <t>IF(OR(F316="",AK316=""),"",IF(COUNT(AI316:AJ316)=0,"",AK316-LOOKUP(2,1/(AI316:AJ316&lt;&gt;""),AI316:AJ316)))</t>
        </is>
      </c>
      <c r="AY316" s="49" t="inlineStr">
        <is>
          <t>IF(OR(F316="",AL316=""),"",IF(COUNT(AI316:AK316)=0,"",AL316-LOOKUP(2,1/(AI316:AK316&lt;&gt;""),AI316:AK316)))</t>
        </is>
      </c>
      <c r="AZ316" s="49" t="inlineStr">
        <is>
          <t>IF(OR(F316="",AM316=""),"",IF(COUNT(AI316:AL316)=0,"",AM316-LOOKUP(2,1/(AI316:AL316&lt;&gt;""),AI316:AL316)))</t>
        </is>
      </c>
      <c r="BA316" s="49" t="inlineStr">
        <is>
          <t>IF(OR(F316="",AN316=""),"",IF(COUNT(AI316:AM316)=0,"",AN316-LOOKUP(2,1/(AI316:AM316&lt;&gt;""),AI316:AM316)))</t>
        </is>
      </c>
      <c r="BB316" s="49" t="inlineStr">
        <is>
          <t>IF(OR(F316="",AO316=""),"",IF(COUNT(AI316:AN316)=0,"",AO316-LOOKUP(2,1/(AI316:AN316&lt;&gt;""),AI316:AN316)))</t>
        </is>
      </c>
      <c r="BC316" s="49" t="inlineStr">
        <is>
          <t>IF(OR(F316="",AP316=""),"",IF(COUNT(AI316:AO316)=0,"",AP316-LOOKUP(2,1/(AI316:AO316&lt;&gt;""),AI316:AO316)))</t>
        </is>
      </c>
      <c r="BD316" s="49" t="inlineStr">
        <is>
          <t>IF(OR(F316="",AQ316=""),"",IF(COUNT(AI316:AP316)=0,"",AQ316-LOOKUP(2,1/(AI316:AP316&lt;&gt;""),AI316:AP316)))</t>
        </is>
      </c>
      <c r="BE316" s="49" t="inlineStr">
        <is>
          <t>IF(OR(F316="",AR316=""),"",IF(COUNT(AI316:AQ316)=0,"",AR316-LOOKUP(2,1/(AI316:AQ316&lt;&gt;""),AI316:AQ316)))</t>
        </is>
      </c>
      <c r="BF316" s="49" t="inlineStr">
        <is>
          <t>IF(OR(F316="",AS316=""),"",IF(COUNT(AI316:AR316)=0,"",AS316-LOOKUP(2,1/(AI316:AR316&lt;&gt;""),AI316:AR316)))</t>
        </is>
      </c>
      <c r="BG316" s="49" t="inlineStr">
        <is>
          <t>IF(OR(F316="",AT316=""),"",IF(COUNT(AI316:AS316)=0,"",AT316-LOOKUP(2,1/(AI316:AS316&lt;&gt;""),AI316:AS316)))</t>
        </is>
      </c>
      <c r="BH316" s="49" t="inlineStr">
        <is>
          <t>IF(OR(F316="",AU316=""),"",IF(COUNT(AI316:AT316)=0,"",AU316-LOOKUP(2,1/(AI316:AT316&lt;&gt;""),AI316:AT316)))</t>
        </is>
      </c>
      <c r="BI316" s="49" t="inlineStr">
        <is>
          <t>IF(OR(F316="",AV316=""),"",IF(COUNT(AI316:AU316)=0,"",AV316-LOOKUP(2,1/(AI316:AU316&lt;&gt;""),AI316:AU316)))</t>
        </is>
      </c>
      <c r="BJ316" s="51" t="inlineStr">
        <is>
          <t>IF(J316="","All_Provinces",IFERROR(VLOOKUP(J316,'09_Lookups'!$A$4:$B$20,2,FALSE),"All_Provinces"))</t>
        </is>
      </c>
      <c r="BK316" s="51" t="inlineStr">
        <is>
          <t>IF(K316="","All_Districts",IFERROR(VLOOKUP(K316,'09_Lookups'!$E$4:$F$42,2,FALSE),"All_Districts"))</t>
        </is>
      </c>
    </row>
    <row r="317" outlineLevel="1" ht="18" customHeight="1">
      <c r="A317" s="42" t="inlineStr">
        <is>
          <t>IF(F317="","",ROW()-3)</t>
        </is>
      </c>
      <c r="B317" s="63" t="inlineStr">
        <is>
          <t>AF2-WSM-22</t>
        </is>
      </c>
      <c r="C317" s="63" t="inlineStr">
        <is>
          <t>Package #22-AF2 WSM: Construction of 5 Check dams 1.Kocni Karez , 2.By Khosh , 3. Ghul Khani, 4. Chy Dara in Ghorak district , and 5. Khanjak Mastan Aka in Nesh district of Kandahar province.</t>
        </is>
      </c>
      <c r="D317" s="63" t="inlineStr">
        <is>
          <t>4 of 5</t>
        </is>
      </c>
      <c r="E317" s="44" t="inlineStr">
        <is>
          <t>AF2-WSM-N-011</t>
        </is>
      </c>
      <c r="F317" s="44" t="inlineStr">
        <is>
          <t>Khanjak Check Dam</t>
        </is>
      </c>
      <c r="G317" s="44" t="inlineStr">
        <is>
          <t>Watershed Management</t>
        </is>
      </c>
      <c r="H317" s="44" t="inlineStr">
        <is>
          <t>Check Dam</t>
        </is>
      </c>
      <c r="I317" s="44" t="inlineStr">
        <is>
          <t>Emergency Food Security Project (EFSP) – WBK/AF-2</t>
        </is>
      </c>
      <c r="J317" s="44" t="inlineStr">
        <is>
          <t>South / Kandahar</t>
        </is>
      </c>
      <c r="K317" s="44" t="inlineStr">
        <is>
          <t>Kandahar</t>
        </is>
      </c>
      <c r="L317" s="44" t="inlineStr">
        <is>
          <t>Nesh</t>
        </is>
      </c>
      <c r="M317" s="44" t="inlineStr">
        <is>
          <t>Khanjak Mastan Aka</t>
        </is>
      </c>
      <c r="N317" s="44" t="inlineStr">
        <is>
          <t>World Bank (WBK/AF-2)</t>
        </is>
      </c>
      <c r="O317" s="44" t="inlineStr">
        <is>
          <t>Not awarded</t>
        </is>
      </c>
      <c r="P317" s="44" t="inlineStr">
        <is>
          <t>4.WSM remaining contracts</t>
        </is>
      </c>
      <c r="Q317" s="44" t="inlineStr"/>
      <c r="R317" s="44" t="inlineStr"/>
      <c r="S317" s="45" t="n">
        <v>135000</v>
      </c>
      <c r="T317" s="46" t="inlineStr">
        <is>
          <t>IF(AQ317="","",AQ317)</t>
        </is>
      </c>
      <c r="U317" s="47" t="n">
        <v>46356</v>
      </c>
      <c r="V317" s="48" t="n">
        <v>5.9</v>
      </c>
      <c r="W317" s="47" t="n">
        <v>46536</v>
      </c>
      <c r="X317" s="46" t="inlineStr">
        <is>
          <t>IF(W317&lt;&gt;"",W317,IF(OR(T317="",V317=""),"",EDATE(T317,V317)))</t>
        </is>
      </c>
      <c r="Y317" s="47" t="n"/>
      <c r="Z317" s="48" t="n"/>
      <c r="AA317" s="44" t="inlineStr">
        <is>
          <t>Under Design</t>
        </is>
      </c>
      <c r="AB317" s="44" t="inlineStr">
        <is>
          <t>Technical clearance is expected to receive at end October. PR raised and ITB launched by the first week of November and award of contract by the end of November. Construction period for six months</t>
        </is>
      </c>
      <c r="AC317" s="42" t="inlineStr">
        <is>
          <t>IF(F317="","",IF(COUNT(AI317:AV317)=0,IF(AA317="","Not started",AA317),SUBSTITUTE(LOOKUP(2,1/(AI317:AV317&lt;&gt;""),$AI$3:$AV$3),"Date: ","")))</t>
        </is>
      </c>
      <c r="AD317" s="49" t="inlineStr">
        <is>
          <t>IF(OR(F317="",COUNT(AI317:AV317)=0),"",TODAY()-LOOKUP(2,1/(AI317:AV317&lt;&gt;""),AI317:AV317))</t>
        </is>
      </c>
      <c r="AE317" s="49" t="inlineStr">
        <is>
          <t>IF(OR(F317="",COUNT(AI317:AV317)&lt;2),"",LOOKUP(2,1/(AI317:AV317&lt;&gt;""),AI317:AV317)-MIN(AI317:AV317))</t>
        </is>
      </c>
      <c r="AF317" s="49" t="inlineStr">
        <is>
          <t>IF(OR(AD317="",AC317="Not started",AC317=""),"",IFERROR(AD317-IF(VLOOKUP(AC317,'06_Status_Pipeline'!$B$3:$E$20,4,FALSE)="",0,VLOOKUP(AC317,'06_Status_Pipeline'!$B$3:$E$20,4,FALSE)),""))</t>
        </is>
      </c>
      <c r="AG317" s="42" t="inlineStr">
        <is>
          <t>IF(F317="","",IF(OR(AA317="Cancelled",AC317="Cancelled"),"Cancelled",IF(OR(AC317="Completed / Handover",Y317&lt;&gt;"",Z317&gt;=100),"Completed — on track",IF(O317="Not awarded",IF(U317="",IF(X317="","No planned date",IF(TODAY()&gt;X317,"Behind — past planned date",IF(X317-TODAY()&lt;=30,"At risk — close to off track","On track"))),IF(TODAY()&gt;U317,"Behind — award date passed",IF(U317-TODAY()&lt;=30,"At risk — close to off track","On track"))),IF(X317="","No planned date",IF(AND(TODAY()&gt;X317,OR(Z317="",Z317&lt;100)),"Behind — past end date",IF(AND(T317&lt;&gt;"",X317&lt;&gt;"",Z317&lt;&gt;"",(Z317&lt;100),((TODAY()-T317)/MAX(X317-T317,1)*100)-Z317&gt;15),"Behind — progress lag",IF(AND(X317-TODAY()&lt;=30,X317-TODAY()&gt;=0,OR(Z317="",Z317&lt;90)),"At risk — close to off track","On track"))))))))</t>
        </is>
      </c>
      <c r="AH317" s="49" t="inlineStr">
        <is>
          <t>IF(OR(F317="",AC317="Completed / Handover",AC317="Cancelled"),"",IF(O317="Not awarded",IF(U317&lt;&gt;"",U317-TODAY(),IF(X317="","",X317-TODAY())),IF(X317="","",X317-TODAY())))</t>
        </is>
      </c>
      <c r="AI317" s="47" t="n"/>
      <c r="AJ317" s="47" t="n"/>
      <c r="AK317" s="47" t="n"/>
      <c r="AL317" s="47" t="n"/>
      <c r="AM317" s="47" t="n"/>
      <c r="AN317" s="47" t="n"/>
      <c r="AO317" s="47" t="n"/>
      <c r="AP317" s="47" t="n"/>
      <c r="AQ317" s="47" t="n"/>
      <c r="AR317" s="47" t="n"/>
      <c r="AS317" s="47" t="n"/>
      <c r="AT317" s="50" t="n"/>
      <c r="AU317" s="50" t="n"/>
      <c r="AV317" s="50" t="n"/>
      <c r="AW317" s="49" t="inlineStr">
        <is>
          <t>IF(OR(F317="",AJ317=""),"",IF(COUNT(AI317:AI317)=0,"",AJ317-LOOKUP(2,1/(AI317:AI317&lt;&gt;""),AI317:AI317)))</t>
        </is>
      </c>
      <c r="AX317" s="49" t="inlineStr">
        <is>
          <t>IF(OR(F317="",AK317=""),"",IF(COUNT(AI317:AJ317)=0,"",AK317-LOOKUP(2,1/(AI317:AJ317&lt;&gt;""),AI317:AJ317)))</t>
        </is>
      </c>
      <c r="AY317" s="49" t="inlineStr">
        <is>
          <t>IF(OR(F317="",AL317=""),"",IF(COUNT(AI317:AK317)=0,"",AL317-LOOKUP(2,1/(AI317:AK317&lt;&gt;""),AI317:AK317)))</t>
        </is>
      </c>
      <c r="AZ317" s="49" t="inlineStr">
        <is>
          <t>IF(OR(F317="",AM317=""),"",IF(COUNT(AI317:AL317)=0,"",AM317-LOOKUP(2,1/(AI317:AL317&lt;&gt;""),AI317:AL317)))</t>
        </is>
      </c>
      <c r="BA317" s="49" t="inlineStr">
        <is>
          <t>IF(OR(F317="",AN317=""),"",IF(COUNT(AI317:AM317)=0,"",AN317-LOOKUP(2,1/(AI317:AM317&lt;&gt;""),AI317:AM317)))</t>
        </is>
      </c>
      <c r="BB317" s="49" t="inlineStr">
        <is>
          <t>IF(OR(F317="",AO317=""),"",IF(COUNT(AI317:AN317)=0,"",AO317-LOOKUP(2,1/(AI317:AN317&lt;&gt;""),AI317:AN317)))</t>
        </is>
      </c>
      <c r="BC317" s="49" t="inlineStr">
        <is>
          <t>IF(OR(F317="",AP317=""),"",IF(COUNT(AI317:AO317)=0,"",AP317-LOOKUP(2,1/(AI317:AO317&lt;&gt;""),AI317:AO317)))</t>
        </is>
      </c>
      <c r="BD317" s="49" t="inlineStr">
        <is>
          <t>IF(OR(F317="",AQ317=""),"",IF(COUNT(AI317:AP317)=0,"",AQ317-LOOKUP(2,1/(AI317:AP317&lt;&gt;""),AI317:AP317)))</t>
        </is>
      </c>
      <c r="BE317" s="49" t="inlineStr">
        <is>
          <t>IF(OR(F317="",AR317=""),"",IF(COUNT(AI317:AQ317)=0,"",AR317-LOOKUP(2,1/(AI317:AQ317&lt;&gt;""),AI317:AQ317)))</t>
        </is>
      </c>
      <c r="BF317" s="49" t="inlineStr">
        <is>
          <t>IF(OR(F317="",AS317=""),"",IF(COUNT(AI317:AR317)=0,"",AS317-LOOKUP(2,1/(AI317:AR317&lt;&gt;""),AI317:AR317)))</t>
        </is>
      </c>
      <c r="BG317" s="49" t="inlineStr">
        <is>
          <t>IF(OR(F317="",AT317=""),"",IF(COUNT(AI317:AS317)=0,"",AT317-LOOKUP(2,1/(AI317:AS317&lt;&gt;""),AI317:AS317)))</t>
        </is>
      </c>
      <c r="BH317" s="49" t="inlineStr">
        <is>
          <t>IF(OR(F317="",AU317=""),"",IF(COUNT(AI317:AT317)=0,"",AU317-LOOKUP(2,1/(AI317:AT317&lt;&gt;""),AI317:AT317)))</t>
        </is>
      </c>
      <c r="BI317" s="49" t="inlineStr">
        <is>
          <t>IF(OR(F317="",AV317=""),"",IF(COUNT(AI317:AU317)=0,"",AV317-LOOKUP(2,1/(AI317:AU317&lt;&gt;""),AI317:AU317)))</t>
        </is>
      </c>
      <c r="BJ317" s="51" t="inlineStr">
        <is>
          <t>IF(J317="","All_Provinces",IFERROR(VLOOKUP(J317,'09_Lookups'!$A$4:$B$20,2,FALSE),"All_Provinces"))</t>
        </is>
      </c>
      <c r="BK317" s="51" t="inlineStr">
        <is>
          <t>IF(K317="","All_Districts",IFERROR(VLOOKUP(K317,'09_Lookups'!$E$4:$F$42,2,FALSE),"All_Districts"))</t>
        </is>
      </c>
    </row>
    <row r="318" outlineLevel="1" ht="18" customHeight="1">
      <c r="A318" s="42" t="inlineStr">
        <is>
          <t>IF(F318="","",ROW()-3)</t>
        </is>
      </c>
      <c r="B318" s="63" t="inlineStr">
        <is>
          <t>AF2-WSM-22</t>
        </is>
      </c>
      <c r="C318" s="63" t="inlineStr">
        <is>
          <t>Package #22-AF2 WSM: Construction of 5 Check dams 1.Kocni Karez , 2.By Khosh , 3. Ghul Khani, 4. Chy Dara in Ghorak district , and 5. Khanjak Mastan Aka in Nesh district of Kandahar province.</t>
        </is>
      </c>
      <c r="D318" s="63" t="inlineStr">
        <is>
          <t>5 of 5</t>
        </is>
      </c>
      <c r="E318" s="52" t="inlineStr">
        <is>
          <t>AF2-WSM-N-012</t>
        </is>
      </c>
      <c r="F318" s="52" t="inlineStr">
        <is>
          <t>Kocni Karez Check Dam</t>
        </is>
      </c>
      <c r="G318" s="52" t="inlineStr">
        <is>
          <t>Watershed Management</t>
        </is>
      </c>
      <c r="H318" s="52" t="inlineStr">
        <is>
          <t>Karez Rehabilitation</t>
        </is>
      </c>
      <c r="I318" s="52" t="inlineStr">
        <is>
          <t>Emergency Food Security Project (EFSP) – WBK/AF-2</t>
        </is>
      </c>
      <c r="J318" s="52" t="inlineStr">
        <is>
          <t>South / Kandahar</t>
        </is>
      </c>
      <c r="K318" s="52" t="inlineStr">
        <is>
          <t>Kandahar</t>
        </is>
      </c>
      <c r="L318" s="52" t="inlineStr">
        <is>
          <t>Ghorak</t>
        </is>
      </c>
      <c r="M318" s="52" t="inlineStr">
        <is>
          <t>Kocni Karez Village</t>
        </is>
      </c>
      <c r="N318" s="52" t="inlineStr">
        <is>
          <t>World Bank (WBK/AF-2)</t>
        </is>
      </c>
      <c r="O318" s="52" t="inlineStr">
        <is>
          <t>Not awarded</t>
        </is>
      </c>
      <c r="P318" s="52" t="inlineStr">
        <is>
          <t>4.WSM remaining contracts</t>
        </is>
      </c>
      <c r="Q318" s="52" t="inlineStr"/>
      <c r="R318" s="52" t="inlineStr"/>
      <c r="S318" s="53" t="n">
        <v>135000</v>
      </c>
      <c r="T318" s="46" t="inlineStr">
        <is>
          <t>IF(AQ318="","",AQ318)</t>
        </is>
      </c>
      <c r="U318" s="54" t="n">
        <v>46356</v>
      </c>
      <c r="V318" s="55" t="n">
        <v>5.9</v>
      </c>
      <c r="W318" s="54" t="n">
        <v>46536</v>
      </c>
      <c r="X318" s="46" t="inlineStr">
        <is>
          <t>IF(W318&lt;&gt;"",W318,IF(OR(T318="",V318=""),"",EDATE(T318,V318)))</t>
        </is>
      </c>
      <c r="Y318" s="54" t="n"/>
      <c r="Z318" s="55" t="n"/>
      <c r="AA318" s="52" t="inlineStr">
        <is>
          <t>Under Design</t>
        </is>
      </c>
      <c r="AB318" s="52" t="inlineStr">
        <is>
          <t>Technical clearance is expected to receive at end October. PR raised and ITB launched by the first week of November and award of contract by the end of November. Construction period for six months</t>
        </is>
      </c>
      <c r="AC318" s="42" t="inlineStr">
        <is>
          <t>IF(F318="","",IF(COUNT(AI318:AV318)=0,IF(AA318="","Not started",AA318),SUBSTITUTE(LOOKUP(2,1/(AI318:AV318&lt;&gt;""),$AI$3:$AV$3),"Date: ","")))</t>
        </is>
      </c>
      <c r="AD318" s="49" t="inlineStr">
        <is>
          <t>IF(OR(F318="",COUNT(AI318:AV318)=0),"",TODAY()-LOOKUP(2,1/(AI318:AV318&lt;&gt;""),AI318:AV318))</t>
        </is>
      </c>
      <c r="AE318" s="49" t="inlineStr">
        <is>
          <t>IF(OR(F318="",COUNT(AI318:AV318)&lt;2),"",LOOKUP(2,1/(AI318:AV318&lt;&gt;""),AI318:AV318)-MIN(AI318:AV318))</t>
        </is>
      </c>
      <c r="AF318" s="49" t="inlineStr">
        <is>
          <t>IF(OR(AD318="",AC318="Not started",AC318=""),"",IFERROR(AD318-IF(VLOOKUP(AC318,'06_Status_Pipeline'!$B$3:$E$20,4,FALSE)="",0,VLOOKUP(AC318,'06_Status_Pipeline'!$B$3:$E$20,4,FALSE)),""))</t>
        </is>
      </c>
      <c r="AG318" s="42" t="inlineStr">
        <is>
          <t>IF(F318="","",IF(OR(AA318="Cancelled",AC318="Cancelled"),"Cancelled",IF(OR(AC318="Completed / Handover",Y318&lt;&gt;"",Z318&gt;=100),"Completed — on track",IF(O318="Not awarded",IF(U318="",IF(X318="","No planned date",IF(TODAY()&gt;X318,"Behind — past planned date",IF(X318-TODAY()&lt;=30,"At risk — close to off track","On track"))),IF(TODAY()&gt;U318,"Behind — award date passed",IF(U318-TODAY()&lt;=30,"At risk — close to off track","On track"))),IF(X318="","No planned date",IF(AND(TODAY()&gt;X318,OR(Z318="",Z318&lt;100)),"Behind — past end date",IF(AND(T318&lt;&gt;"",X318&lt;&gt;"",Z318&lt;&gt;"",(Z318&lt;100),((TODAY()-T318)/MAX(X318-T318,1)*100)-Z318&gt;15),"Behind — progress lag",IF(AND(X318-TODAY()&lt;=30,X318-TODAY()&gt;=0,OR(Z318="",Z318&lt;90)),"At risk — close to off track","On track"))))))))</t>
        </is>
      </c>
      <c r="AH318" s="49" t="inlineStr">
        <is>
          <t>IF(OR(F318="",AC318="Completed / Handover",AC318="Cancelled"),"",IF(O318="Not awarded",IF(U318&lt;&gt;"",U318-TODAY(),IF(X318="","",X318-TODAY())),IF(X318="","",X318-TODAY())))</t>
        </is>
      </c>
      <c r="AI318" s="54" t="n"/>
      <c r="AJ318" s="54" t="n"/>
      <c r="AK318" s="54" t="n"/>
      <c r="AL318" s="54" t="n"/>
      <c r="AM318" s="54" t="n"/>
      <c r="AN318" s="54" t="n"/>
      <c r="AO318" s="54" t="n"/>
      <c r="AP318" s="54" t="n"/>
      <c r="AQ318" s="54" t="n"/>
      <c r="AR318" s="54" t="n"/>
      <c r="AS318" s="54" t="n"/>
      <c r="AT318" s="50" t="n"/>
      <c r="AU318" s="50" t="n"/>
      <c r="AV318" s="50" t="n"/>
      <c r="AW318" s="49" t="inlineStr">
        <is>
          <t>IF(OR(F318="",AJ318=""),"",IF(COUNT(AI318:AI318)=0,"",AJ318-LOOKUP(2,1/(AI318:AI318&lt;&gt;""),AI318:AI318)))</t>
        </is>
      </c>
      <c r="AX318" s="49" t="inlineStr">
        <is>
          <t>IF(OR(F318="",AK318=""),"",IF(COUNT(AI318:AJ318)=0,"",AK318-LOOKUP(2,1/(AI318:AJ318&lt;&gt;""),AI318:AJ318)))</t>
        </is>
      </c>
      <c r="AY318" s="49" t="inlineStr">
        <is>
          <t>IF(OR(F318="",AL318=""),"",IF(COUNT(AI318:AK318)=0,"",AL318-LOOKUP(2,1/(AI318:AK318&lt;&gt;""),AI318:AK318)))</t>
        </is>
      </c>
      <c r="AZ318" s="49" t="inlineStr">
        <is>
          <t>IF(OR(F318="",AM318=""),"",IF(COUNT(AI318:AL318)=0,"",AM318-LOOKUP(2,1/(AI318:AL318&lt;&gt;""),AI318:AL318)))</t>
        </is>
      </c>
      <c r="BA318" s="49" t="inlineStr">
        <is>
          <t>IF(OR(F318="",AN318=""),"",IF(COUNT(AI318:AM318)=0,"",AN318-LOOKUP(2,1/(AI318:AM318&lt;&gt;""),AI318:AM318)))</t>
        </is>
      </c>
      <c r="BB318" s="49" t="inlineStr">
        <is>
          <t>IF(OR(F318="",AO318=""),"",IF(COUNT(AI318:AN318)=0,"",AO318-LOOKUP(2,1/(AI318:AN318&lt;&gt;""),AI318:AN318)))</t>
        </is>
      </c>
      <c r="BC318" s="49" t="inlineStr">
        <is>
          <t>IF(OR(F318="",AP318=""),"",IF(COUNT(AI318:AO318)=0,"",AP318-LOOKUP(2,1/(AI318:AO318&lt;&gt;""),AI318:AO318)))</t>
        </is>
      </c>
      <c r="BD318" s="49" t="inlineStr">
        <is>
          <t>IF(OR(F318="",AQ318=""),"",IF(COUNT(AI318:AP318)=0,"",AQ318-LOOKUP(2,1/(AI318:AP318&lt;&gt;""),AI318:AP318)))</t>
        </is>
      </c>
      <c r="BE318" s="49" t="inlineStr">
        <is>
          <t>IF(OR(F318="",AR318=""),"",IF(COUNT(AI318:AQ318)=0,"",AR318-LOOKUP(2,1/(AI318:AQ318&lt;&gt;""),AI318:AQ318)))</t>
        </is>
      </c>
      <c r="BF318" s="49" t="inlineStr">
        <is>
          <t>IF(OR(F318="",AS318=""),"",IF(COUNT(AI318:AR318)=0,"",AS318-LOOKUP(2,1/(AI318:AR318&lt;&gt;""),AI318:AR318)))</t>
        </is>
      </c>
      <c r="BG318" s="49" t="inlineStr">
        <is>
          <t>IF(OR(F318="",AT318=""),"",IF(COUNT(AI318:AS318)=0,"",AT318-LOOKUP(2,1/(AI318:AS318&lt;&gt;""),AI318:AS318)))</t>
        </is>
      </c>
      <c r="BH318" s="49" t="inlineStr">
        <is>
          <t>IF(OR(F318="",AU318=""),"",IF(COUNT(AI318:AT318)=0,"",AU318-LOOKUP(2,1/(AI318:AT318&lt;&gt;""),AI318:AT318)))</t>
        </is>
      </c>
      <c r="BI318" s="49" t="inlineStr">
        <is>
          <t>IF(OR(F318="",AV318=""),"",IF(COUNT(AI318:AU318)=0,"",AV318-LOOKUP(2,1/(AI318:AU318&lt;&gt;""),AI318:AU318)))</t>
        </is>
      </c>
      <c r="BJ318" s="51" t="inlineStr">
        <is>
          <t>IF(J318="","All_Provinces",IFERROR(VLOOKUP(J318,'09_Lookups'!$A$4:$B$20,2,FALSE),"All_Provinces"))</t>
        </is>
      </c>
      <c r="BK318" s="51" t="inlineStr">
        <is>
          <t>IF(K318="","All_Districts",IFERROR(VLOOKUP(K318,'09_Lookups'!$E$4:$F$42,2,FALSE),"All_Districts"))</t>
        </is>
      </c>
    </row>
    <row r="319" ht="18" customHeight="1">
      <c r="A319" s="32" t="inlineStr">
        <is>
          <t>IF(F319="","",ROW()-3)</t>
        </is>
      </c>
      <c r="B319" s="64" t="inlineStr">
        <is>
          <t>AF2-WSM-23</t>
        </is>
      </c>
      <c r="C319" s="64" t="inlineStr">
        <is>
          <t>Package #23-AF2 WSM: Construction of 1,Payazak, 2.Sharak, 3.Khairtot, and 4. Mula Hanifiya Check Dams, located in Shawalikot district of Kandahar province.</t>
        </is>
      </c>
      <c r="D319" s="64" t="inlineStr">
        <is>
          <t>1 of 4</t>
        </is>
      </c>
      <c r="E319" s="57" t="inlineStr">
        <is>
          <t>AF2-WSM-A-046</t>
        </is>
      </c>
      <c r="F319" s="57" t="inlineStr">
        <is>
          <t>Khairtot Check Dam</t>
        </is>
      </c>
      <c r="G319" s="57" t="inlineStr">
        <is>
          <t>Watershed Management</t>
        </is>
      </c>
      <c r="H319" s="57" t="inlineStr">
        <is>
          <t>Check Dam</t>
        </is>
      </c>
      <c r="I319" s="57" t="inlineStr">
        <is>
          <t>Emergency Food Security Project (EFSP) – WBK/AF-2</t>
        </is>
      </c>
      <c r="J319" s="57" t="inlineStr">
        <is>
          <t>South / Kandahar</t>
        </is>
      </c>
      <c r="K319" s="57" t="inlineStr">
        <is>
          <t>Kandahar</t>
        </is>
      </c>
      <c r="L319" s="57" t="inlineStr">
        <is>
          <t>Shawalikot</t>
        </is>
      </c>
      <c r="M319" s="57" t="inlineStr">
        <is>
          <t>Khairtot</t>
        </is>
      </c>
      <c r="N319" s="57" t="inlineStr">
        <is>
          <t>World Bank (WBK/AF-2)</t>
        </is>
      </c>
      <c r="O319" s="57" t="inlineStr">
        <is>
          <t>Awarded</t>
        </is>
      </c>
      <c r="P319" s="57" t="inlineStr">
        <is>
          <t>3.WSM awarded contracts</t>
        </is>
      </c>
      <c r="Q319" s="57" t="inlineStr">
        <is>
          <t>Afghan Laser Engineering and Construction Company (ALCC)</t>
        </is>
      </c>
      <c r="R319" s="57" t="inlineStr">
        <is>
          <t>057/2026</t>
        </is>
      </c>
      <c r="S319" s="58" t="n">
        <v>34668.62</v>
      </c>
      <c r="T319" s="36" t="inlineStr">
        <is>
          <t>IF(AQ319="","",AQ319)</t>
        </is>
      </c>
      <c r="U319" s="59" t="n"/>
      <c r="V319" s="60" t="n">
        <v>5</v>
      </c>
      <c r="W319" s="59" t="n">
        <v>46079</v>
      </c>
      <c r="X319" s="36" t="inlineStr">
        <is>
          <t>IF(W319&lt;&gt;"",W319,IF(OR(T319="",V319=""),"",EDATE(T319,V319)))</t>
        </is>
      </c>
      <c r="Y319" s="59" t="n"/>
      <c r="Z319" s="60" t="n">
        <v>0</v>
      </c>
      <c r="AA319" s="57" t="inlineStr">
        <is>
          <t>Awarded</t>
        </is>
      </c>
      <c r="AB319" s="57" t="inlineStr">
        <is>
          <t>Completed on Sep, 2026</t>
        </is>
      </c>
      <c r="AC319" s="32" t="inlineStr">
        <is>
          <t>IF(F319="","",IF(COUNT(AI319:AV319)=0,IF(AA319="","Not started",AA319),SUBSTITUTE(LOOKUP(2,1/(AI319:AV319&lt;&gt;""),$AI$3:$AV$3),"Date: ","")))</t>
        </is>
      </c>
      <c r="AD319" s="39" t="inlineStr">
        <is>
          <t>IF(OR(F319="",COUNT(AI319:AV319)=0),"",TODAY()-LOOKUP(2,1/(AI319:AV319&lt;&gt;""),AI319:AV319))</t>
        </is>
      </c>
      <c r="AE319" s="39" t="inlineStr">
        <is>
          <t>IF(OR(F319="",COUNT(AI319:AV319)&lt;2),"",LOOKUP(2,1/(AI319:AV319&lt;&gt;""),AI319:AV319)-MIN(AI319:AV319))</t>
        </is>
      </c>
      <c r="AF319" s="39" t="inlineStr">
        <is>
          <t>IF(OR(AD319="",AC319="Not started",AC319=""),"",IFERROR(AD319-IF(VLOOKUP(AC319,'06_Status_Pipeline'!$B$3:$E$20,4,FALSE)="",0,VLOOKUP(AC319,'06_Status_Pipeline'!$B$3:$E$20,4,FALSE)),""))</t>
        </is>
      </c>
      <c r="AG319" s="32" t="inlineStr">
        <is>
          <t>IF(F319="","",IF(OR(AA319="Cancelled",AC319="Cancelled"),"Cancelled",IF(OR(AC319="Completed / Handover",Y319&lt;&gt;"",Z319&gt;=100),"Completed — on track",IF(O319="Not awarded",IF(U319="",IF(X319="","No planned date",IF(TODAY()&gt;X319,"Behind — past planned date",IF(X319-TODAY()&lt;=30,"At risk — close to off track","On track"))),IF(TODAY()&gt;U319,"Behind — award date passed",IF(U319-TODAY()&lt;=30,"At risk — close to off track","On track"))),IF(X319="","No planned date",IF(AND(TODAY()&gt;X319,OR(Z319="",Z319&lt;100)),"Behind — past end date",IF(AND(T319&lt;&gt;"",X319&lt;&gt;"",Z319&lt;&gt;"",(Z319&lt;100),((TODAY()-T319)/MAX(X319-T319,1)*100)-Z319&gt;15),"Behind — progress lag",IF(AND(X319-TODAY()&lt;=30,X319-TODAY()&gt;=0,OR(Z319="",Z319&lt;90)),"At risk — close to off track","On track"))))))))</t>
        </is>
      </c>
      <c r="AH319" s="39" t="inlineStr">
        <is>
          <t>IF(OR(F319="",AC319="Completed / Handover",AC319="Cancelled"),"",IF(O319="Not awarded",IF(U319&lt;&gt;"",U319-TODAY(),IF(X319="","",X319-TODAY())),IF(X319="","",X319-TODAY())))</t>
        </is>
      </c>
      <c r="AI319" s="66" t="n"/>
      <c r="AJ319" s="66" t="n"/>
      <c r="AK319" s="66" t="n"/>
      <c r="AL319" s="66" t="n"/>
      <c r="AM319" s="66" t="n"/>
      <c r="AN319" s="66" t="n"/>
      <c r="AO319" s="66" t="n"/>
      <c r="AP319" s="66" t="n"/>
      <c r="AQ319" s="66" t="n">
        <v>46261</v>
      </c>
      <c r="AR319" s="66" t="n"/>
      <c r="AS319" s="66" t="n"/>
      <c r="AT319" s="40" t="n"/>
      <c r="AU319" s="40" t="n"/>
      <c r="AV319" s="40" t="n"/>
      <c r="AW319" s="39" t="inlineStr">
        <is>
          <t>IF(OR(F319="",AJ319=""),"",IF(COUNT(AI319:AI319)=0,"",AJ319-LOOKUP(2,1/(AI319:AI319&lt;&gt;""),AI319:AI319)))</t>
        </is>
      </c>
      <c r="AX319" s="39" t="inlineStr">
        <is>
          <t>IF(OR(F319="",AK319=""),"",IF(COUNT(AI319:AJ319)=0,"",AK319-LOOKUP(2,1/(AI319:AJ319&lt;&gt;""),AI319:AJ319)))</t>
        </is>
      </c>
      <c r="AY319" s="39" t="inlineStr">
        <is>
          <t>IF(OR(F319="",AL319=""),"",IF(COUNT(AI319:AK319)=0,"",AL319-LOOKUP(2,1/(AI319:AK319&lt;&gt;""),AI319:AK319)))</t>
        </is>
      </c>
      <c r="AZ319" s="39" t="inlineStr">
        <is>
          <t>IF(OR(F319="",AM319=""),"",IF(COUNT(AI319:AL319)=0,"",AM319-LOOKUP(2,1/(AI319:AL319&lt;&gt;""),AI319:AL319)))</t>
        </is>
      </c>
      <c r="BA319" s="39" t="inlineStr">
        <is>
          <t>IF(OR(F319="",AN319=""),"",IF(COUNT(AI319:AM319)=0,"",AN319-LOOKUP(2,1/(AI319:AM319&lt;&gt;""),AI319:AM319)))</t>
        </is>
      </c>
      <c r="BB319" s="39" t="inlineStr">
        <is>
          <t>IF(OR(F319="",AO319=""),"",IF(COUNT(AI319:AN319)=0,"",AO319-LOOKUP(2,1/(AI319:AN319&lt;&gt;""),AI319:AN319)))</t>
        </is>
      </c>
      <c r="BC319" s="39" t="inlineStr">
        <is>
          <t>IF(OR(F319="",AP319=""),"",IF(COUNT(AI319:AO319)=0,"",AP319-LOOKUP(2,1/(AI319:AO319&lt;&gt;""),AI319:AO319)))</t>
        </is>
      </c>
      <c r="BD319" s="39" t="inlineStr">
        <is>
          <t>IF(OR(F319="",AQ319=""),"",IF(COUNT(AI319:AP319)=0,"",AQ319-LOOKUP(2,1/(AI319:AP319&lt;&gt;""),AI319:AP319)))</t>
        </is>
      </c>
      <c r="BE319" s="39" t="inlineStr">
        <is>
          <t>IF(OR(F319="",AR319=""),"",IF(COUNT(AI319:AQ319)=0,"",AR319-LOOKUP(2,1/(AI319:AQ319&lt;&gt;""),AI319:AQ319)))</t>
        </is>
      </c>
      <c r="BF319" s="39" t="inlineStr">
        <is>
          <t>IF(OR(F319="",AS319=""),"",IF(COUNT(AI319:AR319)=0,"",AS319-LOOKUP(2,1/(AI319:AR319&lt;&gt;""),AI319:AR319)))</t>
        </is>
      </c>
      <c r="BG319" s="39" t="inlineStr">
        <is>
          <t>IF(OR(F319="",AT319=""),"",IF(COUNT(AI319:AS319)=0,"",AT319-LOOKUP(2,1/(AI319:AS319&lt;&gt;""),AI319:AS319)))</t>
        </is>
      </c>
      <c r="BH319" s="39" t="inlineStr">
        <is>
          <t>IF(OR(F319="",AU319=""),"",IF(COUNT(AI319:AT319)=0,"",AU319-LOOKUP(2,1/(AI319:AT319&lt;&gt;""),AI319:AT319)))</t>
        </is>
      </c>
      <c r="BI319" s="39" t="inlineStr">
        <is>
          <t>IF(OR(F319="",AV319=""),"",IF(COUNT(AI319:AU319)=0,"",AV319-LOOKUP(2,1/(AI319:AU319&lt;&gt;""),AI319:AU319)))</t>
        </is>
      </c>
      <c r="BJ319" s="41" t="inlineStr">
        <is>
          <t>IF(J319="","All_Provinces",IFERROR(VLOOKUP(J319,'09_Lookups'!$A$4:$B$20,2,FALSE),"All_Provinces"))</t>
        </is>
      </c>
      <c r="BK319" s="41" t="inlineStr">
        <is>
          <t>IF(K319="","All_Districts",IFERROR(VLOOKUP(K319,'09_Lookups'!$E$4:$F$42,2,FALSE),"All_Districts"))</t>
        </is>
      </c>
    </row>
    <row r="320" outlineLevel="1" ht="18" customHeight="1">
      <c r="A320" s="42" t="inlineStr">
        <is>
          <t>IF(F320="","",ROW()-3)</t>
        </is>
      </c>
      <c r="B320" s="65" t="inlineStr">
        <is>
          <t>AF2-WSM-23</t>
        </is>
      </c>
      <c r="C320" s="65" t="inlineStr">
        <is>
          <t>Package #23-AF2 WSM: Construction of 1,Payazak, 2.Sharak, 3.Khairtot, and 4. Mula Hanifiya Check Dams, located in Shawalikot district of Kandahar province.</t>
        </is>
      </c>
      <c r="D320" s="65" t="inlineStr">
        <is>
          <t>2 of 4</t>
        </is>
      </c>
      <c r="E320" s="52" t="inlineStr">
        <is>
          <t>AF2-WSM-A-047</t>
        </is>
      </c>
      <c r="F320" s="52" t="inlineStr">
        <is>
          <t>Mula Hanifiya Check Dam</t>
        </is>
      </c>
      <c r="G320" s="52" t="inlineStr">
        <is>
          <t>Watershed Management</t>
        </is>
      </c>
      <c r="H320" s="52" t="inlineStr">
        <is>
          <t>Check Dam</t>
        </is>
      </c>
      <c r="I320" s="52" t="inlineStr">
        <is>
          <t>Emergency Food Security Project (EFSP) – WBK/AF-2</t>
        </is>
      </c>
      <c r="J320" s="52" t="inlineStr">
        <is>
          <t>South / Kandahar</t>
        </is>
      </c>
      <c r="K320" s="52" t="inlineStr">
        <is>
          <t>Kandahar</t>
        </is>
      </c>
      <c r="L320" s="52" t="inlineStr">
        <is>
          <t>Shawalikot</t>
        </is>
      </c>
      <c r="M320" s="52" t="inlineStr">
        <is>
          <t>Mula Hanifiya</t>
        </is>
      </c>
      <c r="N320" s="52" t="inlineStr">
        <is>
          <t>World Bank (WBK/AF-2)</t>
        </is>
      </c>
      <c r="O320" s="52" t="inlineStr">
        <is>
          <t>Awarded</t>
        </is>
      </c>
      <c r="P320" s="52" t="inlineStr">
        <is>
          <t>3.WSM awarded contracts</t>
        </is>
      </c>
      <c r="Q320" s="52" t="inlineStr">
        <is>
          <t>Afghan Laser Engineering and Construction Company (ALCC)</t>
        </is>
      </c>
      <c r="R320" s="52" t="inlineStr">
        <is>
          <t>057/2026</t>
        </is>
      </c>
      <c r="S320" s="53" t="n">
        <v>27314.98</v>
      </c>
      <c r="T320" s="46" t="inlineStr">
        <is>
          <t>IF(AQ320="","",AQ320)</t>
        </is>
      </c>
      <c r="U320" s="54" t="n"/>
      <c r="V320" s="55" t="n">
        <v>5</v>
      </c>
      <c r="W320" s="54" t="n">
        <v>46079</v>
      </c>
      <c r="X320" s="46" t="inlineStr">
        <is>
          <t>IF(W320&lt;&gt;"",W320,IF(OR(T320="",V320=""),"",EDATE(T320,V320)))</t>
        </is>
      </c>
      <c r="Y320" s="54" t="n"/>
      <c r="Z320" s="55" t="n">
        <v>0</v>
      </c>
      <c r="AA320" s="52" t="inlineStr">
        <is>
          <t>Awarded</t>
        </is>
      </c>
      <c r="AB320" s="52" t="inlineStr">
        <is>
          <t>Completed on Sep, 2026</t>
        </is>
      </c>
      <c r="AC320" s="42" t="inlineStr">
        <is>
          <t>IF(F320="","",IF(COUNT(AI320:AV320)=0,IF(AA320="","Not started",AA320),SUBSTITUTE(LOOKUP(2,1/(AI320:AV320&lt;&gt;""),$AI$3:$AV$3),"Date: ","")))</t>
        </is>
      </c>
      <c r="AD320" s="49" t="inlineStr">
        <is>
          <t>IF(OR(F320="",COUNT(AI320:AV320)=0),"",TODAY()-LOOKUP(2,1/(AI320:AV320&lt;&gt;""),AI320:AV320))</t>
        </is>
      </c>
      <c r="AE320" s="49" t="inlineStr">
        <is>
          <t>IF(OR(F320="",COUNT(AI320:AV320)&lt;2),"",LOOKUP(2,1/(AI320:AV320&lt;&gt;""),AI320:AV320)-MIN(AI320:AV320))</t>
        </is>
      </c>
      <c r="AF320" s="49" t="inlineStr">
        <is>
          <t>IF(OR(AD320="",AC320="Not started",AC320=""),"",IFERROR(AD320-IF(VLOOKUP(AC320,'06_Status_Pipeline'!$B$3:$E$20,4,FALSE)="",0,VLOOKUP(AC320,'06_Status_Pipeline'!$B$3:$E$20,4,FALSE)),""))</t>
        </is>
      </c>
      <c r="AG320" s="42" t="inlineStr">
        <is>
          <t>IF(F320="","",IF(OR(AA320="Cancelled",AC320="Cancelled"),"Cancelled",IF(OR(AC320="Completed / Handover",Y320&lt;&gt;"",Z320&gt;=100),"Completed — on track",IF(O320="Not awarded",IF(U320="",IF(X320="","No planned date",IF(TODAY()&gt;X320,"Behind — past planned date",IF(X320-TODAY()&lt;=30,"At risk — close to off track","On track"))),IF(TODAY()&gt;U320,"Behind — award date passed",IF(U320-TODAY()&lt;=30,"At risk — close to off track","On track"))),IF(X320="","No planned date",IF(AND(TODAY()&gt;X320,OR(Z320="",Z320&lt;100)),"Behind — past end date",IF(AND(T320&lt;&gt;"",X320&lt;&gt;"",Z320&lt;&gt;"",(Z320&lt;100),((TODAY()-T320)/MAX(X320-T320,1)*100)-Z320&gt;15),"Behind — progress lag",IF(AND(X320-TODAY()&lt;=30,X320-TODAY()&gt;=0,OR(Z320="",Z320&lt;90)),"At risk — close to off track","On track"))))))))</t>
        </is>
      </c>
      <c r="AH320" s="49" t="inlineStr">
        <is>
          <t>IF(OR(F320="",AC320="Completed / Handover",AC320="Cancelled"),"",IF(O320="Not awarded",IF(U320&lt;&gt;"",U320-TODAY(),IF(X320="","",X320-TODAY())),IF(X320="","",X320-TODAY())))</t>
        </is>
      </c>
      <c r="AI320" s="67" t="n"/>
      <c r="AJ320" s="67" t="n"/>
      <c r="AK320" s="67" t="n"/>
      <c r="AL320" s="67" t="n"/>
      <c r="AM320" s="67" t="n"/>
      <c r="AN320" s="67" t="n"/>
      <c r="AO320" s="67" t="n"/>
      <c r="AP320" s="67" t="n"/>
      <c r="AQ320" s="67" t="n">
        <v>46261</v>
      </c>
      <c r="AR320" s="67" t="n"/>
      <c r="AS320" s="67" t="n"/>
      <c r="AT320" s="50" t="n"/>
      <c r="AU320" s="50" t="n"/>
      <c r="AV320" s="50" t="n"/>
      <c r="AW320" s="49" t="inlineStr">
        <is>
          <t>IF(OR(F320="",AJ320=""),"",IF(COUNT(AI320:AI320)=0,"",AJ320-LOOKUP(2,1/(AI320:AI320&lt;&gt;""),AI320:AI320)))</t>
        </is>
      </c>
      <c r="AX320" s="49" t="inlineStr">
        <is>
          <t>IF(OR(F320="",AK320=""),"",IF(COUNT(AI320:AJ320)=0,"",AK320-LOOKUP(2,1/(AI320:AJ320&lt;&gt;""),AI320:AJ320)))</t>
        </is>
      </c>
      <c r="AY320" s="49" t="inlineStr">
        <is>
          <t>IF(OR(F320="",AL320=""),"",IF(COUNT(AI320:AK320)=0,"",AL320-LOOKUP(2,1/(AI320:AK320&lt;&gt;""),AI320:AK320)))</t>
        </is>
      </c>
      <c r="AZ320" s="49" t="inlineStr">
        <is>
          <t>IF(OR(F320="",AM320=""),"",IF(COUNT(AI320:AL320)=0,"",AM320-LOOKUP(2,1/(AI320:AL320&lt;&gt;""),AI320:AL320)))</t>
        </is>
      </c>
      <c r="BA320" s="49" t="inlineStr">
        <is>
          <t>IF(OR(F320="",AN320=""),"",IF(COUNT(AI320:AM320)=0,"",AN320-LOOKUP(2,1/(AI320:AM320&lt;&gt;""),AI320:AM320)))</t>
        </is>
      </c>
      <c r="BB320" s="49" t="inlineStr">
        <is>
          <t>IF(OR(F320="",AO320=""),"",IF(COUNT(AI320:AN320)=0,"",AO320-LOOKUP(2,1/(AI320:AN320&lt;&gt;""),AI320:AN320)))</t>
        </is>
      </c>
      <c r="BC320" s="49" t="inlineStr">
        <is>
          <t>IF(OR(F320="",AP320=""),"",IF(COUNT(AI320:AO320)=0,"",AP320-LOOKUP(2,1/(AI320:AO320&lt;&gt;""),AI320:AO320)))</t>
        </is>
      </c>
      <c r="BD320" s="49" t="inlineStr">
        <is>
          <t>IF(OR(F320="",AQ320=""),"",IF(COUNT(AI320:AP320)=0,"",AQ320-LOOKUP(2,1/(AI320:AP320&lt;&gt;""),AI320:AP320)))</t>
        </is>
      </c>
      <c r="BE320" s="49" t="inlineStr">
        <is>
          <t>IF(OR(F320="",AR320=""),"",IF(COUNT(AI320:AQ320)=0,"",AR320-LOOKUP(2,1/(AI320:AQ320&lt;&gt;""),AI320:AQ320)))</t>
        </is>
      </c>
      <c r="BF320" s="49" t="inlineStr">
        <is>
          <t>IF(OR(F320="",AS320=""),"",IF(COUNT(AI320:AR320)=0,"",AS320-LOOKUP(2,1/(AI320:AR320&lt;&gt;""),AI320:AR320)))</t>
        </is>
      </c>
      <c r="BG320" s="49" t="inlineStr">
        <is>
          <t>IF(OR(F320="",AT320=""),"",IF(COUNT(AI320:AS320)=0,"",AT320-LOOKUP(2,1/(AI320:AS320&lt;&gt;""),AI320:AS320)))</t>
        </is>
      </c>
      <c r="BH320" s="49" t="inlineStr">
        <is>
          <t>IF(OR(F320="",AU320=""),"",IF(COUNT(AI320:AT320)=0,"",AU320-LOOKUP(2,1/(AI320:AT320&lt;&gt;""),AI320:AT320)))</t>
        </is>
      </c>
      <c r="BI320" s="49" t="inlineStr">
        <is>
          <t>IF(OR(F320="",AV320=""),"",IF(COUNT(AI320:AU320)=0,"",AV320-LOOKUP(2,1/(AI320:AU320&lt;&gt;""),AI320:AU320)))</t>
        </is>
      </c>
      <c r="BJ320" s="51" t="inlineStr">
        <is>
          <t>IF(J320="","All_Provinces",IFERROR(VLOOKUP(J320,'09_Lookups'!$A$4:$B$20,2,FALSE),"All_Provinces"))</t>
        </is>
      </c>
      <c r="BK320" s="51" t="inlineStr">
        <is>
          <t>IF(K320="","All_Districts",IFERROR(VLOOKUP(K320,'09_Lookups'!$E$4:$F$42,2,FALSE),"All_Districts"))</t>
        </is>
      </c>
    </row>
    <row r="321" outlineLevel="1" ht="18" customHeight="1">
      <c r="A321" s="42" t="inlineStr">
        <is>
          <t>IF(F321="","",ROW()-3)</t>
        </is>
      </c>
      <c r="B321" s="65" t="inlineStr">
        <is>
          <t>AF2-WSM-23</t>
        </is>
      </c>
      <c r="C321" s="65" t="inlineStr">
        <is>
          <t>Package #23-AF2 WSM: Construction of 1,Payazak, 2.Sharak, 3.Khairtot, and 4. Mula Hanifiya Check Dams, located in Shawalikot district of Kandahar province.</t>
        </is>
      </c>
      <c r="D321" s="65" t="inlineStr">
        <is>
          <t>3 of 4</t>
        </is>
      </c>
      <c r="E321" s="44" t="inlineStr">
        <is>
          <t>AF2-WSM-A-048</t>
        </is>
      </c>
      <c r="F321" s="44" t="inlineStr">
        <is>
          <t>Payazak Check Dam</t>
        </is>
      </c>
      <c r="G321" s="44" t="inlineStr">
        <is>
          <t>Watershed Management</t>
        </is>
      </c>
      <c r="H321" s="44" t="inlineStr">
        <is>
          <t>Check Dam</t>
        </is>
      </c>
      <c r="I321" s="44" t="inlineStr">
        <is>
          <t>Emergency Food Security Project (EFSP) – WBK/AF-2</t>
        </is>
      </c>
      <c r="J321" s="44" t="inlineStr">
        <is>
          <t>South / Kandahar</t>
        </is>
      </c>
      <c r="K321" s="44" t="inlineStr">
        <is>
          <t>Kandahar</t>
        </is>
      </c>
      <c r="L321" s="44" t="inlineStr">
        <is>
          <t>Shawalikot</t>
        </is>
      </c>
      <c r="M321" s="44" t="inlineStr">
        <is>
          <t>Payazak</t>
        </is>
      </c>
      <c r="N321" s="44" t="inlineStr">
        <is>
          <t>World Bank (WBK/AF-2)</t>
        </is>
      </c>
      <c r="O321" s="44" t="inlineStr">
        <is>
          <t>Awarded</t>
        </is>
      </c>
      <c r="P321" s="44" t="inlineStr">
        <is>
          <t>3.WSM awarded contracts</t>
        </is>
      </c>
      <c r="Q321" s="44" t="inlineStr">
        <is>
          <t>Afghan Laser Engineering and Construction Company (ALCC)</t>
        </is>
      </c>
      <c r="R321" s="44" t="inlineStr">
        <is>
          <t>057/2026</t>
        </is>
      </c>
      <c r="S321" s="45" t="n">
        <v>28065.1</v>
      </c>
      <c r="T321" s="46" t="inlineStr">
        <is>
          <t>IF(AQ321="","",AQ321)</t>
        </is>
      </c>
      <c r="U321" s="47" t="n"/>
      <c r="V321" s="48" t="n">
        <v>5</v>
      </c>
      <c r="W321" s="47" t="n">
        <v>46079</v>
      </c>
      <c r="X321" s="46" t="inlineStr">
        <is>
          <t>IF(W321&lt;&gt;"",W321,IF(OR(T321="",V321=""),"",EDATE(T321,V321)))</t>
        </is>
      </c>
      <c r="Y321" s="47" t="n"/>
      <c r="Z321" s="48" t="n">
        <v>0</v>
      </c>
      <c r="AA321" s="44" t="inlineStr">
        <is>
          <t>Awarded</t>
        </is>
      </c>
      <c r="AB321" s="44" t="inlineStr">
        <is>
          <t>Completed on Sep, 2026</t>
        </is>
      </c>
      <c r="AC321" s="42" t="inlineStr">
        <is>
          <t>IF(F321="","",IF(COUNT(AI321:AV321)=0,IF(AA321="","Not started",AA321),SUBSTITUTE(LOOKUP(2,1/(AI321:AV321&lt;&gt;""),$AI$3:$AV$3),"Date: ","")))</t>
        </is>
      </c>
      <c r="AD321" s="49" t="inlineStr">
        <is>
          <t>IF(OR(F321="",COUNT(AI321:AV321)=0),"",TODAY()-LOOKUP(2,1/(AI321:AV321&lt;&gt;""),AI321:AV321))</t>
        </is>
      </c>
      <c r="AE321" s="49" t="inlineStr">
        <is>
          <t>IF(OR(F321="",COUNT(AI321:AV321)&lt;2),"",LOOKUP(2,1/(AI321:AV321&lt;&gt;""),AI321:AV321)-MIN(AI321:AV321))</t>
        </is>
      </c>
      <c r="AF321" s="49" t="inlineStr">
        <is>
          <t>IF(OR(AD321="",AC321="Not started",AC321=""),"",IFERROR(AD321-IF(VLOOKUP(AC321,'06_Status_Pipeline'!$B$3:$E$20,4,FALSE)="",0,VLOOKUP(AC321,'06_Status_Pipeline'!$B$3:$E$20,4,FALSE)),""))</t>
        </is>
      </c>
      <c r="AG321" s="42" t="inlineStr">
        <is>
          <t>IF(F321="","",IF(OR(AA321="Cancelled",AC321="Cancelled"),"Cancelled",IF(OR(AC321="Completed / Handover",Y321&lt;&gt;"",Z321&gt;=100),"Completed — on track",IF(O321="Not awarded",IF(U321="",IF(X321="","No planned date",IF(TODAY()&gt;X321,"Behind — past planned date",IF(X321-TODAY()&lt;=30,"At risk — close to off track","On track"))),IF(TODAY()&gt;U321,"Behind — award date passed",IF(U321-TODAY()&lt;=30,"At risk — close to off track","On track"))),IF(X321="","No planned date",IF(AND(TODAY()&gt;X321,OR(Z321="",Z321&lt;100)),"Behind — past end date",IF(AND(T321&lt;&gt;"",X321&lt;&gt;"",Z321&lt;&gt;"",(Z321&lt;100),((TODAY()-T321)/MAX(X321-T321,1)*100)-Z321&gt;15),"Behind — progress lag",IF(AND(X321-TODAY()&lt;=30,X321-TODAY()&gt;=0,OR(Z321="",Z321&lt;90)),"At risk — close to off track","On track"))))))))</t>
        </is>
      </c>
      <c r="AH321" s="49" t="inlineStr">
        <is>
          <t>IF(OR(F321="",AC321="Completed / Handover",AC321="Cancelled"),"",IF(O321="Not awarded",IF(U321&lt;&gt;"",U321-TODAY(),IF(X321="","",X321-TODAY())),IF(X321="","",X321-TODAY())))</t>
        </is>
      </c>
      <c r="AI321" s="67" t="n"/>
      <c r="AJ321" s="67" t="n"/>
      <c r="AK321" s="67" t="n"/>
      <c r="AL321" s="67" t="n"/>
      <c r="AM321" s="67" t="n"/>
      <c r="AN321" s="67" t="n"/>
      <c r="AO321" s="67" t="n"/>
      <c r="AP321" s="67" t="n"/>
      <c r="AQ321" s="67" t="n">
        <v>46261</v>
      </c>
      <c r="AR321" s="67" t="n"/>
      <c r="AS321" s="67" t="n"/>
      <c r="AT321" s="50" t="n"/>
      <c r="AU321" s="50" t="n"/>
      <c r="AV321" s="50" t="n"/>
      <c r="AW321" s="49" t="inlineStr">
        <is>
          <t>IF(OR(F321="",AJ321=""),"",IF(COUNT(AI321:AI321)=0,"",AJ321-LOOKUP(2,1/(AI321:AI321&lt;&gt;""),AI321:AI321)))</t>
        </is>
      </c>
      <c r="AX321" s="49" t="inlineStr">
        <is>
          <t>IF(OR(F321="",AK321=""),"",IF(COUNT(AI321:AJ321)=0,"",AK321-LOOKUP(2,1/(AI321:AJ321&lt;&gt;""),AI321:AJ321)))</t>
        </is>
      </c>
      <c r="AY321" s="49" t="inlineStr">
        <is>
          <t>IF(OR(F321="",AL321=""),"",IF(COUNT(AI321:AK321)=0,"",AL321-LOOKUP(2,1/(AI321:AK321&lt;&gt;""),AI321:AK321)))</t>
        </is>
      </c>
      <c r="AZ321" s="49" t="inlineStr">
        <is>
          <t>IF(OR(F321="",AM321=""),"",IF(COUNT(AI321:AL321)=0,"",AM321-LOOKUP(2,1/(AI321:AL321&lt;&gt;""),AI321:AL321)))</t>
        </is>
      </c>
      <c r="BA321" s="49" t="inlineStr">
        <is>
          <t>IF(OR(F321="",AN321=""),"",IF(COUNT(AI321:AM321)=0,"",AN321-LOOKUP(2,1/(AI321:AM321&lt;&gt;""),AI321:AM321)))</t>
        </is>
      </c>
      <c r="BB321" s="49" t="inlineStr">
        <is>
          <t>IF(OR(F321="",AO321=""),"",IF(COUNT(AI321:AN321)=0,"",AO321-LOOKUP(2,1/(AI321:AN321&lt;&gt;""),AI321:AN321)))</t>
        </is>
      </c>
      <c r="BC321" s="49" t="inlineStr">
        <is>
          <t>IF(OR(F321="",AP321=""),"",IF(COUNT(AI321:AO321)=0,"",AP321-LOOKUP(2,1/(AI321:AO321&lt;&gt;""),AI321:AO321)))</t>
        </is>
      </c>
      <c r="BD321" s="49" t="inlineStr">
        <is>
          <t>IF(OR(F321="",AQ321=""),"",IF(COUNT(AI321:AP321)=0,"",AQ321-LOOKUP(2,1/(AI321:AP321&lt;&gt;""),AI321:AP321)))</t>
        </is>
      </c>
      <c r="BE321" s="49" t="inlineStr">
        <is>
          <t>IF(OR(F321="",AR321=""),"",IF(COUNT(AI321:AQ321)=0,"",AR321-LOOKUP(2,1/(AI321:AQ321&lt;&gt;""),AI321:AQ321)))</t>
        </is>
      </c>
      <c r="BF321" s="49" t="inlineStr">
        <is>
          <t>IF(OR(F321="",AS321=""),"",IF(COUNT(AI321:AR321)=0,"",AS321-LOOKUP(2,1/(AI321:AR321&lt;&gt;""),AI321:AR321)))</t>
        </is>
      </c>
      <c r="BG321" s="49" t="inlineStr">
        <is>
          <t>IF(OR(F321="",AT321=""),"",IF(COUNT(AI321:AS321)=0,"",AT321-LOOKUP(2,1/(AI321:AS321&lt;&gt;""),AI321:AS321)))</t>
        </is>
      </c>
      <c r="BH321" s="49" t="inlineStr">
        <is>
          <t>IF(OR(F321="",AU321=""),"",IF(COUNT(AI321:AT321)=0,"",AU321-LOOKUP(2,1/(AI321:AT321&lt;&gt;""),AI321:AT321)))</t>
        </is>
      </c>
      <c r="BI321" s="49" t="inlineStr">
        <is>
          <t>IF(OR(F321="",AV321=""),"",IF(COUNT(AI321:AU321)=0,"",AV321-LOOKUP(2,1/(AI321:AU321&lt;&gt;""),AI321:AU321)))</t>
        </is>
      </c>
      <c r="BJ321" s="51" t="inlineStr">
        <is>
          <t>IF(J321="","All_Provinces",IFERROR(VLOOKUP(J321,'09_Lookups'!$A$4:$B$20,2,FALSE),"All_Provinces"))</t>
        </is>
      </c>
      <c r="BK321" s="51" t="inlineStr">
        <is>
          <t>IF(K321="","All_Districts",IFERROR(VLOOKUP(K321,'09_Lookups'!$E$4:$F$42,2,FALSE),"All_Districts"))</t>
        </is>
      </c>
    </row>
    <row r="322" outlineLevel="1" ht="18" customHeight="1">
      <c r="A322" s="42" t="inlineStr">
        <is>
          <t>IF(F322="","",ROW()-3)</t>
        </is>
      </c>
      <c r="B322" s="65" t="inlineStr">
        <is>
          <t>AF2-WSM-23</t>
        </is>
      </c>
      <c r="C322" s="65" t="inlineStr">
        <is>
          <t>Package #23-AF2 WSM: Construction of 1,Payazak, 2.Sharak, 3.Khairtot, and 4. Mula Hanifiya Check Dams, located in Shawalikot district of Kandahar province.</t>
        </is>
      </c>
      <c r="D322" s="65" t="inlineStr">
        <is>
          <t>4 of 4</t>
        </is>
      </c>
      <c r="E322" s="52" t="inlineStr">
        <is>
          <t>AF2-WSM-A-049</t>
        </is>
      </c>
      <c r="F322" s="52" t="inlineStr">
        <is>
          <t>Sharak Check Dam</t>
        </is>
      </c>
      <c r="G322" s="52" t="inlineStr">
        <is>
          <t>Watershed Management</t>
        </is>
      </c>
      <c r="H322" s="52" t="inlineStr">
        <is>
          <t>Check Dam</t>
        </is>
      </c>
      <c r="I322" s="52" t="inlineStr">
        <is>
          <t>Emergency Food Security Project (EFSP) – WBK/AF-2</t>
        </is>
      </c>
      <c r="J322" s="52" t="inlineStr">
        <is>
          <t>South / Kandahar</t>
        </is>
      </c>
      <c r="K322" s="52" t="inlineStr">
        <is>
          <t>Kandahar</t>
        </is>
      </c>
      <c r="L322" s="52" t="inlineStr">
        <is>
          <t>Shawalikot</t>
        </is>
      </c>
      <c r="M322" s="52" t="inlineStr">
        <is>
          <t>Sharak</t>
        </is>
      </c>
      <c r="N322" s="52" t="inlineStr">
        <is>
          <t>World Bank (WBK/AF-2)</t>
        </is>
      </c>
      <c r="O322" s="52" t="inlineStr">
        <is>
          <t>Awarded</t>
        </is>
      </c>
      <c r="P322" s="52" t="inlineStr">
        <is>
          <t>3.WSM awarded contracts</t>
        </is>
      </c>
      <c r="Q322" s="52" t="inlineStr">
        <is>
          <t>Afghan Laser Engineering and Construction Company (ALCC)</t>
        </is>
      </c>
      <c r="R322" s="52" t="inlineStr">
        <is>
          <t>057/2026</t>
        </is>
      </c>
      <c r="S322" s="53" t="n">
        <v>34142.26</v>
      </c>
      <c r="T322" s="46" t="inlineStr">
        <is>
          <t>IF(AQ322="","",AQ322)</t>
        </is>
      </c>
      <c r="U322" s="54" t="n"/>
      <c r="V322" s="55" t="n">
        <v>5</v>
      </c>
      <c r="W322" s="54" t="n">
        <v>46079</v>
      </c>
      <c r="X322" s="46" t="inlineStr">
        <is>
          <t>IF(W322&lt;&gt;"",W322,IF(OR(T322="",V322=""),"",EDATE(T322,V322)))</t>
        </is>
      </c>
      <c r="Y322" s="54" t="n"/>
      <c r="Z322" s="55" t="n">
        <v>0</v>
      </c>
      <c r="AA322" s="52" t="inlineStr">
        <is>
          <t>Awarded</t>
        </is>
      </c>
      <c r="AB322" s="52" t="inlineStr">
        <is>
          <t>Completed on Sep, 2026</t>
        </is>
      </c>
      <c r="AC322" s="42" t="inlineStr">
        <is>
          <t>IF(F322="","",IF(COUNT(AI322:AV322)=0,IF(AA322="","Not started",AA322),SUBSTITUTE(LOOKUP(2,1/(AI322:AV322&lt;&gt;""),$AI$3:$AV$3),"Date: ","")))</t>
        </is>
      </c>
      <c r="AD322" s="49" t="inlineStr">
        <is>
          <t>IF(OR(F322="",COUNT(AI322:AV322)=0),"",TODAY()-LOOKUP(2,1/(AI322:AV322&lt;&gt;""),AI322:AV322))</t>
        </is>
      </c>
      <c r="AE322" s="49" t="inlineStr">
        <is>
          <t>IF(OR(F322="",COUNT(AI322:AV322)&lt;2),"",LOOKUP(2,1/(AI322:AV322&lt;&gt;""),AI322:AV322)-MIN(AI322:AV322))</t>
        </is>
      </c>
      <c r="AF322" s="49" t="inlineStr">
        <is>
          <t>IF(OR(AD322="",AC322="Not started",AC322=""),"",IFERROR(AD322-IF(VLOOKUP(AC322,'06_Status_Pipeline'!$B$3:$E$20,4,FALSE)="",0,VLOOKUP(AC322,'06_Status_Pipeline'!$B$3:$E$20,4,FALSE)),""))</t>
        </is>
      </c>
      <c r="AG322" s="42" t="inlineStr">
        <is>
          <t>IF(F322="","",IF(OR(AA322="Cancelled",AC322="Cancelled"),"Cancelled",IF(OR(AC322="Completed / Handover",Y322&lt;&gt;"",Z322&gt;=100),"Completed — on track",IF(O322="Not awarded",IF(U322="",IF(X322="","No planned date",IF(TODAY()&gt;X322,"Behind — past planned date",IF(X322-TODAY()&lt;=30,"At risk — close to off track","On track"))),IF(TODAY()&gt;U322,"Behind — award date passed",IF(U322-TODAY()&lt;=30,"At risk — close to off track","On track"))),IF(X322="","No planned date",IF(AND(TODAY()&gt;X322,OR(Z322="",Z322&lt;100)),"Behind — past end date",IF(AND(T322&lt;&gt;"",X322&lt;&gt;"",Z322&lt;&gt;"",(Z322&lt;100),((TODAY()-T322)/MAX(X322-T322,1)*100)-Z322&gt;15),"Behind — progress lag",IF(AND(X322-TODAY()&lt;=30,X322-TODAY()&gt;=0,OR(Z322="",Z322&lt;90)),"At risk — close to off track","On track"))))))))</t>
        </is>
      </c>
      <c r="AH322" s="49" t="inlineStr">
        <is>
          <t>IF(OR(F322="",AC322="Completed / Handover",AC322="Cancelled"),"",IF(O322="Not awarded",IF(U322&lt;&gt;"",U322-TODAY(),IF(X322="","",X322-TODAY())),IF(X322="","",X322-TODAY())))</t>
        </is>
      </c>
      <c r="AI322" s="67" t="n"/>
      <c r="AJ322" s="67" t="n"/>
      <c r="AK322" s="67" t="n"/>
      <c r="AL322" s="67" t="n"/>
      <c r="AM322" s="67" t="n"/>
      <c r="AN322" s="67" t="n"/>
      <c r="AO322" s="67" t="n"/>
      <c r="AP322" s="67" t="n"/>
      <c r="AQ322" s="67" t="n">
        <v>46261</v>
      </c>
      <c r="AR322" s="67" t="n"/>
      <c r="AS322" s="67" t="n"/>
      <c r="AT322" s="50" t="n"/>
      <c r="AU322" s="50" t="n"/>
      <c r="AV322" s="50" t="n"/>
      <c r="AW322" s="49" t="inlineStr">
        <is>
          <t>IF(OR(F322="",AJ322=""),"",IF(COUNT(AI322:AI322)=0,"",AJ322-LOOKUP(2,1/(AI322:AI322&lt;&gt;""),AI322:AI322)))</t>
        </is>
      </c>
      <c r="AX322" s="49" t="inlineStr">
        <is>
          <t>IF(OR(F322="",AK322=""),"",IF(COUNT(AI322:AJ322)=0,"",AK322-LOOKUP(2,1/(AI322:AJ322&lt;&gt;""),AI322:AJ322)))</t>
        </is>
      </c>
      <c r="AY322" s="49" t="inlineStr">
        <is>
          <t>IF(OR(F322="",AL322=""),"",IF(COUNT(AI322:AK322)=0,"",AL322-LOOKUP(2,1/(AI322:AK322&lt;&gt;""),AI322:AK322)))</t>
        </is>
      </c>
      <c r="AZ322" s="49" t="inlineStr">
        <is>
          <t>IF(OR(F322="",AM322=""),"",IF(COUNT(AI322:AL322)=0,"",AM322-LOOKUP(2,1/(AI322:AL322&lt;&gt;""),AI322:AL322)))</t>
        </is>
      </c>
      <c r="BA322" s="49" t="inlineStr">
        <is>
          <t>IF(OR(F322="",AN322=""),"",IF(COUNT(AI322:AM322)=0,"",AN322-LOOKUP(2,1/(AI322:AM322&lt;&gt;""),AI322:AM322)))</t>
        </is>
      </c>
      <c r="BB322" s="49" t="inlineStr">
        <is>
          <t>IF(OR(F322="",AO322=""),"",IF(COUNT(AI322:AN322)=0,"",AO322-LOOKUP(2,1/(AI322:AN322&lt;&gt;""),AI322:AN322)))</t>
        </is>
      </c>
      <c r="BC322" s="49" t="inlineStr">
        <is>
          <t>IF(OR(F322="",AP322=""),"",IF(COUNT(AI322:AO322)=0,"",AP322-LOOKUP(2,1/(AI322:AO322&lt;&gt;""),AI322:AO322)))</t>
        </is>
      </c>
      <c r="BD322" s="49" t="inlineStr">
        <is>
          <t>IF(OR(F322="",AQ322=""),"",IF(COUNT(AI322:AP322)=0,"",AQ322-LOOKUP(2,1/(AI322:AP322&lt;&gt;""),AI322:AP322)))</t>
        </is>
      </c>
      <c r="BE322" s="49" t="inlineStr">
        <is>
          <t>IF(OR(F322="",AR322=""),"",IF(COUNT(AI322:AQ322)=0,"",AR322-LOOKUP(2,1/(AI322:AQ322&lt;&gt;""),AI322:AQ322)))</t>
        </is>
      </c>
      <c r="BF322" s="49" t="inlineStr">
        <is>
          <t>IF(OR(F322="",AS322=""),"",IF(COUNT(AI322:AR322)=0,"",AS322-LOOKUP(2,1/(AI322:AR322&lt;&gt;""),AI322:AR322)))</t>
        </is>
      </c>
      <c r="BG322" s="49" t="inlineStr">
        <is>
          <t>IF(OR(F322="",AT322=""),"",IF(COUNT(AI322:AS322)=0,"",AT322-LOOKUP(2,1/(AI322:AS322&lt;&gt;""),AI322:AS322)))</t>
        </is>
      </c>
      <c r="BH322" s="49" t="inlineStr">
        <is>
          <t>IF(OR(F322="",AU322=""),"",IF(COUNT(AI322:AT322)=0,"",AU322-LOOKUP(2,1/(AI322:AT322&lt;&gt;""),AI322:AT322)))</t>
        </is>
      </c>
      <c r="BI322" s="49" t="inlineStr">
        <is>
          <t>IF(OR(F322="",AV322=""),"",IF(COUNT(AI322:AU322)=0,"",AV322-LOOKUP(2,1/(AI322:AU322&lt;&gt;""),AI322:AU322)))</t>
        </is>
      </c>
      <c r="BJ322" s="51" t="inlineStr">
        <is>
          <t>IF(J322="","All_Provinces",IFERROR(VLOOKUP(J322,'09_Lookups'!$A$4:$B$20,2,FALSE),"All_Provinces"))</t>
        </is>
      </c>
      <c r="BK322" s="51" t="inlineStr">
        <is>
          <t>IF(K322="","All_Districts",IFERROR(VLOOKUP(K322,'09_Lookups'!$E$4:$F$42,2,FALSE),"All_Districts"))</t>
        </is>
      </c>
    </row>
    <row r="323" ht="18" customHeight="1">
      <c r="A323" s="32" t="inlineStr">
        <is>
          <t>IF(F323="","",ROW()-3)</t>
        </is>
      </c>
      <c r="B323" s="33" t="inlineStr">
        <is>
          <t>AF2-WSM-24</t>
        </is>
      </c>
      <c r="C323" s="33" t="inlineStr">
        <is>
          <t>Package #24-AF2 WSM: Construction of 5 Check dams 1. Kashata Tangi, 2. Forodi, 3. Valary in Nawzad district, 4.Band Khawanin, and 5.Tykhoghi in Washer district of Helmand province.</t>
        </is>
      </c>
      <c r="D323" s="33" t="inlineStr">
        <is>
          <t>1 of 5</t>
        </is>
      </c>
      <c r="E323" s="57" t="inlineStr">
        <is>
          <t>AF2-WSM-N-013</t>
        </is>
      </c>
      <c r="F323" s="57" t="inlineStr">
        <is>
          <t>Band Khawanin check dam</t>
        </is>
      </c>
      <c r="G323" s="57" t="inlineStr">
        <is>
          <t>Watershed Management</t>
        </is>
      </c>
      <c r="H323" s="57" t="inlineStr">
        <is>
          <t>Check Dam</t>
        </is>
      </c>
      <c r="I323" s="57" t="inlineStr">
        <is>
          <t>Emergency Food Security Project (EFSP) – WBK/AF-2</t>
        </is>
      </c>
      <c r="J323" s="57" t="inlineStr">
        <is>
          <t>South / Kandahar</t>
        </is>
      </c>
      <c r="K323" s="57" t="inlineStr">
        <is>
          <t>Helmand</t>
        </is>
      </c>
      <c r="L323" s="57" t="inlineStr">
        <is>
          <t>Washer</t>
        </is>
      </c>
      <c r="M323" s="57" t="inlineStr">
        <is>
          <t>Shaposhta Village</t>
        </is>
      </c>
      <c r="N323" s="57" t="inlineStr">
        <is>
          <t>World Bank (WBK/AF-2)</t>
        </is>
      </c>
      <c r="O323" s="57" t="inlineStr">
        <is>
          <t>Not awarded</t>
        </is>
      </c>
      <c r="P323" s="57" t="inlineStr">
        <is>
          <t>4.WSM remaining contracts</t>
        </is>
      </c>
      <c r="Q323" s="57" t="inlineStr"/>
      <c r="R323" s="57" t="inlineStr"/>
      <c r="S323" s="58" t="n">
        <v>125000</v>
      </c>
      <c r="T323" s="36" t="inlineStr">
        <is>
          <t>IF(AQ323="","",AQ323)</t>
        </is>
      </c>
      <c r="U323" s="59" t="n">
        <v>46359</v>
      </c>
      <c r="V323" s="60" t="n">
        <v>5.9</v>
      </c>
      <c r="W323" s="59" t="n">
        <v>46539</v>
      </c>
      <c r="X323" s="36" t="inlineStr">
        <is>
          <t>IF(W323&lt;&gt;"",W323,IF(OR(T323="",V323=""),"",EDATE(T323,V323)))</t>
        </is>
      </c>
      <c r="Y323" s="59" t="n"/>
      <c r="Z323" s="60" t="n"/>
      <c r="AA323" s="57" t="inlineStr">
        <is>
          <t>Under Design</t>
        </is>
      </c>
      <c r="AB323" s="57" t="inlineStr">
        <is>
          <t>Technical clearance is expected to receive at first week of November. PR raised and ITB launched by the second week of November and award of contract by the first week of December. Construction period for six months</t>
        </is>
      </c>
      <c r="AC323" s="32" t="inlineStr">
        <is>
          <t>IF(F323="","",IF(COUNT(AI323:AV323)=0,IF(AA323="","Not started",AA323),SUBSTITUTE(LOOKUP(2,1/(AI323:AV323&lt;&gt;""),$AI$3:$AV$3),"Date: ","")))</t>
        </is>
      </c>
      <c r="AD323" s="39" t="inlineStr">
        <is>
          <t>IF(OR(F323="",COUNT(AI323:AV323)=0),"",TODAY()-LOOKUP(2,1/(AI323:AV323&lt;&gt;""),AI323:AV323))</t>
        </is>
      </c>
      <c r="AE323" s="39" t="inlineStr">
        <is>
          <t>IF(OR(F323="",COUNT(AI323:AV323)&lt;2),"",LOOKUP(2,1/(AI323:AV323&lt;&gt;""),AI323:AV323)-MIN(AI323:AV323))</t>
        </is>
      </c>
      <c r="AF323" s="39" t="inlineStr">
        <is>
          <t>IF(OR(AD323="",AC323="Not started",AC323=""),"",IFERROR(AD323-IF(VLOOKUP(AC323,'06_Status_Pipeline'!$B$3:$E$20,4,FALSE)="",0,VLOOKUP(AC323,'06_Status_Pipeline'!$B$3:$E$20,4,FALSE)),""))</t>
        </is>
      </c>
      <c r="AG323" s="32" t="inlineStr">
        <is>
          <t>IF(F323="","",IF(OR(AA323="Cancelled",AC323="Cancelled"),"Cancelled",IF(OR(AC323="Completed / Handover",Y323&lt;&gt;"",Z323&gt;=100),"Completed — on track",IF(O323="Not awarded",IF(U323="",IF(X323="","No planned date",IF(TODAY()&gt;X323,"Behind — past planned date",IF(X323-TODAY()&lt;=30,"At risk — close to off track","On track"))),IF(TODAY()&gt;U323,"Behind — award date passed",IF(U323-TODAY()&lt;=30,"At risk — close to off track","On track"))),IF(X323="","No planned date",IF(AND(TODAY()&gt;X323,OR(Z323="",Z323&lt;100)),"Behind — past end date",IF(AND(T323&lt;&gt;"",X323&lt;&gt;"",Z323&lt;&gt;"",(Z323&lt;100),((TODAY()-T323)/MAX(X323-T323,1)*100)-Z323&gt;15),"Behind — progress lag",IF(AND(X323-TODAY()&lt;=30,X323-TODAY()&gt;=0,OR(Z323="",Z323&lt;90)),"At risk — close to off track","On track"))))))))</t>
        </is>
      </c>
      <c r="AH323" s="39" t="inlineStr">
        <is>
          <t>IF(OR(F323="",AC323="Completed / Handover",AC323="Cancelled"),"",IF(O323="Not awarded",IF(U323&lt;&gt;"",U323-TODAY(),IF(X323="","",X323-TODAY())),IF(X323="","",X323-TODAY())))</t>
        </is>
      </c>
      <c r="AI323" s="59" t="n"/>
      <c r="AJ323" s="59" t="n"/>
      <c r="AK323" s="59" t="n"/>
      <c r="AL323" s="59" t="n"/>
      <c r="AM323" s="59" t="n"/>
      <c r="AN323" s="59" t="n"/>
      <c r="AO323" s="59" t="n"/>
      <c r="AP323" s="59" t="n"/>
      <c r="AQ323" s="59" t="n"/>
      <c r="AR323" s="59" t="n"/>
      <c r="AS323" s="59" t="n"/>
      <c r="AT323" s="40" t="n"/>
      <c r="AU323" s="40" t="n"/>
      <c r="AV323" s="40" t="n"/>
      <c r="AW323" s="39" t="inlineStr">
        <is>
          <t>IF(OR(F323="",AJ323=""),"",IF(COUNT(AI323:AI323)=0,"",AJ323-LOOKUP(2,1/(AI323:AI323&lt;&gt;""),AI323:AI323)))</t>
        </is>
      </c>
      <c r="AX323" s="39" t="inlineStr">
        <is>
          <t>IF(OR(F323="",AK323=""),"",IF(COUNT(AI323:AJ323)=0,"",AK323-LOOKUP(2,1/(AI323:AJ323&lt;&gt;""),AI323:AJ323)))</t>
        </is>
      </c>
      <c r="AY323" s="39" t="inlineStr">
        <is>
          <t>IF(OR(F323="",AL323=""),"",IF(COUNT(AI323:AK323)=0,"",AL323-LOOKUP(2,1/(AI323:AK323&lt;&gt;""),AI323:AK323)))</t>
        </is>
      </c>
      <c r="AZ323" s="39" t="inlineStr">
        <is>
          <t>IF(OR(F323="",AM323=""),"",IF(COUNT(AI323:AL323)=0,"",AM323-LOOKUP(2,1/(AI323:AL323&lt;&gt;""),AI323:AL323)))</t>
        </is>
      </c>
      <c r="BA323" s="39" t="inlineStr">
        <is>
          <t>IF(OR(F323="",AN323=""),"",IF(COUNT(AI323:AM323)=0,"",AN323-LOOKUP(2,1/(AI323:AM323&lt;&gt;""),AI323:AM323)))</t>
        </is>
      </c>
      <c r="BB323" s="39" t="inlineStr">
        <is>
          <t>IF(OR(F323="",AO323=""),"",IF(COUNT(AI323:AN323)=0,"",AO323-LOOKUP(2,1/(AI323:AN323&lt;&gt;""),AI323:AN323)))</t>
        </is>
      </c>
      <c r="BC323" s="39" t="inlineStr">
        <is>
          <t>IF(OR(F323="",AP323=""),"",IF(COUNT(AI323:AO323)=0,"",AP323-LOOKUP(2,1/(AI323:AO323&lt;&gt;""),AI323:AO323)))</t>
        </is>
      </c>
      <c r="BD323" s="39" t="inlineStr">
        <is>
          <t>IF(OR(F323="",AQ323=""),"",IF(COUNT(AI323:AP323)=0,"",AQ323-LOOKUP(2,1/(AI323:AP323&lt;&gt;""),AI323:AP323)))</t>
        </is>
      </c>
      <c r="BE323" s="39" t="inlineStr">
        <is>
          <t>IF(OR(F323="",AR323=""),"",IF(COUNT(AI323:AQ323)=0,"",AR323-LOOKUP(2,1/(AI323:AQ323&lt;&gt;""),AI323:AQ323)))</t>
        </is>
      </c>
      <c r="BF323" s="39" t="inlineStr">
        <is>
          <t>IF(OR(F323="",AS323=""),"",IF(COUNT(AI323:AR323)=0,"",AS323-LOOKUP(2,1/(AI323:AR323&lt;&gt;""),AI323:AR323)))</t>
        </is>
      </c>
      <c r="BG323" s="39" t="inlineStr">
        <is>
          <t>IF(OR(F323="",AT323=""),"",IF(COUNT(AI323:AS323)=0,"",AT323-LOOKUP(2,1/(AI323:AS323&lt;&gt;""),AI323:AS323)))</t>
        </is>
      </c>
      <c r="BH323" s="39" t="inlineStr">
        <is>
          <t>IF(OR(F323="",AU323=""),"",IF(COUNT(AI323:AT323)=0,"",AU323-LOOKUP(2,1/(AI323:AT323&lt;&gt;""),AI323:AT323)))</t>
        </is>
      </c>
      <c r="BI323" s="39" t="inlineStr">
        <is>
          <t>IF(OR(F323="",AV323=""),"",IF(COUNT(AI323:AU323)=0,"",AV323-LOOKUP(2,1/(AI323:AU323&lt;&gt;""),AI323:AU323)))</t>
        </is>
      </c>
      <c r="BJ323" s="41" t="inlineStr">
        <is>
          <t>IF(J323="","All_Provinces",IFERROR(VLOOKUP(J323,'09_Lookups'!$A$4:$B$20,2,FALSE),"All_Provinces"))</t>
        </is>
      </c>
      <c r="BK323" s="41" t="inlineStr">
        <is>
          <t>IF(K323="","All_Districts",IFERROR(VLOOKUP(K323,'09_Lookups'!$E$4:$F$42,2,FALSE),"All_Districts"))</t>
        </is>
      </c>
    </row>
    <row r="324" outlineLevel="1" ht="18" customHeight="1">
      <c r="A324" s="42" t="inlineStr">
        <is>
          <t>IF(F324="","",ROW()-3)</t>
        </is>
      </c>
      <c r="B324" s="43" t="inlineStr">
        <is>
          <t>AF2-WSM-24</t>
        </is>
      </c>
      <c r="C324" s="43" t="inlineStr">
        <is>
          <t>Package #24-AF2 WSM: Construction of 5 Check dams 1. Kashata Tangi, 2. Forodi, 3. Valary in Nawzad district, 4.Band Khawanin, and 5.Tykhoghi in Washer district of Helmand province.</t>
        </is>
      </c>
      <c r="D324" s="43" t="inlineStr">
        <is>
          <t>2 of 5</t>
        </is>
      </c>
      <c r="E324" s="52" t="inlineStr">
        <is>
          <t>AF2-WSM-N-014</t>
        </is>
      </c>
      <c r="F324" s="52" t="inlineStr">
        <is>
          <t>Forodi Check Dam</t>
        </is>
      </c>
      <c r="G324" s="52" t="inlineStr">
        <is>
          <t>Watershed Management</t>
        </is>
      </c>
      <c r="H324" s="52" t="inlineStr">
        <is>
          <t>Check Dam</t>
        </is>
      </c>
      <c r="I324" s="52" t="inlineStr">
        <is>
          <t>Emergency Food Security Project (EFSP) – WBK/AF-2</t>
        </is>
      </c>
      <c r="J324" s="52" t="inlineStr">
        <is>
          <t>South / Kandahar</t>
        </is>
      </c>
      <c r="K324" s="52" t="inlineStr">
        <is>
          <t>Helmand</t>
        </is>
      </c>
      <c r="L324" s="52" t="inlineStr">
        <is>
          <t>Nawzad</t>
        </is>
      </c>
      <c r="M324" s="52" t="inlineStr">
        <is>
          <t>Zoroji Village</t>
        </is>
      </c>
      <c r="N324" s="52" t="inlineStr">
        <is>
          <t>World Bank (WBK/AF-2)</t>
        </is>
      </c>
      <c r="O324" s="52" t="inlineStr">
        <is>
          <t>Not awarded</t>
        </is>
      </c>
      <c r="P324" s="52" t="inlineStr">
        <is>
          <t>4.WSM remaining contracts</t>
        </is>
      </c>
      <c r="Q324" s="52" t="inlineStr"/>
      <c r="R324" s="52" t="inlineStr"/>
      <c r="S324" s="53" t="n">
        <v>125000</v>
      </c>
      <c r="T324" s="46" t="inlineStr">
        <is>
          <t>IF(AQ324="","",AQ324)</t>
        </is>
      </c>
      <c r="U324" s="54" t="n">
        <v>46359</v>
      </c>
      <c r="V324" s="55" t="n">
        <v>5.9</v>
      </c>
      <c r="W324" s="54" t="n">
        <v>46539</v>
      </c>
      <c r="X324" s="46" t="inlineStr">
        <is>
          <t>IF(W324&lt;&gt;"",W324,IF(OR(T324="",V324=""),"",EDATE(T324,V324)))</t>
        </is>
      </c>
      <c r="Y324" s="54" t="n"/>
      <c r="Z324" s="55" t="n"/>
      <c r="AA324" s="52" t="inlineStr">
        <is>
          <t>Under Design</t>
        </is>
      </c>
      <c r="AB324" s="52" t="inlineStr">
        <is>
          <t>Technical clearance is expected to receive at first week of November. PR raised and ITB launched by the second week of November and award of contract by the first week of December. Construction period for six months</t>
        </is>
      </c>
      <c r="AC324" s="42" t="inlineStr">
        <is>
          <t>IF(F324="","",IF(COUNT(AI324:AV324)=0,IF(AA324="","Not started",AA324),SUBSTITUTE(LOOKUP(2,1/(AI324:AV324&lt;&gt;""),$AI$3:$AV$3),"Date: ","")))</t>
        </is>
      </c>
      <c r="AD324" s="49" t="inlineStr">
        <is>
          <t>IF(OR(F324="",COUNT(AI324:AV324)=0),"",TODAY()-LOOKUP(2,1/(AI324:AV324&lt;&gt;""),AI324:AV324))</t>
        </is>
      </c>
      <c r="AE324" s="49" t="inlineStr">
        <is>
          <t>IF(OR(F324="",COUNT(AI324:AV324)&lt;2),"",LOOKUP(2,1/(AI324:AV324&lt;&gt;""),AI324:AV324)-MIN(AI324:AV324))</t>
        </is>
      </c>
      <c r="AF324" s="49" t="inlineStr">
        <is>
          <t>IF(OR(AD324="",AC324="Not started",AC324=""),"",IFERROR(AD324-IF(VLOOKUP(AC324,'06_Status_Pipeline'!$B$3:$E$20,4,FALSE)="",0,VLOOKUP(AC324,'06_Status_Pipeline'!$B$3:$E$20,4,FALSE)),""))</t>
        </is>
      </c>
      <c r="AG324" s="42" t="inlineStr">
        <is>
          <t>IF(F324="","",IF(OR(AA324="Cancelled",AC324="Cancelled"),"Cancelled",IF(OR(AC324="Completed / Handover",Y324&lt;&gt;"",Z324&gt;=100),"Completed — on track",IF(O324="Not awarded",IF(U324="",IF(X324="","No planned date",IF(TODAY()&gt;X324,"Behind — past planned date",IF(X324-TODAY()&lt;=30,"At risk — close to off track","On track"))),IF(TODAY()&gt;U324,"Behind — award date passed",IF(U324-TODAY()&lt;=30,"At risk — close to off track","On track"))),IF(X324="","No planned date",IF(AND(TODAY()&gt;X324,OR(Z324="",Z324&lt;100)),"Behind — past end date",IF(AND(T324&lt;&gt;"",X324&lt;&gt;"",Z324&lt;&gt;"",(Z324&lt;100),((TODAY()-T324)/MAX(X324-T324,1)*100)-Z324&gt;15),"Behind — progress lag",IF(AND(X324-TODAY()&lt;=30,X324-TODAY()&gt;=0,OR(Z324="",Z324&lt;90)),"At risk — close to off track","On track"))))))))</t>
        </is>
      </c>
      <c r="AH324" s="49" t="inlineStr">
        <is>
          <t>IF(OR(F324="",AC324="Completed / Handover",AC324="Cancelled"),"",IF(O324="Not awarded",IF(U324&lt;&gt;"",U324-TODAY(),IF(X324="","",X324-TODAY())),IF(X324="","",X324-TODAY())))</t>
        </is>
      </c>
      <c r="AI324" s="54" t="n"/>
      <c r="AJ324" s="54" t="n"/>
      <c r="AK324" s="54" t="n"/>
      <c r="AL324" s="54" t="n"/>
      <c r="AM324" s="54" t="n"/>
      <c r="AN324" s="54" t="n"/>
      <c r="AO324" s="54" t="n"/>
      <c r="AP324" s="54" t="n"/>
      <c r="AQ324" s="54" t="n"/>
      <c r="AR324" s="54" t="n"/>
      <c r="AS324" s="54" t="n"/>
      <c r="AT324" s="50" t="n"/>
      <c r="AU324" s="50" t="n"/>
      <c r="AV324" s="50" t="n"/>
      <c r="AW324" s="49" t="inlineStr">
        <is>
          <t>IF(OR(F324="",AJ324=""),"",IF(COUNT(AI324:AI324)=0,"",AJ324-LOOKUP(2,1/(AI324:AI324&lt;&gt;""),AI324:AI324)))</t>
        </is>
      </c>
      <c r="AX324" s="49" t="inlineStr">
        <is>
          <t>IF(OR(F324="",AK324=""),"",IF(COUNT(AI324:AJ324)=0,"",AK324-LOOKUP(2,1/(AI324:AJ324&lt;&gt;""),AI324:AJ324)))</t>
        </is>
      </c>
      <c r="AY324" s="49" t="inlineStr">
        <is>
          <t>IF(OR(F324="",AL324=""),"",IF(COUNT(AI324:AK324)=0,"",AL324-LOOKUP(2,1/(AI324:AK324&lt;&gt;""),AI324:AK324)))</t>
        </is>
      </c>
      <c r="AZ324" s="49" t="inlineStr">
        <is>
          <t>IF(OR(F324="",AM324=""),"",IF(COUNT(AI324:AL324)=0,"",AM324-LOOKUP(2,1/(AI324:AL324&lt;&gt;""),AI324:AL324)))</t>
        </is>
      </c>
      <c r="BA324" s="49" t="inlineStr">
        <is>
          <t>IF(OR(F324="",AN324=""),"",IF(COUNT(AI324:AM324)=0,"",AN324-LOOKUP(2,1/(AI324:AM324&lt;&gt;""),AI324:AM324)))</t>
        </is>
      </c>
      <c r="BB324" s="49" t="inlineStr">
        <is>
          <t>IF(OR(F324="",AO324=""),"",IF(COUNT(AI324:AN324)=0,"",AO324-LOOKUP(2,1/(AI324:AN324&lt;&gt;""),AI324:AN324)))</t>
        </is>
      </c>
      <c r="BC324" s="49" t="inlineStr">
        <is>
          <t>IF(OR(F324="",AP324=""),"",IF(COUNT(AI324:AO324)=0,"",AP324-LOOKUP(2,1/(AI324:AO324&lt;&gt;""),AI324:AO324)))</t>
        </is>
      </c>
      <c r="BD324" s="49" t="inlineStr">
        <is>
          <t>IF(OR(F324="",AQ324=""),"",IF(COUNT(AI324:AP324)=0,"",AQ324-LOOKUP(2,1/(AI324:AP324&lt;&gt;""),AI324:AP324)))</t>
        </is>
      </c>
      <c r="BE324" s="49" t="inlineStr">
        <is>
          <t>IF(OR(F324="",AR324=""),"",IF(COUNT(AI324:AQ324)=0,"",AR324-LOOKUP(2,1/(AI324:AQ324&lt;&gt;""),AI324:AQ324)))</t>
        </is>
      </c>
      <c r="BF324" s="49" t="inlineStr">
        <is>
          <t>IF(OR(F324="",AS324=""),"",IF(COUNT(AI324:AR324)=0,"",AS324-LOOKUP(2,1/(AI324:AR324&lt;&gt;""),AI324:AR324)))</t>
        </is>
      </c>
      <c r="BG324" s="49" t="inlineStr">
        <is>
          <t>IF(OR(F324="",AT324=""),"",IF(COUNT(AI324:AS324)=0,"",AT324-LOOKUP(2,1/(AI324:AS324&lt;&gt;""),AI324:AS324)))</t>
        </is>
      </c>
      <c r="BH324" s="49" t="inlineStr">
        <is>
          <t>IF(OR(F324="",AU324=""),"",IF(COUNT(AI324:AT324)=0,"",AU324-LOOKUP(2,1/(AI324:AT324&lt;&gt;""),AI324:AT324)))</t>
        </is>
      </c>
      <c r="BI324" s="49" t="inlineStr">
        <is>
          <t>IF(OR(F324="",AV324=""),"",IF(COUNT(AI324:AU324)=0,"",AV324-LOOKUP(2,1/(AI324:AU324&lt;&gt;""),AI324:AU324)))</t>
        </is>
      </c>
      <c r="BJ324" s="51" t="inlineStr">
        <is>
          <t>IF(J324="","All_Provinces",IFERROR(VLOOKUP(J324,'09_Lookups'!$A$4:$B$20,2,FALSE),"All_Provinces"))</t>
        </is>
      </c>
      <c r="BK324" s="51" t="inlineStr">
        <is>
          <t>IF(K324="","All_Districts",IFERROR(VLOOKUP(K324,'09_Lookups'!$E$4:$F$42,2,FALSE),"All_Districts"))</t>
        </is>
      </c>
    </row>
    <row r="325" outlineLevel="1" ht="18" customHeight="1">
      <c r="A325" s="42" t="inlineStr">
        <is>
          <t>IF(F325="","",ROW()-3)</t>
        </is>
      </c>
      <c r="B325" s="43" t="inlineStr">
        <is>
          <t>AF2-WSM-24</t>
        </is>
      </c>
      <c r="C325" s="43" t="inlineStr">
        <is>
          <t>Package #24-AF2 WSM: Construction of 5 Check dams 1. Kashata Tangi, 2. Forodi, 3. Valary in Nawzad district, 4.Band Khawanin, and 5.Tykhoghi in Washer district of Helmand province.</t>
        </is>
      </c>
      <c r="D325" s="43" t="inlineStr">
        <is>
          <t>3 of 5</t>
        </is>
      </c>
      <c r="E325" s="44" t="inlineStr">
        <is>
          <t>AF2-WSM-N-015</t>
        </is>
      </c>
      <c r="F325" s="44" t="inlineStr">
        <is>
          <t>Kashata Tangi Check Dam</t>
        </is>
      </c>
      <c r="G325" s="44" t="inlineStr">
        <is>
          <t>Watershed Management</t>
        </is>
      </c>
      <c r="H325" s="44" t="inlineStr">
        <is>
          <t>Check Dam</t>
        </is>
      </c>
      <c r="I325" s="44" t="inlineStr">
        <is>
          <t>Emergency Food Security Project (EFSP) – WBK/AF-2</t>
        </is>
      </c>
      <c r="J325" s="44" t="inlineStr">
        <is>
          <t>South / Kandahar</t>
        </is>
      </c>
      <c r="K325" s="44" t="inlineStr">
        <is>
          <t>Helmand</t>
        </is>
      </c>
      <c r="L325" s="44" t="inlineStr">
        <is>
          <t>Nawzad</t>
        </is>
      </c>
      <c r="M325" s="44" t="inlineStr">
        <is>
          <t>Kashata Tangi Village</t>
        </is>
      </c>
      <c r="N325" s="44" t="inlineStr">
        <is>
          <t>World Bank (WBK/AF-2)</t>
        </is>
      </c>
      <c r="O325" s="44" t="inlineStr">
        <is>
          <t>Not awarded</t>
        </is>
      </c>
      <c r="P325" s="44" t="inlineStr">
        <is>
          <t>4.WSM remaining contracts</t>
        </is>
      </c>
      <c r="Q325" s="44" t="inlineStr"/>
      <c r="R325" s="44" t="inlineStr"/>
      <c r="S325" s="45" t="n">
        <v>125000</v>
      </c>
      <c r="T325" s="46" t="inlineStr">
        <is>
          <t>IF(AQ325="","",AQ325)</t>
        </is>
      </c>
      <c r="U325" s="47" t="n">
        <v>46359</v>
      </c>
      <c r="V325" s="48" t="n">
        <v>5.9</v>
      </c>
      <c r="W325" s="47" t="n">
        <v>46539</v>
      </c>
      <c r="X325" s="46" t="inlineStr">
        <is>
          <t>IF(W325&lt;&gt;"",W325,IF(OR(T325="",V325=""),"",EDATE(T325,V325)))</t>
        </is>
      </c>
      <c r="Y325" s="47" t="n"/>
      <c r="Z325" s="48" t="n"/>
      <c r="AA325" s="44" t="inlineStr">
        <is>
          <t>Under Design</t>
        </is>
      </c>
      <c r="AB325" s="44" t="inlineStr">
        <is>
          <t>Technical clearance is expected to receive at first week of November. PR raised and ITB launched by the second week of November and award of contract by the first week of December. Construction period for six months</t>
        </is>
      </c>
      <c r="AC325" s="42" t="inlineStr">
        <is>
          <t>IF(F325="","",IF(COUNT(AI325:AV325)=0,IF(AA325="","Not started",AA325),SUBSTITUTE(LOOKUP(2,1/(AI325:AV325&lt;&gt;""),$AI$3:$AV$3),"Date: ","")))</t>
        </is>
      </c>
      <c r="AD325" s="49" t="inlineStr">
        <is>
          <t>IF(OR(F325="",COUNT(AI325:AV325)=0),"",TODAY()-LOOKUP(2,1/(AI325:AV325&lt;&gt;""),AI325:AV325))</t>
        </is>
      </c>
      <c r="AE325" s="49" t="inlineStr">
        <is>
          <t>IF(OR(F325="",COUNT(AI325:AV325)&lt;2),"",LOOKUP(2,1/(AI325:AV325&lt;&gt;""),AI325:AV325)-MIN(AI325:AV325))</t>
        </is>
      </c>
      <c r="AF325" s="49" t="inlineStr">
        <is>
          <t>IF(OR(AD325="",AC325="Not started",AC325=""),"",IFERROR(AD325-IF(VLOOKUP(AC325,'06_Status_Pipeline'!$B$3:$E$20,4,FALSE)="",0,VLOOKUP(AC325,'06_Status_Pipeline'!$B$3:$E$20,4,FALSE)),""))</t>
        </is>
      </c>
      <c r="AG325" s="42" t="inlineStr">
        <is>
          <t>IF(F325="","",IF(OR(AA325="Cancelled",AC325="Cancelled"),"Cancelled",IF(OR(AC325="Completed / Handover",Y325&lt;&gt;"",Z325&gt;=100),"Completed — on track",IF(O325="Not awarded",IF(U325="",IF(X325="","No planned date",IF(TODAY()&gt;X325,"Behind — past planned date",IF(X325-TODAY()&lt;=30,"At risk — close to off track","On track"))),IF(TODAY()&gt;U325,"Behind — award date passed",IF(U325-TODAY()&lt;=30,"At risk — close to off track","On track"))),IF(X325="","No planned date",IF(AND(TODAY()&gt;X325,OR(Z325="",Z325&lt;100)),"Behind — past end date",IF(AND(T325&lt;&gt;"",X325&lt;&gt;"",Z325&lt;&gt;"",(Z325&lt;100),((TODAY()-T325)/MAX(X325-T325,1)*100)-Z325&gt;15),"Behind — progress lag",IF(AND(X325-TODAY()&lt;=30,X325-TODAY()&gt;=0,OR(Z325="",Z325&lt;90)),"At risk — close to off track","On track"))))))))</t>
        </is>
      </c>
      <c r="AH325" s="49" t="inlineStr">
        <is>
          <t>IF(OR(F325="",AC325="Completed / Handover",AC325="Cancelled"),"",IF(O325="Not awarded",IF(U325&lt;&gt;"",U325-TODAY(),IF(X325="","",X325-TODAY())),IF(X325="","",X325-TODAY())))</t>
        </is>
      </c>
      <c r="AI325" s="47" t="n"/>
      <c r="AJ325" s="47" t="n"/>
      <c r="AK325" s="47" t="n"/>
      <c r="AL325" s="47" t="n"/>
      <c r="AM325" s="47" t="n"/>
      <c r="AN325" s="47" t="n"/>
      <c r="AO325" s="47" t="n"/>
      <c r="AP325" s="47" t="n"/>
      <c r="AQ325" s="47" t="n"/>
      <c r="AR325" s="47" t="n"/>
      <c r="AS325" s="47" t="n"/>
      <c r="AT325" s="50" t="n"/>
      <c r="AU325" s="50" t="n"/>
      <c r="AV325" s="50" t="n"/>
      <c r="AW325" s="49" t="inlineStr">
        <is>
          <t>IF(OR(F325="",AJ325=""),"",IF(COUNT(AI325:AI325)=0,"",AJ325-LOOKUP(2,1/(AI325:AI325&lt;&gt;""),AI325:AI325)))</t>
        </is>
      </c>
      <c r="AX325" s="49" t="inlineStr">
        <is>
          <t>IF(OR(F325="",AK325=""),"",IF(COUNT(AI325:AJ325)=0,"",AK325-LOOKUP(2,1/(AI325:AJ325&lt;&gt;""),AI325:AJ325)))</t>
        </is>
      </c>
      <c r="AY325" s="49" t="inlineStr">
        <is>
          <t>IF(OR(F325="",AL325=""),"",IF(COUNT(AI325:AK325)=0,"",AL325-LOOKUP(2,1/(AI325:AK325&lt;&gt;""),AI325:AK325)))</t>
        </is>
      </c>
      <c r="AZ325" s="49" t="inlineStr">
        <is>
          <t>IF(OR(F325="",AM325=""),"",IF(COUNT(AI325:AL325)=0,"",AM325-LOOKUP(2,1/(AI325:AL325&lt;&gt;""),AI325:AL325)))</t>
        </is>
      </c>
      <c r="BA325" s="49" t="inlineStr">
        <is>
          <t>IF(OR(F325="",AN325=""),"",IF(COUNT(AI325:AM325)=0,"",AN325-LOOKUP(2,1/(AI325:AM325&lt;&gt;""),AI325:AM325)))</t>
        </is>
      </c>
      <c r="BB325" s="49" t="inlineStr">
        <is>
          <t>IF(OR(F325="",AO325=""),"",IF(COUNT(AI325:AN325)=0,"",AO325-LOOKUP(2,1/(AI325:AN325&lt;&gt;""),AI325:AN325)))</t>
        </is>
      </c>
      <c r="BC325" s="49" t="inlineStr">
        <is>
          <t>IF(OR(F325="",AP325=""),"",IF(COUNT(AI325:AO325)=0,"",AP325-LOOKUP(2,1/(AI325:AO325&lt;&gt;""),AI325:AO325)))</t>
        </is>
      </c>
      <c r="BD325" s="49" t="inlineStr">
        <is>
          <t>IF(OR(F325="",AQ325=""),"",IF(COUNT(AI325:AP325)=0,"",AQ325-LOOKUP(2,1/(AI325:AP325&lt;&gt;""),AI325:AP325)))</t>
        </is>
      </c>
      <c r="BE325" s="49" t="inlineStr">
        <is>
          <t>IF(OR(F325="",AR325=""),"",IF(COUNT(AI325:AQ325)=0,"",AR325-LOOKUP(2,1/(AI325:AQ325&lt;&gt;""),AI325:AQ325)))</t>
        </is>
      </c>
      <c r="BF325" s="49" t="inlineStr">
        <is>
          <t>IF(OR(F325="",AS325=""),"",IF(COUNT(AI325:AR325)=0,"",AS325-LOOKUP(2,1/(AI325:AR325&lt;&gt;""),AI325:AR325)))</t>
        </is>
      </c>
      <c r="BG325" s="49" t="inlineStr">
        <is>
          <t>IF(OR(F325="",AT325=""),"",IF(COUNT(AI325:AS325)=0,"",AT325-LOOKUP(2,1/(AI325:AS325&lt;&gt;""),AI325:AS325)))</t>
        </is>
      </c>
      <c r="BH325" s="49" t="inlineStr">
        <is>
          <t>IF(OR(F325="",AU325=""),"",IF(COUNT(AI325:AT325)=0,"",AU325-LOOKUP(2,1/(AI325:AT325&lt;&gt;""),AI325:AT325)))</t>
        </is>
      </c>
      <c r="BI325" s="49" t="inlineStr">
        <is>
          <t>IF(OR(F325="",AV325=""),"",IF(COUNT(AI325:AU325)=0,"",AV325-LOOKUP(2,1/(AI325:AU325&lt;&gt;""),AI325:AU325)))</t>
        </is>
      </c>
      <c r="BJ325" s="51" t="inlineStr">
        <is>
          <t>IF(J325="","All_Provinces",IFERROR(VLOOKUP(J325,'09_Lookups'!$A$4:$B$20,2,FALSE),"All_Provinces"))</t>
        </is>
      </c>
      <c r="BK325" s="51" t="inlineStr">
        <is>
          <t>IF(K325="","All_Districts",IFERROR(VLOOKUP(K325,'09_Lookups'!$E$4:$F$42,2,FALSE),"All_Districts"))</t>
        </is>
      </c>
    </row>
    <row r="326" outlineLevel="1" ht="18" customHeight="1">
      <c r="A326" s="42" t="inlineStr">
        <is>
          <t>IF(F326="","",ROW()-3)</t>
        </is>
      </c>
      <c r="B326" s="43" t="inlineStr">
        <is>
          <t>AF2-WSM-24</t>
        </is>
      </c>
      <c r="C326" s="43" t="inlineStr">
        <is>
          <t>Package #24-AF2 WSM: Construction of 5 Check dams 1. Kashata Tangi, 2. Forodi, 3. Valary in Nawzad district, 4.Band Khawanin, and 5.Tykhoghi in Washer district of Helmand province.</t>
        </is>
      </c>
      <c r="D326" s="43" t="inlineStr">
        <is>
          <t>4 of 5</t>
        </is>
      </c>
      <c r="E326" s="52" t="inlineStr">
        <is>
          <t>AF2-WSM-N-016</t>
        </is>
      </c>
      <c r="F326" s="52" t="inlineStr">
        <is>
          <t>Tykhoghi Check Dam</t>
        </is>
      </c>
      <c r="G326" s="52" t="inlineStr">
        <is>
          <t>Watershed Management</t>
        </is>
      </c>
      <c r="H326" s="52" t="inlineStr">
        <is>
          <t>Check Dam</t>
        </is>
      </c>
      <c r="I326" s="52" t="inlineStr">
        <is>
          <t>Emergency Food Security Project (EFSP) – WBK/AF-2</t>
        </is>
      </c>
      <c r="J326" s="52" t="inlineStr">
        <is>
          <t>South / Kandahar</t>
        </is>
      </c>
      <c r="K326" s="52" t="inlineStr">
        <is>
          <t>Helmand</t>
        </is>
      </c>
      <c r="L326" s="52" t="inlineStr">
        <is>
          <t>Washer</t>
        </is>
      </c>
      <c r="M326" s="52" t="inlineStr">
        <is>
          <t>Koshki Spid Villag</t>
        </is>
      </c>
      <c r="N326" s="52" t="inlineStr">
        <is>
          <t>World Bank (WBK/AF-2)</t>
        </is>
      </c>
      <c r="O326" s="52" t="inlineStr">
        <is>
          <t>Not awarded</t>
        </is>
      </c>
      <c r="P326" s="52" t="inlineStr">
        <is>
          <t>4.WSM remaining contracts</t>
        </is>
      </c>
      <c r="Q326" s="52" t="inlineStr"/>
      <c r="R326" s="52" t="inlineStr"/>
      <c r="S326" s="53" t="n">
        <v>125000</v>
      </c>
      <c r="T326" s="46" t="inlineStr">
        <is>
          <t>IF(AQ326="","",AQ326)</t>
        </is>
      </c>
      <c r="U326" s="54" t="n">
        <v>46359</v>
      </c>
      <c r="V326" s="55" t="n">
        <v>5.9</v>
      </c>
      <c r="W326" s="54" t="n">
        <v>46539</v>
      </c>
      <c r="X326" s="46" t="inlineStr">
        <is>
          <t>IF(W326&lt;&gt;"",W326,IF(OR(T326="",V326=""),"",EDATE(T326,V326)))</t>
        </is>
      </c>
      <c r="Y326" s="54" t="n"/>
      <c r="Z326" s="55" t="n"/>
      <c r="AA326" s="52" t="inlineStr">
        <is>
          <t>Under Design</t>
        </is>
      </c>
      <c r="AB326" s="52" t="inlineStr">
        <is>
          <t>Technical clearance is expected to receive at first week of November. PR raised and ITB launched by the second week of November and award of contract by the first week of December. Construction period for six months</t>
        </is>
      </c>
      <c r="AC326" s="42" t="inlineStr">
        <is>
          <t>IF(F326="","",IF(COUNT(AI326:AV326)=0,IF(AA326="","Not started",AA326),SUBSTITUTE(LOOKUP(2,1/(AI326:AV326&lt;&gt;""),$AI$3:$AV$3),"Date: ","")))</t>
        </is>
      </c>
      <c r="AD326" s="49" t="inlineStr">
        <is>
          <t>IF(OR(F326="",COUNT(AI326:AV326)=0),"",TODAY()-LOOKUP(2,1/(AI326:AV326&lt;&gt;""),AI326:AV326))</t>
        </is>
      </c>
      <c r="AE326" s="49" t="inlineStr">
        <is>
          <t>IF(OR(F326="",COUNT(AI326:AV326)&lt;2),"",LOOKUP(2,1/(AI326:AV326&lt;&gt;""),AI326:AV326)-MIN(AI326:AV326))</t>
        </is>
      </c>
      <c r="AF326" s="49" t="inlineStr">
        <is>
          <t>IF(OR(AD326="",AC326="Not started",AC326=""),"",IFERROR(AD326-IF(VLOOKUP(AC326,'06_Status_Pipeline'!$B$3:$E$20,4,FALSE)="",0,VLOOKUP(AC326,'06_Status_Pipeline'!$B$3:$E$20,4,FALSE)),""))</t>
        </is>
      </c>
      <c r="AG326" s="42" t="inlineStr">
        <is>
          <t>IF(F326="","",IF(OR(AA326="Cancelled",AC326="Cancelled"),"Cancelled",IF(OR(AC326="Completed / Handover",Y326&lt;&gt;"",Z326&gt;=100),"Completed — on track",IF(O326="Not awarded",IF(U326="",IF(X326="","No planned date",IF(TODAY()&gt;X326,"Behind — past planned date",IF(X326-TODAY()&lt;=30,"At risk — close to off track","On track"))),IF(TODAY()&gt;U326,"Behind — award date passed",IF(U326-TODAY()&lt;=30,"At risk — close to off track","On track"))),IF(X326="","No planned date",IF(AND(TODAY()&gt;X326,OR(Z326="",Z326&lt;100)),"Behind — past end date",IF(AND(T326&lt;&gt;"",X326&lt;&gt;"",Z326&lt;&gt;"",(Z326&lt;100),((TODAY()-T326)/MAX(X326-T326,1)*100)-Z326&gt;15),"Behind — progress lag",IF(AND(X326-TODAY()&lt;=30,X326-TODAY()&gt;=0,OR(Z326="",Z326&lt;90)),"At risk — close to off track","On track"))))))))</t>
        </is>
      </c>
      <c r="AH326" s="49" t="inlineStr">
        <is>
          <t>IF(OR(F326="",AC326="Completed / Handover",AC326="Cancelled"),"",IF(O326="Not awarded",IF(U326&lt;&gt;"",U326-TODAY(),IF(X326="","",X326-TODAY())),IF(X326="","",X326-TODAY())))</t>
        </is>
      </c>
      <c r="AI326" s="54" t="n"/>
      <c r="AJ326" s="54" t="n"/>
      <c r="AK326" s="54" t="n"/>
      <c r="AL326" s="54" t="n"/>
      <c r="AM326" s="54" t="n"/>
      <c r="AN326" s="54" t="n"/>
      <c r="AO326" s="54" t="n"/>
      <c r="AP326" s="54" t="n"/>
      <c r="AQ326" s="54" t="n"/>
      <c r="AR326" s="54" t="n"/>
      <c r="AS326" s="54" t="n"/>
      <c r="AT326" s="50" t="n"/>
      <c r="AU326" s="50" t="n"/>
      <c r="AV326" s="50" t="n"/>
      <c r="AW326" s="49" t="inlineStr">
        <is>
          <t>IF(OR(F326="",AJ326=""),"",IF(COUNT(AI326:AI326)=0,"",AJ326-LOOKUP(2,1/(AI326:AI326&lt;&gt;""),AI326:AI326)))</t>
        </is>
      </c>
      <c r="AX326" s="49" t="inlineStr">
        <is>
          <t>IF(OR(F326="",AK326=""),"",IF(COUNT(AI326:AJ326)=0,"",AK326-LOOKUP(2,1/(AI326:AJ326&lt;&gt;""),AI326:AJ326)))</t>
        </is>
      </c>
      <c r="AY326" s="49" t="inlineStr">
        <is>
          <t>IF(OR(F326="",AL326=""),"",IF(COUNT(AI326:AK326)=0,"",AL326-LOOKUP(2,1/(AI326:AK326&lt;&gt;""),AI326:AK326)))</t>
        </is>
      </c>
      <c r="AZ326" s="49" t="inlineStr">
        <is>
          <t>IF(OR(F326="",AM326=""),"",IF(COUNT(AI326:AL326)=0,"",AM326-LOOKUP(2,1/(AI326:AL326&lt;&gt;""),AI326:AL326)))</t>
        </is>
      </c>
      <c r="BA326" s="49" t="inlineStr">
        <is>
          <t>IF(OR(F326="",AN326=""),"",IF(COUNT(AI326:AM326)=0,"",AN326-LOOKUP(2,1/(AI326:AM326&lt;&gt;""),AI326:AM326)))</t>
        </is>
      </c>
      <c r="BB326" s="49" t="inlineStr">
        <is>
          <t>IF(OR(F326="",AO326=""),"",IF(COUNT(AI326:AN326)=0,"",AO326-LOOKUP(2,1/(AI326:AN326&lt;&gt;""),AI326:AN326)))</t>
        </is>
      </c>
      <c r="BC326" s="49" t="inlineStr">
        <is>
          <t>IF(OR(F326="",AP326=""),"",IF(COUNT(AI326:AO326)=0,"",AP326-LOOKUP(2,1/(AI326:AO326&lt;&gt;""),AI326:AO326)))</t>
        </is>
      </c>
      <c r="BD326" s="49" t="inlineStr">
        <is>
          <t>IF(OR(F326="",AQ326=""),"",IF(COUNT(AI326:AP326)=0,"",AQ326-LOOKUP(2,1/(AI326:AP326&lt;&gt;""),AI326:AP326)))</t>
        </is>
      </c>
      <c r="BE326" s="49" t="inlineStr">
        <is>
          <t>IF(OR(F326="",AR326=""),"",IF(COUNT(AI326:AQ326)=0,"",AR326-LOOKUP(2,1/(AI326:AQ326&lt;&gt;""),AI326:AQ326)))</t>
        </is>
      </c>
      <c r="BF326" s="49" t="inlineStr">
        <is>
          <t>IF(OR(F326="",AS326=""),"",IF(COUNT(AI326:AR326)=0,"",AS326-LOOKUP(2,1/(AI326:AR326&lt;&gt;""),AI326:AR326)))</t>
        </is>
      </c>
      <c r="BG326" s="49" t="inlineStr">
        <is>
          <t>IF(OR(F326="",AT326=""),"",IF(COUNT(AI326:AS326)=0,"",AT326-LOOKUP(2,1/(AI326:AS326&lt;&gt;""),AI326:AS326)))</t>
        </is>
      </c>
      <c r="BH326" s="49" t="inlineStr">
        <is>
          <t>IF(OR(F326="",AU326=""),"",IF(COUNT(AI326:AT326)=0,"",AU326-LOOKUP(2,1/(AI326:AT326&lt;&gt;""),AI326:AT326)))</t>
        </is>
      </c>
      <c r="BI326" s="49" t="inlineStr">
        <is>
          <t>IF(OR(F326="",AV326=""),"",IF(COUNT(AI326:AU326)=0,"",AV326-LOOKUP(2,1/(AI326:AU326&lt;&gt;""),AI326:AU326)))</t>
        </is>
      </c>
      <c r="BJ326" s="51" t="inlineStr">
        <is>
          <t>IF(J326="","All_Provinces",IFERROR(VLOOKUP(J326,'09_Lookups'!$A$4:$B$20,2,FALSE),"All_Provinces"))</t>
        </is>
      </c>
      <c r="BK326" s="51" t="inlineStr">
        <is>
          <t>IF(K326="","All_Districts",IFERROR(VLOOKUP(K326,'09_Lookups'!$E$4:$F$42,2,FALSE),"All_Districts"))</t>
        </is>
      </c>
    </row>
    <row r="327" outlineLevel="1" ht="18" customHeight="1">
      <c r="A327" s="42" t="inlineStr">
        <is>
          <t>IF(F327="","",ROW()-3)</t>
        </is>
      </c>
      <c r="B327" s="43" t="inlineStr">
        <is>
          <t>AF2-WSM-24</t>
        </is>
      </c>
      <c r="C327" s="43" t="inlineStr">
        <is>
          <t>Package #24-AF2 WSM: Construction of 5 Check dams 1. Kashata Tangi, 2. Forodi, 3. Valary in Nawzad district, 4.Band Khawanin, and 5.Tykhoghi in Washer district of Helmand province.</t>
        </is>
      </c>
      <c r="D327" s="43" t="inlineStr">
        <is>
          <t>5 of 5</t>
        </is>
      </c>
      <c r="E327" s="44" t="inlineStr">
        <is>
          <t>AF2-WSM-N-017</t>
        </is>
      </c>
      <c r="F327" s="44" t="inlineStr">
        <is>
          <t>Valary Check Dam</t>
        </is>
      </c>
      <c r="G327" s="44" t="inlineStr">
        <is>
          <t>Watershed Management</t>
        </is>
      </c>
      <c r="H327" s="44" t="inlineStr">
        <is>
          <t>Check Dam</t>
        </is>
      </c>
      <c r="I327" s="44" t="inlineStr">
        <is>
          <t>Emergency Food Security Project (EFSP) – WBK/AF-2</t>
        </is>
      </c>
      <c r="J327" s="44" t="inlineStr">
        <is>
          <t>South / Kandahar</t>
        </is>
      </c>
      <c r="K327" s="44" t="inlineStr">
        <is>
          <t>Helmand</t>
        </is>
      </c>
      <c r="L327" s="44" t="inlineStr">
        <is>
          <t>Nawzad</t>
        </is>
      </c>
      <c r="M327" s="44" t="inlineStr">
        <is>
          <t>Valary village</t>
        </is>
      </c>
      <c r="N327" s="44" t="inlineStr">
        <is>
          <t>World Bank (WBK/AF-2)</t>
        </is>
      </c>
      <c r="O327" s="44" t="inlineStr">
        <is>
          <t>Not awarded</t>
        </is>
      </c>
      <c r="P327" s="44" t="inlineStr">
        <is>
          <t>4.WSM remaining contracts</t>
        </is>
      </c>
      <c r="Q327" s="44" t="inlineStr"/>
      <c r="R327" s="44" t="inlineStr"/>
      <c r="S327" s="45" t="n">
        <v>125000</v>
      </c>
      <c r="T327" s="46" t="inlineStr">
        <is>
          <t>IF(AQ327="","",AQ327)</t>
        </is>
      </c>
      <c r="U327" s="47" t="n">
        <v>46359</v>
      </c>
      <c r="V327" s="48" t="n">
        <v>5.9</v>
      </c>
      <c r="W327" s="47" t="n">
        <v>46539</v>
      </c>
      <c r="X327" s="46" t="inlineStr">
        <is>
          <t>IF(W327&lt;&gt;"",W327,IF(OR(T327="",V327=""),"",EDATE(T327,V327)))</t>
        </is>
      </c>
      <c r="Y327" s="47" t="n"/>
      <c r="Z327" s="48" t="n"/>
      <c r="AA327" s="44" t="inlineStr">
        <is>
          <t>Under Design</t>
        </is>
      </c>
      <c r="AB327" s="44" t="inlineStr">
        <is>
          <t>Technical clearance is expected to receive at first week of November. PR raised and ITB launched by the second week of November and award of contract by the first week of December. Construction period for six months</t>
        </is>
      </c>
      <c r="AC327" s="42" t="inlineStr">
        <is>
          <t>IF(F327="","",IF(COUNT(AI327:AV327)=0,IF(AA327="","Not started",AA327),SUBSTITUTE(LOOKUP(2,1/(AI327:AV327&lt;&gt;""),$AI$3:$AV$3),"Date: ","")))</t>
        </is>
      </c>
      <c r="AD327" s="49" t="inlineStr">
        <is>
          <t>IF(OR(F327="",COUNT(AI327:AV327)=0),"",TODAY()-LOOKUP(2,1/(AI327:AV327&lt;&gt;""),AI327:AV327))</t>
        </is>
      </c>
      <c r="AE327" s="49" t="inlineStr">
        <is>
          <t>IF(OR(F327="",COUNT(AI327:AV327)&lt;2),"",LOOKUP(2,1/(AI327:AV327&lt;&gt;""),AI327:AV327)-MIN(AI327:AV327))</t>
        </is>
      </c>
      <c r="AF327" s="49" t="inlineStr">
        <is>
          <t>IF(OR(AD327="",AC327="Not started",AC327=""),"",IFERROR(AD327-IF(VLOOKUP(AC327,'06_Status_Pipeline'!$B$3:$E$20,4,FALSE)="",0,VLOOKUP(AC327,'06_Status_Pipeline'!$B$3:$E$20,4,FALSE)),""))</t>
        </is>
      </c>
      <c r="AG327" s="42" t="inlineStr">
        <is>
          <t>IF(F327="","",IF(OR(AA327="Cancelled",AC327="Cancelled"),"Cancelled",IF(OR(AC327="Completed / Handover",Y327&lt;&gt;"",Z327&gt;=100),"Completed — on track",IF(O327="Not awarded",IF(U327="",IF(X327="","No planned date",IF(TODAY()&gt;X327,"Behind — past planned date",IF(X327-TODAY()&lt;=30,"At risk — close to off track","On track"))),IF(TODAY()&gt;U327,"Behind — award date passed",IF(U327-TODAY()&lt;=30,"At risk — close to off track","On track"))),IF(X327="","No planned date",IF(AND(TODAY()&gt;X327,OR(Z327="",Z327&lt;100)),"Behind — past end date",IF(AND(T327&lt;&gt;"",X327&lt;&gt;"",Z327&lt;&gt;"",(Z327&lt;100),((TODAY()-T327)/MAX(X327-T327,1)*100)-Z327&gt;15),"Behind — progress lag",IF(AND(X327-TODAY()&lt;=30,X327-TODAY()&gt;=0,OR(Z327="",Z327&lt;90)),"At risk — close to off track","On track"))))))))</t>
        </is>
      </c>
      <c r="AH327" s="49" t="inlineStr">
        <is>
          <t>IF(OR(F327="",AC327="Completed / Handover",AC327="Cancelled"),"",IF(O327="Not awarded",IF(U327&lt;&gt;"",U327-TODAY(),IF(X327="","",X327-TODAY())),IF(X327="","",X327-TODAY())))</t>
        </is>
      </c>
      <c r="AI327" s="47" t="n"/>
      <c r="AJ327" s="47" t="n"/>
      <c r="AK327" s="47" t="n"/>
      <c r="AL327" s="47" t="n"/>
      <c r="AM327" s="47" t="n"/>
      <c r="AN327" s="47" t="n"/>
      <c r="AO327" s="47" t="n"/>
      <c r="AP327" s="47" t="n"/>
      <c r="AQ327" s="47" t="n"/>
      <c r="AR327" s="47" t="n"/>
      <c r="AS327" s="47" t="n"/>
      <c r="AT327" s="50" t="n"/>
      <c r="AU327" s="50" t="n"/>
      <c r="AV327" s="50" t="n"/>
      <c r="AW327" s="49" t="inlineStr">
        <is>
          <t>IF(OR(F327="",AJ327=""),"",IF(COUNT(AI327:AI327)=0,"",AJ327-LOOKUP(2,1/(AI327:AI327&lt;&gt;""),AI327:AI327)))</t>
        </is>
      </c>
      <c r="AX327" s="49" t="inlineStr">
        <is>
          <t>IF(OR(F327="",AK327=""),"",IF(COUNT(AI327:AJ327)=0,"",AK327-LOOKUP(2,1/(AI327:AJ327&lt;&gt;""),AI327:AJ327)))</t>
        </is>
      </c>
      <c r="AY327" s="49" t="inlineStr">
        <is>
          <t>IF(OR(F327="",AL327=""),"",IF(COUNT(AI327:AK327)=0,"",AL327-LOOKUP(2,1/(AI327:AK327&lt;&gt;""),AI327:AK327)))</t>
        </is>
      </c>
      <c r="AZ327" s="49" t="inlineStr">
        <is>
          <t>IF(OR(F327="",AM327=""),"",IF(COUNT(AI327:AL327)=0,"",AM327-LOOKUP(2,1/(AI327:AL327&lt;&gt;""),AI327:AL327)))</t>
        </is>
      </c>
      <c r="BA327" s="49" t="inlineStr">
        <is>
          <t>IF(OR(F327="",AN327=""),"",IF(COUNT(AI327:AM327)=0,"",AN327-LOOKUP(2,1/(AI327:AM327&lt;&gt;""),AI327:AM327)))</t>
        </is>
      </c>
      <c r="BB327" s="49" t="inlineStr">
        <is>
          <t>IF(OR(F327="",AO327=""),"",IF(COUNT(AI327:AN327)=0,"",AO327-LOOKUP(2,1/(AI327:AN327&lt;&gt;""),AI327:AN327)))</t>
        </is>
      </c>
      <c r="BC327" s="49" t="inlineStr">
        <is>
          <t>IF(OR(F327="",AP327=""),"",IF(COUNT(AI327:AO327)=0,"",AP327-LOOKUP(2,1/(AI327:AO327&lt;&gt;""),AI327:AO327)))</t>
        </is>
      </c>
      <c r="BD327" s="49" t="inlineStr">
        <is>
          <t>IF(OR(F327="",AQ327=""),"",IF(COUNT(AI327:AP327)=0,"",AQ327-LOOKUP(2,1/(AI327:AP327&lt;&gt;""),AI327:AP327)))</t>
        </is>
      </c>
      <c r="BE327" s="49" t="inlineStr">
        <is>
          <t>IF(OR(F327="",AR327=""),"",IF(COUNT(AI327:AQ327)=0,"",AR327-LOOKUP(2,1/(AI327:AQ327&lt;&gt;""),AI327:AQ327)))</t>
        </is>
      </c>
      <c r="BF327" s="49" t="inlineStr">
        <is>
          <t>IF(OR(F327="",AS327=""),"",IF(COUNT(AI327:AR327)=0,"",AS327-LOOKUP(2,1/(AI327:AR327&lt;&gt;""),AI327:AR327)))</t>
        </is>
      </c>
      <c r="BG327" s="49" t="inlineStr">
        <is>
          <t>IF(OR(F327="",AT327=""),"",IF(COUNT(AI327:AS327)=0,"",AT327-LOOKUP(2,1/(AI327:AS327&lt;&gt;""),AI327:AS327)))</t>
        </is>
      </c>
      <c r="BH327" s="49" t="inlineStr">
        <is>
          <t>IF(OR(F327="",AU327=""),"",IF(COUNT(AI327:AT327)=0,"",AU327-LOOKUP(2,1/(AI327:AT327&lt;&gt;""),AI327:AT327)))</t>
        </is>
      </c>
      <c r="BI327" s="49" t="inlineStr">
        <is>
          <t>IF(OR(F327="",AV327=""),"",IF(COUNT(AI327:AU327)=0,"",AV327-LOOKUP(2,1/(AI327:AU327&lt;&gt;""),AI327:AU327)))</t>
        </is>
      </c>
      <c r="BJ327" s="51" t="inlineStr">
        <is>
          <t>IF(J327="","All_Provinces",IFERROR(VLOOKUP(J327,'09_Lookups'!$A$4:$B$20,2,FALSE),"All_Provinces"))</t>
        </is>
      </c>
      <c r="BK327" s="51" t="inlineStr">
        <is>
          <t>IF(K327="","All_Districts",IFERROR(VLOOKUP(K327,'09_Lookups'!$E$4:$F$42,2,FALSE),"All_Districts"))</t>
        </is>
      </c>
    </row>
    <row r="328" ht="18" customHeight="1">
      <c r="A328" s="32" t="inlineStr">
        <is>
          <t>IF(F328="","",ROW()-3)</t>
        </is>
      </c>
      <c r="B328" s="56" t="inlineStr">
        <is>
          <t>AF2-WSM-25</t>
        </is>
      </c>
      <c r="C328" s="56" t="inlineStr">
        <is>
          <t>Package #25-AF2 WSM: Construction of Qali Gaz, Ghobana, and Nawi Kach Check dams, located in Mizana district of Zabul province.</t>
        </is>
      </c>
      <c r="D328" s="56" t="inlineStr">
        <is>
          <t>1 of 3</t>
        </is>
      </c>
      <c r="E328" s="34" t="inlineStr">
        <is>
          <t>AF2-WSM-N-018</t>
        </is>
      </c>
      <c r="F328" s="34" t="inlineStr">
        <is>
          <t>Ghobana Check Dam</t>
        </is>
      </c>
      <c r="G328" s="34" t="inlineStr">
        <is>
          <t>Watershed Management</t>
        </is>
      </c>
      <c r="H328" s="34" t="inlineStr">
        <is>
          <t>Check Dam</t>
        </is>
      </c>
      <c r="I328" s="34" t="inlineStr">
        <is>
          <t>Emergency Food Security Project (EFSP) – WBK/AF-2</t>
        </is>
      </c>
      <c r="J328" s="34" t="inlineStr">
        <is>
          <t>South / Kandahar</t>
        </is>
      </c>
      <c r="K328" s="34" t="inlineStr">
        <is>
          <t>Zabul</t>
        </is>
      </c>
      <c r="L328" s="34" t="inlineStr">
        <is>
          <t>Mizana</t>
        </is>
      </c>
      <c r="M328" s="34" t="inlineStr">
        <is>
          <t>Takhom Village</t>
        </is>
      </c>
      <c r="N328" s="34" t="inlineStr">
        <is>
          <t>World Bank (WBK/AF-2)</t>
        </is>
      </c>
      <c r="O328" s="34" t="inlineStr">
        <is>
          <t>Not awarded</t>
        </is>
      </c>
      <c r="P328" s="34" t="inlineStr">
        <is>
          <t>4.WSM remaining contracts</t>
        </is>
      </c>
      <c r="Q328" s="34" t="inlineStr"/>
      <c r="R328" s="34" t="inlineStr"/>
      <c r="S328" s="35" t="n">
        <v>97679</v>
      </c>
      <c r="T328" s="36" t="inlineStr">
        <is>
          <t>IF(AQ328="","",AQ328)</t>
        </is>
      </c>
      <c r="U328" s="37" t="n">
        <v>46351</v>
      </c>
      <c r="V328" s="38" t="n">
        <v>6.9</v>
      </c>
      <c r="W328" s="37" t="n">
        <v>46561</v>
      </c>
      <c r="X328" s="36" t="inlineStr">
        <is>
          <t>IF(W328&lt;&gt;"",W328,IF(OR(T328="",V328=""),"",EDATE(T328,V328)))</t>
        </is>
      </c>
      <c r="Y328" s="37" t="n"/>
      <c r="Z328" s="38" t="n"/>
      <c r="AA328" s="34" t="inlineStr">
        <is>
          <t>PR to be Raised</t>
        </is>
      </c>
      <c r="AB328" s="34" t="inlineStr">
        <is>
          <t>Construction period seven months including slack period.</t>
        </is>
      </c>
      <c r="AC328" s="32" t="inlineStr">
        <is>
          <t>IF(F328="","",IF(COUNT(AI328:AV328)=0,IF(AA328="","Not started",AA328),SUBSTITUTE(LOOKUP(2,1/(AI328:AV328&lt;&gt;""),$AI$3:$AV$3),"Date: ","")))</t>
        </is>
      </c>
      <c r="AD328" s="39" t="inlineStr">
        <is>
          <t>IF(OR(F328="",COUNT(AI328:AV328)=0),"",TODAY()-LOOKUP(2,1/(AI328:AV328&lt;&gt;""),AI328:AV328))</t>
        </is>
      </c>
      <c r="AE328" s="39" t="inlineStr">
        <is>
          <t>IF(OR(F328="",COUNT(AI328:AV328)&lt;2),"",LOOKUP(2,1/(AI328:AV328&lt;&gt;""),AI328:AV328)-MIN(AI328:AV328))</t>
        </is>
      </c>
      <c r="AF328" s="39" t="inlineStr">
        <is>
          <t>IF(OR(AD328="",AC328="Not started",AC328=""),"",IFERROR(AD328-IF(VLOOKUP(AC328,'06_Status_Pipeline'!$B$3:$E$20,4,FALSE)="",0,VLOOKUP(AC328,'06_Status_Pipeline'!$B$3:$E$20,4,FALSE)),""))</t>
        </is>
      </c>
      <c r="AG328" s="32" t="inlineStr">
        <is>
          <t>IF(F328="","",IF(OR(AA328="Cancelled",AC328="Cancelled"),"Cancelled",IF(OR(AC328="Completed / Handover",Y328&lt;&gt;"",Z328&gt;=100),"Completed — on track",IF(O328="Not awarded",IF(U328="",IF(X328="","No planned date",IF(TODAY()&gt;X328,"Behind — past planned date",IF(X328-TODAY()&lt;=30,"At risk — close to off track","On track"))),IF(TODAY()&gt;U328,"Behind — award date passed",IF(U328-TODAY()&lt;=30,"At risk — close to off track","On track"))),IF(X328="","No planned date",IF(AND(TODAY()&gt;X328,OR(Z328="",Z328&lt;100)),"Behind — past end date",IF(AND(T328&lt;&gt;"",X328&lt;&gt;"",Z328&lt;&gt;"",(Z328&lt;100),((TODAY()-T328)/MAX(X328-T328,1)*100)-Z328&gt;15),"Behind — progress lag",IF(AND(X328-TODAY()&lt;=30,X328-TODAY()&gt;=0,OR(Z328="",Z328&lt;90)),"At risk — close to off track","On track"))))))))</t>
        </is>
      </c>
      <c r="AH328" s="39" t="inlineStr">
        <is>
          <t>IF(OR(F328="",AC328="Completed / Handover",AC328="Cancelled"),"",IF(O328="Not awarded",IF(U328&lt;&gt;"",U328-TODAY(),IF(X328="","",X328-TODAY())),IF(X328="","",X328-TODAY())))</t>
        </is>
      </c>
      <c r="AI328" s="37" t="n"/>
      <c r="AJ328" s="37" t="n"/>
      <c r="AK328" s="37" t="n"/>
      <c r="AL328" s="37" t="n"/>
      <c r="AM328" s="37" t="n"/>
      <c r="AN328" s="37" t="n"/>
      <c r="AO328" s="37" t="n"/>
      <c r="AP328" s="37" t="n"/>
      <c r="AQ328" s="37" t="n"/>
      <c r="AR328" s="37" t="n"/>
      <c r="AS328" s="37" t="n"/>
      <c r="AT328" s="40" t="n"/>
      <c r="AU328" s="40" t="n"/>
      <c r="AV328" s="40" t="n"/>
      <c r="AW328" s="39" t="inlineStr">
        <is>
          <t>IF(OR(F328="",AJ328=""),"",IF(COUNT(AI328:AI328)=0,"",AJ328-LOOKUP(2,1/(AI328:AI328&lt;&gt;""),AI328:AI328)))</t>
        </is>
      </c>
      <c r="AX328" s="39" t="inlineStr">
        <is>
          <t>IF(OR(F328="",AK328=""),"",IF(COUNT(AI328:AJ328)=0,"",AK328-LOOKUP(2,1/(AI328:AJ328&lt;&gt;""),AI328:AJ328)))</t>
        </is>
      </c>
      <c r="AY328" s="39" t="inlineStr">
        <is>
          <t>IF(OR(F328="",AL328=""),"",IF(COUNT(AI328:AK328)=0,"",AL328-LOOKUP(2,1/(AI328:AK328&lt;&gt;""),AI328:AK328)))</t>
        </is>
      </c>
      <c r="AZ328" s="39" t="inlineStr">
        <is>
          <t>IF(OR(F328="",AM328=""),"",IF(COUNT(AI328:AL328)=0,"",AM328-LOOKUP(2,1/(AI328:AL328&lt;&gt;""),AI328:AL328)))</t>
        </is>
      </c>
      <c r="BA328" s="39" t="inlineStr">
        <is>
          <t>IF(OR(F328="",AN328=""),"",IF(COUNT(AI328:AM328)=0,"",AN328-LOOKUP(2,1/(AI328:AM328&lt;&gt;""),AI328:AM328)))</t>
        </is>
      </c>
      <c r="BB328" s="39" t="inlineStr">
        <is>
          <t>IF(OR(F328="",AO328=""),"",IF(COUNT(AI328:AN328)=0,"",AO328-LOOKUP(2,1/(AI328:AN328&lt;&gt;""),AI328:AN328)))</t>
        </is>
      </c>
      <c r="BC328" s="39" t="inlineStr">
        <is>
          <t>IF(OR(F328="",AP328=""),"",IF(COUNT(AI328:AO328)=0,"",AP328-LOOKUP(2,1/(AI328:AO328&lt;&gt;""),AI328:AO328)))</t>
        </is>
      </c>
      <c r="BD328" s="39" t="inlineStr">
        <is>
          <t>IF(OR(F328="",AQ328=""),"",IF(COUNT(AI328:AP328)=0,"",AQ328-LOOKUP(2,1/(AI328:AP328&lt;&gt;""),AI328:AP328)))</t>
        </is>
      </c>
      <c r="BE328" s="39" t="inlineStr">
        <is>
          <t>IF(OR(F328="",AR328=""),"",IF(COUNT(AI328:AQ328)=0,"",AR328-LOOKUP(2,1/(AI328:AQ328&lt;&gt;""),AI328:AQ328)))</t>
        </is>
      </c>
      <c r="BF328" s="39" t="inlineStr">
        <is>
          <t>IF(OR(F328="",AS328=""),"",IF(COUNT(AI328:AR328)=0,"",AS328-LOOKUP(2,1/(AI328:AR328&lt;&gt;""),AI328:AR328)))</t>
        </is>
      </c>
      <c r="BG328" s="39" t="inlineStr">
        <is>
          <t>IF(OR(F328="",AT328=""),"",IF(COUNT(AI328:AS328)=0,"",AT328-LOOKUP(2,1/(AI328:AS328&lt;&gt;""),AI328:AS328)))</t>
        </is>
      </c>
      <c r="BH328" s="39" t="inlineStr">
        <is>
          <t>IF(OR(F328="",AU328=""),"",IF(COUNT(AI328:AT328)=0,"",AU328-LOOKUP(2,1/(AI328:AT328&lt;&gt;""),AI328:AT328)))</t>
        </is>
      </c>
      <c r="BI328" s="39" t="inlineStr">
        <is>
          <t>IF(OR(F328="",AV328=""),"",IF(COUNT(AI328:AU328)=0,"",AV328-LOOKUP(2,1/(AI328:AU328&lt;&gt;""),AI328:AU328)))</t>
        </is>
      </c>
      <c r="BJ328" s="41" t="inlineStr">
        <is>
          <t>IF(J328="","All_Provinces",IFERROR(VLOOKUP(J328,'09_Lookups'!$A$4:$B$20,2,FALSE),"All_Provinces"))</t>
        </is>
      </c>
      <c r="BK328" s="41" t="inlineStr">
        <is>
          <t>IF(K328="","All_Districts",IFERROR(VLOOKUP(K328,'09_Lookups'!$E$4:$F$42,2,FALSE),"All_Districts"))</t>
        </is>
      </c>
    </row>
    <row r="329" outlineLevel="1" ht="18" customHeight="1">
      <c r="A329" s="42" t="inlineStr">
        <is>
          <t>IF(F329="","",ROW()-3)</t>
        </is>
      </c>
      <c r="B329" s="61" t="inlineStr">
        <is>
          <t>AF2-WSM-25</t>
        </is>
      </c>
      <c r="C329" s="61" t="inlineStr">
        <is>
          <t>Package #25-AF2 WSM: Construction of Qali Gaz, Ghobana, and Nawi Kach Check dams, located in Mizana district of Zabul province.</t>
        </is>
      </c>
      <c r="D329" s="61" t="inlineStr">
        <is>
          <t>2 of 3</t>
        </is>
      </c>
      <c r="E329" s="44" t="inlineStr">
        <is>
          <t>AF2-WSM-N-019</t>
        </is>
      </c>
      <c r="F329" s="44" t="inlineStr">
        <is>
          <t>Nawi Kach Check Dam</t>
        </is>
      </c>
      <c r="G329" s="44" t="inlineStr">
        <is>
          <t>Watershed Management</t>
        </is>
      </c>
      <c r="H329" s="44" t="inlineStr">
        <is>
          <t>Check Dam</t>
        </is>
      </c>
      <c r="I329" s="44" t="inlineStr">
        <is>
          <t>Emergency Food Security Project (EFSP) – WBK/AF-2</t>
        </is>
      </c>
      <c r="J329" s="44" t="inlineStr">
        <is>
          <t>South / Kandahar</t>
        </is>
      </c>
      <c r="K329" s="44" t="inlineStr">
        <is>
          <t>Zabul</t>
        </is>
      </c>
      <c r="L329" s="44" t="inlineStr">
        <is>
          <t>Mizana</t>
        </is>
      </c>
      <c r="M329" s="44" t="inlineStr">
        <is>
          <t>Landi Nawa Village</t>
        </is>
      </c>
      <c r="N329" s="44" t="inlineStr">
        <is>
          <t>World Bank (WBK/AF-2)</t>
        </is>
      </c>
      <c r="O329" s="44" t="inlineStr">
        <is>
          <t>Not awarded</t>
        </is>
      </c>
      <c r="P329" s="44" t="inlineStr">
        <is>
          <t>4.WSM remaining contracts</t>
        </is>
      </c>
      <c r="Q329" s="44" t="inlineStr"/>
      <c r="R329" s="44" t="inlineStr"/>
      <c r="S329" s="45" t="n">
        <v>97679</v>
      </c>
      <c r="T329" s="46" t="inlineStr">
        <is>
          <t>IF(AQ329="","",AQ329)</t>
        </is>
      </c>
      <c r="U329" s="47" t="n">
        <v>46351</v>
      </c>
      <c r="V329" s="48" t="n">
        <v>6.9</v>
      </c>
      <c r="W329" s="47" t="n">
        <v>46561</v>
      </c>
      <c r="X329" s="46" t="inlineStr">
        <is>
          <t>IF(W329&lt;&gt;"",W329,IF(OR(T329="",V329=""),"",EDATE(T329,V329)))</t>
        </is>
      </c>
      <c r="Y329" s="47" t="n"/>
      <c r="Z329" s="48" t="n"/>
      <c r="AA329" s="44" t="inlineStr">
        <is>
          <t>PR to be Raised</t>
        </is>
      </c>
      <c r="AB329" s="44" t="inlineStr">
        <is>
          <t>Construction period seven months including slack period.</t>
        </is>
      </c>
      <c r="AC329" s="42" t="inlineStr">
        <is>
          <t>IF(F329="","",IF(COUNT(AI329:AV329)=0,IF(AA329="","Not started",AA329),SUBSTITUTE(LOOKUP(2,1/(AI329:AV329&lt;&gt;""),$AI$3:$AV$3),"Date: ","")))</t>
        </is>
      </c>
      <c r="AD329" s="49" t="inlineStr">
        <is>
          <t>IF(OR(F329="",COUNT(AI329:AV329)=0),"",TODAY()-LOOKUP(2,1/(AI329:AV329&lt;&gt;""),AI329:AV329))</t>
        </is>
      </c>
      <c r="AE329" s="49" t="inlineStr">
        <is>
          <t>IF(OR(F329="",COUNT(AI329:AV329)&lt;2),"",LOOKUP(2,1/(AI329:AV329&lt;&gt;""),AI329:AV329)-MIN(AI329:AV329))</t>
        </is>
      </c>
      <c r="AF329" s="49" t="inlineStr">
        <is>
          <t>IF(OR(AD329="",AC329="Not started",AC329=""),"",IFERROR(AD329-IF(VLOOKUP(AC329,'06_Status_Pipeline'!$B$3:$E$20,4,FALSE)="",0,VLOOKUP(AC329,'06_Status_Pipeline'!$B$3:$E$20,4,FALSE)),""))</t>
        </is>
      </c>
      <c r="AG329" s="42" t="inlineStr">
        <is>
          <t>IF(F329="","",IF(OR(AA329="Cancelled",AC329="Cancelled"),"Cancelled",IF(OR(AC329="Completed / Handover",Y329&lt;&gt;"",Z329&gt;=100),"Completed — on track",IF(O329="Not awarded",IF(U329="",IF(X329="","No planned date",IF(TODAY()&gt;X329,"Behind — past planned date",IF(X329-TODAY()&lt;=30,"At risk — close to off track","On track"))),IF(TODAY()&gt;U329,"Behind — award date passed",IF(U329-TODAY()&lt;=30,"At risk — close to off track","On track"))),IF(X329="","No planned date",IF(AND(TODAY()&gt;X329,OR(Z329="",Z329&lt;100)),"Behind — past end date",IF(AND(T329&lt;&gt;"",X329&lt;&gt;"",Z329&lt;&gt;"",(Z329&lt;100),((TODAY()-T329)/MAX(X329-T329,1)*100)-Z329&gt;15),"Behind — progress lag",IF(AND(X329-TODAY()&lt;=30,X329-TODAY()&gt;=0,OR(Z329="",Z329&lt;90)),"At risk — close to off track","On track"))))))))</t>
        </is>
      </c>
      <c r="AH329" s="49" t="inlineStr">
        <is>
          <t>IF(OR(F329="",AC329="Completed / Handover",AC329="Cancelled"),"",IF(O329="Not awarded",IF(U329&lt;&gt;"",U329-TODAY(),IF(X329="","",X329-TODAY())),IF(X329="","",X329-TODAY())))</t>
        </is>
      </c>
      <c r="AI329" s="47" t="n"/>
      <c r="AJ329" s="47" t="n"/>
      <c r="AK329" s="47" t="n"/>
      <c r="AL329" s="47" t="n"/>
      <c r="AM329" s="47" t="n"/>
      <c r="AN329" s="47" t="n"/>
      <c r="AO329" s="47" t="n"/>
      <c r="AP329" s="47" t="n"/>
      <c r="AQ329" s="47" t="n"/>
      <c r="AR329" s="47" t="n"/>
      <c r="AS329" s="47" t="n"/>
      <c r="AT329" s="50" t="n"/>
      <c r="AU329" s="50" t="n"/>
      <c r="AV329" s="50" t="n"/>
      <c r="AW329" s="49" t="inlineStr">
        <is>
          <t>IF(OR(F329="",AJ329=""),"",IF(COUNT(AI329:AI329)=0,"",AJ329-LOOKUP(2,1/(AI329:AI329&lt;&gt;""),AI329:AI329)))</t>
        </is>
      </c>
      <c r="AX329" s="49" t="inlineStr">
        <is>
          <t>IF(OR(F329="",AK329=""),"",IF(COUNT(AI329:AJ329)=0,"",AK329-LOOKUP(2,1/(AI329:AJ329&lt;&gt;""),AI329:AJ329)))</t>
        </is>
      </c>
      <c r="AY329" s="49" t="inlineStr">
        <is>
          <t>IF(OR(F329="",AL329=""),"",IF(COUNT(AI329:AK329)=0,"",AL329-LOOKUP(2,1/(AI329:AK329&lt;&gt;""),AI329:AK329)))</t>
        </is>
      </c>
      <c r="AZ329" s="49" t="inlineStr">
        <is>
          <t>IF(OR(F329="",AM329=""),"",IF(COUNT(AI329:AL329)=0,"",AM329-LOOKUP(2,1/(AI329:AL329&lt;&gt;""),AI329:AL329)))</t>
        </is>
      </c>
      <c r="BA329" s="49" t="inlineStr">
        <is>
          <t>IF(OR(F329="",AN329=""),"",IF(COUNT(AI329:AM329)=0,"",AN329-LOOKUP(2,1/(AI329:AM329&lt;&gt;""),AI329:AM329)))</t>
        </is>
      </c>
      <c r="BB329" s="49" t="inlineStr">
        <is>
          <t>IF(OR(F329="",AO329=""),"",IF(COUNT(AI329:AN329)=0,"",AO329-LOOKUP(2,1/(AI329:AN329&lt;&gt;""),AI329:AN329)))</t>
        </is>
      </c>
      <c r="BC329" s="49" t="inlineStr">
        <is>
          <t>IF(OR(F329="",AP329=""),"",IF(COUNT(AI329:AO329)=0,"",AP329-LOOKUP(2,1/(AI329:AO329&lt;&gt;""),AI329:AO329)))</t>
        </is>
      </c>
      <c r="BD329" s="49" t="inlineStr">
        <is>
          <t>IF(OR(F329="",AQ329=""),"",IF(COUNT(AI329:AP329)=0,"",AQ329-LOOKUP(2,1/(AI329:AP329&lt;&gt;""),AI329:AP329)))</t>
        </is>
      </c>
      <c r="BE329" s="49" t="inlineStr">
        <is>
          <t>IF(OR(F329="",AR329=""),"",IF(COUNT(AI329:AQ329)=0,"",AR329-LOOKUP(2,1/(AI329:AQ329&lt;&gt;""),AI329:AQ329)))</t>
        </is>
      </c>
      <c r="BF329" s="49" t="inlineStr">
        <is>
          <t>IF(OR(F329="",AS329=""),"",IF(COUNT(AI329:AR329)=0,"",AS329-LOOKUP(2,1/(AI329:AR329&lt;&gt;""),AI329:AR329)))</t>
        </is>
      </c>
      <c r="BG329" s="49" t="inlineStr">
        <is>
          <t>IF(OR(F329="",AT329=""),"",IF(COUNT(AI329:AS329)=0,"",AT329-LOOKUP(2,1/(AI329:AS329&lt;&gt;""),AI329:AS329)))</t>
        </is>
      </c>
      <c r="BH329" s="49" t="inlineStr">
        <is>
          <t>IF(OR(F329="",AU329=""),"",IF(COUNT(AI329:AT329)=0,"",AU329-LOOKUP(2,1/(AI329:AT329&lt;&gt;""),AI329:AT329)))</t>
        </is>
      </c>
      <c r="BI329" s="49" t="inlineStr">
        <is>
          <t>IF(OR(F329="",AV329=""),"",IF(COUNT(AI329:AU329)=0,"",AV329-LOOKUP(2,1/(AI329:AU329&lt;&gt;""),AI329:AU329)))</t>
        </is>
      </c>
      <c r="BJ329" s="51" t="inlineStr">
        <is>
          <t>IF(J329="","All_Provinces",IFERROR(VLOOKUP(J329,'09_Lookups'!$A$4:$B$20,2,FALSE),"All_Provinces"))</t>
        </is>
      </c>
      <c r="BK329" s="51" t="inlineStr">
        <is>
          <t>IF(K329="","All_Districts",IFERROR(VLOOKUP(K329,'09_Lookups'!$E$4:$F$42,2,FALSE),"All_Districts"))</t>
        </is>
      </c>
    </row>
    <row r="330" outlineLevel="1" ht="18" customHeight="1">
      <c r="A330" s="42" t="inlineStr">
        <is>
          <t>IF(F330="","",ROW()-3)</t>
        </is>
      </c>
      <c r="B330" s="61" t="inlineStr">
        <is>
          <t>AF2-WSM-25</t>
        </is>
      </c>
      <c r="C330" s="61" t="inlineStr">
        <is>
          <t>Package #25-AF2 WSM: Construction of Qali Gaz, Ghobana, and Nawi Kach Check dams, located in Mizana district of Zabul province.</t>
        </is>
      </c>
      <c r="D330" s="61" t="inlineStr">
        <is>
          <t>3 of 3</t>
        </is>
      </c>
      <c r="E330" s="52" t="inlineStr">
        <is>
          <t>AF2-WSM-N-020</t>
        </is>
      </c>
      <c r="F330" s="52" t="inlineStr">
        <is>
          <t>Qali Gaz Check Dam</t>
        </is>
      </c>
      <c r="G330" s="52" t="inlineStr">
        <is>
          <t>Watershed Management</t>
        </is>
      </c>
      <c r="H330" s="52" t="inlineStr">
        <is>
          <t>Check Dam</t>
        </is>
      </c>
      <c r="I330" s="52" t="inlineStr">
        <is>
          <t>Emergency Food Security Project (EFSP) – WBK/AF-2</t>
        </is>
      </c>
      <c r="J330" s="52" t="inlineStr">
        <is>
          <t>South / Kandahar</t>
        </is>
      </c>
      <c r="K330" s="52" t="inlineStr">
        <is>
          <t>Zabul</t>
        </is>
      </c>
      <c r="L330" s="52" t="inlineStr">
        <is>
          <t>Mizana</t>
        </is>
      </c>
      <c r="M330" s="52" t="inlineStr">
        <is>
          <t>Qali Gaz Village</t>
        </is>
      </c>
      <c r="N330" s="52" t="inlineStr">
        <is>
          <t>World Bank (WBK/AF-2)</t>
        </is>
      </c>
      <c r="O330" s="52" t="inlineStr">
        <is>
          <t>Not awarded</t>
        </is>
      </c>
      <c r="P330" s="52" t="inlineStr">
        <is>
          <t>4.WSM remaining contracts</t>
        </is>
      </c>
      <c r="Q330" s="52" t="inlineStr"/>
      <c r="R330" s="52" t="inlineStr"/>
      <c r="S330" s="53" t="n">
        <v>97679</v>
      </c>
      <c r="T330" s="46" t="inlineStr">
        <is>
          <t>IF(AQ330="","",AQ330)</t>
        </is>
      </c>
      <c r="U330" s="54" t="n">
        <v>46351</v>
      </c>
      <c r="V330" s="55" t="n">
        <v>6.9</v>
      </c>
      <c r="W330" s="54" t="n">
        <v>46561</v>
      </c>
      <c r="X330" s="46" t="inlineStr">
        <is>
          <t>IF(W330&lt;&gt;"",W330,IF(OR(T330="",V330=""),"",EDATE(T330,V330)))</t>
        </is>
      </c>
      <c r="Y330" s="54" t="n"/>
      <c r="Z330" s="55" t="n"/>
      <c r="AA330" s="52" t="inlineStr">
        <is>
          <t>PR to be Raised</t>
        </is>
      </c>
      <c r="AB330" s="52" t="inlineStr">
        <is>
          <t>Construction period seven months including slack period.</t>
        </is>
      </c>
      <c r="AC330" s="42" t="inlineStr">
        <is>
          <t>IF(F330="","",IF(COUNT(AI330:AV330)=0,IF(AA330="","Not started",AA330),SUBSTITUTE(LOOKUP(2,1/(AI330:AV330&lt;&gt;""),$AI$3:$AV$3),"Date: ","")))</t>
        </is>
      </c>
      <c r="AD330" s="49" t="inlineStr">
        <is>
          <t>IF(OR(F330="",COUNT(AI330:AV330)=0),"",TODAY()-LOOKUP(2,1/(AI330:AV330&lt;&gt;""),AI330:AV330))</t>
        </is>
      </c>
      <c r="AE330" s="49" t="inlineStr">
        <is>
          <t>IF(OR(F330="",COUNT(AI330:AV330)&lt;2),"",LOOKUP(2,1/(AI330:AV330&lt;&gt;""),AI330:AV330)-MIN(AI330:AV330))</t>
        </is>
      </c>
      <c r="AF330" s="49" t="inlineStr">
        <is>
          <t>IF(OR(AD330="",AC330="Not started",AC330=""),"",IFERROR(AD330-IF(VLOOKUP(AC330,'06_Status_Pipeline'!$B$3:$E$20,4,FALSE)="",0,VLOOKUP(AC330,'06_Status_Pipeline'!$B$3:$E$20,4,FALSE)),""))</t>
        </is>
      </c>
      <c r="AG330" s="42" t="inlineStr">
        <is>
          <t>IF(F330="","",IF(OR(AA330="Cancelled",AC330="Cancelled"),"Cancelled",IF(OR(AC330="Completed / Handover",Y330&lt;&gt;"",Z330&gt;=100),"Completed — on track",IF(O330="Not awarded",IF(U330="",IF(X330="","No planned date",IF(TODAY()&gt;X330,"Behind — past planned date",IF(X330-TODAY()&lt;=30,"At risk — close to off track","On track"))),IF(TODAY()&gt;U330,"Behind — award date passed",IF(U330-TODAY()&lt;=30,"At risk — close to off track","On track"))),IF(X330="","No planned date",IF(AND(TODAY()&gt;X330,OR(Z330="",Z330&lt;100)),"Behind — past end date",IF(AND(T330&lt;&gt;"",X330&lt;&gt;"",Z330&lt;&gt;"",(Z330&lt;100),((TODAY()-T330)/MAX(X330-T330,1)*100)-Z330&gt;15),"Behind — progress lag",IF(AND(X330-TODAY()&lt;=30,X330-TODAY()&gt;=0,OR(Z330="",Z330&lt;90)),"At risk — close to off track","On track"))))))))</t>
        </is>
      </c>
      <c r="AH330" s="49" t="inlineStr">
        <is>
          <t>IF(OR(F330="",AC330="Completed / Handover",AC330="Cancelled"),"",IF(O330="Not awarded",IF(U330&lt;&gt;"",U330-TODAY(),IF(X330="","",X330-TODAY())),IF(X330="","",X330-TODAY())))</t>
        </is>
      </c>
      <c r="AI330" s="54" t="n"/>
      <c r="AJ330" s="54" t="n"/>
      <c r="AK330" s="54" t="n"/>
      <c r="AL330" s="54" t="n"/>
      <c r="AM330" s="54" t="n"/>
      <c r="AN330" s="54" t="n"/>
      <c r="AO330" s="54" t="n"/>
      <c r="AP330" s="54" t="n"/>
      <c r="AQ330" s="54" t="n"/>
      <c r="AR330" s="54" t="n"/>
      <c r="AS330" s="54" t="n"/>
      <c r="AT330" s="50" t="n"/>
      <c r="AU330" s="50" t="n"/>
      <c r="AV330" s="50" t="n"/>
      <c r="AW330" s="49" t="inlineStr">
        <is>
          <t>IF(OR(F330="",AJ330=""),"",IF(COUNT(AI330:AI330)=0,"",AJ330-LOOKUP(2,1/(AI330:AI330&lt;&gt;""),AI330:AI330)))</t>
        </is>
      </c>
      <c r="AX330" s="49" t="inlineStr">
        <is>
          <t>IF(OR(F330="",AK330=""),"",IF(COUNT(AI330:AJ330)=0,"",AK330-LOOKUP(2,1/(AI330:AJ330&lt;&gt;""),AI330:AJ330)))</t>
        </is>
      </c>
      <c r="AY330" s="49" t="inlineStr">
        <is>
          <t>IF(OR(F330="",AL330=""),"",IF(COUNT(AI330:AK330)=0,"",AL330-LOOKUP(2,1/(AI330:AK330&lt;&gt;""),AI330:AK330)))</t>
        </is>
      </c>
      <c r="AZ330" s="49" t="inlineStr">
        <is>
          <t>IF(OR(F330="",AM330=""),"",IF(COUNT(AI330:AL330)=0,"",AM330-LOOKUP(2,1/(AI330:AL330&lt;&gt;""),AI330:AL330)))</t>
        </is>
      </c>
      <c r="BA330" s="49" t="inlineStr">
        <is>
          <t>IF(OR(F330="",AN330=""),"",IF(COUNT(AI330:AM330)=0,"",AN330-LOOKUP(2,1/(AI330:AM330&lt;&gt;""),AI330:AM330)))</t>
        </is>
      </c>
      <c r="BB330" s="49" t="inlineStr">
        <is>
          <t>IF(OR(F330="",AO330=""),"",IF(COUNT(AI330:AN330)=0,"",AO330-LOOKUP(2,1/(AI330:AN330&lt;&gt;""),AI330:AN330)))</t>
        </is>
      </c>
      <c r="BC330" s="49" t="inlineStr">
        <is>
          <t>IF(OR(F330="",AP330=""),"",IF(COUNT(AI330:AO330)=0,"",AP330-LOOKUP(2,1/(AI330:AO330&lt;&gt;""),AI330:AO330)))</t>
        </is>
      </c>
      <c r="BD330" s="49" t="inlineStr">
        <is>
          <t>IF(OR(F330="",AQ330=""),"",IF(COUNT(AI330:AP330)=0,"",AQ330-LOOKUP(2,1/(AI330:AP330&lt;&gt;""),AI330:AP330)))</t>
        </is>
      </c>
      <c r="BE330" s="49" t="inlineStr">
        <is>
          <t>IF(OR(F330="",AR330=""),"",IF(COUNT(AI330:AQ330)=0,"",AR330-LOOKUP(2,1/(AI330:AQ330&lt;&gt;""),AI330:AQ330)))</t>
        </is>
      </c>
      <c r="BF330" s="49" t="inlineStr">
        <is>
          <t>IF(OR(F330="",AS330=""),"",IF(COUNT(AI330:AR330)=0,"",AS330-LOOKUP(2,1/(AI330:AR330&lt;&gt;""),AI330:AR330)))</t>
        </is>
      </c>
      <c r="BG330" s="49" t="inlineStr">
        <is>
          <t>IF(OR(F330="",AT330=""),"",IF(COUNT(AI330:AS330)=0,"",AT330-LOOKUP(2,1/(AI330:AS330&lt;&gt;""),AI330:AS330)))</t>
        </is>
      </c>
      <c r="BH330" s="49" t="inlineStr">
        <is>
          <t>IF(OR(F330="",AU330=""),"",IF(COUNT(AI330:AT330)=0,"",AU330-LOOKUP(2,1/(AI330:AT330&lt;&gt;""),AI330:AT330)))</t>
        </is>
      </c>
      <c r="BI330" s="49" t="inlineStr">
        <is>
          <t>IF(OR(F330="",AV330=""),"",IF(COUNT(AI330:AU330)=0,"",AV330-LOOKUP(2,1/(AI330:AU330&lt;&gt;""),AI330:AU330)))</t>
        </is>
      </c>
      <c r="BJ330" s="51" t="inlineStr">
        <is>
          <t>IF(J330="","All_Provinces",IFERROR(VLOOKUP(J330,'09_Lookups'!$A$4:$B$20,2,FALSE),"All_Provinces"))</t>
        </is>
      </c>
      <c r="BK330" s="51" t="inlineStr">
        <is>
          <t>IF(K330="","All_Districts",IFERROR(VLOOKUP(K330,'09_Lookups'!$E$4:$F$42,2,FALSE),"All_Districts"))</t>
        </is>
      </c>
    </row>
    <row r="331" ht="18" customHeight="1">
      <c r="A331" s="32" t="inlineStr">
        <is>
          <t>IF(F331="","",ROW()-3)</t>
        </is>
      </c>
      <c r="B331" s="62" t="inlineStr">
        <is>
          <t>AF2-WSM-26</t>
        </is>
      </c>
      <c r="C331" s="62" t="inlineStr">
        <is>
          <t>Package # 26 – AF2 WSM: Construction of 6 Check Dams in 6 sites of A. Yawol Ha site # 1 and # 2 in Teshkan District, B. Sewak Dara site # 3, Golaki site # 4 in Darayim District, C. Khanaqa site # 5, and Sum Dara site # 6 in Arghanj Khwah District of Badakhshan Province</t>
        </is>
      </c>
      <c r="D331" s="62" t="inlineStr">
        <is>
          <t>1 of 6</t>
        </is>
      </c>
      <c r="E331" s="57" t="inlineStr">
        <is>
          <t>AF2-WSM-A-050</t>
        </is>
      </c>
      <c r="F331" s="57" t="inlineStr">
        <is>
          <t>1. Yawol Ha Check Dam-1</t>
        </is>
      </c>
      <c r="G331" s="57" t="inlineStr">
        <is>
          <t>Watershed Management</t>
        </is>
      </c>
      <c r="H331" s="57" t="inlineStr">
        <is>
          <t>Check Dam</t>
        </is>
      </c>
      <c r="I331" s="57" t="inlineStr">
        <is>
          <t>Emergency Food Security Project (EFSP) – WBK/AF-2</t>
        </is>
      </c>
      <c r="J331" s="57" t="inlineStr">
        <is>
          <t>Northeast / Kunduz</t>
        </is>
      </c>
      <c r="K331" s="57" t="inlineStr">
        <is>
          <t>Badakhshan</t>
        </is>
      </c>
      <c r="L331" s="57" t="inlineStr">
        <is>
          <t>Teshkan</t>
        </is>
      </c>
      <c r="M331" s="57" t="inlineStr">
        <is>
          <t>Yawol Ha-1</t>
        </is>
      </c>
      <c r="N331" s="57" t="inlineStr">
        <is>
          <t>World Bank (WBK/AF-2)</t>
        </is>
      </c>
      <c r="O331" s="57" t="inlineStr">
        <is>
          <t>Awarded</t>
        </is>
      </c>
      <c r="P331" s="57" t="inlineStr">
        <is>
          <t>3.WSM awarded contracts</t>
        </is>
      </c>
      <c r="Q331" s="57" t="inlineStr">
        <is>
          <t>Faiz Qurbani Construction Company (FQCC)</t>
        </is>
      </c>
      <c r="R331" s="57" t="inlineStr">
        <is>
          <t>027/2026</t>
        </is>
      </c>
      <c r="S331" s="58" t="n">
        <v>28489.9</v>
      </c>
      <c r="T331" s="36" t="inlineStr">
        <is>
          <t>IF(AQ331="","",AQ331)</t>
        </is>
      </c>
      <c r="U331" s="59" t="n"/>
      <c r="V331" s="60" t="n">
        <v>7</v>
      </c>
      <c r="W331" s="59" t="n">
        <v>46334</v>
      </c>
      <c r="X331" s="36" t="inlineStr">
        <is>
          <t>IF(W331&lt;&gt;"",W331,IF(OR(T331="",V331=""),"",EDATE(T331,V331)))</t>
        </is>
      </c>
      <c r="Y331" s="59" t="n"/>
      <c r="Z331" s="60" t="n">
        <v>10</v>
      </c>
      <c r="AA331" s="57" t="inlineStr">
        <is>
          <t>Under Construction</t>
        </is>
      </c>
      <c r="AB331" s="57" t="inlineStr">
        <is>
          <t>Completed on Sep, 2026</t>
        </is>
      </c>
      <c r="AC331" s="32" t="inlineStr">
        <is>
          <t>IF(F331="","",IF(COUNT(AI331:AV331)=0,IF(AA331="","Not started",AA331),SUBSTITUTE(LOOKUP(2,1/(AI331:AV331&lt;&gt;""),$AI$3:$AV$3),"Date: ","")))</t>
        </is>
      </c>
      <c r="AD331" s="39" t="inlineStr">
        <is>
          <t>IF(OR(F331="",COUNT(AI331:AV331)=0),"",TODAY()-LOOKUP(2,1/(AI331:AV331&lt;&gt;""),AI331:AV331))</t>
        </is>
      </c>
      <c r="AE331" s="39" t="inlineStr">
        <is>
          <t>IF(OR(F331="",COUNT(AI331:AV331)&lt;2),"",LOOKUP(2,1/(AI331:AV331&lt;&gt;""),AI331:AV331)-MIN(AI331:AV331))</t>
        </is>
      </c>
      <c r="AF331" s="39" t="inlineStr">
        <is>
          <t>IF(OR(AD331="",AC331="Not started",AC331=""),"",IFERROR(AD331-IF(VLOOKUP(AC331,'06_Status_Pipeline'!$B$3:$E$20,4,FALSE)="",0,VLOOKUP(AC331,'06_Status_Pipeline'!$B$3:$E$20,4,FALSE)),""))</t>
        </is>
      </c>
      <c r="AG331" s="32" t="inlineStr">
        <is>
          <t>IF(F331="","",IF(OR(AA331="Cancelled",AC331="Cancelled"),"Cancelled",IF(OR(AC331="Completed / Handover",Y331&lt;&gt;"",Z331&gt;=100),"Completed — on track",IF(O331="Not awarded",IF(U331="",IF(X331="","No planned date",IF(TODAY()&gt;X331,"Behind — past planned date",IF(X331-TODAY()&lt;=30,"At risk — close to off track","On track"))),IF(TODAY()&gt;U331,"Behind — award date passed",IF(U331-TODAY()&lt;=30,"At risk — close to off track","On track"))),IF(X331="","No planned date",IF(AND(TODAY()&gt;X331,OR(Z331="",Z331&lt;100)),"Behind — past end date",IF(AND(T331&lt;&gt;"",X331&lt;&gt;"",Z331&lt;&gt;"",(Z331&lt;100),((TODAY()-T331)/MAX(X331-T331,1)*100)-Z331&gt;15),"Behind — progress lag",IF(AND(X331-TODAY()&lt;=30,X331-TODAY()&gt;=0,OR(Z331="",Z331&lt;90)),"At risk — close to off track","On track"))))))))</t>
        </is>
      </c>
      <c r="AH331" s="39" t="inlineStr">
        <is>
          <t>IF(OR(F331="",AC331="Completed / Handover",AC331="Cancelled"),"",IF(O331="Not awarded",IF(U331&lt;&gt;"",U331-TODAY(),IF(X331="","",X331-TODAY())),IF(X331="","",X331-TODAY())))</t>
        </is>
      </c>
      <c r="AI331" s="66" t="n"/>
      <c r="AJ331" s="66" t="n"/>
      <c r="AK331" s="66" t="n"/>
      <c r="AL331" s="66" t="n"/>
      <c r="AM331" s="66" t="n"/>
      <c r="AN331" s="66" t="n"/>
      <c r="AO331" s="66" t="n"/>
      <c r="AP331" s="66" t="n"/>
      <c r="AQ331" s="66" t="n">
        <v>46121</v>
      </c>
      <c r="AR331" s="66" t="n">
        <v>46121</v>
      </c>
      <c r="AS331" s="66" t="n"/>
      <c r="AT331" s="40" t="n"/>
      <c r="AU331" s="40" t="n"/>
      <c r="AV331" s="40" t="n"/>
      <c r="AW331" s="39" t="inlineStr">
        <is>
          <t>IF(OR(F331="",AJ331=""),"",IF(COUNT(AI331:AI331)=0,"",AJ331-LOOKUP(2,1/(AI331:AI331&lt;&gt;""),AI331:AI331)))</t>
        </is>
      </c>
      <c r="AX331" s="39" t="inlineStr">
        <is>
          <t>IF(OR(F331="",AK331=""),"",IF(COUNT(AI331:AJ331)=0,"",AK331-LOOKUP(2,1/(AI331:AJ331&lt;&gt;""),AI331:AJ331)))</t>
        </is>
      </c>
      <c r="AY331" s="39" t="inlineStr">
        <is>
          <t>IF(OR(F331="",AL331=""),"",IF(COUNT(AI331:AK331)=0,"",AL331-LOOKUP(2,1/(AI331:AK331&lt;&gt;""),AI331:AK331)))</t>
        </is>
      </c>
      <c r="AZ331" s="39" t="inlineStr">
        <is>
          <t>IF(OR(F331="",AM331=""),"",IF(COUNT(AI331:AL331)=0,"",AM331-LOOKUP(2,1/(AI331:AL331&lt;&gt;""),AI331:AL331)))</t>
        </is>
      </c>
      <c r="BA331" s="39" t="inlineStr">
        <is>
          <t>IF(OR(F331="",AN331=""),"",IF(COUNT(AI331:AM331)=0,"",AN331-LOOKUP(2,1/(AI331:AM331&lt;&gt;""),AI331:AM331)))</t>
        </is>
      </c>
      <c r="BB331" s="39" t="inlineStr">
        <is>
          <t>IF(OR(F331="",AO331=""),"",IF(COUNT(AI331:AN331)=0,"",AO331-LOOKUP(2,1/(AI331:AN331&lt;&gt;""),AI331:AN331)))</t>
        </is>
      </c>
      <c r="BC331" s="39" t="inlineStr">
        <is>
          <t>IF(OR(F331="",AP331=""),"",IF(COUNT(AI331:AO331)=0,"",AP331-LOOKUP(2,1/(AI331:AO331&lt;&gt;""),AI331:AO331)))</t>
        </is>
      </c>
      <c r="BD331" s="39" t="inlineStr">
        <is>
          <t>IF(OR(F331="",AQ331=""),"",IF(COUNT(AI331:AP331)=0,"",AQ331-LOOKUP(2,1/(AI331:AP331&lt;&gt;""),AI331:AP331)))</t>
        </is>
      </c>
      <c r="BE331" s="39" t="inlineStr">
        <is>
          <t>IF(OR(F331="",AR331=""),"",IF(COUNT(AI331:AQ331)=0,"",AR331-LOOKUP(2,1/(AI331:AQ331&lt;&gt;""),AI331:AQ331)))</t>
        </is>
      </c>
      <c r="BF331" s="39" t="inlineStr">
        <is>
          <t>IF(OR(F331="",AS331=""),"",IF(COUNT(AI331:AR331)=0,"",AS331-LOOKUP(2,1/(AI331:AR331&lt;&gt;""),AI331:AR331)))</t>
        </is>
      </c>
      <c r="BG331" s="39" t="inlineStr">
        <is>
          <t>IF(OR(F331="",AT331=""),"",IF(COUNT(AI331:AS331)=0,"",AT331-LOOKUP(2,1/(AI331:AS331&lt;&gt;""),AI331:AS331)))</t>
        </is>
      </c>
      <c r="BH331" s="39" t="inlineStr">
        <is>
          <t>IF(OR(F331="",AU331=""),"",IF(COUNT(AI331:AT331)=0,"",AU331-LOOKUP(2,1/(AI331:AT331&lt;&gt;""),AI331:AT331)))</t>
        </is>
      </c>
      <c r="BI331" s="39" t="inlineStr">
        <is>
          <t>IF(OR(F331="",AV331=""),"",IF(COUNT(AI331:AU331)=0,"",AV331-LOOKUP(2,1/(AI331:AU331&lt;&gt;""),AI331:AU331)))</t>
        </is>
      </c>
      <c r="BJ331" s="41" t="inlineStr">
        <is>
          <t>IF(J331="","All_Provinces",IFERROR(VLOOKUP(J331,'09_Lookups'!$A$4:$B$20,2,FALSE),"All_Provinces"))</t>
        </is>
      </c>
      <c r="BK331" s="41" t="inlineStr">
        <is>
          <t>IF(K331="","All_Districts",IFERROR(VLOOKUP(K331,'09_Lookups'!$E$4:$F$42,2,FALSE),"All_Districts"))</t>
        </is>
      </c>
    </row>
    <row r="332" outlineLevel="1" ht="18" customHeight="1">
      <c r="A332" s="42" t="inlineStr">
        <is>
          <t>IF(F332="","",ROW()-3)</t>
        </is>
      </c>
      <c r="B332" s="63" t="inlineStr">
        <is>
          <t>AF2-WSM-26</t>
        </is>
      </c>
      <c r="C332" s="63" t="inlineStr">
        <is>
          <t>Package # 26 – AF2 WSM: Construction of 6 Check Dams in 6 sites of A. Yawol Ha site # 1 and # 2 in Teshkan District, B. Sewak Dara site # 3, Golaki site # 4 in Darayim District, C. Khanaqa site # 5, and Sum Dara site # 6 in Arghanj Khwah District of Badakhshan Province</t>
        </is>
      </c>
      <c r="D332" s="63" t="inlineStr">
        <is>
          <t>2 of 6</t>
        </is>
      </c>
      <c r="E332" s="52" t="inlineStr">
        <is>
          <t>AF2-WSM-A-051</t>
        </is>
      </c>
      <c r="F332" s="52" t="inlineStr">
        <is>
          <t>2. Yawol Ha Check Dam-2</t>
        </is>
      </c>
      <c r="G332" s="52" t="inlineStr">
        <is>
          <t>Watershed Management</t>
        </is>
      </c>
      <c r="H332" s="52" t="inlineStr">
        <is>
          <t>Check Dam</t>
        </is>
      </c>
      <c r="I332" s="52" t="inlineStr">
        <is>
          <t>Emergency Food Security Project (EFSP) – WBK/AF-2</t>
        </is>
      </c>
      <c r="J332" s="52" t="inlineStr">
        <is>
          <t>Northeast / Kunduz</t>
        </is>
      </c>
      <c r="K332" s="52" t="inlineStr">
        <is>
          <t>Badakhshan</t>
        </is>
      </c>
      <c r="L332" s="52" t="inlineStr">
        <is>
          <t>Teshkan</t>
        </is>
      </c>
      <c r="M332" s="52" t="inlineStr">
        <is>
          <t>Yawol Ha-2</t>
        </is>
      </c>
      <c r="N332" s="52" t="inlineStr">
        <is>
          <t>World Bank (WBK/AF-2)</t>
        </is>
      </c>
      <c r="O332" s="52" t="inlineStr">
        <is>
          <t>Awarded</t>
        </is>
      </c>
      <c r="P332" s="52" t="inlineStr">
        <is>
          <t>3.WSM awarded contracts</t>
        </is>
      </c>
      <c r="Q332" s="52" t="inlineStr">
        <is>
          <t>Faiz Qurbani Construction Company (FQCC)</t>
        </is>
      </c>
      <c r="R332" s="52" t="inlineStr">
        <is>
          <t>027/2026</t>
        </is>
      </c>
      <c r="S332" s="53" t="n">
        <v>29242.96</v>
      </c>
      <c r="T332" s="46" t="inlineStr">
        <is>
          <t>IF(AQ332="","",AQ332)</t>
        </is>
      </c>
      <c r="U332" s="54" t="n"/>
      <c r="V332" s="55" t="n">
        <v>7</v>
      </c>
      <c r="W332" s="54" t="n">
        <v>46334</v>
      </c>
      <c r="X332" s="46" t="inlineStr">
        <is>
          <t>IF(W332&lt;&gt;"",W332,IF(OR(T332="",V332=""),"",EDATE(T332,V332)))</t>
        </is>
      </c>
      <c r="Y332" s="54" t="n"/>
      <c r="Z332" s="55" t="n">
        <v>0</v>
      </c>
      <c r="AA332" s="52" t="inlineStr">
        <is>
          <t>Awarded</t>
        </is>
      </c>
      <c r="AB332" s="52" t="inlineStr">
        <is>
          <t>Completed on Sep, 2026</t>
        </is>
      </c>
      <c r="AC332" s="42" t="inlineStr">
        <is>
          <t>IF(F332="","",IF(COUNT(AI332:AV332)=0,IF(AA332="","Not started",AA332),SUBSTITUTE(LOOKUP(2,1/(AI332:AV332&lt;&gt;""),$AI$3:$AV$3),"Date: ","")))</t>
        </is>
      </c>
      <c r="AD332" s="49" t="inlineStr">
        <is>
          <t>IF(OR(F332="",COUNT(AI332:AV332)=0),"",TODAY()-LOOKUP(2,1/(AI332:AV332&lt;&gt;""),AI332:AV332))</t>
        </is>
      </c>
      <c r="AE332" s="49" t="inlineStr">
        <is>
          <t>IF(OR(F332="",COUNT(AI332:AV332)&lt;2),"",LOOKUP(2,1/(AI332:AV332&lt;&gt;""),AI332:AV332)-MIN(AI332:AV332))</t>
        </is>
      </c>
      <c r="AF332" s="49" t="inlineStr">
        <is>
          <t>IF(OR(AD332="",AC332="Not started",AC332=""),"",IFERROR(AD332-IF(VLOOKUP(AC332,'06_Status_Pipeline'!$B$3:$E$20,4,FALSE)="",0,VLOOKUP(AC332,'06_Status_Pipeline'!$B$3:$E$20,4,FALSE)),""))</t>
        </is>
      </c>
      <c r="AG332" s="42" t="inlineStr">
        <is>
          <t>IF(F332="","",IF(OR(AA332="Cancelled",AC332="Cancelled"),"Cancelled",IF(OR(AC332="Completed / Handover",Y332&lt;&gt;"",Z332&gt;=100),"Completed — on track",IF(O332="Not awarded",IF(U332="",IF(X332="","No planned date",IF(TODAY()&gt;X332,"Behind — past planned date",IF(X332-TODAY()&lt;=30,"At risk — close to off track","On track"))),IF(TODAY()&gt;U332,"Behind — award date passed",IF(U332-TODAY()&lt;=30,"At risk — close to off track","On track"))),IF(X332="","No planned date",IF(AND(TODAY()&gt;X332,OR(Z332="",Z332&lt;100)),"Behind — past end date",IF(AND(T332&lt;&gt;"",X332&lt;&gt;"",Z332&lt;&gt;"",(Z332&lt;100),((TODAY()-T332)/MAX(X332-T332,1)*100)-Z332&gt;15),"Behind — progress lag",IF(AND(X332-TODAY()&lt;=30,X332-TODAY()&gt;=0,OR(Z332="",Z332&lt;90)),"At risk — close to off track","On track"))))))))</t>
        </is>
      </c>
      <c r="AH332" s="49" t="inlineStr">
        <is>
          <t>IF(OR(F332="",AC332="Completed / Handover",AC332="Cancelled"),"",IF(O332="Not awarded",IF(U332&lt;&gt;"",U332-TODAY(),IF(X332="","",X332-TODAY())),IF(X332="","",X332-TODAY())))</t>
        </is>
      </c>
      <c r="AI332" s="67" t="n"/>
      <c r="AJ332" s="67" t="n"/>
      <c r="AK332" s="67" t="n"/>
      <c r="AL332" s="67" t="n"/>
      <c r="AM332" s="67" t="n"/>
      <c r="AN332" s="67" t="n"/>
      <c r="AO332" s="67" t="n"/>
      <c r="AP332" s="67" t="n"/>
      <c r="AQ332" s="67" t="n">
        <v>46121</v>
      </c>
      <c r="AR332" s="67" t="n"/>
      <c r="AS332" s="67" t="n"/>
      <c r="AT332" s="50" t="n"/>
      <c r="AU332" s="50" t="n"/>
      <c r="AV332" s="50" t="n"/>
      <c r="AW332" s="49" t="inlineStr">
        <is>
          <t>IF(OR(F332="",AJ332=""),"",IF(COUNT(AI332:AI332)=0,"",AJ332-LOOKUP(2,1/(AI332:AI332&lt;&gt;""),AI332:AI332)))</t>
        </is>
      </c>
      <c r="AX332" s="49" t="inlineStr">
        <is>
          <t>IF(OR(F332="",AK332=""),"",IF(COUNT(AI332:AJ332)=0,"",AK332-LOOKUP(2,1/(AI332:AJ332&lt;&gt;""),AI332:AJ332)))</t>
        </is>
      </c>
      <c r="AY332" s="49" t="inlineStr">
        <is>
          <t>IF(OR(F332="",AL332=""),"",IF(COUNT(AI332:AK332)=0,"",AL332-LOOKUP(2,1/(AI332:AK332&lt;&gt;""),AI332:AK332)))</t>
        </is>
      </c>
      <c r="AZ332" s="49" t="inlineStr">
        <is>
          <t>IF(OR(F332="",AM332=""),"",IF(COUNT(AI332:AL332)=0,"",AM332-LOOKUP(2,1/(AI332:AL332&lt;&gt;""),AI332:AL332)))</t>
        </is>
      </c>
      <c r="BA332" s="49" t="inlineStr">
        <is>
          <t>IF(OR(F332="",AN332=""),"",IF(COUNT(AI332:AM332)=0,"",AN332-LOOKUP(2,1/(AI332:AM332&lt;&gt;""),AI332:AM332)))</t>
        </is>
      </c>
      <c r="BB332" s="49" t="inlineStr">
        <is>
          <t>IF(OR(F332="",AO332=""),"",IF(COUNT(AI332:AN332)=0,"",AO332-LOOKUP(2,1/(AI332:AN332&lt;&gt;""),AI332:AN332)))</t>
        </is>
      </c>
      <c r="BC332" s="49" t="inlineStr">
        <is>
          <t>IF(OR(F332="",AP332=""),"",IF(COUNT(AI332:AO332)=0,"",AP332-LOOKUP(2,1/(AI332:AO332&lt;&gt;""),AI332:AO332)))</t>
        </is>
      </c>
      <c r="BD332" s="49" t="inlineStr">
        <is>
          <t>IF(OR(F332="",AQ332=""),"",IF(COUNT(AI332:AP332)=0,"",AQ332-LOOKUP(2,1/(AI332:AP332&lt;&gt;""),AI332:AP332)))</t>
        </is>
      </c>
      <c r="BE332" s="49" t="inlineStr">
        <is>
          <t>IF(OR(F332="",AR332=""),"",IF(COUNT(AI332:AQ332)=0,"",AR332-LOOKUP(2,1/(AI332:AQ332&lt;&gt;""),AI332:AQ332)))</t>
        </is>
      </c>
      <c r="BF332" s="49" t="inlineStr">
        <is>
          <t>IF(OR(F332="",AS332=""),"",IF(COUNT(AI332:AR332)=0,"",AS332-LOOKUP(2,1/(AI332:AR332&lt;&gt;""),AI332:AR332)))</t>
        </is>
      </c>
      <c r="BG332" s="49" t="inlineStr">
        <is>
          <t>IF(OR(F332="",AT332=""),"",IF(COUNT(AI332:AS332)=0,"",AT332-LOOKUP(2,1/(AI332:AS332&lt;&gt;""),AI332:AS332)))</t>
        </is>
      </c>
      <c r="BH332" s="49" t="inlineStr">
        <is>
          <t>IF(OR(F332="",AU332=""),"",IF(COUNT(AI332:AT332)=0,"",AU332-LOOKUP(2,1/(AI332:AT332&lt;&gt;""),AI332:AT332)))</t>
        </is>
      </c>
      <c r="BI332" s="49" t="inlineStr">
        <is>
          <t>IF(OR(F332="",AV332=""),"",IF(COUNT(AI332:AU332)=0,"",AV332-LOOKUP(2,1/(AI332:AU332&lt;&gt;""),AI332:AU332)))</t>
        </is>
      </c>
      <c r="BJ332" s="51" t="inlineStr">
        <is>
          <t>IF(J332="","All_Provinces",IFERROR(VLOOKUP(J332,'09_Lookups'!$A$4:$B$20,2,FALSE),"All_Provinces"))</t>
        </is>
      </c>
      <c r="BK332" s="51" t="inlineStr">
        <is>
          <t>IF(K332="","All_Districts",IFERROR(VLOOKUP(K332,'09_Lookups'!$E$4:$F$42,2,FALSE),"All_Districts"))</t>
        </is>
      </c>
    </row>
    <row r="333" outlineLevel="1" ht="18" customHeight="1">
      <c r="A333" s="42" t="inlineStr">
        <is>
          <t>IF(F333="","",ROW()-3)</t>
        </is>
      </c>
      <c r="B333" s="63" t="inlineStr">
        <is>
          <t>AF2-WSM-26</t>
        </is>
      </c>
      <c r="C333" s="63" t="inlineStr">
        <is>
          <t>Package # 26 – AF2 WSM: Construction of 6 Check Dams in 6 sites of A. Yawol Ha site # 1 and # 2 in Teshkan District, B. Sewak Dara site # 3, Golaki site # 4 in Darayim District, C. Khanaqa site # 5, and Sum Dara site # 6 in Arghanj Khwah District of Badakhshan Province</t>
        </is>
      </c>
      <c r="D333" s="63" t="inlineStr">
        <is>
          <t>3 of 6</t>
        </is>
      </c>
      <c r="E333" s="44" t="inlineStr">
        <is>
          <t>AF2-WSM-A-052</t>
        </is>
      </c>
      <c r="F333" s="44" t="inlineStr">
        <is>
          <t>3.Sewak Dara Kelaki Check Dam</t>
        </is>
      </c>
      <c r="G333" s="44" t="inlineStr">
        <is>
          <t>Watershed Management</t>
        </is>
      </c>
      <c r="H333" s="44" t="inlineStr">
        <is>
          <t>Check Dam</t>
        </is>
      </c>
      <c r="I333" s="44" t="inlineStr">
        <is>
          <t>Emergency Food Security Project (EFSP) – WBK/AF-2</t>
        </is>
      </c>
      <c r="J333" s="44" t="inlineStr">
        <is>
          <t>Northeast / Kunduz</t>
        </is>
      </c>
      <c r="K333" s="44" t="inlineStr">
        <is>
          <t>Badakhshan</t>
        </is>
      </c>
      <c r="L333" s="44" t="inlineStr">
        <is>
          <t>Darayim</t>
        </is>
      </c>
      <c r="M333" s="44" t="inlineStr">
        <is>
          <t>Sewak Dara</t>
        </is>
      </c>
      <c r="N333" s="44" t="inlineStr">
        <is>
          <t>World Bank (WBK/AF-2)</t>
        </is>
      </c>
      <c r="O333" s="44" t="inlineStr">
        <is>
          <t>Awarded</t>
        </is>
      </c>
      <c r="P333" s="44" t="inlineStr">
        <is>
          <t>3.WSM awarded contracts</t>
        </is>
      </c>
      <c r="Q333" s="44" t="inlineStr">
        <is>
          <t>Faiz Qurbani Construction Company (FQCC)</t>
        </is>
      </c>
      <c r="R333" s="44" t="inlineStr">
        <is>
          <t>027/2026</t>
        </is>
      </c>
      <c r="S333" s="45" t="n">
        <v>59018.99</v>
      </c>
      <c r="T333" s="46" t="inlineStr">
        <is>
          <t>IF(AQ333="","",AQ333)</t>
        </is>
      </c>
      <c r="U333" s="47" t="n"/>
      <c r="V333" s="48" t="n">
        <v>7</v>
      </c>
      <c r="W333" s="47" t="n">
        <v>46334</v>
      </c>
      <c r="X333" s="46" t="inlineStr">
        <is>
          <t>IF(W333&lt;&gt;"",W333,IF(OR(T333="",V333=""),"",EDATE(T333,V333)))</t>
        </is>
      </c>
      <c r="Y333" s="47" t="n"/>
      <c r="Z333" s="48" t="n">
        <v>100</v>
      </c>
      <c r="AA333" s="44" t="inlineStr">
        <is>
          <t>Completed / Handover</t>
        </is>
      </c>
      <c r="AB333" s="44" t="inlineStr">
        <is>
          <t>Completed on Sep, 2026</t>
        </is>
      </c>
      <c r="AC333" s="42" t="inlineStr">
        <is>
          <t>IF(F333="","",IF(COUNT(AI333:AV333)=0,IF(AA333="","Not started",AA333),SUBSTITUTE(LOOKUP(2,1/(AI333:AV333&lt;&gt;""),$AI$3:$AV$3),"Date: ","")))</t>
        </is>
      </c>
      <c r="AD333" s="49" t="inlineStr">
        <is>
          <t>IF(OR(F333="",COUNT(AI333:AV333)=0),"",TODAY()-LOOKUP(2,1/(AI333:AV333&lt;&gt;""),AI333:AV333))</t>
        </is>
      </c>
      <c r="AE333" s="49" t="inlineStr">
        <is>
          <t>IF(OR(F333="",COUNT(AI333:AV333)&lt;2),"",LOOKUP(2,1/(AI333:AV333&lt;&gt;""),AI333:AV333)-MIN(AI333:AV333))</t>
        </is>
      </c>
      <c r="AF333" s="49" t="inlineStr">
        <is>
          <t>IF(OR(AD333="",AC333="Not started",AC333=""),"",IFERROR(AD333-IF(VLOOKUP(AC333,'06_Status_Pipeline'!$B$3:$E$20,4,FALSE)="",0,VLOOKUP(AC333,'06_Status_Pipeline'!$B$3:$E$20,4,FALSE)),""))</t>
        </is>
      </c>
      <c r="AG333" s="42" t="inlineStr">
        <is>
          <t>IF(F333="","",IF(OR(AA333="Cancelled",AC333="Cancelled"),"Cancelled",IF(OR(AC333="Completed / Handover",Y333&lt;&gt;"",Z333&gt;=100),"Completed — on track",IF(O333="Not awarded",IF(U333="",IF(X333="","No planned date",IF(TODAY()&gt;X333,"Behind — past planned date",IF(X333-TODAY()&lt;=30,"At risk — close to off track","On track"))),IF(TODAY()&gt;U333,"Behind — award date passed",IF(U333-TODAY()&lt;=30,"At risk — close to off track","On track"))),IF(X333="","No planned date",IF(AND(TODAY()&gt;X333,OR(Z333="",Z333&lt;100)),"Behind — past end date",IF(AND(T333&lt;&gt;"",X333&lt;&gt;"",Z333&lt;&gt;"",(Z333&lt;100),((TODAY()-T333)/MAX(X333-T333,1)*100)-Z333&gt;15),"Behind — progress lag",IF(AND(X333-TODAY()&lt;=30,X333-TODAY()&gt;=0,OR(Z333="",Z333&lt;90)),"At risk — close to off track","On track"))))))))</t>
        </is>
      </c>
      <c r="AH333" s="49" t="inlineStr">
        <is>
          <t>IF(OR(F333="",AC333="Completed / Handover",AC333="Cancelled"),"",IF(O333="Not awarded",IF(U333&lt;&gt;"",U333-TODAY(),IF(X333="","",X333-TODAY())),IF(X333="","",X333-TODAY())))</t>
        </is>
      </c>
      <c r="AI333" s="67" t="n"/>
      <c r="AJ333" s="67" t="n"/>
      <c r="AK333" s="67" t="n"/>
      <c r="AL333" s="67" t="n"/>
      <c r="AM333" s="67" t="n"/>
      <c r="AN333" s="67" t="n"/>
      <c r="AO333" s="67" t="n"/>
      <c r="AP333" s="67" t="n"/>
      <c r="AQ333" s="67" t="n">
        <v>46121</v>
      </c>
      <c r="AR333" s="67" t="n">
        <v>46121</v>
      </c>
      <c r="AS333" s="67" t="n">
        <v>46334</v>
      </c>
      <c r="AT333" s="50" t="n"/>
      <c r="AU333" s="50" t="n"/>
      <c r="AV333" s="50" t="n"/>
      <c r="AW333" s="49" t="inlineStr">
        <is>
          <t>IF(OR(F333="",AJ333=""),"",IF(COUNT(AI333:AI333)=0,"",AJ333-LOOKUP(2,1/(AI333:AI333&lt;&gt;""),AI333:AI333)))</t>
        </is>
      </c>
      <c r="AX333" s="49" t="inlineStr">
        <is>
          <t>IF(OR(F333="",AK333=""),"",IF(COUNT(AI333:AJ333)=0,"",AK333-LOOKUP(2,1/(AI333:AJ333&lt;&gt;""),AI333:AJ333)))</t>
        </is>
      </c>
      <c r="AY333" s="49" t="inlineStr">
        <is>
          <t>IF(OR(F333="",AL333=""),"",IF(COUNT(AI333:AK333)=0,"",AL333-LOOKUP(2,1/(AI333:AK333&lt;&gt;""),AI333:AK333)))</t>
        </is>
      </c>
      <c r="AZ333" s="49" t="inlineStr">
        <is>
          <t>IF(OR(F333="",AM333=""),"",IF(COUNT(AI333:AL333)=0,"",AM333-LOOKUP(2,1/(AI333:AL333&lt;&gt;""),AI333:AL333)))</t>
        </is>
      </c>
      <c r="BA333" s="49" t="inlineStr">
        <is>
          <t>IF(OR(F333="",AN333=""),"",IF(COUNT(AI333:AM333)=0,"",AN333-LOOKUP(2,1/(AI333:AM333&lt;&gt;""),AI333:AM333)))</t>
        </is>
      </c>
      <c r="BB333" s="49" t="inlineStr">
        <is>
          <t>IF(OR(F333="",AO333=""),"",IF(COUNT(AI333:AN333)=0,"",AO333-LOOKUP(2,1/(AI333:AN333&lt;&gt;""),AI333:AN333)))</t>
        </is>
      </c>
      <c r="BC333" s="49" t="inlineStr">
        <is>
          <t>IF(OR(F333="",AP333=""),"",IF(COUNT(AI333:AO333)=0,"",AP333-LOOKUP(2,1/(AI333:AO333&lt;&gt;""),AI333:AO333)))</t>
        </is>
      </c>
      <c r="BD333" s="49" t="inlineStr">
        <is>
          <t>IF(OR(F333="",AQ333=""),"",IF(COUNT(AI333:AP333)=0,"",AQ333-LOOKUP(2,1/(AI333:AP333&lt;&gt;""),AI333:AP333)))</t>
        </is>
      </c>
      <c r="BE333" s="49" t="inlineStr">
        <is>
          <t>IF(OR(F333="",AR333=""),"",IF(COUNT(AI333:AQ333)=0,"",AR333-LOOKUP(2,1/(AI333:AQ333&lt;&gt;""),AI333:AQ333)))</t>
        </is>
      </c>
      <c r="BF333" s="49" t="inlineStr">
        <is>
          <t>IF(OR(F333="",AS333=""),"",IF(COUNT(AI333:AR333)=0,"",AS333-LOOKUP(2,1/(AI333:AR333&lt;&gt;""),AI333:AR333)))</t>
        </is>
      </c>
      <c r="BG333" s="49" t="inlineStr">
        <is>
          <t>IF(OR(F333="",AT333=""),"",IF(COUNT(AI333:AS333)=0,"",AT333-LOOKUP(2,1/(AI333:AS333&lt;&gt;""),AI333:AS333)))</t>
        </is>
      </c>
      <c r="BH333" s="49" t="inlineStr">
        <is>
          <t>IF(OR(F333="",AU333=""),"",IF(COUNT(AI333:AT333)=0,"",AU333-LOOKUP(2,1/(AI333:AT333&lt;&gt;""),AI333:AT333)))</t>
        </is>
      </c>
      <c r="BI333" s="49" t="inlineStr">
        <is>
          <t>IF(OR(F333="",AV333=""),"",IF(COUNT(AI333:AU333)=0,"",AV333-LOOKUP(2,1/(AI333:AU333&lt;&gt;""),AI333:AU333)))</t>
        </is>
      </c>
      <c r="BJ333" s="51" t="inlineStr">
        <is>
          <t>IF(J333="","All_Provinces",IFERROR(VLOOKUP(J333,'09_Lookups'!$A$4:$B$20,2,FALSE),"All_Provinces"))</t>
        </is>
      </c>
      <c r="BK333" s="51" t="inlineStr">
        <is>
          <t>IF(K333="","All_Districts",IFERROR(VLOOKUP(K333,'09_Lookups'!$E$4:$F$42,2,FALSE),"All_Districts"))</t>
        </is>
      </c>
    </row>
    <row r="334" outlineLevel="1" ht="18" customHeight="1">
      <c r="A334" s="42" t="inlineStr">
        <is>
          <t>IF(F334="","",ROW()-3)</t>
        </is>
      </c>
      <c r="B334" s="63" t="inlineStr">
        <is>
          <t>AF2-WSM-26</t>
        </is>
      </c>
      <c r="C334" s="63" t="inlineStr">
        <is>
          <t>Package # 26 – AF2 WSM: Construction of 6 Check Dams in 6 sites of A. Yawol Ha site # 1 and # 2 in Teshkan District, B. Sewak Dara site # 3, Golaki site # 4 in Darayim District, C. Khanaqa site # 5, and Sum Dara site # 6 in Arghanj Khwah District of Badakhshan Province</t>
        </is>
      </c>
      <c r="D334" s="63" t="inlineStr">
        <is>
          <t>4 of 6</t>
        </is>
      </c>
      <c r="E334" s="52" t="inlineStr">
        <is>
          <t>AF2-WSM-A-053</t>
        </is>
      </c>
      <c r="F334" s="52" t="inlineStr">
        <is>
          <t>4. Golaki Check Dam</t>
        </is>
      </c>
      <c r="G334" s="52" t="inlineStr">
        <is>
          <t>Watershed Management</t>
        </is>
      </c>
      <c r="H334" s="52" t="inlineStr">
        <is>
          <t>Check Dam</t>
        </is>
      </c>
      <c r="I334" s="52" t="inlineStr">
        <is>
          <t>Emergency Food Security Project (EFSP) – WBK/AF-2</t>
        </is>
      </c>
      <c r="J334" s="52" t="inlineStr">
        <is>
          <t>Northeast / Kunduz</t>
        </is>
      </c>
      <c r="K334" s="52" t="inlineStr">
        <is>
          <t>Badakhshan</t>
        </is>
      </c>
      <c r="L334" s="52" t="inlineStr">
        <is>
          <t>Darayim</t>
        </is>
      </c>
      <c r="M334" s="52" t="inlineStr">
        <is>
          <t>Golaki</t>
        </is>
      </c>
      <c r="N334" s="52" t="inlineStr">
        <is>
          <t>World Bank (WBK/AF-2)</t>
        </is>
      </c>
      <c r="O334" s="52" t="inlineStr">
        <is>
          <t>Awarded</t>
        </is>
      </c>
      <c r="P334" s="52" t="inlineStr">
        <is>
          <t>3.WSM awarded contracts</t>
        </is>
      </c>
      <c r="Q334" s="52" t="inlineStr">
        <is>
          <t>Faiz Qurbani Construction Company (FQCC)</t>
        </is>
      </c>
      <c r="R334" s="52" t="inlineStr">
        <is>
          <t>027/2026</t>
        </is>
      </c>
      <c r="S334" s="53" t="n">
        <v>62408.88</v>
      </c>
      <c r="T334" s="46" t="inlineStr">
        <is>
          <t>IF(AQ334="","",AQ334)</t>
        </is>
      </c>
      <c r="U334" s="54" t="n"/>
      <c r="V334" s="55" t="n">
        <v>7</v>
      </c>
      <c r="W334" s="54" t="n">
        <v>46334</v>
      </c>
      <c r="X334" s="46" t="inlineStr">
        <is>
          <t>IF(W334&lt;&gt;"",W334,IF(OR(T334="",V334=""),"",EDATE(T334,V334)))</t>
        </is>
      </c>
      <c r="Y334" s="54" t="n"/>
      <c r="Z334" s="55" t="n">
        <v>100</v>
      </c>
      <c r="AA334" s="52" t="inlineStr">
        <is>
          <t>Completed / Handover</t>
        </is>
      </c>
      <c r="AB334" s="52" t="inlineStr">
        <is>
          <t>Completed on Sep, 2026</t>
        </is>
      </c>
      <c r="AC334" s="42" t="inlineStr">
        <is>
          <t>IF(F334="","",IF(COUNT(AI334:AV334)=0,IF(AA334="","Not started",AA334),SUBSTITUTE(LOOKUP(2,1/(AI334:AV334&lt;&gt;""),$AI$3:$AV$3),"Date: ","")))</t>
        </is>
      </c>
      <c r="AD334" s="49" t="inlineStr">
        <is>
          <t>IF(OR(F334="",COUNT(AI334:AV334)=0),"",TODAY()-LOOKUP(2,1/(AI334:AV334&lt;&gt;""),AI334:AV334))</t>
        </is>
      </c>
      <c r="AE334" s="49" t="inlineStr">
        <is>
          <t>IF(OR(F334="",COUNT(AI334:AV334)&lt;2),"",LOOKUP(2,1/(AI334:AV334&lt;&gt;""),AI334:AV334)-MIN(AI334:AV334))</t>
        </is>
      </c>
      <c r="AF334" s="49" t="inlineStr">
        <is>
          <t>IF(OR(AD334="",AC334="Not started",AC334=""),"",IFERROR(AD334-IF(VLOOKUP(AC334,'06_Status_Pipeline'!$B$3:$E$20,4,FALSE)="",0,VLOOKUP(AC334,'06_Status_Pipeline'!$B$3:$E$20,4,FALSE)),""))</t>
        </is>
      </c>
      <c r="AG334" s="42" t="inlineStr">
        <is>
          <t>IF(F334="","",IF(OR(AA334="Cancelled",AC334="Cancelled"),"Cancelled",IF(OR(AC334="Completed / Handover",Y334&lt;&gt;"",Z334&gt;=100),"Completed — on track",IF(O334="Not awarded",IF(U334="",IF(X334="","No planned date",IF(TODAY()&gt;X334,"Behind — past planned date",IF(X334-TODAY()&lt;=30,"At risk — close to off track","On track"))),IF(TODAY()&gt;U334,"Behind — award date passed",IF(U334-TODAY()&lt;=30,"At risk — close to off track","On track"))),IF(X334="","No planned date",IF(AND(TODAY()&gt;X334,OR(Z334="",Z334&lt;100)),"Behind — past end date",IF(AND(T334&lt;&gt;"",X334&lt;&gt;"",Z334&lt;&gt;"",(Z334&lt;100),((TODAY()-T334)/MAX(X334-T334,1)*100)-Z334&gt;15),"Behind — progress lag",IF(AND(X334-TODAY()&lt;=30,X334-TODAY()&gt;=0,OR(Z334="",Z334&lt;90)),"At risk — close to off track","On track"))))))))</t>
        </is>
      </c>
      <c r="AH334" s="49" t="inlineStr">
        <is>
          <t>IF(OR(F334="",AC334="Completed / Handover",AC334="Cancelled"),"",IF(O334="Not awarded",IF(U334&lt;&gt;"",U334-TODAY(),IF(X334="","",X334-TODAY())),IF(X334="","",X334-TODAY())))</t>
        </is>
      </c>
      <c r="AI334" s="67" t="n"/>
      <c r="AJ334" s="67" t="n"/>
      <c r="AK334" s="67" t="n"/>
      <c r="AL334" s="67" t="n"/>
      <c r="AM334" s="67" t="n"/>
      <c r="AN334" s="67" t="n"/>
      <c r="AO334" s="67" t="n"/>
      <c r="AP334" s="67" t="n"/>
      <c r="AQ334" s="67" t="n">
        <v>46121</v>
      </c>
      <c r="AR334" s="67" t="n">
        <v>46121</v>
      </c>
      <c r="AS334" s="67" t="n">
        <v>46334</v>
      </c>
      <c r="AT334" s="50" t="n"/>
      <c r="AU334" s="50" t="n"/>
      <c r="AV334" s="50" t="n"/>
      <c r="AW334" s="49" t="inlineStr">
        <is>
          <t>IF(OR(F334="",AJ334=""),"",IF(COUNT(AI334:AI334)=0,"",AJ334-LOOKUP(2,1/(AI334:AI334&lt;&gt;""),AI334:AI334)))</t>
        </is>
      </c>
      <c r="AX334" s="49" t="inlineStr">
        <is>
          <t>IF(OR(F334="",AK334=""),"",IF(COUNT(AI334:AJ334)=0,"",AK334-LOOKUP(2,1/(AI334:AJ334&lt;&gt;""),AI334:AJ334)))</t>
        </is>
      </c>
      <c r="AY334" s="49" t="inlineStr">
        <is>
          <t>IF(OR(F334="",AL334=""),"",IF(COUNT(AI334:AK334)=0,"",AL334-LOOKUP(2,1/(AI334:AK334&lt;&gt;""),AI334:AK334)))</t>
        </is>
      </c>
      <c r="AZ334" s="49" t="inlineStr">
        <is>
          <t>IF(OR(F334="",AM334=""),"",IF(COUNT(AI334:AL334)=0,"",AM334-LOOKUP(2,1/(AI334:AL334&lt;&gt;""),AI334:AL334)))</t>
        </is>
      </c>
      <c r="BA334" s="49" t="inlineStr">
        <is>
          <t>IF(OR(F334="",AN334=""),"",IF(COUNT(AI334:AM334)=0,"",AN334-LOOKUP(2,1/(AI334:AM334&lt;&gt;""),AI334:AM334)))</t>
        </is>
      </c>
      <c r="BB334" s="49" t="inlineStr">
        <is>
          <t>IF(OR(F334="",AO334=""),"",IF(COUNT(AI334:AN334)=0,"",AO334-LOOKUP(2,1/(AI334:AN334&lt;&gt;""),AI334:AN334)))</t>
        </is>
      </c>
      <c r="BC334" s="49" t="inlineStr">
        <is>
          <t>IF(OR(F334="",AP334=""),"",IF(COUNT(AI334:AO334)=0,"",AP334-LOOKUP(2,1/(AI334:AO334&lt;&gt;""),AI334:AO334)))</t>
        </is>
      </c>
      <c r="BD334" s="49" t="inlineStr">
        <is>
          <t>IF(OR(F334="",AQ334=""),"",IF(COUNT(AI334:AP334)=0,"",AQ334-LOOKUP(2,1/(AI334:AP334&lt;&gt;""),AI334:AP334)))</t>
        </is>
      </c>
      <c r="BE334" s="49" t="inlineStr">
        <is>
          <t>IF(OR(F334="",AR334=""),"",IF(COUNT(AI334:AQ334)=0,"",AR334-LOOKUP(2,1/(AI334:AQ334&lt;&gt;""),AI334:AQ334)))</t>
        </is>
      </c>
      <c r="BF334" s="49" t="inlineStr">
        <is>
          <t>IF(OR(F334="",AS334=""),"",IF(COUNT(AI334:AR334)=0,"",AS334-LOOKUP(2,1/(AI334:AR334&lt;&gt;""),AI334:AR334)))</t>
        </is>
      </c>
      <c r="BG334" s="49" t="inlineStr">
        <is>
          <t>IF(OR(F334="",AT334=""),"",IF(COUNT(AI334:AS334)=0,"",AT334-LOOKUP(2,1/(AI334:AS334&lt;&gt;""),AI334:AS334)))</t>
        </is>
      </c>
      <c r="BH334" s="49" t="inlineStr">
        <is>
          <t>IF(OR(F334="",AU334=""),"",IF(COUNT(AI334:AT334)=0,"",AU334-LOOKUP(2,1/(AI334:AT334&lt;&gt;""),AI334:AT334)))</t>
        </is>
      </c>
      <c r="BI334" s="49" t="inlineStr">
        <is>
          <t>IF(OR(F334="",AV334=""),"",IF(COUNT(AI334:AU334)=0,"",AV334-LOOKUP(2,1/(AI334:AU334&lt;&gt;""),AI334:AU334)))</t>
        </is>
      </c>
      <c r="BJ334" s="51" t="inlineStr">
        <is>
          <t>IF(J334="","All_Provinces",IFERROR(VLOOKUP(J334,'09_Lookups'!$A$4:$B$20,2,FALSE),"All_Provinces"))</t>
        </is>
      </c>
      <c r="BK334" s="51" t="inlineStr">
        <is>
          <t>IF(K334="","All_Districts",IFERROR(VLOOKUP(K334,'09_Lookups'!$E$4:$F$42,2,FALSE),"All_Districts"))</t>
        </is>
      </c>
    </row>
    <row r="335" outlineLevel="1" ht="18" customHeight="1">
      <c r="A335" s="42" t="inlineStr">
        <is>
          <t>IF(F335="","",ROW()-3)</t>
        </is>
      </c>
      <c r="B335" s="63" t="inlineStr">
        <is>
          <t>AF2-WSM-26</t>
        </is>
      </c>
      <c r="C335" s="63" t="inlineStr">
        <is>
          <t>Package # 26 – AF2 WSM: Construction of 6 Check Dams in 6 sites of A. Yawol Ha site # 1 and # 2 in Teshkan District, B. Sewak Dara site # 3, Golaki site # 4 in Darayim District, C. Khanaqa site # 5, and Sum Dara site # 6 in Arghanj Khwah District of Badakhshan Province</t>
        </is>
      </c>
      <c r="D335" s="63" t="inlineStr">
        <is>
          <t>5 of 6</t>
        </is>
      </c>
      <c r="E335" s="44" t="inlineStr">
        <is>
          <t>AF2-WSM-A-054</t>
        </is>
      </c>
      <c r="F335" s="44" t="inlineStr">
        <is>
          <t>5. Khanaqa Check Dam</t>
        </is>
      </c>
      <c r="G335" s="44" t="inlineStr">
        <is>
          <t>Watershed Management</t>
        </is>
      </c>
      <c r="H335" s="44" t="inlineStr">
        <is>
          <t>Check Dam</t>
        </is>
      </c>
      <c r="I335" s="44" t="inlineStr">
        <is>
          <t>Emergency Food Security Project (EFSP) – WBK/AF-2</t>
        </is>
      </c>
      <c r="J335" s="44" t="inlineStr">
        <is>
          <t>Northeast / Kunduz</t>
        </is>
      </c>
      <c r="K335" s="44" t="inlineStr">
        <is>
          <t>Badakhshan</t>
        </is>
      </c>
      <c r="L335" s="44" t="inlineStr">
        <is>
          <t>Arghanj Khwah</t>
        </is>
      </c>
      <c r="M335" s="44" t="inlineStr">
        <is>
          <t>Khanaqa</t>
        </is>
      </c>
      <c r="N335" s="44" t="inlineStr">
        <is>
          <t>World Bank (WBK/AF-2)</t>
        </is>
      </c>
      <c r="O335" s="44" t="inlineStr">
        <is>
          <t>Awarded</t>
        </is>
      </c>
      <c r="P335" s="44" t="inlineStr">
        <is>
          <t>3.WSM awarded contracts</t>
        </is>
      </c>
      <c r="Q335" s="44" t="inlineStr">
        <is>
          <t>Faiz Qurbani Construction Company (FQCC)</t>
        </is>
      </c>
      <c r="R335" s="44" t="inlineStr">
        <is>
          <t>027/2026</t>
        </is>
      </c>
      <c r="S335" s="45" t="n">
        <v>29058.49</v>
      </c>
      <c r="T335" s="46" t="inlineStr">
        <is>
          <t>IF(AQ335="","",AQ335)</t>
        </is>
      </c>
      <c r="U335" s="47" t="n"/>
      <c r="V335" s="48" t="n">
        <v>7</v>
      </c>
      <c r="W335" s="47" t="n">
        <v>46334</v>
      </c>
      <c r="X335" s="46" t="inlineStr">
        <is>
          <t>IF(W335&lt;&gt;"",W335,IF(OR(T335="",V335=""),"",EDATE(T335,V335)))</t>
        </is>
      </c>
      <c r="Y335" s="47" t="n"/>
      <c r="Z335" s="48" t="n">
        <v>0</v>
      </c>
      <c r="AA335" s="44" t="inlineStr">
        <is>
          <t>Awarded</t>
        </is>
      </c>
      <c r="AB335" s="44" t="inlineStr">
        <is>
          <t>Completed on Sep, 2026</t>
        </is>
      </c>
      <c r="AC335" s="42" t="inlineStr">
        <is>
          <t>IF(F335="","",IF(COUNT(AI335:AV335)=0,IF(AA335="","Not started",AA335),SUBSTITUTE(LOOKUP(2,1/(AI335:AV335&lt;&gt;""),$AI$3:$AV$3),"Date: ","")))</t>
        </is>
      </c>
      <c r="AD335" s="49" t="inlineStr">
        <is>
          <t>IF(OR(F335="",COUNT(AI335:AV335)=0),"",TODAY()-LOOKUP(2,1/(AI335:AV335&lt;&gt;""),AI335:AV335))</t>
        </is>
      </c>
      <c r="AE335" s="49" t="inlineStr">
        <is>
          <t>IF(OR(F335="",COUNT(AI335:AV335)&lt;2),"",LOOKUP(2,1/(AI335:AV335&lt;&gt;""),AI335:AV335)-MIN(AI335:AV335))</t>
        </is>
      </c>
      <c r="AF335" s="49" t="inlineStr">
        <is>
          <t>IF(OR(AD335="",AC335="Not started",AC335=""),"",IFERROR(AD335-IF(VLOOKUP(AC335,'06_Status_Pipeline'!$B$3:$E$20,4,FALSE)="",0,VLOOKUP(AC335,'06_Status_Pipeline'!$B$3:$E$20,4,FALSE)),""))</t>
        </is>
      </c>
      <c r="AG335" s="42" t="inlineStr">
        <is>
          <t>IF(F335="","",IF(OR(AA335="Cancelled",AC335="Cancelled"),"Cancelled",IF(OR(AC335="Completed / Handover",Y335&lt;&gt;"",Z335&gt;=100),"Completed — on track",IF(O335="Not awarded",IF(U335="",IF(X335="","No planned date",IF(TODAY()&gt;X335,"Behind — past planned date",IF(X335-TODAY()&lt;=30,"At risk — close to off track","On track"))),IF(TODAY()&gt;U335,"Behind — award date passed",IF(U335-TODAY()&lt;=30,"At risk — close to off track","On track"))),IF(X335="","No planned date",IF(AND(TODAY()&gt;X335,OR(Z335="",Z335&lt;100)),"Behind — past end date",IF(AND(T335&lt;&gt;"",X335&lt;&gt;"",Z335&lt;&gt;"",(Z335&lt;100),((TODAY()-T335)/MAX(X335-T335,1)*100)-Z335&gt;15),"Behind — progress lag",IF(AND(X335-TODAY()&lt;=30,X335-TODAY()&gt;=0,OR(Z335="",Z335&lt;90)),"At risk — close to off track","On track"))))))))</t>
        </is>
      </c>
      <c r="AH335" s="49" t="inlineStr">
        <is>
          <t>IF(OR(F335="",AC335="Completed / Handover",AC335="Cancelled"),"",IF(O335="Not awarded",IF(U335&lt;&gt;"",U335-TODAY(),IF(X335="","",X335-TODAY())),IF(X335="","",X335-TODAY())))</t>
        </is>
      </c>
      <c r="AI335" s="67" t="n"/>
      <c r="AJ335" s="67" t="n"/>
      <c r="AK335" s="67" t="n"/>
      <c r="AL335" s="67" t="n"/>
      <c r="AM335" s="67" t="n"/>
      <c r="AN335" s="67" t="n"/>
      <c r="AO335" s="67" t="n"/>
      <c r="AP335" s="67" t="n"/>
      <c r="AQ335" s="67" t="n">
        <v>46121</v>
      </c>
      <c r="AR335" s="67" t="n"/>
      <c r="AS335" s="67" t="n"/>
      <c r="AT335" s="50" t="n"/>
      <c r="AU335" s="50" t="n"/>
      <c r="AV335" s="50" t="n"/>
      <c r="AW335" s="49" t="inlineStr">
        <is>
          <t>IF(OR(F335="",AJ335=""),"",IF(COUNT(AI335:AI335)=0,"",AJ335-LOOKUP(2,1/(AI335:AI335&lt;&gt;""),AI335:AI335)))</t>
        </is>
      </c>
      <c r="AX335" s="49" t="inlineStr">
        <is>
          <t>IF(OR(F335="",AK335=""),"",IF(COUNT(AI335:AJ335)=0,"",AK335-LOOKUP(2,1/(AI335:AJ335&lt;&gt;""),AI335:AJ335)))</t>
        </is>
      </c>
      <c r="AY335" s="49" t="inlineStr">
        <is>
          <t>IF(OR(F335="",AL335=""),"",IF(COUNT(AI335:AK335)=0,"",AL335-LOOKUP(2,1/(AI335:AK335&lt;&gt;""),AI335:AK335)))</t>
        </is>
      </c>
      <c r="AZ335" s="49" t="inlineStr">
        <is>
          <t>IF(OR(F335="",AM335=""),"",IF(COUNT(AI335:AL335)=0,"",AM335-LOOKUP(2,1/(AI335:AL335&lt;&gt;""),AI335:AL335)))</t>
        </is>
      </c>
      <c r="BA335" s="49" t="inlineStr">
        <is>
          <t>IF(OR(F335="",AN335=""),"",IF(COUNT(AI335:AM335)=0,"",AN335-LOOKUP(2,1/(AI335:AM335&lt;&gt;""),AI335:AM335)))</t>
        </is>
      </c>
      <c r="BB335" s="49" t="inlineStr">
        <is>
          <t>IF(OR(F335="",AO335=""),"",IF(COUNT(AI335:AN335)=0,"",AO335-LOOKUP(2,1/(AI335:AN335&lt;&gt;""),AI335:AN335)))</t>
        </is>
      </c>
      <c r="BC335" s="49" t="inlineStr">
        <is>
          <t>IF(OR(F335="",AP335=""),"",IF(COUNT(AI335:AO335)=0,"",AP335-LOOKUP(2,1/(AI335:AO335&lt;&gt;""),AI335:AO335)))</t>
        </is>
      </c>
      <c r="BD335" s="49" t="inlineStr">
        <is>
          <t>IF(OR(F335="",AQ335=""),"",IF(COUNT(AI335:AP335)=0,"",AQ335-LOOKUP(2,1/(AI335:AP335&lt;&gt;""),AI335:AP335)))</t>
        </is>
      </c>
      <c r="BE335" s="49" t="inlineStr">
        <is>
          <t>IF(OR(F335="",AR335=""),"",IF(COUNT(AI335:AQ335)=0,"",AR335-LOOKUP(2,1/(AI335:AQ335&lt;&gt;""),AI335:AQ335)))</t>
        </is>
      </c>
      <c r="BF335" s="49" t="inlineStr">
        <is>
          <t>IF(OR(F335="",AS335=""),"",IF(COUNT(AI335:AR335)=0,"",AS335-LOOKUP(2,1/(AI335:AR335&lt;&gt;""),AI335:AR335)))</t>
        </is>
      </c>
      <c r="BG335" s="49" t="inlineStr">
        <is>
          <t>IF(OR(F335="",AT335=""),"",IF(COUNT(AI335:AS335)=0,"",AT335-LOOKUP(2,1/(AI335:AS335&lt;&gt;""),AI335:AS335)))</t>
        </is>
      </c>
      <c r="BH335" s="49" t="inlineStr">
        <is>
          <t>IF(OR(F335="",AU335=""),"",IF(COUNT(AI335:AT335)=0,"",AU335-LOOKUP(2,1/(AI335:AT335&lt;&gt;""),AI335:AT335)))</t>
        </is>
      </c>
      <c r="BI335" s="49" t="inlineStr">
        <is>
          <t>IF(OR(F335="",AV335=""),"",IF(COUNT(AI335:AU335)=0,"",AV335-LOOKUP(2,1/(AI335:AU335&lt;&gt;""),AI335:AU335)))</t>
        </is>
      </c>
      <c r="BJ335" s="51" t="inlineStr">
        <is>
          <t>IF(J335="","All_Provinces",IFERROR(VLOOKUP(J335,'09_Lookups'!$A$4:$B$20,2,FALSE),"All_Provinces"))</t>
        </is>
      </c>
      <c r="BK335" s="51" t="inlineStr">
        <is>
          <t>IF(K335="","All_Districts",IFERROR(VLOOKUP(K335,'09_Lookups'!$E$4:$F$42,2,FALSE),"All_Districts"))</t>
        </is>
      </c>
    </row>
    <row r="336" outlineLevel="1" ht="18" customHeight="1">
      <c r="A336" s="42" t="inlineStr">
        <is>
          <t>IF(F336="","",ROW()-3)</t>
        </is>
      </c>
      <c r="B336" s="63" t="inlineStr">
        <is>
          <t>AF2-WSM-26</t>
        </is>
      </c>
      <c r="C336" s="63" t="inlineStr">
        <is>
          <t>Package # 26 – AF2 WSM: Construction of 6 Check Dams in 6 sites of A. Yawol Ha site # 1 and # 2 in Teshkan District, B. Sewak Dara site # 3, Golaki site # 4 in Darayim District, C. Khanaqa site # 5, and Sum Dara site # 6 in Arghanj Khwah District of Badakhshan Province</t>
        </is>
      </c>
      <c r="D336" s="63" t="inlineStr">
        <is>
          <t>6 of 6</t>
        </is>
      </c>
      <c r="E336" s="52" t="inlineStr">
        <is>
          <t>AF2-WSM-A-055</t>
        </is>
      </c>
      <c r="F336" s="52" t="inlineStr">
        <is>
          <t>6. Sum Darra Check Dam</t>
        </is>
      </c>
      <c r="G336" s="52" t="inlineStr">
        <is>
          <t>Watershed Management</t>
        </is>
      </c>
      <c r="H336" s="52" t="inlineStr">
        <is>
          <t>Check Dam</t>
        </is>
      </c>
      <c r="I336" s="52" t="inlineStr">
        <is>
          <t>Emergency Food Security Project (EFSP) – WBK/AF-2</t>
        </is>
      </c>
      <c r="J336" s="52" t="inlineStr">
        <is>
          <t>Northeast / Kunduz</t>
        </is>
      </c>
      <c r="K336" s="52" t="inlineStr">
        <is>
          <t>Badakhshan</t>
        </is>
      </c>
      <c r="L336" s="52" t="inlineStr">
        <is>
          <t>Arghanj Khwah</t>
        </is>
      </c>
      <c r="M336" s="52" t="inlineStr">
        <is>
          <t>Sum Dara</t>
        </is>
      </c>
      <c r="N336" s="52" t="inlineStr">
        <is>
          <t>World Bank (WBK/AF-2)</t>
        </is>
      </c>
      <c r="O336" s="52" t="inlineStr">
        <is>
          <t>Awarded</t>
        </is>
      </c>
      <c r="P336" s="52" t="inlineStr">
        <is>
          <t>3.WSM awarded contracts</t>
        </is>
      </c>
      <c r="Q336" s="52" t="inlineStr">
        <is>
          <t>Faiz Qurbani Construction Company (FQCC)</t>
        </is>
      </c>
      <c r="R336" s="52" t="inlineStr">
        <is>
          <t>027/2026</t>
        </is>
      </c>
      <c r="S336" s="53" t="n">
        <v>31519.9</v>
      </c>
      <c r="T336" s="46" t="inlineStr">
        <is>
          <t>IF(AQ336="","",AQ336)</t>
        </is>
      </c>
      <c r="U336" s="54" t="n"/>
      <c r="V336" s="55" t="n">
        <v>7</v>
      </c>
      <c r="W336" s="54" t="n">
        <v>46334</v>
      </c>
      <c r="X336" s="46" t="inlineStr">
        <is>
          <t>IF(W336&lt;&gt;"",W336,IF(OR(T336="",V336=""),"",EDATE(T336,V336)))</t>
        </is>
      </c>
      <c r="Y336" s="54" t="n"/>
      <c r="Z336" s="55" t="n">
        <v>0</v>
      </c>
      <c r="AA336" s="52" t="inlineStr">
        <is>
          <t>Awarded</t>
        </is>
      </c>
      <c r="AB336" s="52" t="inlineStr">
        <is>
          <t>Completed on Sep, 2026</t>
        </is>
      </c>
      <c r="AC336" s="42" t="inlineStr">
        <is>
          <t>IF(F336="","",IF(COUNT(AI336:AV336)=0,IF(AA336="","Not started",AA336),SUBSTITUTE(LOOKUP(2,1/(AI336:AV336&lt;&gt;""),$AI$3:$AV$3),"Date: ","")))</t>
        </is>
      </c>
      <c r="AD336" s="49" t="inlineStr">
        <is>
          <t>IF(OR(F336="",COUNT(AI336:AV336)=0),"",TODAY()-LOOKUP(2,1/(AI336:AV336&lt;&gt;""),AI336:AV336))</t>
        </is>
      </c>
      <c r="AE336" s="49" t="inlineStr">
        <is>
          <t>IF(OR(F336="",COUNT(AI336:AV336)&lt;2),"",LOOKUP(2,1/(AI336:AV336&lt;&gt;""),AI336:AV336)-MIN(AI336:AV336))</t>
        </is>
      </c>
      <c r="AF336" s="49" t="inlineStr">
        <is>
          <t>IF(OR(AD336="",AC336="Not started",AC336=""),"",IFERROR(AD336-IF(VLOOKUP(AC336,'06_Status_Pipeline'!$B$3:$E$20,4,FALSE)="",0,VLOOKUP(AC336,'06_Status_Pipeline'!$B$3:$E$20,4,FALSE)),""))</t>
        </is>
      </c>
      <c r="AG336" s="42" t="inlineStr">
        <is>
          <t>IF(F336="","",IF(OR(AA336="Cancelled",AC336="Cancelled"),"Cancelled",IF(OR(AC336="Completed / Handover",Y336&lt;&gt;"",Z336&gt;=100),"Completed — on track",IF(O336="Not awarded",IF(U336="",IF(X336="","No planned date",IF(TODAY()&gt;X336,"Behind — past planned date",IF(X336-TODAY()&lt;=30,"At risk — close to off track","On track"))),IF(TODAY()&gt;U336,"Behind — award date passed",IF(U336-TODAY()&lt;=30,"At risk — close to off track","On track"))),IF(X336="","No planned date",IF(AND(TODAY()&gt;X336,OR(Z336="",Z336&lt;100)),"Behind — past end date",IF(AND(T336&lt;&gt;"",X336&lt;&gt;"",Z336&lt;&gt;"",(Z336&lt;100),((TODAY()-T336)/MAX(X336-T336,1)*100)-Z336&gt;15),"Behind — progress lag",IF(AND(X336-TODAY()&lt;=30,X336-TODAY()&gt;=0,OR(Z336="",Z336&lt;90)),"At risk — close to off track","On track"))))))))</t>
        </is>
      </c>
      <c r="AH336" s="49" t="inlineStr">
        <is>
          <t>IF(OR(F336="",AC336="Completed / Handover",AC336="Cancelled"),"",IF(O336="Not awarded",IF(U336&lt;&gt;"",U336-TODAY(),IF(X336="","",X336-TODAY())),IF(X336="","",X336-TODAY())))</t>
        </is>
      </c>
      <c r="AI336" s="67" t="n"/>
      <c r="AJ336" s="67" t="n"/>
      <c r="AK336" s="67" t="n"/>
      <c r="AL336" s="67" t="n"/>
      <c r="AM336" s="67" t="n"/>
      <c r="AN336" s="67" t="n"/>
      <c r="AO336" s="67" t="n"/>
      <c r="AP336" s="67" t="n"/>
      <c r="AQ336" s="67" t="n">
        <v>46121</v>
      </c>
      <c r="AR336" s="67" t="n"/>
      <c r="AS336" s="67" t="n"/>
      <c r="AT336" s="50" t="n"/>
      <c r="AU336" s="50" t="n"/>
      <c r="AV336" s="50" t="n"/>
      <c r="AW336" s="49" t="inlineStr">
        <is>
          <t>IF(OR(F336="",AJ336=""),"",IF(COUNT(AI336:AI336)=0,"",AJ336-LOOKUP(2,1/(AI336:AI336&lt;&gt;""),AI336:AI336)))</t>
        </is>
      </c>
      <c r="AX336" s="49" t="inlineStr">
        <is>
          <t>IF(OR(F336="",AK336=""),"",IF(COUNT(AI336:AJ336)=0,"",AK336-LOOKUP(2,1/(AI336:AJ336&lt;&gt;""),AI336:AJ336)))</t>
        </is>
      </c>
      <c r="AY336" s="49" t="inlineStr">
        <is>
          <t>IF(OR(F336="",AL336=""),"",IF(COUNT(AI336:AK336)=0,"",AL336-LOOKUP(2,1/(AI336:AK336&lt;&gt;""),AI336:AK336)))</t>
        </is>
      </c>
      <c r="AZ336" s="49" t="inlineStr">
        <is>
          <t>IF(OR(F336="",AM336=""),"",IF(COUNT(AI336:AL336)=0,"",AM336-LOOKUP(2,1/(AI336:AL336&lt;&gt;""),AI336:AL336)))</t>
        </is>
      </c>
      <c r="BA336" s="49" t="inlineStr">
        <is>
          <t>IF(OR(F336="",AN336=""),"",IF(COUNT(AI336:AM336)=0,"",AN336-LOOKUP(2,1/(AI336:AM336&lt;&gt;""),AI336:AM336)))</t>
        </is>
      </c>
      <c r="BB336" s="49" t="inlineStr">
        <is>
          <t>IF(OR(F336="",AO336=""),"",IF(COUNT(AI336:AN336)=0,"",AO336-LOOKUP(2,1/(AI336:AN336&lt;&gt;""),AI336:AN336)))</t>
        </is>
      </c>
      <c r="BC336" s="49" t="inlineStr">
        <is>
          <t>IF(OR(F336="",AP336=""),"",IF(COUNT(AI336:AO336)=0,"",AP336-LOOKUP(2,1/(AI336:AO336&lt;&gt;""),AI336:AO336)))</t>
        </is>
      </c>
      <c r="BD336" s="49" t="inlineStr">
        <is>
          <t>IF(OR(F336="",AQ336=""),"",IF(COUNT(AI336:AP336)=0,"",AQ336-LOOKUP(2,1/(AI336:AP336&lt;&gt;""),AI336:AP336)))</t>
        </is>
      </c>
      <c r="BE336" s="49" t="inlineStr">
        <is>
          <t>IF(OR(F336="",AR336=""),"",IF(COUNT(AI336:AQ336)=0,"",AR336-LOOKUP(2,1/(AI336:AQ336&lt;&gt;""),AI336:AQ336)))</t>
        </is>
      </c>
      <c r="BF336" s="49" t="inlineStr">
        <is>
          <t>IF(OR(F336="",AS336=""),"",IF(COUNT(AI336:AR336)=0,"",AS336-LOOKUP(2,1/(AI336:AR336&lt;&gt;""),AI336:AR336)))</t>
        </is>
      </c>
      <c r="BG336" s="49" t="inlineStr">
        <is>
          <t>IF(OR(F336="",AT336=""),"",IF(COUNT(AI336:AS336)=0,"",AT336-LOOKUP(2,1/(AI336:AS336&lt;&gt;""),AI336:AS336)))</t>
        </is>
      </c>
      <c r="BH336" s="49" t="inlineStr">
        <is>
          <t>IF(OR(F336="",AU336=""),"",IF(COUNT(AI336:AT336)=0,"",AU336-LOOKUP(2,1/(AI336:AT336&lt;&gt;""),AI336:AT336)))</t>
        </is>
      </c>
      <c r="BI336" s="49" t="inlineStr">
        <is>
          <t>IF(OR(F336="",AV336=""),"",IF(COUNT(AI336:AU336)=0,"",AV336-LOOKUP(2,1/(AI336:AU336&lt;&gt;""),AI336:AU336)))</t>
        </is>
      </c>
      <c r="BJ336" s="51" t="inlineStr">
        <is>
          <t>IF(J336="","All_Provinces",IFERROR(VLOOKUP(J336,'09_Lookups'!$A$4:$B$20,2,FALSE),"All_Provinces"))</t>
        </is>
      </c>
      <c r="BK336" s="51" t="inlineStr">
        <is>
          <t>IF(K336="","All_Districts",IFERROR(VLOOKUP(K336,'09_Lookups'!$E$4:$F$42,2,FALSE),"All_Districts"))</t>
        </is>
      </c>
    </row>
    <row r="337" ht="18" customHeight="1">
      <c r="A337" s="32" t="inlineStr">
        <is>
          <t>IF(F337="","",ROW()-3)</t>
        </is>
      </c>
      <c r="B337" s="64" t="inlineStr">
        <is>
          <t>AF2-WSM-27</t>
        </is>
      </c>
      <c r="C337" s="64" t="inlineStr">
        <is>
          <t>Package #27-AF2 WSM: Construction of 5 Check Dams in 5 district sites of 1. Sholish Darra in Namak Ab, 2.Gaji Darra in Hazar Sumoch, 3.Silaba in Khwaja Ghar, 4.Shoor Toghai in Khwaja Bahawudd in and 5.Khalyazi in Yangi Qala districts of Takhar province.</t>
        </is>
      </c>
      <c r="D337" s="64" t="inlineStr">
        <is>
          <t>1 of 5</t>
        </is>
      </c>
      <c r="E337" s="57" t="inlineStr">
        <is>
          <t>AF2-WSM-A-056</t>
        </is>
      </c>
      <c r="F337" s="57" t="inlineStr">
        <is>
          <t>1.Sholish Darra Check Dam</t>
        </is>
      </c>
      <c r="G337" s="57" t="inlineStr">
        <is>
          <t>Watershed Management</t>
        </is>
      </c>
      <c r="H337" s="57" t="inlineStr">
        <is>
          <t>Check Dam</t>
        </is>
      </c>
      <c r="I337" s="57" t="inlineStr">
        <is>
          <t>Emergency Food Security Project (EFSP) – WBK/AF-2</t>
        </is>
      </c>
      <c r="J337" s="57" t="inlineStr">
        <is>
          <t>Northeast / Kunduz</t>
        </is>
      </c>
      <c r="K337" s="57" t="inlineStr">
        <is>
          <t>Takhar</t>
        </is>
      </c>
      <c r="L337" s="57" t="inlineStr">
        <is>
          <t>Namak Ab</t>
        </is>
      </c>
      <c r="M337" s="57" t="inlineStr">
        <is>
          <t>Sholish Darra</t>
        </is>
      </c>
      <c r="N337" s="57" t="inlineStr">
        <is>
          <t>World Bank (WBK/AF-2)</t>
        </is>
      </c>
      <c r="O337" s="57" t="inlineStr">
        <is>
          <t>Awarded</t>
        </is>
      </c>
      <c r="P337" s="57" t="inlineStr">
        <is>
          <t>3.WSM awarded contracts</t>
        </is>
      </c>
      <c r="Q337" s="57" t="inlineStr">
        <is>
          <t>Shafiqullah Wahidi Construction Company (SWCC)</t>
        </is>
      </c>
      <c r="R337" s="57" t="inlineStr">
        <is>
          <t>037/2026</t>
        </is>
      </c>
      <c r="S337" s="58" t="n">
        <v>29465.27</v>
      </c>
      <c r="T337" s="36" t="inlineStr">
        <is>
          <t>IF(AQ337="","",AQ337)</t>
        </is>
      </c>
      <c r="U337" s="59" t="n"/>
      <c r="V337" s="60" t="n">
        <v>6</v>
      </c>
      <c r="W337" s="59" t="n">
        <v>46346</v>
      </c>
      <c r="X337" s="36" t="inlineStr">
        <is>
          <t>IF(W337&lt;&gt;"",W337,IF(OR(T337="",V337=""),"",EDATE(T337,V337)))</t>
        </is>
      </c>
      <c r="Y337" s="59" t="n"/>
      <c r="Z337" s="60" t="n">
        <v>0</v>
      </c>
      <c r="AA337" s="57" t="inlineStr">
        <is>
          <t>Awarded</t>
        </is>
      </c>
      <c r="AB337" s="57" t="inlineStr">
        <is>
          <t>Completed on Sep, 2026</t>
        </is>
      </c>
      <c r="AC337" s="32" t="inlineStr">
        <is>
          <t>IF(F337="","",IF(COUNT(AI337:AV337)=0,IF(AA337="","Not started",AA337),SUBSTITUTE(LOOKUP(2,1/(AI337:AV337&lt;&gt;""),$AI$3:$AV$3),"Date: ","")))</t>
        </is>
      </c>
      <c r="AD337" s="39" t="inlineStr">
        <is>
          <t>IF(OR(F337="",COUNT(AI337:AV337)=0),"",TODAY()-LOOKUP(2,1/(AI337:AV337&lt;&gt;""),AI337:AV337))</t>
        </is>
      </c>
      <c r="AE337" s="39" t="inlineStr">
        <is>
          <t>IF(OR(F337="",COUNT(AI337:AV337)&lt;2),"",LOOKUP(2,1/(AI337:AV337&lt;&gt;""),AI337:AV337)-MIN(AI337:AV337))</t>
        </is>
      </c>
      <c r="AF337" s="39" t="inlineStr">
        <is>
          <t>IF(OR(AD337="",AC337="Not started",AC337=""),"",IFERROR(AD337-IF(VLOOKUP(AC337,'06_Status_Pipeline'!$B$3:$E$20,4,FALSE)="",0,VLOOKUP(AC337,'06_Status_Pipeline'!$B$3:$E$20,4,FALSE)),""))</t>
        </is>
      </c>
      <c r="AG337" s="32" t="inlineStr">
        <is>
          <t>IF(F337="","",IF(OR(AA337="Cancelled",AC337="Cancelled"),"Cancelled",IF(OR(AC337="Completed / Handover",Y337&lt;&gt;"",Z337&gt;=100),"Completed — on track",IF(O337="Not awarded",IF(U337="",IF(X337="","No planned date",IF(TODAY()&gt;X337,"Behind — past planned date",IF(X337-TODAY()&lt;=30,"At risk — close to off track","On track"))),IF(TODAY()&gt;U337,"Behind — award date passed",IF(U337-TODAY()&lt;=30,"At risk — close to off track","On track"))),IF(X337="","No planned date",IF(AND(TODAY()&gt;X337,OR(Z337="",Z337&lt;100)),"Behind — past end date",IF(AND(T337&lt;&gt;"",X337&lt;&gt;"",Z337&lt;&gt;"",(Z337&lt;100),((TODAY()-T337)/MAX(X337-T337,1)*100)-Z337&gt;15),"Behind — progress lag",IF(AND(X337-TODAY()&lt;=30,X337-TODAY()&gt;=0,OR(Z337="",Z337&lt;90)),"At risk — close to off track","On track"))))))))</t>
        </is>
      </c>
      <c r="AH337" s="39" t="inlineStr">
        <is>
          <t>IF(OR(F337="",AC337="Completed / Handover",AC337="Cancelled"),"",IF(O337="Not awarded",IF(U337&lt;&gt;"",U337-TODAY(),IF(X337="","",X337-TODAY())),IF(X337="","",X337-TODAY())))</t>
        </is>
      </c>
      <c r="AI337" s="66" t="n"/>
      <c r="AJ337" s="66" t="n"/>
      <c r="AK337" s="66" t="n"/>
      <c r="AL337" s="66" t="n"/>
      <c r="AM337" s="66" t="n"/>
      <c r="AN337" s="66" t="n"/>
      <c r="AO337" s="66" t="n"/>
      <c r="AP337" s="66" t="n"/>
      <c r="AQ337" s="66" t="n">
        <v>46163</v>
      </c>
      <c r="AR337" s="66" t="n"/>
      <c r="AS337" s="66" t="n"/>
      <c r="AT337" s="40" t="n"/>
      <c r="AU337" s="40" t="n"/>
      <c r="AV337" s="40" t="n"/>
      <c r="AW337" s="39" t="inlineStr">
        <is>
          <t>IF(OR(F337="",AJ337=""),"",IF(COUNT(AI337:AI337)=0,"",AJ337-LOOKUP(2,1/(AI337:AI337&lt;&gt;""),AI337:AI337)))</t>
        </is>
      </c>
      <c r="AX337" s="39" t="inlineStr">
        <is>
          <t>IF(OR(F337="",AK337=""),"",IF(COUNT(AI337:AJ337)=0,"",AK337-LOOKUP(2,1/(AI337:AJ337&lt;&gt;""),AI337:AJ337)))</t>
        </is>
      </c>
      <c r="AY337" s="39" t="inlineStr">
        <is>
          <t>IF(OR(F337="",AL337=""),"",IF(COUNT(AI337:AK337)=0,"",AL337-LOOKUP(2,1/(AI337:AK337&lt;&gt;""),AI337:AK337)))</t>
        </is>
      </c>
      <c r="AZ337" s="39" t="inlineStr">
        <is>
          <t>IF(OR(F337="",AM337=""),"",IF(COUNT(AI337:AL337)=0,"",AM337-LOOKUP(2,1/(AI337:AL337&lt;&gt;""),AI337:AL337)))</t>
        </is>
      </c>
      <c r="BA337" s="39" t="inlineStr">
        <is>
          <t>IF(OR(F337="",AN337=""),"",IF(COUNT(AI337:AM337)=0,"",AN337-LOOKUP(2,1/(AI337:AM337&lt;&gt;""),AI337:AM337)))</t>
        </is>
      </c>
      <c r="BB337" s="39" t="inlineStr">
        <is>
          <t>IF(OR(F337="",AO337=""),"",IF(COUNT(AI337:AN337)=0,"",AO337-LOOKUP(2,1/(AI337:AN337&lt;&gt;""),AI337:AN337)))</t>
        </is>
      </c>
      <c r="BC337" s="39" t="inlineStr">
        <is>
          <t>IF(OR(F337="",AP337=""),"",IF(COUNT(AI337:AO337)=0,"",AP337-LOOKUP(2,1/(AI337:AO337&lt;&gt;""),AI337:AO337)))</t>
        </is>
      </c>
      <c r="BD337" s="39" t="inlineStr">
        <is>
          <t>IF(OR(F337="",AQ337=""),"",IF(COUNT(AI337:AP337)=0,"",AQ337-LOOKUP(2,1/(AI337:AP337&lt;&gt;""),AI337:AP337)))</t>
        </is>
      </c>
      <c r="BE337" s="39" t="inlineStr">
        <is>
          <t>IF(OR(F337="",AR337=""),"",IF(COUNT(AI337:AQ337)=0,"",AR337-LOOKUP(2,1/(AI337:AQ337&lt;&gt;""),AI337:AQ337)))</t>
        </is>
      </c>
      <c r="BF337" s="39" t="inlineStr">
        <is>
          <t>IF(OR(F337="",AS337=""),"",IF(COUNT(AI337:AR337)=0,"",AS337-LOOKUP(2,1/(AI337:AR337&lt;&gt;""),AI337:AR337)))</t>
        </is>
      </c>
      <c r="BG337" s="39" t="inlineStr">
        <is>
          <t>IF(OR(F337="",AT337=""),"",IF(COUNT(AI337:AS337)=0,"",AT337-LOOKUP(2,1/(AI337:AS337&lt;&gt;""),AI337:AS337)))</t>
        </is>
      </c>
      <c r="BH337" s="39" t="inlineStr">
        <is>
          <t>IF(OR(F337="",AU337=""),"",IF(COUNT(AI337:AT337)=0,"",AU337-LOOKUP(2,1/(AI337:AT337&lt;&gt;""),AI337:AT337)))</t>
        </is>
      </c>
      <c r="BI337" s="39" t="inlineStr">
        <is>
          <t>IF(OR(F337="",AV337=""),"",IF(COUNT(AI337:AU337)=0,"",AV337-LOOKUP(2,1/(AI337:AU337&lt;&gt;""),AI337:AU337)))</t>
        </is>
      </c>
      <c r="BJ337" s="41" t="inlineStr">
        <is>
          <t>IF(J337="","All_Provinces",IFERROR(VLOOKUP(J337,'09_Lookups'!$A$4:$B$20,2,FALSE),"All_Provinces"))</t>
        </is>
      </c>
      <c r="BK337" s="41" t="inlineStr">
        <is>
          <t>IF(K337="","All_Districts",IFERROR(VLOOKUP(K337,'09_Lookups'!$E$4:$F$42,2,FALSE),"All_Districts"))</t>
        </is>
      </c>
    </row>
    <row r="338" outlineLevel="1" ht="18" customHeight="1">
      <c r="A338" s="42" t="inlineStr">
        <is>
          <t>IF(F338="","",ROW()-3)</t>
        </is>
      </c>
      <c r="B338" s="65" t="inlineStr">
        <is>
          <t>AF2-WSM-27</t>
        </is>
      </c>
      <c r="C338" s="65" t="inlineStr">
        <is>
          <t>Package #27-AF2 WSM: Construction of 5 Check Dams in 5 district sites of 1. Sholish Darra in Namak Ab, 2.Gaji Darra in Hazar Sumoch, 3.Silaba in Khwaja Ghar, 4.Shoor Toghai in Khwaja Bahawudd in and 5.Khalyazi in Yangi Qala districts of Takhar province.</t>
        </is>
      </c>
      <c r="D338" s="65" t="inlineStr">
        <is>
          <t>2 of 5</t>
        </is>
      </c>
      <c r="E338" s="52" t="inlineStr">
        <is>
          <t>AF2-WSM-A-057</t>
        </is>
      </c>
      <c r="F338" s="52" t="inlineStr">
        <is>
          <t>2.Gaji Darra Check Dam</t>
        </is>
      </c>
      <c r="G338" s="52" t="inlineStr">
        <is>
          <t>Watershed Management</t>
        </is>
      </c>
      <c r="H338" s="52" t="inlineStr">
        <is>
          <t>Check Dam</t>
        </is>
      </c>
      <c r="I338" s="52" t="inlineStr">
        <is>
          <t>Emergency Food Security Project (EFSP) – WBK/AF-2</t>
        </is>
      </c>
      <c r="J338" s="52" t="inlineStr">
        <is>
          <t>Northeast / Kunduz</t>
        </is>
      </c>
      <c r="K338" s="52" t="inlineStr">
        <is>
          <t>Takhar</t>
        </is>
      </c>
      <c r="L338" s="52" t="inlineStr">
        <is>
          <t>Hazar Sumoch</t>
        </is>
      </c>
      <c r="M338" s="52" t="inlineStr">
        <is>
          <t>Gaji Darra</t>
        </is>
      </c>
      <c r="N338" s="52" t="inlineStr">
        <is>
          <t>World Bank (WBK/AF-2)</t>
        </is>
      </c>
      <c r="O338" s="52" t="inlineStr">
        <is>
          <t>Awarded</t>
        </is>
      </c>
      <c r="P338" s="52" t="inlineStr">
        <is>
          <t>3.WSM awarded contracts</t>
        </is>
      </c>
      <c r="Q338" s="52" t="inlineStr">
        <is>
          <t>Shafiqullah Wahidi Construction Company (SWCC)</t>
        </is>
      </c>
      <c r="R338" s="52" t="inlineStr">
        <is>
          <t>037/2026</t>
        </is>
      </c>
      <c r="S338" s="53" t="n">
        <v>28776.59</v>
      </c>
      <c r="T338" s="46" t="inlineStr">
        <is>
          <t>IF(AQ338="","",AQ338)</t>
        </is>
      </c>
      <c r="U338" s="54" t="n"/>
      <c r="V338" s="55" t="n">
        <v>6</v>
      </c>
      <c r="W338" s="54" t="n">
        <v>46346</v>
      </c>
      <c r="X338" s="46" t="inlineStr">
        <is>
          <t>IF(W338&lt;&gt;"",W338,IF(OR(T338="",V338=""),"",EDATE(T338,V338)))</t>
        </is>
      </c>
      <c r="Y338" s="54" t="n"/>
      <c r="Z338" s="55" t="n">
        <v>0</v>
      </c>
      <c r="AA338" s="52" t="inlineStr">
        <is>
          <t>Awarded</t>
        </is>
      </c>
      <c r="AB338" s="52" t="inlineStr">
        <is>
          <t>Completed on Sep, 2026</t>
        </is>
      </c>
      <c r="AC338" s="42" t="inlineStr">
        <is>
          <t>IF(F338="","",IF(COUNT(AI338:AV338)=0,IF(AA338="","Not started",AA338),SUBSTITUTE(LOOKUP(2,1/(AI338:AV338&lt;&gt;""),$AI$3:$AV$3),"Date: ","")))</t>
        </is>
      </c>
      <c r="AD338" s="49" t="inlineStr">
        <is>
          <t>IF(OR(F338="",COUNT(AI338:AV338)=0),"",TODAY()-LOOKUP(2,1/(AI338:AV338&lt;&gt;""),AI338:AV338))</t>
        </is>
      </c>
      <c r="AE338" s="49" t="inlineStr">
        <is>
          <t>IF(OR(F338="",COUNT(AI338:AV338)&lt;2),"",LOOKUP(2,1/(AI338:AV338&lt;&gt;""),AI338:AV338)-MIN(AI338:AV338))</t>
        </is>
      </c>
      <c r="AF338" s="49" t="inlineStr">
        <is>
          <t>IF(OR(AD338="",AC338="Not started",AC338=""),"",IFERROR(AD338-IF(VLOOKUP(AC338,'06_Status_Pipeline'!$B$3:$E$20,4,FALSE)="",0,VLOOKUP(AC338,'06_Status_Pipeline'!$B$3:$E$20,4,FALSE)),""))</t>
        </is>
      </c>
      <c r="AG338" s="42" t="inlineStr">
        <is>
          <t>IF(F338="","",IF(OR(AA338="Cancelled",AC338="Cancelled"),"Cancelled",IF(OR(AC338="Completed / Handover",Y338&lt;&gt;"",Z338&gt;=100),"Completed — on track",IF(O338="Not awarded",IF(U338="",IF(X338="","No planned date",IF(TODAY()&gt;X338,"Behind — past planned date",IF(X338-TODAY()&lt;=30,"At risk — close to off track","On track"))),IF(TODAY()&gt;U338,"Behind — award date passed",IF(U338-TODAY()&lt;=30,"At risk — close to off track","On track"))),IF(X338="","No planned date",IF(AND(TODAY()&gt;X338,OR(Z338="",Z338&lt;100)),"Behind — past end date",IF(AND(T338&lt;&gt;"",X338&lt;&gt;"",Z338&lt;&gt;"",(Z338&lt;100),((TODAY()-T338)/MAX(X338-T338,1)*100)-Z338&gt;15),"Behind — progress lag",IF(AND(X338-TODAY()&lt;=30,X338-TODAY()&gt;=0,OR(Z338="",Z338&lt;90)),"At risk — close to off track","On track"))))))))</t>
        </is>
      </c>
      <c r="AH338" s="49" t="inlineStr">
        <is>
          <t>IF(OR(F338="",AC338="Completed / Handover",AC338="Cancelled"),"",IF(O338="Not awarded",IF(U338&lt;&gt;"",U338-TODAY(),IF(X338="","",X338-TODAY())),IF(X338="","",X338-TODAY())))</t>
        </is>
      </c>
      <c r="AI338" s="67" t="n"/>
      <c r="AJ338" s="67" t="n"/>
      <c r="AK338" s="67" t="n"/>
      <c r="AL338" s="67" t="n"/>
      <c r="AM338" s="67" t="n"/>
      <c r="AN338" s="67" t="n"/>
      <c r="AO338" s="67" t="n"/>
      <c r="AP338" s="67" t="n"/>
      <c r="AQ338" s="67" t="n">
        <v>46163</v>
      </c>
      <c r="AR338" s="67" t="n"/>
      <c r="AS338" s="67" t="n"/>
      <c r="AT338" s="50" t="n"/>
      <c r="AU338" s="50" t="n"/>
      <c r="AV338" s="50" t="n"/>
      <c r="AW338" s="49" t="inlineStr">
        <is>
          <t>IF(OR(F338="",AJ338=""),"",IF(COUNT(AI338:AI338)=0,"",AJ338-LOOKUP(2,1/(AI338:AI338&lt;&gt;""),AI338:AI338)))</t>
        </is>
      </c>
      <c r="AX338" s="49" t="inlineStr">
        <is>
          <t>IF(OR(F338="",AK338=""),"",IF(COUNT(AI338:AJ338)=0,"",AK338-LOOKUP(2,1/(AI338:AJ338&lt;&gt;""),AI338:AJ338)))</t>
        </is>
      </c>
      <c r="AY338" s="49" t="inlineStr">
        <is>
          <t>IF(OR(F338="",AL338=""),"",IF(COUNT(AI338:AK338)=0,"",AL338-LOOKUP(2,1/(AI338:AK338&lt;&gt;""),AI338:AK338)))</t>
        </is>
      </c>
      <c r="AZ338" s="49" t="inlineStr">
        <is>
          <t>IF(OR(F338="",AM338=""),"",IF(COUNT(AI338:AL338)=0,"",AM338-LOOKUP(2,1/(AI338:AL338&lt;&gt;""),AI338:AL338)))</t>
        </is>
      </c>
      <c r="BA338" s="49" t="inlineStr">
        <is>
          <t>IF(OR(F338="",AN338=""),"",IF(COUNT(AI338:AM338)=0,"",AN338-LOOKUP(2,1/(AI338:AM338&lt;&gt;""),AI338:AM338)))</t>
        </is>
      </c>
      <c r="BB338" s="49" t="inlineStr">
        <is>
          <t>IF(OR(F338="",AO338=""),"",IF(COUNT(AI338:AN338)=0,"",AO338-LOOKUP(2,1/(AI338:AN338&lt;&gt;""),AI338:AN338)))</t>
        </is>
      </c>
      <c r="BC338" s="49" t="inlineStr">
        <is>
          <t>IF(OR(F338="",AP338=""),"",IF(COUNT(AI338:AO338)=0,"",AP338-LOOKUP(2,1/(AI338:AO338&lt;&gt;""),AI338:AO338)))</t>
        </is>
      </c>
      <c r="BD338" s="49" t="inlineStr">
        <is>
          <t>IF(OR(F338="",AQ338=""),"",IF(COUNT(AI338:AP338)=0,"",AQ338-LOOKUP(2,1/(AI338:AP338&lt;&gt;""),AI338:AP338)))</t>
        </is>
      </c>
      <c r="BE338" s="49" t="inlineStr">
        <is>
          <t>IF(OR(F338="",AR338=""),"",IF(COUNT(AI338:AQ338)=0,"",AR338-LOOKUP(2,1/(AI338:AQ338&lt;&gt;""),AI338:AQ338)))</t>
        </is>
      </c>
      <c r="BF338" s="49" t="inlineStr">
        <is>
          <t>IF(OR(F338="",AS338=""),"",IF(COUNT(AI338:AR338)=0,"",AS338-LOOKUP(2,1/(AI338:AR338&lt;&gt;""),AI338:AR338)))</t>
        </is>
      </c>
      <c r="BG338" s="49" t="inlineStr">
        <is>
          <t>IF(OR(F338="",AT338=""),"",IF(COUNT(AI338:AS338)=0,"",AT338-LOOKUP(2,1/(AI338:AS338&lt;&gt;""),AI338:AS338)))</t>
        </is>
      </c>
      <c r="BH338" s="49" t="inlineStr">
        <is>
          <t>IF(OR(F338="",AU338=""),"",IF(COUNT(AI338:AT338)=0,"",AU338-LOOKUP(2,1/(AI338:AT338&lt;&gt;""),AI338:AT338)))</t>
        </is>
      </c>
      <c r="BI338" s="49" t="inlineStr">
        <is>
          <t>IF(OR(F338="",AV338=""),"",IF(COUNT(AI338:AU338)=0,"",AV338-LOOKUP(2,1/(AI338:AU338&lt;&gt;""),AI338:AU338)))</t>
        </is>
      </c>
      <c r="BJ338" s="51" t="inlineStr">
        <is>
          <t>IF(J338="","All_Provinces",IFERROR(VLOOKUP(J338,'09_Lookups'!$A$4:$B$20,2,FALSE),"All_Provinces"))</t>
        </is>
      </c>
      <c r="BK338" s="51" t="inlineStr">
        <is>
          <t>IF(K338="","All_Districts",IFERROR(VLOOKUP(K338,'09_Lookups'!$E$4:$F$42,2,FALSE),"All_Districts"))</t>
        </is>
      </c>
    </row>
    <row r="339" outlineLevel="1" ht="18" customHeight="1">
      <c r="A339" s="42" t="inlineStr">
        <is>
          <t>IF(F339="","",ROW()-3)</t>
        </is>
      </c>
      <c r="B339" s="65" t="inlineStr">
        <is>
          <t>AF2-WSM-27</t>
        </is>
      </c>
      <c r="C339" s="65" t="inlineStr">
        <is>
          <t>Package #27-AF2 WSM: Construction of 5 Check Dams in 5 district sites of 1. Sholish Darra in Namak Ab, 2.Gaji Darra in Hazar Sumoch, 3.Silaba in Khwaja Ghar, 4.Shoor Toghai in Khwaja Bahawudd in and 5.Khalyazi in Yangi Qala districts of Takhar province.</t>
        </is>
      </c>
      <c r="D339" s="65" t="inlineStr">
        <is>
          <t>3 of 5</t>
        </is>
      </c>
      <c r="E339" s="44" t="inlineStr">
        <is>
          <t>AF2-WSM-A-058</t>
        </is>
      </c>
      <c r="F339" s="44" t="inlineStr">
        <is>
          <t>3.Silaba Check Dam</t>
        </is>
      </c>
      <c r="G339" s="44" t="inlineStr">
        <is>
          <t>Watershed Management</t>
        </is>
      </c>
      <c r="H339" s="44" t="inlineStr">
        <is>
          <t>Check Dam</t>
        </is>
      </c>
      <c r="I339" s="44" t="inlineStr">
        <is>
          <t>Emergency Food Security Project (EFSP) – WBK/AF-2</t>
        </is>
      </c>
      <c r="J339" s="44" t="inlineStr">
        <is>
          <t>Northeast / Kunduz</t>
        </is>
      </c>
      <c r="K339" s="44" t="inlineStr">
        <is>
          <t>Takhar</t>
        </is>
      </c>
      <c r="L339" s="44" t="inlineStr">
        <is>
          <t>Khwaja Ghar</t>
        </is>
      </c>
      <c r="M339" s="44" t="inlineStr">
        <is>
          <t>Charagh Sai-e, Silaba</t>
        </is>
      </c>
      <c r="N339" s="44" t="inlineStr">
        <is>
          <t>World Bank (WBK/AF-2)</t>
        </is>
      </c>
      <c r="O339" s="44" t="inlineStr">
        <is>
          <t>Awarded</t>
        </is>
      </c>
      <c r="P339" s="44" t="inlineStr">
        <is>
          <t>3.WSM awarded contracts</t>
        </is>
      </c>
      <c r="Q339" s="44" t="inlineStr">
        <is>
          <t>Shafiqullah Wahidi Construction Company (SWCC)</t>
        </is>
      </c>
      <c r="R339" s="44" t="inlineStr">
        <is>
          <t>037/2026</t>
        </is>
      </c>
      <c r="S339" s="45" t="n">
        <v>17455.39</v>
      </c>
      <c r="T339" s="46" t="inlineStr">
        <is>
          <t>IF(AQ339="","",AQ339)</t>
        </is>
      </c>
      <c r="U339" s="47" t="n"/>
      <c r="V339" s="48" t="n">
        <v>6</v>
      </c>
      <c r="W339" s="47" t="n">
        <v>46346</v>
      </c>
      <c r="X339" s="46" t="inlineStr">
        <is>
          <t>IF(W339&lt;&gt;"",W339,IF(OR(T339="",V339=""),"",EDATE(T339,V339)))</t>
        </is>
      </c>
      <c r="Y339" s="47" t="n"/>
      <c r="Z339" s="48" t="n">
        <v>100</v>
      </c>
      <c r="AA339" s="44" t="inlineStr">
        <is>
          <t>Completed / Handover</t>
        </is>
      </c>
      <c r="AB339" s="44" t="inlineStr">
        <is>
          <t>Completed on Sep, 2026</t>
        </is>
      </c>
      <c r="AC339" s="42" t="inlineStr">
        <is>
          <t>IF(F339="","",IF(COUNT(AI339:AV339)=0,IF(AA339="","Not started",AA339),SUBSTITUTE(LOOKUP(2,1/(AI339:AV339&lt;&gt;""),$AI$3:$AV$3),"Date: ","")))</t>
        </is>
      </c>
      <c r="AD339" s="49" t="inlineStr">
        <is>
          <t>IF(OR(F339="",COUNT(AI339:AV339)=0),"",TODAY()-LOOKUP(2,1/(AI339:AV339&lt;&gt;""),AI339:AV339))</t>
        </is>
      </c>
      <c r="AE339" s="49" t="inlineStr">
        <is>
          <t>IF(OR(F339="",COUNT(AI339:AV339)&lt;2),"",LOOKUP(2,1/(AI339:AV339&lt;&gt;""),AI339:AV339)-MIN(AI339:AV339))</t>
        </is>
      </c>
      <c r="AF339" s="49" t="inlineStr">
        <is>
          <t>IF(OR(AD339="",AC339="Not started",AC339=""),"",IFERROR(AD339-IF(VLOOKUP(AC339,'06_Status_Pipeline'!$B$3:$E$20,4,FALSE)="",0,VLOOKUP(AC339,'06_Status_Pipeline'!$B$3:$E$20,4,FALSE)),""))</t>
        </is>
      </c>
      <c r="AG339" s="42" t="inlineStr">
        <is>
          <t>IF(F339="","",IF(OR(AA339="Cancelled",AC339="Cancelled"),"Cancelled",IF(OR(AC339="Completed / Handover",Y339&lt;&gt;"",Z339&gt;=100),"Completed — on track",IF(O339="Not awarded",IF(U339="",IF(X339="","No planned date",IF(TODAY()&gt;X339,"Behind — past planned date",IF(X339-TODAY()&lt;=30,"At risk — close to off track","On track"))),IF(TODAY()&gt;U339,"Behind — award date passed",IF(U339-TODAY()&lt;=30,"At risk — close to off track","On track"))),IF(X339="","No planned date",IF(AND(TODAY()&gt;X339,OR(Z339="",Z339&lt;100)),"Behind — past end date",IF(AND(T339&lt;&gt;"",X339&lt;&gt;"",Z339&lt;&gt;"",(Z339&lt;100),((TODAY()-T339)/MAX(X339-T339,1)*100)-Z339&gt;15),"Behind — progress lag",IF(AND(X339-TODAY()&lt;=30,X339-TODAY()&gt;=0,OR(Z339="",Z339&lt;90)),"At risk — close to off track","On track"))))))))</t>
        </is>
      </c>
      <c r="AH339" s="49" t="inlineStr">
        <is>
          <t>IF(OR(F339="",AC339="Completed / Handover",AC339="Cancelled"),"",IF(O339="Not awarded",IF(U339&lt;&gt;"",U339-TODAY(),IF(X339="","",X339-TODAY())),IF(X339="","",X339-TODAY())))</t>
        </is>
      </c>
      <c r="AI339" s="67" t="n"/>
      <c r="AJ339" s="67" t="n"/>
      <c r="AK339" s="67" t="n"/>
      <c r="AL339" s="67" t="n"/>
      <c r="AM339" s="67" t="n"/>
      <c r="AN339" s="67" t="n"/>
      <c r="AO339" s="67" t="n"/>
      <c r="AP339" s="67" t="n"/>
      <c r="AQ339" s="67" t="n">
        <v>46163</v>
      </c>
      <c r="AR339" s="67" t="n">
        <v>46163</v>
      </c>
      <c r="AS339" s="67" t="n">
        <v>46346</v>
      </c>
      <c r="AT339" s="50" t="n"/>
      <c r="AU339" s="50" t="n"/>
      <c r="AV339" s="50" t="n"/>
      <c r="AW339" s="49" t="inlineStr">
        <is>
          <t>IF(OR(F339="",AJ339=""),"",IF(COUNT(AI339:AI339)=0,"",AJ339-LOOKUP(2,1/(AI339:AI339&lt;&gt;""),AI339:AI339)))</t>
        </is>
      </c>
      <c r="AX339" s="49" t="inlineStr">
        <is>
          <t>IF(OR(F339="",AK339=""),"",IF(COUNT(AI339:AJ339)=0,"",AK339-LOOKUP(2,1/(AI339:AJ339&lt;&gt;""),AI339:AJ339)))</t>
        </is>
      </c>
      <c r="AY339" s="49" t="inlineStr">
        <is>
          <t>IF(OR(F339="",AL339=""),"",IF(COUNT(AI339:AK339)=0,"",AL339-LOOKUP(2,1/(AI339:AK339&lt;&gt;""),AI339:AK339)))</t>
        </is>
      </c>
      <c r="AZ339" s="49" t="inlineStr">
        <is>
          <t>IF(OR(F339="",AM339=""),"",IF(COUNT(AI339:AL339)=0,"",AM339-LOOKUP(2,1/(AI339:AL339&lt;&gt;""),AI339:AL339)))</t>
        </is>
      </c>
      <c r="BA339" s="49" t="inlineStr">
        <is>
          <t>IF(OR(F339="",AN339=""),"",IF(COUNT(AI339:AM339)=0,"",AN339-LOOKUP(2,1/(AI339:AM339&lt;&gt;""),AI339:AM339)))</t>
        </is>
      </c>
      <c r="BB339" s="49" t="inlineStr">
        <is>
          <t>IF(OR(F339="",AO339=""),"",IF(COUNT(AI339:AN339)=0,"",AO339-LOOKUP(2,1/(AI339:AN339&lt;&gt;""),AI339:AN339)))</t>
        </is>
      </c>
      <c r="BC339" s="49" t="inlineStr">
        <is>
          <t>IF(OR(F339="",AP339=""),"",IF(COUNT(AI339:AO339)=0,"",AP339-LOOKUP(2,1/(AI339:AO339&lt;&gt;""),AI339:AO339)))</t>
        </is>
      </c>
      <c r="BD339" s="49" t="inlineStr">
        <is>
          <t>IF(OR(F339="",AQ339=""),"",IF(COUNT(AI339:AP339)=0,"",AQ339-LOOKUP(2,1/(AI339:AP339&lt;&gt;""),AI339:AP339)))</t>
        </is>
      </c>
      <c r="BE339" s="49" t="inlineStr">
        <is>
          <t>IF(OR(F339="",AR339=""),"",IF(COUNT(AI339:AQ339)=0,"",AR339-LOOKUP(2,1/(AI339:AQ339&lt;&gt;""),AI339:AQ339)))</t>
        </is>
      </c>
      <c r="BF339" s="49" t="inlineStr">
        <is>
          <t>IF(OR(F339="",AS339=""),"",IF(COUNT(AI339:AR339)=0,"",AS339-LOOKUP(2,1/(AI339:AR339&lt;&gt;""),AI339:AR339)))</t>
        </is>
      </c>
      <c r="BG339" s="49" t="inlineStr">
        <is>
          <t>IF(OR(F339="",AT339=""),"",IF(COUNT(AI339:AS339)=0,"",AT339-LOOKUP(2,1/(AI339:AS339&lt;&gt;""),AI339:AS339)))</t>
        </is>
      </c>
      <c r="BH339" s="49" t="inlineStr">
        <is>
          <t>IF(OR(F339="",AU339=""),"",IF(COUNT(AI339:AT339)=0,"",AU339-LOOKUP(2,1/(AI339:AT339&lt;&gt;""),AI339:AT339)))</t>
        </is>
      </c>
      <c r="BI339" s="49" t="inlineStr">
        <is>
          <t>IF(OR(F339="",AV339=""),"",IF(COUNT(AI339:AU339)=0,"",AV339-LOOKUP(2,1/(AI339:AU339&lt;&gt;""),AI339:AU339)))</t>
        </is>
      </c>
      <c r="BJ339" s="51" t="inlineStr">
        <is>
          <t>IF(J339="","All_Provinces",IFERROR(VLOOKUP(J339,'09_Lookups'!$A$4:$B$20,2,FALSE),"All_Provinces"))</t>
        </is>
      </c>
      <c r="BK339" s="51" t="inlineStr">
        <is>
          <t>IF(K339="","All_Districts",IFERROR(VLOOKUP(K339,'09_Lookups'!$E$4:$F$42,2,FALSE),"All_Districts"))</t>
        </is>
      </c>
    </row>
    <row r="340" outlineLevel="1" ht="18" customHeight="1">
      <c r="A340" s="42" t="inlineStr">
        <is>
          <t>IF(F340="","",ROW()-3)</t>
        </is>
      </c>
      <c r="B340" s="65" t="inlineStr">
        <is>
          <t>AF2-WSM-27</t>
        </is>
      </c>
      <c r="C340" s="65" t="inlineStr">
        <is>
          <t>Package #27-AF2 WSM: Construction of 5 Check Dams in 5 district sites of 1. Sholish Darra in Namak Ab, 2.Gaji Darra in Hazar Sumoch, 3.Silaba in Khwaja Ghar, 4.Shoor Toghai in Khwaja Bahawudd in and 5.Khalyazi in Yangi Qala districts of Takhar province.</t>
        </is>
      </c>
      <c r="D340" s="65" t="inlineStr">
        <is>
          <t>4 of 5</t>
        </is>
      </c>
      <c r="E340" s="52" t="inlineStr">
        <is>
          <t>AF2-WSM-A-059</t>
        </is>
      </c>
      <c r="F340" s="52" t="inlineStr">
        <is>
          <t>4.Shoor Toghai Check Dam</t>
        </is>
      </c>
      <c r="G340" s="52" t="inlineStr">
        <is>
          <t>Watershed Management</t>
        </is>
      </c>
      <c r="H340" s="52" t="inlineStr">
        <is>
          <t>Check Dam</t>
        </is>
      </c>
      <c r="I340" s="52" t="inlineStr">
        <is>
          <t>Emergency Food Security Project (EFSP) – WBK/AF-2</t>
        </is>
      </c>
      <c r="J340" s="52" t="inlineStr">
        <is>
          <t>Northeast / Kunduz</t>
        </is>
      </c>
      <c r="K340" s="52" t="inlineStr">
        <is>
          <t>Takhar</t>
        </is>
      </c>
      <c r="L340" s="52" t="inlineStr">
        <is>
          <t>Khwaja Bahawuddin</t>
        </is>
      </c>
      <c r="M340" s="52" t="inlineStr">
        <is>
          <t>Shoor Toghai and Koratam</t>
        </is>
      </c>
      <c r="N340" s="52" t="inlineStr">
        <is>
          <t>World Bank (WBK/AF-2)</t>
        </is>
      </c>
      <c r="O340" s="52" t="inlineStr">
        <is>
          <t>Awarded</t>
        </is>
      </c>
      <c r="P340" s="52" t="inlineStr">
        <is>
          <t>3.WSM awarded contracts</t>
        </is>
      </c>
      <c r="Q340" s="52" t="inlineStr">
        <is>
          <t>Shafiqullah Wahidi Construction Company (SWCC)</t>
        </is>
      </c>
      <c r="R340" s="52" t="inlineStr">
        <is>
          <t>037/2026</t>
        </is>
      </c>
      <c r="S340" s="53" t="n">
        <v>93678.89999999999</v>
      </c>
      <c r="T340" s="46" t="inlineStr">
        <is>
          <t>IF(AQ340="","",AQ340)</t>
        </is>
      </c>
      <c r="U340" s="54" t="n"/>
      <c r="V340" s="55" t="n">
        <v>6</v>
      </c>
      <c r="W340" s="54" t="n">
        <v>46346</v>
      </c>
      <c r="X340" s="46" t="inlineStr">
        <is>
          <t>IF(W340&lt;&gt;"",W340,IF(OR(T340="",V340=""),"",EDATE(T340,V340)))</t>
        </is>
      </c>
      <c r="Y340" s="54" t="n"/>
      <c r="Z340" s="55" t="n">
        <v>80</v>
      </c>
      <c r="AA340" s="52" t="inlineStr">
        <is>
          <t>Under Construction</t>
        </is>
      </c>
      <c r="AB340" s="52" t="inlineStr">
        <is>
          <t>Completed on Sep, 2026</t>
        </is>
      </c>
      <c r="AC340" s="42" t="inlineStr">
        <is>
          <t>IF(F340="","",IF(COUNT(AI340:AV340)=0,IF(AA340="","Not started",AA340),SUBSTITUTE(LOOKUP(2,1/(AI340:AV340&lt;&gt;""),$AI$3:$AV$3),"Date: ","")))</t>
        </is>
      </c>
      <c r="AD340" s="49" t="inlineStr">
        <is>
          <t>IF(OR(F340="",COUNT(AI340:AV340)=0),"",TODAY()-LOOKUP(2,1/(AI340:AV340&lt;&gt;""),AI340:AV340))</t>
        </is>
      </c>
      <c r="AE340" s="49" t="inlineStr">
        <is>
          <t>IF(OR(F340="",COUNT(AI340:AV340)&lt;2),"",LOOKUP(2,1/(AI340:AV340&lt;&gt;""),AI340:AV340)-MIN(AI340:AV340))</t>
        </is>
      </c>
      <c r="AF340" s="49" t="inlineStr">
        <is>
          <t>IF(OR(AD340="",AC340="Not started",AC340=""),"",IFERROR(AD340-IF(VLOOKUP(AC340,'06_Status_Pipeline'!$B$3:$E$20,4,FALSE)="",0,VLOOKUP(AC340,'06_Status_Pipeline'!$B$3:$E$20,4,FALSE)),""))</t>
        </is>
      </c>
      <c r="AG340" s="42" t="inlineStr">
        <is>
          <t>IF(F340="","",IF(OR(AA340="Cancelled",AC340="Cancelled"),"Cancelled",IF(OR(AC340="Completed / Handover",Y340&lt;&gt;"",Z340&gt;=100),"Completed — on track",IF(O340="Not awarded",IF(U340="",IF(X340="","No planned date",IF(TODAY()&gt;X340,"Behind — past planned date",IF(X340-TODAY()&lt;=30,"At risk — close to off track","On track"))),IF(TODAY()&gt;U340,"Behind — award date passed",IF(U340-TODAY()&lt;=30,"At risk — close to off track","On track"))),IF(X340="","No planned date",IF(AND(TODAY()&gt;X340,OR(Z340="",Z340&lt;100)),"Behind — past end date",IF(AND(T340&lt;&gt;"",X340&lt;&gt;"",Z340&lt;&gt;"",(Z340&lt;100),((TODAY()-T340)/MAX(X340-T340,1)*100)-Z340&gt;15),"Behind — progress lag",IF(AND(X340-TODAY()&lt;=30,X340-TODAY()&gt;=0,OR(Z340="",Z340&lt;90)),"At risk — close to off track","On track"))))))))</t>
        </is>
      </c>
      <c r="AH340" s="49" t="inlineStr">
        <is>
          <t>IF(OR(F340="",AC340="Completed / Handover",AC340="Cancelled"),"",IF(O340="Not awarded",IF(U340&lt;&gt;"",U340-TODAY(),IF(X340="","",X340-TODAY())),IF(X340="","",X340-TODAY())))</t>
        </is>
      </c>
      <c r="AI340" s="67" t="n"/>
      <c r="AJ340" s="67" t="n"/>
      <c r="AK340" s="67" t="n"/>
      <c r="AL340" s="67" t="n"/>
      <c r="AM340" s="67" t="n"/>
      <c r="AN340" s="67" t="n"/>
      <c r="AO340" s="67" t="n"/>
      <c r="AP340" s="67" t="n"/>
      <c r="AQ340" s="67" t="n">
        <v>46163</v>
      </c>
      <c r="AR340" s="67" t="n">
        <v>46163</v>
      </c>
      <c r="AS340" s="67" t="n"/>
      <c r="AT340" s="50" t="n"/>
      <c r="AU340" s="50" t="n"/>
      <c r="AV340" s="50" t="n"/>
      <c r="AW340" s="49" t="inlineStr">
        <is>
          <t>IF(OR(F340="",AJ340=""),"",IF(COUNT(AI340:AI340)=0,"",AJ340-LOOKUP(2,1/(AI340:AI340&lt;&gt;""),AI340:AI340)))</t>
        </is>
      </c>
      <c r="AX340" s="49" t="inlineStr">
        <is>
          <t>IF(OR(F340="",AK340=""),"",IF(COUNT(AI340:AJ340)=0,"",AK340-LOOKUP(2,1/(AI340:AJ340&lt;&gt;""),AI340:AJ340)))</t>
        </is>
      </c>
      <c r="AY340" s="49" t="inlineStr">
        <is>
          <t>IF(OR(F340="",AL340=""),"",IF(COUNT(AI340:AK340)=0,"",AL340-LOOKUP(2,1/(AI340:AK340&lt;&gt;""),AI340:AK340)))</t>
        </is>
      </c>
      <c r="AZ340" s="49" t="inlineStr">
        <is>
          <t>IF(OR(F340="",AM340=""),"",IF(COUNT(AI340:AL340)=0,"",AM340-LOOKUP(2,1/(AI340:AL340&lt;&gt;""),AI340:AL340)))</t>
        </is>
      </c>
      <c r="BA340" s="49" t="inlineStr">
        <is>
          <t>IF(OR(F340="",AN340=""),"",IF(COUNT(AI340:AM340)=0,"",AN340-LOOKUP(2,1/(AI340:AM340&lt;&gt;""),AI340:AM340)))</t>
        </is>
      </c>
      <c r="BB340" s="49" t="inlineStr">
        <is>
          <t>IF(OR(F340="",AO340=""),"",IF(COUNT(AI340:AN340)=0,"",AO340-LOOKUP(2,1/(AI340:AN340&lt;&gt;""),AI340:AN340)))</t>
        </is>
      </c>
      <c r="BC340" s="49" t="inlineStr">
        <is>
          <t>IF(OR(F340="",AP340=""),"",IF(COUNT(AI340:AO340)=0,"",AP340-LOOKUP(2,1/(AI340:AO340&lt;&gt;""),AI340:AO340)))</t>
        </is>
      </c>
      <c r="BD340" s="49" t="inlineStr">
        <is>
          <t>IF(OR(F340="",AQ340=""),"",IF(COUNT(AI340:AP340)=0,"",AQ340-LOOKUP(2,1/(AI340:AP340&lt;&gt;""),AI340:AP340)))</t>
        </is>
      </c>
      <c r="BE340" s="49" t="inlineStr">
        <is>
          <t>IF(OR(F340="",AR340=""),"",IF(COUNT(AI340:AQ340)=0,"",AR340-LOOKUP(2,1/(AI340:AQ340&lt;&gt;""),AI340:AQ340)))</t>
        </is>
      </c>
      <c r="BF340" s="49" t="inlineStr">
        <is>
          <t>IF(OR(F340="",AS340=""),"",IF(COUNT(AI340:AR340)=0,"",AS340-LOOKUP(2,1/(AI340:AR340&lt;&gt;""),AI340:AR340)))</t>
        </is>
      </c>
      <c r="BG340" s="49" t="inlineStr">
        <is>
          <t>IF(OR(F340="",AT340=""),"",IF(COUNT(AI340:AS340)=0,"",AT340-LOOKUP(2,1/(AI340:AS340&lt;&gt;""),AI340:AS340)))</t>
        </is>
      </c>
      <c r="BH340" s="49" t="inlineStr">
        <is>
          <t>IF(OR(F340="",AU340=""),"",IF(COUNT(AI340:AT340)=0,"",AU340-LOOKUP(2,1/(AI340:AT340&lt;&gt;""),AI340:AT340)))</t>
        </is>
      </c>
      <c r="BI340" s="49" t="inlineStr">
        <is>
          <t>IF(OR(F340="",AV340=""),"",IF(COUNT(AI340:AU340)=0,"",AV340-LOOKUP(2,1/(AI340:AU340&lt;&gt;""),AI340:AU340)))</t>
        </is>
      </c>
      <c r="BJ340" s="51" t="inlineStr">
        <is>
          <t>IF(J340="","All_Provinces",IFERROR(VLOOKUP(J340,'09_Lookups'!$A$4:$B$20,2,FALSE),"All_Provinces"))</t>
        </is>
      </c>
      <c r="BK340" s="51" t="inlineStr">
        <is>
          <t>IF(K340="","All_Districts",IFERROR(VLOOKUP(K340,'09_Lookups'!$E$4:$F$42,2,FALSE),"All_Districts"))</t>
        </is>
      </c>
    </row>
    <row r="341" outlineLevel="1" ht="18" customHeight="1">
      <c r="A341" s="42" t="inlineStr">
        <is>
          <t>IF(F341="","",ROW()-3)</t>
        </is>
      </c>
      <c r="B341" s="65" t="inlineStr">
        <is>
          <t>AF2-WSM-27</t>
        </is>
      </c>
      <c r="C341" s="65" t="inlineStr">
        <is>
          <t>Package #27-AF2 WSM: Construction of 5 Check Dams in 5 district sites of 1. Sholish Darra in Namak Ab, 2.Gaji Darra in Hazar Sumoch, 3.Silaba in Khwaja Ghar, 4.Shoor Toghai in Khwaja Bahawudd in and 5.Khalyazi in Yangi Qala districts of Takhar province.</t>
        </is>
      </c>
      <c r="D341" s="65" t="inlineStr">
        <is>
          <t>5 of 5</t>
        </is>
      </c>
      <c r="E341" s="44" t="inlineStr">
        <is>
          <t>AF2-WSM-A-060</t>
        </is>
      </c>
      <c r="F341" s="44" t="inlineStr">
        <is>
          <t>5.Khalyazi Check Dam</t>
        </is>
      </c>
      <c r="G341" s="44" t="inlineStr">
        <is>
          <t>Watershed Management</t>
        </is>
      </c>
      <c r="H341" s="44" t="inlineStr">
        <is>
          <t>Check Dam</t>
        </is>
      </c>
      <c r="I341" s="44" t="inlineStr">
        <is>
          <t>Emergency Food Security Project (EFSP) – WBK/AF-2</t>
        </is>
      </c>
      <c r="J341" s="44" t="inlineStr">
        <is>
          <t>Northeast / Kunduz</t>
        </is>
      </c>
      <c r="K341" s="44" t="inlineStr">
        <is>
          <t>Takhar</t>
        </is>
      </c>
      <c r="L341" s="44" t="inlineStr">
        <is>
          <t>Yangi Qala</t>
        </is>
      </c>
      <c r="M341" s="44" t="inlineStr">
        <is>
          <t>Khalyazi</t>
        </is>
      </c>
      <c r="N341" s="44" t="inlineStr">
        <is>
          <t>World Bank (WBK/AF-2)</t>
        </is>
      </c>
      <c r="O341" s="44" t="inlineStr">
        <is>
          <t>Awarded</t>
        </is>
      </c>
      <c r="P341" s="44" t="inlineStr">
        <is>
          <t>3.WSM awarded contracts</t>
        </is>
      </c>
      <c r="Q341" s="44" t="inlineStr">
        <is>
          <t>Shafiqullah Wahidi Construction Company (SWCC)</t>
        </is>
      </c>
      <c r="R341" s="44" t="inlineStr">
        <is>
          <t>037/2026</t>
        </is>
      </c>
      <c r="S341" s="45" t="n">
        <v>30229.57</v>
      </c>
      <c r="T341" s="46" t="inlineStr">
        <is>
          <t>IF(AQ341="","",AQ341)</t>
        </is>
      </c>
      <c r="U341" s="47" t="n"/>
      <c r="V341" s="48" t="n">
        <v>6</v>
      </c>
      <c r="W341" s="47" t="n">
        <v>46346</v>
      </c>
      <c r="X341" s="46" t="inlineStr">
        <is>
          <t>IF(W341&lt;&gt;"",W341,IF(OR(T341="",V341=""),"",EDATE(T341,V341)))</t>
        </is>
      </c>
      <c r="Y341" s="47" t="n"/>
      <c r="Z341" s="48" t="n">
        <v>0</v>
      </c>
      <c r="AA341" s="44" t="inlineStr">
        <is>
          <t>Awarded</t>
        </is>
      </c>
      <c r="AB341" s="44" t="inlineStr">
        <is>
          <t>Completed on Sep, 2026</t>
        </is>
      </c>
      <c r="AC341" s="42" t="inlineStr">
        <is>
          <t>IF(F341="","",IF(COUNT(AI341:AV341)=0,IF(AA341="","Not started",AA341),SUBSTITUTE(LOOKUP(2,1/(AI341:AV341&lt;&gt;""),$AI$3:$AV$3),"Date: ","")))</t>
        </is>
      </c>
      <c r="AD341" s="49" t="inlineStr">
        <is>
          <t>IF(OR(F341="",COUNT(AI341:AV341)=0),"",TODAY()-LOOKUP(2,1/(AI341:AV341&lt;&gt;""),AI341:AV341))</t>
        </is>
      </c>
      <c r="AE341" s="49" t="inlineStr">
        <is>
          <t>IF(OR(F341="",COUNT(AI341:AV341)&lt;2),"",LOOKUP(2,1/(AI341:AV341&lt;&gt;""),AI341:AV341)-MIN(AI341:AV341))</t>
        </is>
      </c>
      <c r="AF341" s="49" t="inlineStr">
        <is>
          <t>IF(OR(AD341="",AC341="Not started",AC341=""),"",IFERROR(AD341-IF(VLOOKUP(AC341,'06_Status_Pipeline'!$B$3:$E$20,4,FALSE)="",0,VLOOKUP(AC341,'06_Status_Pipeline'!$B$3:$E$20,4,FALSE)),""))</t>
        </is>
      </c>
      <c r="AG341" s="42" t="inlineStr">
        <is>
          <t>IF(F341="","",IF(OR(AA341="Cancelled",AC341="Cancelled"),"Cancelled",IF(OR(AC341="Completed / Handover",Y341&lt;&gt;"",Z341&gt;=100),"Completed — on track",IF(O341="Not awarded",IF(U341="",IF(X341="","No planned date",IF(TODAY()&gt;X341,"Behind — past planned date",IF(X341-TODAY()&lt;=30,"At risk — close to off track","On track"))),IF(TODAY()&gt;U341,"Behind — award date passed",IF(U341-TODAY()&lt;=30,"At risk — close to off track","On track"))),IF(X341="","No planned date",IF(AND(TODAY()&gt;X341,OR(Z341="",Z341&lt;100)),"Behind — past end date",IF(AND(T341&lt;&gt;"",X341&lt;&gt;"",Z341&lt;&gt;"",(Z341&lt;100),((TODAY()-T341)/MAX(X341-T341,1)*100)-Z341&gt;15),"Behind — progress lag",IF(AND(X341-TODAY()&lt;=30,X341-TODAY()&gt;=0,OR(Z341="",Z341&lt;90)),"At risk — close to off track","On track"))))))))</t>
        </is>
      </c>
      <c r="AH341" s="49" t="inlineStr">
        <is>
          <t>IF(OR(F341="",AC341="Completed / Handover",AC341="Cancelled"),"",IF(O341="Not awarded",IF(U341&lt;&gt;"",U341-TODAY(),IF(X341="","",X341-TODAY())),IF(X341="","",X341-TODAY())))</t>
        </is>
      </c>
      <c r="AI341" s="67" t="n"/>
      <c r="AJ341" s="67" t="n"/>
      <c r="AK341" s="67" t="n"/>
      <c r="AL341" s="67" t="n"/>
      <c r="AM341" s="67" t="n"/>
      <c r="AN341" s="67" t="n"/>
      <c r="AO341" s="67" t="n"/>
      <c r="AP341" s="67" t="n"/>
      <c r="AQ341" s="67" t="n">
        <v>46163</v>
      </c>
      <c r="AR341" s="67" t="n"/>
      <c r="AS341" s="67" t="n"/>
      <c r="AT341" s="50" t="n"/>
      <c r="AU341" s="50" t="n"/>
      <c r="AV341" s="50" t="n"/>
      <c r="AW341" s="49" t="inlineStr">
        <is>
          <t>IF(OR(F341="",AJ341=""),"",IF(COUNT(AI341:AI341)=0,"",AJ341-LOOKUP(2,1/(AI341:AI341&lt;&gt;""),AI341:AI341)))</t>
        </is>
      </c>
      <c r="AX341" s="49" t="inlineStr">
        <is>
          <t>IF(OR(F341="",AK341=""),"",IF(COUNT(AI341:AJ341)=0,"",AK341-LOOKUP(2,1/(AI341:AJ341&lt;&gt;""),AI341:AJ341)))</t>
        </is>
      </c>
      <c r="AY341" s="49" t="inlineStr">
        <is>
          <t>IF(OR(F341="",AL341=""),"",IF(COUNT(AI341:AK341)=0,"",AL341-LOOKUP(2,1/(AI341:AK341&lt;&gt;""),AI341:AK341)))</t>
        </is>
      </c>
      <c r="AZ341" s="49" t="inlineStr">
        <is>
          <t>IF(OR(F341="",AM341=""),"",IF(COUNT(AI341:AL341)=0,"",AM341-LOOKUP(2,1/(AI341:AL341&lt;&gt;""),AI341:AL341)))</t>
        </is>
      </c>
      <c r="BA341" s="49" t="inlineStr">
        <is>
          <t>IF(OR(F341="",AN341=""),"",IF(COUNT(AI341:AM341)=0,"",AN341-LOOKUP(2,1/(AI341:AM341&lt;&gt;""),AI341:AM341)))</t>
        </is>
      </c>
      <c r="BB341" s="49" t="inlineStr">
        <is>
          <t>IF(OR(F341="",AO341=""),"",IF(COUNT(AI341:AN341)=0,"",AO341-LOOKUP(2,1/(AI341:AN341&lt;&gt;""),AI341:AN341)))</t>
        </is>
      </c>
      <c r="BC341" s="49" t="inlineStr">
        <is>
          <t>IF(OR(F341="",AP341=""),"",IF(COUNT(AI341:AO341)=0,"",AP341-LOOKUP(2,1/(AI341:AO341&lt;&gt;""),AI341:AO341)))</t>
        </is>
      </c>
      <c r="BD341" s="49" t="inlineStr">
        <is>
          <t>IF(OR(F341="",AQ341=""),"",IF(COUNT(AI341:AP341)=0,"",AQ341-LOOKUP(2,1/(AI341:AP341&lt;&gt;""),AI341:AP341)))</t>
        </is>
      </c>
      <c r="BE341" s="49" t="inlineStr">
        <is>
          <t>IF(OR(F341="",AR341=""),"",IF(COUNT(AI341:AQ341)=0,"",AR341-LOOKUP(2,1/(AI341:AQ341&lt;&gt;""),AI341:AQ341)))</t>
        </is>
      </c>
      <c r="BF341" s="49" t="inlineStr">
        <is>
          <t>IF(OR(F341="",AS341=""),"",IF(COUNT(AI341:AR341)=0,"",AS341-LOOKUP(2,1/(AI341:AR341&lt;&gt;""),AI341:AR341)))</t>
        </is>
      </c>
      <c r="BG341" s="49" t="inlineStr">
        <is>
          <t>IF(OR(F341="",AT341=""),"",IF(COUNT(AI341:AS341)=0,"",AT341-LOOKUP(2,1/(AI341:AS341&lt;&gt;""),AI341:AS341)))</t>
        </is>
      </c>
      <c r="BH341" s="49" t="inlineStr">
        <is>
          <t>IF(OR(F341="",AU341=""),"",IF(COUNT(AI341:AT341)=0,"",AU341-LOOKUP(2,1/(AI341:AT341&lt;&gt;""),AI341:AT341)))</t>
        </is>
      </c>
      <c r="BI341" s="49" t="inlineStr">
        <is>
          <t>IF(OR(F341="",AV341=""),"",IF(COUNT(AI341:AU341)=0,"",AV341-LOOKUP(2,1/(AI341:AU341&lt;&gt;""),AI341:AU341)))</t>
        </is>
      </c>
      <c r="BJ341" s="51" t="inlineStr">
        <is>
          <t>IF(J341="","All_Provinces",IFERROR(VLOOKUP(J341,'09_Lookups'!$A$4:$B$20,2,FALSE),"All_Provinces"))</t>
        </is>
      </c>
      <c r="BK341" s="51" t="inlineStr">
        <is>
          <t>IF(K341="","All_Districts",IFERROR(VLOOKUP(K341,'09_Lookups'!$E$4:$F$42,2,FALSE),"All_Districts"))</t>
        </is>
      </c>
    </row>
    <row r="342" ht="18" customHeight="1">
      <c r="A342" s="32" t="inlineStr">
        <is>
          <t>IF(F342="","",ROW()-3)</t>
        </is>
      </c>
      <c r="B342" s="33" t="inlineStr">
        <is>
          <t>AF2-WSM-28</t>
        </is>
      </c>
      <c r="C342" s="33" t="inlineStr">
        <is>
          <t>Package #28-AF2 WSM: Construction of 2 Check dams of 1. Chatqa Sai in Dahna-e-Ghori and 2.Tahiryan in Baghlan Markazi districts of Baghlan province.</t>
        </is>
      </c>
      <c r="D342" s="33" t="inlineStr">
        <is>
          <t>1 of 2</t>
        </is>
      </c>
      <c r="E342" s="34" t="inlineStr">
        <is>
          <t>AF2-WSM-A-061</t>
        </is>
      </c>
      <c r="F342" s="34" t="inlineStr">
        <is>
          <t>Chatqa Sai Check Dam</t>
        </is>
      </c>
      <c r="G342" s="34" t="inlineStr">
        <is>
          <t>Watershed Management</t>
        </is>
      </c>
      <c r="H342" s="34" t="inlineStr">
        <is>
          <t>Check Dam</t>
        </is>
      </c>
      <c r="I342" s="34" t="inlineStr">
        <is>
          <t>Emergency Food Security Project (EFSP) – WBK/AF-2</t>
        </is>
      </c>
      <c r="J342" s="34" t="inlineStr">
        <is>
          <t>Northeast / Kunduz</t>
        </is>
      </c>
      <c r="K342" s="34" t="inlineStr">
        <is>
          <t>Baghlan</t>
        </is>
      </c>
      <c r="L342" s="34" t="inlineStr">
        <is>
          <t>Dahna-e-Ghori</t>
        </is>
      </c>
      <c r="M342" s="34" t="inlineStr">
        <is>
          <t>Chatqa Sai</t>
        </is>
      </c>
      <c r="N342" s="34" t="inlineStr">
        <is>
          <t>World Bank (WBK/AF-2)</t>
        </is>
      </c>
      <c r="O342" s="34" t="inlineStr">
        <is>
          <t>Awarded</t>
        </is>
      </c>
      <c r="P342" s="34" t="inlineStr">
        <is>
          <t>3.WSM awarded contracts</t>
        </is>
      </c>
      <c r="Q342" s="34" t="inlineStr">
        <is>
          <t>Arman Sharq Construction Company ASCC)</t>
        </is>
      </c>
      <c r="R342" s="34" t="inlineStr">
        <is>
          <t>054/2026</t>
        </is>
      </c>
      <c r="S342" s="35" t="n">
        <v>62969</v>
      </c>
      <c r="T342" s="36" t="inlineStr">
        <is>
          <t>IF(AQ342="","",AQ342)</t>
        </is>
      </c>
      <c r="U342" s="37" t="n"/>
      <c r="V342" s="38" t="n">
        <v>4</v>
      </c>
      <c r="W342" s="37" t="n">
        <v>46363</v>
      </c>
      <c r="X342" s="36" t="inlineStr">
        <is>
          <t>IF(W342&lt;&gt;"",W342,IF(OR(T342="",V342=""),"",EDATE(T342,V342)))</t>
        </is>
      </c>
      <c r="Y342" s="37" t="n"/>
      <c r="Z342" s="38" t="n">
        <v>70</v>
      </c>
      <c r="AA342" s="34" t="inlineStr">
        <is>
          <t>Under Construction</t>
        </is>
      </c>
      <c r="AB342" s="34" t="inlineStr">
        <is>
          <t>Completed on Sep, 2026</t>
        </is>
      </c>
      <c r="AC342" s="32" t="inlineStr">
        <is>
          <t>IF(F342="","",IF(COUNT(AI342:AV342)=0,IF(AA342="","Not started",AA342),SUBSTITUTE(LOOKUP(2,1/(AI342:AV342&lt;&gt;""),$AI$3:$AV$3),"Date: ","")))</t>
        </is>
      </c>
      <c r="AD342" s="39" t="inlineStr">
        <is>
          <t>IF(OR(F342="",COUNT(AI342:AV342)=0),"",TODAY()-LOOKUP(2,1/(AI342:AV342&lt;&gt;""),AI342:AV342))</t>
        </is>
      </c>
      <c r="AE342" s="39" t="inlineStr">
        <is>
          <t>IF(OR(F342="",COUNT(AI342:AV342)&lt;2),"",LOOKUP(2,1/(AI342:AV342&lt;&gt;""),AI342:AV342)-MIN(AI342:AV342))</t>
        </is>
      </c>
      <c r="AF342" s="39" t="inlineStr">
        <is>
          <t>IF(OR(AD342="",AC342="Not started",AC342=""),"",IFERROR(AD342-IF(VLOOKUP(AC342,'06_Status_Pipeline'!$B$3:$E$20,4,FALSE)="",0,VLOOKUP(AC342,'06_Status_Pipeline'!$B$3:$E$20,4,FALSE)),""))</t>
        </is>
      </c>
      <c r="AG342" s="32" t="inlineStr">
        <is>
          <t>IF(F342="","",IF(OR(AA342="Cancelled",AC342="Cancelled"),"Cancelled",IF(OR(AC342="Completed / Handover",Y342&lt;&gt;"",Z342&gt;=100),"Completed — on track",IF(O342="Not awarded",IF(U342="",IF(X342="","No planned date",IF(TODAY()&gt;X342,"Behind — past planned date",IF(X342-TODAY()&lt;=30,"At risk — close to off track","On track"))),IF(TODAY()&gt;U342,"Behind — award date passed",IF(U342-TODAY()&lt;=30,"At risk — close to off track","On track"))),IF(X342="","No planned date",IF(AND(TODAY()&gt;X342,OR(Z342="",Z342&lt;100)),"Behind — past end date",IF(AND(T342&lt;&gt;"",X342&lt;&gt;"",Z342&lt;&gt;"",(Z342&lt;100),((TODAY()-T342)/MAX(X342-T342,1)*100)-Z342&gt;15),"Behind — progress lag",IF(AND(X342-TODAY()&lt;=30,X342-TODAY()&gt;=0,OR(Z342="",Z342&lt;90)),"At risk — close to off track","On track"))))))))</t>
        </is>
      </c>
      <c r="AH342" s="39" t="inlineStr">
        <is>
          <t>IF(OR(F342="",AC342="Completed / Handover",AC342="Cancelled"),"",IF(O342="Not awarded",IF(U342&lt;&gt;"",U342-TODAY(),IF(X342="","",X342-TODAY())),IF(X342="","",X342-TODAY())))</t>
        </is>
      </c>
      <c r="AI342" s="66" t="n"/>
      <c r="AJ342" s="66" t="n"/>
      <c r="AK342" s="66" t="n"/>
      <c r="AL342" s="66" t="n"/>
      <c r="AM342" s="66" t="n"/>
      <c r="AN342" s="66" t="n"/>
      <c r="AO342" s="66" t="n"/>
      <c r="AP342" s="66" t="n"/>
      <c r="AQ342" s="66" t="n">
        <v>46242</v>
      </c>
      <c r="AR342" s="66" t="n">
        <v>46242</v>
      </c>
      <c r="AS342" s="66" t="n"/>
      <c r="AT342" s="40" t="n"/>
      <c r="AU342" s="40" t="n"/>
      <c r="AV342" s="40" t="n"/>
      <c r="AW342" s="39" t="inlineStr">
        <is>
          <t>IF(OR(F342="",AJ342=""),"",IF(COUNT(AI342:AI342)=0,"",AJ342-LOOKUP(2,1/(AI342:AI342&lt;&gt;""),AI342:AI342)))</t>
        </is>
      </c>
      <c r="AX342" s="39" t="inlineStr">
        <is>
          <t>IF(OR(F342="",AK342=""),"",IF(COUNT(AI342:AJ342)=0,"",AK342-LOOKUP(2,1/(AI342:AJ342&lt;&gt;""),AI342:AJ342)))</t>
        </is>
      </c>
      <c r="AY342" s="39" t="inlineStr">
        <is>
          <t>IF(OR(F342="",AL342=""),"",IF(COUNT(AI342:AK342)=0,"",AL342-LOOKUP(2,1/(AI342:AK342&lt;&gt;""),AI342:AK342)))</t>
        </is>
      </c>
      <c r="AZ342" s="39" t="inlineStr">
        <is>
          <t>IF(OR(F342="",AM342=""),"",IF(COUNT(AI342:AL342)=0,"",AM342-LOOKUP(2,1/(AI342:AL342&lt;&gt;""),AI342:AL342)))</t>
        </is>
      </c>
      <c r="BA342" s="39" t="inlineStr">
        <is>
          <t>IF(OR(F342="",AN342=""),"",IF(COUNT(AI342:AM342)=0,"",AN342-LOOKUP(2,1/(AI342:AM342&lt;&gt;""),AI342:AM342)))</t>
        </is>
      </c>
      <c r="BB342" s="39" t="inlineStr">
        <is>
          <t>IF(OR(F342="",AO342=""),"",IF(COUNT(AI342:AN342)=0,"",AO342-LOOKUP(2,1/(AI342:AN342&lt;&gt;""),AI342:AN342)))</t>
        </is>
      </c>
      <c r="BC342" s="39" t="inlineStr">
        <is>
          <t>IF(OR(F342="",AP342=""),"",IF(COUNT(AI342:AO342)=0,"",AP342-LOOKUP(2,1/(AI342:AO342&lt;&gt;""),AI342:AO342)))</t>
        </is>
      </c>
      <c r="BD342" s="39" t="inlineStr">
        <is>
          <t>IF(OR(F342="",AQ342=""),"",IF(COUNT(AI342:AP342)=0,"",AQ342-LOOKUP(2,1/(AI342:AP342&lt;&gt;""),AI342:AP342)))</t>
        </is>
      </c>
      <c r="BE342" s="39" t="inlineStr">
        <is>
          <t>IF(OR(F342="",AR342=""),"",IF(COUNT(AI342:AQ342)=0,"",AR342-LOOKUP(2,1/(AI342:AQ342&lt;&gt;""),AI342:AQ342)))</t>
        </is>
      </c>
      <c r="BF342" s="39" t="inlineStr">
        <is>
          <t>IF(OR(F342="",AS342=""),"",IF(COUNT(AI342:AR342)=0,"",AS342-LOOKUP(2,1/(AI342:AR342&lt;&gt;""),AI342:AR342)))</t>
        </is>
      </c>
      <c r="BG342" s="39" t="inlineStr">
        <is>
          <t>IF(OR(F342="",AT342=""),"",IF(COUNT(AI342:AS342)=0,"",AT342-LOOKUP(2,1/(AI342:AS342&lt;&gt;""),AI342:AS342)))</t>
        </is>
      </c>
      <c r="BH342" s="39" t="inlineStr">
        <is>
          <t>IF(OR(F342="",AU342=""),"",IF(COUNT(AI342:AT342)=0,"",AU342-LOOKUP(2,1/(AI342:AT342&lt;&gt;""),AI342:AT342)))</t>
        </is>
      </c>
      <c r="BI342" s="39" t="inlineStr">
        <is>
          <t>IF(OR(F342="",AV342=""),"",IF(COUNT(AI342:AU342)=0,"",AV342-LOOKUP(2,1/(AI342:AU342&lt;&gt;""),AI342:AU342)))</t>
        </is>
      </c>
      <c r="BJ342" s="41" t="inlineStr">
        <is>
          <t>IF(J342="","All_Provinces",IFERROR(VLOOKUP(J342,'09_Lookups'!$A$4:$B$20,2,FALSE),"All_Provinces"))</t>
        </is>
      </c>
      <c r="BK342" s="41" t="inlineStr">
        <is>
          <t>IF(K342="","All_Districts",IFERROR(VLOOKUP(K342,'09_Lookups'!$E$4:$F$42,2,FALSE),"All_Districts"))</t>
        </is>
      </c>
    </row>
    <row r="343" outlineLevel="1" ht="18" customHeight="1">
      <c r="A343" s="42" t="inlineStr">
        <is>
          <t>IF(F343="","",ROW()-3)</t>
        </is>
      </c>
      <c r="B343" s="43" t="inlineStr">
        <is>
          <t>AF2-WSM-28</t>
        </is>
      </c>
      <c r="C343" s="43" t="inlineStr">
        <is>
          <t>Package #28-AF2 WSM: Construction of 2 Check dams of 1. Chatqa Sai in Dahna-e-Ghori and 2.Tahiryan in Baghlan Markazi districts of Baghlan province.</t>
        </is>
      </c>
      <c r="D343" s="43" t="inlineStr">
        <is>
          <t>2 of 2</t>
        </is>
      </c>
      <c r="E343" s="44" t="inlineStr">
        <is>
          <t>AF2-WSM-A-062</t>
        </is>
      </c>
      <c r="F343" s="44" t="inlineStr">
        <is>
          <t>Tahiryan Check Dam</t>
        </is>
      </c>
      <c r="G343" s="44" t="inlineStr">
        <is>
          <t>Watershed Management</t>
        </is>
      </c>
      <c r="H343" s="44" t="inlineStr">
        <is>
          <t>Check Dam</t>
        </is>
      </c>
      <c r="I343" s="44" t="inlineStr">
        <is>
          <t>Emergency Food Security Project (EFSP) – WBK/AF-2</t>
        </is>
      </c>
      <c r="J343" s="44" t="inlineStr">
        <is>
          <t>Northeast / Kunduz</t>
        </is>
      </c>
      <c r="K343" s="44" t="inlineStr">
        <is>
          <t>Baghlan</t>
        </is>
      </c>
      <c r="L343" s="44" t="inlineStr">
        <is>
          <t>Baghlan Markazi</t>
        </is>
      </c>
      <c r="M343" s="44" t="inlineStr">
        <is>
          <t>Tahiryan</t>
        </is>
      </c>
      <c r="N343" s="44" t="inlineStr">
        <is>
          <t>World Bank (WBK/AF-2)</t>
        </is>
      </c>
      <c r="O343" s="44" t="inlineStr">
        <is>
          <t>Awarded</t>
        </is>
      </c>
      <c r="P343" s="44" t="inlineStr">
        <is>
          <t>3.WSM awarded contracts</t>
        </is>
      </c>
      <c r="Q343" s="44" t="inlineStr">
        <is>
          <t>Arman Sharq Construction Company ASCC)</t>
        </is>
      </c>
      <c r="R343" s="44" t="inlineStr">
        <is>
          <t>054/2026</t>
        </is>
      </c>
      <c r="S343" s="45" t="n">
        <v>36531</v>
      </c>
      <c r="T343" s="46" t="inlineStr">
        <is>
          <t>IF(AQ343="","",AQ343)</t>
        </is>
      </c>
      <c r="U343" s="47" t="n"/>
      <c r="V343" s="48" t="n">
        <v>4</v>
      </c>
      <c r="W343" s="47" t="n">
        <v>46363</v>
      </c>
      <c r="X343" s="46" t="inlineStr">
        <is>
          <t>IF(W343&lt;&gt;"",W343,IF(OR(T343="",V343=""),"",EDATE(T343,V343)))</t>
        </is>
      </c>
      <c r="Y343" s="47" t="n"/>
      <c r="Z343" s="48" t="n">
        <v>5</v>
      </c>
      <c r="AA343" s="44" t="inlineStr">
        <is>
          <t>Under Construction</t>
        </is>
      </c>
      <c r="AB343" s="44" t="inlineStr">
        <is>
          <t>Completed on Sep, 2026</t>
        </is>
      </c>
      <c r="AC343" s="42" t="inlineStr">
        <is>
          <t>IF(F343="","",IF(COUNT(AI343:AV343)=0,IF(AA343="","Not started",AA343),SUBSTITUTE(LOOKUP(2,1/(AI343:AV343&lt;&gt;""),$AI$3:$AV$3),"Date: ","")))</t>
        </is>
      </c>
      <c r="AD343" s="49" t="inlineStr">
        <is>
          <t>IF(OR(F343="",COUNT(AI343:AV343)=0),"",TODAY()-LOOKUP(2,1/(AI343:AV343&lt;&gt;""),AI343:AV343))</t>
        </is>
      </c>
      <c r="AE343" s="49" t="inlineStr">
        <is>
          <t>IF(OR(F343="",COUNT(AI343:AV343)&lt;2),"",LOOKUP(2,1/(AI343:AV343&lt;&gt;""),AI343:AV343)-MIN(AI343:AV343))</t>
        </is>
      </c>
      <c r="AF343" s="49" t="inlineStr">
        <is>
          <t>IF(OR(AD343="",AC343="Not started",AC343=""),"",IFERROR(AD343-IF(VLOOKUP(AC343,'06_Status_Pipeline'!$B$3:$E$20,4,FALSE)="",0,VLOOKUP(AC343,'06_Status_Pipeline'!$B$3:$E$20,4,FALSE)),""))</t>
        </is>
      </c>
      <c r="AG343" s="42" t="inlineStr">
        <is>
          <t>IF(F343="","",IF(OR(AA343="Cancelled",AC343="Cancelled"),"Cancelled",IF(OR(AC343="Completed / Handover",Y343&lt;&gt;"",Z343&gt;=100),"Completed — on track",IF(O343="Not awarded",IF(U343="",IF(X343="","No planned date",IF(TODAY()&gt;X343,"Behind — past planned date",IF(X343-TODAY()&lt;=30,"At risk — close to off track","On track"))),IF(TODAY()&gt;U343,"Behind — award date passed",IF(U343-TODAY()&lt;=30,"At risk — close to off track","On track"))),IF(X343="","No planned date",IF(AND(TODAY()&gt;X343,OR(Z343="",Z343&lt;100)),"Behind — past end date",IF(AND(T343&lt;&gt;"",X343&lt;&gt;"",Z343&lt;&gt;"",(Z343&lt;100),((TODAY()-T343)/MAX(X343-T343,1)*100)-Z343&gt;15),"Behind — progress lag",IF(AND(X343-TODAY()&lt;=30,X343-TODAY()&gt;=0,OR(Z343="",Z343&lt;90)),"At risk — close to off track","On track"))))))))</t>
        </is>
      </c>
      <c r="AH343" s="49" t="inlineStr">
        <is>
          <t>IF(OR(F343="",AC343="Completed / Handover",AC343="Cancelled"),"",IF(O343="Not awarded",IF(U343&lt;&gt;"",U343-TODAY(),IF(X343="","",X343-TODAY())),IF(X343="","",X343-TODAY())))</t>
        </is>
      </c>
      <c r="AI343" s="67" t="n"/>
      <c r="AJ343" s="67" t="n"/>
      <c r="AK343" s="67" t="n"/>
      <c r="AL343" s="67" t="n"/>
      <c r="AM343" s="67" t="n"/>
      <c r="AN343" s="67" t="n"/>
      <c r="AO343" s="67" t="n"/>
      <c r="AP343" s="67" t="n"/>
      <c r="AQ343" s="67" t="n">
        <v>46242</v>
      </c>
      <c r="AR343" s="67" t="n">
        <v>46242</v>
      </c>
      <c r="AS343" s="67" t="n"/>
      <c r="AT343" s="50" t="n"/>
      <c r="AU343" s="50" t="n"/>
      <c r="AV343" s="50" t="n"/>
      <c r="AW343" s="49" t="inlineStr">
        <is>
          <t>IF(OR(F343="",AJ343=""),"",IF(COUNT(AI343:AI343)=0,"",AJ343-LOOKUP(2,1/(AI343:AI343&lt;&gt;""),AI343:AI343)))</t>
        </is>
      </c>
      <c r="AX343" s="49" t="inlineStr">
        <is>
          <t>IF(OR(F343="",AK343=""),"",IF(COUNT(AI343:AJ343)=0,"",AK343-LOOKUP(2,1/(AI343:AJ343&lt;&gt;""),AI343:AJ343)))</t>
        </is>
      </c>
      <c r="AY343" s="49" t="inlineStr">
        <is>
          <t>IF(OR(F343="",AL343=""),"",IF(COUNT(AI343:AK343)=0,"",AL343-LOOKUP(2,1/(AI343:AK343&lt;&gt;""),AI343:AK343)))</t>
        </is>
      </c>
      <c r="AZ343" s="49" t="inlineStr">
        <is>
          <t>IF(OR(F343="",AM343=""),"",IF(COUNT(AI343:AL343)=0,"",AM343-LOOKUP(2,1/(AI343:AL343&lt;&gt;""),AI343:AL343)))</t>
        </is>
      </c>
      <c r="BA343" s="49" t="inlineStr">
        <is>
          <t>IF(OR(F343="",AN343=""),"",IF(COUNT(AI343:AM343)=0,"",AN343-LOOKUP(2,1/(AI343:AM343&lt;&gt;""),AI343:AM343)))</t>
        </is>
      </c>
      <c r="BB343" s="49" t="inlineStr">
        <is>
          <t>IF(OR(F343="",AO343=""),"",IF(COUNT(AI343:AN343)=0,"",AO343-LOOKUP(2,1/(AI343:AN343&lt;&gt;""),AI343:AN343)))</t>
        </is>
      </c>
      <c r="BC343" s="49" t="inlineStr">
        <is>
          <t>IF(OR(F343="",AP343=""),"",IF(COUNT(AI343:AO343)=0,"",AP343-LOOKUP(2,1/(AI343:AO343&lt;&gt;""),AI343:AO343)))</t>
        </is>
      </c>
      <c r="BD343" s="49" t="inlineStr">
        <is>
          <t>IF(OR(F343="",AQ343=""),"",IF(COUNT(AI343:AP343)=0,"",AQ343-LOOKUP(2,1/(AI343:AP343&lt;&gt;""),AI343:AP343)))</t>
        </is>
      </c>
      <c r="BE343" s="49" t="inlineStr">
        <is>
          <t>IF(OR(F343="",AR343=""),"",IF(COUNT(AI343:AQ343)=0,"",AR343-LOOKUP(2,1/(AI343:AQ343&lt;&gt;""),AI343:AQ343)))</t>
        </is>
      </c>
      <c r="BF343" s="49" t="inlineStr">
        <is>
          <t>IF(OR(F343="",AS343=""),"",IF(COUNT(AI343:AR343)=0,"",AS343-LOOKUP(2,1/(AI343:AR343&lt;&gt;""),AI343:AR343)))</t>
        </is>
      </c>
      <c r="BG343" s="49" t="inlineStr">
        <is>
          <t>IF(OR(F343="",AT343=""),"",IF(COUNT(AI343:AS343)=0,"",AT343-LOOKUP(2,1/(AI343:AS343&lt;&gt;""),AI343:AS343)))</t>
        </is>
      </c>
      <c r="BH343" s="49" t="inlineStr">
        <is>
          <t>IF(OR(F343="",AU343=""),"",IF(COUNT(AI343:AT343)=0,"",AU343-LOOKUP(2,1/(AI343:AT343&lt;&gt;""),AI343:AT343)))</t>
        </is>
      </c>
      <c r="BI343" s="49" t="inlineStr">
        <is>
          <t>IF(OR(F343="",AV343=""),"",IF(COUNT(AI343:AU343)=0,"",AV343-LOOKUP(2,1/(AI343:AU343&lt;&gt;""),AI343:AU343)))</t>
        </is>
      </c>
      <c r="BJ343" s="51" t="inlineStr">
        <is>
          <t>IF(J343="","All_Provinces",IFERROR(VLOOKUP(J343,'09_Lookups'!$A$4:$B$20,2,FALSE),"All_Provinces"))</t>
        </is>
      </c>
      <c r="BK343" s="51" t="inlineStr">
        <is>
          <t>IF(K343="","All_Districts",IFERROR(VLOOKUP(K343,'09_Lookups'!$E$4:$F$42,2,FALSE),"All_Districts"))</t>
        </is>
      </c>
    </row>
    <row r="344" ht="18" customHeight="1">
      <c r="A344" s="32" t="inlineStr">
        <is>
          <t>IF(F344="","",ROW()-3)</t>
        </is>
      </c>
      <c r="B344" s="56" t="inlineStr">
        <is>
          <t>AF2-WSM-29</t>
        </is>
      </c>
      <c r="C344" s="56" t="inlineStr">
        <is>
          <t>Package # 29-AF2 WSM: Construction 1. Alburs and 2. Marmul Check dams, located in Marmul and Alburs districts of Balkh province</t>
        </is>
      </c>
      <c r="D344" s="56" t="inlineStr">
        <is>
          <t>1 of 2</t>
        </is>
      </c>
      <c r="E344" s="34" t="inlineStr">
        <is>
          <t>AF2-WSM-A-063</t>
        </is>
      </c>
      <c r="F344" s="34" t="inlineStr">
        <is>
          <t>Alburz Check dam</t>
        </is>
      </c>
      <c r="G344" s="34" t="inlineStr">
        <is>
          <t>Watershed Management</t>
        </is>
      </c>
      <c r="H344" s="34" t="inlineStr">
        <is>
          <t>Check Dam</t>
        </is>
      </c>
      <c r="I344" s="34" t="inlineStr">
        <is>
          <t>Emergency Food Security Project (EFSP) – WBK/AF-2</t>
        </is>
      </c>
      <c r="J344" s="34" t="inlineStr">
        <is>
          <t>North / Mazar</t>
        </is>
      </c>
      <c r="K344" s="34" t="inlineStr">
        <is>
          <t>Balkh</t>
        </is>
      </c>
      <c r="L344" s="34" t="inlineStr">
        <is>
          <t>Alburz</t>
        </is>
      </c>
      <c r="M344" s="34" t="inlineStr">
        <is>
          <t>Barga Turkmaniya, Tagab-e-Emam Sahib Fatima Khail, Khedr Khail</t>
        </is>
      </c>
      <c r="N344" s="34" t="inlineStr">
        <is>
          <t>World Bank (WBK/AF-2)</t>
        </is>
      </c>
      <c r="O344" s="34" t="inlineStr">
        <is>
          <t>Awarded</t>
        </is>
      </c>
      <c r="P344" s="34" t="inlineStr">
        <is>
          <t>3.WSM awarded contracts</t>
        </is>
      </c>
      <c r="Q344" s="34" t="inlineStr">
        <is>
          <t>Omar Mortaza Construction &amp; Road Building JV Karwan Seraji Construction and Road Building Company (OMCC&amp;KSCC)</t>
        </is>
      </c>
      <c r="R344" s="34" t="inlineStr">
        <is>
          <t>034/2026</t>
        </is>
      </c>
      <c r="S344" s="35" t="n">
        <v>54628.26</v>
      </c>
      <c r="T344" s="36" t="inlineStr">
        <is>
          <t>IF(AQ344="","",AQ344)</t>
        </is>
      </c>
      <c r="U344" s="37" t="n"/>
      <c r="V344" s="38" t="n">
        <v>5</v>
      </c>
      <c r="W344" s="37" t="n">
        <v>46306</v>
      </c>
      <c r="X344" s="36" t="inlineStr">
        <is>
          <t>IF(W344&lt;&gt;"",W344,IF(OR(T344="",V344=""),"",EDATE(T344,V344)))</t>
        </is>
      </c>
      <c r="Y344" s="37" t="n"/>
      <c r="Z344" s="38" t="n">
        <v>100</v>
      </c>
      <c r="AA344" s="34" t="inlineStr">
        <is>
          <t>Completed / Handover</t>
        </is>
      </c>
      <c r="AB344" s="34" t="inlineStr">
        <is>
          <t>Completed on Sep, 2026</t>
        </is>
      </c>
      <c r="AC344" s="32" t="inlineStr">
        <is>
          <t>IF(F344="","",IF(COUNT(AI344:AV344)=0,IF(AA344="","Not started",AA344),SUBSTITUTE(LOOKUP(2,1/(AI344:AV344&lt;&gt;""),$AI$3:$AV$3),"Date: ","")))</t>
        </is>
      </c>
      <c r="AD344" s="39" t="inlineStr">
        <is>
          <t>IF(OR(F344="",COUNT(AI344:AV344)=0),"",TODAY()-LOOKUP(2,1/(AI344:AV344&lt;&gt;""),AI344:AV344))</t>
        </is>
      </c>
      <c r="AE344" s="39" t="inlineStr">
        <is>
          <t>IF(OR(F344="",COUNT(AI344:AV344)&lt;2),"",LOOKUP(2,1/(AI344:AV344&lt;&gt;""),AI344:AV344)-MIN(AI344:AV344))</t>
        </is>
      </c>
      <c r="AF344" s="39" t="inlineStr">
        <is>
          <t>IF(OR(AD344="",AC344="Not started",AC344=""),"",IFERROR(AD344-IF(VLOOKUP(AC344,'06_Status_Pipeline'!$B$3:$E$20,4,FALSE)="",0,VLOOKUP(AC344,'06_Status_Pipeline'!$B$3:$E$20,4,FALSE)),""))</t>
        </is>
      </c>
      <c r="AG344" s="32" t="inlineStr">
        <is>
          <t>IF(F344="","",IF(OR(AA344="Cancelled",AC344="Cancelled"),"Cancelled",IF(OR(AC344="Completed / Handover",Y344&lt;&gt;"",Z344&gt;=100),"Completed — on track",IF(O344="Not awarded",IF(U344="",IF(X344="","No planned date",IF(TODAY()&gt;X344,"Behind — past planned date",IF(X344-TODAY()&lt;=30,"At risk — close to off track","On track"))),IF(TODAY()&gt;U344,"Behind — award date passed",IF(U344-TODAY()&lt;=30,"At risk — close to off track","On track"))),IF(X344="","No planned date",IF(AND(TODAY()&gt;X344,OR(Z344="",Z344&lt;100)),"Behind — past end date",IF(AND(T344&lt;&gt;"",X344&lt;&gt;"",Z344&lt;&gt;"",(Z344&lt;100),((TODAY()-T344)/MAX(X344-T344,1)*100)-Z344&gt;15),"Behind — progress lag",IF(AND(X344-TODAY()&lt;=30,X344-TODAY()&gt;=0,OR(Z344="",Z344&lt;90)),"At risk — close to off track","On track"))))))))</t>
        </is>
      </c>
      <c r="AH344" s="39" t="inlineStr">
        <is>
          <t>IF(OR(F344="",AC344="Completed / Handover",AC344="Cancelled"),"",IF(O344="Not awarded",IF(U344&lt;&gt;"",U344-TODAY(),IF(X344="","",X344-TODAY())),IF(X344="","",X344-TODAY())))</t>
        </is>
      </c>
      <c r="AI344" s="66" t="n"/>
      <c r="AJ344" s="66" t="n"/>
      <c r="AK344" s="66" t="n"/>
      <c r="AL344" s="66" t="n"/>
      <c r="AM344" s="66" t="n"/>
      <c r="AN344" s="66" t="n"/>
      <c r="AO344" s="66" t="n"/>
      <c r="AP344" s="66" t="n"/>
      <c r="AQ344" s="66" t="n">
        <v>46154</v>
      </c>
      <c r="AR344" s="66" t="n">
        <v>46154</v>
      </c>
      <c r="AS344" s="66" t="n">
        <v>46306</v>
      </c>
      <c r="AT344" s="40" t="n"/>
      <c r="AU344" s="40" t="n"/>
      <c r="AV344" s="40" t="n"/>
      <c r="AW344" s="39" t="inlineStr">
        <is>
          <t>IF(OR(F344="",AJ344=""),"",IF(COUNT(AI344:AI344)=0,"",AJ344-LOOKUP(2,1/(AI344:AI344&lt;&gt;""),AI344:AI344)))</t>
        </is>
      </c>
      <c r="AX344" s="39" t="inlineStr">
        <is>
          <t>IF(OR(F344="",AK344=""),"",IF(COUNT(AI344:AJ344)=0,"",AK344-LOOKUP(2,1/(AI344:AJ344&lt;&gt;""),AI344:AJ344)))</t>
        </is>
      </c>
      <c r="AY344" s="39" t="inlineStr">
        <is>
          <t>IF(OR(F344="",AL344=""),"",IF(COUNT(AI344:AK344)=0,"",AL344-LOOKUP(2,1/(AI344:AK344&lt;&gt;""),AI344:AK344)))</t>
        </is>
      </c>
      <c r="AZ344" s="39" t="inlineStr">
        <is>
          <t>IF(OR(F344="",AM344=""),"",IF(COUNT(AI344:AL344)=0,"",AM344-LOOKUP(2,1/(AI344:AL344&lt;&gt;""),AI344:AL344)))</t>
        </is>
      </c>
      <c r="BA344" s="39" t="inlineStr">
        <is>
          <t>IF(OR(F344="",AN344=""),"",IF(COUNT(AI344:AM344)=0,"",AN344-LOOKUP(2,1/(AI344:AM344&lt;&gt;""),AI344:AM344)))</t>
        </is>
      </c>
      <c r="BB344" s="39" t="inlineStr">
        <is>
          <t>IF(OR(F344="",AO344=""),"",IF(COUNT(AI344:AN344)=0,"",AO344-LOOKUP(2,1/(AI344:AN344&lt;&gt;""),AI344:AN344)))</t>
        </is>
      </c>
      <c r="BC344" s="39" t="inlineStr">
        <is>
          <t>IF(OR(F344="",AP344=""),"",IF(COUNT(AI344:AO344)=0,"",AP344-LOOKUP(2,1/(AI344:AO344&lt;&gt;""),AI344:AO344)))</t>
        </is>
      </c>
      <c r="BD344" s="39" t="inlineStr">
        <is>
          <t>IF(OR(F344="",AQ344=""),"",IF(COUNT(AI344:AP344)=0,"",AQ344-LOOKUP(2,1/(AI344:AP344&lt;&gt;""),AI344:AP344)))</t>
        </is>
      </c>
      <c r="BE344" s="39" t="inlineStr">
        <is>
          <t>IF(OR(F344="",AR344=""),"",IF(COUNT(AI344:AQ344)=0,"",AR344-LOOKUP(2,1/(AI344:AQ344&lt;&gt;""),AI344:AQ344)))</t>
        </is>
      </c>
      <c r="BF344" s="39" t="inlineStr">
        <is>
          <t>IF(OR(F344="",AS344=""),"",IF(COUNT(AI344:AR344)=0,"",AS344-LOOKUP(2,1/(AI344:AR344&lt;&gt;""),AI344:AR344)))</t>
        </is>
      </c>
      <c r="BG344" s="39" t="inlineStr">
        <is>
          <t>IF(OR(F344="",AT344=""),"",IF(COUNT(AI344:AS344)=0,"",AT344-LOOKUP(2,1/(AI344:AS344&lt;&gt;""),AI344:AS344)))</t>
        </is>
      </c>
      <c r="BH344" s="39" t="inlineStr">
        <is>
          <t>IF(OR(F344="",AU344=""),"",IF(COUNT(AI344:AT344)=0,"",AU344-LOOKUP(2,1/(AI344:AT344&lt;&gt;""),AI344:AT344)))</t>
        </is>
      </c>
      <c r="BI344" s="39" t="inlineStr">
        <is>
          <t>IF(OR(F344="",AV344=""),"",IF(COUNT(AI344:AU344)=0,"",AV344-LOOKUP(2,1/(AI344:AU344&lt;&gt;""),AI344:AU344)))</t>
        </is>
      </c>
      <c r="BJ344" s="41" t="inlineStr">
        <is>
          <t>IF(J344="","All_Provinces",IFERROR(VLOOKUP(J344,'09_Lookups'!$A$4:$B$20,2,FALSE),"All_Provinces"))</t>
        </is>
      </c>
      <c r="BK344" s="41" t="inlineStr">
        <is>
          <t>IF(K344="","All_Districts",IFERROR(VLOOKUP(K344,'09_Lookups'!$E$4:$F$42,2,FALSE),"All_Districts"))</t>
        </is>
      </c>
    </row>
    <row r="345" outlineLevel="1" ht="18" customHeight="1">
      <c r="A345" s="42" t="inlineStr">
        <is>
          <t>IF(F345="","",ROW()-3)</t>
        </is>
      </c>
      <c r="B345" s="61" t="inlineStr">
        <is>
          <t>AF2-WSM-29</t>
        </is>
      </c>
      <c r="C345" s="61" t="inlineStr">
        <is>
          <t>Package # 29-AF2 WSM: Construction 1. Alburs and 2. Marmul Check dams, located in Marmul and Alburs districts of Balkh province</t>
        </is>
      </c>
      <c r="D345" s="61" t="inlineStr">
        <is>
          <t>2 of 2</t>
        </is>
      </c>
      <c r="E345" s="44" t="inlineStr">
        <is>
          <t>AF2-WSM-A-064</t>
        </is>
      </c>
      <c r="F345" s="44" t="inlineStr">
        <is>
          <t>Marmul Check dam</t>
        </is>
      </c>
      <c r="G345" s="44" t="inlineStr">
        <is>
          <t>Watershed Management</t>
        </is>
      </c>
      <c r="H345" s="44" t="inlineStr">
        <is>
          <t>Check Dam</t>
        </is>
      </c>
      <c r="I345" s="44" t="inlineStr">
        <is>
          <t>Emergency Food Security Project (EFSP) – WBK/AF-2</t>
        </is>
      </c>
      <c r="J345" s="44" t="inlineStr">
        <is>
          <t>North / Mazar</t>
        </is>
      </c>
      <c r="K345" s="44" t="inlineStr">
        <is>
          <t>Balkh</t>
        </is>
      </c>
      <c r="L345" s="44" t="inlineStr">
        <is>
          <t>Marmul</t>
        </is>
      </c>
      <c r="M345" s="44" t="inlineStr">
        <is>
          <t>Pusht-e-Baghcha and Charmaghz Say</t>
        </is>
      </c>
      <c r="N345" s="44" t="inlineStr">
        <is>
          <t>World Bank (WBK/AF-2)</t>
        </is>
      </c>
      <c r="O345" s="44" t="inlineStr">
        <is>
          <t>Awarded</t>
        </is>
      </c>
      <c r="P345" s="44" t="inlineStr">
        <is>
          <t>3.WSM awarded contracts</t>
        </is>
      </c>
      <c r="Q345" s="44" t="inlineStr">
        <is>
          <t>Omar Mortaza Construction &amp; Road Building JV Karwan Seraji Construction and Road Building Company (OMCC&amp;KSCC)</t>
        </is>
      </c>
      <c r="R345" s="44" t="inlineStr">
        <is>
          <t>034/2026</t>
        </is>
      </c>
      <c r="S345" s="45" t="n">
        <v>45083.74</v>
      </c>
      <c r="T345" s="46" t="inlineStr">
        <is>
          <t>IF(AQ345="","",AQ345)</t>
        </is>
      </c>
      <c r="U345" s="47" t="n"/>
      <c r="V345" s="48" t="n">
        <v>5</v>
      </c>
      <c r="W345" s="47" t="n">
        <v>46306</v>
      </c>
      <c r="X345" s="46" t="inlineStr">
        <is>
          <t>IF(W345&lt;&gt;"",W345,IF(OR(T345="",V345=""),"",EDATE(T345,V345)))</t>
        </is>
      </c>
      <c r="Y345" s="47" t="n"/>
      <c r="Z345" s="48" t="n">
        <v>98</v>
      </c>
      <c r="AA345" s="44" t="inlineStr">
        <is>
          <t>Under Construction</t>
        </is>
      </c>
      <c r="AB345" s="44" t="inlineStr">
        <is>
          <t>Completed on Sep, 2026</t>
        </is>
      </c>
      <c r="AC345" s="42" t="inlineStr">
        <is>
          <t>IF(F345="","",IF(COUNT(AI345:AV345)=0,IF(AA345="","Not started",AA345),SUBSTITUTE(LOOKUP(2,1/(AI345:AV345&lt;&gt;""),$AI$3:$AV$3),"Date: ","")))</t>
        </is>
      </c>
      <c r="AD345" s="49" t="inlineStr">
        <is>
          <t>IF(OR(F345="",COUNT(AI345:AV345)=0),"",TODAY()-LOOKUP(2,1/(AI345:AV345&lt;&gt;""),AI345:AV345))</t>
        </is>
      </c>
      <c r="AE345" s="49" t="inlineStr">
        <is>
          <t>IF(OR(F345="",COUNT(AI345:AV345)&lt;2),"",LOOKUP(2,1/(AI345:AV345&lt;&gt;""),AI345:AV345)-MIN(AI345:AV345))</t>
        </is>
      </c>
      <c r="AF345" s="49" t="inlineStr">
        <is>
          <t>IF(OR(AD345="",AC345="Not started",AC345=""),"",IFERROR(AD345-IF(VLOOKUP(AC345,'06_Status_Pipeline'!$B$3:$E$20,4,FALSE)="",0,VLOOKUP(AC345,'06_Status_Pipeline'!$B$3:$E$20,4,FALSE)),""))</t>
        </is>
      </c>
      <c r="AG345" s="42" t="inlineStr">
        <is>
          <t>IF(F345="","",IF(OR(AA345="Cancelled",AC345="Cancelled"),"Cancelled",IF(OR(AC345="Completed / Handover",Y345&lt;&gt;"",Z345&gt;=100),"Completed — on track",IF(O345="Not awarded",IF(U345="",IF(X345="","No planned date",IF(TODAY()&gt;X345,"Behind — past planned date",IF(X345-TODAY()&lt;=30,"At risk — close to off track","On track"))),IF(TODAY()&gt;U345,"Behind — award date passed",IF(U345-TODAY()&lt;=30,"At risk — close to off track","On track"))),IF(X345="","No planned date",IF(AND(TODAY()&gt;X345,OR(Z345="",Z345&lt;100)),"Behind — past end date",IF(AND(T345&lt;&gt;"",X345&lt;&gt;"",Z345&lt;&gt;"",(Z345&lt;100),((TODAY()-T345)/MAX(X345-T345,1)*100)-Z345&gt;15),"Behind — progress lag",IF(AND(X345-TODAY()&lt;=30,X345-TODAY()&gt;=0,OR(Z345="",Z345&lt;90)),"At risk — close to off track","On track"))))))))</t>
        </is>
      </c>
      <c r="AH345" s="49" t="inlineStr">
        <is>
          <t>IF(OR(F345="",AC345="Completed / Handover",AC345="Cancelled"),"",IF(O345="Not awarded",IF(U345&lt;&gt;"",U345-TODAY(),IF(X345="","",X345-TODAY())),IF(X345="","",X345-TODAY())))</t>
        </is>
      </c>
      <c r="AI345" s="67" t="n"/>
      <c r="AJ345" s="67" t="n"/>
      <c r="AK345" s="67" t="n"/>
      <c r="AL345" s="67" t="n"/>
      <c r="AM345" s="67" t="n"/>
      <c r="AN345" s="67" t="n"/>
      <c r="AO345" s="67" t="n"/>
      <c r="AP345" s="67" t="n"/>
      <c r="AQ345" s="67" t="n">
        <v>46154</v>
      </c>
      <c r="AR345" s="67" t="n">
        <v>46154</v>
      </c>
      <c r="AS345" s="67" t="n"/>
      <c r="AT345" s="50" t="n"/>
      <c r="AU345" s="50" t="n"/>
      <c r="AV345" s="50" t="n"/>
      <c r="AW345" s="49" t="inlineStr">
        <is>
          <t>IF(OR(F345="",AJ345=""),"",IF(COUNT(AI345:AI345)=0,"",AJ345-LOOKUP(2,1/(AI345:AI345&lt;&gt;""),AI345:AI345)))</t>
        </is>
      </c>
      <c r="AX345" s="49" t="inlineStr">
        <is>
          <t>IF(OR(F345="",AK345=""),"",IF(COUNT(AI345:AJ345)=0,"",AK345-LOOKUP(2,1/(AI345:AJ345&lt;&gt;""),AI345:AJ345)))</t>
        </is>
      </c>
      <c r="AY345" s="49" t="inlineStr">
        <is>
          <t>IF(OR(F345="",AL345=""),"",IF(COUNT(AI345:AK345)=0,"",AL345-LOOKUP(2,1/(AI345:AK345&lt;&gt;""),AI345:AK345)))</t>
        </is>
      </c>
      <c r="AZ345" s="49" t="inlineStr">
        <is>
          <t>IF(OR(F345="",AM345=""),"",IF(COUNT(AI345:AL345)=0,"",AM345-LOOKUP(2,1/(AI345:AL345&lt;&gt;""),AI345:AL345)))</t>
        </is>
      </c>
      <c r="BA345" s="49" t="inlineStr">
        <is>
          <t>IF(OR(F345="",AN345=""),"",IF(COUNT(AI345:AM345)=0,"",AN345-LOOKUP(2,1/(AI345:AM345&lt;&gt;""),AI345:AM345)))</t>
        </is>
      </c>
      <c r="BB345" s="49" t="inlineStr">
        <is>
          <t>IF(OR(F345="",AO345=""),"",IF(COUNT(AI345:AN345)=0,"",AO345-LOOKUP(2,1/(AI345:AN345&lt;&gt;""),AI345:AN345)))</t>
        </is>
      </c>
      <c r="BC345" s="49" t="inlineStr">
        <is>
          <t>IF(OR(F345="",AP345=""),"",IF(COUNT(AI345:AO345)=0,"",AP345-LOOKUP(2,1/(AI345:AO345&lt;&gt;""),AI345:AO345)))</t>
        </is>
      </c>
      <c r="BD345" s="49" t="inlineStr">
        <is>
          <t>IF(OR(F345="",AQ345=""),"",IF(COUNT(AI345:AP345)=0,"",AQ345-LOOKUP(2,1/(AI345:AP345&lt;&gt;""),AI345:AP345)))</t>
        </is>
      </c>
      <c r="BE345" s="49" t="inlineStr">
        <is>
          <t>IF(OR(F345="",AR345=""),"",IF(COUNT(AI345:AQ345)=0,"",AR345-LOOKUP(2,1/(AI345:AQ345&lt;&gt;""),AI345:AQ345)))</t>
        </is>
      </c>
      <c r="BF345" s="49" t="inlineStr">
        <is>
          <t>IF(OR(F345="",AS345=""),"",IF(COUNT(AI345:AR345)=0,"",AS345-LOOKUP(2,1/(AI345:AR345&lt;&gt;""),AI345:AR345)))</t>
        </is>
      </c>
      <c r="BG345" s="49" t="inlineStr">
        <is>
          <t>IF(OR(F345="",AT345=""),"",IF(COUNT(AI345:AS345)=0,"",AT345-LOOKUP(2,1/(AI345:AS345&lt;&gt;""),AI345:AS345)))</t>
        </is>
      </c>
      <c r="BH345" s="49" t="inlineStr">
        <is>
          <t>IF(OR(F345="",AU345=""),"",IF(COUNT(AI345:AT345)=0,"",AU345-LOOKUP(2,1/(AI345:AT345&lt;&gt;""),AI345:AT345)))</t>
        </is>
      </c>
      <c r="BI345" s="49" t="inlineStr">
        <is>
          <t>IF(OR(F345="",AV345=""),"",IF(COUNT(AI345:AU345)=0,"",AV345-LOOKUP(2,1/(AI345:AU345&lt;&gt;""),AI345:AU345)))</t>
        </is>
      </c>
      <c r="BJ345" s="51" t="inlineStr">
        <is>
          <t>IF(J345="","All_Provinces",IFERROR(VLOOKUP(J345,'09_Lookups'!$A$4:$B$20,2,FALSE),"All_Provinces"))</t>
        </is>
      </c>
      <c r="BK345" s="51" t="inlineStr">
        <is>
          <t>IF(K345="","All_Districts",IFERROR(VLOOKUP(K345,'09_Lookups'!$E$4:$F$42,2,FALSE),"All_Districts"))</t>
        </is>
      </c>
    </row>
    <row r="346" ht="18" customHeight="1">
      <c r="A346" s="32" t="inlineStr">
        <is>
          <t>IF(F346="","",ROW()-3)</t>
        </is>
      </c>
      <c r="B346" s="62" t="inlineStr">
        <is>
          <t>AF2-WSM-30</t>
        </is>
      </c>
      <c r="C346" s="62" t="inlineStr">
        <is>
          <t>Package #30-AF2 WSM: Construction of 5 Check Damas of A. Majar site # 1 and site # 2; B.Elyasgar site # 3, site 4 and site # 5, located in Aljahad district of Sar-e-Pul province.</t>
        </is>
      </c>
      <c r="D346" s="62" t="inlineStr">
        <is>
          <t>1 of 2</t>
        </is>
      </c>
      <c r="E346" s="34" t="inlineStr">
        <is>
          <t>AF2-WSM-A-065</t>
        </is>
      </c>
      <c r="F346" s="34" t="inlineStr">
        <is>
          <t>Elyasgar Check dam</t>
        </is>
      </c>
      <c r="G346" s="34" t="inlineStr">
        <is>
          <t>Watershed Management</t>
        </is>
      </c>
      <c r="H346" s="34" t="inlineStr">
        <is>
          <t>Check Dam</t>
        </is>
      </c>
      <c r="I346" s="34" t="inlineStr">
        <is>
          <t>Emergency Food Security Project (EFSP) – WBK/AF-2</t>
        </is>
      </c>
      <c r="J346" s="34" t="inlineStr">
        <is>
          <t>North / Mazar</t>
        </is>
      </c>
      <c r="K346" s="34" t="inlineStr">
        <is>
          <t>Sar-e-Pul</t>
        </is>
      </c>
      <c r="L346" s="34" t="inlineStr">
        <is>
          <t>Aljahad</t>
        </is>
      </c>
      <c r="M346" s="34" t="inlineStr">
        <is>
          <t>Ayob, Jar Abdara, Mula Salam, Haji Talib, Hajib Pirak</t>
        </is>
      </c>
      <c r="N346" s="34" t="inlineStr">
        <is>
          <t>World Bank (WBK/AF-2)</t>
        </is>
      </c>
      <c r="O346" s="34" t="inlineStr">
        <is>
          <t>Awarded</t>
        </is>
      </c>
      <c r="P346" s="34" t="inlineStr">
        <is>
          <t>3.WSM awarded contracts</t>
        </is>
      </c>
      <c r="Q346" s="34" t="inlineStr">
        <is>
          <t>Waheed Wahaj Construction Company (WWCC)</t>
        </is>
      </c>
      <c r="R346" s="34" t="inlineStr">
        <is>
          <t>050/2026</t>
        </is>
      </c>
      <c r="S346" s="35" t="n">
        <v>48085.97</v>
      </c>
      <c r="T346" s="36" t="inlineStr">
        <is>
          <t>IF(AQ346="","",AQ346)</t>
        </is>
      </c>
      <c r="U346" s="37" t="n"/>
      <c r="V346" s="38" t="n">
        <v>4</v>
      </c>
      <c r="W346" s="37" t="n">
        <v>46348</v>
      </c>
      <c r="X346" s="36" t="inlineStr">
        <is>
          <t>IF(W346&lt;&gt;"",W346,IF(OR(T346="",V346=""),"",EDATE(T346,V346)))</t>
        </is>
      </c>
      <c r="Y346" s="37" t="n"/>
      <c r="Z346" s="38" t="n">
        <v>6</v>
      </c>
      <c r="AA346" s="34" t="inlineStr">
        <is>
          <t>Under Construction</t>
        </is>
      </c>
      <c r="AB346" s="34" t="inlineStr">
        <is>
          <t>The contract has recently been awarded. Mobilization is being carried out by the contractor.</t>
        </is>
      </c>
      <c r="AC346" s="32" t="inlineStr">
        <is>
          <t>IF(F346="","",IF(COUNT(AI346:AV346)=0,IF(AA346="","Not started",AA346),SUBSTITUTE(LOOKUP(2,1/(AI346:AV346&lt;&gt;""),$AI$3:$AV$3),"Date: ","")))</t>
        </is>
      </c>
      <c r="AD346" s="39" t="inlineStr">
        <is>
          <t>IF(OR(F346="",COUNT(AI346:AV346)=0),"",TODAY()-LOOKUP(2,1/(AI346:AV346&lt;&gt;""),AI346:AV346))</t>
        </is>
      </c>
      <c r="AE346" s="39" t="inlineStr">
        <is>
          <t>IF(OR(F346="",COUNT(AI346:AV346)&lt;2),"",LOOKUP(2,1/(AI346:AV346&lt;&gt;""),AI346:AV346)-MIN(AI346:AV346))</t>
        </is>
      </c>
      <c r="AF346" s="39" t="inlineStr">
        <is>
          <t>IF(OR(AD346="",AC346="Not started",AC346=""),"",IFERROR(AD346-IF(VLOOKUP(AC346,'06_Status_Pipeline'!$B$3:$E$20,4,FALSE)="",0,VLOOKUP(AC346,'06_Status_Pipeline'!$B$3:$E$20,4,FALSE)),""))</t>
        </is>
      </c>
      <c r="AG346" s="32" t="inlineStr">
        <is>
          <t>IF(F346="","",IF(OR(AA346="Cancelled",AC346="Cancelled"),"Cancelled",IF(OR(AC346="Completed / Handover",Y346&lt;&gt;"",Z346&gt;=100),"Completed — on track",IF(O346="Not awarded",IF(U346="",IF(X346="","No planned date",IF(TODAY()&gt;X346,"Behind — past planned date",IF(X346-TODAY()&lt;=30,"At risk — close to off track","On track"))),IF(TODAY()&gt;U346,"Behind — award date passed",IF(U346-TODAY()&lt;=30,"At risk — close to off track","On track"))),IF(X346="","No planned date",IF(AND(TODAY()&gt;X346,OR(Z346="",Z346&lt;100)),"Behind — past end date",IF(AND(T346&lt;&gt;"",X346&lt;&gt;"",Z346&lt;&gt;"",(Z346&lt;100),((TODAY()-T346)/MAX(X346-T346,1)*100)-Z346&gt;15),"Behind — progress lag",IF(AND(X346-TODAY()&lt;=30,X346-TODAY()&gt;=0,OR(Z346="",Z346&lt;90)),"At risk — close to off track","On track"))))))))</t>
        </is>
      </c>
      <c r="AH346" s="39" t="inlineStr">
        <is>
          <t>IF(OR(F346="",AC346="Completed / Handover",AC346="Cancelled"),"",IF(O346="Not awarded",IF(U346&lt;&gt;"",U346-TODAY(),IF(X346="","",X346-TODAY())),IF(X346="","",X346-TODAY())))</t>
        </is>
      </c>
      <c r="AI346" s="66" t="n"/>
      <c r="AJ346" s="66" t="n"/>
      <c r="AK346" s="66" t="n"/>
      <c r="AL346" s="66" t="n"/>
      <c r="AM346" s="66" t="n"/>
      <c r="AN346" s="66" t="n"/>
      <c r="AO346" s="66" t="n"/>
      <c r="AP346" s="66" t="n"/>
      <c r="AQ346" s="66" t="n">
        <v>46226</v>
      </c>
      <c r="AR346" s="66" t="n">
        <v>46226</v>
      </c>
      <c r="AS346" s="66" t="n"/>
      <c r="AT346" s="40" t="n"/>
      <c r="AU346" s="40" t="n"/>
      <c r="AV346" s="40" t="n"/>
      <c r="AW346" s="39" t="inlineStr">
        <is>
          <t>IF(OR(F346="",AJ346=""),"",IF(COUNT(AI346:AI346)=0,"",AJ346-LOOKUP(2,1/(AI346:AI346&lt;&gt;""),AI346:AI346)))</t>
        </is>
      </c>
      <c r="AX346" s="39" t="inlineStr">
        <is>
          <t>IF(OR(F346="",AK346=""),"",IF(COUNT(AI346:AJ346)=0,"",AK346-LOOKUP(2,1/(AI346:AJ346&lt;&gt;""),AI346:AJ346)))</t>
        </is>
      </c>
      <c r="AY346" s="39" t="inlineStr">
        <is>
          <t>IF(OR(F346="",AL346=""),"",IF(COUNT(AI346:AK346)=0,"",AL346-LOOKUP(2,1/(AI346:AK346&lt;&gt;""),AI346:AK346)))</t>
        </is>
      </c>
      <c r="AZ346" s="39" t="inlineStr">
        <is>
          <t>IF(OR(F346="",AM346=""),"",IF(COUNT(AI346:AL346)=0,"",AM346-LOOKUP(2,1/(AI346:AL346&lt;&gt;""),AI346:AL346)))</t>
        </is>
      </c>
      <c r="BA346" s="39" t="inlineStr">
        <is>
          <t>IF(OR(F346="",AN346=""),"",IF(COUNT(AI346:AM346)=0,"",AN346-LOOKUP(2,1/(AI346:AM346&lt;&gt;""),AI346:AM346)))</t>
        </is>
      </c>
      <c r="BB346" s="39" t="inlineStr">
        <is>
          <t>IF(OR(F346="",AO346=""),"",IF(COUNT(AI346:AN346)=0,"",AO346-LOOKUP(2,1/(AI346:AN346&lt;&gt;""),AI346:AN346)))</t>
        </is>
      </c>
      <c r="BC346" s="39" t="inlineStr">
        <is>
          <t>IF(OR(F346="",AP346=""),"",IF(COUNT(AI346:AO346)=0,"",AP346-LOOKUP(2,1/(AI346:AO346&lt;&gt;""),AI346:AO346)))</t>
        </is>
      </c>
      <c r="BD346" s="39" t="inlineStr">
        <is>
          <t>IF(OR(F346="",AQ346=""),"",IF(COUNT(AI346:AP346)=0,"",AQ346-LOOKUP(2,1/(AI346:AP346&lt;&gt;""),AI346:AP346)))</t>
        </is>
      </c>
      <c r="BE346" s="39" t="inlineStr">
        <is>
          <t>IF(OR(F346="",AR346=""),"",IF(COUNT(AI346:AQ346)=0,"",AR346-LOOKUP(2,1/(AI346:AQ346&lt;&gt;""),AI346:AQ346)))</t>
        </is>
      </c>
      <c r="BF346" s="39" t="inlineStr">
        <is>
          <t>IF(OR(F346="",AS346=""),"",IF(COUNT(AI346:AR346)=0,"",AS346-LOOKUP(2,1/(AI346:AR346&lt;&gt;""),AI346:AR346)))</t>
        </is>
      </c>
      <c r="BG346" s="39" t="inlineStr">
        <is>
          <t>IF(OR(F346="",AT346=""),"",IF(COUNT(AI346:AS346)=0,"",AT346-LOOKUP(2,1/(AI346:AS346&lt;&gt;""),AI346:AS346)))</t>
        </is>
      </c>
      <c r="BH346" s="39" t="inlineStr">
        <is>
          <t>IF(OR(F346="",AU346=""),"",IF(COUNT(AI346:AT346)=0,"",AU346-LOOKUP(2,1/(AI346:AT346&lt;&gt;""),AI346:AT346)))</t>
        </is>
      </c>
      <c r="BI346" s="39" t="inlineStr">
        <is>
          <t>IF(OR(F346="",AV346=""),"",IF(COUNT(AI346:AU346)=0,"",AV346-LOOKUP(2,1/(AI346:AU346&lt;&gt;""),AI346:AU346)))</t>
        </is>
      </c>
      <c r="BJ346" s="41" t="inlineStr">
        <is>
          <t>IF(J346="","All_Provinces",IFERROR(VLOOKUP(J346,'09_Lookups'!$A$4:$B$20,2,FALSE),"All_Provinces"))</t>
        </is>
      </c>
      <c r="BK346" s="41" t="inlineStr">
        <is>
          <t>IF(K346="","All_Districts",IFERROR(VLOOKUP(K346,'09_Lookups'!$E$4:$F$42,2,FALSE),"All_Districts"))</t>
        </is>
      </c>
    </row>
    <row r="347" outlineLevel="1" ht="18" customHeight="1">
      <c r="A347" s="42" t="inlineStr">
        <is>
          <t>IF(F347="","",ROW()-3)</t>
        </is>
      </c>
      <c r="B347" s="63" t="inlineStr">
        <is>
          <t>AF2-WSM-30</t>
        </is>
      </c>
      <c r="C347" s="63" t="inlineStr">
        <is>
          <t>Package #30-AF2 WSM: Construction of 5 Check Damas of A. Majar site # 1 and site # 2; B.Elyasgar site # 3, site 4 and site # 5, located in Aljahad district of Sar-e-Pul province.</t>
        </is>
      </c>
      <c r="D347" s="63" t="inlineStr">
        <is>
          <t>2 of 2</t>
        </is>
      </c>
      <c r="E347" s="44" t="inlineStr">
        <is>
          <t>AF2-WSM-A-066</t>
        </is>
      </c>
      <c r="F347" s="44" t="inlineStr">
        <is>
          <t>Majar Check dam</t>
        </is>
      </c>
      <c r="G347" s="44" t="inlineStr">
        <is>
          <t>Watershed Management</t>
        </is>
      </c>
      <c r="H347" s="44" t="inlineStr">
        <is>
          <t>Check Dam</t>
        </is>
      </c>
      <c r="I347" s="44" t="inlineStr">
        <is>
          <t>Emergency Food Security Project (EFSP) – WBK/AF-2</t>
        </is>
      </c>
      <c r="J347" s="44" t="inlineStr">
        <is>
          <t>North / Mazar</t>
        </is>
      </c>
      <c r="K347" s="44" t="inlineStr">
        <is>
          <t>Sar-e-Pul</t>
        </is>
      </c>
      <c r="L347" s="44" t="inlineStr">
        <is>
          <t>Aljahad</t>
        </is>
      </c>
      <c r="M347" s="44" t="inlineStr">
        <is>
          <t>Mullah Baba, Bahauden, Katlo Soy, Majar Ulia, Majar Aji</t>
        </is>
      </c>
      <c r="N347" s="44" t="inlineStr">
        <is>
          <t>World Bank (WBK/AF-2)</t>
        </is>
      </c>
      <c r="O347" s="44" t="inlineStr">
        <is>
          <t>Awarded</t>
        </is>
      </c>
      <c r="P347" s="44" t="inlineStr">
        <is>
          <t>3.WSM awarded contracts</t>
        </is>
      </c>
      <c r="Q347" s="44" t="inlineStr">
        <is>
          <t>Waheed Wahaj Construction Company (WWCC)</t>
        </is>
      </c>
      <c r="R347" s="44" t="inlineStr">
        <is>
          <t>050/2026</t>
        </is>
      </c>
      <c r="S347" s="45" t="n">
        <v>22485.14</v>
      </c>
      <c r="T347" s="46" t="inlineStr">
        <is>
          <t>IF(AQ347="","",AQ347)</t>
        </is>
      </c>
      <c r="U347" s="47" t="n"/>
      <c r="V347" s="48" t="n">
        <v>4</v>
      </c>
      <c r="W347" s="47" t="n">
        <v>46348</v>
      </c>
      <c r="X347" s="46" t="inlineStr">
        <is>
          <t>IF(W347&lt;&gt;"",W347,IF(OR(T347="",V347=""),"",EDATE(T347,V347)))</t>
        </is>
      </c>
      <c r="Y347" s="47" t="n"/>
      <c r="Z347" s="48" t="n">
        <v>6</v>
      </c>
      <c r="AA347" s="44" t="inlineStr">
        <is>
          <t>Under Construction</t>
        </is>
      </c>
      <c r="AB347" s="44" t="inlineStr">
        <is>
          <t>The contract has recently been awarded. Mobilization is being carried out by the contractor.</t>
        </is>
      </c>
      <c r="AC347" s="42" t="inlineStr">
        <is>
          <t>IF(F347="","",IF(COUNT(AI347:AV347)=0,IF(AA347="","Not started",AA347),SUBSTITUTE(LOOKUP(2,1/(AI347:AV347&lt;&gt;""),$AI$3:$AV$3),"Date: ","")))</t>
        </is>
      </c>
      <c r="AD347" s="49" t="inlineStr">
        <is>
          <t>IF(OR(F347="",COUNT(AI347:AV347)=0),"",TODAY()-LOOKUP(2,1/(AI347:AV347&lt;&gt;""),AI347:AV347))</t>
        </is>
      </c>
      <c r="AE347" s="49" t="inlineStr">
        <is>
          <t>IF(OR(F347="",COUNT(AI347:AV347)&lt;2),"",LOOKUP(2,1/(AI347:AV347&lt;&gt;""),AI347:AV347)-MIN(AI347:AV347))</t>
        </is>
      </c>
      <c r="AF347" s="49" t="inlineStr">
        <is>
          <t>IF(OR(AD347="",AC347="Not started",AC347=""),"",IFERROR(AD347-IF(VLOOKUP(AC347,'06_Status_Pipeline'!$B$3:$E$20,4,FALSE)="",0,VLOOKUP(AC347,'06_Status_Pipeline'!$B$3:$E$20,4,FALSE)),""))</t>
        </is>
      </c>
      <c r="AG347" s="42" t="inlineStr">
        <is>
          <t>IF(F347="","",IF(OR(AA347="Cancelled",AC347="Cancelled"),"Cancelled",IF(OR(AC347="Completed / Handover",Y347&lt;&gt;"",Z347&gt;=100),"Completed — on track",IF(O347="Not awarded",IF(U347="",IF(X347="","No planned date",IF(TODAY()&gt;X347,"Behind — past planned date",IF(X347-TODAY()&lt;=30,"At risk — close to off track","On track"))),IF(TODAY()&gt;U347,"Behind — award date passed",IF(U347-TODAY()&lt;=30,"At risk — close to off track","On track"))),IF(X347="","No planned date",IF(AND(TODAY()&gt;X347,OR(Z347="",Z347&lt;100)),"Behind — past end date",IF(AND(T347&lt;&gt;"",X347&lt;&gt;"",Z347&lt;&gt;"",(Z347&lt;100),((TODAY()-T347)/MAX(X347-T347,1)*100)-Z347&gt;15),"Behind — progress lag",IF(AND(X347-TODAY()&lt;=30,X347-TODAY()&gt;=0,OR(Z347="",Z347&lt;90)),"At risk — close to off track","On track"))))))))</t>
        </is>
      </c>
      <c r="AH347" s="49" t="inlineStr">
        <is>
          <t>IF(OR(F347="",AC347="Completed / Handover",AC347="Cancelled"),"",IF(O347="Not awarded",IF(U347&lt;&gt;"",U347-TODAY(),IF(X347="","",X347-TODAY())),IF(X347="","",X347-TODAY())))</t>
        </is>
      </c>
      <c r="AI347" s="67" t="n"/>
      <c r="AJ347" s="67" t="n"/>
      <c r="AK347" s="67" t="n"/>
      <c r="AL347" s="67" t="n"/>
      <c r="AM347" s="67" t="n"/>
      <c r="AN347" s="67" t="n"/>
      <c r="AO347" s="67" t="n"/>
      <c r="AP347" s="67" t="n"/>
      <c r="AQ347" s="67" t="n">
        <v>46226</v>
      </c>
      <c r="AR347" s="67" t="n">
        <v>46226</v>
      </c>
      <c r="AS347" s="67" t="n"/>
      <c r="AT347" s="50" t="n"/>
      <c r="AU347" s="50" t="n"/>
      <c r="AV347" s="50" t="n"/>
      <c r="AW347" s="49" t="inlineStr">
        <is>
          <t>IF(OR(F347="",AJ347=""),"",IF(COUNT(AI347:AI347)=0,"",AJ347-LOOKUP(2,1/(AI347:AI347&lt;&gt;""),AI347:AI347)))</t>
        </is>
      </c>
      <c r="AX347" s="49" t="inlineStr">
        <is>
          <t>IF(OR(F347="",AK347=""),"",IF(COUNT(AI347:AJ347)=0,"",AK347-LOOKUP(2,1/(AI347:AJ347&lt;&gt;""),AI347:AJ347)))</t>
        </is>
      </c>
      <c r="AY347" s="49" t="inlineStr">
        <is>
          <t>IF(OR(F347="",AL347=""),"",IF(COUNT(AI347:AK347)=0,"",AL347-LOOKUP(2,1/(AI347:AK347&lt;&gt;""),AI347:AK347)))</t>
        </is>
      </c>
      <c r="AZ347" s="49" t="inlineStr">
        <is>
          <t>IF(OR(F347="",AM347=""),"",IF(COUNT(AI347:AL347)=0,"",AM347-LOOKUP(2,1/(AI347:AL347&lt;&gt;""),AI347:AL347)))</t>
        </is>
      </c>
      <c r="BA347" s="49" t="inlineStr">
        <is>
          <t>IF(OR(F347="",AN347=""),"",IF(COUNT(AI347:AM347)=0,"",AN347-LOOKUP(2,1/(AI347:AM347&lt;&gt;""),AI347:AM347)))</t>
        </is>
      </c>
      <c r="BB347" s="49" t="inlineStr">
        <is>
          <t>IF(OR(F347="",AO347=""),"",IF(COUNT(AI347:AN347)=0,"",AO347-LOOKUP(2,1/(AI347:AN347&lt;&gt;""),AI347:AN347)))</t>
        </is>
      </c>
      <c r="BC347" s="49" t="inlineStr">
        <is>
          <t>IF(OR(F347="",AP347=""),"",IF(COUNT(AI347:AO347)=0,"",AP347-LOOKUP(2,1/(AI347:AO347&lt;&gt;""),AI347:AO347)))</t>
        </is>
      </c>
      <c r="BD347" s="49" t="inlineStr">
        <is>
          <t>IF(OR(F347="",AQ347=""),"",IF(COUNT(AI347:AP347)=0,"",AQ347-LOOKUP(2,1/(AI347:AP347&lt;&gt;""),AI347:AP347)))</t>
        </is>
      </c>
      <c r="BE347" s="49" t="inlineStr">
        <is>
          <t>IF(OR(F347="",AR347=""),"",IF(COUNT(AI347:AQ347)=0,"",AR347-LOOKUP(2,1/(AI347:AQ347&lt;&gt;""),AI347:AQ347)))</t>
        </is>
      </c>
      <c r="BF347" s="49" t="inlineStr">
        <is>
          <t>IF(OR(F347="",AS347=""),"",IF(COUNT(AI347:AR347)=0,"",AS347-LOOKUP(2,1/(AI347:AR347&lt;&gt;""),AI347:AR347)))</t>
        </is>
      </c>
      <c r="BG347" s="49" t="inlineStr">
        <is>
          <t>IF(OR(F347="",AT347=""),"",IF(COUNT(AI347:AS347)=0,"",AT347-LOOKUP(2,1/(AI347:AS347&lt;&gt;""),AI347:AS347)))</t>
        </is>
      </c>
      <c r="BH347" s="49" t="inlineStr">
        <is>
          <t>IF(OR(F347="",AU347=""),"",IF(COUNT(AI347:AT347)=0,"",AU347-LOOKUP(2,1/(AI347:AT347&lt;&gt;""),AI347:AT347)))</t>
        </is>
      </c>
      <c r="BI347" s="49" t="inlineStr">
        <is>
          <t>IF(OR(F347="",AV347=""),"",IF(COUNT(AI347:AU347)=0,"",AV347-LOOKUP(2,1/(AI347:AU347&lt;&gt;""),AI347:AU347)))</t>
        </is>
      </c>
      <c r="BJ347" s="51" t="inlineStr">
        <is>
          <t>IF(J347="","All_Provinces",IFERROR(VLOOKUP(J347,'09_Lookups'!$A$4:$B$20,2,FALSE),"All_Provinces"))</t>
        </is>
      </c>
      <c r="BK347" s="51" t="inlineStr">
        <is>
          <t>IF(K347="","All_Districts",IFERROR(VLOOKUP(K347,'09_Lookups'!$E$4:$F$42,2,FALSE),"All_Districts"))</t>
        </is>
      </c>
    </row>
    <row r="348" ht="18" customHeight="1">
      <c r="A348" s="32" t="inlineStr">
        <is>
          <t>IF(F348="","",ROW()-3)</t>
        </is>
      </c>
      <c r="B348" s="64" t="inlineStr">
        <is>
          <t>AF2-WSM-31</t>
        </is>
      </c>
      <c r="C348" s="64" t="inlineStr">
        <is>
          <t>Package # 31-AF2 WSM: Construction of 1. Khaibar and 2. Chelgazi Check dams, located in Khaibar and Chelgazi districts of Faryab province.</t>
        </is>
      </c>
      <c r="D348" s="64" t="inlineStr">
        <is>
          <t>1 of 2</t>
        </is>
      </c>
      <c r="E348" s="34" t="inlineStr">
        <is>
          <t>AF2-WSM-A-067</t>
        </is>
      </c>
      <c r="F348" s="34" t="inlineStr">
        <is>
          <t>Chelgazi Check dam</t>
        </is>
      </c>
      <c r="G348" s="34" t="inlineStr">
        <is>
          <t>Watershed Management</t>
        </is>
      </c>
      <c r="H348" s="34" t="inlineStr">
        <is>
          <t>Check Dam</t>
        </is>
      </c>
      <c r="I348" s="34" t="inlineStr">
        <is>
          <t>Emergency Food Security Project (EFSP) – WBK/AF-2</t>
        </is>
      </c>
      <c r="J348" s="34" t="inlineStr">
        <is>
          <t>North / Mazar</t>
        </is>
      </c>
      <c r="K348" s="34" t="inlineStr">
        <is>
          <t>Faryab</t>
        </is>
      </c>
      <c r="L348" s="34" t="inlineStr">
        <is>
          <t>Chelgazi</t>
        </is>
      </c>
      <c r="M348" s="34" t="inlineStr">
        <is>
          <t>Hazar qala and Aq Mazar</t>
        </is>
      </c>
      <c r="N348" s="34" t="inlineStr">
        <is>
          <t>World Bank (WBK/AF-2)</t>
        </is>
      </c>
      <c r="O348" s="34" t="inlineStr">
        <is>
          <t>Awarded</t>
        </is>
      </c>
      <c r="P348" s="34" t="inlineStr">
        <is>
          <t>3.WSM awarded contracts</t>
        </is>
      </c>
      <c r="Q348" s="34" t="inlineStr">
        <is>
          <t>Malik Hajdar Construction and Road Company (MHCC)</t>
        </is>
      </c>
      <c r="R348" s="34" t="inlineStr">
        <is>
          <t>033/2026</t>
        </is>
      </c>
      <c r="S348" s="35" t="n">
        <v>36101.03</v>
      </c>
      <c r="T348" s="36" t="inlineStr">
        <is>
          <t>IF(AQ348="","",AQ348)</t>
        </is>
      </c>
      <c r="U348" s="37" t="n"/>
      <c r="V348" s="38" t="n">
        <v>4</v>
      </c>
      <c r="W348" s="37" t="n">
        <v>46271</v>
      </c>
      <c r="X348" s="36" t="inlineStr">
        <is>
          <t>IF(W348&lt;&gt;"",W348,IF(OR(T348="",V348=""),"",EDATE(T348,V348)))</t>
        </is>
      </c>
      <c r="Y348" s="37" t="n"/>
      <c r="Z348" s="38" t="n">
        <v>100</v>
      </c>
      <c r="AA348" s="34" t="inlineStr">
        <is>
          <t>Completed / Handover</t>
        </is>
      </c>
      <c r="AB348" s="34" t="inlineStr">
        <is>
          <t>Completed on Aug, 2026</t>
        </is>
      </c>
      <c r="AC348" s="32" t="inlineStr">
        <is>
          <t>IF(F348="","",IF(COUNT(AI348:AV348)=0,IF(AA348="","Not started",AA348),SUBSTITUTE(LOOKUP(2,1/(AI348:AV348&lt;&gt;""),$AI$3:$AV$3),"Date: ","")))</t>
        </is>
      </c>
      <c r="AD348" s="39" t="inlineStr">
        <is>
          <t>IF(OR(F348="",COUNT(AI348:AV348)=0),"",TODAY()-LOOKUP(2,1/(AI348:AV348&lt;&gt;""),AI348:AV348))</t>
        </is>
      </c>
      <c r="AE348" s="39" t="inlineStr">
        <is>
          <t>IF(OR(F348="",COUNT(AI348:AV348)&lt;2),"",LOOKUP(2,1/(AI348:AV348&lt;&gt;""),AI348:AV348)-MIN(AI348:AV348))</t>
        </is>
      </c>
      <c r="AF348" s="39" t="inlineStr">
        <is>
          <t>IF(OR(AD348="",AC348="Not started",AC348=""),"",IFERROR(AD348-IF(VLOOKUP(AC348,'06_Status_Pipeline'!$B$3:$E$20,4,FALSE)="",0,VLOOKUP(AC348,'06_Status_Pipeline'!$B$3:$E$20,4,FALSE)),""))</t>
        </is>
      </c>
      <c r="AG348" s="32" t="inlineStr">
        <is>
          <t>IF(F348="","",IF(OR(AA348="Cancelled",AC348="Cancelled"),"Cancelled",IF(OR(AC348="Completed / Handover",Y348&lt;&gt;"",Z348&gt;=100),"Completed — on track",IF(O348="Not awarded",IF(U348="",IF(X348="","No planned date",IF(TODAY()&gt;X348,"Behind — past planned date",IF(X348-TODAY()&lt;=30,"At risk — close to off track","On track"))),IF(TODAY()&gt;U348,"Behind — award date passed",IF(U348-TODAY()&lt;=30,"At risk — close to off track","On track"))),IF(X348="","No planned date",IF(AND(TODAY()&gt;X348,OR(Z348="",Z348&lt;100)),"Behind — past end date",IF(AND(T348&lt;&gt;"",X348&lt;&gt;"",Z348&lt;&gt;"",(Z348&lt;100),((TODAY()-T348)/MAX(X348-T348,1)*100)-Z348&gt;15),"Behind — progress lag",IF(AND(X348-TODAY()&lt;=30,X348-TODAY()&gt;=0,OR(Z348="",Z348&lt;90)),"At risk — close to off track","On track"))))))))</t>
        </is>
      </c>
      <c r="AH348" s="39" t="inlineStr">
        <is>
          <t>IF(OR(F348="",AC348="Completed / Handover",AC348="Cancelled"),"",IF(O348="Not awarded",IF(U348&lt;&gt;"",U348-TODAY(),IF(X348="","",X348-TODAY())),IF(X348="","",X348-TODAY())))</t>
        </is>
      </c>
      <c r="AI348" s="66" t="n"/>
      <c r="AJ348" s="66" t="n"/>
      <c r="AK348" s="66" t="n"/>
      <c r="AL348" s="66" t="n"/>
      <c r="AM348" s="66" t="n"/>
      <c r="AN348" s="66" t="n"/>
      <c r="AO348" s="66" t="n"/>
      <c r="AP348" s="66" t="n"/>
      <c r="AQ348" s="66" t="n">
        <v>46149</v>
      </c>
      <c r="AR348" s="66" t="n">
        <v>46149</v>
      </c>
      <c r="AS348" s="66" t="n">
        <v>46271</v>
      </c>
      <c r="AT348" s="40" t="n"/>
      <c r="AU348" s="40" t="n"/>
      <c r="AV348" s="40" t="n"/>
      <c r="AW348" s="39" t="inlineStr">
        <is>
          <t>IF(OR(F348="",AJ348=""),"",IF(COUNT(AI348:AI348)=0,"",AJ348-LOOKUP(2,1/(AI348:AI348&lt;&gt;""),AI348:AI348)))</t>
        </is>
      </c>
      <c r="AX348" s="39" t="inlineStr">
        <is>
          <t>IF(OR(F348="",AK348=""),"",IF(COUNT(AI348:AJ348)=0,"",AK348-LOOKUP(2,1/(AI348:AJ348&lt;&gt;""),AI348:AJ348)))</t>
        </is>
      </c>
      <c r="AY348" s="39" t="inlineStr">
        <is>
          <t>IF(OR(F348="",AL348=""),"",IF(COUNT(AI348:AK348)=0,"",AL348-LOOKUP(2,1/(AI348:AK348&lt;&gt;""),AI348:AK348)))</t>
        </is>
      </c>
      <c r="AZ348" s="39" t="inlineStr">
        <is>
          <t>IF(OR(F348="",AM348=""),"",IF(COUNT(AI348:AL348)=0,"",AM348-LOOKUP(2,1/(AI348:AL348&lt;&gt;""),AI348:AL348)))</t>
        </is>
      </c>
      <c r="BA348" s="39" t="inlineStr">
        <is>
          <t>IF(OR(F348="",AN348=""),"",IF(COUNT(AI348:AM348)=0,"",AN348-LOOKUP(2,1/(AI348:AM348&lt;&gt;""),AI348:AM348)))</t>
        </is>
      </c>
      <c r="BB348" s="39" t="inlineStr">
        <is>
          <t>IF(OR(F348="",AO348=""),"",IF(COUNT(AI348:AN348)=0,"",AO348-LOOKUP(2,1/(AI348:AN348&lt;&gt;""),AI348:AN348)))</t>
        </is>
      </c>
      <c r="BC348" s="39" t="inlineStr">
        <is>
          <t>IF(OR(F348="",AP348=""),"",IF(COUNT(AI348:AO348)=0,"",AP348-LOOKUP(2,1/(AI348:AO348&lt;&gt;""),AI348:AO348)))</t>
        </is>
      </c>
      <c r="BD348" s="39" t="inlineStr">
        <is>
          <t>IF(OR(F348="",AQ348=""),"",IF(COUNT(AI348:AP348)=0,"",AQ348-LOOKUP(2,1/(AI348:AP348&lt;&gt;""),AI348:AP348)))</t>
        </is>
      </c>
      <c r="BE348" s="39" t="inlineStr">
        <is>
          <t>IF(OR(F348="",AR348=""),"",IF(COUNT(AI348:AQ348)=0,"",AR348-LOOKUP(2,1/(AI348:AQ348&lt;&gt;""),AI348:AQ348)))</t>
        </is>
      </c>
      <c r="BF348" s="39" t="inlineStr">
        <is>
          <t>IF(OR(F348="",AS348=""),"",IF(COUNT(AI348:AR348)=0,"",AS348-LOOKUP(2,1/(AI348:AR348&lt;&gt;""),AI348:AR348)))</t>
        </is>
      </c>
      <c r="BG348" s="39" t="inlineStr">
        <is>
          <t>IF(OR(F348="",AT348=""),"",IF(COUNT(AI348:AS348)=0,"",AT348-LOOKUP(2,1/(AI348:AS348&lt;&gt;""),AI348:AS348)))</t>
        </is>
      </c>
      <c r="BH348" s="39" t="inlineStr">
        <is>
          <t>IF(OR(F348="",AU348=""),"",IF(COUNT(AI348:AT348)=0,"",AU348-LOOKUP(2,1/(AI348:AT348&lt;&gt;""),AI348:AT348)))</t>
        </is>
      </c>
      <c r="BI348" s="39" t="inlineStr">
        <is>
          <t>IF(OR(F348="",AV348=""),"",IF(COUNT(AI348:AU348)=0,"",AV348-LOOKUP(2,1/(AI348:AU348&lt;&gt;""),AI348:AU348)))</t>
        </is>
      </c>
      <c r="BJ348" s="41" t="inlineStr">
        <is>
          <t>IF(J348="","All_Provinces",IFERROR(VLOOKUP(J348,'09_Lookups'!$A$4:$B$20,2,FALSE),"All_Provinces"))</t>
        </is>
      </c>
      <c r="BK348" s="41" t="inlineStr">
        <is>
          <t>IF(K348="","All_Districts",IFERROR(VLOOKUP(K348,'09_Lookups'!$E$4:$F$42,2,FALSE),"All_Districts"))</t>
        </is>
      </c>
    </row>
    <row r="349" outlineLevel="1" ht="18" customHeight="1">
      <c r="A349" s="42" t="inlineStr">
        <is>
          <t>IF(F349="","",ROW()-3)</t>
        </is>
      </c>
      <c r="B349" s="65" t="inlineStr">
        <is>
          <t>AF2-WSM-31</t>
        </is>
      </c>
      <c r="C349" s="65" t="inlineStr">
        <is>
          <t>Package # 31-AF2 WSM: Construction of 1. Khaibar and 2. Chelgazi Check dams, located in Khaibar and Chelgazi districts of Faryab province.</t>
        </is>
      </c>
      <c r="D349" s="65" t="inlineStr">
        <is>
          <t>2 of 2</t>
        </is>
      </c>
      <c r="E349" s="44" t="inlineStr">
        <is>
          <t>AF2-WSM-A-068</t>
        </is>
      </c>
      <c r="F349" s="44" t="inlineStr">
        <is>
          <t>Khaibar Check dam</t>
        </is>
      </c>
      <c r="G349" s="44" t="inlineStr">
        <is>
          <t>Watershed Management</t>
        </is>
      </c>
      <c r="H349" s="44" t="inlineStr">
        <is>
          <t>Check Dam</t>
        </is>
      </c>
      <c r="I349" s="44" t="inlineStr">
        <is>
          <t>Emergency Food Security Project (EFSP) – WBK/AF-2</t>
        </is>
      </c>
      <c r="J349" s="44" t="inlineStr">
        <is>
          <t>North / Mazar</t>
        </is>
      </c>
      <c r="K349" s="44" t="inlineStr">
        <is>
          <t>Faryab</t>
        </is>
      </c>
      <c r="L349" s="44" t="inlineStr">
        <is>
          <t>Khaibar</t>
        </is>
      </c>
      <c r="M349" s="44" t="inlineStr">
        <is>
          <t>Mesh mast and Pasha Khan Abdal</t>
        </is>
      </c>
      <c r="N349" s="44" t="inlineStr">
        <is>
          <t>World Bank (WBK/AF-2)</t>
        </is>
      </c>
      <c r="O349" s="44" t="inlineStr">
        <is>
          <t>Awarded</t>
        </is>
      </c>
      <c r="P349" s="44" t="inlineStr">
        <is>
          <t>3.WSM awarded contracts</t>
        </is>
      </c>
      <c r="Q349" s="44" t="inlineStr">
        <is>
          <t>Malik Hajdar Construction and Road Company (MHCC)</t>
        </is>
      </c>
      <c r="R349" s="44" t="inlineStr">
        <is>
          <t>033/2026</t>
        </is>
      </c>
      <c r="S349" s="45" t="n">
        <v>44507.76</v>
      </c>
      <c r="T349" s="46" t="inlineStr">
        <is>
          <t>IF(AQ349="","",AQ349)</t>
        </is>
      </c>
      <c r="U349" s="47" t="n"/>
      <c r="V349" s="48" t="n">
        <v>4</v>
      </c>
      <c r="W349" s="47" t="n">
        <v>46271</v>
      </c>
      <c r="X349" s="46" t="inlineStr">
        <is>
          <t>IF(W349&lt;&gt;"",W349,IF(OR(T349="",V349=""),"",EDATE(T349,V349)))</t>
        </is>
      </c>
      <c r="Y349" s="47" t="n"/>
      <c r="Z349" s="48" t="n">
        <v>100</v>
      </c>
      <c r="AA349" s="44" t="inlineStr">
        <is>
          <t>Completed / Handover</t>
        </is>
      </c>
      <c r="AB349" s="44" t="inlineStr">
        <is>
          <t>Completed on Aug, 2026</t>
        </is>
      </c>
      <c r="AC349" s="42" t="inlineStr">
        <is>
          <t>IF(F349="","",IF(COUNT(AI349:AV349)=0,IF(AA349="","Not started",AA349),SUBSTITUTE(LOOKUP(2,1/(AI349:AV349&lt;&gt;""),$AI$3:$AV$3),"Date: ","")))</t>
        </is>
      </c>
      <c r="AD349" s="49" t="inlineStr">
        <is>
          <t>IF(OR(F349="",COUNT(AI349:AV349)=0),"",TODAY()-LOOKUP(2,1/(AI349:AV349&lt;&gt;""),AI349:AV349))</t>
        </is>
      </c>
      <c r="AE349" s="49" t="inlineStr">
        <is>
          <t>IF(OR(F349="",COUNT(AI349:AV349)&lt;2),"",LOOKUP(2,1/(AI349:AV349&lt;&gt;""),AI349:AV349)-MIN(AI349:AV349))</t>
        </is>
      </c>
      <c r="AF349" s="49" t="inlineStr">
        <is>
          <t>IF(OR(AD349="",AC349="Not started",AC349=""),"",IFERROR(AD349-IF(VLOOKUP(AC349,'06_Status_Pipeline'!$B$3:$E$20,4,FALSE)="",0,VLOOKUP(AC349,'06_Status_Pipeline'!$B$3:$E$20,4,FALSE)),""))</t>
        </is>
      </c>
      <c r="AG349" s="42" t="inlineStr">
        <is>
          <t>IF(F349="","",IF(OR(AA349="Cancelled",AC349="Cancelled"),"Cancelled",IF(OR(AC349="Completed / Handover",Y349&lt;&gt;"",Z349&gt;=100),"Completed — on track",IF(O349="Not awarded",IF(U349="",IF(X349="","No planned date",IF(TODAY()&gt;X349,"Behind — past planned date",IF(X349-TODAY()&lt;=30,"At risk — close to off track","On track"))),IF(TODAY()&gt;U349,"Behind — award date passed",IF(U349-TODAY()&lt;=30,"At risk — close to off track","On track"))),IF(X349="","No planned date",IF(AND(TODAY()&gt;X349,OR(Z349="",Z349&lt;100)),"Behind — past end date",IF(AND(T349&lt;&gt;"",X349&lt;&gt;"",Z349&lt;&gt;"",(Z349&lt;100),((TODAY()-T349)/MAX(X349-T349,1)*100)-Z349&gt;15),"Behind — progress lag",IF(AND(X349-TODAY()&lt;=30,X349-TODAY()&gt;=0,OR(Z349="",Z349&lt;90)),"At risk — close to off track","On track"))))))))</t>
        </is>
      </c>
      <c r="AH349" s="49" t="inlineStr">
        <is>
          <t>IF(OR(F349="",AC349="Completed / Handover",AC349="Cancelled"),"",IF(O349="Not awarded",IF(U349&lt;&gt;"",U349-TODAY(),IF(X349="","",X349-TODAY())),IF(X349="","",X349-TODAY())))</t>
        </is>
      </c>
      <c r="AI349" s="67" t="n"/>
      <c r="AJ349" s="67" t="n"/>
      <c r="AK349" s="67" t="n"/>
      <c r="AL349" s="67" t="n"/>
      <c r="AM349" s="67" t="n"/>
      <c r="AN349" s="67" t="n"/>
      <c r="AO349" s="67" t="n"/>
      <c r="AP349" s="67" t="n"/>
      <c r="AQ349" s="67" t="n">
        <v>46149</v>
      </c>
      <c r="AR349" s="67" t="n">
        <v>46149</v>
      </c>
      <c r="AS349" s="67" t="n">
        <v>46271</v>
      </c>
      <c r="AT349" s="50" t="n"/>
      <c r="AU349" s="50" t="n"/>
      <c r="AV349" s="50" t="n"/>
      <c r="AW349" s="49" t="inlineStr">
        <is>
          <t>IF(OR(F349="",AJ349=""),"",IF(COUNT(AI349:AI349)=0,"",AJ349-LOOKUP(2,1/(AI349:AI349&lt;&gt;""),AI349:AI349)))</t>
        </is>
      </c>
      <c r="AX349" s="49" t="inlineStr">
        <is>
          <t>IF(OR(F349="",AK349=""),"",IF(COUNT(AI349:AJ349)=0,"",AK349-LOOKUP(2,1/(AI349:AJ349&lt;&gt;""),AI349:AJ349)))</t>
        </is>
      </c>
      <c r="AY349" s="49" t="inlineStr">
        <is>
          <t>IF(OR(F349="",AL349=""),"",IF(COUNT(AI349:AK349)=0,"",AL349-LOOKUP(2,1/(AI349:AK349&lt;&gt;""),AI349:AK349)))</t>
        </is>
      </c>
      <c r="AZ349" s="49" t="inlineStr">
        <is>
          <t>IF(OR(F349="",AM349=""),"",IF(COUNT(AI349:AL349)=0,"",AM349-LOOKUP(2,1/(AI349:AL349&lt;&gt;""),AI349:AL349)))</t>
        </is>
      </c>
      <c r="BA349" s="49" t="inlineStr">
        <is>
          <t>IF(OR(F349="",AN349=""),"",IF(COUNT(AI349:AM349)=0,"",AN349-LOOKUP(2,1/(AI349:AM349&lt;&gt;""),AI349:AM349)))</t>
        </is>
      </c>
      <c r="BB349" s="49" t="inlineStr">
        <is>
          <t>IF(OR(F349="",AO349=""),"",IF(COUNT(AI349:AN349)=0,"",AO349-LOOKUP(2,1/(AI349:AN349&lt;&gt;""),AI349:AN349)))</t>
        </is>
      </c>
      <c r="BC349" s="49" t="inlineStr">
        <is>
          <t>IF(OR(F349="",AP349=""),"",IF(COUNT(AI349:AO349)=0,"",AP349-LOOKUP(2,1/(AI349:AO349&lt;&gt;""),AI349:AO349)))</t>
        </is>
      </c>
      <c r="BD349" s="49" t="inlineStr">
        <is>
          <t>IF(OR(F349="",AQ349=""),"",IF(COUNT(AI349:AP349)=0,"",AQ349-LOOKUP(2,1/(AI349:AP349&lt;&gt;""),AI349:AP349)))</t>
        </is>
      </c>
      <c r="BE349" s="49" t="inlineStr">
        <is>
          <t>IF(OR(F349="",AR349=""),"",IF(COUNT(AI349:AQ349)=0,"",AR349-LOOKUP(2,1/(AI349:AQ349&lt;&gt;""),AI349:AQ349)))</t>
        </is>
      </c>
      <c r="BF349" s="49" t="inlineStr">
        <is>
          <t>IF(OR(F349="",AS349=""),"",IF(COUNT(AI349:AR349)=0,"",AS349-LOOKUP(2,1/(AI349:AR349&lt;&gt;""),AI349:AR349)))</t>
        </is>
      </c>
      <c r="BG349" s="49" t="inlineStr">
        <is>
          <t>IF(OR(F349="",AT349=""),"",IF(COUNT(AI349:AS349)=0,"",AT349-LOOKUP(2,1/(AI349:AS349&lt;&gt;""),AI349:AS349)))</t>
        </is>
      </c>
      <c r="BH349" s="49" t="inlineStr">
        <is>
          <t>IF(OR(F349="",AU349=""),"",IF(COUNT(AI349:AT349)=0,"",AU349-LOOKUP(2,1/(AI349:AT349&lt;&gt;""),AI349:AT349)))</t>
        </is>
      </c>
      <c r="BI349" s="49" t="inlineStr">
        <is>
          <t>IF(OR(F349="",AV349=""),"",IF(COUNT(AI349:AU349)=0,"",AV349-LOOKUP(2,1/(AI349:AU349&lt;&gt;""),AI349:AU349)))</t>
        </is>
      </c>
      <c r="BJ349" s="51" t="inlineStr">
        <is>
          <t>IF(J349="","All_Provinces",IFERROR(VLOOKUP(J349,'09_Lookups'!$A$4:$B$20,2,FALSE),"All_Provinces"))</t>
        </is>
      </c>
      <c r="BK349" s="51" t="inlineStr">
        <is>
          <t>IF(K349="","All_Districts",IFERROR(VLOOKUP(K349,'09_Lookups'!$E$4:$F$42,2,FALSE),"All_Districts"))</t>
        </is>
      </c>
    </row>
    <row r="350" ht="18" customHeight="1">
      <c r="A350" s="32" t="inlineStr">
        <is>
          <t>IF(F350="","",ROW()-3)</t>
        </is>
      </c>
      <c r="B350" s="33" t="inlineStr">
        <is>
          <t>AF2-WSM-32</t>
        </is>
      </c>
      <c r="C350" s="33" t="inlineStr">
        <is>
          <t>Package #32-AF2 WSM: Construction of Tai Khunak 4 Check dams of A. Khoja Momin site # 1 and site # 2, B. Sari Shor site # 3 and site #4, located in Aybak district of Samangan province.</t>
        </is>
      </c>
      <c r="D350" s="33" t="inlineStr">
        <is>
          <t>1 of 2</t>
        </is>
      </c>
      <c r="E350" s="34" t="inlineStr">
        <is>
          <t>AF2-WSM-A-069</t>
        </is>
      </c>
      <c r="F350" s="34" t="inlineStr">
        <is>
          <t>Taikhunak (Khoja Momen) Check dams site # 1 and #2</t>
        </is>
      </c>
      <c r="G350" s="34" t="inlineStr">
        <is>
          <t>Watershed Management</t>
        </is>
      </c>
      <c r="H350" s="34" t="inlineStr">
        <is>
          <t>Check Dam</t>
        </is>
      </c>
      <c r="I350" s="34" t="inlineStr">
        <is>
          <t>Emergency Food Security Project (EFSP) – WBK/AF-2</t>
        </is>
      </c>
      <c r="J350" s="34" t="inlineStr">
        <is>
          <t>North / Mazar</t>
        </is>
      </c>
      <c r="K350" s="34" t="inlineStr">
        <is>
          <t>Samangan</t>
        </is>
      </c>
      <c r="L350" s="34" t="inlineStr">
        <is>
          <t>Aybak</t>
        </is>
      </c>
      <c r="M350" s="34" t="inlineStr">
        <is>
          <t>Shorabak, Khoja Momen.</t>
        </is>
      </c>
      <c r="N350" s="34" t="inlineStr">
        <is>
          <t>World Bank (WBK/AF-2)</t>
        </is>
      </c>
      <c r="O350" s="34" t="inlineStr">
        <is>
          <t>Awarded</t>
        </is>
      </c>
      <c r="P350" s="34" t="inlineStr">
        <is>
          <t>3.WSM awarded contracts</t>
        </is>
      </c>
      <c r="Q350" s="34" t="inlineStr">
        <is>
          <t>Mudeser Bigmurad Construction Company (MBCC)</t>
        </is>
      </c>
      <c r="R350" s="34" t="inlineStr">
        <is>
          <t>045/2026</t>
        </is>
      </c>
      <c r="S350" s="35" t="n">
        <v>61755.98</v>
      </c>
      <c r="T350" s="36" t="inlineStr">
        <is>
          <t>IF(AQ350="","",AQ350)</t>
        </is>
      </c>
      <c r="U350" s="37" t="n"/>
      <c r="V350" s="38" t="n">
        <v>4</v>
      </c>
      <c r="W350" s="37" t="n">
        <v>46347</v>
      </c>
      <c r="X350" s="36" t="inlineStr">
        <is>
          <t>IF(W350&lt;&gt;"",W350,IF(OR(T350="",V350=""),"",EDATE(T350,V350)))</t>
        </is>
      </c>
      <c r="Y350" s="37" t="n"/>
      <c r="Z350" s="38" t="n">
        <v>30</v>
      </c>
      <c r="AA350" s="34" t="inlineStr">
        <is>
          <t>Under Construction</t>
        </is>
      </c>
      <c r="AB350" s="34" t="inlineStr">
        <is>
          <t>The contract has recently been awarded; Mobilzation has started.</t>
        </is>
      </c>
      <c r="AC350" s="32" t="inlineStr">
        <is>
          <t>IF(F350="","",IF(COUNT(AI350:AV350)=0,IF(AA350="","Not started",AA350),SUBSTITUTE(LOOKUP(2,1/(AI350:AV350&lt;&gt;""),$AI$3:$AV$3),"Date: ","")))</t>
        </is>
      </c>
      <c r="AD350" s="39" t="inlineStr">
        <is>
          <t>IF(OR(F350="",COUNT(AI350:AV350)=0),"",TODAY()-LOOKUP(2,1/(AI350:AV350&lt;&gt;""),AI350:AV350))</t>
        </is>
      </c>
      <c r="AE350" s="39" t="inlineStr">
        <is>
          <t>IF(OR(F350="",COUNT(AI350:AV350)&lt;2),"",LOOKUP(2,1/(AI350:AV350&lt;&gt;""),AI350:AV350)-MIN(AI350:AV350))</t>
        </is>
      </c>
      <c r="AF350" s="39" t="inlineStr">
        <is>
          <t>IF(OR(AD350="",AC350="Not started",AC350=""),"",IFERROR(AD350-IF(VLOOKUP(AC350,'06_Status_Pipeline'!$B$3:$E$20,4,FALSE)="",0,VLOOKUP(AC350,'06_Status_Pipeline'!$B$3:$E$20,4,FALSE)),""))</t>
        </is>
      </c>
      <c r="AG350" s="32" t="inlineStr">
        <is>
          <t>IF(F350="","",IF(OR(AA350="Cancelled",AC350="Cancelled"),"Cancelled",IF(OR(AC350="Completed / Handover",Y350&lt;&gt;"",Z350&gt;=100),"Completed — on track",IF(O350="Not awarded",IF(U350="",IF(X350="","No planned date",IF(TODAY()&gt;X350,"Behind — past planned date",IF(X350-TODAY()&lt;=30,"At risk — close to off track","On track"))),IF(TODAY()&gt;U350,"Behind — award date passed",IF(U350-TODAY()&lt;=30,"At risk — close to off track","On track"))),IF(X350="","No planned date",IF(AND(TODAY()&gt;X350,OR(Z350="",Z350&lt;100)),"Behind — past end date",IF(AND(T350&lt;&gt;"",X350&lt;&gt;"",Z350&lt;&gt;"",(Z350&lt;100),((TODAY()-T350)/MAX(X350-T350,1)*100)-Z350&gt;15),"Behind — progress lag",IF(AND(X350-TODAY()&lt;=30,X350-TODAY()&gt;=0,OR(Z350="",Z350&lt;90)),"At risk — close to off track","On track"))))))))</t>
        </is>
      </c>
      <c r="AH350" s="39" t="inlineStr">
        <is>
          <t>IF(OR(F350="",AC350="Completed / Handover",AC350="Cancelled"),"",IF(O350="Not awarded",IF(U350&lt;&gt;"",U350-TODAY(),IF(X350="","",X350-TODAY())),IF(X350="","",X350-TODAY())))</t>
        </is>
      </c>
      <c r="AI350" s="66" t="n"/>
      <c r="AJ350" s="66" t="n"/>
      <c r="AK350" s="66" t="n"/>
      <c r="AL350" s="66" t="n"/>
      <c r="AM350" s="66" t="n"/>
      <c r="AN350" s="66" t="n"/>
      <c r="AO350" s="66" t="n"/>
      <c r="AP350" s="66" t="n"/>
      <c r="AQ350" s="66" t="n">
        <v>46225</v>
      </c>
      <c r="AR350" s="66" t="n">
        <v>46225</v>
      </c>
      <c r="AS350" s="66" t="n"/>
      <c r="AT350" s="40" t="n"/>
      <c r="AU350" s="40" t="n"/>
      <c r="AV350" s="40" t="n"/>
      <c r="AW350" s="39" t="inlineStr">
        <is>
          <t>IF(OR(F350="",AJ350=""),"",IF(COUNT(AI350:AI350)=0,"",AJ350-LOOKUP(2,1/(AI350:AI350&lt;&gt;""),AI350:AI350)))</t>
        </is>
      </c>
      <c r="AX350" s="39" t="inlineStr">
        <is>
          <t>IF(OR(F350="",AK350=""),"",IF(COUNT(AI350:AJ350)=0,"",AK350-LOOKUP(2,1/(AI350:AJ350&lt;&gt;""),AI350:AJ350)))</t>
        </is>
      </c>
      <c r="AY350" s="39" t="inlineStr">
        <is>
          <t>IF(OR(F350="",AL350=""),"",IF(COUNT(AI350:AK350)=0,"",AL350-LOOKUP(2,1/(AI350:AK350&lt;&gt;""),AI350:AK350)))</t>
        </is>
      </c>
      <c r="AZ350" s="39" t="inlineStr">
        <is>
          <t>IF(OR(F350="",AM350=""),"",IF(COUNT(AI350:AL350)=0,"",AM350-LOOKUP(2,1/(AI350:AL350&lt;&gt;""),AI350:AL350)))</t>
        </is>
      </c>
      <c r="BA350" s="39" t="inlineStr">
        <is>
          <t>IF(OR(F350="",AN350=""),"",IF(COUNT(AI350:AM350)=0,"",AN350-LOOKUP(2,1/(AI350:AM350&lt;&gt;""),AI350:AM350)))</t>
        </is>
      </c>
      <c r="BB350" s="39" t="inlineStr">
        <is>
          <t>IF(OR(F350="",AO350=""),"",IF(COUNT(AI350:AN350)=0,"",AO350-LOOKUP(2,1/(AI350:AN350&lt;&gt;""),AI350:AN350)))</t>
        </is>
      </c>
      <c r="BC350" s="39" t="inlineStr">
        <is>
          <t>IF(OR(F350="",AP350=""),"",IF(COUNT(AI350:AO350)=0,"",AP350-LOOKUP(2,1/(AI350:AO350&lt;&gt;""),AI350:AO350)))</t>
        </is>
      </c>
      <c r="BD350" s="39" t="inlineStr">
        <is>
          <t>IF(OR(F350="",AQ350=""),"",IF(COUNT(AI350:AP350)=0,"",AQ350-LOOKUP(2,1/(AI350:AP350&lt;&gt;""),AI350:AP350)))</t>
        </is>
      </c>
      <c r="BE350" s="39" t="inlineStr">
        <is>
          <t>IF(OR(F350="",AR350=""),"",IF(COUNT(AI350:AQ350)=0,"",AR350-LOOKUP(2,1/(AI350:AQ350&lt;&gt;""),AI350:AQ350)))</t>
        </is>
      </c>
      <c r="BF350" s="39" t="inlineStr">
        <is>
          <t>IF(OR(F350="",AS350=""),"",IF(COUNT(AI350:AR350)=0,"",AS350-LOOKUP(2,1/(AI350:AR350&lt;&gt;""),AI350:AR350)))</t>
        </is>
      </c>
      <c r="BG350" s="39" t="inlineStr">
        <is>
          <t>IF(OR(F350="",AT350=""),"",IF(COUNT(AI350:AS350)=0,"",AT350-LOOKUP(2,1/(AI350:AS350&lt;&gt;""),AI350:AS350)))</t>
        </is>
      </c>
      <c r="BH350" s="39" t="inlineStr">
        <is>
          <t>IF(OR(F350="",AU350=""),"",IF(COUNT(AI350:AT350)=0,"",AU350-LOOKUP(2,1/(AI350:AT350&lt;&gt;""),AI350:AT350)))</t>
        </is>
      </c>
      <c r="BI350" s="39" t="inlineStr">
        <is>
          <t>IF(OR(F350="",AV350=""),"",IF(COUNT(AI350:AU350)=0,"",AV350-LOOKUP(2,1/(AI350:AU350&lt;&gt;""),AI350:AU350)))</t>
        </is>
      </c>
      <c r="BJ350" s="41" t="inlineStr">
        <is>
          <t>IF(J350="","All_Provinces",IFERROR(VLOOKUP(J350,'09_Lookups'!$A$4:$B$20,2,FALSE),"All_Provinces"))</t>
        </is>
      </c>
      <c r="BK350" s="41" t="inlineStr">
        <is>
          <t>IF(K350="","All_Districts",IFERROR(VLOOKUP(K350,'09_Lookups'!$E$4:$F$42,2,FALSE),"All_Districts"))</t>
        </is>
      </c>
    </row>
    <row r="351" outlineLevel="1" ht="18" customHeight="1">
      <c r="A351" s="42" t="inlineStr">
        <is>
          <t>IF(F351="","",ROW()-3)</t>
        </is>
      </c>
      <c r="B351" s="43" t="inlineStr">
        <is>
          <t>AF2-WSM-32</t>
        </is>
      </c>
      <c r="C351" s="43" t="inlineStr">
        <is>
          <t>Package #32-AF2 WSM: Construction of Tai Khunak 4 Check dams of A. Khoja Momin site # 1 and site # 2, B. Sari Shor site # 3 and site #4, located in Aybak district of Samangan province.</t>
        </is>
      </c>
      <c r="D351" s="43" t="inlineStr">
        <is>
          <t>2 of 2</t>
        </is>
      </c>
      <c r="E351" s="44" t="inlineStr">
        <is>
          <t>AF2-WSM-A-070</t>
        </is>
      </c>
      <c r="F351" s="44" t="inlineStr">
        <is>
          <t>Taikhunak (Sari Shor) 2 Check dams site # 3 and # 4</t>
        </is>
      </c>
      <c r="G351" s="44" t="inlineStr">
        <is>
          <t>Watershed Management</t>
        </is>
      </c>
      <c r="H351" s="44" t="inlineStr">
        <is>
          <t>Check Dam</t>
        </is>
      </c>
      <c r="I351" s="44" t="inlineStr">
        <is>
          <t>Emergency Food Security Project (EFSP) – WBK/AF-2</t>
        </is>
      </c>
      <c r="J351" s="44" t="inlineStr">
        <is>
          <t>North / Mazar</t>
        </is>
      </c>
      <c r="K351" s="44" t="inlineStr">
        <is>
          <t>Samangan</t>
        </is>
      </c>
      <c r="L351" s="44" t="inlineStr">
        <is>
          <t>Aybak</t>
        </is>
      </c>
      <c r="M351" s="44" t="inlineStr">
        <is>
          <t>Sar-i-Shor, Ozon Say</t>
        </is>
      </c>
      <c r="N351" s="44" t="inlineStr">
        <is>
          <t>World Bank (WBK/AF-2)</t>
        </is>
      </c>
      <c r="O351" s="44" t="inlineStr">
        <is>
          <t>Awarded</t>
        </is>
      </c>
      <c r="P351" s="44" t="inlineStr">
        <is>
          <t>3.WSM awarded contracts</t>
        </is>
      </c>
      <c r="Q351" s="44" t="inlineStr">
        <is>
          <t>Mudeser Bigmurad Construction Company (MBCC)</t>
        </is>
      </c>
      <c r="R351" s="44" t="inlineStr">
        <is>
          <t>045/2026</t>
        </is>
      </c>
      <c r="S351" s="45" t="n">
        <v>53185.5</v>
      </c>
      <c r="T351" s="46" t="inlineStr">
        <is>
          <t>IF(AQ351="","",AQ351)</t>
        </is>
      </c>
      <c r="U351" s="47" t="n"/>
      <c r="V351" s="48" t="n">
        <v>4</v>
      </c>
      <c r="W351" s="47" t="n">
        <v>46347</v>
      </c>
      <c r="X351" s="46" t="inlineStr">
        <is>
          <t>IF(W351&lt;&gt;"",W351,IF(OR(T351="",V351=""),"",EDATE(T351,V351)))</t>
        </is>
      </c>
      <c r="Y351" s="47" t="n"/>
      <c r="Z351" s="48" t="n">
        <v>19.5</v>
      </c>
      <c r="AA351" s="44" t="inlineStr">
        <is>
          <t>Under Construction</t>
        </is>
      </c>
      <c r="AB351" s="44" t="inlineStr">
        <is>
          <t>The contract has recently been awarded; Mobilzation has started.</t>
        </is>
      </c>
      <c r="AC351" s="42" t="inlineStr">
        <is>
          <t>IF(F351="","",IF(COUNT(AI351:AV351)=0,IF(AA351="","Not started",AA351),SUBSTITUTE(LOOKUP(2,1/(AI351:AV351&lt;&gt;""),$AI$3:$AV$3),"Date: ","")))</t>
        </is>
      </c>
      <c r="AD351" s="49" t="inlineStr">
        <is>
          <t>IF(OR(F351="",COUNT(AI351:AV351)=0),"",TODAY()-LOOKUP(2,1/(AI351:AV351&lt;&gt;""),AI351:AV351))</t>
        </is>
      </c>
      <c r="AE351" s="49" t="inlineStr">
        <is>
          <t>IF(OR(F351="",COUNT(AI351:AV351)&lt;2),"",LOOKUP(2,1/(AI351:AV351&lt;&gt;""),AI351:AV351)-MIN(AI351:AV351))</t>
        </is>
      </c>
      <c r="AF351" s="49" t="inlineStr">
        <is>
          <t>IF(OR(AD351="",AC351="Not started",AC351=""),"",IFERROR(AD351-IF(VLOOKUP(AC351,'06_Status_Pipeline'!$B$3:$E$20,4,FALSE)="",0,VLOOKUP(AC351,'06_Status_Pipeline'!$B$3:$E$20,4,FALSE)),""))</t>
        </is>
      </c>
      <c r="AG351" s="42" t="inlineStr">
        <is>
          <t>IF(F351="","",IF(OR(AA351="Cancelled",AC351="Cancelled"),"Cancelled",IF(OR(AC351="Completed / Handover",Y351&lt;&gt;"",Z351&gt;=100),"Completed — on track",IF(O351="Not awarded",IF(U351="",IF(X351="","No planned date",IF(TODAY()&gt;X351,"Behind — past planned date",IF(X351-TODAY()&lt;=30,"At risk — close to off track","On track"))),IF(TODAY()&gt;U351,"Behind — award date passed",IF(U351-TODAY()&lt;=30,"At risk — close to off track","On track"))),IF(X351="","No planned date",IF(AND(TODAY()&gt;X351,OR(Z351="",Z351&lt;100)),"Behind — past end date",IF(AND(T351&lt;&gt;"",X351&lt;&gt;"",Z351&lt;&gt;"",(Z351&lt;100),((TODAY()-T351)/MAX(X351-T351,1)*100)-Z351&gt;15),"Behind — progress lag",IF(AND(X351-TODAY()&lt;=30,X351-TODAY()&gt;=0,OR(Z351="",Z351&lt;90)),"At risk — close to off track","On track"))))))))</t>
        </is>
      </c>
      <c r="AH351" s="49" t="inlineStr">
        <is>
          <t>IF(OR(F351="",AC351="Completed / Handover",AC351="Cancelled"),"",IF(O351="Not awarded",IF(U351&lt;&gt;"",U351-TODAY(),IF(X351="","",X351-TODAY())),IF(X351="","",X351-TODAY())))</t>
        </is>
      </c>
      <c r="AI351" s="67" t="n"/>
      <c r="AJ351" s="67" t="n"/>
      <c r="AK351" s="67" t="n"/>
      <c r="AL351" s="67" t="n"/>
      <c r="AM351" s="67" t="n"/>
      <c r="AN351" s="67" t="n"/>
      <c r="AO351" s="67" t="n"/>
      <c r="AP351" s="67" t="n"/>
      <c r="AQ351" s="67" t="n">
        <v>46225</v>
      </c>
      <c r="AR351" s="67" t="n">
        <v>46225</v>
      </c>
      <c r="AS351" s="67" t="n"/>
      <c r="AT351" s="50" t="n"/>
      <c r="AU351" s="50" t="n"/>
      <c r="AV351" s="50" t="n"/>
      <c r="AW351" s="49" t="inlineStr">
        <is>
          <t>IF(OR(F351="",AJ351=""),"",IF(COUNT(AI351:AI351)=0,"",AJ351-LOOKUP(2,1/(AI351:AI351&lt;&gt;""),AI351:AI351)))</t>
        </is>
      </c>
      <c r="AX351" s="49" t="inlineStr">
        <is>
          <t>IF(OR(F351="",AK351=""),"",IF(COUNT(AI351:AJ351)=0,"",AK351-LOOKUP(2,1/(AI351:AJ351&lt;&gt;""),AI351:AJ351)))</t>
        </is>
      </c>
      <c r="AY351" s="49" t="inlineStr">
        <is>
          <t>IF(OR(F351="",AL351=""),"",IF(COUNT(AI351:AK351)=0,"",AL351-LOOKUP(2,1/(AI351:AK351&lt;&gt;""),AI351:AK351)))</t>
        </is>
      </c>
      <c r="AZ351" s="49" t="inlineStr">
        <is>
          <t>IF(OR(F351="",AM351=""),"",IF(COUNT(AI351:AL351)=0,"",AM351-LOOKUP(2,1/(AI351:AL351&lt;&gt;""),AI351:AL351)))</t>
        </is>
      </c>
      <c r="BA351" s="49" t="inlineStr">
        <is>
          <t>IF(OR(F351="",AN351=""),"",IF(COUNT(AI351:AM351)=0,"",AN351-LOOKUP(2,1/(AI351:AM351&lt;&gt;""),AI351:AM351)))</t>
        </is>
      </c>
      <c r="BB351" s="49" t="inlineStr">
        <is>
          <t>IF(OR(F351="",AO351=""),"",IF(COUNT(AI351:AN351)=0,"",AO351-LOOKUP(2,1/(AI351:AN351&lt;&gt;""),AI351:AN351)))</t>
        </is>
      </c>
      <c r="BC351" s="49" t="inlineStr">
        <is>
          <t>IF(OR(F351="",AP351=""),"",IF(COUNT(AI351:AO351)=0,"",AP351-LOOKUP(2,1/(AI351:AO351&lt;&gt;""),AI351:AO351)))</t>
        </is>
      </c>
      <c r="BD351" s="49" t="inlineStr">
        <is>
          <t>IF(OR(F351="",AQ351=""),"",IF(COUNT(AI351:AP351)=0,"",AQ351-LOOKUP(2,1/(AI351:AP351&lt;&gt;""),AI351:AP351)))</t>
        </is>
      </c>
      <c r="BE351" s="49" t="inlineStr">
        <is>
          <t>IF(OR(F351="",AR351=""),"",IF(COUNT(AI351:AQ351)=0,"",AR351-LOOKUP(2,1/(AI351:AQ351&lt;&gt;""),AI351:AQ351)))</t>
        </is>
      </c>
      <c r="BF351" s="49" t="inlineStr">
        <is>
          <t>IF(OR(F351="",AS351=""),"",IF(COUNT(AI351:AR351)=0,"",AS351-LOOKUP(2,1/(AI351:AR351&lt;&gt;""),AI351:AR351)))</t>
        </is>
      </c>
      <c r="BG351" s="49" t="inlineStr">
        <is>
          <t>IF(OR(F351="",AT351=""),"",IF(COUNT(AI351:AS351)=0,"",AT351-LOOKUP(2,1/(AI351:AS351&lt;&gt;""),AI351:AS351)))</t>
        </is>
      </c>
      <c r="BH351" s="49" t="inlineStr">
        <is>
          <t>IF(OR(F351="",AU351=""),"",IF(COUNT(AI351:AT351)=0,"",AU351-LOOKUP(2,1/(AI351:AT351&lt;&gt;""),AI351:AT351)))</t>
        </is>
      </c>
      <c r="BI351" s="49" t="inlineStr">
        <is>
          <t>IF(OR(F351="",AV351=""),"",IF(COUNT(AI351:AU351)=0,"",AV351-LOOKUP(2,1/(AI351:AU351&lt;&gt;""),AI351:AU351)))</t>
        </is>
      </c>
      <c r="BJ351" s="51" t="inlineStr">
        <is>
          <t>IF(J351="","All_Provinces",IFERROR(VLOOKUP(J351,'09_Lookups'!$A$4:$B$20,2,FALSE),"All_Provinces"))</t>
        </is>
      </c>
      <c r="BK351" s="51" t="inlineStr">
        <is>
          <t>IF(K351="","All_Districts",IFERROR(VLOOKUP(K351,'09_Lookups'!$E$4:$F$42,2,FALSE),"All_Districts"))</t>
        </is>
      </c>
    </row>
    <row r="352" ht="18" customHeight="1">
      <c r="A352" s="32" t="inlineStr">
        <is>
          <t>IF(F352="","",ROW()-3)</t>
        </is>
      </c>
      <c r="B352" s="56" t="inlineStr">
        <is>
          <t>AF2-WSM-33</t>
        </is>
      </c>
      <c r="C352" s="56" t="inlineStr">
        <is>
          <t>Package #33-AF2 WSM: Construction of 2 Check dams of Ala Taba-1 and Ala Taba-2 in Ablurz district of Balkh province.</t>
        </is>
      </c>
      <c r="D352" s="56" t="inlineStr">
        <is>
          <t>1 of 2</t>
        </is>
      </c>
      <c r="E352" s="34" t="inlineStr">
        <is>
          <t>AF2-WSM-N-021</t>
        </is>
      </c>
      <c r="F352" s="34" t="inlineStr">
        <is>
          <t>Ala Taba-1</t>
        </is>
      </c>
      <c r="G352" s="34" t="inlineStr">
        <is>
          <t>Watershed Management</t>
        </is>
      </c>
      <c r="H352" s="34" t="inlineStr">
        <is>
          <t>Check Dam</t>
        </is>
      </c>
      <c r="I352" s="34" t="inlineStr">
        <is>
          <t>Emergency Food Security Project (EFSP) – WBK/AF-2</t>
        </is>
      </c>
      <c r="J352" s="34" t="inlineStr">
        <is>
          <t>North / Mazar</t>
        </is>
      </c>
      <c r="K352" s="34" t="inlineStr">
        <is>
          <t>Balkh</t>
        </is>
      </c>
      <c r="L352" s="34" t="inlineStr">
        <is>
          <t>Alburz</t>
        </is>
      </c>
      <c r="M352" s="34" t="inlineStr">
        <is>
          <t>Chashma Gudar and Ala Tawa</t>
        </is>
      </c>
      <c r="N352" s="34" t="inlineStr">
        <is>
          <t>World Bank (WBK/AF-2)</t>
        </is>
      </c>
      <c r="O352" s="34" t="inlineStr">
        <is>
          <t>Not awarded</t>
        </is>
      </c>
      <c r="P352" s="34" t="inlineStr">
        <is>
          <t>4.WSM remaining contracts</t>
        </is>
      </c>
      <c r="Q352" s="34" t="inlineStr"/>
      <c r="R352" s="34" t="inlineStr"/>
      <c r="S352" s="35" t="n">
        <v>55029</v>
      </c>
      <c r="T352" s="36" t="inlineStr">
        <is>
          <t>IF(AQ352="","",AQ352)</t>
        </is>
      </c>
      <c r="U352" s="37" t="n">
        <v>46351</v>
      </c>
      <c r="V352" s="38" t="n">
        <v>5.9</v>
      </c>
      <c r="W352" s="37" t="n">
        <v>46531</v>
      </c>
      <c r="X352" s="36" t="inlineStr">
        <is>
          <t>IF(W352&lt;&gt;"",W352,IF(OR(T352="",V352=""),"",EDATE(T352,V352)))</t>
        </is>
      </c>
      <c r="Y352" s="37" t="n"/>
      <c r="Z352" s="38" t="n"/>
      <c r="AA352" s="34" t="inlineStr">
        <is>
          <t>PR to be Raised</t>
        </is>
      </c>
      <c r="AB352" s="34" t="inlineStr">
        <is>
          <t>Construction period six months including slack period (Dec-Jan).</t>
        </is>
      </c>
      <c r="AC352" s="32" t="inlineStr">
        <is>
          <t>IF(F352="","",IF(COUNT(AI352:AV352)=0,IF(AA352="","Not started",AA352),SUBSTITUTE(LOOKUP(2,1/(AI352:AV352&lt;&gt;""),$AI$3:$AV$3),"Date: ","")))</t>
        </is>
      </c>
      <c r="AD352" s="39" t="inlineStr">
        <is>
          <t>IF(OR(F352="",COUNT(AI352:AV352)=0),"",TODAY()-LOOKUP(2,1/(AI352:AV352&lt;&gt;""),AI352:AV352))</t>
        </is>
      </c>
      <c r="AE352" s="39" t="inlineStr">
        <is>
          <t>IF(OR(F352="",COUNT(AI352:AV352)&lt;2),"",LOOKUP(2,1/(AI352:AV352&lt;&gt;""),AI352:AV352)-MIN(AI352:AV352))</t>
        </is>
      </c>
      <c r="AF352" s="39" t="inlineStr">
        <is>
          <t>IF(OR(AD352="",AC352="Not started",AC352=""),"",IFERROR(AD352-IF(VLOOKUP(AC352,'06_Status_Pipeline'!$B$3:$E$20,4,FALSE)="",0,VLOOKUP(AC352,'06_Status_Pipeline'!$B$3:$E$20,4,FALSE)),""))</t>
        </is>
      </c>
      <c r="AG352" s="32" t="inlineStr">
        <is>
          <t>IF(F352="","",IF(OR(AA352="Cancelled",AC352="Cancelled"),"Cancelled",IF(OR(AC352="Completed / Handover",Y352&lt;&gt;"",Z352&gt;=100),"Completed — on track",IF(O352="Not awarded",IF(U352="",IF(X352="","No planned date",IF(TODAY()&gt;X352,"Behind — past planned date",IF(X352-TODAY()&lt;=30,"At risk — close to off track","On track"))),IF(TODAY()&gt;U352,"Behind — award date passed",IF(U352-TODAY()&lt;=30,"At risk — close to off track","On track"))),IF(X352="","No planned date",IF(AND(TODAY()&gt;X352,OR(Z352="",Z352&lt;100)),"Behind — past end date",IF(AND(T352&lt;&gt;"",X352&lt;&gt;"",Z352&lt;&gt;"",(Z352&lt;100),((TODAY()-T352)/MAX(X352-T352,1)*100)-Z352&gt;15),"Behind — progress lag",IF(AND(X352-TODAY()&lt;=30,X352-TODAY()&gt;=0,OR(Z352="",Z352&lt;90)),"At risk — close to off track","On track"))))))))</t>
        </is>
      </c>
      <c r="AH352" s="39" t="inlineStr">
        <is>
          <t>IF(OR(F352="",AC352="Completed / Handover",AC352="Cancelled"),"",IF(O352="Not awarded",IF(U352&lt;&gt;"",U352-TODAY(),IF(X352="","",X352-TODAY())),IF(X352="","",X352-TODAY())))</t>
        </is>
      </c>
      <c r="AI352" s="37" t="n"/>
      <c r="AJ352" s="37" t="n"/>
      <c r="AK352" s="37" t="n"/>
      <c r="AL352" s="37" t="n"/>
      <c r="AM352" s="37" t="n"/>
      <c r="AN352" s="37" t="n"/>
      <c r="AO352" s="37" t="n"/>
      <c r="AP352" s="37" t="n"/>
      <c r="AQ352" s="37" t="n"/>
      <c r="AR352" s="37" t="n"/>
      <c r="AS352" s="37" t="n"/>
      <c r="AT352" s="40" t="n"/>
      <c r="AU352" s="40" t="n"/>
      <c r="AV352" s="40" t="n"/>
      <c r="AW352" s="39" t="inlineStr">
        <is>
          <t>IF(OR(F352="",AJ352=""),"",IF(COUNT(AI352:AI352)=0,"",AJ352-LOOKUP(2,1/(AI352:AI352&lt;&gt;""),AI352:AI352)))</t>
        </is>
      </c>
      <c r="AX352" s="39" t="inlineStr">
        <is>
          <t>IF(OR(F352="",AK352=""),"",IF(COUNT(AI352:AJ352)=0,"",AK352-LOOKUP(2,1/(AI352:AJ352&lt;&gt;""),AI352:AJ352)))</t>
        </is>
      </c>
      <c r="AY352" s="39" t="inlineStr">
        <is>
          <t>IF(OR(F352="",AL352=""),"",IF(COUNT(AI352:AK352)=0,"",AL352-LOOKUP(2,1/(AI352:AK352&lt;&gt;""),AI352:AK352)))</t>
        </is>
      </c>
      <c r="AZ352" s="39" t="inlineStr">
        <is>
          <t>IF(OR(F352="",AM352=""),"",IF(COUNT(AI352:AL352)=0,"",AM352-LOOKUP(2,1/(AI352:AL352&lt;&gt;""),AI352:AL352)))</t>
        </is>
      </c>
      <c r="BA352" s="39" t="inlineStr">
        <is>
          <t>IF(OR(F352="",AN352=""),"",IF(COUNT(AI352:AM352)=0,"",AN352-LOOKUP(2,1/(AI352:AM352&lt;&gt;""),AI352:AM352)))</t>
        </is>
      </c>
      <c r="BB352" s="39" t="inlineStr">
        <is>
          <t>IF(OR(F352="",AO352=""),"",IF(COUNT(AI352:AN352)=0,"",AO352-LOOKUP(2,1/(AI352:AN352&lt;&gt;""),AI352:AN352)))</t>
        </is>
      </c>
      <c r="BC352" s="39" t="inlineStr">
        <is>
          <t>IF(OR(F352="",AP352=""),"",IF(COUNT(AI352:AO352)=0,"",AP352-LOOKUP(2,1/(AI352:AO352&lt;&gt;""),AI352:AO352)))</t>
        </is>
      </c>
      <c r="BD352" s="39" t="inlineStr">
        <is>
          <t>IF(OR(F352="",AQ352=""),"",IF(COUNT(AI352:AP352)=0,"",AQ352-LOOKUP(2,1/(AI352:AP352&lt;&gt;""),AI352:AP352)))</t>
        </is>
      </c>
      <c r="BE352" s="39" t="inlineStr">
        <is>
          <t>IF(OR(F352="",AR352=""),"",IF(COUNT(AI352:AQ352)=0,"",AR352-LOOKUP(2,1/(AI352:AQ352&lt;&gt;""),AI352:AQ352)))</t>
        </is>
      </c>
      <c r="BF352" s="39" t="inlineStr">
        <is>
          <t>IF(OR(F352="",AS352=""),"",IF(COUNT(AI352:AR352)=0,"",AS352-LOOKUP(2,1/(AI352:AR352&lt;&gt;""),AI352:AR352)))</t>
        </is>
      </c>
      <c r="BG352" s="39" t="inlineStr">
        <is>
          <t>IF(OR(F352="",AT352=""),"",IF(COUNT(AI352:AS352)=0,"",AT352-LOOKUP(2,1/(AI352:AS352&lt;&gt;""),AI352:AS352)))</t>
        </is>
      </c>
      <c r="BH352" s="39" t="inlineStr">
        <is>
          <t>IF(OR(F352="",AU352=""),"",IF(COUNT(AI352:AT352)=0,"",AU352-LOOKUP(2,1/(AI352:AT352&lt;&gt;""),AI352:AT352)))</t>
        </is>
      </c>
      <c r="BI352" s="39" t="inlineStr">
        <is>
          <t>IF(OR(F352="",AV352=""),"",IF(COUNT(AI352:AU352)=0,"",AV352-LOOKUP(2,1/(AI352:AU352&lt;&gt;""),AI352:AU352)))</t>
        </is>
      </c>
      <c r="BJ352" s="41" t="inlineStr">
        <is>
          <t>IF(J352="","All_Provinces",IFERROR(VLOOKUP(J352,'09_Lookups'!$A$4:$B$20,2,FALSE),"All_Provinces"))</t>
        </is>
      </c>
      <c r="BK352" s="41" t="inlineStr">
        <is>
          <t>IF(K352="","All_Districts",IFERROR(VLOOKUP(K352,'09_Lookups'!$E$4:$F$42,2,FALSE),"All_Districts"))</t>
        </is>
      </c>
    </row>
    <row r="353" outlineLevel="1" ht="18" customHeight="1">
      <c r="A353" s="42" t="inlineStr">
        <is>
          <t>IF(F353="","",ROW()-3)</t>
        </is>
      </c>
      <c r="B353" s="61" t="inlineStr">
        <is>
          <t>AF2-WSM-33</t>
        </is>
      </c>
      <c r="C353" s="61" t="inlineStr">
        <is>
          <t>Package #33-AF2 WSM: Construction of 2 Check dams of Ala Taba-1 and Ala Taba-2 in Ablurz district of Balkh province.</t>
        </is>
      </c>
      <c r="D353" s="61" t="inlineStr">
        <is>
          <t>2 of 2</t>
        </is>
      </c>
      <c r="E353" s="44" t="inlineStr">
        <is>
          <t>AF2-WSM-N-022</t>
        </is>
      </c>
      <c r="F353" s="44" t="inlineStr">
        <is>
          <t>Ala Taba-2</t>
        </is>
      </c>
      <c r="G353" s="44" t="inlineStr">
        <is>
          <t>Watershed Management</t>
        </is>
      </c>
      <c r="H353" s="44" t="inlineStr">
        <is>
          <t>Check Dam</t>
        </is>
      </c>
      <c r="I353" s="44" t="inlineStr">
        <is>
          <t>Emergency Food Security Project (EFSP) – WBK/AF-2</t>
        </is>
      </c>
      <c r="J353" s="44" t="inlineStr">
        <is>
          <t>North / Mazar</t>
        </is>
      </c>
      <c r="K353" s="44" t="inlineStr">
        <is>
          <t>Balkh</t>
        </is>
      </c>
      <c r="L353" s="44" t="inlineStr">
        <is>
          <t>Alburz</t>
        </is>
      </c>
      <c r="M353" s="44" t="inlineStr">
        <is>
          <t>Sang Toda and Charso</t>
        </is>
      </c>
      <c r="N353" s="44" t="inlineStr">
        <is>
          <t>World Bank (WBK/AF-2)</t>
        </is>
      </c>
      <c r="O353" s="44" t="inlineStr">
        <is>
          <t>Not awarded</t>
        </is>
      </c>
      <c r="P353" s="44" t="inlineStr">
        <is>
          <t>4.WSM remaining contracts</t>
        </is>
      </c>
      <c r="Q353" s="44" t="inlineStr"/>
      <c r="R353" s="44" t="inlineStr"/>
      <c r="S353" s="45" t="n">
        <v>55029</v>
      </c>
      <c r="T353" s="46" t="inlineStr">
        <is>
          <t>IF(AQ353="","",AQ353)</t>
        </is>
      </c>
      <c r="U353" s="47" t="n">
        <v>46351</v>
      </c>
      <c r="V353" s="48" t="n">
        <v>5.9</v>
      </c>
      <c r="W353" s="47" t="n">
        <v>46531</v>
      </c>
      <c r="X353" s="46" t="inlineStr">
        <is>
          <t>IF(W353&lt;&gt;"",W353,IF(OR(T353="",V353=""),"",EDATE(T353,V353)))</t>
        </is>
      </c>
      <c r="Y353" s="47" t="n"/>
      <c r="Z353" s="48" t="n"/>
      <c r="AA353" s="44" t="inlineStr">
        <is>
          <t>PR to be Raised</t>
        </is>
      </c>
      <c r="AB353" s="44" t="inlineStr">
        <is>
          <t>Construction period six months including slack period (Dec-Jan).</t>
        </is>
      </c>
      <c r="AC353" s="42" t="inlineStr">
        <is>
          <t>IF(F353="","",IF(COUNT(AI353:AV353)=0,IF(AA353="","Not started",AA353),SUBSTITUTE(LOOKUP(2,1/(AI353:AV353&lt;&gt;""),$AI$3:$AV$3),"Date: ","")))</t>
        </is>
      </c>
      <c r="AD353" s="49" t="inlineStr">
        <is>
          <t>IF(OR(F353="",COUNT(AI353:AV353)=0),"",TODAY()-LOOKUP(2,1/(AI353:AV353&lt;&gt;""),AI353:AV353))</t>
        </is>
      </c>
      <c r="AE353" s="49" t="inlineStr">
        <is>
          <t>IF(OR(F353="",COUNT(AI353:AV353)&lt;2),"",LOOKUP(2,1/(AI353:AV353&lt;&gt;""),AI353:AV353)-MIN(AI353:AV353))</t>
        </is>
      </c>
      <c r="AF353" s="49" t="inlineStr">
        <is>
          <t>IF(OR(AD353="",AC353="Not started",AC353=""),"",IFERROR(AD353-IF(VLOOKUP(AC353,'06_Status_Pipeline'!$B$3:$E$20,4,FALSE)="",0,VLOOKUP(AC353,'06_Status_Pipeline'!$B$3:$E$20,4,FALSE)),""))</t>
        </is>
      </c>
      <c r="AG353" s="42" t="inlineStr">
        <is>
          <t>IF(F353="","",IF(OR(AA353="Cancelled",AC353="Cancelled"),"Cancelled",IF(OR(AC353="Completed / Handover",Y353&lt;&gt;"",Z353&gt;=100),"Completed — on track",IF(O353="Not awarded",IF(U353="",IF(X353="","No planned date",IF(TODAY()&gt;X353,"Behind — past planned date",IF(X353-TODAY()&lt;=30,"At risk — close to off track","On track"))),IF(TODAY()&gt;U353,"Behind — award date passed",IF(U353-TODAY()&lt;=30,"At risk — close to off track","On track"))),IF(X353="","No planned date",IF(AND(TODAY()&gt;X353,OR(Z353="",Z353&lt;100)),"Behind — past end date",IF(AND(T353&lt;&gt;"",X353&lt;&gt;"",Z353&lt;&gt;"",(Z353&lt;100),((TODAY()-T353)/MAX(X353-T353,1)*100)-Z353&gt;15),"Behind — progress lag",IF(AND(X353-TODAY()&lt;=30,X353-TODAY()&gt;=0,OR(Z353="",Z353&lt;90)),"At risk — close to off track","On track"))))))))</t>
        </is>
      </c>
      <c r="AH353" s="49" t="inlineStr">
        <is>
          <t>IF(OR(F353="",AC353="Completed / Handover",AC353="Cancelled"),"",IF(O353="Not awarded",IF(U353&lt;&gt;"",U353-TODAY(),IF(X353="","",X353-TODAY())),IF(X353="","",X353-TODAY())))</t>
        </is>
      </c>
      <c r="AI353" s="47" t="n"/>
      <c r="AJ353" s="47" t="n"/>
      <c r="AK353" s="47" t="n"/>
      <c r="AL353" s="47" t="n"/>
      <c r="AM353" s="47" t="n"/>
      <c r="AN353" s="47" t="n"/>
      <c r="AO353" s="47" t="n"/>
      <c r="AP353" s="47" t="n"/>
      <c r="AQ353" s="47" t="n"/>
      <c r="AR353" s="47" t="n"/>
      <c r="AS353" s="47" t="n"/>
      <c r="AT353" s="50" t="n"/>
      <c r="AU353" s="50" t="n"/>
      <c r="AV353" s="50" t="n"/>
      <c r="AW353" s="49" t="inlineStr">
        <is>
          <t>IF(OR(F353="",AJ353=""),"",IF(COUNT(AI353:AI353)=0,"",AJ353-LOOKUP(2,1/(AI353:AI353&lt;&gt;""),AI353:AI353)))</t>
        </is>
      </c>
      <c r="AX353" s="49" t="inlineStr">
        <is>
          <t>IF(OR(F353="",AK353=""),"",IF(COUNT(AI353:AJ353)=0,"",AK353-LOOKUP(2,1/(AI353:AJ353&lt;&gt;""),AI353:AJ353)))</t>
        </is>
      </c>
      <c r="AY353" s="49" t="inlineStr">
        <is>
          <t>IF(OR(F353="",AL353=""),"",IF(COUNT(AI353:AK353)=0,"",AL353-LOOKUP(2,1/(AI353:AK353&lt;&gt;""),AI353:AK353)))</t>
        </is>
      </c>
      <c r="AZ353" s="49" t="inlineStr">
        <is>
          <t>IF(OR(F353="",AM353=""),"",IF(COUNT(AI353:AL353)=0,"",AM353-LOOKUP(2,1/(AI353:AL353&lt;&gt;""),AI353:AL353)))</t>
        </is>
      </c>
      <c r="BA353" s="49" t="inlineStr">
        <is>
          <t>IF(OR(F353="",AN353=""),"",IF(COUNT(AI353:AM353)=0,"",AN353-LOOKUP(2,1/(AI353:AM353&lt;&gt;""),AI353:AM353)))</t>
        </is>
      </c>
      <c r="BB353" s="49" t="inlineStr">
        <is>
          <t>IF(OR(F353="",AO353=""),"",IF(COUNT(AI353:AN353)=0,"",AO353-LOOKUP(2,1/(AI353:AN353&lt;&gt;""),AI353:AN353)))</t>
        </is>
      </c>
      <c r="BC353" s="49" t="inlineStr">
        <is>
          <t>IF(OR(F353="",AP353=""),"",IF(COUNT(AI353:AO353)=0,"",AP353-LOOKUP(2,1/(AI353:AO353&lt;&gt;""),AI353:AO353)))</t>
        </is>
      </c>
      <c r="BD353" s="49" t="inlineStr">
        <is>
          <t>IF(OR(F353="",AQ353=""),"",IF(COUNT(AI353:AP353)=0,"",AQ353-LOOKUP(2,1/(AI353:AP353&lt;&gt;""),AI353:AP353)))</t>
        </is>
      </c>
      <c r="BE353" s="49" t="inlineStr">
        <is>
          <t>IF(OR(F353="",AR353=""),"",IF(COUNT(AI353:AQ353)=0,"",AR353-LOOKUP(2,1/(AI353:AQ353&lt;&gt;""),AI353:AQ353)))</t>
        </is>
      </c>
      <c r="BF353" s="49" t="inlineStr">
        <is>
          <t>IF(OR(F353="",AS353=""),"",IF(COUNT(AI353:AR353)=0,"",AS353-LOOKUP(2,1/(AI353:AR353&lt;&gt;""),AI353:AR353)))</t>
        </is>
      </c>
      <c r="BG353" s="49" t="inlineStr">
        <is>
          <t>IF(OR(F353="",AT353=""),"",IF(COUNT(AI353:AS353)=0,"",AT353-LOOKUP(2,1/(AI353:AS353&lt;&gt;""),AI353:AS353)))</t>
        </is>
      </c>
      <c r="BH353" s="49" t="inlineStr">
        <is>
          <t>IF(OR(F353="",AU353=""),"",IF(COUNT(AI353:AT353)=0,"",AU353-LOOKUP(2,1/(AI353:AT353&lt;&gt;""),AI353:AT353)))</t>
        </is>
      </c>
      <c r="BI353" s="49" t="inlineStr">
        <is>
          <t>IF(OR(F353="",AV353=""),"",IF(COUNT(AI353:AU353)=0,"",AV353-LOOKUP(2,1/(AI353:AU353&lt;&gt;""),AI353:AU353)))</t>
        </is>
      </c>
      <c r="BJ353" s="51" t="inlineStr">
        <is>
          <t>IF(J353="","All_Provinces",IFERROR(VLOOKUP(J353,'09_Lookups'!$A$4:$B$20,2,FALSE),"All_Provinces"))</t>
        </is>
      </c>
      <c r="BK353" s="51" t="inlineStr">
        <is>
          <t>IF(K353="","All_Districts",IFERROR(VLOOKUP(K353,'09_Lookups'!$E$4:$F$42,2,FALSE),"All_Districts"))</t>
        </is>
      </c>
    </row>
    <row r="354" ht="18" customHeight="1">
      <c r="A354" s="32" t="inlineStr">
        <is>
          <t>IF(F354="","",ROW()-3)</t>
        </is>
      </c>
      <c r="B354" s="62" t="inlineStr">
        <is>
          <t>AF2-WSM-34</t>
        </is>
      </c>
      <c r="C354" s="62" t="inlineStr">
        <is>
          <t>Package #34-AF2 WSM: Construction of two Check dams, 1.Tawqus Sangaw and 2. Khalkoma in Kalbad and Ali Abad district of Kunduz province.</t>
        </is>
      </c>
      <c r="D354" s="62" t="inlineStr">
        <is>
          <t>1 of 2</t>
        </is>
      </c>
      <c r="E354" s="34" t="inlineStr">
        <is>
          <t>AF2-WSM-N-023</t>
        </is>
      </c>
      <c r="F354" s="34" t="inlineStr">
        <is>
          <t>Khalkoma Check Dam</t>
        </is>
      </c>
      <c r="G354" s="34" t="inlineStr">
        <is>
          <t>Watershed Management</t>
        </is>
      </c>
      <c r="H354" s="34" t="inlineStr">
        <is>
          <t>Check Dam</t>
        </is>
      </c>
      <c r="I354" s="34" t="inlineStr">
        <is>
          <t>Emergency Food Security Project (EFSP) – WBK/AF-2</t>
        </is>
      </c>
      <c r="J354" s="34" t="inlineStr">
        <is>
          <t>South / Kandahar</t>
        </is>
      </c>
      <c r="K354" s="34" t="inlineStr">
        <is>
          <t>Kunduz</t>
        </is>
      </c>
      <c r="L354" s="34" t="inlineStr">
        <is>
          <t>Ali Abad</t>
        </is>
      </c>
      <c r="M354" s="34" t="inlineStr">
        <is>
          <t>Khalkoma</t>
        </is>
      </c>
      <c r="N354" s="34" t="inlineStr">
        <is>
          <t>World Bank (WBK/AF-2)</t>
        </is>
      </c>
      <c r="O354" s="34" t="inlineStr">
        <is>
          <t>Not awarded</t>
        </is>
      </c>
      <c r="P354" s="34" t="inlineStr">
        <is>
          <t>4.WSM remaining contracts</t>
        </is>
      </c>
      <c r="Q354" s="34" t="inlineStr"/>
      <c r="R354" s="34" t="inlineStr"/>
      <c r="S354" s="35" t="n">
        <v>66984.58</v>
      </c>
      <c r="T354" s="36" t="inlineStr">
        <is>
          <t>IF(AQ354="","",AQ354)</t>
        </is>
      </c>
      <c r="U354" s="37" t="n">
        <v>46326</v>
      </c>
      <c r="V354" s="38" t="n">
        <v>5.9</v>
      </c>
      <c r="W354" s="37" t="n">
        <v>46506</v>
      </c>
      <c r="X354" s="36" t="inlineStr">
        <is>
          <t>IF(W354&lt;&gt;"",W354,IF(OR(T354="",V354=""),"",EDATE(T354,V354)))</t>
        </is>
      </c>
      <c r="Y354" s="37" t="n"/>
      <c r="Z354" s="38" t="n"/>
      <c r="AA354" s="34" t="inlineStr">
        <is>
          <t>ITB Launched</t>
        </is>
      </c>
      <c r="AB354" s="34" t="inlineStr">
        <is>
          <t>Construction period six months including slack period (Dec-Jan).</t>
        </is>
      </c>
      <c r="AC354" s="32" t="inlineStr">
        <is>
          <t>IF(F354="","",IF(COUNT(AI354:AV354)=0,IF(AA354="","Not started",AA354),SUBSTITUTE(LOOKUP(2,1/(AI354:AV354&lt;&gt;""),$AI$3:$AV$3),"Date: ","")))</t>
        </is>
      </c>
      <c r="AD354" s="39" t="inlineStr">
        <is>
          <t>IF(OR(F354="",COUNT(AI354:AV354)=0),"",TODAY()-LOOKUP(2,1/(AI354:AV354&lt;&gt;""),AI354:AV354))</t>
        </is>
      </c>
      <c r="AE354" s="39" t="inlineStr">
        <is>
          <t>IF(OR(F354="",COUNT(AI354:AV354)&lt;2),"",LOOKUP(2,1/(AI354:AV354&lt;&gt;""),AI354:AV354)-MIN(AI354:AV354))</t>
        </is>
      </c>
      <c r="AF354" s="39" t="inlineStr">
        <is>
          <t>IF(OR(AD354="",AC354="Not started",AC354=""),"",IFERROR(AD354-IF(VLOOKUP(AC354,'06_Status_Pipeline'!$B$3:$E$20,4,FALSE)="",0,VLOOKUP(AC354,'06_Status_Pipeline'!$B$3:$E$20,4,FALSE)),""))</t>
        </is>
      </c>
      <c r="AG354" s="32" t="inlineStr">
        <is>
          <t>IF(F354="","",IF(OR(AA354="Cancelled",AC354="Cancelled"),"Cancelled",IF(OR(AC354="Completed / Handover",Y354&lt;&gt;"",Z354&gt;=100),"Completed — on track",IF(O354="Not awarded",IF(U354="",IF(X354="","No planned date",IF(TODAY()&gt;X354,"Behind — past planned date",IF(X354-TODAY()&lt;=30,"At risk — close to off track","On track"))),IF(TODAY()&gt;U354,"Behind — award date passed",IF(U354-TODAY()&lt;=30,"At risk — close to off track","On track"))),IF(X354="","No planned date",IF(AND(TODAY()&gt;X354,OR(Z354="",Z354&lt;100)),"Behind — past end date",IF(AND(T354&lt;&gt;"",X354&lt;&gt;"",Z354&lt;&gt;"",(Z354&lt;100),((TODAY()-T354)/MAX(X354-T354,1)*100)-Z354&gt;15),"Behind — progress lag",IF(AND(X354-TODAY()&lt;=30,X354-TODAY()&gt;=0,OR(Z354="",Z354&lt;90)),"At risk — close to off track","On track"))))))))</t>
        </is>
      </c>
      <c r="AH354" s="39" t="inlineStr">
        <is>
          <t>IF(OR(F354="",AC354="Completed / Handover",AC354="Cancelled"),"",IF(O354="Not awarded",IF(U354&lt;&gt;"",U354-TODAY(),IF(X354="","",X354-TODAY())),IF(X354="","",X354-TODAY())))</t>
        </is>
      </c>
      <c r="AI354" s="37" t="n"/>
      <c r="AJ354" s="37" t="n"/>
      <c r="AK354" s="37" t="n"/>
      <c r="AL354" s="37" t="n"/>
      <c r="AM354" s="37" t="n"/>
      <c r="AN354" s="37" t="n"/>
      <c r="AO354" s="37" t="n"/>
      <c r="AP354" s="37" t="n"/>
      <c r="AQ354" s="37" t="n"/>
      <c r="AR354" s="37" t="n"/>
      <c r="AS354" s="37" t="n"/>
      <c r="AT354" s="40" t="n"/>
      <c r="AU354" s="40" t="n"/>
      <c r="AV354" s="40" t="n"/>
      <c r="AW354" s="39" t="inlineStr">
        <is>
          <t>IF(OR(F354="",AJ354=""),"",IF(COUNT(AI354:AI354)=0,"",AJ354-LOOKUP(2,1/(AI354:AI354&lt;&gt;""),AI354:AI354)))</t>
        </is>
      </c>
      <c r="AX354" s="39" t="inlineStr">
        <is>
          <t>IF(OR(F354="",AK354=""),"",IF(COUNT(AI354:AJ354)=0,"",AK354-LOOKUP(2,1/(AI354:AJ354&lt;&gt;""),AI354:AJ354)))</t>
        </is>
      </c>
      <c r="AY354" s="39" t="inlineStr">
        <is>
          <t>IF(OR(F354="",AL354=""),"",IF(COUNT(AI354:AK354)=0,"",AL354-LOOKUP(2,1/(AI354:AK354&lt;&gt;""),AI354:AK354)))</t>
        </is>
      </c>
      <c r="AZ354" s="39" t="inlineStr">
        <is>
          <t>IF(OR(F354="",AM354=""),"",IF(COUNT(AI354:AL354)=0,"",AM354-LOOKUP(2,1/(AI354:AL354&lt;&gt;""),AI354:AL354)))</t>
        </is>
      </c>
      <c r="BA354" s="39" t="inlineStr">
        <is>
          <t>IF(OR(F354="",AN354=""),"",IF(COUNT(AI354:AM354)=0,"",AN354-LOOKUP(2,1/(AI354:AM354&lt;&gt;""),AI354:AM354)))</t>
        </is>
      </c>
      <c r="BB354" s="39" t="inlineStr">
        <is>
          <t>IF(OR(F354="",AO354=""),"",IF(COUNT(AI354:AN354)=0,"",AO354-LOOKUP(2,1/(AI354:AN354&lt;&gt;""),AI354:AN354)))</t>
        </is>
      </c>
      <c r="BC354" s="39" t="inlineStr">
        <is>
          <t>IF(OR(F354="",AP354=""),"",IF(COUNT(AI354:AO354)=0,"",AP354-LOOKUP(2,1/(AI354:AO354&lt;&gt;""),AI354:AO354)))</t>
        </is>
      </c>
      <c r="BD354" s="39" t="inlineStr">
        <is>
          <t>IF(OR(F354="",AQ354=""),"",IF(COUNT(AI354:AP354)=0,"",AQ354-LOOKUP(2,1/(AI354:AP354&lt;&gt;""),AI354:AP354)))</t>
        </is>
      </c>
      <c r="BE354" s="39" t="inlineStr">
        <is>
          <t>IF(OR(F354="",AR354=""),"",IF(COUNT(AI354:AQ354)=0,"",AR354-LOOKUP(2,1/(AI354:AQ354&lt;&gt;""),AI354:AQ354)))</t>
        </is>
      </c>
      <c r="BF354" s="39" t="inlineStr">
        <is>
          <t>IF(OR(F354="",AS354=""),"",IF(COUNT(AI354:AR354)=0,"",AS354-LOOKUP(2,1/(AI354:AR354&lt;&gt;""),AI354:AR354)))</t>
        </is>
      </c>
      <c r="BG354" s="39" t="inlineStr">
        <is>
          <t>IF(OR(F354="",AT354=""),"",IF(COUNT(AI354:AS354)=0,"",AT354-LOOKUP(2,1/(AI354:AS354&lt;&gt;""),AI354:AS354)))</t>
        </is>
      </c>
      <c r="BH354" s="39" t="inlineStr">
        <is>
          <t>IF(OR(F354="",AU354=""),"",IF(COUNT(AI354:AT354)=0,"",AU354-LOOKUP(2,1/(AI354:AT354&lt;&gt;""),AI354:AT354)))</t>
        </is>
      </c>
      <c r="BI354" s="39" t="inlineStr">
        <is>
          <t>IF(OR(F354="",AV354=""),"",IF(COUNT(AI354:AU354)=0,"",AV354-LOOKUP(2,1/(AI354:AU354&lt;&gt;""),AI354:AU354)))</t>
        </is>
      </c>
      <c r="BJ354" s="41" t="inlineStr">
        <is>
          <t>IF(J354="","All_Provinces",IFERROR(VLOOKUP(J354,'09_Lookups'!$A$4:$B$20,2,FALSE),"All_Provinces"))</t>
        </is>
      </c>
      <c r="BK354" s="41" t="inlineStr">
        <is>
          <t>IF(K354="","All_Districts",IFERROR(VLOOKUP(K354,'09_Lookups'!$E$4:$F$42,2,FALSE),"All_Districts"))</t>
        </is>
      </c>
    </row>
    <row r="355" outlineLevel="1" ht="18" customHeight="1">
      <c r="A355" s="42" t="inlineStr">
        <is>
          <t>IF(F355="","",ROW()-3)</t>
        </is>
      </c>
      <c r="B355" s="63" t="inlineStr">
        <is>
          <t>AF2-WSM-34</t>
        </is>
      </c>
      <c r="C355" s="63" t="inlineStr">
        <is>
          <t>Package #34-AF2 WSM: Construction of two Check dams, 1.Tawqus Sangaw and 2. Khalkoma in Kalbad and Ali Abad district of Kunduz province.</t>
        </is>
      </c>
      <c r="D355" s="63" t="inlineStr">
        <is>
          <t>2 of 2</t>
        </is>
      </c>
      <c r="E355" s="44" t="inlineStr">
        <is>
          <t>AF2-WSM-N-024</t>
        </is>
      </c>
      <c r="F355" s="44" t="inlineStr">
        <is>
          <t>Tawqus Sangaw Check Dam</t>
        </is>
      </c>
      <c r="G355" s="44" t="inlineStr">
        <is>
          <t>Watershed Management</t>
        </is>
      </c>
      <c r="H355" s="44" t="inlineStr">
        <is>
          <t>Check Dam</t>
        </is>
      </c>
      <c r="I355" s="44" t="inlineStr">
        <is>
          <t>Emergency Food Security Project (EFSP) – WBK/AF-2</t>
        </is>
      </c>
      <c r="J355" s="44" t="inlineStr">
        <is>
          <t>South / Kandahar</t>
        </is>
      </c>
      <c r="K355" s="44" t="inlineStr">
        <is>
          <t>Kunduz</t>
        </is>
      </c>
      <c r="L355" s="44" t="inlineStr">
        <is>
          <t>Kalbad</t>
        </is>
      </c>
      <c r="M355" s="44" t="inlineStr">
        <is>
          <t>Tawqus Sangaw</t>
        </is>
      </c>
      <c r="N355" s="44" t="inlineStr">
        <is>
          <t>World Bank (WBK/AF-2)</t>
        </is>
      </c>
      <c r="O355" s="44" t="inlineStr">
        <is>
          <t>Not awarded</t>
        </is>
      </c>
      <c r="P355" s="44" t="inlineStr">
        <is>
          <t>4.WSM remaining contracts</t>
        </is>
      </c>
      <c r="Q355" s="44" t="inlineStr"/>
      <c r="R355" s="44" t="inlineStr"/>
      <c r="S355" s="45" t="n">
        <v>66984.58</v>
      </c>
      <c r="T355" s="46" t="inlineStr">
        <is>
          <t>IF(AQ355="","",AQ355)</t>
        </is>
      </c>
      <c r="U355" s="47" t="n">
        <v>46326</v>
      </c>
      <c r="V355" s="48" t="n">
        <v>5.9</v>
      </c>
      <c r="W355" s="47" t="n">
        <v>46506</v>
      </c>
      <c r="X355" s="46" t="inlineStr">
        <is>
          <t>IF(W355&lt;&gt;"",W355,IF(OR(T355="",V355=""),"",EDATE(T355,V355)))</t>
        </is>
      </c>
      <c r="Y355" s="47" t="n"/>
      <c r="Z355" s="48" t="n"/>
      <c r="AA355" s="44" t="inlineStr">
        <is>
          <t>ITB Launched</t>
        </is>
      </c>
      <c r="AB355" s="44" t="inlineStr">
        <is>
          <t>Construction period six months including slack period (Dec-Jan).</t>
        </is>
      </c>
      <c r="AC355" s="42" t="inlineStr">
        <is>
          <t>IF(F355="","",IF(COUNT(AI355:AV355)=0,IF(AA355="","Not started",AA355),SUBSTITUTE(LOOKUP(2,1/(AI355:AV355&lt;&gt;""),$AI$3:$AV$3),"Date: ","")))</t>
        </is>
      </c>
      <c r="AD355" s="49" t="inlineStr">
        <is>
          <t>IF(OR(F355="",COUNT(AI355:AV355)=0),"",TODAY()-LOOKUP(2,1/(AI355:AV355&lt;&gt;""),AI355:AV355))</t>
        </is>
      </c>
      <c r="AE355" s="49" t="inlineStr">
        <is>
          <t>IF(OR(F355="",COUNT(AI355:AV355)&lt;2),"",LOOKUP(2,1/(AI355:AV355&lt;&gt;""),AI355:AV355)-MIN(AI355:AV355))</t>
        </is>
      </c>
      <c r="AF355" s="49" t="inlineStr">
        <is>
          <t>IF(OR(AD355="",AC355="Not started",AC355=""),"",IFERROR(AD355-IF(VLOOKUP(AC355,'06_Status_Pipeline'!$B$3:$E$20,4,FALSE)="",0,VLOOKUP(AC355,'06_Status_Pipeline'!$B$3:$E$20,4,FALSE)),""))</t>
        </is>
      </c>
      <c r="AG355" s="42" t="inlineStr">
        <is>
          <t>IF(F355="","",IF(OR(AA355="Cancelled",AC355="Cancelled"),"Cancelled",IF(OR(AC355="Completed / Handover",Y355&lt;&gt;"",Z355&gt;=100),"Completed — on track",IF(O355="Not awarded",IF(U355="",IF(X355="","No planned date",IF(TODAY()&gt;X355,"Behind — past planned date",IF(X355-TODAY()&lt;=30,"At risk — close to off track","On track"))),IF(TODAY()&gt;U355,"Behind — award date passed",IF(U355-TODAY()&lt;=30,"At risk — close to off track","On track"))),IF(X355="","No planned date",IF(AND(TODAY()&gt;X355,OR(Z355="",Z355&lt;100)),"Behind — past end date",IF(AND(T355&lt;&gt;"",X355&lt;&gt;"",Z355&lt;&gt;"",(Z355&lt;100),((TODAY()-T355)/MAX(X355-T355,1)*100)-Z355&gt;15),"Behind — progress lag",IF(AND(X355-TODAY()&lt;=30,X355-TODAY()&gt;=0,OR(Z355="",Z355&lt;90)),"At risk — close to off track","On track"))))))))</t>
        </is>
      </c>
      <c r="AH355" s="49" t="inlineStr">
        <is>
          <t>IF(OR(F355="",AC355="Completed / Handover",AC355="Cancelled"),"",IF(O355="Not awarded",IF(U355&lt;&gt;"",U355-TODAY(),IF(X355="","",X355-TODAY())),IF(X355="","",X355-TODAY())))</t>
        </is>
      </c>
      <c r="AI355" s="47" t="n"/>
      <c r="AJ355" s="47" t="n"/>
      <c r="AK355" s="47" t="n"/>
      <c r="AL355" s="47" t="n"/>
      <c r="AM355" s="47" t="n"/>
      <c r="AN355" s="47" t="n"/>
      <c r="AO355" s="47" t="n"/>
      <c r="AP355" s="47" t="n"/>
      <c r="AQ355" s="47" t="n"/>
      <c r="AR355" s="47" t="n"/>
      <c r="AS355" s="47" t="n"/>
      <c r="AT355" s="50" t="n"/>
      <c r="AU355" s="50" t="n"/>
      <c r="AV355" s="50" t="n"/>
      <c r="AW355" s="49" t="inlineStr">
        <is>
          <t>IF(OR(F355="",AJ355=""),"",IF(COUNT(AI355:AI355)=0,"",AJ355-LOOKUP(2,1/(AI355:AI355&lt;&gt;""),AI355:AI355)))</t>
        </is>
      </c>
      <c r="AX355" s="49" t="inlineStr">
        <is>
          <t>IF(OR(F355="",AK355=""),"",IF(COUNT(AI355:AJ355)=0,"",AK355-LOOKUP(2,1/(AI355:AJ355&lt;&gt;""),AI355:AJ355)))</t>
        </is>
      </c>
      <c r="AY355" s="49" t="inlineStr">
        <is>
          <t>IF(OR(F355="",AL355=""),"",IF(COUNT(AI355:AK355)=0,"",AL355-LOOKUP(2,1/(AI355:AK355&lt;&gt;""),AI355:AK355)))</t>
        </is>
      </c>
      <c r="AZ355" s="49" t="inlineStr">
        <is>
          <t>IF(OR(F355="",AM355=""),"",IF(COUNT(AI355:AL355)=0,"",AM355-LOOKUP(2,1/(AI355:AL355&lt;&gt;""),AI355:AL355)))</t>
        </is>
      </c>
      <c r="BA355" s="49" t="inlineStr">
        <is>
          <t>IF(OR(F355="",AN355=""),"",IF(COUNT(AI355:AM355)=0,"",AN355-LOOKUP(2,1/(AI355:AM355&lt;&gt;""),AI355:AM355)))</t>
        </is>
      </c>
      <c r="BB355" s="49" t="inlineStr">
        <is>
          <t>IF(OR(F355="",AO355=""),"",IF(COUNT(AI355:AN355)=0,"",AO355-LOOKUP(2,1/(AI355:AN355&lt;&gt;""),AI355:AN355)))</t>
        </is>
      </c>
      <c r="BC355" s="49" t="inlineStr">
        <is>
          <t>IF(OR(F355="",AP355=""),"",IF(COUNT(AI355:AO355)=0,"",AP355-LOOKUP(2,1/(AI355:AO355&lt;&gt;""),AI355:AO355)))</t>
        </is>
      </c>
      <c r="BD355" s="49" t="inlineStr">
        <is>
          <t>IF(OR(F355="",AQ355=""),"",IF(COUNT(AI355:AP355)=0,"",AQ355-LOOKUP(2,1/(AI355:AP355&lt;&gt;""),AI355:AP355)))</t>
        </is>
      </c>
      <c r="BE355" s="49" t="inlineStr">
        <is>
          <t>IF(OR(F355="",AR355=""),"",IF(COUNT(AI355:AQ355)=0,"",AR355-LOOKUP(2,1/(AI355:AQ355&lt;&gt;""),AI355:AQ355)))</t>
        </is>
      </c>
      <c r="BF355" s="49" t="inlineStr">
        <is>
          <t>IF(OR(F355="",AS355=""),"",IF(COUNT(AI355:AR355)=0,"",AS355-LOOKUP(2,1/(AI355:AR355&lt;&gt;""),AI355:AR355)))</t>
        </is>
      </c>
      <c r="BG355" s="49" t="inlineStr">
        <is>
          <t>IF(OR(F355="",AT355=""),"",IF(COUNT(AI355:AS355)=0,"",AT355-LOOKUP(2,1/(AI355:AS355&lt;&gt;""),AI355:AS355)))</t>
        </is>
      </c>
      <c r="BH355" s="49" t="inlineStr">
        <is>
          <t>IF(OR(F355="",AU355=""),"",IF(COUNT(AI355:AT355)=0,"",AU355-LOOKUP(2,1/(AI355:AT355&lt;&gt;""),AI355:AT355)))</t>
        </is>
      </c>
      <c r="BI355" s="49" t="inlineStr">
        <is>
          <t>IF(OR(F355="",AV355=""),"",IF(COUNT(AI355:AU355)=0,"",AV355-LOOKUP(2,1/(AI355:AU355&lt;&gt;""),AI355:AU355)))</t>
        </is>
      </c>
      <c r="BJ355" s="51" t="inlineStr">
        <is>
          <t>IF(J355="","All_Provinces",IFERROR(VLOOKUP(J355,'09_Lookups'!$A$4:$B$20,2,FALSE),"All_Provinces"))</t>
        </is>
      </c>
      <c r="BK355" s="51" t="inlineStr">
        <is>
          <t>IF(K355="","All_Districts",IFERROR(VLOOKUP(K355,'09_Lookups'!$E$4:$F$42,2,FALSE),"All_Districts"))</t>
        </is>
      </c>
    </row>
    <row r="356" ht="18" customHeight="1">
      <c r="A356" s="42" t="inlineStr">
        <is>
          <t>IF(F356="","",ROW()-3)</t>
        </is>
      </c>
      <c r="B356" s="52" t="n"/>
      <c r="C356" s="52" t="n"/>
      <c r="D356" s="52" t="n"/>
      <c r="E356" s="52" t="n"/>
      <c r="F356" s="52" t="n"/>
      <c r="G356" s="52" t="n"/>
      <c r="H356" s="52" t="n"/>
      <c r="I356" s="52" t="n"/>
      <c r="J356" s="52" t="n"/>
      <c r="K356" s="52" t="n"/>
      <c r="L356" s="52" t="n"/>
      <c r="M356" s="52" t="n"/>
      <c r="N356" s="52" t="n"/>
      <c r="O356" s="52" t="n"/>
      <c r="P356" s="52" t="n"/>
      <c r="Q356" s="52" t="n"/>
      <c r="R356" s="52" t="n"/>
      <c r="S356" s="53" t="n"/>
      <c r="T356" s="46" t="inlineStr">
        <is>
          <t>IF(AQ356="","",AQ356)</t>
        </is>
      </c>
      <c r="U356" s="54" t="n"/>
      <c r="V356" s="55" t="n"/>
      <c r="W356" s="54" t="n"/>
      <c r="X356" s="46" t="inlineStr">
        <is>
          <t>IF(W356&lt;&gt;"",W356,IF(OR(T356="",V356=""),"",EDATE(T356,V356)))</t>
        </is>
      </c>
      <c r="Y356" s="54" t="n"/>
      <c r="Z356" s="55" t="n"/>
      <c r="AA356" s="52" t="n"/>
      <c r="AB356" s="52" t="n"/>
      <c r="AC356" s="42" t="inlineStr">
        <is>
          <t>IF(F356="","",IF(COUNT(AI356:AV356)=0,IF(AA356="","Not started",AA356),SUBSTITUTE(LOOKUP(2,1/(AI356:AV356&lt;&gt;""),$AI$3:$AV$3),"Date: ","")))</t>
        </is>
      </c>
      <c r="AD356" s="49" t="inlineStr">
        <is>
          <t>IF(OR(F356="",COUNT(AI356:AV356)=0),"",TODAY()-LOOKUP(2,1/(AI356:AV356&lt;&gt;""),AI356:AV356))</t>
        </is>
      </c>
      <c r="AE356" s="49" t="inlineStr">
        <is>
          <t>IF(OR(F356="",COUNT(AI356:AV356)&lt;2),"",LOOKUP(2,1/(AI356:AV356&lt;&gt;""),AI356:AV356)-MIN(AI356:AV356))</t>
        </is>
      </c>
      <c r="AF356" s="49" t="inlineStr">
        <is>
          <t>IF(OR(AD356="",AC356="Not started",AC356=""),"",IFERROR(AD356-IF(VLOOKUP(AC356,'06_Status_Pipeline'!$B$3:$E$20,4,FALSE)="",0,VLOOKUP(AC356,'06_Status_Pipeline'!$B$3:$E$20,4,FALSE)),""))</t>
        </is>
      </c>
      <c r="AG356" s="42" t="inlineStr">
        <is>
          <t>IF(F356="","",IF(OR(AA356="Cancelled",AC356="Cancelled"),"Cancelled",IF(OR(AC356="Completed / Handover",Y356&lt;&gt;"",Z356&gt;=100),"Completed — on track",IF(O356="Not awarded",IF(U356="",IF(X356="","No planned date",IF(TODAY()&gt;X356,"Behind — past planned date",IF(X356-TODAY()&lt;=30,"At risk — close to off track","On track"))),IF(TODAY()&gt;U356,"Behind — award date passed",IF(U356-TODAY()&lt;=30,"At risk — close to off track","On track"))),IF(X356="","No planned date",IF(AND(TODAY()&gt;X356,OR(Z356="",Z356&lt;100)),"Behind — past end date",IF(AND(T356&lt;&gt;"",X356&lt;&gt;"",Z356&lt;&gt;"",(Z356&lt;100),((TODAY()-T356)/MAX(X356-T356,1)*100)-Z356&gt;15),"Behind — progress lag",IF(AND(X356-TODAY()&lt;=30,X356-TODAY()&gt;=0,OR(Z356="",Z356&lt;90)),"At risk — close to off track","On track"))))))))</t>
        </is>
      </c>
      <c r="AH356" s="49" t="inlineStr">
        <is>
          <t>IF(OR(F356="",AC356="Completed / Handover",AC356="Cancelled"),"",IF(O356="Not awarded",IF(U356&lt;&gt;"",U356-TODAY(),IF(X356="","",X356-TODAY())),IF(X356="","",X356-TODAY())))</t>
        </is>
      </c>
      <c r="AI356" s="54" t="n"/>
      <c r="AJ356" s="54" t="n"/>
      <c r="AK356" s="54" t="n"/>
      <c r="AL356" s="54" t="n"/>
      <c r="AM356" s="54" t="n"/>
      <c r="AN356" s="54" t="n"/>
      <c r="AO356" s="54" t="n"/>
      <c r="AP356" s="54" t="n"/>
      <c r="AQ356" s="54" t="n"/>
      <c r="AR356" s="54" t="n"/>
      <c r="AS356" s="54" t="n"/>
      <c r="AT356" s="50" t="n"/>
      <c r="AU356" s="50" t="n"/>
      <c r="AV356" s="50" t="n"/>
      <c r="AW356" s="49" t="inlineStr">
        <is>
          <t>IF(OR(F356="",AJ356=""),"",IF(COUNT(AI356:AI356)=0,"",AJ356-LOOKUP(2,1/(AI356:AI356&lt;&gt;""),AI356:AI356)))</t>
        </is>
      </c>
      <c r="AX356" s="49" t="inlineStr">
        <is>
          <t>IF(OR(F356="",AK356=""),"",IF(COUNT(AI356:AJ356)=0,"",AK356-LOOKUP(2,1/(AI356:AJ356&lt;&gt;""),AI356:AJ356)))</t>
        </is>
      </c>
      <c r="AY356" s="49" t="inlineStr">
        <is>
          <t>IF(OR(F356="",AL356=""),"",IF(COUNT(AI356:AK356)=0,"",AL356-LOOKUP(2,1/(AI356:AK356&lt;&gt;""),AI356:AK356)))</t>
        </is>
      </c>
      <c r="AZ356" s="49" t="inlineStr">
        <is>
          <t>IF(OR(F356="",AM356=""),"",IF(COUNT(AI356:AL356)=0,"",AM356-LOOKUP(2,1/(AI356:AL356&lt;&gt;""),AI356:AL356)))</t>
        </is>
      </c>
      <c r="BA356" s="49" t="inlineStr">
        <is>
          <t>IF(OR(F356="",AN356=""),"",IF(COUNT(AI356:AM356)=0,"",AN356-LOOKUP(2,1/(AI356:AM356&lt;&gt;""),AI356:AM356)))</t>
        </is>
      </c>
      <c r="BB356" s="49" t="inlineStr">
        <is>
          <t>IF(OR(F356="",AO356=""),"",IF(COUNT(AI356:AN356)=0,"",AO356-LOOKUP(2,1/(AI356:AN356&lt;&gt;""),AI356:AN356)))</t>
        </is>
      </c>
      <c r="BC356" s="49" t="inlineStr">
        <is>
          <t>IF(OR(F356="",AP356=""),"",IF(COUNT(AI356:AO356)=0,"",AP356-LOOKUP(2,1/(AI356:AO356&lt;&gt;""),AI356:AO356)))</t>
        </is>
      </c>
      <c r="BD356" s="49" t="inlineStr">
        <is>
          <t>IF(OR(F356="",AQ356=""),"",IF(COUNT(AI356:AP356)=0,"",AQ356-LOOKUP(2,1/(AI356:AP356&lt;&gt;""),AI356:AP356)))</t>
        </is>
      </c>
      <c r="BE356" s="49" t="inlineStr">
        <is>
          <t>IF(OR(F356="",AR356=""),"",IF(COUNT(AI356:AQ356)=0,"",AR356-LOOKUP(2,1/(AI356:AQ356&lt;&gt;""),AI356:AQ356)))</t>
        </is>
      </c>
      <c r="BF356" s="49" t="inlineStr">
        <is>
          <t>IF(OR(F356="",AS356=""),"",IF(COUNT(AI356:AR356)=0,"",AS356-LOOKUP(2,1/(AI356:AR356&lt;&gt;""),AI356:AR356)))</t>
        </is>
      </c>
      <c r="BG356" s="49" t="inlineStr">
        <is>
          <t>IF(OR(F356="",AT356=""),"",IF(COUNT(AI356:AS356)=0,"",AT356-LOOKUP(2,1/(AI356:AS356&lt;&gt;""),AI356:AS356)))</t>
        </is>
      </c>
      <c r="BH356" s="49" t="inlineStr">
        <is>
          <t>IF(OR(F356="",AU356=""),"",IF(COUNT(AI356:AT356)=0,"",AU356-LOOKUP(2,1/(AI356:AT356&lt;&gt;""),AI356:AT356)))</t>
        </is>
      </c>
      <c r="BI356" s="49" t="inlineStr">
        <is>
          <t>IF(OR(F356="",AV356=""),"",IF(COUNT(AI356:AU356)=0,"",AV356-LOOKUP(2,1/(AI356:AU356&lt;&gt;""),AI356:AU356)))</t>
        </is>
      </c>
      <c r="BJ356" s="51" t="inlineStr">
        <is>
          <t>IF(J356="","All_Provinces",IFERROR(VLOOKUP(J356,'09_Lookups'!$A$4:$B$20,2,FALSE),"All_Provinces"))</t>
        </is>
      </c>
      <c r="BK356" s="51" t="inlineStr">
        <is>
          <t>IF(K356="","All_Districts",IFERROR(VLOOKUP(K356,'09_Lookups'!$E$4:$F$42,2,FALSE),"All_Districts"))</t>
        </is>
      </c>
    </row>
    <row r="357" ht="18" customHeight="1">
      <c r="A357" s="42" t="inlineStr">
        <is>
          <t>IF(F357="","",ROW()-3)</t>
        </is>
      </c>
      <c r="B357" s="44" t="n"/>
      <c r="C357" s="44" t="n"/>
      <c r="D357" s="44" t="n"/>
      <c r="E357" s="44" t="n"/>
      <c r="F357" s="44" t="n"/>
      <c r="G357" s="44" t="n"/>
      <c r="H357" s="44" t="n"/>
      <c r="I357" s="44" t="n"/>
      <c r="J357" s="44" t="n"/>
      <c r="K357" s="44" t="n"/>
      <c r="L357" s="44" t="n"/>
      <c r="M357" s="44" t="n"/>
      <c r="N357" s="44" t="n"/>
      <c r="O357" s="44" t="n"/>
      <c r="P357" s="44" t="n"/>
      <c r="Q357" s="44" t="n"/>
      <c r="R357" s="44" t="n"/>
      <c r="S357" s="45" t="n"/>
      <c r="T357" s="46" t="inlineStr">
        <is>
          <t>IF(AQ357="","",AQ357)</t>
        </is>
      </c>
      <c r="U357" s="47" t="n"/>
      <c r="V357" s="48" t="n"/>
      <c r="W357" s="47" t="n"/>
      <c r="X357" s="46" t="inlineStr">
        <is>
          <t>IF(W357&lt;&gt;"",W357,IF(OR(T357="",V357=""),"",EDATE(T357,V357)))</t>
        </is>
      </c>
      <c r="Y357" s="47" t="n"/>
      <c r="Z357" s="48" t="n"/>
      <c r="AA357" s="44" t="n"/>
      <c r="AB357" s="44" t="n"/>
      <c r="AC357" s="42" t="inlineStr">
        <is>
          <t>IF(F357="","",IF(COUNT(AI357:AV357)=0,IF(AA357="","Not started",AA357),SUBSTITUTE(LOOKUP(2,1/(AI357:AV357&lt;&gt;""),$AI$3:$AV$3),"Date: ","")))</t>
        </is>
      </c>
      <c r="AD357" s="49" t="inlineStr">
        <is>
          <t>IF(OR(F357="",COUNT(AI357:AV357)=0),"",TODAY()-LOOKUP(2,1/(AI357:AV357&lt;&gt;""),AI357:AV357))</t>
        </is>
      </c>
      <c r="AE357" s="49" t="inlineStr">
        <is>
          <t>IF(OR(F357="",COUNT(AI357:AV357)&lt;2),"",LOOKUP(2,1/(AI357:AV357&lt;&gt;""),AI357:AV357)-MIN(AI357:AV357))</t>
        </is>
      </c>
      <c r="AF357" s="49" t="inlineStr">
        <is>
          <t>IF(OR(AD357="",AC357="Not started",AC357=""),"",IFERROR(AD357-IF(VLOOKUP(AC357,'06_Status_Pipeline'!$B$3:$E$20,4,FALSE)="",0,VLOOKUP(AC357,'06_Status_Pipeline'!$B$3:$E$20,4,FALSE)),""))</t>
        </is>
      </c>
      <c r="AG357" s="42" t="inlineStr">
        <is>
          <t>IF(F357="","",IF(OR(AA357="Cancelled",AC357="Cancelled"),"Cancelled",IF(OR(AC357="Completed / Handover",Y357&lt;&gt;"",Z357&gt;=100),"Completed — on track",IF(O357="Not awarded",IF(U357="",IF(X357="","No planned date",IF(TODAY()&gt;X357,"Behind — past planned date",IF(X357-TODAY()&lt;=30,"At risk — close to off track","On track"))),IF(TODAY()&gt;U357,"Behind — award date passed",IF(U357-TODAY()&lt;=30,"At risk — close to off track","On track"))),IF(X357="","No planned date",IF(AND(TODAY()&gt;X357,OR(Z357="",Z357&lt;100)),"Behind — past end date",IF(AND(T357&lt;&gt;"",X357&lt;&gt;"",Z357&lt;&gt;"",(Z357&lt;100),((TODAY()-T357)/MAX(X357-T357,1)*100)-Z357&gt;15),"Behind — progress lag",IF(AND(X357-TODAY()&lt;=30,X357-TODAY()&gt;=0,OR(Z357="",Z357&lt;90)),"At risk — close to off track","On track"))))))))</t>
        </is>
      </c>
      <c r="AH357" s="49" t="inlineStr">
        <is>
          <t>IF(OR(F357="",AC357="Completed / Handover",AC357="Cancelled"),"",IF(O357="Not awarded",IF(U357&lt;&gt;"",U357-TODAY(),IF(X357="","",X357-TODAY())),IF(X357="","",X357-TODAY())))</t>
        </is>
      </c>
      <c r="AI357" s="47" t="n"/>
      <c r="AJ357" s="47" t="n"/>
      <c r="AK357" s="47" t="n"/>
      <c r="AL357" s="47" t="n"/>
      <c r="AM357" s="47" t="n"/>
      <c r="AN357" s="47" t="n"/>
      <c r="AO357" s="47" t="n"/>
      <c r="AP357" s="47" t="n"/>
      <c r="AQ357" s="47" t="n"/>
      <c r="AR357" s="47" t="n"/>
      <c r="AS357" s="47" t="n"/>
      <c r="AT357" s="50" t="n"/>
      <c r="AU357" s="50" t="n"/>
      <c r="AV357" s="50" t="n"/>
      <c r="AW357" s="49" t="inlineStr">
        <is>
          <t>IF(OR(F357="",AJ357=""),"",IF(COUNT(AI357:AI357)=0,"",AJ357-LOOKUP(2,1/(AI357:AI357&lt;&gt;""),AI357:AI357)))</t>
        </is>
      </c>
      <c r="AX357" s="49" t="inlineStr">
        <is>
          <t>IF(OR(F357="",AK357=""),"",IF(COUNT(AI357:AJ357)=0,"",AK357-LOOKUP(2,1/(AI357:AJ357&lt;&gt;""),AI357:AJ357)))</t>
        </is>
      </c>
      <c r="AY357" s="49" t="inlineStr">
        <is>
          <t>IF(OR(F357="",AL357=""),"",IF(COUNT(AI357:AK357)=0,"",AL357-LOOKUP(2,1/(AI357:AK357&lt;&gt;""),AI357:AK357)))</t>
        </is>
      </c>
      <c r="AZ357" s="49" t="inlineStr">
        <is>
          <t>IF(OR(F357="",AM357=""),"",IF(COUNT(AI357:AL357)=0,"",AM357-LOOKUP(2,1/(AI357:AL357&lt;&gt;""),AI357:AL357)))</t>
        </is>
      </c>
      <c r="BA357" s="49" t="inlineStr">
        <is>
          <t>IF(OR(F357="",AN357=""),"",IF(COUNT(AI357:AM357)=0,"",AN357-LOOKUP(2,1/(AI357:AM357&lt;&gt;""),AI357:AM357)))</t>
        </is>
      </c>
      <c r="BB357" s="49" t="inlineStr">
        <is>
          <t>IF(OR(F357="",AO357=""),"",IF(COUNT(AI357:AN357)=0,"",AO357-LOOKUP(2,1/(AI357:AN357&lt;&gt;""),AI357:AN357)))</t>
        </is>
      </c>
      <c r="BC357" s="49" t="inlineStr">
        <is>
          <t>IF(OR(F357="",AP357=""),"",IF(COUNT(AI357:AO357)=0,"",AP357-LOOKUP(2,1/(AI357:AO357&lt;&gt;""),AI357:AO357)))</t>
        </is>
      </c>
      <c r="BD357" s="49" t="inlineStr">
        <is>
          <t>IF(OR(F357="",AQ357=""),"",IF(COUNT(AI357:AP357)=0,"",AQ357-LOOKUP(2,1/(AI357:AP357&lt;&gt;""),AI357:AP357)))</t>
        </is>
      </c>
      <c r="BE357" s="49" t="inlineStr">
        <is>
          <t>IF(OR(F357="",AR357=""),"",IF(COUNT(AI357:AQ357)=0,"",AR357-LOOKUP(2,1/(AI357:AQ357&lt;&gt;""),AI357:AQ357)))</t>
        </is>
      </c>
      <c r="BF357" s="49" t="inlineStr">
        <is>
          <t>IF(OR(F357="",AS357=""),"",IF(COUNT(AI357:AR357)=0,"",AS357-LOOKUP(2,1/(AI357:AR357&lt;&gt;""),AI357:AR357)))</t>
        </is>
      </c>
      <c r="BG357" s="49" t="inlineStr">
        <is>
          <t>IF(OR(F357="",AT357=""),"",IF(COUNT(AI357:AS357)=0,"",AT357-LOOKUP(2,1/(AI357:AS357&lt;&gt;""),AI357:AS357)))</t>
        </is>
      </c>
      <c r="BH357" s="49" t="inlineStr">
        <is>
          <t>IF(OR(F357="",AU357=""),"",IF(COUNT(AI357:AT357)=0,"",AU357-LOOKUP(2,1/(AI357:AT357&lt;&gt;""),AI357:AT357)))</t>
        </is>
      </c>
      <c r="BI357" s="49" t="inlineStr">
        <is>
          <t>IF(OR(F357="",AV357=""),"",IF(COUNT(AI357:AU357)=0,"",AV357-LOOKUP(2,1/(AI357:AU357&lt;&gt;""),AI357:AU357)))</t>
        </is>
      </c>
      <c r="BJ357" s="51" t="inlineStr">
        <is>
          <t>IF(J357="","All_Provinces",IFERROR(VLOOKUP(J357,'09_Lookups'!$A$4:$B$20,2,FALSE),"All_Provinces"))</t>
        </is>
      </c>
      <c r="BK357" s="51" t="inlineStr">
        <is>
          <t>IF(K357="","All_Districts",IFERROR(VLOOKUP(K357,'09_Lookups'!$E$4:$F$42,2,FALSE),"All_Districts"))</t>
        </is>
      </c>
    </row>
    <row r="358" ht="18" customHeight="1">
      <c r="A358" s="42" t="inlineStr">
        <is>
          <t>IF(F358="","",ROW()-3)</t>
        </is>
      </c>
      <c r="B358" s="52" t="n"/>
      <c r="C358" s="52" t="n"/>
      <c r="D358" s="52" t="n"/>
      <c r="E358" s="52" t="n"/>
      <c r="F358" s="52" t="n"/>
      <c r="G358" s="52" t="n"/>
      <c r="H358" s="52" t="n"/>
      <c r="I358" s="52" t="n"/>
      <c r="J358" s="52" t="n"/>
      <c r="K358" s="52" t="n"/>
      <c r="L358" s="52" t="n"/>
      <c r="M358" s="52" t="n"/>
      <c r="N358" s="52" t="n"/>
      <c r="O358" s="52" t="n"/>
      <c r="P358" s="52" t="n"/>
      <c r="Q358" s="52" t="n"/>
      <c r="R358" s="52" t="n"/>
      <c r="S358" s="53" t="n"/>
      <c r="T358" s="46" t="inlineStr">
        <is>
          <t>IF(AQ358="","",AQ358)</t>
        </is>
      </c>
      <c r="U358" s="54" t="n"/>
      <c r="V358" s="55" t="n"/>
      <c r="W358" s="54" t="n"/>
      <c r="X358" s="46" t="inlineStr">
        <is>
          <t>IF(W358&lt;&gt;"",W358,IF(OR(T358="",V358=""),"",EDATE(T358,V358)))</t>
        </is>
      </c>
      <c r="Y358" s="54" t="n"/>
      <c r="Z358" s="55" t="n"/>
      <c r="AA358" s="52" t="n"/>
      <c r="AB358" s="52" t="n"/>
      <c r="AC358" s="42" t="inlineStr">
        <is>
          <t>IF(F358="","",IF(COUNT(AI358:AV358)=0,IF(AA358="","Not started",AA358),SUBSTITUTE(LOOKUP(2,1/(AI358:AV358&lt;&gt;""),$AI$3:$AV$3),"Date: ","")))</t>
        </is>
      </c>
      <c r="AD358" s="49" t="inlineStr">
        <is>
          <t>IF(OR(F358="",COUNT(AI358:AV358)=0),"",TODAY()-LOOKUP(2,1/(AI358:AV358&lt;&gt;""),AI358:AV358))</t>
        </is>
      </c>
      <c r="AE358" s="49" t="inlineStr">
        <is>
          <t>IF(OR(F358="",COUNT(AI358:AV358)&lt;2),"",LOOKUP(2,1/(AI358:AV358&lt;&gt;""),AI358:AV358)-MIN(AI358:AV358))</t>
        </is>
      </c>
      <c r="AF358" s="49" t="inlineStr">
        <is>
          <t>IF(OR(AD358="",AC358="Not started",AC358=""),"",IFERROR(AD358-IF(VLOOKUP(AC358,'06_Status_Pipeline'!$B$3:$E$20,4,FALSE)="",0,VLOOKUP(AC358,'06_Status_Pipeline'!$B$3:$E$20,4,FALSE)),""))</t>
        </is>
      </c>
      <c r="AG358" s="42" t="inlineStr">
        <is>
          <t>IF(F358="","",IF(OR(AA358="Cancelled",AC358="Cancelled"),"Cancelled",IF(OR(AC358="Completed / Handover",Y358&lt;&gt;"",Z358&gt;=100),"Completed — on track",IF(O358="Not awarded",IF(U358="",IF(X358="","No planned date",IF(TODAY()&gt;X358,"Behind — past planned date",IF(X358-TODAY()&lt;=30,"At risk — close to off track","On track"))),IF(TODAY()&gt;U358,"Behind — award date passed",IF(U358-TODAY()&lt;=30,"At risk — close to off track","On track"))),IF(X358="","No planned date",IF(AND(TODAY()&gt;X358,OR(Z358="",Z358&lt;100)),"Behind — past end date",IF(AND(T358&lt;&gt;"",X358&lt;&gt;"",Z358&lt;&gt;"",(Z358&lt;100),((TODAY()-T358)/MAX(X358-T358,1)*100)-Z358&gt;15),"Behind — progress lag",IF(AND(X358-TODAY()&lt;=30,X358-TODAY()&gt;=0,OR(Z358="",Z358&lt;90)),"At risk — close to off track","On track"))))))))</t>
        </is>
      </c>
      <c r="AH358" s="49" t="inlineStr">
        <is>
          <t>IF(OR(F358="",AC358="Completed / Handover",AC358="Cancelled"),"",IF(O358="Not awarded",IF(U358&lt;&gt;"",U358-TODAY(),IF(X358="","",X358-TODAY())),IF(X358="","",X358-TODAY())))</t>
        </is>
      </c>
      <c r="AI358" s="54" t="n"/>
      <c r="AJ358" s="54" t="n"/>
      <c r="AK358" s="54" t="n"/>
      <c r="AL358" s="54" t="n"/>
      <c r="AM358" s="54" t="n"/>
      <c r="AN358" s="54" t="n"/>
      <c r="AO358" s="54" t="n"/>
      <c r="AP358" s="54" t="n"/>
      <c r="AQ358" s="54" t="n"/>
      <c r="AR358" s="54" t="n"/>
      <c r="AS358" s="54" t="n"/>
      <c r="AT358" s="50" t="n"/>
      <c r="AU358" s="50" t="n"/>
      <c r="AV358" s="50" t="n"/>
      <c r="AW358" s="49" t="inlineStr">
        <is>
          <t>IF(OR(F358="",AJ358=""),"",IF(COUNT(AI358:AI358)=0,"",AJ358-LOOKUP(2,1/(AI358:AI358&lt;&gt;""),AI358:AI358)))</t>
        </is>
      </c>
      <c r="AX358" s="49" t="inlineStr">
        <is>
          <t>IF(OR(F358="",AK358=""),"",IF(COUNT(AI358:AJ358)=0,"",AK358-LOOKUP(2,1/(AI358:AJ358&lt;&gt;""),AI358:AJ358)))</t>
        </is>
      </c>
      <c r="AY358" s="49" t="inlineStr">
        <is>
          <t>IF(OR(F358="",AL358=""),"",IF(COUNT(AI358:AK358)=0,"",AL358-LOOKUP(2,1/(AI358:AK358&lt;&gt;""),AI358:AK358)))</t>
        </is>
      </c>
      <c r="AZ358" s="49" t="inlineStr">
        <is>
          <t>IF(OR(F358="",AM358=""),"",IF(COUNT(AI358:AL358)=0,"",AM358-LOOKUP(2,1/(AI358:AL358&lt;&gt;""),AI358:AL358)))</t>
        </is>
      </c>
      <c r="BA358" s="49" t="inlineStr">
        <is>
          <t>IF(OR(F358="",AN358=""),"",IF(COUNT(AI358:AM358)=0,"",AN358-LOOKUP(2,1/(AI358:AM358&lt;&gt;""),AI358:AM358)))</t>
        </is>
      </c>
      <c r="BB358" s="49" t="inlineStr">
        <is>
          <t>IF(OR(F358="",AO358=""),"",IF(COUNT(AI358:AN358)=0,"",AO358-LOOKUP(2,1/(AI358:AN358&lt;&gt;""),AI358:AN358)))</t>
        </is>
      </c>
      <c r="BC358" s="49" t="inlineStr">
        <is>
          <t>IF(OR(F358="",AP358=""),"",IF(COUNT(AI358:AO358)=0,"",AP358-LOOKUP(2,1/(AI358:AO358&lt;&gt;""),AI358:AO358)))</t>
        </is>
      </c>
      <c r="BD358" s="49" t="inlineStr">
        <is>
          <t>IF(OR(F358="",AQ358=""),"",IF(COUNT(AI358:AP358)=0,"",AQ358-LOOKUP(2,1/(AI358:AP358&lt;&gt;""),AI358:AP358)))</t>
        </is>
      </c>
      <c r="BE358" s="49" t="inlineStr">
        <is>
          <t>IF(OR(F358="",AR358=""),"",IF(COUNT(AI358:AQ358)=0,"",AR358-LOOKUP(2,1/(AI358:AQ358&lt;&gt;""),AI358:AQ358)))</t>
        </is>
      </c>
      <c r="BF358" s="49" t="inlineStr">
        <is>
          <t>IF(OR(F358="",AS358=""),"",IF(COUNT(AI358:AR358)=0,"",AS358-LOOKUP(2,1/(AI358:AR358&lt;&gt;""),AI358:AR358)))</t>
        </is>
      </c>
      <c r="BG358" s="49" t="inlineStr">
        <is>
          <t>IF(OR(F358="",AT358=""),"",IF(COUNT(AI358:AS358)=0,"",AT358-LOOKUP(2,1/(AI358:AS358&lt;&gt;""),AI358:AS358)))</t>
        </is>
      </c>
      <c r="BH358" s="49" t="inlineStr">
        <is>
          <t>IF(OR(F358="",AU358=""),"",IF(COUNT(AI358:AT358)=0,"",AU358-LOOKUP(2,1/(AI358:AT358&lt;&gt;""),AI358:AT358)))</t>
        </is>
      </c>
      <c r="BI358" s="49" t="inlineStr">
        <is>
          <t>IF(OR(F358="",AV358=""),"",IF(COUNT(AI358:AU358)=0,"",AV358-LOOKUP(2,1/(AI358:AU358&lt;&gt;""),AI358:AU358)))</t>
        </is>
      </c>
      <c r="BJ358" s="51" t="inlineStr">
        <is>
          <t>IF(J358="","All_Provinces",IFERROR(VLOOKUP(J358,'09_Lookups'!$A$4:$B$20,2,FALSE),"All_Provinces"))</t>
        </is>
      </c>
      <c r="BK358" s="51" t="inlineStr">
        <is>
          <t>IF(K358="","All_Districts",IFERROR(VLOOKUP(K358,'09_Lookups'!$E$4:$F$42,2,FALSE),"All_Districts"))</t>
        </is>
      </c>
    </row>
    <row r="359" ht="18" customHeight="1">
      <c r="A359" s="42" t="inlineStr">
        <is>
          <t>IF(F359="","",ROW()-3)</t>
        </is>
      </c>
      <c r="B359" s="44" t="n"/>
      <c r="C359" s="44" t="n"/>
      <c r="D359" s="44" t="n"/>
      <c r="E359" s="44" t="n"/>
      <c r="F359" s="44" t="n"/>
      <c r="G359" s="44" t="n"/>
      <c r="H359" s="44" t="n"/>
      <c r="I359" s="44" t="n"/>
      <c r="J359" s="44" t="n"/>
      <c r="K359" s="44" t="n"/>
      <c r="L359" s="44" t="n"/>
      <c r="M359" s="44" t="n"/>
      <c r="N359" s="44" t="n"/>
      <c r="O359" s="44" t="n"/>
      <c r="P359" s="44" t="n"/>
      <c r="Q359" s="44" t="n"/>
      <c r="R359" s="44" t="n"/>
      <c r="S359" s="45" t="n"/>
      <c r="T359" s="46" t="inlineStr">
        <is>
          <t>IF(AQ359="","",AQ359)</t>
        </is>
      </c>
      <c r="U359" s="47" t="n"/>
      <c r="V359" s="48" t="n"/>
      <c r="W359" s="47" t="n"/>
      <c r="X359" s="46" t="inlineStr">
        <is>
          <t>IF(W359&lt;&gt;"",W359,IF(OR(T359="",V359=""),"",EDATE(T359,V359)))</t>
        </is>
      </c>
      <c r="Y359" s="47" t="n"/>
      <c r="Z359" s="48" t="n"/>
      <c r="AA359" s="44" t="n"/>
      <c r="AB359" s="44" t="n"/>
      <c r="AC359" s="42" t="inlineStr">
        <is>
          <t>IF(F359="","",IF(COUNT(AI359:AV359)=0,IF(AA359="","Not started",AA359),SUBSTITUTE(LOOKUP(2,1/(AI359:AV359&lt;&gt;""),$AI$3:$AV$3),"Date: ","")))</t>
        </is>
      </c>
      <c r="AD359" s="49" t="inlineStr">
        <is>
          <t>IF(OR(F359="",COUNT(AI359:AV359)=0),"",TODAY()-LOOKUP(2,1/(AI359:AV359&lt;&gt;""),AI359:AV359))</t>
        </is>
      </c>
      <c r="AE359" s="49" t="inlineStr">
        <is>
          <t>IF(OR(F359="",COUNT(AI359:AV359)&lt;2),"",LOOKUP(2,1/(AI359:AV359&lt;&gt;""),AI359:AV359)-MIN(AI359:AV359))</t>
        </is>
      </c>
      <c r="AF359" s="49" t="inlineStr">
        <is>
          <t>IF(OR(AD359="",AC359="Not started",AC359=""),"",IFERROR(AD359-IF(VLOOKUP(AC359,'06_Status_Pipeline'!$B$3:$E$20,4,FALSE)="",0,VLOOKUP(AC359,'06_Status_Pipeline'!$B$3:$E$20,4,FALSE)),""))</t>
        </is>
      </c>
      <c r="AG359" s="42" t="inlineStr">
        <is>
          <t>IF(F359="","",IF(OR(AA359="Cancelled",AC359="Cancelled"),"Cancelled",IF(OR(AC359="Completed / Handover",Y359&lt;&gt;"",Z359&gt;=100),"Completed — on track",IF(O359="Not awarded",IF(U359="",IF(X359="","No planned date",IF(TODAY()&gt;X359,"Behind — past planned date",IF(X359-TODAY()&lt;=30,"At risk — close to off track","On track"))),IF(TODAY()&gt;U359,"Behind — award date passed",IF(U359-TODAY()&lt;=30,"At risk — close to off track","On track"))),IF(X359="","No planned date",IF(AND(TODAY()&gt;X359,OR(Z359="",Z359&lt;100)),"Behind — past end date",IF(AND(T359&lt;&gt;"",X359&lt;&gt;"",Z359&lt;&gt;"",(Z359&lt;100),((TODAY()-T359)/MAX(X359-T359,1)*100)-Z359&gt;15),"Behind — progress lag",IF(AND(X359-TODAY()&lt;=30,X359-TODAY()&gt;=0,OR(Z359="",Z359&lt;90)),"At risk — close to off track","On track"))))))))</t>
        </is>
      </c>
      <c r="AH359" s="49" t="inlineStr">
        <is>
          <t>IF(OR(F359="",AC359="Completed / Handover",AC359="Cancelled"),"",IF(O359="Not awarded",IF(U359&lt;&gt;"",U359-TODAY(),IF(X359="","",X359-TODAY())),IF(X359="","",X359-TODAY())))</t>
        </is>
      </c>
      <c r="AI359" s="47" t="n"/>
      <c r="AJ359" s="47" t="n"/>
      <c r="AK359" s="47" t="n"/>
      <c r="AL359" s="47" t="n"/>
      <c r="AM359" s="47" t="n"/>
      <c r="AN359" s="47" t="n"/>
      <c r="AO359" s="47" t="n"/>
      <c r="AP359" s="47" t="n"/>
      <c r="AQ359" s="47" t="n"/>
      <c r="AR359" s="47" t="n"/>
      <c r="AS359" s="47" t="n"/>
      <c r="AT359" s="50" t="n"/>
      <c r="AU359" s="50" t="n"/>
      <c r="AV359" s="50" t="n"/>
      <c r="AW359" s="49" t="inlineStr">
        <is>
          <t>IF(OR(F359="",AJ359=""),"",IF(COUNT(AI359:AI359)=0,"",AJ359-LOOKUP(2,1/(AI359:AI359&lt;&gt;""),AI359:AI359)))</t>
        </is>
      </c>
      <c r="AX359" s="49" t="inlineStr">
        <is>
          <t>IF(OR(F359="",AK359=""),"",IF(COUNT(AI359:AJ359)=0,"",AK359-LOOKUP(2,1/(AI359:AJ359&lt;&gt;""),AI359:AJ359)))</t>
        </is>
      </c>
      <c r="AY359" s="49" t="inlineStr">
        <is>
          <t>IF(OR(F359="",AL359=""),"",IF(COUNT(AI359:AK359)=0,"",AL359-LOOKUP(2,1/(AI359:AK359&lt;&gt;""),AI359:AK359)))</t>
        </is>
      </c>
      <c r="AZ359" s="49" t="inlineStr">
        <is>
          <t>IF(OR(F359="",AM359=""),"",IF(COUNT(AI359:AL359)=0,"",AM359-LOOKUP(2,1/(AI359:AL359&lt;&gt;""),AI359:AL359)))</t>
        </is>
      </c>
      <c r="BA359" s="49" t="inlineStr">
        <is>
          <t>IF(OR(F359="",AN359=""),"",IF(COUNT(AI359:AM359)=0,"",AN359-LOOKUP(2,1/(AI359:AM359&lt;&gt;""),AI359:AM359)))</t>
        </is>
      </c>
      <c r="BB359" s="49" t="inlineStr">
        <is>
          <t>IF(OR(F359="",AO359=""),"",IF(COUNT(AI359:AN359)=0,"",AO359-LOOKUP(2,1/(AI359:AN359&lt;&gt;""),AI359:AN359)))</t>
        </is>
      </c>
      <c r="BC359" s="49" t="inlineStr">
        <is>
          <t>IF(OR(F359="",AP359=""),"",IF(COUNT(AI359:AO359)=0,"",AP359-LOOKUP(2,1/(AI359:AO359&lt;&gt;""),AI359:AO359)))</t>
        </is>
      </c>
      <c r="BD359" s="49" t="inlineStr">
        <is>
          <t>IF(OR(F359="",AQ359=""),"",IF(COUNT(AI359:AP359)=0,"",AQ359-LOOKUP(2,1/(AI359:AP359&lt;&gt;""),AI359:AP359)))</t>
        </is>
      </c>
      <c r="BE359" s="49" t="inlineStr">
        <is>
          <t>IF(OR(F359="",AR359=""),"",IF(COUNT(AI359:AQ359)=0,"",AR359-LOOKUP(2,1/(AI359:AQ359&lt;&gt;""),AI359:AQ359)))</t>
        </is>
      </c>
      <c r="BF359" s="49" t="inlineStr">
        <is>
          <t>IF(OR(F359="",AS359=""),"",IF(COUNT(AI359:AR359)=0,"",AS359-LOOKUP(2,1/(AI359:AR359&lt;&gt;""),AI359:AR359)))</t>
        </is>
      </c>
      <c r="BG359" s="49" t="inlineStr">
        <is>
          <t>IF(OR(F359="",AT359=""),"",IF(COUNT(AI359:AS359)=0,"",AT359-LOOKUP(2,1/(AI359:AS359&lt;&gt;""),AI359:AS359)))</t>
        </is>
      </c>
      <c r="BH359" s="49" t="inlineStr">
        <is>
          <t>IF(OR(F359="",AU359=""),"",IF(COUNT(AI359:AT359)=0,"",AU359-LOOKUP(2,1/(AI359:AT359&lt;&gt;""),AI359:AT359)))</t>
        </is>
      </c>
      <c r="BI359" s="49" t="inlineStr">
        <is>
          <t>IF(OR(F359="",AV359=""),"",IF(COUNT(AI359:AU359)=0,"",AV359-LOOKUP(2,1/(AI359:AU359&lt;&gt;""),AI359:AU359)))</t>
        </is>
      </c>
      <c r="BJ359" s="51" t="inlineStr">
        <is>
          <t>IF(J359="","All_Provinces",IFERROR(VLOOKUP(J359,'09_Lookups'!$A$4:$B$20,2,FALSE),"All_Provinces"))</t>
        </is>
      </c>
      <c r="BK359" s="51" t="inlineStr">
        <is>
          <t>IF(K359="","All_Districts",IFERROR(VLOOKUP(K359,'09_Lookups'!$E$4:$F$42,2,FALSE),"All_Districts"))</t>
        </is>
      </c>
    </row>
    <row r="360" ht="18" customHeight="1">
      <c r="A360" s="42" t="inlineStr">
        <is>
          <t>IF(F360="","",ROW()-3)</t>
        </is>
      </c>
      <c r="B360" s="52" t="n"/>
      <c r="C360" s="52" t="n"/>
      <c r="D360" s="52" t="n"/>
      <c r="E360" s="52" t="n"/>
      <c r="F360" s="52" t="n"/>
      <c r="G360" s="52" t="n"/>
      <c r="H360" s="52" t="n"/>
      <c r="I360" s="52" t="n"/>
      <c r="J360" s="52" t="n"/>
      <c r="K360" s="52" t="n"/>
      <c r="L360" s="52" t="n"/>
      <c r="M360" s="52" t="n"/>
      <c r="N360" s="52" t="n"/>
      <c r="O360" s="52" t="n"/>
      <c r="P360" s="52" t="n"/>
      <c r="Q360" s="52" t="n"/>
      <c r="R360" s="52" t="n"/>
      <c r="S360" s="53" t="n"/>
      <c r="T360" s="46" t="inlineStr">
        <is>
          <t>IF(AQ360="","",AQ360)</t>
        </is>
      </c>
      <c r="U360" s="54" t="n"/>
      <c r="V360" s="55" t="n"/>
      <c r="W360" s="54" t="n"/>
      <c r="X360" s="46" t="inlineStr">
        <is>
          <t>IF(W360&lt;&gt;"",W360,IF(OR(T360="",V360=""),"",EDATE(T360,V360)))</t>
        </is>
      </c>
      <c r="Y360" s="54" t="n"/>
      <c r="Z360" s="55" t="n"/>
      <c r="AA360" s="52" t="n"/>
      <c r="AB360" s="52" t="n"/>
      <c r="AC360" s="42" t="inlineStr">
        <is>
          <t>IF(F360="","",IF(COUNT(AI360:AV360)=0,IF(AA360="","Not started",AA360),SUBSTITUTE(LOOKUP(2,1/(AI360:AV360&lt;&gt;""),$AI$3:$AV$3),"Date: ","")))</t>
        </is>
      </c>
      <c r="AD360" s="49" t="inlineStr">
        <is>
          <t>IF(OR(F360="",COUNT(AI360:AV360)=0),"",TODAY()-LOOKUP(2,1/(AI360:AV360&lt;&gt;""),AI360:AV360))</t>
        </is>
      </c>
      <c r="AE360" s="49" t="inlineStr">
        <is>
          <t>IF(OR(F360="",COUNT(AI360:AV360)&lt;2),"",LOOKUP(2,1/(AI360:AV360&lt;&gt;""),AI360:AV360)-MIN(AI360:AV360))</t>
        </is>
      </c>
      <c r="AF360" s="49" t="inlineStr">
        <is>
          <t>IF(OR(AD360="",AC360="Not started",AC360=""),"",IFERROR(AD360-IF(VLOOKUP(AC360,'06_Status_Pipeline'!$B$3:$E$20,4,FALSE)="",0,VLOOKUP(AC360,'06_Status_Pipeline'!$B$3:$E$20,4,FALSE)),""))</t>
        </is>
      </c>
      <c r="AG360" s="42" t="inlineStr">
        <is>
          <t>IF(F360="","",IF(OR(AA360="Cancelled",AC360="Cancelled"),"Cancelled",IF(OR(AC360="Completed / Handover",Y360&lt;&gt;"",Z360&gt;=100),"Completed — on track",IF(O360="Not awarded",IF(U360="",IF(X360="","No planned date",IF(TODAY()&gt;X360,"Behind — past planned date",IF(X360-TODAY()&lt;=30,"At risk — close to off track","On track"))),IF(TODAY()&gt;U360,"Behind — award date passed",IF(U360-TODAY()&lt;=30,"At risk — close to off track","On track"))),IF(X360="","No planned date",IF(AND(TODAY()&gt;X360,OR(Z360="",Z360&lt;100)),"Behind — past end date",IF(AND(T360&lt;&gt;"",X360&lt;&gt;"",Z360&lt;&gt;"",(Z360&lt;100),((TODAY()-T360)/MAX(X360-T360,1)*100)-Z360&gt;15),"Behind — progress lag",IF(AND(X360-TODAY()&lt;=30,X360-TODAY()&gt;=0,OR(Z360="",Z360&lt;90)),"At risk — close to off track","On track"))))))))</t>
        </is>
      </c>
      <c r="AH360" s="49" t="inlineStr">
        <is>
          <t>IF(OR(F360="",AC360="Completed / Handover",AC360="Cancelled"),"",IF(O360="Not awarded",IF(U360&lt;&gt;"",U360-TODAY(),IF(X360="","",X360-TODAY())),IF(X360="","",X360-TODAY())))</t>
        </is>
      </c>
      <c r="AI360" s="54" t="n"/>
      <c r="AJ360" s="54" t="n"/>
      <c r="AK360" s="54" t="n"/>
      <c r="AL360" s="54" t="n"/>
      <c r="AM360" s="54" t="n"/>
      <c r="AN360" s="54" t="n"/>
      <c r="AO360" s="54" t="n"/>
      <c r="AP360" s="54" t="n"/>
      <c r="AQ360" s="54" t="n"/>
      <c r="AR360" s="54" t="n"/>
      <c r="AS360" s="54" t="n"/>
      <c r="AT360" s="50" t="n"/>
      <c r="AU360" s="50" t="n"/>
      <c r="AV360" s="50" t="n"/>
      <c r="AW360" s="49" t="inlineStr">
        <is>
          <t>IF(OR(F360="",AJ360=""),"",IF(COUNT(AI360:AI360)=0,"",AJ360-LOOKUP(2,1/(AI360:AI360&lt;&gt;""),AI360:AI360)))</t>
        </is>
      </c>
      <c r="AX360" s="49" t="inlineStr">
        <is>
          <t>IF(OR(F360="",AK360=""),"",IF(COUNT(AI360:AJ360)=0,"",AK360-LOOKUP(2,1/(AI360:AJ360&lt;&gt;""),AI360:AJ360)))</t>
        </is>
      </c>
      <c r="AY360" s="49" t="inlineStr">
        <is>
          <t>IF(OR(F360="",AL360=""),"",IF(COUNT(AI360:AK360)=0,"",AL360-LOOKUP(2,1/(AI360:AK360&lt;&gt;""),AI360:AK360)))</t>
        </is>
      </c>
      <c r="AZ360" s="49" t="inlineStr">
        <is>
          <t>IF(OR(F360="",AM360=""),"",IF(COUNT(AI360:AL360)=0,"",AM360-LOOKUP(2,1/(AI360:AL360&lt;&gt;""),AI360:AL360)))</t>
        </is>
      </c>
      <c r="BA360" s="49" t="inlineStr">
        <is>
          <t>IF(OR(F360="",AN360=""),"",IF(COUNT(AI360:AM360)=0,"",AN360-LOOKUP(2,1/(AI360:AM360&lt;&gt;""),AI360:AM360)))</t>
        </is>
      </c>
      <c r="BB360" s="49" t="inlineStr">
        <is>
          <t>IF(OR(F360="",AO360=""),"",IF(COUNT(AI360:AN360)=0,"",AO360-LOOKUP(2,1/(AI360:AN360&lt;&gt;""),AI360:AN360)))</t>
        </is>
      </c>
      <c r="BC360" s="49" t="inlineStr">
        <is>
          <t>IF(OR(F360="",AP360=""),"",IF(COUNT(AI360:AO360)=0,"",AP360-LOOKUP(2,1/(AI360:AO360&lt;&gt;""),AI360:AO360)))</t>
        </is>
      </c>
      <c r="BD360" s="49" t="inlineStr">
        <is>
          <t>IF(OR(F360="",AQ360=""),"",IF(COUNT(AI360:AP360)=0,"",AQ360-LOOKUP(2,1/(AI360:AP360&lt;&gt;""),AI360:AP360)))</t>
        </is>
      </c>
      <c r="BE360" s="49" t="inlineStr">
        <is>
          <t>IF(OR(F360="",AR360=""),"",IF(COUNT(AI360:AQ360)=0,"",AR360-LOOKUP(2,1/(AI360:AQ360&lt;&gt;""),AI360:AQ360)))</t>
        </is>
      </c>
      <c r="BF360" s="49" t="inlineStr">
        <is>
          <t>IF(OR(F360="",AS360=""),"",IF(COUNT(AI360:AR360)=0,"",AS360-LOOKUP(2,1/(AI360:AR360&lt;&gt;""),AI360:AR360)))</t>
        </is>
      </c>
      <c r="BG360" s="49" t="inlineStr">
        <is>
          <t>IF(OR(F360="",AT360=""),"",IF(COUNT(AI360:AS360)=0,"",AT360-LOOKUP(2,1/(AI360:AS360&lt;&gt;""),AI360:AS360)))</t>
        </is>
      </c>
      <c r="BH360" s="49" t="inlineStr">
        <is>
          <t>IF(OR(F360="",AU360=""),"",IF(COUNT(AI360:AT360)=0,"",AU360-LOOKUP(2,1/(AI360:AT360&lt;&gt;""),AI360:AT360)))</t>
        </is>
      </c>
      <c r="BI360" s="49" t="inlineStr">
        <is>
          <t>IF(OR(F360="",AV360=""),"",IF(COUNT(AI360:AU360)=0,"",AV360-LOOKUP(2,1/(AI360:AU360&lt;&gt;""),AI360:AU360)))</t>
        </is>
      </c>
      <c r="BJ360" s="51" t="inlineStr">
        <is>
          <t>IF(J360="","All_Provinces",IFERROR(VLOOKUP(J360,'09_Lookups'!$A$4:$B$20,2,FALSE),"All_Provinces"))</t>
        </is>
      </c>
      <c r="BK360" s="51" t="inlineStr">
        <is>
          <t>IF(K360="","All_Districts",IFERROR(VLOOKUP(K360,'09_Lookups'!$E$4:$F$42,2,FALSE),"All_Districts"))</t>
        </is>
      </c>
    </row>
    <row r="361" ht="18" customHeight="1">
      <c r="A361" s="42" t="inlineStr">
        <is>
          <t>IF(F361="","",ROW()-3)</t>
        </is>
      </c>
      <c r="B361" s="44" t="n"/>
      <c r="C361" s="44" t="n"/>
      <c r="D361" s="44" t="n"/>
      <c r="E361" s="44" t="n"/>
      <c r="F361" s="44" t="n"/>
      <c r="G361" s="44" t="n"/>
      <c r="H361" s="44" t="n"/>
      <c r="I361" s="44" t="n"/>
      <c r="J361" s="44" t="n"/>
      <c r="K361" s="44" t="n"/>
      <c r="L361" s="44" t="n"/>
      <c r="M361" s="44" t="n"/>
      <c r="N361" s="44" t="n"/>
      <c r="O361" s="44" t="n"/>
      <c r="P361" s="44" t="n"/>
      <c r="Q361" s="44" t="n"/>
      <c r="R361" s="44" t="n"/>
      <c r="S361" s="45" t="n"/>
      <c r="T361" s="46" t="inlineStr">
        <is>
          <t>IF(AQ361="","",AQ361)</t>
        </is>
      </c>
      <c r="U361" s="47" t="n"/>
      <c r="V361" s="48" t="n"/>
      <c r="W361" s="47" t="n"/>
      <c r="X361" s="46" t="inlineStr">
        <is>
          <t>IF(W361&lt;&gt;"",W361,IF(OR(T361="",V361=""),"",EDATE(T361,V361)))</t>
        </is>
      </c>
      <c r="Y361" s="47" t="n"/>
      <c r="Z361" s="48" t="n"/>
      <c r="AA361" s="44" t="n"/>
      <c r="AB361" s="44" t="n"/>
      <c r="AC361" s="42" t="inlineStr">
        <is>
          <t>IF(F361="","",IF(COUNT(AI361:AV361)=0,IF(AA361="","Not started",AA361),SUBSTITUTE(LOOKUP(2,1/(AI361:AV361&lt;&gt;""),$AI$3:$AV$3),"Date: ","")))</t>
        </is>
      </c>
      <c r="AD361" s="49" t="inlineStr">
        <is>
          <t>IF(OR(F361="",COUNT(AI361:AV361)=0),"",TODAY()-LOOKUP(2,1/(AI361:AV361&lt;&gt;""),AI361:AV361))</t>
        </is>
      </c>
      <c r="AE361" s="49" t="inlineStr">
        <is>
          <t>IF(OR(F361="",COUNT(AI361:AV361)&lt;2),"",LOOKUP(2,1/(AI361:AV361&lt;&gt;""),AI361:AV361)-MIN(AI361:AV361))</t>
        </is>
      </c>
      <c r="AF361" s="49" t="inlineStr">
        <is>
          <t>IF(OR(AD361="",AC361="Not started",AC361=""),"",IFERROR(AD361-IF(VLOOKUP(AC361,'06_Status_Pipeline'!$B$3:$E$20,4,FALSE)="",0,VLOOKUP(AC361,'06_Status_Pipeline'!$B$3:$E$20,4,FALSE)),""))</t>
        </is>
      </c>
      <c r="AG361" s="42" t="inlineStr">
        <is>
          <t>IF(F361="","",IF(OR(AA361="Cancelled",AC361="Cancelled"),"Cancelled",IF(OR(AC361="Completed / Handover",Y361&lt;&gt;"",Z361&gt;=100),"Completed — on track",IF(O361="Not awarded",IF(U361="",IF(X361="","No planned date",IF(TODAY()&gt;X361,"Behind — past planned date",IF(X361-TODAY()&lt;=30,"At risk — close to off track","On track"))),IF(TODAY()&gt;U361,"Behind — award date passed",IF(U361-TODAY()&lt;=30,"At risk — close to off track","On track"))),IF(X361="","No planned date",IF(AND(TODAY()&gt;X361,OR(Z361="",Z361&lt;100)),"Behind — past end date",IF(AND(T361&lt;&gt;"",X361&lt;&gt;"",Z361&lt;&gt;"",(Z361&lt;100),((TODAY()-T361)/MAX(X361-T361,1)*100)-Z361&gt;15),"Behind — progress lag",IF(AND(X361-TODAY()&lt;=30,X361-TODAY()&gt;=0,OR(Z361="",Z361&lt;90)),"At risk — close to off track","On track"))))))))</t>
        </is>
      </c>
      <c r="AH361" s="49" t="inlineStr">
        <is>
          <t>IF(OR(F361="",AC361="Completed / Handover",AC361="Cancelled"),"",IF(O361="Not awarded",IF(U361&lt;&gt;"",U361-TODAY(),IF(X361="","",X361-TODAY())),IF(X361="","",X361-TODAY())))</t>
        </is>
      </c>
      <c r="AI361" s="47" t="n"/>
      <c r="AJ361" s="47" t="n"/>
      <c r="AK361" s="47" t="n"/>
      <c r="AL361" s="47" t="n"/>
      <c r="AM361" s="47" t="n"/>
      <c r="AN361" s="47" t="n"/>
      <c r="AO361" s="47" t="n"/>
      <c r="AP361" s="47" t="n"/>
      <c r="AQ361" s="47" t="n"/>
      <c r="AR361" s="47" t="n"/>
      <c r="AS361" s="47" t="n"/>
      <c r="AT361" s="50" t="n"/>
      <c r="AU361" s="50" t="n"/>
      <c r="AV361" s="50" t="n"/>
      <c r="AW361" s="49" t="inlineStr">
        <is>
          <t>IF(OR(F361="",AJ361=""),"",IF(COUNT(AI361:AI361)=0,"",AJ361-LOOKUP(2,1/(AI361:AI361&lt;&gt;""),AI361:AI361)))</t>
        </is>
      </c>
      <c r="AX361" s="49" t="inlineStr">
        <is>
          <t>IF(OR(F361="",AK361=""),"",IF(COUNT(AI361:AJ361)=0,"",AK361-LOOKUP(2,1/(AI361:AJ361&lt;&gt;""),AI361:AJ361)))</t>
        </is>
      </c>
      <c r="AY361" s="49" t="inlineStr">
        <is>
          <t>IF(OR(F361="",AL361=""),"",IF(COUNT(AI361:AK361)=0,"",AL361-LOOKUP(2,1/(AI361:AK361&lt;&gt;""),AI361:AK361)))</t>
        </is>
      </c>
      <c r="AZ361" s="49" t="inlineStr">
        <is>
          <t>IF(OR(F361="",AM361=""),"",IF(COUNT(AI361:AL361)=0,"",AM361-LOOKUP(2,1/(AI361:AL361&lt;&gt;""),AI361:AL361)))</t>
        </is>
      </c>
      <c r="BA361" s="49" t="inlineStr">
        <is>
          <t>IF(OR(F361="",AN361=""),"",IF(COUNT(AI361:AM361)=0,"",AN361-LOOKUP(2,1/(AI361:AM361&lt;&gt;""),AI361:AM361)))</t>
        </is>
      </c>
      <c r="BB361" s="49" t="inlineStr">
        <is>
          <t>IF(OR(F361="",AO361=""),"",IF(COUNT(AI361:AN361)=0,"",AO361-LOOKUP(2,1/(AI361:AN361&lt;&gt;""),AI361:AN361)))</t>
        </is>
      </c>
      <c r="BC361" s="49" t="inlineStr">
        <is>
          <t>IF(OR(F361="",AP361=""),"",IF(COUNT(AI361:AO361)=0,"",AP361-LOOKUP(2,1/(AI361:AO361&lt;&gt;""),AI361:AO361)))</t>
        </is>
      </c>
      <c r="BD361" s="49" t="inlineStr">
        <is>
          <t>IF(OR(F361="",AQ361=""),"",IF(COUNT(AI361:AP361)=0,"",AQ361-LOOKUP(2,1/(AI361:AP361&lt;&gt;""),AI361:AP361)))</t>
        </is>
      </c>
      <c r="BE361" s="49" t="inlineStr">
        <is>
          <t>IF(OR(F361="",AR361=""),"",IF(COUNT(AI361:AQ361)=0,"",AR361-LOOKUP(2,1/(AI361:AQ361&lt;&gt;""),AI361:AQ361)))</t>
        </is>
      </c>
      <c r="BF361" s="49" t="inlineStr">
        <is>
          <t>IF(OR(F361="",AS361=""),"",IF(COUNT(AI361:AR361)=0,"",AS361-LOOKUP(2,1/(AI361:AR361&lt;&gt;""),AI361:AR361)))</t>
        </is>
      </c>
      <c r="BG361" s="49" t="inlineStr">
        <is>
          <t>IF(OR(F361="",AT361=""),"",IF(COUNT(AI361:AS361)=0,"",AT361-LOOKUP(2,1/(AI361:AS361&lt;&gt;""),AI361:AS361)))</t>
        </is>
      </c>
      <c r="BH361" s="49" t="inlineStr">
        <is>
          <t>IF(OR(F361="",AU361=""),"",IF(COUNT(AI361:AT361)=0,"",AU361-LOOKUP(2,1/(AI361:AT361&lt;&gt;""),AI361:AT361)))</t>
        </is>
      </c>
      <c r="BI361" s="49" t="inlineStr">
        <is>
          <t>IF(OR(F361="",AV361=""),"",IF(COUNT(AI361:AU361)=0,"",AV361-LOOKUP(2,1/(AI361:AU361&lt;&gt;""),AI361:AU361)))</t>
        </is>
      </c>
      <c r="BJ361" s="51" t="inlineStr">
        <is>
          <t>IF(J361="","All_Provinces",IFERROR(VLOOKUP(J361,'09_Lookups'!$A$4:$B$20,2,FALSE),"All_Provinces"))</t>
        </is>
      </c>
      <c r="BK361" s="51" t="inlineStr">
        <is>
          <t>IF(K361="","All_Districts",IFERROR(VLOOKUP(K361,'09_Lookups'!$E$4:$F$42,2,FALSE),"All_Districts"))</t>
        </is>
      </c>
    </row>
    <row r="362" ht="18" customHeight="1">
      <c r="A362" s="42" t="inlineStr">
        <is>
          <t>IF(F362="","",ROW()-3)</t>
        </is>
      </c>
      <c r="B362" s="52" t="n"/>
      <c r="C362" s="52" t="n"/>
      <c r="D362" s="52" t="n"/>
      <c r="E362" s="52" t="n"/>
      <c r="F362" s="52" t="n"/>
      <c r="G362" s="52" t="n"/>
      <c r="H362" s="52" t="n"/>
      <c r="I362" s="52" t="n"/>
      <c r="J362" s="52" t="n"/>
      <c r="K362" s="52" t="n"/>
      <c r="L362" s="52" t="n"/>
      <c r="M362" s="52" t="n"/>
      <c r="N362" s="52" t="n"/>
      <c r="O362" s="52" t="n"/>
      <c r="P362" s="52" t="n"/>
      <c r="Q362" s="52" t="n"/>
      <c r="R362" s="52" t="n"/>
      <c r="S362" s="53" t="n"/>
      <c r="T362" s="46" t="inlineStr">
        <is>
          <t>IF(AQ362="","",AQ362)</t>
        </is>
      </c>
      <c r="U362" s="54" t="n"/>
      <c r="V362" s="55" t="n"/>
      <c r="W362" s="54" t="n"/>
      <c r="X362" s="46" t="inlineStr">
        <is>
          <t>IF(W362&lt;&gt;"",W362,IF(OR(T362="",V362=""),"",EDATE(T362,V362)))</t>
        </is>
      </c>
      <c r="Y362" s="54" t="n"/>
      <c r="Z362" s="55" t="n"/>
      <c r="AA362" s="52" t="n"/>
      <c r="AB362" s="52" t="n"/>
      <c r="AC362" s="42" t="inlineStr">
        <is>
          <t>IF(F362="","",IF(COUNT(AI362:AV362)=0,IF(AA362="","Not started",AA362),SUBSTITUTE(LOOKUP(2,1/(AI362:AV362&lt;&gt;""),$AI$3:$AV$3),"Date: ","")))</t>
        </is>
      </c>
      <c r="AD362" s="49" t="inlineStr">
        <is>
          <t>IF(OR(F362="",COUNT(AI362:AV362)=0),"",TODAY()-LOOKUP(2,1/(AI362:AV362&lt;&gt;""),AI362:AV362))</t>
        </is>
      </c>
      <c r="AE362" s="49" t="inlineStr">
        <is>
          <t>IF(OR(F362="",COUNT(AI362:AV362)&lt;2),"",LOOKUP(2,1/(AI362:AV362&lt;&gt;""),AI362:AV362)-MIN(AI362:AV362))</t>
        </is>
      </c>
      <c r="AF362" s="49" t="inlineStr">
        <is>
          <t>IF(OR(AD362="",AC362="Not started",AC362=""),"",IFERROR(AD362-IF(VLOOKUP(AC362,'06_Status_Pipeline'!$B$3:$E$20,4,FALSE)="",0,VLOOKUP(AC362,'06_Status_Pipeline'!$B$3:$E$20,4,FALSE)),""))</t>
        </is>
      </c>
      <c r="AG362" s="42" t="inlineStr">
        <is>
          <t>IF(F362="","",IF(OR(AA362="Cancelled",AC362="Cancelled"),"Cancelled",IF(OR(AC362="Completed / Handover",Y362&lt;&gt;"",Z362&gt;=100),"Completed — on track",IF(O362="Not awarded",IF(U362="",IF(X362="","No planned date",IF(TODAY()&gt;X362,"Behind — past planned date",IF(X362-TODAY()&lt;=30,"At risk — close to off track","On track"))),IF(TODAY()&gt;U362,"Behind — award date passed",IF(U362-TODAY()&lt;=30,"At risk — close to off track","On track"))),IF(X362="","No planned date",IF(AND(TODAY()&gt;X362,OR(Z362="",Z362&lt;100)),"Behind — past end date",IF(AND(T362&lt;&gt;"",X362&lt;&gt;"",Z362&lt;&gt;"",(Z362&lt;100),((TODAY()-T362)/MAX(X362-T362,1)*100)-Z362&gt;15),"Behind — progress lag",IF(AND(X362-TODAY()&lt;=30,X362-TODAY()&gt;=0,OR(Z362="",Z362&lt;90)),"At risk — close to off track","On track"))))))))</t>
        </is>
      </c>
      <c r="AH362" s="49" t="inlineStr">
        <is>
          <t>IF(OR(F362="",AC362="Completed / Handover",AC362="Cancelled"),"",IF(O362="Not awarded",IF(U362&lt;&gt;"",U362-TODAY(),IF(X362="","",X362-TODAY())),IF(X362="","",X362-TODAY())))</t>
        </is>
      </c>
      <c r="AI362" s="54" t="n"/>
      <c r="AJ362" s="54" t="n"/>
      <c r="AK362" s="54" t="n"/>
      <c r="AL362" s="54" t="n"/>
      <c r="AM362" s="54" t="n"/>
      <c r="AN362" s="54" t="n"/>
      <c r="AO362" s="54" t="n"/>
      <c r="AP362" s="54" t="n"/>
      <c r="AQ362" s="54" t="n"/>
      <c r="AR362" s="54" t="n"/>
      <c r="AS362" s="54" t="n"/>
      <c r="AT362" s="50" t="n"/>
      <c r="AU362" s="50" t="n"/>
      <c r="AV362" s="50" t="n"/>
      <c r="AW362" s="49" t="inlineStr">
        <is>
          <t>IF(OR(F362="",AJ362=""),"",IF(COUNT(AI362:AI362)=0,"",AJ362-LOOKUP(2,1/(AI362:AI362&lt;&gt;""),AI362:AI362)))</t>
        </is>
      </c>
      <c r="AX362" s="49" t="inlineStr">
        <is>
          <t>IF(OR(F362="",AK362=""),"",IF(COUNT(AI362:AJ362)=0,"",AK362-LOOKUP(2,1/(AI362:AJ362&lt;&gt;""),AI362:AJ362)))</t>
        </is>
      </c>
      <c r="AY362" s="49" t="inlineStr">
        <is>
          <t>IF(OR(F362="",AL362=""),"",IF(COUNT(AI362:AK362)=0,"",AL362-LOOKUP(2,1/(AI362:AK362&lt;&gt;""),AI362:AK362)))</t>
        </is>
      </c>
      <c r="AZ362" s="49" t="inlineStr">
        <is>
          <t>IF(OR(F362="",AM362=""),"",IF(COUNT(AI362:AL362)=0,"",AM362-LOOKUP(2,1/(AI362:AL362&lt;&gt;""),AI362:AL362)))</t>
        </is>
      </c>
      <c r="BA362" s="49" t="inlineStr">
        <is>
          <t>IF(OR(F362="",AN362=""),"",IF(COUNT(AI362:AM362)=0,"",AN362-LOOKUP(2,1/(AI362:AM362&lt;&gt;""),AI362:AM362)))</t>
        </is>
      </c>
      <c r="BB362" s="49" t="inlineStr">
        <is>
          <t>IF(OR(F362="",AO362=""),"",IF(COUNT(AI362:AN362)=0,"",AO362-LOOKUP(2,1/(AI362:AN362&lt;&gt;""),AI362:AN362)))</t>
        </is>
      </c>
      <c r="BC362" s="49" t="inlineStr">
        <is>
          <t>IF(OR(F362="",AP362=""),"",IF(COUNT(AI362:AO362)=0,"",AP362-LOOKUP(2,1/(AI362:AO362&lt;&gt;""),AI362:AO362)))</t>
        </is>
      </c>
      <c r="BD362" s="49" t="inlineStr">
        <is>
          <t>IF(OR(F362="",AQ362=""),"",IF(COUNT(AI362:AP362)=0,"",AQ362-LOOKUP(2,1/(AI362:AP362&lt;&gt;""),AI362:AP362)))</t>
        </is>
      </c>
      <c r="BE362" s="49" t="inlineStr">
        <is>
          <t>IF(OR(F362="",AR362=""),"",IF(COUNT(AI362:AQ362)=0,"",AR362-LOOKUP(2,1/(AI362:AQ362&lt;&gt;""),AI362:AQ362)))</t>
        </is>
      </c>
      <c r="BF362" s="49" t="inlineStr">
        <is>
          <t>IF(OR(F362="",AS362=""),"",IF(COUNT(AI362:AR362)=0,"",AS362-LOOKUP(2,1/(AI362:AR362&lt;&gt;""),AI362:AR362)))</t>
        </is>
      </c>
      <c r="BG362" s="49" t="inlineStr">
        <is>
          <t>IF(OR(F362="",AT362=""),"",IF(COUNT(AI362:AS362)=0,"",AT362-LOOKUP(2,1/(AI362:AS362&lt;&gt;""),AI362:AS362)))</t>
        </is>
      </c>
      <c r="BH362" s="49" t="inlineStr">
        <is>
          <t>IF(OR(F362="",AU362=""),"",IF(COUNT(AI362:AT362)=0,"",AU362-LOOKUP(2,1/(AI362:AT362&lt;&gt;""),AI362:AT362)))</t>
        </is>
      </c>
      <c r="BI362" s="49" t="inlineStr">
        <is>
          <t>IF(OR(F362="",AV362=""),"",IF(COUNT(AI362:AU362)=0,"",AV362-LOOKUP(2,1/(AI362:AU362&lt;&gt;""),AI362:AU362)))</t>
        </is>
      </c>
      <c r="BJ362" s="51" t="inlineStr">
        <is>
          <t>IF(J362="","All_Provinces",IFERROR(VLOOKUP(J362,'09_Lookups'!$A$4:$B$20,2,FALSE),"All_Provinces"))</t>
        </is>
      </c>
      <c r="BK362" s="51" t="inlineStr">
        <is>
          <t>IF(K362="","All_Districts",IFERROR(VLOOKUP(K362,'09_Lookups'!$E$4:$F$42,2,FALSE),"All_Districts"))</t>
        </is>
      </c>
    </row>
    <row r="363" ht="18" customHeight="1">
      <c r="A363" s="42" t="inlineStr">
        <is>
          <t>IF(F363="","",ROW()-3)</t>
        </is>
      </c>
      <c r="B363" s="44" t="n"/>
      <c r="C363" s="44" t="n"/>
      <c r="D363" s="44" t="n"/>
      <c r="E363" s="44" t="n"/>
      <c r="F363" s="44" t="n"/>
      <c r="G363" s="44" t="n"/>
      <c r="H363" s="44" t="n"/>
      <c r="I363" s="44" t="n"/>
      <c r="J363" s="44" t="n"/>
      <c r="K363" s="44" t="n"/>
      <c r="L363" s="44" t="n"/>
      <c r="M363" s="44" t="n"/>
      <c r="N363" s="44" t="n"/>
      <c r="O363" s="44" t="n"/>
      <c r="P363" s="44" t="n"/>
      <c r="Q363" s="44" t="n"/>
      <c r="R363" s="44" t="n"/>
      <c r="S363" s="45" t="n"/>
      <c r="T363" s="46" t="inlineStr">
        <is>
          <t>IF(AQ363="","",AQ363)</t>
        </is>
      </c>
      <c r="U363" s="47" t="n"/>
      <c r="V363" s="48" t="n"/>
      <c r="W363" s="47" t="n"/>
      <c r="X363" s="46" t="inlineStr">
        <is>
          <t>IF(W363&lt;&gt;"",W363,IF(OR(T363="",V363=""),"",EDATE(T363,V363)))</t>
        </is>
      </c>
      <c r="Y363" s="47" t="n"/>
      <c r="Z363" s="48" t="n"/>
      <c r="AA363" s="44" t="n"/>
      <c r="AB363" s="44" t="n"/>
      <c r="AC363" s="42" t="inlineStr">
        <is>
          <t>IF(F363="","",IF(COUNT(AI363:AV363)=0,IF(AA363="","Not started",AA363),SUBSTITUTE(LOOKUP(2,1/(AI363:AV363&lt;&gt;""),$AI$3:$AV$3),"Date: ","")))</t>
        </is>
      </c>
      <c r="AD363" s="49" t="inlineStr">
        <is>
          <t>IF(OR(F363="",COUNT(AI363:AV363)=0),"",TODAY()-LOOKUP(2,1/(AI363:AV363&lt;&gt;""),AI363:AV363))</t>
        </is>
      </c>
      <c r="AE363" s="49" t="inlineStr">
        <is>
          <t>IF(OR(F363="",COUNT(AI363:AV363)&lt;2),"",LOOKUP(2,1/(AI363:AV363&lt;&gt;""),AI363:AV363)-MIN(AI363:AV363))</t>
        </is>
      </c>
      <c r="AF363" s="49" t="inlineStr">
        <is>
          <t>IF(OR(AD363="",AC363="Not started",AC363=""),"",IFERROR(AD363-IF(VLOOKUP(AC363,'06_Status_Pipeline'!$B$3:$E$20,4,FALSE)="",0,VLOOKUP(AC363,'06_Status_Pipeline'!$B$3:$E$20,4,FALSE)),""))</t>
        </is>
      </c>
      <c r="AG363" s="42" t="inlineStr">
        <is>
          <t>IF(F363="","",IF(OR(AA363="Cancelled",AC363="Cancelled"),"Cancelled",IF(OR(AC363="Completed / Handover",Y363&lt;&gt;"",Z363&gt;=100),"Completed — on track",IF(O363="Not awarded",IF(U363="",IF(X363="","No planned date",IF(TODAY()&gt;X363,"Behind — past planned date",IF(X363-TODAY()&lt;=30,"At risk — close to off track","On track"))),IF(TODAY()&gt;U363,"Behind — award date passed",IF(U363-TODAY()&lt;=30,"At risk — close to off track","On track"))),IF(X363="","No planned date",IF(AND(TODAY()&gt;X363,OR(Z363="",Z363&lt;100)),"Behind — past end date",IF(AND(T363&lt;&gt;"",X363&lt;&gt;"",Z363&lt;&gt;"",(Z363&lt;100),((TODAY()-T363)/MAX(X363-T363,1)*100)-Z363&gt;15),"Behind — progress lag",IF(AND(X363-TODAY()&lt;=30,X363-TODAY()&gt;=0,OR(Z363="",Z363&lt;90)),"At risk — close to off track","On track"))))))))</t>
        </is>
      </c>
      <c r="AH363" s="49" t="inlineStr">
        <is>
          <t>IF(OR(F363="",AC363="Completed / Handover",AC363="Cancelled"),"",IF(O363="Not awarded",IF(U363&lt;&gt;"",U363-TODAY(),IF(X363="","",X363-TODAY())),IF(X363="","",X363-TODAY())))</t>
        </is>
      </c>
      <c r="AI363" s="47" t="n"/>
      <c r="AJ363" s="47" t="n"/>
      <c r="AK363" s="47" t="n"/>
      <c r="AL363" s="47" t="n"/>
      <c r="AM363" s="47" t="n"/>
      <c r="AN363" s="47" t="n"/>
      <c r="AO363" s="47" t="n"/>
      <c r="AP363" s="47" t="n"/>
      <c r="AQ363" s="47" t="n"/>
      <c r="AR363" s="47" t="n"/>
      <c r="AS363" s="47" t="n"/>
      <c r="AT363" s="50" t="n"/>
      <c r="AU363" s="50" t="n"/>
      <c r="AV363" s="50" t="n"/>
      <c r="AW363" s="49" t="inlineStr">
        <is>
          <t>IF(OR(F363="",AJ363=""),"",IF(COUNT(AI363:AI363)=0,"",AJ363-LOOKUP(2,1/(AI363:AI363&lt;&gt;""),AI363:AI363)))</t>
        </is>
      </c>
      <c r="AX363" s="49" t="inlineStr">
        <is>
          <t>IF(OR(F363="",AK363=""),"",IF(COUNT(AI363:AJ363)=0,"",AK363-LOOKUP(2,1/(AI363:AJ363&lt;&gt;""),AI363:AJ363)))</t>
        </is>
      </c>
      <c r="AY363" s="49" t="inlineStr">
        <is>
          <t>IF(OR(F363="",AL363=""),"",IF(COUNT(AI363:AK363)=0,"",AL363-LOOKUP(2,1/(AI363:AK363&lt;&gt;""),AI363:AK363)))</t>
        </is>
      </c>
      <c r="AZ363" s="49" t="inlineStr">
        <is>
          <t>IF(OR(F363="",AM363=""),"",IF(COUNT(AI363:AL363)=0,"",AM363-LOOKUP(2,1/(AI363:AL363&lt;&gt;""),AI363:AL363)))</t>
        </is>
      </c>
      <c r="BA363" s="49" t="inlineStr">
        <is>
          <t>IF(OR(F363="",AN363=""),"",IF(COUNT(AI363:AM363)=0,"",AN363-LOOKUP(2,1/(AI363:AM363&lt;&gt;""),AI363:AM363)))</t>
        </is>
      </c>
      <c r="BB363" s="49" t="inlineStr">
        <is>
          <t>IF(OR(F363="",AO363=""),"",IF(COUNT(AI363:AN363)=0,"",AO363-LOOKUP(2,1/(AI363:AN363&lt;&gt;""),AI363:AN363)))</t>
        </is>
      </c>
      <c r="BC363" s="49" t="inlineStr">
        <is>
          <t>IF(OR(F363="",AP363=""),"",IF(COUNT(AI363:AO363)=0,"",AP363-LOOKUP(2,1/(AI363:AO363&lt;&gt;""),AI363:AO363)))</t>
        </is>
      </c>
      <c r="BD363" s="49" t="inlineStr">
        <is>
          <t>IF(OR(F363="",AQ363=""),"",IF(COUNT(AI363:AP363)=0,"",AQ363-LOOKUP(2,1/(AI363:AP363&lt;&gt;""),AI363:AP363)))</t>
        </is>
      </c>
      <c r="BE363" s="49" t="inlineStr">
        <is>
          <t>IF(OR(F363="",AR363=""),"",IF(COUNT(AI363:AQ363)=0,"",AR363-LOOKUP(2,1/(AI363:AQ363&lt;&gt;""),AI363:AQ363)))</t>
        </is>
      </c>
      <c r="BF363" s="49" t="inlineStr">
        <is>
          <t>IF(OR(F363="",AS363=""),"",IF(COUNT(AI363:AR363)=0,"",AS363-LOOKUP(2,1/(AI363:AR363&lt;&gt;""),AI363:AR363)))</t>
        </is>
      </c>
      <c r="BG363" s="49" t="inlineStr">
        <is>
          <t>IF(OR(F363="",AT363=""),"",IF(COUNT(AI363:AS363)=0,"",AT363-LOOKUP(2,1/(AI363:AS363&lt;&gt;""),AI363:AS363)))</t>
        </is>
      </c>
      <c r="BH363" s="49" t="inlineStr">
        <is>
          <t>IF(OR(F363="",AU363=""),"",IF(COUNT(AI363:AT363)=0,"",AU363-LOOKUP(2,1/(AI363:AT363&lt;&gt;""),AI363:AT363)))</t>
        </is>
      </c>
      <c r="BI363" s="49" t="inlineStr">
        <is>
          <t>IF(OR(F363="",AV363=""),"",IF(COUNT(AI363:AU363)=0,"",AV363-LOOKUP(2,1/(AI363:AU363&lt;&gt;""),AI363:AU363)))</t>
        </is>
      </c>
      <c r="BJ363" s="51" t="inlineStr">
        <is>
          <t>IF(J363="","All_Provinces",IFERROR(VLOOKUP(J363,'09_Lookups'!$A$4:$B$20,2,FALSE),"All_Provinces"))</t>
        </is>
      </c>
      <c r="BK363" s="51" t="inlineStr">
        <is>
          <t>IF(K363="","All_Districts",IFERROR(VLOOKUP(K363,'09_Lookups'!$E$4:$F$42,2,FALSE),"All_Districts"))</t>
        </is>
      </c>
    </row>
    <row r="364" ht="18" customHeight="1">
      <c r="A364" s="42" t="inlineStr">
        <is>
          <t>IF(F364="","",ROW()-3)</t>
        </is>
      </c>
      <c r="B364" s="52" t="n"/>
      <c r="C364" s="52" t="n"/>
      <c r="D364" s="52" t="n"/>
      <c r="E364" s="52" t="n"/>
      <c r="F364" s="52" t="n"/>
      <c r="G364" s="52" t="n"/>
      <c r="H364" s="52" t="n"/>
      <c r="I364" s="52" t="n"/>
      <c r="J364" s="52" t="n"/>
      <c r="K364" s="52" t="n"/>
      <c r="L364" s="52" t="n"/>
      <c r="M364" s="52" t="n"/>
      <c r="N364" s="52" t="n"/>
      <c r="O364" s="52" t="n"/>
      <c r="P364" s="52" t="n"/>
      <c r="Q364" s="52" t="n"/>
      <c r="R364" s="52" t="n"/>
      <c r="S364" s="53" t="n"/>
      <c r="T364" s="46" t="inlineStr">
        <is>
          <t>IF(AQ364="","",AQ364)</t>
        </is>
      </c>
      <c r="U364" s="54" t="n"/>
      <c r="V364" s="55" t="n"/>
      <c r="W364" s="54" t="n"/>
      <c r="X364" s="46" t="inlineStr">
        <is>
          <t>IF(W364&lt;&gt;"",W364,IF(OR(T364="",V364=""),"",EDATE(T364,V364)))</t>
        </is>
      </c>
      <c r="Y364" s="54" t="n"/>
      <c r="Z364" s="55" t="n"/>
      <c r="AA364" s="52" t="n"/>
      <c r="AB364" s="52" t="n"/>
      <c r="AC364" s="42" t="inlineStr">
        <is>
          <t>IF(F364="","",IF(COUNT(AI364:AV364)=0,IF(AA364="","Not started",AA364),SUBSTITUTE(LOOKUP(2,1/(AI364:AV364&lt;&gt;""),$AI$3:$AV$3),"Date: ","")))</t>
        </is>
      </c>
      <c r="AD364" s="49" t="inlineStr">
        <is>
          <t>IF(OR(F364="",COUNT(AI364:AV364)=0),"",TODAY()-LOOKUP(2,1/(AI364:AV364&lt;&gt;""),AI364:AV364))</t>
        </is>
      </c>
      <c r="AE364" s="49" t="inlineStr">
        <is>
          <t>IF(OR(F364="",COUNT(AI364:AV364)&lt;2),"",LOOKUP(2,1/(AI364:AV364&lt;&gt;""),AI364:AV364)-MIN(AI364:AV364))</t>
        </is>
      </c>
      <c r="AF364" s="49" t="inlineStr">
        <is>
          <t>IF(OR(AD364="",AC364="Not started",AC364=""),"",IFERROR(AD364-IF(VLOOKUP(AC364,'06_Status_Pipeline'!$B$3:$E$20,4,FALSE)="",0,VLOOKUP(AC364,'06_Status_Pipeline'!$B$3:$E$20,4,FALSE)),""))</t>
        </is>
      </c>
      <c r="AG364" s="42" t="inlineStr">
        <is>
          <t>IF(F364="","",IF(OR(AA364="Cancelled",AC364="Cancelled"),"Cancelled",IF(OR(AC364="Completed / Handover",Y364&lt;&gt;"",Z364&gt;=100),"Completed — on track",IF(O364="Not awarded",IF(U364="",IF(X364="","No planned date",IF(TODAY()&gt;X364,"Behind — past planned date",IF(X364-TODAY()&lt;=30,"At risk — close to off track","On track"))),IF(TODAY()&gt;U364,"Behind — award date passed",IF(U364-TODAY()&lt;=30,"At risk — close to off track","On track"))),IF(X364="","No planned date",IF(AND(TODAY()&gt;X364,OR(Z364="",Z364&lt;100)),"Behind — past end date",IF(AND(T364&lt;&gt;"",X364&lt;&gt;"",Z364&lt;&gt;"",(Z364&lt;100),((TODAY()-T364)/MAX(X364-T364,1)*100)-Z364&gt;15),"Behind — progress lag",IF(AND(X364-TODAY()&lt;=30,X364-TODAY()&gt;=0,OR(Z364="",Z364&lt;90)),"At risk — close to off track","On track"))))))))</t>
        </is>
      </c>
      <c r="AH364" s="49" t="inlineStr">
        <is>
          <t>IF(OR(F364="",AC364="Completed / Handover",AC364="Cancelled"),"",IF(O364="Not awarded",IF(U364&lt;&gt;"",U364-TODAY(),IF(X364="","",X364-TODAY())),IF(X364="","",X364-TODAY())))</t>
        </is>
      </c>
      <c r="AI364" s="54" t="n"/>
      <c r="AJ364" s="54" t="n"/>
      <c r="AK364" s="54" t="n"/>
      <c r="AL364" s="54" t="n"/>
      <c r="AM364" s="54" t="n"/>
      <c r="AN364" s="54" t="n"/>
      <c r="AO364" s="54" t="n"/>
      <c r="AP364" s="54" t="n"/>
      <c r="AQ364" s="54" t="n"/>
      <c r="AR364" s="54" t="n"/>
      <c r="AS364" s="54" t="n"/>
      <c r="AT364" s="50" t="n"/>
      <c r="AU364" s="50" t="n"/>
      <c r="AV364" s="50" t="n"/>
      <c r="AW364" s="49" t="inlineStr">
        <is>
          <t>IF(OR(F364="",AJ364=""),"",IF(COUNT(AI364:AI364)=0,"",AJ364-LOOKUP(2,1/(AI364:AI364&lt;&gt;""),AI364:AI364)))</t>
        </is>
      </c>
      <c r="AX364" s="49" t="inlineStr">
        <is>
          <t>IF(OR(F364="",AK364=""),"",IF(COUNT(AI364:AJ364)=0,"",AK364-LOOKUP(2,1/(AI364:AJ364&lt;&gt;""),AI364:AJ364)))</t>
        </is>
      </c>
      <c r="AY364" s="49" t="inlineStr">
        <is>
          <t>IF(OR(F364="",AL364=""),"",IF(COUNT(AI364:AK364)=0,"",AL364-LOOKUP(2,1/(AI364:AK364&lt;&gt;""),AI364:AK364)))</t>
        </is>
      </c>
      <c r="AZ364" s="49" t="inlineStr">
        <is>
          <t>IF(OR(F364="",AM364=""),"",IF(COUNT(AI364:AL364)=0,"",AM364-LOOKUP(2,1/(AI364:AL364&lt;&gt;""),AI364:AL364)))</t>
        </is>
      </c>
      <c r="BA364" s="49" t="inlineStr">
        <is>
          <t>IF(OR(F364="",AN364=""),"",IF(COUNT(AI364:AM364)=0,"",AN364-LOOKUP(2,1/(AI364:AM364&lt;&gt;""),AI364:AM364)))</t>
        </is>
      </c>
      <c r="BB364" s="49" t="inlineStr">
        <is>
          <t>IF(OR(F364="",AO364=""),"",IF(COUNT(AI364:AN364)=0,"",AO364-LOOKUP(2,1/(AI364:AN364&lt;&gt;""),AI364:AN364)))</t>
        </is>
      </c>
      <c r="BC364" s="49" t="inlineStr">
        <is>
          <t>IF(OR(F364="",AP364=""),"",IF(COUNT(AI364:AO364)=0,"",AP364-LOOKUP(2,1/(AI364:AO364&lt;&gt;""),AI364:AO364)))</t>
        </is>
      </c>
      <c r="BD364" s="49" t="inlineStr">
        <is>
          <t>IF(OR(F364="",AQ364=""),"",IF(COUNT(AI364:AP364)=0,"",AQ364-LOOKUP(2,1/(AI364:AP364&lt;&gt;""),AI364:AP364)))</t>
        </is>
      </c>
      <c r="BE364" s="49" t="inlineStr">
        <is>
          <t>IF(OR(F364="",AR364=""),"",IF(COUNT(AI364:AQ364)=0,"",AR364-LOOKUP(2,1/(AI364:AQ364&lt;&gt;""),AI364:AQ364)))</t>
        </is>
      </c>
      <c r="BF364" s="49" t="inlineStr">
        <is>
          <t>IF(OR(F364="",AS364=""),"",IF(COUNT(AI364:AR364)=0,"",AS364-LOOKUP(2,1/(AI364:AR364&lt;&gt;""),AI364:AR364)))</t>
        </is>
      </c>
      <c r="BG364" s="49" t="inlineStr">
        <is>
          <t>IF(OR(F364="",AT364=""),"",IF(COUNT(AI364:AS364)=0,"",AT364-LOOKUP(2,1/(AI364:AS364&lt;&gt;""),AI364:AS364)))</t>
        </is>
      </c>
      <c r="BH364" s="49" t="inlineStr">
        <is>
          <t>IF(OR(F364="",AU364=""),"",IF(COUNT(AI364:AT364)=0,"",AU364-LOOKUP(2,1/(AI364:AT364&lt;&gt;""),AI364:AT364)))</t>
        </is>
      </c>
      <c r="BI364" s="49" t="inlineStr">
        <is>
          <t>IF(OR(F364="",AV364=""),"",IF(COUNT(AI364:AU364)=0,"",AV364-LOOKUP(2,1/(AI364:AU364&lt;&gt;""),AI364:AU364)))</t>
        </is>
      </c>
      <c r="BJ364" s="51" t="inlineStr">
        <is>
          <t>IF(J364="","All_Provinces",IFERROR(VLOOKUP(J364,'09_Lookups'!$A$4:$B$20,2,FALSE),"All_Provinces"))</t>
        </is>
      </c>
      <c r="BK364" s="51" t="inlineStr">
        <is>
          <t>IF(K364="","All_Districts",IFERROR(VLOOKUP(K364,'09_Lookups'!$E$4:$F$42,2,FALSE),"All_Districts"))</t>
        </is>
      </c>
    </row>
    <row r="365" ht="18" customHeight="1">
      <c r="A365" s="42" t="inlineStr">
        <is>
          <t>IF(F365="","",ROW()-3)</t>
        </is>
      </c>
      <c r="B365" s="44" t="n"/>
      <c r="C365" s="44" t="n"/>
      <c r="D365" s="44" t="n"/>
      <c r="E365" s="44" t="n"/>
      <c r="F365" s="44" t="n"/>
      <c r="G365" s="44" t="n"/>
      <c r="H365" s="44" t="n"/>
      <c r="I365" s="44" t="n"/>
      <c r="J365" s="44" t="n"/>
      <c r="K365" s="44" t="n"/>
      <c r="L365" s="44" t="n"/>
      <c r="M365" s="44" t="n"/>
      <c r="N365" s="44" t="n"/>
      <c r="O365" s="44" t="n"/>
      <c r="P365" s="44" t="n"/>
      <c r="Q365" s="44" t="n"/>
      <c r="R365" s="44" t="n"/>
      <c r="S365" s="45" t="n"/>
      <c r="T365" s="46" t="inlineStr">
        <is>
          <t>IF(AQ365="","",AQ365)</t>
        </is>
      </c>
      <c r="U365" s="47" t="n"/>
      <c r="V365" s="48" t="n"/>
      <c r="W365" s="47" t="n"/>
      <c r="X365" s="46" t="inlineStr">
        <is>
          <t>IF(W365&lt;&gt;"",W365,IF(OR(T365="",V365=""),"",EDATE(T365,V365)))</t>
        </is>
      </c>
      <c r="Y365" s="47" t="n"/>
      <c r="Z365" s="48" t="n"/>
      <c r="AA365" s="44" t="n"/>
      <c r="AB365" s="44" t="n"/>
      <c r="AC365" s="42" t="inlineStr">
        <is>
          <t>IF(F365="","",IF(COUNT(AI365:AV365)=0,IF(AA365="","Not started",AA365),SUBSTITUTE(LOOKUP(2,1/(AI365:AV365&lt;&gt;""),$AI$3:$AV$3),"Date: ","")))</t>
        </is>
      </c>
      <c r="AD365" s="49" t="inlineStr">
        <is>
          <t>IF(OR(F365="",COUNT(AI365:AV365)=0),"",TODAY()-LOOKUP(2,1/(AI365:AV365&lt;&gt;""),AI365:AV365))</t>
        </is>
      </c>
      <c r="AE365" s="49" t="inlineStr">
        <is>
          <t>IF(OR(F365="",COUNT(AI365:AV365)&lt;2),"",LOOKUP(2,1/(AI365:AV365&lt;&gt;""),AI365:AV365)-MIN(AI365:AV365))</t>
        </is>
      </c>
      <c r="AF365" s="49" t="inlineStr">
        <is>
          <t>IF(OR(AD365="",AC365="Not started",AC365=""),"",IFERROR(AD365-IF(VLOOKUP(AC365,'06_Status_Pipeline'!$B$3:$E$20,4,FALSE)="",0,VLOOKUP(AC365,'06_Status_Pipeline'!$B$3:$E$20,4,FALSE)),""))</t>
        </is>
      </c>
      <c r="AG365" s="42" t="inlineStr">
        <is>
          <t>IF(F365="","",IF(OR(AA365="Cancelled",AC365="Cancelled"),"Cancelled",IF(OR(AC365="Completed / Handover",Y365&lt;&gt;"",Z365&gt;=100),"Completed — on track",IF(O365="Not awarded",IF(U365="",IF(X365="","No planned date",IF(TODAY()&gt;X365,"Behind — past planned date",IF(X365-TODAY()&lt;=30,"At risk — close to off track","On track"))),IF(TODAY()&gt;U365,"Behind — award date passed",IF(U365-TODAY()&lt;=30,"At risk — close to off track","On track"))),IF(X365="","No planned date",IF(AND(TODAY()&gt;X365,OR(Z365="",Z365&lt;100)),"Behind — past end date",IF(AND(T365&lt;&gt;"",X365&lt;&gt;"",Z365&lt;&gt;"",(Z365&lt;100),((TODAY()-T365)/MAX(X365-T365,1)*100)-Z365&gt;15),"Behind — progress lag",IF(AND(X365-TODAY()&lt;=30,X365-TODAY()&gt;=0,OR(Z365="",Z365&lt;90)),"At risk — close to off track","On track"))))))))</t>
        </is>
      </c>
      <c r="AH365" s="49" t="inlineStr">
        <is>
          <t>IF(OR(F365="",AC365="Completed / Handover",AC365="Cancelled"),"",IF(O365="Not awarded",IF(U365&lt;&gt;"",U365-TODAY(),IF(X365="","",X365-TODAY())),IF(X365="","",X365-TODAY())))</t>
        </is>
      </c>
      <c r="AI365" s="47" t="n"/>
      <c r="AJ365" s="47" t="n"/>
      <c r="AK365" s="47" t="n"/>
      <c r="AL365" s="47" t="n"/>
      <c r="AM365" s="47" t="n"/>
      <c r="AN365" s="47" t="n"/>
      <c r="AO365" s="47" t="n"/>
      <c r="AP365" s="47" t="n"/>
      <c r="AQ365" s="47" t="n"/>
      <c r="AR365" s="47" t="n"/>
      <c r="AS365" s="47" t="n"/>
      <c r="AT365" s="50" t="n"/>
      <c r="AU365" s="50" t="n"/>
      <c r="AV365" s="50" t="n"/>
      <c r="AW365" s="49" t="inlineStr">
        <is>
          <t>IF(OR(F365="",AJ365=""),"",IF(COUNT(AI365:AI365)=0,"",AJ365-LOOKUP(2,1/(AI365:AI365&lt;&gt;""),AI365:AI365)))</t>
        </is>
      </c>
      <c r="AX365" s="49" t="inlineStr">
        <is>
          <t>IF(OR(F365="",AK365=""),"",IF(COUNT(AI365:AJ365)=0,"",AK365-LOOKUP(2,1/(AI365:AJ365&lt;&gt;""),AI365:AJ365)))</t>
        </is>
      </c>
      <c r="AY365" s="49" t="inlineStr">
        <is>
          <t>IF(OR(F365="",AL365=""),"",IF(COUNT(AI365:AK365)=0,"",AL365-LOOKUP(2,1/(AI365:AK365&lt;&gt;""),AI365:AK365)))</t>
        </is>
      </c>
      <c r="AZ365" s="49" t="inlineStr">
        <is>
          <t>IF(OR(F365="",AM365=""),"",IF(COUNT(AI365:AL365)=0,"",AM365-LOOKUP(2,1/(AI365:AL365&lt;&gt;""),AI365:AL365)))</t>
        </is>
      </c>
      <c r="BA365" s="49" t="inlineStr">
        <is>
          <t>IF(OR(F365="",AN365=""),"",IF(COUNT(AI365:AM365)=0,"",AN365-LOOKUP(2,1/(AI365:AM365&lt;&gt;""),AI365:AM365)))</t>
        </is>
      </c>
      <c r="BB365" s="49" t="inlineStr">
        <is>
          <t>IF(OR(F365="",AO365=""),"",IF(COUNT(AI365:AN365)=0,"",AO365-LOOKUP(2,1/(AI365:AN365&lt;&gt;""),AI365:AN365)))</t>
        </is>
      </c>
      <c r="BC365" s="49" t="inlineStr">
        <is>
          <t>IF(OR(F365="",AP365=""),"",IF(COUNT(AI365:AO365)=0,"",AP365-LOOKUP(2,1/(AI365:AO365&lt;&gt;""),AI365:AO365)))</t>
        </is>
      </c>
      <c r="BD365" s="49" t="inlineStr">
        <is>
          <t>IF(OR(F365="",AQ365=""),"",IF(COUNT(AI365:AP365)=0,"",AQ365-LOOKUP(2,1/(AI365:AP365&lt;&gt;""),AI365:AP365)))</t>
        </is>
      </c>
      <c r="BE365" s="49" t="inlineStr">
        <is>
          <t>IF(OR(F365="",AR365=""),"",IF(COUNT(AI365:AQ365)=0,"",AR365-LOOKUP(2,1/(AI365:AQ365&lt;&gt;""),AI365:AQ365)))</t>
        </is>
      </c>
      <c r="BF365" s="49" t="inlineStr">
        <is>
          <t>IF(OR(F365="",AS365=""),"",IF(COUNT(AI365:AR365)=0,"",AS365-LOOKUP(2,1/(AI365:AR365&lt;&gt;""),AI365:AR365)))</t>
        </is>
      </c>
      <c r="BG365" s="49" t="inlineStr">
        <is>
          <t>IF(OR(F365="",AT365=""),"",IF(COUNT(AI365:AS365)=0,"",AT365-LOOKUP(2,1/(AI365:AS365&lt;&gt;""),AI365:AS365)))</t>
        </is>
      </c>
      <c r="BH365" s="49" t="inlineStr">
        <is>
          <t>IF(OR(F365="",AU365=""),"",IF(COUNT(AI365:AT365)=0,"",AU365-LOOKUP(2,1/(AI365:AT365&lt;&gt;""),AI365:AT365)))</t>
        </is>
      </c>
      <c r="BI365" s="49" t="inlineStr">
        <is>
          <t>IF(OR(F365="",AV365=""),"",IF(COUNT(AI365:AU365)=0,"",AV365-LOOKUP(2,1/(AI365:AU365&lt;&gt;""),AI365:AU365)))</t>
        </is>
      </c>
      <c r="BJ365" s="51" t="inlineStr">
        <is>
          <t>IF(J365="","All_Provinces",IFERROR(VLOOKUP(J365,'09_Lookups'!$A$4:$B$20,2,FALSE),"All_Provinces"))</t>
        </is>
      </c>
      <c r="BK365" s="51" t="inlineStr">
        <is>
          <t>IF(K365="","All_Districts",IFERROR(VLOOKUP(K365,'09_Lookups'!$E$4:$F$42,2,FALSE),"All_Districts"))</t>
        </is>
      </c>
    </row>
    <row r="366" ht="18" customHeight="1">
      <c r="A366" s="42" t="inlineStr">
        <is>
          <t>IF(F366="","",ROW()-3)</t>
        </is>
      </c>
      <c r="B366" s="52" t="n"/>
      <c r="C366" s="52" t="n"/>
      <c r="D366" s="52" t="n"/>
      <c r="E366" s="52" t="n"/>
      <c r="F366" s="52" t="n"/>
      <c r="G366" s="52" t="n"/>
      <c r="H366" s="52" t="n"/>
      <c r="I366" s="52" t="n"/>
      <c r="J366" s="52" t="n"/>
      <c r="K366" s="52" t="n"/>
      <c r="L366" s="52" t="n"/>
      <c r="M366" s="52" t="n"/>
      <c r="N366" s="52" t="n"/>
      <c r="O366" s="52" t="n"/>
      <c r="P366" s="52" t="n"/>
      <c r="Q366" s="52" t="n"/>
      <c r="R366" s="52" t="n"/>
      <c r="S366" s="53" t="n"/>
      <c r="T366" s="46" t="inlineStr">
        <is>
          <t>IF(AQ366="","",AQ366)</t>
        </is>
      </c>
      <c r="U366" s="54" t="n"/>
      <c r="V366" s="55" t="n"/>
      <c r="W366" s="54" t="n"/>
      <c r="X366" s="46" t="inlineStr">
        <is>
          <t>IF(W366&lt;&gt;"",W366,IF(OR(T366="",V366=""),"",EDATE(T366,V366)))</t>
        </is>
      </c>
      <c r="Y366" s="54" t="n"/>
      <c r="Z366" s="55" t="n"/>
      <c r="AA366" s="52" t="n"/>
      <c r="AB366" s="52" t="n"/>
      <c r="AC366" s="42" t="inlineStr">
        <is>
          <t>IF(F366="","",IF(COUNT(AI366:AV366)=0,IF(AA366="","Not started",AA366),SUBSTITUTE(LOOKUP(2,1/(AI366:AV366&lt;&gt;""),$AI$3:$AV$3),"Date: ","")))</t>
        </is>
      </c>
      <c r="AD366" s="49" t="inlineStr">
        <is>
          <t>IF(OR(F366="",COUNT(AI366:AV366)=0),"",TODAY()-LOOKUP(2,1/(AI366:AV366&lt;&gt;""),AI366:AV366))</t>
        </is>
      </c>
      <c r="AE366" s="49" t="inlineStr">
        <is>
          <t>IF(OR(F366="",COUNT(AI366:AV366)&lt;2),"",LOOKUP(2,1/(AI366:AV366&lt;&gt;""),AI366:AV366)-MIN(AI366:AV366))</t>
        </is>
      </c>
      <c r="AF366" s="49" t="inlineStr">
        <is>
          <t>IF(OR(AD366="",AC366="Not started",AC366=""),"",IFERROR(AD366-IF(VLOOKUP(AC366,'06_Status_Pipeline'!$B$3:$E$20,4,FALSE)="",0,VLOOKUP(AC366,'06_Status_Pipeline'!$B$3:$E$20,4,FALSE)),""))</t>
        </is>
      </c>
      <c r="AG366" s="42" t="inlineStr">
        <is>
          <t>IF(F366="","",IF(OR(AA366="Cancelled",AC366="Cancelled"),"Cancelled",IF(OR(AC366="Completed / Handover",Y366&lt;&gt;"",Z366&gt;=100),"Completed — on track",IF(O366="Not awarded",IF(U366="",IF(X366="","No planned date",IF(TODAY()&gt;X366,"Behind — past planned date",IF(X366-TODAY()&lt;=30,"At risk — close to off track","On track"))),IF(TODAY()&gt;U366,"Behind — award date passed",IF(U366-TODAY()&lt;=30,"At risk — close to off track","On track"))),IF(X366="","No planned date",IF(AND(TODAY()&gt;X366,OR(Z366="",Z366&lt;100)),"Behind — past end date",IF(AND(T366&lt;&gt;"",X366&lt;&gt;"",Z366&lt;&gt;"",(Z366&lt;100),((TODAY()-T366)/MAX(X366-T366,1)*100)-Z366&gt;15),"Behind — progress lag",IF(AND(X366-TODAY()&lt;=30,X366-TODAY()&gt;=0,OR(Z366="",Z366&lt;90)),"At risk — close to off track","On track"))))))))</t>
        </is>
      </c>
      <c r="AH366" s="49" t="inlineStr">
        <is>
          <t>IF(OR(F366="",AC366="Completed / Handover",AC366="Cancelled"),"",IF(O366="Not awarded",IF(U366&lt;&gt;"",U366-TODAY(),IF(X366="","",X366-TODAY())),IF(X366="","",X366-TODAY())))</t>
        </is>
      </c>
      <c r="AI366" s="54" t="n"/>
      <c r="AJ366" s="54" t="n"/>
      <c r="AK366" s="54" t="n"/>
      <c r="AL366" s="54" t="n"/>
      <c r="AM366" s="54" t="n"/>
      <c r="AN366" s="54" t="n"/>
      <c r="AO366" s="54" t="n"/>
      <c r="AP366" s="54" t="n"/>
      <c r="AQ366" s="54" t="n"/>
      <c r="AR366" s="54" t="n"/>
      <c r="AS366" s="54" t="n"/>
      <c r="AT366" s="50" t="n"/>
      <c r="AU366" s="50" t="n"/>
      <c r="AV366" s="50" t="n"/>
      <c r="AW366" s="49" t="inlineStr">
        <is>
          <t>IF(OR(F366="",AJ366=""),"",IF(COUNT(AI366:AI366)=0,"",AJ366-LOOKUP(2,1/(AI366:AI366&lt;&gt;""),AI366:AI366)))</t>
        </is>
      </c>
      <c r="AX366" s="49" t="inlineStr">
        <is>
          <t>IF(OR(F366="",AK366=""),"",IF(COUNT(AI366:AJ366)=0,"",AK366-LOOKUP(2,1/(AI366:AJ366&lt;&gt;""),AI366:AJ366)))</t>
        </is>
      </c>
      <c r="AY366" s="49" t="inlineStr">
        <is>
          <t>IF(OR(F366="",AL366=""),"",IF(COUNT(AI366:AK366)=0,"",AL366-LOOKUP(2,1/(AI366:AK366&lt;&gt;""),AI366:AK366)))</t>
        </is>
      </c>
      <c r="AZ366" s="49" t="inlineStr">
        <is>
          <t>IF(OR(F366="",AM366=""),"",IF(COUNT(AI366:AL366)=0,"",AM366-LOOKUP(2,1/(AI366:AL366&lt;&gt;""),AI366:AL366)))</t>
        </is>
      </c>
      <c r="BA366" s="49" t="inlineStr">
        <is>
          <t>IF(OR(F366="",AN366=""),"",IF(COUNT(AI366:AM366)=0,"",AN366-LOOKUP(2,1/(AI366:AM366&lt;&gt;""),AI366:AM366)))</t>
        </is>
      </c>
      <c r="BB366" s="49" t="inlineStr">
        <is>
          <t>IF(OR(F366="",AO366=""),"",IF(COUNT(AI366:AN366)=0,"",AO366-LOOKUP(2,1/(AI366:AN366&lt;&gt;""),AI366:AN366)))</t>
        </is>
      </c>
      <c r="BC366" s="49" t="inlineStr">
        <is>
          <t>IF(OR(F366="",AP366=""),"",IF(COUNT(AI366:AO366)=0,"",AP366-LOOKUP(2,1/(AI366:AO366&lt;&gt;""),AI366:AO366)))</t>
        </is>
      </c>
      <c r="BD366" s="49" t="inlineStr">
        <is>
          <t>IF(OR(F366="",AQ366=""),"",IF(COUNT(AI366:AP366)=0,"",AQ366-LOOKUP(2,1/(AI366:AP366&lt;&gt;""),AI366:AP366)))</t>
        </is>
      </c>
      <c r="BE366" s="49" t="inlineStr">
        <is>
          <t>IF(OR(F366="",AR366=""),"",IF(COUNT(AI366:AQ366)=0,"",AR366-LOOKUP(2,1/(AI366:AQ366&lt;&gt;""),AI366:AQ366)))</t>
        </is>
      </c>
      <c r="BF366" s="49" t="inlineStr">
        <is>
          <t>IF(OR(F366="",AS366=""),"",IF(COUNT(AI366:AR366)=0,"",AS366-LOOKUP(2,1/(AI366:AR366&lt;&gt;""),AI366:AR366)))</t>
        </is>
      </c>
      <c r="BG366" s="49" t="inlineStr">
        <is>
          <t>IF(OR(F366="",AT366=""),"",IF(COUNT(AI366:AS366)=0,"",AT366-LOOKUP(2,1/(AI366:AS366&lt;&gt;""),AI366:AS366)))</t>
        </is>
      </c>
      <c r="BH366" s="49" t="inlineStr">
        <is>
          <t>IF(OR(F366="",AU366=""),"",IF(COUNT(AI366:AT366)=0,"",AU366-LOOKUP(2,1/(AI366:AT366&lt;&gt;""),AI366:AT366)))</t>
        </is>
      </c>
      <c r="BI366" s="49" t="inlineStr">
        <is>
          <t>IF(OR(F366="",AV366=""),"",IF(COUNT(AI366:AU366)=0,"",AV366-LOOKUP(2,1/(AI366:AU366&lt;&gt;""),AI366:AU366)))</t>
        </is>
      </c>
      <c r="BJ366" s="51" t="inlineStr">
        <is>
          <t>IF(J366="","All_Provinces",IFERROR(VLOOKUP(J366,'09_Lookups'!$A$4:$B$20,2,FALSE),"All_Provinces"))</t>
        </is>
      </c>
      <c r="BK366" s="51" t="inlineStr">
        <is>
          <t>IF(K366="","All_Districts",IFERROR(VLOOKUP(K366,'09_Lookups'!$E$4:$F$42,2,FALSE),"All_Districts"))</t>
        </is>
      </c>
    </row>
    <row r="367" ht="18" customHeight="1">
      <c r="A367" s="42" t="inlineStr">
        <is>
          <t>IF(F367="","",ROW()-3)</t>
        </is>
      </c>
      <c r="B367" s="44" t="n"/>
      <c r="C367" s="44" t="n"/>
      <c r="D367" s="44" t="n"/>
      <c r="E367" s="44" t="n"/>
      <c r="F367" s="44" t="n"/>
      <c r="G367" s="44" t="n"/>
      <c r="H367" s="44" t="n"/>
      <c r="I367" s="44" t="n"/>
      <c r="J367" s="44" t="n"/>
      <c r="K367" s="44" t="n"/>
      <c r="L367" s="44" t="n"/>
      <c r="M367" s="44" t="n"/>
      <c r="N367" s="44" t="n"/>
      <c r="O367" s="44" t="n"/>
      <c r="P367" s="44" t="n"/>
      <c r="Q367" s="44" t="n"/>
      <c r="R367" s="44" t="n"/>
      <c r="S367" s="45" t="n"/>
      <c r="T367" s="46" t="inlineStr">
        <is>
          <t>IF(AQ367="","",AQ367)</t>
        </is>
      </c>
      <c r="U367" s="47" t="n"/>
      <c r="V367" s="48" t="n"/>
      <c r="W367" s="47" t="n"/>
      <c r="X367" s="46" t="inlineStr">
        <is>
          <t>IF(W367&lt;&gt;"",W367,IF(OR(T367="",V367=""),"",EDATE(T367,V367)))</t>
        </is>
      </c>
      <c r="Y367" s="47" t="n"/>
      <c r="Z367" s="48" t="n"/>
      <c r="AA367" s="44" t="n"/>
      <c r="AB367" s="44" t="n"/>
      <c r="AC367" s="42" t="inlineStr">
        <is>
          <t>IF(F367="","",IF(COUNT(AI367:AV367)=0,IF(AA367="","Not started",AA367),SUBSTITUTE(LOOKUP(2,1/(AI367:AV367&lt;&gt;""),$AI$3:$AV$3),"Date: ","")))</t>
        </is>
      </c>
      <c r="AD367" s="49" t="inlineStr">
        <is>
          <t>IF(OR(F367="",COUNT(AI367:AV367)=0),"",TODAY()-LOOKUP(2,1/(AI367:AV367&lt;&gt;""),AI367:AV367))</t>
        </is>
      </c>
      <c r="AE367" s="49" t="inlineStr">
        <is>
          <t>IF(OR(F367="",COUNT(AI367:AV367)&lt;2),"",LOOKUP(2,1/(AI367:AV367&lt;&gt;""),AI367:AV367)-MIN(AI367:AV367))</t>
        </is>
      </c>
      <c r="AF367" s="49" t="inlineStr">
        <is>
          <t>IF(OR(AD367="",AC367="Not started",AC367=""),"",IFERROR(AD367-IF(VLOOKUP(AC367,'06_Status_Pipeline'!$B$3:$E$20,4,FALSE)="",0,VLOOKUP(AC367,'06_Status_Pipeline'!$B$3:$E$20,4,FALSE)),""))</t>
        </is>
      </c>
      <c r="AG367" s="42" t="inlineStr">
        <is>
          <t>IF(F367="","",IF(OR(AA367="Cancelled",AC367="Cancelled"),"Cancelled",IF(OR(AC367="Completed / Handover",Y367&lt;&gt;"",Z367&gt;=100),"Completed — on track",IF(O367="Not awarded",IF(U367="",IF(X367="","No planned date",IF(TODAY()&gt;X367,"Behind — past planned date",IF(X367-TODAY()&lt;=30,"At risk — close to off track","On track"))),IF(TODAY()&gt;U367,"Behind — award date passed",IF(U367-TODAY()&lt;=30,"At risk — close to off track","On track"))),IF(X367="","No planned date",IF(AND(TODAY()&gt;X367,OR(Z367="",Z367&lt;100)),"Behind — past end date",IF(AND(T367&lt;&gt;"",X367&lt;&gt;"",Z367&lt;&gt;"",(Z367&lt;100),((TODAY()-T367)/MAX(X367-T367,1)*100)-Z367&gt;15),"Behind — progress lag",IF(AND(X367-TODAY()&lt;=30,X367-TODAY()&gt;=0,OR(Z367="",Z367&lt;90)),"At risk — close to off track","On track"))))))))</t>
        </is>
      </c>
      <c r="AH367" s="49" t="inlineStr">
        <is>
          <t>IF(OR(F367="",AC367="Completed / Handover",AC367="Cancelled"),"",IF(O367="Not awarded",IF(U367&lt;&gt;"",U367-TODAY(),IF(X367="","",X367-TODAY())),IF(X367="","",X367-TODAY())))</t>
        </is>
      </c>
      <c r="AI367" s="47" t="n"/>
      <c r="AJ367" s="47" t="n"/>
      <c r="AK367" s="47" t="n"/>
      <c r="AL367" s="47" t="n"/>
      <c r="AM367" s="47" t="n"/>
      <c r="AN367" s="47" t="n"/>
      <c r="AO367" s="47" t="n"/>
      <c r="AP367" s="47" t="n"/>
      <c r="AQ367" s="47" t="n"/>
      <c r="AR367" s="47" t="n"/>
      <c r="AS367" s="47" t="n"/>
      <c r="AT367" s="50" t="n"/>
      <c r="AU367" s="50" t="n"/>
      <c r="AV367" s="50" t="n"/>
      <c r="AW367" s="49" t="inlineStr">
        <is>
          <t>IF(OR(F367="",AJ367=""),"",IF(COUNT(AI367:AI367)=0,"",AJ367-LOOKUP(2,1/(AI367:AI367&lt;&gt;""),AI367:AI367)))</t>
        </is>
      </c>
      <c r="AX367" s="49" t="inlineStr">
        <is>
          <t>IF(OR(F367="",AK367=""),"",IF(COUNT(AI367:AJ367)=0,"",AK367-LOOKUP(2,1/(AI367:AJ367&lt;&gt;""),AI367:AJ367)))</t>
        </is>
      </c>
      <c r="AY367" s="49" t="inlineStr">
        <is>
          <t>IF(OR(F367="",AL367=""),"",IF(COUNT(AI367:AK367)=0,"",AL367-LOOKUP(2,1/(AI367:AK367&lt;&gt;""),AI367:AK367)))</t>
        </is>
      </c>
      <c r="AZ367" s="49" t="inlineStr">
        <is>
          <t>IF(OR(F367="",AM367=""),"",IF(COUNT(AI367:AL367)=0,"",AM367-LOOKUP(2,1/(AI367:AL367&lt;&gt;""),AI367:AL367)))</t>
        </is>
      </c>
      <c r="BA367" s="49" t="inlineStr">
        <is>
          <t>IF(OR(F367="",AN367=""),"",IF(COUNT(AI367:AM367)=0,"",AN367-LOOKUP(2,1/(AI367:AM367&lt;&gt;""),AI367:AM367)))</t>
        </is>
      </c>
      <c r="BB367" s="49" t="inlineStr">
        <is>
          <t>IF(OR(F367="",AO367=""),"",IF(COUNT(AI367:AN367)=0,"",AO367-LOOKUP(2,1/(AI367:AN367&lt;&gt;""),AI367:AN367)))</t>
        </is>
      </c>
      <c r="BC367" s="49" t="inlineStr">
        <is>
          <t>IF(OR(F367="",AP367=""),"",IF(COUNT(AI367:AO367)=0,"",AP367-LOOKUP(2,1/(AI367:AO367&lt;&gt;""),AI367:AO367)))</t>
        </is>
      </c>
      <c r="BD367" s="49" t="inlineStr">
        <is>
          <t>IF(OR(F367="",AQ367=""),"",IF(COUNT(AI367:AP367)=0,"",AQ367-LOOKUP(2,1/(AI367:AP367&lt;&gt;""),AI367:AP367)))</t>
        </is>
      </c>
      <c r="BE367" s="49" t="inlineStr">
        <is>
          <t>IF(OR(F367="",AR367=""),"",IF(COUNT(AI367:AQ367)=0,"",AR367-LOOKUP(2,1/(AI367:AQ367&lt;&gt;""),AI367:AQ367)))</t>
        </is>
      </c>
      <c r="BF367" s="49" t="inlineStr">
        <is>
          <t>IF(OR(F367="",AS367=""),"",IF(COUNT(AI367:AR367)=0,"",AS367-LOOKUP(2,1/(AI367:AR367&lt;&gt;""),AI367:AR367)))</t>
        </is>
      </c>
      <c r="BG367" s="49" t="inlineStr">
        <is>
          <t>IF(OR(F367="",AT367=""),"",IF(COUNT(AI367:AS367)=0,"",AT367-LOOKUP(2,1/(AI367:AS367&lt;&gt;""),AI367:AS367)))</t>
        </is>
      </c>
      <c r="BH367" s="49" t="inlineStr">
        <is>
          <t>IF(OR(F367="",AU367=""),"",IF(COUNT(AI367:AT367)=0,"",AU367-LOOKUP(2,1/(AI367:AT367&lt;&gt;""),AI367:AT367)))</t>
        </is>
      </c>
      <c r="BI367" s="49" t="inlineStr">
        <is>
          <t>IF(OR(F367="",AV367=""),"",IF(COUNT(AI367:AU367)=0,"",AV367-LOOKUP(2,1/(AI367:AU367&lt;&gt;""),AI367:AU367)))</t>
        </is>
      </c>
      <c r="BJ367" s="51" t="inlineStr">
        <is>
          <t>IF(J367="","All_Provinces",IFERROR(VLOOKUP(J367,'09_Lookups'!$A$4:$B$20,2,FALSE),"All_Provinces"))</t>
        </is>
      </c>
      <c r="BK367" s="51" t="inlineStr">
        <is>
          <t>IF(K367="","All_Districts",IFERROR(VLOOKUP(K367,'09_Lookups'!$E$4:$F$42,2,FALSE),"All_Districts"))</t>
        </is>
      </c>
    </row>
    <row r="368" ht="18" customHeight="1">
      <c r="A368" s="42" t="inlineStr">
        <is>
          <t>IF(F368="","",ROW()-3)</t>
        </is>
      </c>
      <c r="B368" s="52" t="n"/>
      <c r="C368" s="52" t="n"/>
      <c r="D368" s="52" t="n"/>
      <c r="E368" s="52" t="n"/>
      <c r="F368" s="52" t="n"/>
      <c r="G368" s="52" t="n"/>
      <c r="H368" s="52" t="n"/>
      <c r="I368" s="52" t="n"/>
      <c r="J368" s="52" t="n"/>
      <c r="K368" s="52" t="n"/>
      <c r="L368" s="52" t="n"/>
      <c r="M368" s="52" t="n"/>
      <c r="N368" s="52" t="n"/>
      <c r="O368" s="52" t="n"/>
      <c r="P368" s="52" t="n"/>
      <c r="Q368" s="52" t="n"/>
      <c r="R368" s="52" t="n"/>
      <c r="S368" s="53" t="n"/>
      <c r="T368" s="46" t="inlineStr">
        <is>
          <t>IF(AQ368="","",AQ368)</t>
        </is>
      </c>
      <c r="U368" s="54" t="n"/>
      <c r="V368" s="55" t="n"/>
      <c r="W368" s="54" t="n"/>
      <c r="X368" s="46" t="inlineStr">
        <is>
          <t>IF(W368&lt;&gt;"",W368,IF(OR(T368="",V368=""),"",EDATE(T368,V368)))</t>
        </is>
      </c>
      <c r="Y368" s="54" t="n"/>
      <c r="Z368" s="55" t="n"/>
      <c r="AA368" s="52" t="n"/>
      <c r="AB368" s="52" t="n"/>
      <c r="AC368" s="42" t="inlineStr">
        <is>
          <t>IF(F368="","",IF(COUNT(AI368:AV368)=0,IF(AA368="","Not started",AA368),SUBSTITUTE(LOOKUP(2,1/(AI368:AV368&lt;&gt;""),$AI$3:$AV$3),"Date: ","")))</t>
        </is>
      </c>
      <c r="AD368" s="49" t="inlineStr">
        <is>
          <t>IF(OR(F368="",COUNT(AI368:AV368)=0),"",TODAY()-LOOKUP(2,1/(AI368:AV368&lt;&gt;""),AI368:AV368))</t>
        </is>
      </c>
      <c r="AE368" s="49" t="inlineStr">
        <is>
          <t>IF(OR(F368="",COUNT(AI368:AV368)&lt;2),"",LOOKUP(2,1/(AI368:AV368&lt;&gt;""),AI368:AV368)-MIN(AI368:AV368))</t>
        </is>
      </c>
      <c r="AF368" s="49" t="inlineStr">
        <is>
          <t>IF(OR(AD368="",AC368="Not started",AC368=""),"",IFERROR(AD368-IF(VLOOKUP(AC368,'06_Status_Pipeline'!$B$3:$E$20,4,FALSE)="",0,VLOOKUP(AC368,'06_Status_Pipeline'!$B$3:$E$20,4,FALSE)),""))</t>
        </is>
      </c>
      <c r="AG368" s="42" t="inlineStr">
        <is>
          <t>IF(F368="","",IF(OR(AA368="Cancelled",AC368="Cancelled"),"Cancelled",IF(OR(AC368="Completed / Handover",Y368&lt;&gt;"",Z368&gt;=100),"Completed — on track",IF(O368="Not awarded",IF(U368="",IF(X368="","No planned date",IF(TODAY()&gt;X368,"Behind — past planned date",IF(X368-TODAY()&lt;=30,"At risk — close to off track","On track"))),IF(TODAY()&gt;U368,"Behind — award date passed",IF(U368-TODAY()&lt;=30,"At risk — close to off track","On track"))),IF(X368="","No planned date",IF(AND(TODAY()&gt;X368,OR(Z368="",Z368&lt;100)),"Behind — past end date",IF(AND(T368&lt;&gt;"",X368&lt;&gt;"",Z368&lt;&gt;"",(Z368&lt;100),((TODAY()-T368)/MAX(X368-T368,1)*100)-Z368&gt;15),"Behind — progress lag",IF(AND(X368-TODAY()&lt;=30,X368-TODAY()&gt;=0,OR(Z368="",Z368&lt;90)),"At risk — close to off track","On track"))))))))</t>
        </is>
      </c>
      <c r="AH368" s="49" t="inlineStr">
        <is>
          <t>IF(OR(F368="",AC368="Completed / Handover",AC368="Cancelled"),"",IF(O368="Not awarded",IF(U368&lt;&gt;"",U368-TODAY(),IF(X368="","",X368-TODAY())),IF(X368="","",X368-TODAY())))</t>
        </is>
      </c>
      <c r="AI368" s="54" t="n"/>
      <c r="AJ368" s="54" t="n"/>
      <c r="AK368" s="54" t="n"/>
      <c r="AL368" s="54" t="n"/>
      <c r="AM368" s="54" t="n"/>
      <c r="AN368" s="54" t="n"/>
      <c r="AO368" s="54" t="n"/>
      <c r="AP368" s="54" t="n"/>
      <c r="AQ368" s="54" t="n"/>
      <c r="AR368" s="54" t="n"/>
      <c r="AS368" s="54" t="n"/>
      <c r="AT368" s="50" t="n"/>
      <c r="AU368" s="50" t="n"/>
      <c r="AV368" s="50" t="n"/>
      <c r="AW368" s="49" t="inlineStr">
        <is>
          <t>IF(OR(F368="",AJ368=""),"",IF(COUNT(AI368:AI368)=0,"",AJ368-LOOKUP(2,1/(AI368:AI368&lt;&gt;""),AI368:AI368)))</t>
        </is>
      </c>
      <c r="AX368" s="49" t="inlineStr">
        <is>
          <t>IF(OR(F368="",AK368=""),"",IF(COUNT(AI368:AJ368)=0,"",AK368-LOOKUP(2,1/(AI368:AJ368&lt;&gt;""),AI368:AJ368)))</t>
        </is>
      </c>
      <c r="AY368" s="49" t="inlineStr">
        <is>
          <t>IF(OR(F368="",AL368=""),"",IF(COUNT(AI368:AK368)=0,"",AL368-LOOKUP(2,1/(AI368:AK368&lt;&gt;""),AI368:AK368)))</t>
        </is>
      </c>
      <c r="AZ368" s="49" t="inlineStr">
        <is>
          <t>IF(OR(F368="",AM368=""),"",IF(COUNT(AI368:AL368)=0,"",AM368-LOOKUP(2,1/(AI368:AL368&lt;&gt;""),AI368:AL368)))</t>
        </is>
      </c>
      <c r="BA368" s="49" t="inlineStr">
        <is>
          <t>IF(OR(F368="",AN368=""),"",IF(COUNT(AI368:AM368)=0,"",AN368-LOOKUP(2,1/(AI368:AM368&lt;&gt;""),AI368:AM368)))</t>
        </is>
      </c>
      <c r="BB368" s="49" t="inlineStr">
        <is>
          <t>IF(OR(F368="",AO368=""),"",IF(COUNT(AI368:AN368)=0,"",AO368-LOOKUP(2,1/(AI368:AN368&lt;&gt;""),AI368:AN368)))</t>
        </is>
      </c>
      <c r="BC368" s="49" t="inlineStr">
        <is>
          <t>IF(OR(F368="",AP368=""),"",IF(COUNT(AI368:AO368)=0,"",AP368-LOOKUP(2,1/(AI368:AO368&lt;&gt;""),AI368:AO368)))</t>
        </is>
      </c>
      <c r="BD368" s="49" t="inlineStr">
        <is>
          <t>IF(OR(F368="",AQ368=""),"",IF(COUNT(AI368:AP368)=0,"",AQ368-LOOKUP(2,1/(AI368:AP368&lt;&gt;""),AI368:AP368)))</t>
        </is>
      </c>
      <c r="BE368" s="49" t="inlineStr">
        <is>
          <t>IF(OR(F368="",AR368=""),"",IF(COUNT(AI368:AQ368)=0,"",AR368-LOOKUP(2,1/(AI368:AQ368&lt;&gt;""),AI368:AQ368)))</t>
        </is>
      </c>
      <c r="BF368" s="49" t="inlineStr">
        <is>
          <t>IF(OR(F368="",AS368=""),"",IF(COUNT(AI368:AR368)=0,"",AS368-LOOKUP(2,1/(AI368:AR368&lt;&gt;""),AI368:AR368)))</t>
        </is>
      </c>
      <c r="BG368" s="49" t="inlineStr">
        <is>
          <t>IF(OR(F368="",AT368=""),"",IF(COUNT(AI368:AS368)=0,"",AT368-LOOKUP(2,1/(AI368:AS368&lt;&gt;""),AI368:AS368)))</t>
        </is>
      </c>
      <c r="BH368" s="49" t="inlineStr">
        <is>
          <t>IF(OR(F368="",AU368=""),"",IF(COUNT(AI368:AT368)=0,"",AU368-LOOKUP(2,1/(AI368:AT368&lt;&gt;""),AI368:AT368)))</t>
        </is>
      </c>
      <c r="BI368" s="49" t="inlineStr">
        <is>
          <t>IF(OR(F368="",AV368=""),"",IF(COUNT(AI368:AU368)=0,"",AV368-LOOKUP(2,1/(AI368:AU368&lt;&gt;""),AI368:AU368)))</t>
        </is>
      </c>
      <c r="BJ368" s="51" t="inlineStr">
        <is>
          <t>IF(J368="","All_Provinces",IFERROR(VLOOKUP(J368,'09_Lookups'!$A$4:$B$20,2,FALSE),"All_Provinces"))</t>
        </is>
      </c>
      <c r="BK368" s="51" t="inlineStr">
        <is>
          <t>IF(K368="","All_Districts",IFERROR(VLOOKUP(K368,'09_Lookups'!$E$4:$F$42,2,FALSE),"All_Districts"))</t>
        </is>
      </c>
    </row>
    <row r="369" ht="18" customHeight="1">
      <c r="A369" s="42" t="inlineStr">
        <is>
          <t>IF(F369="","",ROW()-3)</t>
        </is>
      </c>
      <c r="B369" s="44" t="n"/>
      <c r="C369" s="44" t="n"/>
      <c r="D369" s="44" t="n"/>
      <c r="E369" s="44" t="n"/>
      <c r="F369" s="44" t="n"/>
      <c r="G369" s="44" t="n"/>
      <c r="H369" s="44" t="n"/>
      <c r="I369" s="44" t="n"/>
      <c r="J369" s="44" t="n"/>
      <c r="K369" s="44" t="n"/>
      <c r="L369" s="44" t="n"/>
      <c r="M369" s="44" t="n"/>
      <c r="N369" s="44" t="n"/>
      <c r="O369" s="44" t="n"/>
      <c r="P369" s="44" t="n"/>
      <c r="Q369" s="44" t="n"/>
      <c r="R369" s="44" t="n"/>
      <c r="S369" s="45" t="n"/>
      <c r="T369" s="46" t="inlineStr">
        <is>
          <t>IF(AQ369="","",AQ369)</t>
        </is>
      </c>
      <c r="U369" s="47" t="n"/>
      <c r="V369" s="48" t="n"/>
      <c r="W369" s="47" t="n"/>
      <c r="X369" s="46" t="inlineStr">
        <is>
          <t>IF(W369&lt;&gt;"",W369,IF(OR(T369="",V369=""),"",EDATE(T369,V369)))</t>
        </is>
      </c>
      <c r="Y369" s="47" t="n"/>
      <c r="Z369" s="48" t="n"/>
      <c r="AA369" s="44" t="n"/>
      <c r="AB369" s="44" t="n"/>
      <c r="AC369" s="42" t="inlineStr">
        <is>
          <t>IF(F369="","",IF(COUNT(AI369:AV369)=0,IF(AA369="","Not started",AA369),SUBSTITUTE(LOOKUP(2,1/(AI369:AV369&lt;&gt;""),$AI$3:$AV$3),"Date: ","")))</t>
        </is>
      </c>
      <c r="AD369" s="49" t="inlineStr">
        <is>
          <t>IF(OR(F369="",COUNT(AI369:AV369)=0),"",TODAY()-LOOKUP(2,1/(AI369:AV369&lt;&gt;""),AI369:AV369))</t>
        </is>
      </c>
      <c r="AE369" s="49" t="inlineStr">
        <is>
          <t>IF(OR(F369="",COUNT(AI369:AV369)&lt;2),"",LOOKUP(2,1/(AI369:AV369&lt;&gt;""),AI369:AV369)-MIN(AI369:AV369))</t>
        </is>
      </c>
      <c r="AF369" s="49" t="inlineStr">
        <is>
          <t>IF(OR(AD369="",AC369="Not started",AC369=""),"",IFERROR(AD369-IF(VLOOKUP(AC369,'06_Status_Pipeline'!$B$3:$E$20,4,FALSE)="",0,VLOOKUP(AC369,'06_Status_Pipeline'!$B$3:$E$20,4,FALSE)),""))</t>
        </is>
      </c>
      <c r="AG369" s="42" t="inlineStr">
        <is>
          <t>IF(F369="","",IF(OR(AA369="Cancelled",AC369="Cancelled"),"Cancelled",IF(OR(AC369="Completed / Handover",Y369&lt;&gt;"",Z369&gt;=100),"Completed — on track",IF(O369="Not awarded",IF(U369="",IF(X369="","No planned date",IF(TODAY()&gt;X369,"Behind — past planned date",IF(X369-TODAY()&lt;=30,"At risk — close to off track","On track"))),IF(TODAY()&gt;U369,"Behind — award date passed",IF(U369-TODAY()&lt;=30,"At risk — close to off track","On track"))),IF(X369="","No planned date",IF(AND(TODAY()&gt;X369,OR(Z369="",Z369&lt;100)),"Behind — past end date",IF(AND(T369&lt;&gt;"",X369&lt;&gt;"",Z369&lt;&gt;"",(Z369&lt;100),((TODAY()-T369)/MAX(X369-T369,1)*100)-Z369&gt;15),"Behind — progress lag",IF(AND(X369-TODAY()&lt;=30,X369-TODAY()&gt;=0,OR(Z369="",Z369&lt;90)),"At risk — close to off track","On track"))))))))</t>
        </is>
      </c>
      <c r="AH369" s="49" t="inlineStr">
        <is>
          <t>IF(OR(F369="",AC369="Completed / Handover",AC369="Cancelled"),"",IF(O369="Not awarded",IF(U369&lt;&gt;"",U369-TODAY(),IF(X369="","",X369-TODAY())),IF(X369="","",X369-TODAY())))</t>
        </is>
      </c>
      <c r="AI369" s="47" t="n"/>
      <c r="AJ369" s="47" t="n"/>
      <c r="AK369" s="47" t="n"/>
      <c r="AL369" s="47" t="n"/>
      <c r="AM369" s="47" t="n"/>
      <c r="AN369" s="47" t="n"/>
      <c r="AO369" s="47" t="n"/>
      <c r="AP369" s="47" t="n"/>
      <c r="AQ369" s="47" t="n"/>
      <c r="AR369" s="47" t="n"/>
      <c r="AS369" s="47" t="n"/>
      <c r="AT369" s="50" t="n"/>
      <c r="AU369" s="50" t="n"/>
      <c r="AV369" s="50" t="n"/>
      <c r="AW369" s="49" t="inlineStr">
        <is>
          <t>IF(OR(F369="",AJ369=""),"",IF(COUNT(AI369:AI369)=0,"",AJ369-LOOKUP(2,1/(AI369:AI369&lt;&gt;""),AI369:AI369)))</t>
        </is>
      </c>
      <c r="AX369" s="49" t="inlineStr">
        <is>
          <t>IF(OR(F369="",AK369=""),"",IF(COUNT(AI369:AJ369)=0,"",AK369-LOOKUP(2,1/(AI369:AJ369&lt;&gt;""),AI369:AJ369)))</t>
        </is>
      </c>
      <c r="AY369" s="49" t="inlineStr">
        <is>
          <t>IF(OR(F369="",AL369=""),"",IF(COUNT(AI369:AK369)=0,"",AL369-LOOKUP(2,1/(AI369:AK369&lt;&gt;""),AI369:AK369)))</t>
        </is>
      </c>
      <c r="AZ369" s="49" t="inlineStr">
        <is>
          <t>IF(OR(F369="",AM369=""),"",IF(COUNT(AI369:AL369)=0,"",AM369-LOOKUP(2,1/(AI369:AL369&lt;&gt;""),AI369:AL369)))</t>
        </is>
      </c>
      <c r="BA369" s="49" t="inlineStr">
        <is>
          <t>IF(OR(F369="",AN369=""),"",IF(COUNT(AI369:AM369)=0,"",AN369-LOOKUP(2,1/(AI369:AM369&lt;&gt;""),AI369:AM369)))</t>
        </is>
      </c>
      <c r="BB369" s="49" t="inlineStr">
        <is>
          <t>IF(OR(F369="",AO369=""),"",IF(COUNT(AI369:AN369)=0,"",AO369-LOOKUP(2,1/(AI369:AN369&lt;&gt;""),AI369:AN369)))</t>
        </is>
      </c>
      <c r="BC369" s="49" t="inlineStr">
        <is>
          <t>IF(OR(F369="",AP369=""),"",IF(COUNT(AI369:AO369)=0,"",AP369-LOOKUP(2,1/(AI369:AO369&lt;&gt;""),AI369:AO369)))</t>
        </is>
      </c>
      <c r="BD369" s="49" t="inlineStr">
        <is>
          <t>IF(OR(F369="",AQ369=""),"",IF(COUNT(AI369:AP369)=0,"",AQ369-LOOKUP(2,1/(AI369:AP369&lt;&gt;""),AI369:AP369)))</t>
        </is>
      </c>
      <c r="BE369" s="49" t="inlineStr">
        <is>
          <t>IF(OR(F369="",AR369=""),"",IF(COUNT(AI369:AQ369)=0,"",AR369-LOOKUP(2,1/(AI369:AQ369&lt;&gt;""),AI369:AQ369)))</t>
        </is>
      </c>
      <c r="BF369" s="49" t="inlineStr">
        <is>
          <t>IF(OR(F369="",AS369=""),"",IF(COUNT(AI369:AR369)=0,"",AS369-LOOKUP(2,1/(AI369:AR369&lt;&gt;""),AI369:AR369)))</t>
        </is>
      </c>
      <c r="BG369" s="49" t="inlineStr">
        <is>
          <t>IF(OR(F369="",AT369=""),"",IF(COUNT(AI369:AS369)=0,"",AT369-LOOKUP(2,1/(AI369:AS369&lt;&gt;""),AI369:AS369)))</t>
        </is>
      </c>
      <c r="BH369" s="49" t="inlineStr">
        <is>
          <t>IF(OR(F369="",AU369=""),"",IF(COUNT(AI369:AT369)=0,"",AU369-LOOKUP(2,1/(AI369:AT369&lt;&gt;""),AI369:AT369)))</t>
        </is>
      </c>
      <c r="BI369" s="49" t="inlineStr">
        <is>
          <t>IF(OR(F369="",AV369=""),"",IF(COUNT(AI369:AU369)=0,"",AV369-LOOKUP(2,1/(AI369:AU369&lt;&gt;""),AI369:AU369)))</t>
        </is>
      </c>
      <c r="BJ369" s="51" t="inlineStr">
        <is>
          <t>IF(J369="","All_Provinces",IFERROR(VLOOKUP(J369,'09_Lookups'!$A$4:$B$20,2,FALSE),"All_Provinces"))</t>
        </is>
      </c>
      <c r="BK369" s="51" t="inlineStr">
        <is>
          <t>IF(K369="","All_Districts",IFERROR(VLOOKUP(K369,'09_Lookups'!$E$4:$F$42,2,FALSE),"All_Districts"))</t>
        </is>
      </c>
    </row>
    <row r="370" ht="18" customHeight="1">
      <c r="A370" s="42" t="inlineStr">
        <is>
          <t>IF(F370="","",ROW()-3)</t>
        </is>
      </c>
      <c r="B370" s="52" t="n"/>
      <c r="C370" s="52" t="n"/>
      <c r="D370" s="52" t="n"/>
      <c r="E370" s="52" t="n"/>
      <c r="F370" s="52" t="n"/>
      <c r="G370" s="52" t="n"/>
      <c r="H370" s="52" t="n"/>
      <c r="I370" s="52" t="n"/>
      <c r="J370" s="52" t="n"/>
      <c r="K370" s="52" t="n"/>
      <c r="L370" s="52" t="n"/>
      <c r="M370" s="52" t="n"/>
      <c r="N370" s="52" t="n"/>
      <c r="O370" s="52" t="n"/>
      <c r="P370" s="52" t="n"/>
      <c r="Q370" s="52" t="n"/>
      <c r="R370" s="52" t="n"/>
      <c r="S370" s="53" t="n"/>
      <c r="T370" s="46" t="inlineStr">
        <is>
          <t>IF(AQ370="","",AQ370)</t>
        </is>
      </c>
      <c r="U370" s="54" t="n"/>
      <c r="V370" s="55" t="n"/>
      <c r="W370" s="54" t="n"/>
      <c r="X370" s="46" t="inlineStr">
        <is>
          <t>IF(W370&lt;&gt;"",W370,IF(OR(T370="",V370=""),"",EDATE(T370,V370)))</t>
        </is>
      </c>
      <c r="Y370" s="54" t="n"/>
      <c r="Z370" s="55" t="n"/>
      <c r="AA370" s="52" t="n"/>
      <c r="AB370" s="52" t="n"/>
      <c r="AC370" s="42" t="inlineStr">
        <is>
          <t>IF(F370="","",IF(COUNT(AI370:AV370)=0,IF(AA370="","Not started",AA370),SUBSTITUTE(LOOKUP(2,1/(AI370:AV370&lt;&gt;""),$AI$3:$AV$3),"Date: ","")))</t>
        </is>
      </c>
      <c r="AD370" s="49" t="inlineStr">
        <is>
          <t>IF(OR(F370="",COUNT(AI370:AV370)=0),"",TODAY()-LOOKUP(2,1/(AI370:AV370&lt;&gt;""),AI370:AV370))</t>
        </is>
      </c>
      <c r="AE370" s="49" t="inlineStr">
        <is>
          <t>IF(OR(F370="",COUNT(AI370:AV370)&lt;2),"",LOOKUP(2,1/(AI370:AV370&lt;&gt;""),AI370:AV370)-MIN(AI370:AV370))</t>
        </is>
      </c>
      <c r="AF370" s="49" t="inlineStr">
        <is>
          <t>IF(OR(AD370="",AC370="Not started",AC370=""),"",IFERROR(AD370-IF(VLOOKUP(AC370,'06_Status_Pipeline'!$B$3:$E$20,4,FALSE)="",0,VLOOKUP(AC370,'06_Status_Pipeline'!$B$3:$E$20,4,FALSE)),""))</t>
        </is>
      </c>
      <c r="AG370" s="42" t="inlineStr">
        <is>
          <t>IF(F370="","",IF(OR(AA370="Cancelled",AC370="Cancelled"),"Cancelled",IF(OR(AC370="Completed / Handover",Y370&lt;&gt;"",Z370&gt;=100),"Completed — on track",IF(O370="Not awarded",IF(U370="",IF(X370="","No planned date",IF(TODAY()&gt;X370,"Behind — past planned date",IF(X370-TODAY()&lt;=30,"At risk — close to off track","On track"))),IF(TODAY()&gt;U370,"Behind — award date passed",IF(U370-TODAY()&lt;=30,"At risk — close to off track","On track"))),IF(X370="","No planned date",IF(AND(TODAY()&gt;X370,OR(Z370="",Z370&lt;100)),"Behind — past end date",IF(AND(T370&lt;&gt;"",X370&lt;&gt;"",Z370&lt;&gt;"",(Z370&lt;100),((TODAY()-T370)/MAX(X370-T370,1)*100)-Z370&gt;15),"Behind — progress lag",IF(AND(X370-TODAY()&lt;=30,X370-TODAY()&gt;=0,OR(Z370="",Z370&lt;90)),"At risk — close to off track","On track"))))))))</t>
        </is>
      </c>
      <c r="AH370" s="49" t="inlineStr">
        <is>
          <t>IF(OR(F370="",AC370="Completed / Handover",AC370="Cancelled"),"",IF(O370="Not awarded",IF(U370&lt;&gt;"",U370-TODAY(),IF(X370="","",X370-TODAY())),IF(X370="","",X370-TODAY())))</t>
        </is>
      </c>
      <c r="AI370" s="54" t="n"/>
      <c r="AJ370" s="54" t="n"/>
      <c r="AK370" s="54" t="n"/>
      <c r="AL370" s="54" t="n"/>
      <c r="AM370" s="54" t="n"/>
      <c r="AN370" s="54" t="n"/>
      <c r="AO370" s="54" t="n"/>
      <c r="AP370" s="54" t="n"/>
      <c r="AQ370" s="54" t="n"/>
      <c r="AR370" s="54" t="n"/>
      <c r="AS370" s="54" t="n"/>
      <c r="AT370" s="50" t="n"/>
      <c r="AU370" s="50" t="n"/>
      <c r="AV370" s="50" t="n"/>
      <c r="AW370" s="49" t="inlineStr">
        <is>
          <t>IF(OR(F370="",AJ370=""),"",IF(COUNT(AI370:AI370)=0,"",AJ370-LOOKUP(2,1/(AI370:AI370&lt;&gt;""),AI370:AI370)))</t>
        </is>
      </c>
      <c r="AX370" s="49" t="inlineStr">
        <is>
          <t>IF(OR(F370="",AK370=""),"",IF(COUNT(AI370:AJ370)=0,"",AK370-LOOKUP(2,1/(AI370:AJ370&lt;&gt;""),AI370:AJ370)))</t>
        </is>
      </c>
      <c r="AY370" s="49" t="inlineStr">
        <is>
          <t>IF(OR(F370="",AL370=""),"",IF(COUNT(AI370:AK370)=0,"",AL370-LOOKUP(2,1/(AI370:AK370&lt;&gt;""),AI370:AK370)))</t>
        </is>
      </c>
      <c r="AZ370" s="49" t="inlineStr">
        <is>
          <t>IF(OR(F370="",AM370=""),"",IF(COUNT(AI370:AL370)=0,"",AM370-LOOKUP(2,1/(AI370:AL370&lt;&gt;""),AI370:AL370)))</t>
        </is>
      </c>
      <c r="BA370" s="49" t="inlineStr">
        <is>
          <t>IF(OR(F370="",AN370=""),"",IF(COUNT(AI370:AM370)=0,"",AN370-LOOKUP(2,1/(AI370:AM370&lt;&gt;""),AI370:AM370)))</t>
        </is>
      </c>
      <c r="BB370" s="49" t="inlineStr">
        <is>
          <t>IF(OR(F370="",AO370=""),"",IF(COUNT(AI370:AN370)=0,"",AO370-LOOKUP(2,1/(AI370:AN370&lt;&gt;""),AI370:AN370)))</t>
        </is>
      </c>
      <c r="BC370" s="49" t="inlineStr">
        <is>
          <t>IF(OR(F370="",AP370=""),"",IF(COUNT(AI370:AO370)=0,"",AP370-LOOKUP(2,1/(AI370:AO370&lt;&gt;""),AI370:AO370)))</t>
        </is>
      </c>
      <c r="BD370" s="49" t="inlineStr">
        <is>
          <t>IF(OR(F370="",AQ370=""),"",IF(COUNT(AI370:AP370)=0,"",AQ370-LOOKUP(2,1/(AI370:AP370&lt;&gt;""),AI370:AP370)))</t>
        </is>
      </c>
      <c r="BE370" s="49" t="inlineStr">
        <is>
          <t>IF(OR(F370="",AR370=""),"",IF(COUNT(AI370:AQ370)=0,"",AR370-LOOKUP(2,1/(AI370:AQ370&lt;&gt;""),AI370:AQ370)))</t>
        </is>
      </c>
      <c r="BF370" s="49" t="inlineStr">
        <is>
          <t>IF(OR(F370="",AS370=""),"",IF(COUNT(AI370:AR370)=0,"",AS370-LOOKUP(2,1/(AI370:AR370&lt;&gt;""),AI370:AR370)))</t>
        </is>
      </c>
      <c r="BG370" s="49" t="inlineStr">
        <is>
          <t>IF(OR(F370="",AT370=""),"",IF(COUNT(AI370:AS370)=0,"",AT370-LOOKUP(2,1/(AI370:AS370&lt;&gt;""),AI370:AS370)))</t>
        </is>
      </c>
      <c r="BH370" s="49" t="inlineStr">
        <is>
          <t>IF(OR(F370="",AU370=""),"",IF(COUNT(AI370:AT370)=0,"",AU370-LOOKUP(2,1/(AI370:AT370&lt;&gt;""),AI370:AT370)))</t>
        </is>
      </c>
      <c r="BI370" s="49" t="inlineStr">
        <is>
          <t>IF(OR(F370="",AV370=""),"",IF(COUNT(AI370:AU370)=0,"",AV370-LOOKUP(2,1/(AI370:AU370&lt;&gt;""),AI370:AU370)))</t>
        </is>
      </c>
      <c r="BJ370" s="51" t="inlineStr">
        <is>
          <t>IF(J370="","All_Provinces",IFERROR(VLOOKUP(J370,'09_Lookups'!$A$4:$B$20,2,FALSE),"All_Provinces"))</t>
        </is>
      </c>
      <c r="BK370" s="51" t="inlineStr">
        <is>
          <t>IF(K370="","All_Districts",IFERROR(VLOOKUP(K370,'09_Lookups'!$E$4:$F$42,2,FALSE),"All_Districts"))</t>
        </is>
      </c>
    </row>
    <row r="371" ht="18" customHeight="1">
      <c r="A371" s="42" t="inlineStr">
        <is>
          <t>IF(F371="","",ROW()-3)</t>
        </is>
      </c>
      <c r="B371" s="44" t="n"/>
      <c r="C371" s="44" t="n"/>
      <c r="D371" s="44" t="n"/>
      <c r="E371" s="44" t="n"/>
      <c r="F371" s="44" t="n"/>
      <c r="G371" s="44" t="n"/>
      <c r="H371" s="44" t="n"/>
      <c r="I371" s="44" t="n"/>
      <c r="J371" s="44" t="n"/>
      <c r="K371" s="44" t="n"/>
      <c r="L371" s="44" t="n"/>
      <c r="M371" s="44" t="n"/>
      <c r="N371" s="44" t="n"/>
      <c r="O371" s="44" t="n"/>
      <c r="P371" s="44" t="n"/>
      <c r="Q371" s="44" t="n"/>
      <c r="R371" s="44" t="n"/>
      <c r="S371" s="45" t="n"/>
      <c r="T371" s="46" t="inlineStr">
        <is>
          <t>IF(AQ371="","",AQ371)</t>
        </is>
      </c>
      <c r="U371" s="47" t="n"/>
      <c r="V371" s="48" t="n"/>
      <c r="W371" s="47" t="n"/>
      <c r="X371" s="46" t="inlineStr">
        <is>
          <t>IF(W371&lt;&gt;"",W371,IF(OR(T371="",V371=""),"",EDATE(T371,V371)))</t>
        </is>
      </c>
      <c r="Y371" s="47" t="n"/>
      <c r="Z371" s="48" t="n"/>
      <c r="AA371" s="44" t="n"/>
      <c r="AB371" s="44" t="n"/>
      <c r="AC371" s="42" t="inlineStr">
        <is>
          <t>IF(F371="","",IF(COUNT(AI371:AV371)=0,IF(AA371="","Not started",AA371),SUBSTITUTE(LOOKUP(2,1/(AI371:AV371&lt;&gt;""),$AI$3:$AV$3),"Date: ","")))</t>
        </is>
      </c>
      <c r="AD371" s="49" t="inlineStr">
        <is>
          <t>IF(OR(F371="",COUNT(AI371:AV371)=0),"",TODAY()-LOOKUP(2,1/(AI371:AV371&lt;&gt;""),AI371:AV371))</t>
        </is>
      </c>
      <c r="AE371" s="49" t="inlineStr">
        <is>
          <t>IF(OR(F371="",COUNT(AI371:AV371)&lt;2),"",LOOKUP(2,1/(AI371:AV371&lt;&gt;""),AI371:AV371)-MIN(AI371:AV371))</t>
        </is>
      </c>
      <c r="AF371" s="49" t="inlineStr">
        <is>
          <t>IF(OR(AD371="",AC371="Not started",AC371=""),"",IFERROR(AD371-IF(VLOOKUP(AC371,'06_Status_Pipeline'!$B$3:$E$20,4,FALSE)="",0,VLOOKUP(AC371,'06_Status_Pipeline'!$B$3:$E$20,4,FALSE)),""))</t>
        </is>
      </c>
      <c r="AG371" s="42" t="inlineStr">
        <is>
          <t>IF(F371="","",IF(OR(AA371="Cancelled",AC371="Cancelled"),"Cancelled",IF(OR(AC371="Completed / Handover",Y371&lt;&gt;"",Z371&gt;=100),"Completed — on track",IF(O371="Not awarded",IF(U371="",IF(X371="","No planned date",IF(TODAY()&gt;X371,"Behind — past planned date",IF(X371-TODAY()&lt;=30,"At risk — close to off track","On track"))),IF(TODAY()&gt;U371,"Behind — award date passed",IF(U371-TODAY()&lt;=30,"At risk — close to off track","On track"))),IF(X371="","No planned date",IF(AND(TODAY()&gt;X371,OR(Z371="",Z371&lt;100)),"Behind — past end date",IF(AND(T371&lt;&gt;"",X371&lt;&gt;"",Z371&lt;&gt;"",(Z371&lt;100),((TODAY()-T371)/MAX(X371-T371,1)*100)-Z371&gt;15),"Behind — progress lag",IF(AND(X371-TODAY()&lt;=30,X371-TODAY()&gt;=0,OR(Z371="",Z371&lt;90)),"At risk — close to off track","On track"))))))))</t>
        </is>
      </c>
      <c r="AH371" s="49" t="inlineStr">
        <is>
          <t>IF(OR(F371="",AC371="Completed / Handover",AC371="Cancelled"),"",IF(O371="Not awarded",IF(U371&lt;&gt;"",U371-TODAY(),IF(X371="","",X371-TODAY())),IF(X371="","",X371-TODAY())))</t>
        </is>
      </c>
      <c r="AI371" s="47" t="n"/>
      <c r="AJ371" s="47" t="n"/>
      <c r="AK371" s="47" t="n"/>
      <c r="AL371" s="47" t="n"/>
      <c r="AM371" s="47" t="n"/>
      <c r="AN371" s="47" t="n"/>
      <c r="AO371" s="47" t="n"/>
      <c r="AP371" s="47" t="n"/>
      <c r="AQ371" s="47" t="n"/>
      <c r="AR371" s="47" t="n"/>
      <c r="AS371" s="47" t="n"/>
      <c r="AT371" s="50" t="n"/>
      <c r="AU371" s="50" t="n"/>
      <c r="AV371" s="50" t="n"/>
      <c r="AW371" s="49" t="inlineStr">
        <is>
          <t>IF(OR(F371="",AJ371=""),"",IF(COUNT(AI371:AI371)=0,"",AJ371-LOOKUP(2,1/(AI371:AI371&lt;&gt;""),AI371:AI371)))</t>
        </is>
      </c>
      <c r="AX371" s="49" t="inlineStr">
        <is>
          <t>IF(OR(F371="",AK371=""),"",IF(COUNT(AI371:AJ371)=0,"",AK371-LOOKUP(2,1/(AI371:AJ371&lt;&gt;""),AI371:AJ371)))</t>
        </is>
      </c>
      <c r="AY371" s="49" t="inlineStr">
        <is>
          <t>IF(OR(F371="",AL371=""),"",IF(COUNT(AI371:AK371)=0,"",AL371-LOOKUP(2,1/(AI371:AK371&lt;&gt;""),AI371:AK371)))</t>
        </is>
      </c>
      <c r="AZ371" s="49" t="inlineStr">
        <is>
          <t>IF(OR(F371="",AM371=""),"",IF(COUNT(AI371:AL371)=0,"",AM371-LOOKUP(2,1/(AI371:AL371&lt;&gt;""),AI371:AL371)))</t>
        </is>
      </c>
      <c r="BA371" s="49" t="inlineStr">
        <is>
          <t>IF(OR(F371="",AN371=""),"",IF(COUNT(AI371:AM371)=0,"",AN371-LOOKUP(2,1/(AI371:AM371&lt;&gt;""),AI371:AM371)))</t>
        </is>
      </c>
      <c r="BB371" s="49" t="inlineStr">
        <is>
          <t>IF(OR(F371="",AO371=""),"",IF(COUNT(AI371:AN371)=0,"",AO371-LOOKUP(2,1/(AI371:AN371&lt;&gt;""),AI371:AN371)))</t>
        </is>
      </c>
      <c r="BC371" s="49" t="inlineStr">
        <is>
          <t>IF(OR(F371="",AP371=""),"",IF(COUNT(AI371:AO371)=0,"",AP371-LOOKUP(2,1/(AI371:AO371&lt;&gt;""),AI371:AO371)))</t>
        </is>
      </c>
      <c r="BD371" s="49" t="inlineStr">
        <is>
          <t>IF(OR(F371="",AQ371=""),"",IF(COUNT(AI371:AP371)=0,"",AQ371-LOOKUP(2,1/(AI371:AP371&lt;&gt;""),AI371:AP371)))</t>
        </is>
      </c>
      <c r="BE371" s="49" t="inlineStr">
        <is>
          <t>IF(OR(F371="",AR371=""),"",IF(COUNT(AI371:AQ371)=0,"",AR371-LOOKUP(2,1/(AI371:AQ371&lt;&gt;""),AI371:AQ371)))</t>
        </is>
      </c>
      <c r="BF371" s="49" t="inlineStr">
        <is>
          <t>IF(OR(F371="",AS371=""),"",IF(COUNT(AI371:AR371)=0,"",AS371-LOOKUP(2,1/(AI371:AR371&lt;&gt;""),AI371:AR371)))</t>
        </is>
      </c>
      <c r="BG371" s="49" t="inlineStr">
        <is>
          <t>IF(OR(F371="",AT371=""),"",IF(COUNT(AI371:AS371)=0,"",AT371-LOOKUP(2,1/(AI371:AS371&lt;&gt;""),AI371:AS371)))</t>
        </is>
      </c>
      <c r="BH371" s="49" t="inlineStr">
        <is>
          <t>IF(OR(F371="",AU371=""),"",IF(COUNT(AI371:AT371)=0,"",AU371-LOOKUP(2,1/(AI371:AT371&lt;&gt;""),AI371:AT371)))</t>
        </is>
      </c>
      <c r="BI371" s="49" t="inlineStr">
        <is>
          <t>IF(OR(F371="",AV371=""),"",IF(COUNT(AI371:AU371)=0,"",AV371-LOOKUP(2,1/(AI371:AU371&lt;&gt;""),AI371:AU371)))</t>
        </is>
      </c>
      <c r="BJ371" s="51" t="inlineStr">
        <is>
          <t>IF(J371="","All_Provinces",IFERROR(VLOOKUP(J371,'09_Lookups'!$A$4:$B$20,2,FALSE),"All_Provinces"))</t>
        </is>
      </c>
      <c r="BK371" s="51" t="inlineStr">
        <is>
          <t>IF(K371="","All_Districts",IFERROR(VLOOKUP(K371,'09_Lookups'!$E$4:$F$42,2,FALSE),"All_Districts"))</t>
        </is>
      </c>
    </row>
    <row r="372" ht="18" customHeight="1">
      <c r="A372" s="42" t="inlineStr">
        <is>
          <t>IF(F372="","",ROW()-3)</t>
        </is>
      </c>
      <c r="B372" s="52" t="n"/>
      <c r="C372" s="52" t="n"/>
      <c r="D372" s="52" t="n"/>
      <c r="E372" s="52" t="n"/>
      <c r="F372" s="52" t="n"/>
      <c r="G372" s="52" t="n"/>
      <c r="H372" s="52" t="n"/>
      <c r="I372" s="52" t="n"/>
      <c r="J372" s="52" t="n"/>
      <c r="K372" s="52" t="n"/>
      <c r="L372" s="52" t="n"/>
      <c r="M372" s="52" t="n"/>
      <c r="N372" s="52" t="n"/>
      <c r="O372" s="52" t="n"/>
      <c r="P372" s="52" t="n"/>
      <c r="Q372" s="52" t="n"/>
      <c r="R372" s="52" t="n"/>
      <c r="S372" s="53" t="n"/>
      <c r="T372" s="46" t="inlineStr">
        <is>
          <t>IF(AQ372="","",AQ372)</t>
        </is>
      </c>
      <c r="U372" s="54" t="n"/>
      <c r="V372" s="55" t="n"/>
      <c r="W372" s="54" t="n"/>
      <c r="X372" s="46" t="inlineStr">
        <is>
          <t>IF(W372&lt;&gt;"",W372,IF(OR(T372="",V372=""),"",EDATE(T372,V372)))</t>
        </is>
      </c>
      <c r="Y372" s="54" t="n"/>
      <c r="Z372" s="55" t="n"/>
      <c r="AA372" s="52" t="n"/>
      <c r="AB372" s="52" t="n"/>
      <c r="AC372" s="42" t="inlineStr">
        <is>
          <t>IF(F372="","",IF(COUNT(AI372:AV372)=0,IF(AA372="","Not started",AA372),SUBSTITUTE(LOOKUP(2,1/(AI372:AV372&lt;&gt;""),$AI$3:$AV$3),"Date: ","")))</t>
        </is>
      </c>
      <c r="AD372" s="49" t="inlineStr">
        <is>
          <t>IF(OR(F372="",COUNT(AI372:AV372)=0),"",TODAY()-LOOKUP(2,1/(AI372:AV372&lt;&gt;""),AI372:AV372))</t>
        </is>
      </c>
      <c r="AE372" s="49" t="inlineStr">
        <is>
          <t>IF(OR(F372="",COUNT(AI372:AV372)&lt;2),"",LOOKUP(2,1/(AI372:AV372&lt;&gt;""),AI372:AV372)-MIN(AI372:AV372))</t>
        </is>
      </c>
      <c r="AF372" s="49" t="inlineStr">
        <is>
          <t>IF(OR(AD372="",AC372="Not started",AC372=""),"",IFERROR(AD372-IF(VLOOKUP(AC372,'06_Status_Pipeline'!$B$3:$E$20,4,FALSE)="",0,VLOOKUP(AC372,'06_Status_Pipeline'!$B$3:$E$20,4,FALSE)),""))</t>
        </is>
      </c>
      <c r="AG372" s="42" t="inlineStr">
        <is>
          <t>IF(F372="","",IF(OR(AA372="Cancelled",AC372="Cancelled"),"Cancelled",IF(OR(AC372="Completed / Handover",Y372&lt;&gt;"",Z372&gt;=100),"Completed — on track",IF(O372="Not awarded",IF(U372="",IF(X372="","No planned date",IF(TODAY()&gt;X372,"Behind — past planned date",IF(X372-TODAY()&lt;=30,"At risk — close to off track","On track"))),IF(TODAY()&gt;U372,"Behind — award date passed",IF(U372-TODAY()&lt;=30,"At risk — close to off track","On track"))),IF(X372="","No planned date",IF(AND(TODAY()&gt;X372,OR(Z372="",Z372&lt;100)),"Behind — past end date",IF(AND(T372&lt;&gt;"",X372&lt;&gt;"",Z372&lt;&gt;"",(Z372&lt;100),((TODAY()-T372)/MAX(X372-T372,1)*100)-Z372&gt;15),"Behind — progress lag",IF(AND(X372-TODAY()&lt;=30,X372-TODAY()&gt;=0,OR(Z372="",Z372&lt;90)),"At risk — close to off track","On track"))))))))</t>
        </is>
      </c>
      <c r="AH372" s="49" t="inlineStr">
        <is>
          <t>IF(OR(F372="",AC372="Completed / Handover",AC372="Cancelled"),"",IF(O372="Not awarded",IF(U372&lt;&gt;"",U372-TODAY(),IF(X372="","",X372-TODAY())),IF(X372="","",X372-TODAY())))</t>
        </is>
      </c>
      <c r="AI372" s="54" t="n"/>
      <c r="AJ372" s="54" t="n"/>
      <c r="AK372" s="54" t="n"/>
      <c r="AL372" s="54" t="n"/>
      <c r="AM372" s="54" t="n"/>
      <c r="AN372" s="54" t="n"/>
      <c r="AO372" s="54" t="n"/>
      <c r="AP372" s="54" t="n"/>
      <c r="AQ372" s="54" t="n"/>
      <c r="AR372" s="54" t="n"/>
      <c r="AS372" s="54" t="n"/>
      <c r="AT372" s="50" t="n"/>
      <c r="AU372" s="50" t="n"/>
      <c r="AV372" s="50" t="n"/>
      <c r="AW372" s="49" t="inlineStr">
        <is>
          <t>IF(OR(F372="",AJ372=""),"",IF(COUNT(AI372:AI372)=0,"",AJ372-LOOKUP(2,1/(AI372:AI372&lt;&gt;""),AI372:AI372)))</t>
        </is>
      </c>
      <c r="AX372" s="49" t="inlineStr">
        <is>
          <t>IF(OR(F372="",AK372=""),"",IF(COUNT(AI372:AJ372)=0,"",AK372-LOOKUP(2,1/(AI372:AJ372&lt;&gt;""),AI372:AJ372)))</t>
        </is>
      </c>
      <c r="AY372" s="49" t="inlineStr">
        <is>
          <t>IF(OR(F372="",AL372=""),"",IF(COUNT(AI372:AK372)=0,"",AL372-LOOKUP(2,1/(AI372:AK372&lt;&gt;""),AI372:AK372)))</t>
        </is>
      </c>
      <c r="AZ372" s="49" t="inlineStr">
        <is>
          <t>IF(OR(F372="",AM372=""),"",IF(COUNT(AI372:AL372)=0,"",AM372-LOOKUP(2,1/(AI372:AL372&lt;&gt;""),AI372:AL372)))</t>
        </is>
      </c>
      <c r="BA372" s="49" t="inlineStr">
        <is>
          <t>IF(OR(F372="",AN372=""),"",IF(COUNT(AI372:AM372)=0,"",AN372-LOOKUP(2,1/(AI372:AM372&lt;&gt;""),AI372:AM372)))</t>
        </is>
      </c>
      <c r="BB372" s="49" t="inlineStr">
        <is>
          <t>IF(OR(F372="",AO372=""),"",IF(COUNT(AI372:AN372)=0,"",AO372-LOOKUP(2,1/(AI372:AN372&lt;&gt;""),AI372:AN372)))</t>
        </is>
      </c>
      <c r="BC372" s="49" t="inlineStr">
        <is>
          <t>IF(OR(F372="",AP372=""),"",IF(COUNT(AI372:AO372)=0,"",AP372-LOOKUP(2,1/(AI372:AO372&lt;&gt;""),AI372:AO372)))</t>
        </is>
      </c>
      <c r="BD372" s="49" t="inlineStr">
        <is>
          <t>IF(OR(F372="",AQ372=""),"",IF(COUNT(AI372:AP372)=0,"",AQ372-LOOKUP(2,1/(AI372:AP372&lt;&gt;""),AI372:AP372)))</t>
        </is>
      </c>
      <c r="BE372" s="49" t="inlineStr">
        <is>
          <t>IF(OR(F372="",AR372=""),"",IF(COUNT(AI372:AQ372)=0,"",AR372-LOOKUP(2,1/(AI372:AQ372&lt;&gt;""),AI372:AQ372)))</t>
        </is>
      </c>
      <c r="BF372" s="49" t="inlineStr">
        <is>
          <t>IF(OR(F372="",AS372=""),"",IF(COUNT(AI372:AR372)=0,"",AS372-LOOKUP(2,1/(AI372:AR372&lt;&gt;""),AI372:AR372)))</t>
        </is>
      </c>
      <c r="BG372" s="49" t="inlineStr">
        <is>
          <t>IF(OR(F372="",AT372=""),"",IF(COUNT(AI372:AS372)=0,"",AT372-LOOKUP(2,1/(AI372:AS372&lt;&gt;""),AI372:AS372)))</t>
        </is>
      </c>
      <c r="BH372" s="49" t="inlineStr">
        <is>
          <t>IF(OR(F372="",AU372=""),"",IF(COUNT(AI372:AT372)=0,"",AU372-LOOKUP(2,1/(AI372:AT372&lt;&gt;""),AI372:AT372)))</t>
        </is>
      </c>
      <c r="BI372" s="49" t="inlineStr">
        <is>
          <t>IF(OR(F372="",AV372=""),"",IF(COUNT(AI372:AU372)=0,"",AV372-LOOKUP(2,1/(AI372:AU372&lt;&gt;""),AI372:AU372)))</t>
        </is>
      </c>
      <c r="BJ372" s="51" t="inlineStr">
        <is>
          <t>IF(J372="","All_Provinces",IFERROR(VLOOKUP(J372,'09_Lookups'!$A$4:$B$20,2,FALSE),"All_Provinces"))</t>
        </is>
      </c>
      <c r="BK372" s="51" t="inlineStr">
        <is>
          <t>IF(K372="","All_Districts",IFERROR(VLOOKUP(K372,'09_Lookups'!$E$4:$F$42,2,FALSE),"All_Districts"))</t>
        </is>
      </c>
    </row>
    <row r="373" ht="18" customHeight="1">
      <c r="A373" s="42" t="inlineStr">
        <is>
          <t>IF(F373="","",ROW()-3)</t>
        </is>
      </c>
      <c r="B373" s="44" t="n"/>
      <c r="C373" s="44" t="n"/>
      <c r="D373" s="44" t="n"/>
      <c r="E373" s="44" t="n"/>
      <c r="F373" s="44" t="n"/>
      <c r="G373" s="44" t="n"/>
      <c r="H373" s="44" t="n"/>
      <c r="I373" s="44" t="n"/>
      <c r="J373" s="44" t="n"/>
      <c r="K373" s="44" t="n"/>
      <c r="L373" s="44" t="n"/>
      <c r="M373" s="44" t="n"/>
      <c r="N373" s="44" t="n"/>
      <c r="O373" s="44" t="n"/>
      <c r="P373" s="44" t="n"/>
      <c r="Q373" s="44" t="n"/>
      <c r="R373" s="44" t="n"/>
      <c r="S373" s="45" t="n"/>
      <c r="T373" s="46" t="inlineStr">
        <is>
          <t>IF(AQ373="","",AQ373)</t>
        </is>
      </c>
      <c r="U373" s="47" t="n"/>
      <c r="V373" s="48" t="n"/>
      <c r="W373" s="47" t="n"/>
      <c r="X373" s="46" t="inlineStr">
        <is>
          <t>IF(W373&lt;&gt;"",W373,IF(OR(T373="",V373=""),"",EDATE(T373,V373)))</t>
        </is>
      </c>
      <c r="Y373" s="47" t="n"/>
      <c r="Z373" s="48" t="n"/>
      <c r="AA373" s="44" t="n"/>
      <c r="AB373" s="44" t="n"/>
      <c r="AC373" s="42" t="inlineStr">
        <is>
          <t>IF(F373="","",IF(COUNT(AI373:AV373)=0,IF(AA373="","Not started",AA373),SUBSTITUTE(LOOKUP(2,1/(AI373:AV373&lt;&gt;""),$AI$3:$AV$3),"Date: ","")))</t>
        </is>
      </c>
      <c r="AD373" s="49" t="inlineStr">
        <is>
          <t>IF(OR(F373="",COUNT(AI373:AV373)=0),"",TODAY()-LOOKUP(2,1/(AI373:AV373&lt;&gt;""),AI373:AV373))</t>
        </is>
      </c>
      <c r="AE373" s="49" t="inlineStr">
        <is>
          <t>IF(OR(F373="",COUNT(AI373:AV373)&lt;2),"",LOOKUP(2,1/(AI373:AV373&lt;&gt;""),AI373:AV373)-MIN(AI373:AV373))</t>
        </is>
      </c>
      <c r="AF373" s="49" t="inlineStr">
        <is>
          <t>IF(OR(AD373="",AC373="Not started",AC373=""),"",IFERROR(AD373-IF(VLOOKUP(AC373,'06_Status_Pipeline'!$B$3:$E$20,4,FALSE)="",0,VLOOKUP(AC373,'06_Status_Pipeline'!$B$3:$E$20,4,FALSE)),""))</t>
        </is>
      </c>
      <c r="AG373" s="42" t="inlineStr">
        <is>
          <t>IF(F373="","",IF(OR(AA373="Cancelled",AC373="Cancelled"),"Cancelled",IF(OR(AC373="Completed / Handover",Y373&lt;&gt;"",Z373&gt;=100),"Completed — on track",IF(O373="Not awarded",IF(U373="",IF(X373="","No planned date",IF(TODAY()&gt;X373,"Behind — past planned date",IF(X373-TODAY()&lt;=30,"At risk — close to off track","On track"))),IF(TODAY()&gt;U373,"Behind — award date passed",IF(U373-TODAY()&lt;=30,"At risk — close to off track","On track"))),IF(X373="","No planned date",IF(AND(TODAY()&gt;X373,OR(Z373="",Z373&lt;100)),"Behind — past end date",IF(AND(T373&lt;&gt;"",X373&lt;&gt;"",Z373&lt;&gt;"",(Z373&lt;100),((TODAY()-T373)/MAX(X373-T373,1)*100)-Z373&gt;15),"Behind — progress lag",IF(AND(X373-TODAY()&lt;=30,X373-TODAY()&gt;=0,OR(Z373="",Z373&lt;90)),"At risk — close to off track","On track"))))))))</t>
        </is>
      </c>
      <c r="AH373" s="49" t="inlineStr">
        <is>
          <t>IF(OR(F373="",AC373="Completed / Handover",AC373="Cancelled"),"",IF(O373="Not awarded",IF(U373&lt;&gt;"",U373-TODAY(),IF(X373="","",X373-TODAY())),IF(X373="","",X373-TODAY())))</t>
        </is>
      </c>
      <c r="AI373" s="47" t="n"/>
      <c r="AJ373" s="47" t="n"/>
      <c r="AK373" s="47" t="n"/>
      <c r="AL373" s="47" t="n"/>
      <c r="AM373" s="47" t="n"/>
      <c r="AN373" s="47" t="n"/>
      <c r="AO373" s="47" t="n"/>
      <c r="AP373" s="47" t="n"/>
      <c r="AQ373" s="47" t="n"/>
      <c r="AR373" s="47" t="n"/>
      <c r="AS373" s="47" t="n"/>
      <c r="AT373" s="50" t="n"/>
      <c r="AU373" s="50" t="n"/>
      <c r="AV373" s="50" t="n"/>
      <c r="AW373" s="49" t="inlineStr">
        <is>
          <t>IF(OR(F373="",AJ373=""),"",IF(COUNT(AI373:AI373)=0,"",AJ373-LOOKUP(2,1/(AI373:AI373&lt;&gt;""),AI373:AI373)))</t>
        </is>
      </c>
      <c r="AX373" s="49" t="inlineStr">
        <is>
          <t>IF(OR(F373="",AK373=""),"",IF(COUNT(AI373:AJ373)=0,"",AK373-LOOKUP(2,1/(AI373:AJ373&lt;&gt;""),AI373:AJ373)))</t>
        </is>
      </c>
      <c r="AY373" s="49" t="inlineStr">
        <is>
          <t>IF(OR(F373="",AL373=""),"",IF(COUNT(AI373:AK373)=0,"",AL373-LOOKUP(2,1/(AI373:AK373&lt;&gt;""),AI373:AK373)))</t>
        </is>
      </c>
      <c r="AZ373" s="49" t="inlineStr">
        <is>
          <t>IF(OR(F373="",AM373=""),"",IF(COUNT(AI373:AL373)=0,"",AM373-LOOKUP(2,1/(AI373:AL373&lt;&gt;""),AI373:AL373)))</t>
        </is>
      </c>
      <c r="BA373" s="49" t="inlineStr">
        <is>
          <t>IF(OR(F373="",AN373=""),"",IF(COUNT(AI373:AM373)=0,"",AN373-LOOKUP(2,1/(AI373:AM373&lt;&gt;""),AI373:AM373)))</t>
        </is>
      </c>
      <c r="BB373" s="49" t="inlineStr">
        <is>
          <t>IF(OR(F373="",AO373=""),"",IF(COUNT(AI373:AN373)=0,"",AO373-LOOKUP(2,1/(AI373:AN373&lt;&gt;""),AI373:AN373)))</t>
        </is>
      </c>
      <c r="BC373" s="49" t="inlineStr">
        <is>
          <t>IF(OR(F373="",AP373=""),"",IF(COUNT(AI373:AO373)=0,"",AP373-LOOKUP(2,1/(AI373:AO373&lt;&gt;""),AI373:AO373)))</t>
        </is>
      </c>
      <c r="BD373" s="49" t="inlineStr">
        <is>
          <t>IF(OR(F373="",AQ373=""),"",IF(COUNT(AI373:AP373)=0,"",AQ373-LOOKUP(2,1/(AI373:AP373&lt;&gt;""),AI373:AP373)))</t>
        </is>
      </c>
      <c r="BE373" s="49" t="inlineStr">
        <is>
          <t>IF(OR(F373="",AR373=""),"",IF(COUNT(AI373:AQ373)=0,"",AR373-LOOKUP(2,1/(AI373:AQ373&lt;&gt;""),AI373:AQ373)))</t>
        </is>
      </c>
      <c r="BF373" s="49" t="inlineStr">
        <is>
          <t>IF(OR(F373="",AS373=""),"",IF(COUNT(AI373:AR373)=0,"",AS373-LOOKUP(2,1/(AI373:AR373&lt;&gt;""),AI373:AR373)))</t>
        </is>
      </c>
      <c r="BG373" s="49" t="inlineStr">
        <is>
          <t>IF(OR(F373="",AT373=""),"",IF(COUNT(AI373:AS373)=0,"",AT373-LOOKUP(2,1/(AI373:AS373&lt;&gt;""),AI373:AS373)))</t>
        </is>
      </c>
      <c r="BH373" s="49" t="inlineStr">
        <is>
          <t>IF(OR(F373="",AU373=""),"",IF(COUNT(AI373:AT373)=0,"",AU373-LOOKUP(2,1/(AI373:AT373&lt;&gt;""),AI373:AT373)))</t>
        </is>
      </c>
      <c r="BI373" s="49" t="inlineStr">
        <is>
          <t>IF(OR(F373="",AV373=""),"",IF(COUNT(AI373:AU373)=0,"",AV373-LOOKUP(2,1/(AI373:AU373&lt;&gt;""),AI373:AU373)))</t>
        </is>
      </c>
      <c r="BJ373" s="51" t="inlineStr">
        <is>
          <t>IF(J373="","All_Provinces",IFERROR(VLOOKUP(J373,'09_Lookups'!$A$4:$B$20,2,FALSE),"All_Provinces"))</t>
        </is>
      </c>
      <c r="BK373" s="51" t="inlineStr">
        <is>
          <t>IF(K373="","All_Districts",IFERROR(VLOOKUP(K373,'09_Lookups'!$E$4:$F$42,2,FALSE),"All_Districts"))</t>
        </is>
      </c>
    </row>
    <row r="374" ht="18" customHeight="1">
      <c r="A374" s="42" t="inlineStr">
        <is>
          <t>IF(F374="","",ROW()-3)</t>
        </is>
      </c>
      <c r="B374" s="52" t="n"/>
      <c r="C374" s="52" t="n"/>
      <c r="D374" s="52" t="n"/>
      <c r="E374" s="52" t="n"/>
      <c r="F374" s="52" t="n"/>
      <c r="G374" s="52" t="n"/>
      <c r="H374" s="52" t="n"/>
      <c r="I374" s="52" t="n"/>
      <c r="J374" s="52" t="n"/>
      <c r="K374" s="52" t="n"/>
      <c r="L374" s="52" t="n"/>
      <c r="M374" s="52" t="n"/>
      <c r="N374" s="52" t="n"/>
      <c r="O374" s="52" t="n"/>
      <c r="P374" s="52" t="n"/>
      <c r="Q374" s="52" t="n"/>
      <c r="R374" s="52" t="n"/>
      <c r="S374" s="53" t="n"/>
      <c r="T374" s="46" t="inlineStr">
        <is>
          <t>IF(AQ374="","",AQ374)</t>
        </is>
      </c>
      <c r="U374" s="54" t="n"/>
      <c r="V374" s="55" t="n"/>
      <c r="W374" s="54" t="n"/>
      <c r="X374" s="46" t="inlineStr">
        <is>
          <t>IF(W374&lt;&gt;"",W374,IF(OR(T374="",V374=""),"",EDATE(T374,V374)))</t>
        </is>
      </c>
      <c r="Y374" s="54" t="n"/>
      <c r="Z374" s="55" t="n"/>
      <c r="AA374" s="52" t="n"/>
      <c r="AB374" s="52" t="n"/>
      <c r="AC374" s="42" t="inlineStr">
        <is>
          <t>IF(F374="","",IF(COUNT(AI374:AV374)=0,IF(AA374="","Not started",AA374),SUBSTITUTE(LOOKUP(2,1/(AI374:AV374&lt;&gt;""),$AI$3:$AV$3),"Date: ","")))</t>
        </is>
      </c>
      <c r="AD374" s="49" t="inlineStr">
        <is>
          <t>IF(OR(F374="",COUNT(AI374:AV374)=0),"",TODAY()-LOOKUP(2,1/(AI374:AV374&lt;&gt;""),AI374:AV374))</t>
        </is>
      </c>
      <c r="AE374" s="49" t="inlineStr">
        <is>
          <t>IF(OR(F374="",COUNT(AI374:AV374)&lt;2),"",LOOKUP(2,1/(AI374:AV374&lt;&gt;""),AI374:AV374)-MIN(AI374:AV374))</t>
        </is>
      </c>
      <c r="AF374" s="49" t="inlineStr">
        <is>
          <t>IF(OR(AD374="",AC374="Not started",AC374=""),"",IFERROR(AD374-IF(VLOOKUP(AC374,'06_Status_Pipeline'!$B$3:$E$20,4,FALSE)="",0,VLOOKUP(AC374,'06_Status_Pipeline'!$B$3:$E$20,4,FALSE)),""))</t>
        </is>
      </c>
      <c r="AG374" s="42" t="inlineStr">
        <is>
          <t>IF(F374="","",IF(OR(AA374="Cancelled",AC374="Cancelled"),"Cancelled",IF(OR(AC374="Completed / Handover",Y374&lt;&gt;"",Z374&gt;=100),"Completed — on track",IF(O374="Not awarded",IF(U374="",IF(X374="","No planned date",IF(TODAY()&gt;X374,"Behind — past planned date",IF(X374-TODAY()&lt;=30,"At risk — close to off track","On track"))),IF(TODAY()&gt;U374,"Behind — award date passed",IF(U374-TODAY()&lt;=30,"At risk — close to off track","On track"))),IF(X374="","No planned date",IF(AND(TODAY()&gt;X374,OR(Z374="",Z374&lt;100)),"Behind — past end date",IF(AND(T374&lt;&gt;"",X374&lt;&gt;"",Z374&lt;&gt;"",(Z374&lt;100),((TODAY()-T374)/MAX(X374-T374,1)*100)-Z374&gt;15),"Behind — progress lag",IF(AND(X374-TODAY()&lt;=30,X374-TODAY()&gt;=0,OR(Z374="",Z374&lt;90)),"At risk — close to off track","On track"))))))))</t>
        </is>
      </c>
      <c r="AH374" s="49" t="inlineStr">
        <is>
          <t>IF(OR(F374="",AC374="Completed / Handover",AC374="Cancelled"),"",IF(O374="Not awarded",IF(U374&lt;&gt;"",U374-TODAY(),IF(X374="","",X374-TODAY())),IF(X374="","",X374-TODAY())))</t>
        </is>
      </c>
      <c r="AI374" s="54" t="n"/>
      <c r="AJ374" s="54" t="n"/>
      <c r="AK374" s="54" t="n"/>
      <c r="AL374" s="54" t="n"/>
      <c r="AM374" s="54" t="n"/>
      <c r="AN374" s="54" t="n"/>
      <c r="AO374" s="54" t="n"/>
      <c r="AP374" s="54" t="n"/>
      <c r="AQ374" s="54" t="n"/>
      <c r="AR374" s="54" t="n"/>
      <c r="AS374" s="54" t="n"/>
      <c r="AT374" s="50" t="n"/>
      <c r="AU374" s="50" t="n"/>
      <c r="AV374" s="50" t="n"/>
      <c r="AW374" s="49" t="inlineStr">
        <is>
          <t>IF(OR(F374="",AJ374=""),"",IF(COUNT(AI374:AI374)=0,"",AJ374-LOOKUP(2,1/(AI374:AI374&lt;&gt;""),AI374:AI374)))</t>
        </is>
      </c>
      <c r="AX374" s="49" t="inlineStr">
        <is>
          <t>IF(OR(F374="",AK374=""),"",IF(COUNT(AI374:AJ374)=0,"",AK374-LOOKUP(2,1/(AI374:AJ374&lt;&gt;""),AI374:AJ374)))</t>
        </is>
      </c>
      <c r="AY374" s="49" t="inlineStr">
        <is>
          <t>IF(OR(F374="",AL374=""),"",IF(COUNT(AI374:AK374)=0,"",AL374-LOOKUP(2,1/(AI374:AK374&lt;&gt;""),AI374:AK374)))</t>
        </is>
      </c>
      <c r="AZ374" s="49" t="inlineStr">
        <is>
          <t>IF(OR(F374="",AM374=""),"",IF(COUNT(AI374:AL374)=0,"",AM374-LOOKUP(2,1/(AI374:AL374&lt;&gt;""),AI374:AL374)))</t>
        </is>
      </c>
      <c r="BA374" s="49" t="inlineStr">
        <is>
          <t>IF(OR(F374="",AN374=""),"",IF(COUNT(AI374:AM374)=0,"",AN374-LOOKUP(2,1/(AI374:AM374&lt;&gt;""),AI374:AM374)))</t>
        </is>
      </c>
      <c r="BB374" s="49" t="inlineStr">
        <is>
          <t>IF(OR(F374="",AO374=""),"",IF(COUNT(AI374:AN374)=0,"",AO374-LOOKUP(2,1/(AI374:AN374&lt;&gt;""),AI374:AN374)))</t>
        </is>
      </c>
      <c r="BC374" s="49" t="inlineStr">
        <is>
          <t>IF(OR(F374="",AP374=""),"",IF(COUNT(AI374:AO374)=0,"",AP374-LOOKUP(2,1/(AI374:AO374&lt;&gt;""),AI374:AO374)))</t>
        </is>
      </c>
      <c r="BD374" s="49" t="inlineStr">
        <is>
          <t>IF(OR(F374="",AQ374=""),"",IF(COUNT(AI374:AP374)=0,"",AQ374-LOOKUP(2,1/(AI374:AP374&lt;&gt;""),AI374:AP374)))</t>
        </is>
      </c>
      <c r="BE374" s="49" t="inlineStr">
        <is>
          <t>IF(OR(F374="",AR374=""),"",IF(COUNT(AI374:AQ374)=0,"",AR374-LOOKUP(2,1/(AI374:AQ374&lt;&gt;""),AI374:AQ374)))</t>
        </is>
      </c>
      <c r="BF374" s="49" t="inlineStr">
        <is>
          <t>IF(OR(F374="",AS374=""),"",IF(COUNT(AI374:AR374)=0,"",AS374-LOOKUP(2,1/(AI374:AR374&lt;&gt;""),AI374:AR374)))</t>
        </is>
      </c>
      <c r="BG374" s="49" t="inlineStr">
        <is>
          <t>IF(OR(F374="",AT374=""),"",IF(COUNT(AI374:AS374)=0,"",AT374-LOOKUP(2,1/(AI374:AS374&lt;&gt;""),AI374:AS374)))</t>
        </is>
      </c>
      <c r="BH374" s="49" t="inlineStr">
        <is>
          <t>IF(OR(F374="",AU374=""),"",IF(COUNT(AI374:AT374)=0,"",AU374-LOOKUP(2,1/(AI374:AT374&lt;&gt;""),AI374:AT374)))</t>
        </is>
      </c>
      <c r="BI374" s="49" t="inlineStr">
        <is>
          <t>IF(OR(F374="",AV374=""),"",IF(COUNT(AI374:AU374)=0,"",AV374-LOOKUP(2,1/(AI374:AU374&lt;&gt;""),AI374:AU374)))</t>
        </is>
      </c>
      <c r="BJ374" s="51" t="inlineStr">
        <is>
          <t>IF(J374="","All_Provinces",IFERROR(VLOOKUP(J374,'09_Lookups'!$A$4:$B$20,2,FALSE),"All_Provinces"))</t>
        </is>
      </c>
      <c r="BK374" s="51" t="inlineStr">
        <is>
          <t>IF(K374="","All_Districts",IFERROR(VLOOKUP(K374,'09_Lookups'!$E$4:$F$42,2,FALSE),"All_Districts"))</t>
        </is>
      </c>
    </row>
    <row r="375" ht="18" customHeight="1">
      <c r="A375" s="42" t="inlineStr">
        <is>
          <t>IF(F375="","",ROW()-3)</t>
        </is>
      </c>
      <c r="B375" s="44" t="n"/>
      <c r="C375" s="44" t="n"/>
      <c r="D375" s="44" t="n"/>
      <c r="E375" s="44" t="n"/>
      <c r="F375" s="44" t="n"/>
      <c r="G375" s="44" t="n"/>
      <c r="H375" s="44" t="n"/>
      <c r="I375" s="44" t="n"/>
      <c r="J375" s="44" t="n"/>
      <c r="K375" s="44" t="n"/>
      <c r="L375" s="44" t="n"/>
      <c r="M375" s="44" t="n"/>
      <c r="N375" s="44" t="n"/>
      <c r="O375" s="44" t="n"/>
      <c r="P375" s="44" t="n"/>
      <c r="Q375" s="44" t="n"/>
      <c r="R375" s="44" t="n"/>
      <c r="S375" s="45" t="n"/>
      <c r="T375" s="46" t="inlineStr">
        <is>
          <t>IF(AQ375="","",AQ375)</t>
        </is>
      </c>
      <c r="U375" s="47" t="n"/>
      <c r="V375" s="48" t="n"/>
      <c r="W375" s="47" t="n"/>
      <c r="X375" s="46" t="inlineStr">
        <is>
          <t>IF(W375&lt;&gt;"",W375,IF(OR(T375="",V375=""),"",EDATE(T375,V375)))</t>
        </is>
      </c>
      <c r="Y375" s="47" t="n"/>
      <c r="Z375" s="48" t="n"/>
      <c r="AA375" s="44" t="n"/>
      <c r="AB375" s="44" t="n"/>
      <c r="AC375" s="42" t="inlineStr">
        <is>
          <t>IF(F375="","",IF(COUNT(AI375:AV375)=0,IF(AA375="","Not started",AA375),SUBSTITUTE(LOOKUP(2,1/(AI375:AV375&lt;&gt;""),$AI$3:$AV$3),"Date: ","")))</t>
        </is>
      </c>
      <c r="AD375" s="49" t="inlineStr">
        <is>
          <t>IF(OR(F375="",COUNT(AI375:AV375)=0),"",TODAY()-LOOKUP(2,1/(AI375:AV375&lt;&gt;""),AI375:AV375))</t>
        </is>
      </c>
      <c r="AE375" s="49" t="inlineStr">
        <is>
          <t>IF(OR(F375="",COUNT(AI375:AV375)&lt;2),"",LOOKUP(2,1/(AI375:AV375&lt;&gt;""),AI375:AV375)-MIN(AI375:AV375))</t>
        </is>
      </c>
      <c r="AF375" s="49" t="inlineStr">
        <is>
          <t>IF(OR(AD375="",AC375="Not started",AC375=""),"",IFERROR(AD375-IF(VLOOKUP(AC375,'06_Status_Pipeline'!$B$3:$E$20,4,FALSE)="",0,VLOOKUP(AC375,'06_Status_Pipeline'!$B$3:$E$20,4,FALSE)),""))</t>
        </is>
      </c>
      <c r="AG375" s="42" t="inlineStr">
        <is>
          <t>IF(F375="","",IF(OR(AA375="Cancelled",AC375="Cancelled"),"Cancelled",IF(OR(AC375="Completed / Handover",Y375&lt;&gt;"",Z375&gt;=100),"Completed — on track",IF(O375="Not awarded",IF(U375="",IF(X375="","No planned date",IF(TODAY()&gt;X375,"Behind — past planned date",IF(X375-TODAY()&lt;=30,"At risk — close to off track","On track"))),IF(TODAY()&gt;U375,"Behind — award date passed",IF(U375-TODAY()&lt;=30,"At risk — close to off track","On track"))),IF(X375="","No planned date",IF(AND(TODAY()&gt;X375,OR(Z375="",Z375&lt;100)),"Behind — past end date",IF(AND(T375&lt;&gt;"",X375&lt;&gt;"",Z375&lt;&gt;"",(Z375&lt;100),((TODAY()-T375)/MAX(X375-T375,1)*100)-Z375&gt;15),"Behind — progress lag",IF(AND(X375-TODAY()&lt;=30,X375-TODAY()&gt;=0,OR(Z375="",Z375&lt;90)),"At risk — close to off track","On track"))))))))</t>
        </is>
      </c>
      <c r="AH375" s="49" t="inlineStr">
        <is>
          <t>IF(OR(F375="",AC375="Completed / Handover",AC375="Cancelled"),"",IF(O375="Not awarded",IF(U375&lt;&gt;"",U375-TODAY(),IF(X375="","",X375-TODAY())),IF(X375="","",X375-TODAY())))</t>
        </is>
      </c>
      <c r="AI375" s="47" t="n"/>
      <c r="AJ375" s="47" t="n"/>
      <c r="AK375" s="47" t="n"/>
      <c r="AL375" s="47" t="n"/>
      <c r="AM375" s="47" t="n"/>
      <c r="AN375" s="47" t="n"/>
      <c r="AO375" s="47" t="n"/>
      <c r="AP375" s="47" t="n"/>
      <c r="AQ375" s="47" t="n"/>
      <c r="AR375" s="47" t="n"/>
      <c r="AS375" s="47" t="n"/>
      <c r="AT375" s="50" t="n"/>
      <c r="AU375" s="50" t="n"/>
      <c r="AV375" s="50" t="n"/>
      <c r="AW375" s="49" t="inlineStr">
        <is>
          <t>IF(OR(F375="",AJ375=""),"",IF(COUNT(AI375:AI375)=0,"",AJ375-LOOKUP(2,1/(AI375:AI375&lt;&gt;""),AI375:AI375)))</t>
        </is>
      </c>
      <c r="AX375" s="49" t="inlineStr">
        <is>
          <t>IF(OR(F375="",AK375=""),"",IF(COUNT(AI375:AJ375)=0,"",AK375-LOOKUP(2,1/(AI375:AJ375&lt;&gt;""),AI375:AJ375)))</t>
        </is>
      </c>
      <c r="AY375" s="49" t="inlineStr">
        <is>
          <t>IF(OR(F375="",AL375=""),"",IF(COUNT(AI375:AK375)=0,"",AL375-LOOKUP(2,1/(AI375:AK375&lt;&gt;""),AI375:AK375)))</t>
        </is>
      </c>
      <c r="AZ375" s="49" t="inlineStr">
        <is>
          <t>IF(OR(F375="",AM375=""),"",IF(COUNT(AI375:AL375)=0,"",AM375-LOOKUP(2,1/(AI375:AL375&lt;&gt;""),AI375:AL375)))</t>
        </is>
      </c>
      <c r="BA375" s="49" t="inlineStr">
        <is>
          <t>IF(OR(F375="",AN375=""),"",IF(COUNT(AI375:AM375)=0,"",AN375-LOOKUP(2,1/(AI375:AM375&lt;&gt;""),AI375:AM375)))</t>
        </is>
      </c>
      <c r="BB375" s="49" t="inlineStr">
        <is>
          <t>IF(OR(F375="",AO375=""),"",IF(COUNT(AI375:AN375)=0,"",AO375-LOOKUP(2,1/(AI375:AN375&lt;&gt;""),AI375:AN375)))</t>
        </is>
      </c>
      <c r="BC375" s="49" t="inlineStr">
        <is>
          <t>IF(OR(F375="",AP375=""),"",IF(COUNT(AI375:AO375)=0,"",AP375-LOOKUP(2,1/(AI375:AO375&lt;&gt;""),AI375:AO375)))</t>
        </is>
      </c>
      <c r="BD375" s="49" t="inlineStr">
        <is>
          <t>IF(OR(F375="",AQ375=""),"",IF(COUNT(AI375:AP375)=0,"",AQ375-LOOKUP(2,1/(AI375:AP375&lt;&gt;""),AI375:AP375)))</t>
        </is>
      </c>
      <c r="BE375" s="49" t="inlineStr">
        <is>
          <t>IF(OR(F375="",AR375=""),"",IF(COUNT(AI375:AQ375)=0,"",AR375-LOOKUP(2,1/(AI375:AQ375&lt;&gt;""),AI375:AQ375)))</t>
        </is>
      </c>
      <c r="BF375" s="49" t="inlineStr">
        <is>
          <t>IF(OR(F375="",AS375=""),"",IF(COUNT(AI375:AR375)=0,"",AS375-LOOKUP(2,1/(AI375:AR375&lt;&gt;""),AI375:AR375)))</t>
        </is>
      </c>
      <c r="BG375" s="49" t="inlineStr">
        <is>
          <t>IF(OR(F375="",AT375=""),"",IF(COUNT(AI375:AS375)=0,"",AT375-LOOKUP(2,1/(AI375:AS375&lt;&gt;""),AI375:AS375)))</t>
        </is>
      </c>
      <c r="BH375" s="49" t="inlineStr">
        <is>
          <t>IF(OR(F375="",AU375=""),"",IF(COUNT(AI375:AT375)=0,"",AU375-LOOKUP(2,1/(AI375:AT375&lt;&gt;""),AI375:AT375)))</t>
        </is>
      </c>
      <c r="BI375" s="49" t="inlineStr">
        <is>
          <t>IF(OR(F375="",AV375=""),"",IF(COUNT(AI375:AU375)=0,"",AV375-LOOKUP(2,1/(AI375:AU375&lt;&gt;""),AI375:AU375)))</t>
        </is>
      </c>
      <c r="BJ375" s="51" t="inlineStr">
        <is>
          <t>IF(J375="","All_Provinces",IFERROR(VLOOKUP(J375,'09_Lookups'!$A$4:$B$20,2,FALSE),"All_Provinces"))</t>
        </is>
      </c>
      <c r="BK375" s="51" t="inlineStr">
        <is>
          <t>IF(K375="","All_Districts",IFERROR(VLOOKUP(K375,'09_Lookups'!$E$4:$F$42,2,FALSE),"All_Districts"))</t>
        </is>
      </c>
    </row>
    <row r="376" ht="18" customHeight="1">
      <c r="A376" s="42" t="inlineStr">
        <is>
          <t>IF(F376="","",ROW()-3)</t>
        </is>
      </c>
      <c r="B376" s="52" t="n"/>
      <c r="C376" s="52" t="n"/>
      <c r="D376" s="52" t="n"/>
      <c r="E376" s="52" t="n"/>
      <c r="F376" s="52" t="n"/>
      <c r="G376" s="52" t="n"/>
      <c r="H376" s="52" t="n"/>
      <c r="I376" s="52" t="n"/>
      <c r="J376" s="52" t="n"/>
      <c r="K376" s="52" t="n"/>
      <c r="L376" s="52" t="n"/>
      <c r="M376" s="52" t="n"/>
      <c r="N376" s="52" t="n"/>
      <c r="O376" s="52" t="n"/>
      <c r="P376" s="52" t="n"/>
      <c r="Q376" s="52" t="n"/>
      <c r="R376" s="52" t="n"/>
      <c r="S376" s="53" t="n"/>
      <c r="T376" s="46" t="inlineStr">
        <is>
          <t>IF(AQ376="","",AQ376)</t>
        </is>
      </c>
      <c r="U376" s="54" t="n"/>
      <c r="V376" s="55" t="n"/>
      <c r="W376" s="54" t="n"/>
      <c r="X376" s="46" t="inlineStr">
        <is>
          <t>IF(W376&lt;&gt;"",W376,IF(OR(T376="",V376=""),"",EDATE(T376,V376)))</t>
        </is>
      </c>
      <c r="Y376" s="54" t="n"/>
      <c r="Z376" s="55" t="n"/>
      <c r="AA376" s="52" t="n"/>
      <c r="AB376" s="52" t="n"/>
      <c r="AC376" s="42" t="inlineStr">
        <is>
          <t>IF(F376="","",IF(COUNT(AI376:AV376)=0,IF(AA376="","Not started",AA376),SUBSTITUTE(LOOKUP(2,1/(AI376:AV376&lt;&gt;""),$AI$3:$AV$3),"Date: ","")))</t>
        </is>
      </c>
      <c r="AD376" s="49" t="inlineStr">
        <is>
          <t>IF(OR(F376="",COUNT(AI376:AV376)=0),"",TODAY()-LOOKUP(2,1/(AI376:AV376&lt;&gt;""),AI376:AV376))</t>
        </is>
      </c>
      <c r="AE376" s="49" t="inlineStr">
        <is>
          <t>IF(OR(F376="",COUNT(AI376:AV376)&lt;2),"",LOOKUP(2,1/(AI376:AV376&lt;&gt;""),AI376:AV376)-MIN(AI376:AV376))</t>
        </is>
      </c>
      <c r="AF376" s="49" t="inlineStr">
        <is>
          <t>IF(OR(AD376="",AC376="Not started",AC376=""),"",IFERROR(AD376-IF(VLOOKUP(AC376,'06_Status_Pipeline'!$B$3:$E$20,4,FALSE)="",0,VLOOKUP(AC376,'06_Status_Pipeline'!$B$3:$E$20,4,FALSE)),""))</t>
        </is>
      </c>
      <c r="AG376" s="42" t="inlineStr">
        <is>
          <t>IF(F376="","",IF(OR(AA376="Cancelled",AC376="Cancelled"),"Cancelled",IF(OR(AC376="Completed / Handover",Y376&lt;&gt;"",Z376&gt;=100),"Completed — on track",IF(O376="Not awarded",IF(U376="",IF(X376="","No planned date",IF(TODAY()&gt;X376,"Behind — past planned date",IF(X376-TODAY()&lt;=30,"At risk — close to off track","On track"))),IF(TODAY()&gt;U376,"Behind — award date passed",IF(U376-TODAY()&lt;=30,"At risk — close to off track","On track"))),IF(X376="","No planned date",IF(AND(TODAY()&gt;X376,OR(Z376="",Z376&lt;100)),"Behind — past end date",IF(AND(T376&lt;&gt;"",X376&lt;&gt;"",Z376&lt;&gt;"",(Z376&lt;100),((TODAY()-T376)/MAX(X376-T376,1)*100)-Z376&gt;15),"Behind — progress lag",IF(AND(X376-TODAY()&lt;=30,X376-TODAY()&gt;=0,OR(Z376="",Z376&lt;90)),"At risk — close to off track","On track"))))))))</t>
        </is>
      </c>
      <c r="AH376" s="49" t="inlineStr">
        <is>
          <t>IF(OR(F376="",AC376="Completed / Handover",AC376="Cancelled"),"",IF(O376="Not awarded",IF(U376&lt;&gt;"",U376-TODAY(),IF(X376="","",X376-TODAY())),IF(X376="","",X376-TODAY())))</t>
        </is>
      </c>
      <c r="AI376" s="54" t="n"/>
      <c r="AJ376" s="54" t="n"/>
      <c r="AK376" s="54" t="n"/>
      <c r="AL376" s="54" t="n"/>
      <c r="AM376" s="54" t="n"/>
      <c r="AN376" s="54" t="n"/>
      <c r="AO376" s="54" t="n"/>
      <c r="AP376" s="54" t="n"/>
      <c r="AQ376" s="54" t="n"/>
      <c r="AR376" s="54" t="n"/>
      <c r="AS376" s="54" t="n"/>
      <c r="AT376" s="50" t="n"/>
      <c r="AU376" s="50" t="n"/>
      <c r="AV376" s="50" t="n"/>
      <c r="AW376" s="49" t="inlineStr">
        <is>
          <t>IF(OR(F376="",AJ376=""),"",IF(COUNT(AI376:AI376)=0,"",AJ376-LOOKUP(2,1/(AI376:AI376&lt;&gt;""),AI376:AI376)))</t>
        </is>
      </c>
      <c r="AX376" s="49" t="inlineStr">
        <is>
          <t>IF(OR(F376="",AK376=""),"",IF(COUNT(AI376:AJ376)=0,"",AK376-LOOKUP(2,1/(AI376:AJ376&lt;&gt;""),AI376:AJ376)))</t>
        </is>
      </c>
      <c r="AY376" s="49" t="inlineStr">
        <is>
          <t>IF(OR(F376="",AL376=""),"",IF(COUNT(AI376:AK376)=0,"",AL376-LOOKUP(2,1/(AI376:AK376&lt;&gt;""),AI376:AK376)))</t>
        </is>
      </c>
      <c r="AZ376" s="49" t="inlineStr">
        <is>
          <t>IF(OR(F376="",AM376=""),"",IF(COUNT(AI376:AL376)=0,"",AM376-LOOKUP(2,1/(AI376:AL376&lt;&gt;""),AI376:AL376)))</t>
        </is>
      </c>
      <c r="BA376" s="49" t="inlineStr">
        <is>
          <t>IF(OR(F376="",AN376=""),"",IF(COUNT(AI376:AM376)=0,"",AN376-LOOKUP(2,1/(AI376:AM376&lt;&gt;""),AI376:AM376)))</t>
        </is>
      </c>
      <c r="BB376" s="49" t="inlineStr">
        <is>
          <t>IF(OR(F376="",AO376=""),"",IF(COUNT(AI376:AN376)=0,"",AO376-LOOKUP(2,1/(AI376:AN376&lt;&gt;""),AI376:AN376)))</t>
        </is>
      </c>
      <c r="BC376" s="49" t="inlineStr">
        <is>
          <t>IF(OR(F376="",AP376=""),"",IF(COUNT(AI376:AO376)=0,"",AP376-LOOKUP(2,1/(AI376:AO376&lt;&gt;""),AI376:AO376)))</t>
        </is>
      </c>
      <c r="BD376" s="49" t="inlineStr">
        <is>
          <t>IF(OR(F376="",AQ376=""),"",IF(COUNT(AI376:AP376)=0,"",AQ376-LOOKUP(2,1/(AI376:AP376&lt;&gt;""),AI376:AP376)))</t>
        </is>
      </c>
      <c r="BE376" s="49" t="inlineStr">
        <is>
          <t>IF(OR(F376="",AR376=""),"",IF(COUNT(AI376:AQ376)=0,"",AR376-LOOKUP(2,1/(AI376:AQ376&lt;&gt;""),AI376:AQ376)))</t>
        </is>
      </c>
      <c r="BF376" s="49" t="inlineStr">
        <is>
          <t>IF(OR(F376="",AS376=""),"",IF(COUNT(AI376:AR376)=0,"",AS376-LOOKUP(2,1/(AI376:AR376&lt;&gt;""),AI376:AR376)))</t>
        </is>
      </c>
      <c r="BG376" s="49" t="inlineStr">
        <is>
          <t>IF(OR(F376="",AT376=""),"",IF(COUNT(AI376:AS376)=0,"",AT376-LOOKUP(2,1/(AI376:AS376&lt;&gt;""),AI376:AS376)))</t>
        </is>
      </c>
      <c r="BH376" s="49" t="inlineStr">
        <is>
          <t>IF(OR(F376="",AU376=""),"",IF(COUNT(AI376:AT376)=0,"",AU376-LOOKUP(2,1/(AI376:AT376&lt;&gt;""),AI376:AT376)))</t>
        </is>
      </c>
      <c r="BI376" s="49" t="inlineStr">
        <is>
          <t>IF(OR(F376="",AV376=""),"",IF(COUNT(AI376:AU376)=0,"",AV376-LOOKUP(2,1/(AI376:AU376&lt;&gt;""),AI376:AU376)))</t>
        </is>
      </c>
      <c r="BJ376" s="51" t="inlineStr">
        <is>
          <t>IF(J376="","All_Provinces",IFERROR(VLOOKUP(J376,'09_Lookups'!$A$4:$B$20,2,FALSE),"All_Provinces"))</t>
        </is>
      </c>
      <c r="BK376" s="51" t="inlineStr">
        <is>
          <t>IF(K376="","All_Districts",IFERROR(VLOOKUP(K376,'09_Lookups'!$E$4:$F$42,2,FALSE),"All_Districts"))</t>
        </is>
      </c>
    </row>
    <row r="377" ht="18" customHeight="1">
      <c r="A377" s="42" t="inlineStr">
        <is>
          <t>IF(F377="","",ROW()-3)</t>
        </is>
      </c>
      <c r="B377" s="44" t="n"/>
      <c r="C377" s="44" t="n"/>
      <c r="D377" s="44" t="n"/>
      <c r="E377" s="44" t="n"/>
      <c r="F377" s="44" t="n"/>
      <c r="G377" s="44" t="n"/>
      <c r="H377" s="44" t="n"/>
      <c r="I377" s="44" t="n"/>
      <c r="J377" s="44" t="n"/>
      <c r="K377" s="44" t="n"/>
      <c r="L377" s="44" t="n"/>
      <c r="M377" s="44" t="n"/>
      <c r="N377" s="44" t="n"/>
      <c r="O377" s="44" t="n"/>
      <c r="P377" s="44" t="n"/>
      <c r="Q377" s="44" t="n"/>
      <c r="R377" s="44" t="n"/>
      <c r="S377" s="45" t="n"/>
      <c r="T377" s="46" t="inlineStr">
        <is>
          <t>IF(AQ377="","",AQ377)</t>
        </is>
      </c>
      <c r="U377" s="47" t="n"/>
      <c r="V377" s="48" t="n"/>
      <c r="W377" s="47" t="n"/>
      <c r="X377" s="46" t="inlineStr">
        <is>
          <t>IF(W377&lt;&gt;"",W377,IF(OR(T377="",V377=""),"",EDATE(T377,V377)))</t>
        </is>
      </c>
      <c r="Y377" s="47" t="n"/>
      <c r="Z377" s="48" t="n"/>
      <c r="AA377" s="44" t="n"/>
      <c r="AB377" s="44" t="n"/>
      <c r="AC377" s="42" t="inlineStr">
        <is>
          <t>IF(F377="","",IF(COUNT(AI377:AV377)=0,IF(AA377="","Not started",AA377),SUBSTITUTE(LOOKUP(2,1/(AI377:AV377&lt;&gt;""),$AI$3:$AV$3),"Date: ","")))</t>
        </is>
      </c>
      <c r="AD377" s="49" t="inlineStr">
        <is>
          <t>IF(OR(F377="",COUNT(AI377:AV377)=0),"",TODAY()-LOOKUP(2,1/(AI377:AV377&lt;&gt;""),AI377:AV377))</t>
        </is>
      </c>
      <c r="AE377" s="49" t="inlineStr">
        <is>
          <t>IF(OR(F377="",COUNT(AI377:AV377)&lt;2),"",LOOKUP(2,1/(AI377:AV377&lt;&gt;""),AI377:AV377)-MIN(AI377:AV377))</t>
        </is>
      </c>
      <c r="AF377" s="49" t="inlineStr">
        <is>
          <t>IF(OR(AD377="",AC377="Not started",AC377=""),"",IFERROR(AD377-IF(VLOOKUP(AC377,'06_Status_Pipeline'!$B$3:$E$20,4,FALSE)="",0,VLOOKUP(AC377,'06_Status_Pipeline'!$B$3:$E$20,4,FALSE)),""))</t>
        </is>
      </c>
      <c r="AG377" s="42" t="inlineStr">
        <is>
          <t>IF(F377="","",IF(OR(AA377="Cancelled",AC377="Cancelled"),"Cancelled",IF(OR(AC377="Completed / Handover",Y377&lt;&gt;"",Z377&gt;=100),"Completed — on track",IF(O377="Not awarded",IF(U377="",IF(X377="","No planned date",IF(TODAY()&gt;X377,"Behind — past planned date",IF(X377-TODAY()&lt;=30,"At risk — close to off track","On track"))),IF(TODAY()&gt;U377,"Behind — award date passed",IF(U377-TODAY()&lt;=30,"At risk — close to off track","On track"))),IF(X377="","No planned date",IF(AND(TODAY()&gt;X377,OR(Z377="",Z377&lt;100)),"Behind — past end date",IF(AND(T377&lt;&gt;"",X377&lt;&gt;"",Z377&lt;&gt;"",(Z377&lt;100),((TODAY()-T377)/MAX(X377-T377,1)*100)-Z377&gt;15),"Behind — progress lag",IF(AND(X377-TODAY()&lt;=30,X377-TODAY()&gt;=0,OR(Z377="",Z377&lt;90)),"At risk — close to off track","On track"))))))))</t>
        </is>
      </c>
      <c r="AH377" s="49" t="inlineStr">
        <is>
          <t>IF(OR(F377="",AC377="Completed / Handover",AC377="Cancelled"),"",IF(O377="Not awarded",IF(U377&lt;&gt;"",U377-TODAY(),IF(X377="","",X377-TODAY())),IF(X377="","",X377-TODAY())))</t>
        </is>
      </c>
      <c r="AI377" s="47" t="n"/>
      <c r="AJ377" s="47" t="n"/>
      <c r="AK377" s="47" t="n"/>
      <c r="AL377" s="47" t="n"/>
      <c r="AM377" s="47" t="n"/>
      <c r="AN377" s="47" t="n"/>
      <c r="AO377" s="47" t="n"/>
      <c r="AP377" s="47" t="n"/>
      <c r="AQ377" s="47" t="n"/>
      <c r="AR377" s="47" t="n"/>
      <c r="AS377" s="47" t="n"/>
      <c r="AT377" s="50" t="n"/>
      <c r="AU377" s="50" t="n"/>
      <c r="AV377" s="50" t="n"/>
      <c r="AW377" s="49" t="inlineStr">
        <is>
          <t>IF(OR(F377="",AJ377=""),"",IF(COUNT(AI377:AI377)=0,"",AJ377-LOOKUP(2,1/(AI377:AI377&lt;&gt;""),AI377:AI377)))</t>
        </is>
      </c>
      <c r="AX377" s="49" t="inlineStr">
        <is>
          <t>IF(OR(F377="",AK377=""),"",IF(COUNT(AI377:AJ377)=0,"",AK377-LOOKUP(2,1/(AI377:AJ377&lt;&gt;""),AI377:AJ377)))</t>
        </is>
      </c>
      <c r="AY377" s="49" t="inlineStr">
        <is>
          <t>IF(OR(F377="",AL377=""),"",IF(COUNT(AI377:AK377)=0,"",AL377-LOOKUP(2,1/(AI377:AK377&lt;&gt;""),AI377:AK377)))</t>
        </is>
      </c>
      <c r="AZ377" s="49" t="inlineStr">
        <is>
          <t>IF(OR(F377="",AM377=""),"",IF(COUNT(AI377:AL377)=0,"",AM377-LOOKUP(2,1/(AI377:AL377&lt;&gt;""),AI377:AL377)))</t>
        </is>
      </c>
      <c r="BA377" s="49" t="inlineStr">
        <is>
          <t>IF(OR(F377="",AN377=""),"",IF(COUNT(AI377:AM377)=0,"",AN377-LOOKUP(2,1/(AI377:AM377&lt;&gt;""),AI377:AM377)))</t>
        </is>
      </c>
      <c r="BB377" s="49" t="inlineStr">
        <is>
          <t>IF(OR(F377="",AO377=""),"",IF(COUNT(AI377:AN377)=0,"",AO377-LOOKUP(2,1/(AI377:AN377&lt;&gt;""),AI377:AN377)))</t>
        </is>
      </c>
      <c r="BC377" s="49" t="inlineStr">
        <is>
          <t>IF(OR(F377="",AP377=""),"",IF(COUNT(AI377:AO377)=0,"",AP377-LOOKUP(2,1/(AI377:AO377&lt;&gt;""),AI377:AO377)))</t>
        </is>
      </c>
      <c r="BD377" s="49" t="inlineStr">
        <is>
          <t>IF(OR(F377="",AQ377=""),"",IF(COUNT(AI377:AP377)=0,"",AQ377-LOOKUP(2,1/(AI377:AP377&lt;&gt;""),AI377:AP377)))</t>
        </is>
      </c>
      <c r="BE377" s="49" t="inlineStr">
        <is>
          <t>IF(OR(F377="",AR377=""),"",IF(COUNT(AI377:AQ377)=0,"",AR377-LOOKUP(2,1/(AI377:AQ377&lt;&gt;""),AI377:AQ377)))</t>
        </is>
      </c>
      <c r="BF377" s="49" t="inlineStr">
        <is>
          <t>IF(OR(F377="",AS377=""),"",IF(COUNT(AI377:AR377)=0,"",AS377-LOOKUP(2,1/(AI377:AR377&lt;&gt;""),AI377:AR377)))</t>
        </is>
      </c>
      <c r="BG377" s="49" t="inlineStr">
        <is>
          <t>IF(OR(F377="",AT377=""),"",IF(COUNT(AI377:AS377)=0,"",AT377-LOOKUP(2,1/(AI377:AS377&lt;&gt;""),AI377:AS377)))</t>
        </is>
      </c>
      <c r="BH377" s="49" t="inlineStr">
        <is>
          <t>IF(OR(F377="",AU377=""),"",IF(COUNT(AI377:AT377)=0,"",AU377-LOOKUP(2,1/(AI377:AT377&lt;&gt;""),AI377:AT377)))</t>
        </is>
      </c>
      <c r="BI377" s="49" t="inlineStr">
        <is>
          <t>IF(OR(F377="",AV377=""),"",IF(COUNT(AI377:AU377)=0,"",AV377-LOOKUP(2,1/(AI377:AU377&lt;&gt;""),AI377:AU377)))</t>
        </is>
      </c>
      <c r="BJ377" s="51" t="inlineStr">
        <is>
          <t>IF(J377="","All_Provinces",IFERROR(VLOOKUP(J377,'09_Lookups'!$A$4:$B$20,2,FALSE),"All_Provinces"))</t>
        </is>
      </c>
      <c r="BK377" s="51" t="inlineStr">
        <is>
          <t>IF(K377="","All_Districts",IFERROR(VLOOKUP(K377,'09_Lookups'!$E$4:$F$42,2,FALSE),"All_Districts"))</t>
        </is>
      </c>
    </row>
    <row r="378" ht="18" customHeight="1">
      <c r="A378" s="42" t="inlineStr">
        <is>
          <t>IF(F378="","",ROW()-3)</t>
        </is>
      </c>
      <c r="B378" s="52" t="n"/>
      <c r="C378" s="52" t="n"/>
      <c r="D378" s="52" t="n"/>
      <c r="E378" s="52" t="n"/>
      <c r="F378" s="52" t="n"/>
      <c r="G378" s="52" t="n"/>
      <c r="H378" s="52" t="n"/>
      <c r="I378" s="52" t="n"/>
      <c r="J378" s="52" t="n"/>
      <c r="K378" s="52" t="n"/>
      <c r="L378" s="52" t="n"/>
      <c r="M378" s="52" t="n"/>
      <c r="N378" s="52" t="n"/>
      <c r="O378" s="52" t="n"/>
      <c r="P378" s="52" t="n"/>
      <c r="Q378" s="52" t="n"/>
      <c r="R378" s="52" t="n"/>
      <c r="S378" s="53" t="n"/>
      <c r="T378" s="46" t="inlineStr">
        <is>
          <t>IF(AQ378="","",AQ378)</t>
        </is>
      </c>
      <c r="U378" s="54" t="n"/>
      <c r="V378" s="55" t="n"/>
      <c r="W378" s="54" t="n"/>
      <c r="X378" s="46" t="inlineStr">
        <is>
          <t>IF(W378&lt;&gt;"",W378,IF(OR(T378="",V378=""),"",EDATE(T378,V378)))</t>
        </is>
      </c>
      <c r="Y378" s="54" t="n"/>
      <c r="Z378" s="55" t="n"/>
      <c r="AA378" s="52" t="n"/>
      <c r="AB378" s="52" t="n"/>
      <c r="AC378" s="42" t="inlineStr">
        <is>
          <t>IF(F378="","",IF(COUNT(AI378:AV378)=0,IF(AA378="","Not started",AA378),SUBSTITUTE(LOOKUP(2,1/(AI378:AV378&lt;&gt;""),$AI$3:$AV$3),"Date: ","")))</t>
        </is>
      </c>
      <c r="AD378" s="49" t="inlineStr">
        <is>
          <t>IF(OR(F378="",COUNT(AI378:AV378)=0),"",TODAY()-LOOKUP(2,1/(AI378:AV378&lt;&gt;""),AI378:AV378))</t>
        </is>
      </c>
      <c r="AE378" s="49" t="inlineStr">
        <is>
          <t>IF(OR(F378="",COUNT(AI378:AV378)&lt;2),"",LOOKUP(2,1/(AI378:AV378&lt;&gt;""),AI378:AV378)-MIN(AI378:AV378))</t>
        </is>
      </c>
      <c r="AF378" s="49" t="inlineStr">
        <is>
          <t>IF(OR(AD378="",AC378="Not started",AC378=""),"",IFERROR(AD378-IF(VLOOKUP(AC378,'06_Status_Pipeline'!$B$3:$E$20,4,FALSE)="",0,VLOOKUP(AC378,'06_Status_Pipeline'!$B$3:$E$20,4,FALSE)),""))</t>
        </is>
      </c>
      <c r="AG378" s="42" t="inlineStr">
        <is>
          <t>IF(F378="","",IF(OR(AA378="Cancelled",AC378="Cancelled"),"Cancelled",IF(OR(AC378="Completed / Handover",Y378&lt;&gt;"",Z378&gt;=100),"Completed — on track",IF(O378="Not awarded",IF(U378="",IF(X378="","No planned date",IF(TODAY()&gt;X378,"Behind — past planned date",IF(X378-TODAY()&lt;=30,"At risk — close to off track","On track"))),IF(TODAY()&gt;U378,"Behind — award date passed",IF(U378-TODAY()&lt;=30,"At risk — close to off track","On track"))),IF(X378="","No planned date",IF(AND(TODAY()&gt;X378,OR(Z378="",Z378&lt;100)),"Behind — past end date",IF(AND(T378&lt;&gt;"",X378&lt;&gt;"",Z378&lt;&gt;"",(Z378&lt;100),((TODAY()-T378)/MAX(X378-T378,1)*100)-Z378&gt;15),"Behind — progress lag",IF(AND(X378-TODAY()&lt;=30,X378-TODAY()&gt;=0,OR(Z378="",Z378&lt;90)),"At risk — close to off track","On track"))))))))</t>
        </is>
      </c>
      <c r="AH378" s="49" t="inlineStr">
        <is>
          <t>IF(OR(F378="",AC378="Completed / Handover",AC378="Cancelled"),"",IF(O378="Not awarded",IF(U378&lt;&gt;"",U378-TODAY(),IF(X378="","",X378-TODAY())),IF(X378="","",X378-TODAY())))</t>
        </is>
      </c>
      <c r="AI378" s="54" t="n"/>
      <c r="AJ378" s="54" t="n"/>
      <c r="AK378" s="54" t="n"/>
      <c r="AL378" s="54" t="n"/>
      <c r="AM378" s="54" t="n"/>
      <c r="AN378" s="54" t="n"/>
      <c r="AO378" s="54" t="n"/>
      <c r="AP378" s="54" t="n"/>
      <c r="AQ378" s="54" t="n"/>
      <c r="AR378" s="54" t="n"/>
      <c r="AS378" s="54" t="n"/>
      <c r="AT378" s="50" t="n"/>
      <c r="AU378" s="50" t="n"/>
      <c r="AV378" s="50" t="n"/>
      <c r="AW378" s="49" t="inlineStr">
        <is>
          <t>IF(OR(F378="",AJ378=""),"",IF(COUNT(AI378:AI378)=0,"",AJ378-LOOKUP(2,1/(AI378:AI378&lt;&gt;""),AI378:AI378)))</t>
        </is>
      </c>
      <c r="AX378" s="49" t="inlineStr">
        <is>
          <t>IF(OR(F378="",AK378=""),"",IF(COUNT(AI378:AJ378)=0,"",AK378-LOOKUP(2,1/(AI378:AJ378&lt;&gt;""),AI378:AJ378)))</t>
        </is>
      </c>
      <c r="AY378" s="49" t="inlineStr">
        <is>
          <t>IF(OR(F378="",AL378=""),"",IF(COUNT(AI378:AK378)=0,"",AL378-LOOKUP(2,1/(AI378:AK378&lt;&gt;""),AI378:AK378)))</t>
        </is>
      </c>
      <c r="AZ378" s="49" t="inlineStr">
        <is>
          <t>IF(OR(F378="",AM378=""),"",IF(COUNT(AI378:AL378)=0,"",AM378-LOOKUP(2,1/(AI378:AL378&lt;&gt;""),AI378:AL378)))</t>
        </is>
      </c>
      <c r="BA378" s="49" t="inlineStr">
        <is>
          <t>IF(OR(F378="",AN378=""),"",IF(COUNT(AI378:AM378)=0,"",AN378-LOOKUP(2,1/(AI378:AM378&lt;&gt;""),AI378:AM378)))</t>
        </is>
      </c>
      <c r="BB378" s="49" t="inlineStr">
        <is>
          <t>IF(OR(F378="",AO378=""),"",IF(COUNT(AI378:AN378)=0,"",AO378-LOOKUP(2,1/(AI378:AN378&lt;&gt;""),AI378:AN378)))</t>
        </is>
      </c>
      <c r="BC378" s="49" t="inlineStr">
        <is>
          <t>IF(OR(F378="",AP378=""),"",IF(COUNT(AI378:AO378)=0,"",AP378-LOOKUP(2,1/(AI378:AO378&lt;&gt;""),AI378:AO378)))</t>
        </is>
      </c>
      <c r="BD378" s="49" t="inlineStr">
        <is>
          <t>IF(OR(F378="",AQ378=""),"",IF(COUNT(AI378:AP378)=0,"",AQ378-LOOKUP(2,1/(AI378:AP378&lt;&gt;""),AI378:AP378)))</t>
        </is>
      </c>
      <c r="BE378" s="49" t="inlineStr">
        <is>
          <t>IF(OR(F378="",AR378=""),"",IF(COUNT(AI378:AQ378)=0,"",AR378-LOOKUP(2,1/(AI378:AQ378&lt;&gt;""),AI378:AQ378)))</t>
        </is>
      </c>
      <c r="BF378" s="49" t="inlineStr">
        <is>
          <t>IF(OR(F378="",AS378=""),"",IF(COUNT(AI378:AR378)=0,"",AS378-LOOKUP(2,1/(AI378:AR378&lt;&gt;""),AI378:AR378)))</t>
        </is>
      </c>
      <c r="BG378" s="49" t="inlineStr">
        <is>
          <t>IF(OR(F378="",AT378=""),"",IF(COUNT(AI378:AS378)=0,"",AT378-LOOKUP(2,1/(AI378:AS378&lt;&gt;""),AI378:AS378)))</t>
        </is>
      </c>
      <c r="BH378" s="49" t="inlineStr">
        <is>
          <t>IF(OR(F378="",AU378=""),"",IF(COUNT(AI378:AT378)=0,"",AU378-LOOKUP(2,1/(AI378:AT378&lt;&gt;""),AI378:AT378)))</t>
        </is>
      </c>
      <c r="BI378" s="49" t="inlineStr">
        <is>
          <t>IF(OR(F378="",AV378=""),"",IF(COUNT(AI378:AU378)=0,"",AV378-LOOKUP(2,1/(AI378:AU378&lt;&gt;""),AI378:AU378)))</t>
        </is>
      </c>
      <c r="BJ378" s="51" t="inlineStr">
        <is>
          <t>IF(J378="","All_Provinces",IFERROR(VLOOKUP(J378,'09_Lookups'!$A$4:$B$20,2,FALSE),"All_Provinces"))</t>
        </is>
      </c>
      <c r="BK378" s="51" t="inlineStr">
        <is>
          <t>IF(K378="","All_Districts",IFERROR(VLOOKUP(K378,'09_Lookups'!$E$4:$F$42,2,FALSE),"All_Districts"))</t>
        </is>
      </c>
    </row>
    <row r="379" ht="18" customHeight="1">
      <c r="A379" s="42" t="inlineStr">
        <is>
          <t>IF(F379="","",ROW()-3)</t>
        </is>
      </c>
      <c r="B379" s="44" t="n"/>
      <c r="C379" s="44" t="n"/>
      <c r="D379" s="44" t="n"/>
      <c r="E379" s="44" t="n"/>
      <c r="F379" s="44" t="n"/>
      <c r="G379" s="44" t="n"/>
      <c r="H379" s="44" t="n"/>
      <c r="I379" s="44" t="n"/>
      <c r="J379" s="44" t="n"/>
      <c r="K379" s="44" t="n"/>
      <c r="L379" s="44" t="n"/>
      <c r="M379" s="44" t="n"/>
      <c r="N379" s="44" t="n"/>
      <c r="O379" s="44" t="n"/>
      <c r="P379" s="44" t="n"/>
      <c r="Q379" s="44" t="n"/>
      <c r="R379" s="44" t="n"/>
      <c r="S379" s="45" t="n"/>
      <c r="T379" s="46" t="inlineStr">
        <is>
          <t>IF(AQ379="","",AQ379)</t>
        </is>
      </c>
      <c r="U379" s="47" t="n"/>
      <c r="V379" s="48" t="n"/>
      <c r="W379" s="47" t="n"/>
      <c r="X379" s="46" t="inlineStr">
        <is>
          <t>IF(W379&lt;&gt;"",W379,IF(OR(T379="",V379=""),"",EDATE(T379,V379)))</t>
        </is>
      </c>
      <c r="Y379" s="47" t="n"/>
      <c r="Z379" s="48" t="n"/>
      <c r="AA379" s="44" t="n"/>
      <c r="AB379" s="44" t="n"/>
      <c r="AC379" s="42" t="inlineStr">
        <is>
          <t>IF(F379="","",IF(COUNT(AI379:AV379)=0,IF(AA379="","Not started",AA379),SUBSTITUTE(LOOKUP(2,1/(AI379:AV379&lt;&gt;""),$AI$3:$AV$3),"Date: ","")))</t>
        </is>
      </c>
      <c r="AD379" s="49" t="inlineStr">
        <is>
          <t>IF(OR(F379="",COUNT(AI379:AV379)=0),"",TODAY()-LOOKUP(2,1/(AI379:AV379&lt;&gt;""),AI379:AV379))</t>
        </is>
      </c>
      <c r="AE379" s="49" t="inlineStr">
        <is>
          <t>IF(OR(F379="",COUNT(AI379:AV379)&lt;2),"",LOOKUP(2,1/(AI379:AV379&lt;&gt;""),AI379:AV379)-MIN(AI379:AV379))</t>
        </is>
      </c>
      <c r="AF379" s="49" t="inlineStr">
        <is>
          <t>IF(OR(AD379="",AC379="Not started",AC379=""),"",IFERROR(AD379-IF(VLOOKUP(AC379,'06_Status_Pipeline'!$B$3:$E$20,4,FALSE)="",0,VLOOKUP(AC379,'06_Status_Pipeline'!$B$3:$E$20,4,FALSE)),""))</t>
        </is>
      </c>
      <c r="AG379" s="42" t="inlineStr">
        <is>
          <t>IF(F379="","",IF(OR(AA379="Cancelled",AC379="Cancelled"),"Cancelled",IF(OR(AC379="Completed / Handover",Y379&lt;&gt;"",Z379&gt;=100),"Completed — on track",IF(O379="Not awarded",IF(U379="",IF(X379="","No planned date",IF(TODAY()&gt;X379,"Behind — past planned date",IF(X379-TODAY()&lt;=30,"At risk — close to off track","On track"))),IF(TODAY()&gt;U379,"Behind — award date passed",IF(U379-TODAY()&lt;=30,"At risk — close to off track","On track"))),IF(X379="","No planned date",IF(AND(TODAY()&gt;X379,OR(Z379="",Z379&lt;100)),"Behind — past end date",IF(AND(T379&lt;&gt;"",X379&lt;&gt;"",Z379&lt;&gt;"",(Z379&lt;100),((TODAY()-T379)/MAX(X379-T379,1)*100)-Z379&gt;15),"Behind — progress lag",IF(AND(X379-TODAY()&lt;=30,X379-TODAY()&gt;=0,OR(Z379="",Z379&lt;90)),"At risk — close to off track","On track"))))))))</t>
        </is>
      </c>
      <c r="AH379" s="49" t="inlineStr">
        <is>
          <t>IF(OR(F379="",AC379="Completed / Handover",AC379="Cancelled"),"",IF(O379="Not awarded",IF(U379&lt;&gt;"",U379-TODAY(),IF(X379="","",X379-TODAY())),IF(X379="","",X379-TODAY())))</t>
        </is>
      </c>
      <c r="AI379" s="47" t="n"/>
      <c r="AJ379" s="47" t="n"/>
      <c r="AK379" s="47" t="n"/>
      <c r="AL379" s="47" t="n"/>
      <c r="AM379" s="47" t="n"/>
      <c r="AN379" s="47" t="n"/>
      <c r="AO379" s="47" t="n"/>
      <c r="AP379" s="47" t="n"/>
      <c r="AQ379" s="47" t="n"/>
      <c r="AR379" s="47" t="n"/>
      <c r="AS379" s="47" t="n"/>
      <c r="AT379" s="50" t="n"/>
      <c r="AU379" s="50" t="n"/>
      <c r="AV379" s="50" t="n"/>
      <c r="AW379" s="49" t="inlineStr">
        <is>
          <t>IF(OR(F379="",AJ379=""),"",IF(COUNT(AI379:AI379)=0,"",AJ379-LOOKUP(2,1/(AI379:AI379&lt;&gt;""),AI379:AI379)))</t>
        </is>
      </c>
      <c r="AX379" s="49" t="inlineStr">
        <is>
          <t>IF(OR(F379="",AK379=""),"",IF(COUNT(AI379:AJ379)=0,"",AK379-LOOKUP(2,1/(AI379:AJ379&lt;&gt;""),AI379:AJ379)))</t>
        </is>
      </c>
      <c r="AY379" s="49" t="inlineStr">
        <is>
          <t>IF(OR(F379="",AL379=""),"",IF(COUNT(AI379:AK379)=0,"",AL379-LOOKUP(2,1/(AI379:AK379&lt;&gt;""),AI379:AK379)))</t>
        </is>
      </c>
      <c r="AZ379" s="49" t="inlineStr">
        <is>
          <t>IF(OR(F379="",AM379=""),"",IF(COUNT(AI379:AL379)=0,"",AM379-LOOKUP(2,1/(AI379:AL379&lt;&gt;""),AI379:AL379)))</t>
        </is>
      </c>
      <c r="BA379" s="49" t="inlineStr">
        <is>
          <t>IF(OR(F379="",AN379=""),"",IF(COUNT(AI379:AM379)=0,"",AN379-LOOKUP(2,1/(AI379:AM379&lt;&gt;""),AI379:AM379)))</t>
        </is>
      </c>
      <c r="BB379" s="49" t="inlineStr">
        <is>
          <t>IF(OR(F379="",AO379=""),"",IF(COUNT(AI379:AN379)=0,"",AO379-LOOKUP(2,1/(AI379:AN379&lt;&gt;""),AI379:AN379)))</t>
        </is>
      </c>
      <c r="BC379" s="49" t="inlineStr">
        <is>
          <t>IF(OR(F379="",AP379=""),"",IF(COUNT(AI379:AO379)=0,"",AP379-LOOKUP(2,1/(AI379:AO379&lt;&gt;""),AI379:AO379)))</t>
        </is>
      </c>
      <c r="BD379" s="49" t="inlineStr">
        <is>
          <t>IF(OR(F379="",AQ379=""),"",IF(COUNT(AI379:AP379)=0,"",AQ379-LOOKUP(2,1/(AI379:AP379&lt;&gt;""),AI379:AP379)))</t>
        </is>
      </c>
      <c r="BE379" s="49" t="inlineStr">
        <is>
          <t>IF(OR(F379="",AR379=""),"",IF(COUNT(AI379:AQ379)=0,"",AR379-LOOKUP(2,1/(AI379:AQ379&lt;&gt;""),AI379:AQ379)))</t>
        </is>
      </c>
      <c r="BF379" s="49" t="inlineStr">
        <is>
          <t>IF(OR(F379="",AS379=""),"",IF(COUNT(AI379:AR379)=0,"",AS379-LOOKUP(2,1/(AI379:AR379&lt;&gt;""),AI379:AR379)))</t>
        </is>
      </c>
      <c r="BG379" s="49" t="inlineStr">
        <is>
          <t>IF(OR(F379="",AT379=""),"",IF(COUNT(AI379:AS379)=0,"",AT379-LOOKUP(2,1/(AI379:AS379&lt;&gt;""),AI379:AS379)))</t>
        </is>
      </c>
      <c r="BH379" s="49" t="inlineStr">
        <is>
          <t>IF(OR(F379="",AU379=""),"",IF(COUNT(AI379:AT379)=0,"",AU379-LOOKUP(2,1/(AI379:AT379&lt;&gt;""),AI379:AT379)))</t>
        </is>
      </c>
      <c r="BI379" s="49" t="inlineStr">
        <is>
          <t>IF(OR(F379="",AV379=""),"",IF(COUNT(AI379:AU379)=0,"",AV379-LOOKUP(2,1/(AI379:AU379&lt;&gt;""),AI379:AU379)))</t>
        </is>
      </c>
      <c r="BJ379" s="51" t="inlineStr">
        <is>
          <t>IF(J379="","All_Provinces",IFERROR(VLOOKUP(J379,'09_Lookups'!$A$4:$B$20,2,FALSE),"All_Provinces"))</t>
        </is>
      </c>
      <c r="BK379" s="51" t="inlineStr">
        <is>
          <t>IF(K379="","All_Districts",IFERROR(VLOOKUP(K379,'09_Lookups'!$E$4:$F$42,2,FALSE),"All_Districts"))</t>
        </is>
      </c>
    </row>
    <row r="380" ht="18" customHeight="1">
      <c r="A380" s="42" t="inlineStr">
        <is>
          <t>IF(F380="","",ROW()-3)</t>
        </is>
      </c>
      <c r="B380" s="52" t="n"/>
      <c r="C380" s="52" t="n"/>
      <c r="D380" s="52" t="n"/>
      <c r="E380" s="52" t="n"/>
      <c r="F380" s="52" t="n"/>
      <c r="G380" s="52" t="n"/>
      <c r="H380" s="52" t="n"/>
      <c r="I380" s="52" t="n"/>
      <c r="J380" s="52" t="n"/>
      <c r="K380" s="52" t="n"/>
      <c r="L380" s="52" t="n"/>
      <c r="M380" s="52" t="n"/>
      <c r="N380" s="52" t="n"/>
      <c r="O380" s="52" t="n"/>
      <c r="P380" s="52" t="n"/>
      <c r="Q380" s="52" t="n"/>
      <c r="R380" s="52" t="n"/>
      <c r="S380" s="53" t="n"/>
      <c r="T380" s="46" t="inlineStr">
        <is>
          <t>IF(AQ380="","",AQ380)</t>
        </is>
      </c>
      <c r="U380" s="54" t="n"/>
      <c r="V380" s="55" t="n"/>
      <c r="W380" s="54" t="n"/>
      <c r="X380" s="46" t="inlineStr">
        <is>
          <t>IF(W380&lt;&gt;"",W380,IF(OR(T380="",V380=""),"",EDATE(T380,V380)))</t>
        </is>
      </c>
      <c r="Y380" s="54" t="n"/>
      <c r="Z380" s="55" t="n"/>
      <c r="AA380" s="52" t="n"/>
      <c r="AB380" s="52" t="n"/>
      <c r="AC380" s="42" t="inlineStr">
        <is>
          <t>IF(F380="","",IF(COUNT(AI380:AV380)=0,IF(AA380="","Not started",AA380),SUBSTITUTE(LOOKUP(2,1/(AI380:AV380&lt;&gt;""),$AI$3:$AV$3),"Date: ","")))</t>
        </is>
      </c>
      <c r="AD380" s="49" t="inlineStr">
        <is>
          <t>IF(OR(F380="",COUNT(AI380:AV380)=0),"",TODAY()-LOOKUP(2,1/(AI380:AV380&lt;&gt;""),AI380:AV380))</t>
        </is>
      </c>
      <c r="AE380" s="49" t="inlineStr">
        <is>
          <t>IF(OR(F380="",COUNT(AI380:AV380)&lt;2),"",LOOKUP(2,1/(AI380:AV380&lt;&gt;""),AI380:AV380)-MIN(AI380:AV380))</t>
        </is>
      </c>
      <c r="AF380" s="49" t="inlineStr">
        <is>
          <t>IF(OR(AD380="",AC380="Not started",AC380=""),"",IFERROR(AD380-IF(VLOOKUP(AC380,'06_Status_Pipeline'!$B$3:$E$20,4,FALSE)="",0,VLOOKUP(AC380,'06_Status_Pipeline'!$B$3:$E$20,4,FALSE)),""))</t>
        </is>
      </c>
      <c r="AG380" s="42" t="inlineStr">
        <is>
          <t>IF(F380="","",IF(OR(AA380="Cancelled",AC380="Cancelled"),"Cancelled",IF(OR(AC380="Completed / Handover",Y380&lt;&gt;"",Z380&gt;=100),"Completed — on track",IF(O380="Not awarded",IF(U380="",IF(X380="","No planned date",IF(TODAY()&gt;X380,"Behind — past planned date",IF(X380-TODAY()&lt;=30,"At risk — close to off track","On track"))),IF(TODAY()&gt;U380,"Behind — award date passed",IF(U380-TODAY()&lt;=30,"At risk — close to off track","On track"))),IF(X380="","No planned date",IF(AND(TODAY()&gt;X380,OR(Z380="",Z380&lt;100)),"Behind — past end date",IF(AND(T380&lt;&gt;"",X380&lt;&gt;"",Z380&lt;&gt;"",(Z380&lt;100),((TODAY()-T380)/MAX(X380-T380,1)*100)-Z380&gt;15),"Behind — progress lag",IF(AND(X380-TODAY()&lt;=30,X380-TODAY()&gt;=0,OR(Z380="",Z380&lt;90)),"At risk — close to off track","On track"))))))))</t>
        </is>
      </c>
      <c r="AH380" s="49" t="inlineStr">
        <is>
          <t>IF(OR(F380="",AC380="Completed / Handover",AC380="Cancelled"),"",IF(O380="Not awarded",IF(U380&lt;&gt;"",U380-TODAY(),IF(X380="","",X380-TODAY())),IF(X380="","",X380-TODAY())))</t>
        </is>
      </c>
      <c r="AI380" s="54" t="n"/>
      <c r="AJ380" s="54" t="n"/>
      <c r="AK380" s="54" t="n"/>
      <c r="AL380" s="54" t="n"/>
      <c r="AM380" s="54" t="n"/>
      <c r="AN380" s="54" t="n"/>
      <c r="AO380" s="54" t="n"/>
      <c r="AP380" s="54" t="n"/>
      <c r="AQ380" s="54" t="n"/>
      <c r="AR380" s="54" t="n"/>
      <c r="AS380" s="54" t="n"/>
      <c r="AT380" s="50" t="n"/>
      <c r="AU380" s="50" t="n"/>
      <c r="AV380" s="50" t="n"/>
      <c r="AW380" s="49" t="inlineStr">
        <is>
          <t>IF(OR(F380="",AJ380=""),"",IF(COUNT(AI380:AI380)=0,"",AJ380-LOOKUP(2,1/(AI380:AI380&lt;&gt;""),AI380:AI380)))</t>
        </is>
      </c>
      <c r="AX380" s="49" t="inlineStr">
        <is>
          <t>IF(OR(F380="",AK380=""),"",IF(COUNT(AI380:AJ380)=0,"",AK380-LOOKUP(2,1/(AI380:AJ380&lt;&gt;""),AI380:AJ380)))</t>
        </is>
      </c>
      <c r="AY380" s="49" t="inlineStr">
        <is>
          <t>IF(OR(F380="",AL380=""),"",IF(COUNT(AI380:AK380)=0,"",AL380-LOOKUP(2,1/(AI380:AK380&lt;&gt;""),AI380:AK380)))</t>
        </is>
      </c>
      <c r="AZ380" s="49" t="inlineStr">
        <is>
          <t>IF(OR(F380="",AM380=""),"",IF(COUNT(AI380:AL380)=0,"",AM380-LOOKUP(2,1/(AI380:AL380&lt;&gt;""),AI380:AL380)))</t>
        </is>
      </c>
      <c r="BA380" s="49" t="inlineStr">
        <is>
          <t>IF(OR(F380="",AN380=""),"",IF(COUNT(AI380:AM380)=0,"",AN380-LOOKUP(2,1/(AI380:AM380&lt;&gt;""),AI380:AM380)))</t>
        </is>
      </c>
      <c r="BB380" s="49" t="inlineStr">
        <is>
          <t>IF(OR(F380="",AO380=""),"",IF(COUNT(AI380:AN380)=0,"",AO380-LOOKUP(2,1/(AI380:AN380&lt;&gt;""),AI380:AN380)))</t>
        </is>
      </c>
      <c r="BC380" s="49" t="inlineStr">
        <is>
          <t>IF(OR(F380="",AP380=""),"",IF(COUNT(AI380:AO380)=0,"",AP380-LOOKUP(2,1/(AI380:AO380&lt;&gt;""),AI380:AO380)))</t>
        </is>
      </c>
      <c r="BD380" s="49" t="inlineStr">
        <is>
          <t>IF(OR(F380="",AQ380=""),"",IF(COUNT(AI380:AP380)=0,"",AQ380-LOOKUP(2,1/(AI380:AP380&lt;&gt;""),AI380:AP380)))</t>
        </is>
      </c>
      <c r="BE380" s="49" t="inlineStr">
        <is>
          <t>IF(OR(F380="",AR380=""),"",IF(COUNT(AI380:AQ380)=0,"",AR380-LOOKUP(2,1/(AI380:AQ380&lt;&gt;""),AI380:AQ380)))</t>
        </is>
      </c>
      <c r="BF380" s="49" t="inlineStr">
        <is>
          <t>IF(OR(F380="",AS380=""),"",IF(COUNT(AI380:AR380)=0,"",AS380-LOOKUP(2,1/(AI380:AR380&lt;&gt;""),AI380:AR380)))</t>
        </is>
      </c>
      <c r="BG380" s="49" t="inlineStr">
        <is>
          <t>IF(OR(F380="",AT380=""),"",IF(COUNT(AI380:AS380)=0,"",AT380-LOOKUP(2,1/(AI380:AS380&lt;&gt;""),AI380:AS380)))</t>
        </is>
      </c>
      <c r="BH380" s="49" t="inlineStr">
        <is>
          <t>IF(OR(F380="",AU380=""),"",IF(COUNT(AI380:AT380)=0,"",AU380-LOOKUP(2,1/(AI380:AT380&lt;&gt;""),AI380:AT380)))</t>
        </is>
      </c>
      <c r="BI380" s="49" t="inlineStr">
        <is>
          <t>IF(OR(F380="",AV380=""),"",IF(COUNT(AI380:AU380)=0,"",AV380-LOOKUP(2,1/(AI380:AU380&lt;&gt;""),AI380:AU380)))</t>
        </is>
      </c>
      <c r="BJ380" s="51" t="inlineStr">
        <is>
          <t>IF(J380="","All_Provinces",IFERROR(VLOOKUP(J380,'09_Lookups'!$A$4:$B$20,2,FALSE),"All_Provinces"))</t>
        </is>
      </c>
      <c r="BK380" s="51" t="inlineStr">
        <is>
          <t>IF(K380="","All_Districts",IFERROR(VLOOKUP(K380,'09_Lookups'!$E$4:$F$42,2,FALSE),"All_Districts"))</t>
        </is>
      </c>
    </row>
    <row r="381" ht="18" customHeight="1">
      <c r="A381" s="42" t="inlineStr">
        <is>
          <t>IF(F381="","",ROW()-3)</t>
        </is>
      </c>
      <c r="B381" s="44" t="n"/>
      <c r="C381" s="44" t="n"/>
      <c r="D381" s="44" t="n"/>
      <c r="E381" s="44" t="n"/>
      <c r="F381" s="44" t="n"/>
      <c r="G381" s="44" t="n"/>
      <c r="H381" s="44" t="n"/>
      <c r="I381" s="44" t="n"/>
      <c r="J381" s="44" t="n"/>
      <c r="K381" s="44" t="n"/>
      <c r="L381" s="44" t="n"/>
      <c r="M381" s="44" t="n"/>
      <c r="N381" s="44" t="n"/>
      <c r="O381" s="44" t="n"/>
      <c r="P381" s="44" t="n"/>
      <c r="Q381" s="44" t="n"/>
      <c r="R381" s="44" t="n"/>
      <c r="S381" s="45" t="n"/>
      <c r="T381" s="46" t="inlineStr">
        <is>
          <t>IF(AQ381="","",AQ381)</t>
        </is>
      </c>
      <c r="U381" s="47" t="n"/>
      <c r="V381" s="48" t="n"/>
      <c r="W381" s="47" t="n"/>
      <c r="X381" s="46" t="inlineStr">
        <is>
          <t>IF(W381&lt;&gt;"",W381,IF(OR(T381="",V381=""),"",EDATE(T381,V381)))</t>
        </is>
      </c>
      <c r="Y381" s="47" t="n"/>
      <c r="Z381" s="48" t="n"/>
      <c r="AA381" s="44" t="n"/>
      <c r="AB381" s="44" t="n"/>
      <c r="AC381" s="42" t="inlineStr">
        <is>
          <t>IF(F381="","",IF(COUNT(AI381:AV381)=0,IF(AA381="","Not started",AA381),SUBSTITUTE(LOOKUP(2,1/(AI381:AV381&lt;&gt;""),$AI$3:$AV$3),"Date: ","")))</t>
        </is>
      </c>
      <c r="AD381" s="49" t="inlineStr">
        <is>
          <t>IF(OR(F381="",COUNT(AI381:AV381)=0),"",TODAY()-LOOKUP(2,1/(AI381:AV381&lt;&gt;""),AI381:AV381))</t>
        </is>
      </c>
      <c r="AE381" s="49" t="inlineStr">
        <is>
          <t>IF(OR(F381="",COUNT(AI381:AV381)&lt;2),"",LOOKUP(2,1/(AI381:AV381&lt;&gt;""),AI381:AV381)-MIN(AI381:AV381))</t>
        </is>
      </c>
      <c r="AF381" s="49" t="inlineStr">
        <is>
          <t>IF(OR(AD381="",AC381="Not started",AC381=""),"",IFERROR(AD381-IF(VLOOKUP(AC381,'06_Status_Pipeline'!$B$3:$E$20,4,FALSE)="",0,VLOOKUP(AC381,'06_Status_Pipeline'!$B$3:$E$20,4,FALSE)),""))</t>
        </is>
      </c>
      <c r="AG381" s="42" t="inlineStr">
        <is>
          <t>IF(F381="","",IF(OR(AA381="Cancelled",AC381="Cancelled"),"Cancelled",IF(OR(AC381="Completed / Handover",Y381&lt;&gt;"",Z381&gt;=100),"Completed — on track",IF(O381="Not awarded",IF(U381="",IF(X381="","No planned date",IF(TODAY()&gt;X381,"Behind — past planned date",IF(X381-TODAY()&lt;=30,"At risk — close to off track","On track"))),IF(TODAY()&gt;U381,"Behind — award date passed",IF(U381-TODAY()&lt;=30,"At risk — close to off track","On track"))),IF(X381="","No planned date",IF(AND(TODAY()&gt;X381,OR(Z381="",Z381&lt;100)),"Behind — past end date",IF(AND(T381&lt;&gt;"",X381&lt;&gt;"",Z381&lt;&gt;"",(Z381&lt;100),((TODAY()-T381)/MAX(X381-T381,1)*100)-Z381&gt;15),"Behind — progress lag",IF(AND(X381-TODAY()&lt;=30,X381-TODAY()&gt;=0,OR(Z381="",Z381&lt;90)),"At risk — close to off track","On track"))))))))</t>
        </is>
      </c>
      <c r="AH381" s="49" t="inlineStr">
        <is>
          <t>IF(OR(F381="",AC381="Completed / Handover",AC381="Cancelled"),"",IF(O381="Not awarded",IF(U381&lt;&gt;"",U381-TODAY(),IF(X381="","",X381-TODAY())),IF(X381="","",X381-TODAY())))</t>
        </is>
      </c>
      <c r="AI381" s="47" t="n"/>
      <c r="AJ381" s="47" t="n"/>
      <c r="AK381" s="47" t="n"/>
      <c r="AL381" s="47" t="n"/>
      <c r="AM381" s="47" t="n"/>
      <c r="AN381" s="47" t="n"/>
      <c r="AO381" s="47" t="n"/>
      <c r="AP381" s="47" t="n"/>
      <c r="AQ381" s="47" t="n"/>
      <c r="AR381" s="47" t="n"/>
      <c r="AS381" s="47" t="n"/>
      <c r="AT381" s="50" t="n"/>
      <c r="AU381" s="50" t="n"/>
      <c r="AV381" s="50" t="n"/>
      <c r="AW381" s="49" t="inlineStr">
        <is>
          <t>IF(OR(F381="",AJ381=""),"",IF(COUNT(AI381:AI381)=0,"",AJ381-LOOKUP(2,1/(AI381:AI381&lt;&gt;""),AI381:AI381)))</t>
        </is>
      </c>
      <c r="AX381" s="49" t="inlineStr">
        <is>
          <t>IF(OR(F381="",AK381=""),"",IF(COUNT(AI381:AJ381)=0,"",AK381-LOOKUP(2,1/(AI381:AJ381&lt;&gt;""),AI381:AJ381)))</t>
        </is>
      </c>
      <c r="AY381" s="49" t="inlineStr">
        <is>
          <t>IF(OR(F381="",AL381=""),"",IF(COUNT(AI381:AK381)=0,"",AL381-LOOKUP(2,1/(AI381:AK381&lt;&gt;""),AI381:AK381)))</t>
        </is>
      </c>
      <c r="AZ381" s="49" t="inlineStr">
        <is>
          <t>IF(OR(F381="",AM381=""),"",IF(COUNT(AI381:AL381)=0,"",AM381-LOOKUP(2,1/(AI381:AL381&lt;&gt;""),AI381:AL381)))</t>
        </is>
      </c>
      <c r="BA381" s="49" t="inlineStr">
        <is>
          <t>IF(OR(F381="",AN381=""),"",IF(COUNT(AI381:AM381)=0,"",AN381-LOOKUP(2,1/(AI381:AM381&lt;&gt;""),AI381:AM381)))</t>
        </is>
      </c>
      <c r="BB381" s="49" t="inlineStr">
        <is>
          <t>IF(OR(F381="",AO381=""),"",IF(COUNT(AI381:AN381)=0,"",AO381-LOOKUP(2,1/(AI381:AN381&lt;&gt;""),AI381:AN381)))</t>
        </is>
      </c>
      <c r="BC381" s="49" t="inlineStr">
        <is>
          <t>IF(OR(F381="",AP381=""),"",IF(COUNT(AI381:AO381)=0,"",AP381-LOOKUP(2,1/(AI381:AO381&lt;&gt;""),AI381:AO381)))</t>
        </is>
      </c>
      <c r="BD381" s="49" t="inlineStr">
        <is>
          <t>IF(OR(F381="",AQ381=""),"",IF(COUNT(AI381:AP381)=0,"",AQ381-LOOKUP(2,1/(AI381:AP381&lt;&gt;""),AI381:AP381)))</t>
        </is>
      </c>
      <c r="BE381" s="49" t="inlineStr">
        <is>
          <t>IF(OR(F381="",AR381=""),"",IF(COUNT(AI381:AQ381)=0,"",AR381-LOOKUP(2,1/(AI381:AQ381&lt;&gt;""),AI381:AQ381)))</t>
        </is>
      </c>
      <c r="BF381" s="49" t="inlineStr">
        <is>
          <t>IF(OR(F381="",AS381=""),"",IF(COUNT(AI381:AR381)=0,"",AS381-LOOKUP(2,1/(AI381:AR381&lt;&gt;""),AI381:AR381)))</t>
        </is>
      </c>
      <c r="BG381" s="49" t="inlineStr">
        <is>
          <t>IF(OR(F381="",AT381=""),"",IF(COUNT(AI381:AS381)=0,"",AT381-LOOKUP(2,1/(AI381:AS381&lt;&gt;""),AI381:AS381)))</t>
        </is>
      </c>
      <c r="BH381" s="49" t="inlineStr">
        <is>
          <t>IF(OR(F381="",AU381=""),"",IF(COUNT(AI381:AT381)=0,"",AU381-LOOKUP(2,1/(AI381:AT381&lt;&gt;""),AI381:AT381)))</t>
        </is>
      </c>
      <c r="BI381" s="49" t="inlineStr">
        <is>
          <t>IF(OR(F381="",AV381=""),"",IF(COUNT(AI381:AU381)=0,"",AV381-LOOKUP(2,1/(AI381:AU381&lt;&gt;""),AI381:AU381)))</t>
        </is>
      </c>
      <c r="BJ381" s="51" t="inlineStr">
        <is>
          <t>IF(J381="","All_Provinces",IFERROR(VLOOKUP(J381,'09_Lookups'!$A$4:$B$20,2,FALSE),"All_Provinces"))</t>
        </is>
      </c>
      <c r="BK381" s="51" t="inlineStr">
        <is>
          <t>IF(K381="","All_Districts",IFERROR(VLOOKUP(K381,'09_Lookups'!$E$4:$F$42,2,FALSE),"All_Districts"))</t>
        </is>
      </c>
    </row>
    <row r="382" ht="18" customHeight="1">
      <c r="A382" s="42" t="inlineStr">
        <is>
          <t>IF(F382="","",ROW()-3)</t>
        </is>
      </c>
      <c r="B382" s="52" t="n"/>
      <c r="C382" s="52" t="n"/>
      <c r="D382" s="52" t="n"/>
      <c r="E382" s="52" t="n"/>
      <c r="F382" s="52" t="n"/>
      <c r="G382" s="52" t="n"/>
      <c r="H382" s="52" t="n"/>
      <c r="I382" s="52" t="n"/>
      <c r="J382" s="52" t="n"/>
      <c r="K382" s="52" t="n"/>
      <c r="L382" s="52" t="n"/>
      <c r="M382" s="52" t="n"/>
      <c r="N382" s="52" t="n"/>
      <c r="O382" s="52" t="n"/>
      <c r="P382" s="52" t="n"/>
      <c r="Q382" s="52" t="n"/>
      <c r="R382" s="52" t="n"/>
      <c r="S382" s="53" t="n"/>
      <c r="T382" s="46" t="inlineStr">
        <is>
          <t>IF(AQ382="","",AQ382)</t>
        </is>
      </c>
      <c r="U382" s="54" t="n"/>
      <c r="V382" s="55" t="n"/>
      <c r="W382" s="54" t="n"/>
      <c r="X382" s="46" t="inlineStr">
        <is>
          <t>IF(W382&lt;&gt;"",W382,IF(OR(T382="",V382=""),"",EDATE(T382,V382)))</t>
        </is>
      </c>
      <c r="Y382" s="54" t="n"/>
      <c r="Z382" s="55" t="n"/>
      <c r="AA382" s="52" t="n"/>
      <c r="AB382" s="52" t="n"/>
      <c r="AC382" s="42" t="inlineStr">
        <is>
          <t>IF(F382="","",IF(COUNT(AI382:AV382)=0,IF(AA382="","Not started",AA382),SUBSTITUTE(LOOKUP(2,1/(AI382:AV382&lt;&gt;""),$AI$3:$AV$3),"Date: ","")))</t>
        </is>
      </c>
      <c r="AD382" s="49" t="inlineStr">
        <is>
          <t>IF(OR(F382="",COUNT(AI382:AV382)=0),"",TODAY()-LOOKUP(2,1/(AI382:AV382&lt;&gt;""),AI382:AV382))</t>
        </is>
      </c>
      <c r="AE382" s="49" t="inlineStr">
        <is>
          <t>IF(OR(F382="",COUNT(AI382:AV382)&lt;2),"",LOOKUP(2,1/(AI382:AV382&lt;&gt;""),AI382:AV382)-MIN(AI382:AV382))</t>
        </is>
      </c>
      <c r="AF382" s="49" t="inlineStr">
        <is>
          <t>IF(OR(AD382="",AC382="Not started",AC382=""),"",IFERROR(AD382-IF(VLOOKUP(AC382,'06_Status_Pipeline'!$B$3:$E$20,4,FALSE)="",0,VLOOKUP(AC382,'06_Status_Pipeline'!$B$3:$E$20,4,FALSE)),""))</t>
        </is>
      </c>
      <c r="AG382" s="42" t="inlineStr">
        <is>
          <t>IF(F382="","",IF(OR(AA382="Cancelled",AC382="Cancelled"),"Cancelled",IF(OR(AC382="Completed / Handover",Y382&lt;&gt;"",Z382&gt;=100),"Completed — on track",IF(O382="Not awarded",IF(U382="",IF(X382="","No planned date",IF(TODAY()&gt;X382,"Behind — past planned date",IF(X382-TODAY()&lt;=30,"At risk — close to off track","On track"))),IF(TODAY()&gt;U382,"Behind — award date passed",IF(U382-TODAY()&lt;=30,"At risk — close to off track","On track"))),IF(X382="","No planned date",IF(AND(TODAY()&gt;X382,OR(Z382="",Z382&lt;100)),"Behind — past end date",IF(AND(T382&lt;&gt;"",X382&lt;&gt;"",Z382&lt;&gt;"",(Z382&lt;100),((TODAY()-T382)/MAX(X382-T382,1)*100)-Z382&gt;15),"Behind — progress lag",IF(AND(X382-TODAY()&lt;=30,X382-TODAY()&gt;=0,OR(Z382="",Z382&lt;90)),"At risk — close to off track","On track"))))))))</t>
        </is>
      </c>
      <c r="AH382" s="49" t="inlineStr">
        <is>
          <t>IF(OR(F382="",AC382="Completed / Handover",AC382="Cancelled"),"",IF(O382="Not awarded",IF(U382&lt;&gt;"",U382-TODAY(),IF(X382="","",X382-TODAY())),IF(X382="","",X382-TODAY())))</t>
        </is>
      </c>
      <c r="AI382" s="54" t="n"/>
      <c r="AJ382" s="54" t="n"/>
      <c r="AK382" s="54" t="n"/>
      <c r="AL382" s="54" t="n"/>
      <c r="AM382" s="54" t="n"/>
      <c r="AN382" s="54" t="n"/>
      <c r="AO382" s="54" t="n"/>
      <c r="AP382" s="54" t="n"/>
      <c r="AQ382" s="54" t="n"/>
      <c r="AR382" s="54" t="n"/>
      <c r="AS382" s="54" t="n"/>
      <c r="AT382" s="50" t="n"/>
      <c r="AU382" s="50" t="n"/>
      <c r="AV382" s="50" t="n"/>
      <c r="AW382" s="49" t="inlineStr">
        <is>
          <t>IF(OR(F382="",AJ382=""),"",IF(COUNT(AI382:AI382)=0,"",AJ382-LOOKUP(2,1/(AI382:AI382&lt;&gt;""),AI382:AI382)))</t>
        </is>
      </c>
      <c r="AX382" s="49" t="inlineStr">
        <is>
          <t>IF(OR(F382="",AK382=""),"",IF(COUNT(AI382:AJ382)=0,"",AK382-LOOKUP(2,1/(AI382:AJ382&lt;&gt;""),AI382:AJ382)))</t>
        </is>
      </c>
      <c r="AY382" s="49" t="inlineStr">
        <is>
          <t>IF(OR(F382="",AL382=""),"",IF(COUNT(AI382:AK382)=0,"",AL382-LOOKUP(2,1/(AI382:AK382&lt;&gt;""),AI382:AK382)))</t>
        </is>
      </c>
      <c r="AZ382" s="49" t="inlineStr">
        <is>
          <t>IF(OR(F382="",AM382=""),"",IF(COUNT(AI382:AL382)=0,"",AM382-LOOKUP(2,1/(AI382:AL382&lt;&gt;""),AI382:AL382)))</t>
        </is>
      </c>
      <c r="BA382" s="49" t="inlineStr">
        <is>
          <t>IF(OR(F382="",AN382=""),"",IF(COUNT(AI382:AM382)=0,"",AN382-LOOKUP(2,1/(AI382:AM382&lt;&gt;""),AI382:AM382)))</t>
        </is>
      </c>
      <c r="BB382" s="49" t="inlineStr">
        <is>
          <t>IF(OR(F382="",AO382=""),"",IF(COUNT(AI382:AN382)=0,"",AO382-LOOKUP(2,1/(AI382:AN382&lt;&gt;""),AI382:AN382)))</t>
        </is>
      </c>
      <c r="BC382" s="49" t="inlineStr">
        <is>
          <t>IF(OR(F382="",AP382=""),"",IF(COUNT(AI382:AO382)=0,"",AP382-LOOKUP(2,1/(AI382:AO382&lt;&gt;""),AI382:AO382)))</t>
        </is>
      </c>
      <c r="BD382" s="49" t="inlineStr">
        <is>
          <t>IF(OR(F382="",AQ382=""),"",IF(COUNT(AI382:AP382)=0,"",AQ382-LOOKUP(2,1/(AI382:AP382&lt;&gt;""),AI382:AP382)))</t>
        </is>
      </c>
      <c r="BE382" s="49" t="inlineStr">
        <is>
          <t>IF(OR(F382="",AR382=""),"",IF(COUNT(AI382:AQ382)=0,"",AR382-LOOKUP(2,1/(AI382:AQ382&lt;&gt;""),AI382:AQ382)))</t>
        </is>
      </c>
      <c r="BF382" s="49" t="inlineStr">
        <is>
          <t>IF(OR(F382="",AS382=""),"",IF(COUNT(AI382:AR382)=0,"",AS382-LOOKUP(2,1/(AI382:AR382&lt;&gt;""),AI382:AR382)))</t>
        </is>
      </c>
      <c r="BG382" s="49" t="inlineStr">
        <is>
          <t>IF(OR(F382="",AT382=""),"",IF(COUNT(AI382:AS382)=0,"",AT382-LOOKUP(2,1/(AI382:AS382&lt;&gt;""),AI382:AS382)))</t>
        </is>
      </c>
      <c r="BH382" s="49" t="inlineStr">
        <is>
          <t>IF(OR(F382="",AU382=""),"",IF(COUNT(AI382:AT382)=0,"",AU382-LOOKUP(2,1/(AI382:AT382&lt;&gt;""),AI382:AT382)))</t>
        </is>
      </c>
      <c r="BI382" s="49" t="inlineStr">
        <is>
          <t>IF(OR(F382="",AV382=""),"",IF(COUNT(AI382:AU382)=0,"",AV382-LOOKUP(2,1/(AI382:AU382&lt;&gt;""),AI382:AU382)))</t>
        </is>
      </c>
      <c r="BJ382" s="51" t="inlineStr">
        <is>
          <t>IF(J382="","All_Provinces",IFERROR(VLOOKUP(J382,'09_Lookups'!$A$4:$B$20,2,FALSE),"All_Provinces"))</t>
        </is>
      </c>
      <c r="BK382" s="51" t="inlineStr">
        <is>
          <t>IF(K382="","All_Districts",IFERROR(VLOOKUP(K382,'09_Lookups'!$E$4:$F$42,2,FALSE),"All_Districts"))</t>
        </is>
      </c>
    </row>
    <row r="383" ht="18" customHeight="1">
      <c r="A383" s="42" t="inlineStr">
        <is>
          <t>IF(F383="","",ROW()-3)</t>
        </is>
      </c>
      <c r="B383" s="44" t="n"/>
      <c r="C383" s="44" t="n"/>
      <c r="D383" s="44" t="n"/>
      <c r="E383" s="44" t="n"/>
      <c r="F383" s="44" t="n"/>
      <c r="G383" s="44" t="n"/>
      <c r="H383" s="44" t="n"/>
      <c r="I383" s="44" t="n"/>
      <c r="J383" s="44" t="n"/>
      <c r="K383" s="44" t="n"/>
      <c r="L383" s="44" t="n"/>
      <c r="M383" s="44" t="n"/>
      <c r="N383" s="44" t="n"/>
      <c r="O383" s="44" t="n"/>
      <c r="P383" s="44" t="n"/>
      <c r="Q383" s="44" t="n"/>
      <c r="R383" s="44" t="n"/>
      <c r="S383" s="45" t="n"/>
      <c r="T383" s="46" t="inlineStr">
        <is>
          <t>IF(AQ383="","",AQ383)</t>
        </is>
      </c>
      <c r="U383" s="47" t="n"/>
      <c r="V383" s="48" t="n"/>
      <c r="W383" s="47" t="n"/>
      <c r="X383" s="46" t="inlineStr">
        <is>
          <t>IF(W383&lt;&gt;"",W383,IF(OR(T383="",V383=""),"",EDATE(T383,V383)))</t>
        </is>
      </c>
      <c r="Y383" s="47" t="n"/>
      <c r="Z383" s="48" t="n"/>
      <c r="AA383" s="44" t="n"/>
      <c r="AB383" s="44" t="n"/>
      <c r="AC383" s="42" t="inlineStr">
        <is>
          <t>IF(F383="","",IF(COUNT(AI383:AV383)=0,IF(AA383="","Not started",AA383),SUBSTITUTE(LOOKUP(2,1/(AI383:AV383&lt;&gt;""),$AI$3:$AV$3),"Date: ","")))</t>
        </is>
      </c>
      <c r="AD383" s="49" t="inlineStr">
        <is>
          <t>IF(OR(F383="",COUNT(AI383:AV383)=0),"",TODAY()-LOOKUP(2,1/(AI383:AV383&lt;&gt;""),AI383:AV383))</t>
        </is>
      </c>
      <c r="AE383" s="49" t="inlineStr">
        <is>
          <t>IF(OR(F383="",COUNT(AI383:AV383)&lt;2),"",LOOKUP(2,1/(AI383:AV383&lt;&gt;""),AI383:AV383)-MIN(AI383:AV383))</t>
        </is>
      </c>
      <c r="AF383" s="49" t="inlineStr">
        <is>
          <t>IF(OR(AD383="",AC383="Not started",AC383=""),"",IFERROR(AD383-IF(VLOOKUP(AC383,'06_Status_Pipeline'!$B$3:$E$20,4,FALSE)="",0,VLOOKUP(AC383,'06_Status_Pipeline'!$B$3:$E$20,4,FALSE)),""))</t>
        </is>
      </c>
      <c r="AG383" s="42" t="inlineStr">
        <is>
          <t>IF(F383="","",IF(OR(AA383="Cancelled",AC383="Cancelled"),"Cancelled",IF(OR(AC383="Completed / Handover",Y383&lt;&gt;"",Z383&gt;=100),"Completed — on track",IF(O383="Not awarded",IF(U383="",IF(X383="","No planned date",IF(TODAY()&gt;X383,"Behind — past planned date",IF(X383-TODAY()&lt;=30,"At risk — close to off track","On track"))),IF(TODAY()&gt;U383,"Behind — award date passed",IF(U383-TODAY()&lt;=30,"At risk — close to off track","On track"))),IF(X383="","No planned date",IF(AND(TODAY()&gt;X383,OR(Z383="",Z383&lt;100)),"Behind — past end date",IF(AND(T383&lt;&gt;"",X383&lt;&gt;"",Z383&lt;&gt;"",(Z383&lt;100),((TODAY()-T383)/MAX(X383-T383,1)*100)-Z383&gt;15),"Behind — progress lag",IF(AND(X383-TODAY()&lt;=30,X383-TODAY()&gt;=0,OR(Z383="",Z383&lt;90)),"At risk — close to off track","On track"))))))))</t>
        </is>
      </c>
      <c r="AH383" s="49" t="inlineStr">
        <is>
          <t>IF(OR(F383="",AC383="Completed / Handover",AC383="Cancelled"),"",IF(O383="Not awarded",IF(U383&lt;&gt;"",U383-TODAY(),IF(X383="","",X383-TODAY())),IF(X383="","",X383-TODAY())))</t>
        </is>
      </c>
      <c r="AI383" s="47" t="n"/>
      <c r="AJ383" s="47" t="n"/>
      <c r="AK383" s="47" t="n"/>
      <c r="AL383" s="47" t="n"/>
      <c r="AM383" s="47" t="n"/>
      <c r="AN383" s="47" t="n"/>
      <c r="AO383" s="47" t="n"/>
      <c r="AP383" s="47" t="n"/>
      <c r="AQ383" s="47" t="n"/>
      <c r="AR383" s="47" t="n"/>
      <c r="AS383" s="47" t="n"/>
      <c r="AT383" s="50" t="n"/>
      <c r="AU383" s="50" t="n"/>
      <c r="AV383" s="50" t="n"/>
      <c r="AW383" s="49" t="inlineStr">
        <is>
          <t>IF(OR(F383="",AJ383=""),"",IF(COUNT(AI383:AI383)=0,"",AJ383-LOOKUP(2,1/(AI383:AI383&lt;&gt;""),AI383:AI383)))</t>
        </is>
      </c>
      <c r="AX383" s="49" t="inlineStr">
        <is>
          <t>IF(OR(F383="",AK383=""),"",IF(COUNT(AI383:AJ383)=0,"",AK383-LOOKUP(2,1/(AI383:AJ383&lt;&gt;""),AI383:AJ383)))</t>
        </is>
      </c>
      <c r="AY383" s="49" t="inlineStr">
        <is>
          <t>IF(OR(F383="",AL383=""),"",IF(COUNT(AI383:AK383)=0,"",AL383-LOOKUP(2,1/(AI383:AK383&lt;&gt;""),AI383:AK383)))</t>
        </is>
      </c>
      <c r="AZ383" s="49" t="inlineStr">
        <is>
          <t>IF(OR(F383="",AM383=""),"",IF(COUNT(AI383:AL383)=0,"",AM383-LOOKUP(2,1/(AI383:AL383&lt;&gt;""),AI383:AL383)))</t>
        </is>
      </c>
      <c r="BA383" s="49" t="inlineStr">
        <is>
          <t>IF(OR(F383="",AN383=""),"",IF(COUNT(AI383:AM383)=0,"",AN383-LOOKUP(2,1/(AI383:AM383&lt;&gt;""),AI383:AM383)))</t>
        </is>
      </c>
      <c r="BB383" s="49" t="inlineStr">
        <is>
          <t>IF(OR(F383="",AO383=""),"",IF(COUNT(AI383:AN383)=0,"",AO383-LOOKUP(2,1/(AI383:AN383&lt;&gt;""),AI383:AN383)))</t>
        </is>
      </c>
      <c r="BC383" s="49" t="inlineStr">
        <is>
          <t>IF(OR(F383="",AP383=""),"",IF(COUNT(AI383:AO383)=0,"",AP383-LOOKUP(2,1/(AI383:AO383&lt;&gt;""),AI383:AO383)))</t>
        </is>
      </c>
      <c r="BD383" s="49" t="inlineStr">
        <is>
          <t>IF(OR(F383="",AQ383=""),"",IF(COUNT(AI383:AP383)=0,"",AQ383-LOOKUP(2,1/(AI383:AP383&lt;&gt;""),AI383:AP383)))</t>
        </is>
      </c>
      <c r="BE383" s="49" t="inlineStr">
        <is>
          <t>IF(OR(F383="",AR383=""),"",IF(COUNT(AI383:AQ383)=0,"",AR383-LOOKUP(2,1/(AI383:AQ383&lt;&gt;""),AI383:AQ383)))</t>
        </is>
      </c>
      <c r="BF383" s="49" t="inlineStr">
        <is>
          <t>IF(OR(F383="",AS383=""),"",IF(COUNT(AI383:AR383)=0,"",AS383-LOOKUP(2,1/(AI383:AR383&lt;&gt;""),AI383:AR383)))</t>
        </is>
      </c>
      <c r="BG383" s="49" t="inlineStr">
        <is>
          <t>IF(OR(F383="",AT383=""),"",IF(COUNT(AI383:AS383)=0,"",AT383-LOOKUP(2,1/(AI383:AS383&lt;&gt;""),AI383:AS383)))</t>
        </is>
      </c>
      <c r="BH383" s="49" t="inlineStr">
        <is>
          <t>IF(OR(F383="",AU383=""),"",IF(COUNT(AI383:AT383)=0,"",AU383-LOOKUP(2,1/(AI383:AT383&lt;&gt;""),AI383:AT383)))</t>
        </is>
      </c>
      <c r="BI383" s="49" t="inlineStr">
        <is>
          <t>IF(OR(F383="",AV383=""),"",IF(COUNT(AI383:AU383)=0,"",AV383-LOOKUP(2,1/(AI383:AU383&lt;&gt;""),AI383:AU383)))</t>
        </is>
      </c>
      <c r="BJ383" s="51" t="inlineStr">
        <is>
          <t>IF(J383="","All_Provinces",IFERROR(VLOOKUP(J383,'09_Lookups'!$A$4:$B$20,2,FALSE),"All_Provinces"))</t>
        </is>
      </c>
      <c r="BK383" s="51" t="inlineStr">
        <is>
          <t>IF(K383="","All_Districts",IFERROR(VLOOKUP(K383,'09_Lookups'!$E$4:$F$42,2,FALSE),"All_Districts"))</t>
        </is>
      </c>
    </row>
    <row r="384" ht="18" customHeight="1">
      <c r="A384" s="42" t="inlineStr">
        <is>
          <t>IF(F384="","",ROW()-3)</t>
        </is>
      </c>
      <c r="B384" s="52" t="n"/>
      <c r="C384" s="52" t="n"/>
      <c r="D384" s="52" t="n"/>
      <c r="E384" s="52" t="n"/>
      <c r="F384" s="52" t="n"/>
      <c r="G384" s="52" t="n"/>
      <c r="H384" s="52" t="n"/>
      <c r="I384" s="52" t="n"/>
      <c r="J384" s="52" t="n"/>
      <c r="K384" s="52" t="n"/>
      <c r="L384" s="52" t="n"/>
      <c r="M384" s="52" t="n"/>
      <c r="N384" s="52" t="n"/>
      <c r="O384" s="52" t="n"/>
      <c r="P384" s="52" t="n"/>
      <c r="Q384" s="52" t="n"/>
      <c r="R384" s="52" t="n"/>
      <c r="S384" s="53" t="n"/>
      <c r="T384" s="46" t="inlineStr">
        <is>
          <t>IF(AQ384="","",AQ384)</t>
        </is>
      </c>
      <c r="U384" s="54" t="n"/>
      <c r="V384" s="55" t="n"/>
      <c r="W384" s="54" t="n"/>
      <c r="X384" s="46" t="inlineStr">
        <is>
          <t>IF(W384&lt;&gt;"",W384,IF(OR(T384="",V384=""),"",EDATE(T384,V384)))</t>
        </is>
      </c>
      <c r="Y384" s="54" t="n"/>
      <c r="Z384" s="55" t="n"/>
      <c r="AA384" s="52" t="n"/>
      <c r="AB384" s="52" t="n"/>
      <c r="AC384" s="42" t="inlineStr">
        <is>
          <t>IF(F384="","",IF(COUNT(AI384:AV384)=0,IF(AA384="","Not started",AA384),SUBSTITUTE(LOOKUP(2,1/(AI384:AV384&lt;&gt;""),$AI$3:$AV$3),"Date: ","")))</t>
        </is>
      </c>
      <c r="AD384" s="49" t="inlineStr">
        <is>
          <t>IF(OR(F384="",COUNT(AI384:AV384)=0),"",TODAY()-LOOKUP(2,1/(AI384:AV384&lt;&gt;""),AI384:AV384))</t>
        </is>
      </c>
      <c r="AE384" s="49" t="inlineStr">
        <is>
          <t>IF(OR(F384="",COUNT(AI384:AV384)&lt;2),"",LOOKUP(2,1/(AI384:AV384&lt;&gt;""),AI384:AV384)-MIN(AI384:AV384))</t>
        </is>
      </c>
      <c r="AF384" s="49" t="inlineStr">
        <is>
          <t>IF(OR(AD384="",AC384="Not started",AC384=""),"",IFERROR(AD384-IF(VLOOKUP(AC384,'06_Status_Pipeline'!$B$3:$E$20,4,FALSE)="",0,VLOOKUP(AC384,'06_Status_Pipeline'!$B$3:$E$20,4,FALSE)),""))</t>
        </is>
      </c>
      <c r="AG384" s="42" t="inlineStr">
        <is>
          <t>IF(F384="","",IF(OR(AA384="Cancelled",AC384="Cancelled"),"Cancelled",IF(OR(AC384="Completed / Handover",Y384&lt;&gt;"",Z384&gt;=100),"Completed — on track",IF(O384="Not awarded",IF(U384="",IF(X384="","No planned date",IF(TODAY()&gt;X384,"Behind — past planned date",IF(X384-TODAY()&lt;=30,"At risk — close to off track","On track"))),IF(TODAY()&gt;U384,"Behind — award date passed",IF(U384-TODAY()&lt;=30,"At risk — close to off track","On track"))),IF(X384="","No planned date",IF(AND(TODAY()&gt;X384,OR(Z384="",Z384&lt;100)),"Behind — past end date",IF(AND(T384&lt;&gt;"",X384&lt;&gt;"",Z384&lt;&gt;"",(Z384&lt;100),((TODAY()-T384)/MAX(X384-T384,1)*100)-Z384&gt;15),"Behind — progress lag",IF(AND(X384-TODAY()&lt;=30,X384-TODAY()&gt;=0,OR(Z384="",Z384&lt;90)),"At risk — close to off track","On track"))))))))</t>
        </is>
      </c>
      <c r="AH384" s="49" t="inlineStr">
        <is>
          <t>IF(OR(F384="",AC384="Completed / Handover",AC384="Cancelled"),"",IF(O384="Not awarded",IF(U384&lt;&gt;"",U384-TODAY(),IF(X384="","",X384-TODAY())),IF(X384="","",X384-TODAY())))</t>
        </is>
      </c>
      <c r="AI384" s="54" t="n"/>
      <c r="AJ384" s="54" t="n"/>
      <c r="AK384" s="54" t="n"/>
      <c r="AL384" s="54" t="n"/>
      <c r="AM384" s="54" t="n"/>
      <c r="AN384" s="54" t="n"/>
      <c r="AO384" s="54" t="n"/>
      <c r="AP384" s="54" t="n"/>
      <c r="AQ384" s="54" t="n"/>
      <c r="AR384" s="54" t="n"/>
      <c r="AS384" s="54" t="n"/>
      <c r="AT384" s="50" t="n"/>
      <c r="AU384" s="50" t="n"/>
      <c r="AV384" s="50" t="n"/>
      <c r="AW384" s="49" t="inlineStr">
        <is>
          <t>IF(OR(F384="",AJ384=""),"",IF(COUNT(AI384:AI384)=0,"",AJ384-LOOKUP(2,1/(AI384:AI384&lt;&gt;""),AI384:AI384)))</t>
        </is>
      </c>
      <c r="AX384" s="49" t="inlineStr">
        <is>
          <t>IF(OR(F384="",AK384=""),"",IF(COUNT(AI384:AJ384)=0,"",AK384-LOOKUP(2,1/(AI384:AJ384&lt;&gt;""),AI384:AJ384)))</t>
        </is>
      </c>
      <c r="AY384" s="49" t="inlineStr">
        <is>
          <t>IF(OR(F384="",AL384=""),"",IF(COUNT(AI384:AK384)=0,"",AL384-LOOKUP(2,1/(AI384:AK384&lt;&gt;""),AI384:AK384)))</t>
        </is>
      </c>
      <c r="AZ384" s="49" t="inlineStr">
        <is>
          <t>IF(OR(F384="",AM384=""),"",IF(COUNT(AI384:AL384)=0,"",AM384-LOOKUP(2,1/(AI384:AL384&lt;&gt;""),AI384:AL384)))</t>
        </is>
      </c>
      <c r="BA384" s="49" t="inlineStr">
        <is>
          <t>IF(OR(F384="",AN384=""),"",IF(COUNT(AI384:AM384)=0,"",AN384-LOOKUP(2,1/(AI384:AM384&lt;&gt;""),AI384:AM384)))</t>
        </is>
      </c>
      <c r="BB384" s="49" t="inlineStr">
        <is>
          <t>IF(OR(F384="",AO384=""),"",IF(COUNT(AI384:AN384)=0,"",AO384-LOOKUP(2,1/(AI384:AN384&lt;&gt;""),AI384:AN384)))</t>
        </is>
      </c>
      <c r="BC384" s="49" t="inlineStr">
        <is>
          <t>IF(OR(F384="",AP384=""),"",IF(COUNT(AI384:AO384)=0,"",AP384-LOOKUP(2,1/(AI384:AO384&lt;&gt;""),AI384:AO384)))</t>
        </is>
      </c>
      <c r="BD384" s="49" t="inlineStr">
        <is>
          <t>IF(OR(F384="",AQ384=""),"",IF(COUNT(AI384:AP384)=0,"",AQ384-LOOKUP(2,1/(AI384:AP384&lt;&gt;""),AI384:AP384)))</t>
        </is>
      </c>
      <c r="BE384" s="49" t="inlineStr">
        <is>
          <t>IF(OR(F384="",AR384=""),"",IF(COUNT(AI384:AQ384)=0,"",AR384-LOOKUP(2,1/(AI384:AQ384&lt;&gt;""),AI384:AQ384)))</t>
        </is>
      </c>
      <c r="BF384" s="49" t="inlineStr">
        <is>
          <t>IF(OR(F384="",AS384=""),"",IF(COUNT(AI384:AR384)=0,"",AS384-LOOKUP(2,1/(AI384:AR384&lt;&gt;""),AI384:AR384)))</t>
        </is>
      </c>
      <c r="BG384" s="49" t="inlineStr">
        <is>
          <t>IF(OR(F384="",AT384=""),"",IF(COUNT(AI384:AS384)=0,"",AT384-LOOKUP(2,1/(AI384:AS384&lt;&gt;""),AI384:AS384)))</t>
        </is>
      </c>
      <c r="BH384" s="49" t="inlineStr">
        <is>
          <t>IF(OR(F384="",AU384=""),"",IF(COUNT(AI384:AT384)=0,"",AU384-LOOKUP(2,1/(AI384:AT384&lt;&gt;""),AI384:AT384)))</t>
        </is>
      </c>
      <c r="BI384" s="49" t="inlineStr">
        <is>
          <t>IF(OR(F384="",AV384=""),"",IF(COUNT(AI384:AU384)=0,"",AV384-LOOKUP(2,1/(AI384:AU384&lt;&gt;""),AI384:AU384)))</t>
        </is>
      </c>
      <c r="BJ384" s="51" t="inlineStr">
        <is>
          <t>IF(J384="","All_Provinces",IFERROR(VLOOKUP(J384,'09_Lookups'!$A$4:$B$20,2,FALSE),"All_Provinces"))</t>
        </is>
      </c>
      <c r="BK384" s="51" t="inlineStr">
        <is>
          <t>IF(K384="","All_Districts",IFERROR(VLOOKUP(K384,'09_Lookups'!$E$4:$F$42,2,FALSE),"All_Districts"))</t>
        </is>
      </c>
    </row>
    <row r="385" ht="18" customHeight="1">
      <c r="A385" s="42" t="inlineStr">
        <is>
          <t>IF(F385="","",ROW()-3)</t>
        </is>
      </c>
      <c r="B385" s="44" t="n"/>
      <c r="C385" s="44" t="n"/>
      <c r="D385" s="44" t="n"/>
      <c r="E385" s="44" t="n"/>
      <c r="F385" s="44" t="n"/>
      <c r="G385" s="44" t="n"/>
      <c r="H385" s="44" t="n"/>
      <c r="I385" s="44" t="n"/>
      <c r="J385" s="44" t="n"/>
      <c r="K385" s="44" t="n"/>
      <c r="L385" s="44" t="n"/>
      <c r="M385" s="44" t="n"/>
      <c r="N385" s="44" t="n"/>
      <c r="O385" s="44" t="n"/>
      <c r="P385" s="44" t="n"/>
      <c r="Q385" s="44" t="n"/>
      <c r="R385" s="44" t="n"/>
      <c r="S385" s="45" t="n"/>
      <c r="T385" s="46" t="inlineStr">
        <is>
          <t>IF(AQ385="","",AQ385)</t>
        </is>
      </c>
      <c r="U385" s="47" t="n"/>
      <c r="V385" s="48" t="n"/>
      <c r="W385" s="47" t="n"/>
      <c r="X385" s="46" t="inlineStr">
        <is>
          <t>IF(W385&lt;&gt;"",W385,IF(OR(T385="",V385=""),"",EDATE(T385,V385)))</t>
        </is>
      </c>
      <c r="Y385" s="47" t="n"/>
      <c r="Z385" s="48" t="n"/>
      <c r="AA385" s="44" t="n"/>
      <c r="AB385" s="44" t="n"/>
      <c r="AC385" s="42" t="inlineStr">
        <is>
          <t>IF(F385="","",IF(COUNT(AI385:AV385)=0,IF(AA385="","Not started",AA385),SUBSTITUTE(LOOKUP(2,1/(AI385:AV385&lt;&gt;""),$AI$3:$AV$3),"Date: ","")))</t>
        </is>
      </c>
      <c r="AD385" s="49" t="inlineStr">
        <is>
          <t>IF(OR(F385="",COUNT(AI385:AV385)=0),"",TODAY()-LOOKUP(2,1/(AI385:AV385&lt;&gt;""),AI385:AV385))</t>
        </is>
      </c>
      <c r="AE385" s="49" t="inlineStr">
        <is>
          <t>IF(OR(F385="",COUNT(AI385:AV385)&lt;2),"",LOOKUP(2,1/(AI385:AV385&lt;&gt;""),AI385:AV385)-MIN(AI385:AV385))</t>
        </is>
      </c>
      <c r="AF385" s="49" t="inlineStr">
        <is>
          <t>IF(OR(AD385="",AC385="Not started",AC385=""),"",IFERROR(AD385-IF(VLOOKUP(AC385,'06_Status_Pipeline'!$B$3:$E$20,4,FALSE)="",0,VLOOKUP(AC385,'06_Status_Pipeline'!$B$3:$E$20,4,FALSE)),""))</t>
        </is>
      </c>
      <c r="AG385" s="42" t="inlineStr">
        <is>
          <t>IF(F385="","",IF(OR(AA385="Cancelled",AC385="Cancelled"),"Cancelled",IF(OR(AC385="Completed / Handover",Y385&lt;&gt;"",Z385&gt;=100),"Completed — on track",IF(O385="Not awarded",IF(U385="",IF(X385="","No planned date",IF(TODAY()&gt;X385,"Behind — past planned date",IF(X385-TODAY()&lt;=30,"At risk — close to off track","On track"))),IF(TODAY()&gt;U385,"Behind — award date passed",IF(U385-TODAY()&lt;=30,"At risk — close to off track","On track"))),IF(X385="","No planned date",IF(AND(TODAY()&gt;X385,OR(Z385="",Z385&lt;100)),"Behind — past end date",IF(AND(T385&lt;&gt;"",X385&lt;&gt;"",Z385&lt;&gt;"",(Z385&lt;100),((TODAY()-T385)/MAX(X385-T385,1)*100)-Z385&gt;15),"Behind — progress lag",IF(AND(X385-TODAY()&lt;=30,X385-TODAY()&gt;=0,OR(Z385="",Z385&lt;90)),"At risk — close to off track","On track"))))))))</t>
        </is>
      </c>
      <c r="AH385" s="49" t="inlineStr">
        <is>
          <t>IF(OR(F385="",AC385="Completed / Handover",AC385="Cancelled"),"",IF(O385="Not awarded",IF(U385&lt;&gt;"",U385-TODAY(),IF(X385="","",X385-TODAY())),IF(X385="","",X385-TODAY())))</t>
        </is>
      </c>
      <c r="AI385" s="47" t="n"/>
      <c r="AJ385" s="47" t="n"/>
      <c r="AK385" s="47" t="n"/>
      <c r="AL385" s="47" t="n"/>
      <c r="AM385" s="47" t="n"/>
      <c r="AN385" s="47" t="n"/>
      <c r="AO385" s="47" t="n"/>
      <c r="AP385" s="47" t="n"/>
      <c r="AQ385" s="47" t="n"/>
      <c r="AR385" s="47" t="n"/>
      <c r="AS385" s="47" t="n"/>
      <c r="AT385" s="50" t="n"/>
      <c r="AU385" s="50" t="n"/>
      <c r="AV385" s="50" t="n"/>
      <c r="AW385" s="49" t="inlineStr">
        <is>
          <t>IF(OR(F385="",AJ385=""),"",IF(COUNT(AI385:AI385)=0,"",AJ385-LOOKUP(2,1/(AI385:AI385&lt;&gt;""),AI385:AI385)))</t>
        </is>
      </c>
      <c r="AX385" s="49" t="inlineStr">
        <is>
          <t>IF(OR(F385="",AK385=""),"",IF(COUNT(AI385:AJ385)=0,"",AK385-LOOKUP(2,1/(AI385:AJ385&lt;&gt;""),AI385:AJ385)))</t>
        </is>
      </c>
      <c r="AY385" s="49" t="inlineStr">
        <is>
          <t>IF(OR(F385="",AL385=""),"",IF(COUNT(AI385:AK385)=0,"",AL385-LOOKUP(2,1/(AI385:AK385&lt;&gt;""),AI385:AK385)))</t>
        </is>
      </c>
      <c r="AZ385" s="49" t="inlineStr">
        <is>
          <t>IF(OR(F385="",AM385=""),"",IF(COUNT(AI385:AL385)=0,"",AM385-LOOKUP(2,1/(AI385:AL385&lt;&gt;""),AI385:AL385)))</t>
        </is>
      </c>
      <c r="BA385" s="49" t="inlineStr">
        <is>
          <t>IF(OR(F385="",AN385=""),"",IF(COUNT(AI385:AM385)=0,"",AN385-LOOKUP(2,1/(AI385:AM385&lt;&gt;""),AI385:AM385)))</t>
        </is>
      </c>
      <c r="BB385" s="49" t="inlineStr">
        <is>
          <t>IF(OR(F385="",AO385=""),"",IF(COUNT(AI385:AN385)=0,"",AO385-LOOKUP(2,1/(AI385:AN385&lt;&gt;""),AI385:AN385)))</t>
        </is>
      </c>
      <c r="BC385" s="49" t="inlineStr">
        <is>
          <t>IF(OR(F385="",AP385=""),"",IF(COUNT(AI385:AO385)=0,"",AP385-LOOKUP(2,1/(AI385:AO385&lt;&gt;""),AI385:AO385)))</t>
        </is>
      </c>
      <c r="BD385" s="49" t="inlineStr">
        <is>
          <t>IF(OR(F385="",AQ385=""),"",IF(COUNT(AI385:AP385)=0,"",AQ385-LOOKUP(2,1/(AI385:AP385&lt;&gt;""),AI385:AP385)))</t>
        </is>
      </c>
      <c r="BE385" s="49" t="inlineStr">
        <is>
          <t>IF(OR(F385="",AR385=""),"",IF(COUNT(AI385:AQ385)=0,"",AR385-LOOKUP(2,1/(AI385:AQ385&lt;&gt;""),AI385:AQ385)))</t>
        </is>
      </c>
      <c r="BF385" s="49" t="inlineStr">
        <is>
          <t>IF(OR(F385="",AS385=""),"",IF(COUNT(AI385:AR385)=0,"",AS385-LOOKUP(2,1/(AI385:AR385&lt;&gt;""),AI385:AR385)))</t>
        </is>
      </c>
      <c r="BG385" s="49" t="inlineStr">
        <is>
          <t>IF(OR(F385="",AT385=""),"",IF(COUNT(AI385:AS385)=0,"",AT385-LOOKUP(2,1/(AI385:AS385&lt;&gt;""),AI385:AS385)))</t>
        </is>
      </c>
      <c r="BH385" s="49" t="inlineStr">
        <is>
          <t>IF(OR(F385="",AU385=""),"",IF(COUNT(AI385:AT385)=0,"",AU385-LOOKUP(2,1/(AI385:AT385&lt;&gt;""),AI385:AT385)))</t>
        </is>
      </c>
      <c r="BI385" s="49" t="inlineStr">
        <is>
          <t>IF(OR(F385="",AV385=""),"",IF(COUNT(AI385:AU385)=0,"",AV385-LOOKUP(2,1/(AI385:AU385&lt;&gt;""),AI385:AU385)))</t>
        </is>
      </c>
      <c r="BJ385" s="51" t="inlineStr">
        <is>
          <t>IF(J385="","All_Provinces",IFERROR(VLOOKUP(J385,'09_Lookups'!$A$4:$B$20,2,FALSE),"All_Provinces"))</t>
        </is>
      </c>
      <c r="BK385" s="51" t="inlineStr">
        <is>
          <t>IF(K385="","All_Districts",IFERROR(VLOOKUP(K385,'09_Lookups'!$E$4:$F$42,2,FALSE),"All_Districts"))</t>
        </is>
      </c>
    </row>
    <row r="386" ht="18" customHeight="1">
      <c r="A386" s="42" t="inlineStr">
        <is>
          <t>IF(F386="","",ROW()-3)</t>
        </is>
      </c>
      <c r="B386" s="52" t="n"/>
      <c r="C386" s="52" t="n"/>
      <c r="D386" s="52" t="n"/>
      <c r="E386" s="52" t="n"/>
      <c r="F386" s="52" t="n"/>
      <c r="G386" s="52" t="n"/>
      <c r="H386" s="52" t="n"/>
      <c r="I386" s="52" t="n"/>
      <c r="J386" s="52" t="n"/>
      <c r="K386" s="52" t="n"/>
      <c r="L386" s="52" t="n"/>
      <c r="M386" s="52" t="n"/>
      <c r="N386" s="52" t="n"/>
      <c r="O386" s="52" t="n"/>
      <c r="P386" s="52" t="n"/>
      <c r="Q386" s="52" t="n"/>
      <c r="R386" s="52" t="n"/>
      <c r="S386" s="53" t="n"/>
      <c r="T386" s="46" t="inlineStr">
        <is>
          <t>IF(AQ386="","",AQ386)</t>
        </is>
      </c>
      <c r="U386" s="54" t="n"/>
      <c r="V386" s="55" t="n"/>
      <c r="W386" s="54" t="n"/>
      <c r="X386" s="46" t="inlineStr">
        <is>
          <t>IF(W386&lt;&gt;"",W386,IF(OR(T386="",V386=""),"",EDATE(T386,V386)))</t>
        </is>
      </c>
      <c r="Y386" s="54" t="n"/>
      <c r="Z386" s="55" t="n"/>
      <c r="AA386" s="52" t="n"/>
      <c r="AB386" s="52" t="n"/>
      <c r="AC386" s="42" t="inlineStr">
        <is>
          <t>IF(F386="","",IF(COUNT(AI386:AV386)=0,IF(AA386="","Not started",AA386),SUBSTITUTE(LOOKUP(2,1/(AI386:AV386&lt;&gt;""),$AI$3:$AV$3),"Date: ","")))</t>
        </is>
      </c>
      <c r="AD386" s="49" t="inlineStr">
        <is>
          <t>IF(OR(F386="",COUNT(AI386:AV386)=0),"",TODAY()-LOOKUP(2,1/(AI386:AV386&lt;&gt;""),AI386:AV386))</t>
        </is>
      </c>
      <c r="AE386" s="49" t="inlineStr">
        <is>
          <t>IF(OR(F386="",COUNT(AI386:AV386)&lt;2),"",LOOKUP(2,1/(AI386:AV386&lt;&gt;""),AI386:AV386)-MIN(AI386:AV386))</t>
        </is>
      </c>
      <c r="AF386" s="49" t="inlineStr">
        <is>
          <t>IF(OR(AD386="",AC386="Not started",AC386=""),"",IFERROR(AD386-IF(VLOOKUP(AC386,'06_Status_Pipeline'!$B$3:$E$20,4,FALSE)="",0,VLOOKUP(AC386,'06_Status_Pipeline'!$B$3:$E$20,4,FALSE)),""))</t>
        </is>
      </c>
      <c r="AG386" s="42" t="inlineStr">
        <is>
          <t>IF(F386="","",IF(OR(AA386="Cancelled",AC386="Cancelled"),"Cancelled",IF(OR(AC386="Completed / Handover",Y386&lt;&gt;"",Z386&gt;=100),"Completed — on track",IF(O386="Not awarded",IF(U386="",IF(X386="","No planned date",IF(TODAY()&gt;X386,"Behind — past planned date",IF(X386-TODAY()&lt;=30,"At risk — close to off track","On track"))),IF(TODAY()&gt;U386,"Behind — award date passed",IF(U386-TODAY()&lt;=30,"At risk — close to off track","On track"))),IF(X386="","No planned date",IF(AND(TODAY()&gt;X386,OR(Z386="",Z386&lt;100)),"Behind — past end date",IF(AND(T386&lt;&gt;"",X386&lt;&gt;"",Z386&lt;&gt;"",(Z386&lt;100),((TODAY()-T386)/MAX(X386-T386,1)*100)-Z386&gt;15),"Behind — progress lag",IF(AND(X386-TODAY()&lt;=30,X386-TODAY()&gt;=0,OR(Z386="",Z386&lt;90)),"At risk — close to off track","On track"))))))))</t>
        </is>
      </c>
      <c r="AH386" s="49" t="inlineStr">
        <is>
          <t>IF(OR(F386="",AC386="Completed / Handover",AC386="Cancelled"),"",IF(O386="Not awarded",IF(U386&lt;&gt;"",U386-TODAY(),IF(X386="","",X386-TODAY())),IF(X386="","",X386-TODAY())))</t>
        </is>
      </c>
      <c r="AI386" s="54" t="n"/>
      <c r="AJ386" s="54" t="n"/>
      <c r="AK386" s="54" t="n"/>
      <c r="AL386" s="54" t="n"/>
      <c r="AM386" s="54" t="n"/>
      <c r="AN386" s="54" t="n"/>
      <c r="AO386" s="54" t="n"/>
      <c r="AP386" s="54" t="n"/>
      <c r="AQ386" s="54" t="n"/>
      <c r="AR386" s="54" t="n"/>
      <c r="AS386" s="54" t="n"/>
      <c r="AT386" s="50" t="n"/>
      <c r="AU386" s="50" t="n"/>
      <c r="AV386" s="50" t="n"/>
      <c r="AW386" s="49" t="inlineStr">
        <is>
          <t>IF(OR(F386="",AJ386=""),"",IF(COUNT(AI386:AI386)=0,"",AJ386-LOOKUP(2,1/(AI386:AI386&lt;&gt;""),AI386:AI386)))</t>
        </is>
      </c>
      <c r="AX386" s="49" t="inlineStr">
        <is>
          <t>IF(OR(F386="",AK386=""),"",IF(COUNT(AI386:AJ386)=0,"",AK386-LOOKUP(2,1/(AI386:AJ386&lt;&gt;""),AI386:AJ386)))</t>
        </is>
      </c>
      <c r="AY386" s="49" t="inlineStr">
        <is>
          <t>IF(OR(F386="",AL386=""),"",IF(COUNT(AI386:AK386)=0,"",AL386-LOOKUP(2,1/(AI386:AK386&lt;&gt;""),AI386:AK386)))</t>
        </is>
      </c>
      <c r="AZ386" s="49" t="inlineStr">
        <is>
          <t>IF(OR(F386="",AM386=""),"",IF(COUNT(AI386:AL386)=0,"",AM386-LOOKUP(2,1/(AI386:AL386&lt;&gt;""),AI386:AL386)))</t>
        </is>
      </c>
      <c r="BA386" s="49" t="inlineStr">
        <is>
          <t>IF(OR(F386="",AN386=""),"",IF(COUNT(AI386:AM386)=0,"",AN386-LOOKUP(2,1/(AI386:AM386&lt;&gt;""),AI386:AM386)))</t>
        </is>
      </c>
      <c r="BB386" s="49" t="inlineStr">
        <is>
          <t>IF(OR(F386="",AO386=""),"",IF(COUNT(AI386:AN386)=0,"",AO386-LOOKUP(2,1/(AI386:AN386&lt;&gt;""),AI386:AN386)))</t>
        </is>
      </c>
      <c r="BC386" s="49" t="inlineStr">
        <is>
          <t>IF(OR(F386="",AP386=""),"",IF(COUNT(AI386:AO386)=0,"",AP386-LOOKUP(2,1/(AI386:AO386&lt;&gt;""),AI386:AO386)))</t>
        </is>
      </c>
      <c r="BD386" s="49" t="inlineStr">
        <is>
          <t>IF(OR(F386="",AQ386=""),"",IF(COUNT(AI386:AP386)=0,"",AQ386-LOOKUP(2,1/(AI386:AP386&lt;&gt;""),AI386:AP386)))</t>
        </is>
      </c>
      <c r="BE386" s="49" t="inlineStr">
        <is>
          <t>IF(OR(F386="",AR386=""),"",IF(COUNT(AI386:AQ386)=0,"",AR386-LOOKUP(2,1/(AI386:AQ386&lt;&gt;""),AI386:AQ386)))</t>
        </is>
      </c>
      <c r="BF386" s="49" t="inlineStr">
        <is>
          <t>IF(OR(F386="",AS386=""),"",IF(COUNT(AI386:AR386)=0,"",AS386-LOOKUP(2,1/(AI386:AR386&lt;&gt;""),AI386:AR386)))</t>
        </is>
      </c>
      <c r="BG386" s="49" t="inlineStr">
        <is>
          <t>IF(OR(F386="",AT386=""),"",IF(COUNT(AI386:AS386)=0,"",AT386-LOOKUP(2,1/(AI386:AS386&lt;&gt;""),AI386:AS386)))</t>
        </is>
      </c>
      <c r="BH386" s="49" t="inlineStr">
        <is>
          <t>IF(OR(F386="",AU386=""),"",IF(COUNT(AI386:AT386)=0,"",AU386-LOOKUP(2,1/(AI386:AT386&lt;&gt;""),AI386:AT386)))</t>
        </is>
      </c>
      <c r="BI386" s="49" t="inlineStr">
        <is>
          <t>IF(OR(F386="",AV386=""),"",IF(COUNT(AI386:AU386)=0,"",AV386-LOOKUP(2,1/(AI386:AU386&lt;&gt;""),AI386:AU386)))</t>
        </is>
      </c>
      <c r="BJ386" s="51" t="inlineStr">
        <is>
          <t>IF(J386="","All_Provinces",IFERROR(VLOOKUP(J386,'09_Lookups'!$A$4:$B$20,2,FALSE),"All_Provinces"))</t>
        </is>
      </c>
      <c r="BK386" s="51" t="inlineStr">
        <is>
          <t>IF(K386="","All_Districts",IFERROR(VLOOKUP(K386,'09_Lookups'!$E$4:$F$42,2,FALSE),"All_Districts"))</t>
        </is>
      </c>
    </row>
    <row r="387" ht="18" customHeight="1">
      <c r="A387" s="42" t="inlineStr">
        <is>
          <t>IF(F387="","",ROW()-3)</t>
        </is>
      </c>
      <c r="B387" s="44" t="n"/>
      <c r="C387" s="44" t="n"/>
      <c r="D387" s="44" t="n"/>
      <c r="E387" s="44" t="n"/>
      <c r="F387" s="44" t="n"/>
      <c r="G387" s="44" t="n"/>
      <c r="H387" s="44" t="n"/>
      <c r="I387" s="44" t="n"/>
      <c r="J387" s="44" t="n"/>
      <c r="K387" s="44" t="n"/>
      <c r="L387" s="44" t="n"/>
      <c r="M387" s="44" t="n"/>
      <c r="N387" s="44" t="n"/>
      <c r="O387" s="44" t="n"/>
      <c r="P387" s="44" t="n"/>
      <c r="Q387" s="44" t="n"/>
      <c r="R387" s="44" t="n"/>
      <c r="S387" s="45" t="n"/>
      <c r="T387" s="46" t="inlineStr">
        <is>
          <t>IF(AQ387="","",AQ387)</t>
        </is>
      </c>
      <c r="U387" s="47" t="n"/>
      <c r="V387" s="48" t="n"/>
      <c r="W387" s="47" t="n"/>
      <c r="X387" s="46" t="inlineStr">
        <is>
          <t>IF(W387&lt;&gt;"",W387,IF(OR(T387="",V387=""),"",EDATE(T387,V387)))</t>
        </is>
      </c>
      <c r="Y387" s="47" t="n"/>
      <c r="Z387" s="48" t="n"/>
      <c r="AA387" s="44" t="n"/>
      <c r="AB387" s="44" t="n"/>
      <c r="AC387" s="42" t="inlineStr">
        <is>
          <t>IF(F387="","",IF(COUNT(AI387:AV387)=0,IF(AA387="","Not started",AA387),SUBSTITUTE(LOOKUP(2,1/(AI387:AV387&lt;&gt;""),$AI$3:$AV$3),"Date: ","")))</t>
        </is>
      </c>
      <c r="AD387" s="49" t="inlineStr">
        <is>
          <t>IF(OR(F387="",COUNT(AI387:AV387)=0),"",TODAY()-LOOKUP(2,1/(AI387:AV387&lt;&gt;""),AI387:AV387))</t>
        </is>
      </c>
      <c r="AE387" s="49" t="inlineStr">
        <is>
          <t>IF(OR(F387="",COUNT(AI387:AV387)&lt;2),"",LOOKUP(2,1/(AI387:AV387&lt;&gt;""),AI387:AV387)-MIN(AI387:AV387))</t>
        </is>
      </c>
      <c r="AF387" s="49" t="inlineStr">
        <is>
          <t>IF(OR(AD387="",AC387="Not started",AC387=""),"",IFERROR(AD387-IF(VLOOKUP(AC387,'06_Status_Pipeline'!$B$3:$E$20,4,FALSE)="",0,VLOOKUP(AC387,'06_Status_Pipeline'!$B$3:$E$20,4,FALSE)),""))</t>
        </is>
      </c>
      <c r="AG387" s="42" t="inlineStr">
        <is>
          <t>IF(F387="","",IF(OR(AA387="Cancelled",AC387="Cancelled"),"Cancelled",IF(OR(AC387="Completed / Handover",Y387&lt;&gt;"",Z387&gt;=100),"Completed — on track",IF(O387="Not awarded",IF(U387="",IF(X387="","No planned date",IF(TODAY()&gt;X387,"Behind — past planned date",IF(X387-TODAY()&lt;=30,"At risk — close to off track","On track"))),IF(TODAY()&gt;U387,"Behind — award date passed",IF(U387-TODAY()&lt;=30,"At risk — close to off track","On track"))),IF(X387="","No planned date",IF(AND(TODAY()&gt;X387,OR(Z387="",Z387&lt;100)),"Behind — past end date",IF(AND(T387&lt;&gt;"",X387&lt;&gt;"",Z387&lt;&gt;"",(Z387&lt;100),((TODAY()-T387)/MAX(X387-T387,1)*100)-Z387&gt;15),"Behind — progress lag",IF(AND(X387-TODAY()&lt;=30,X387-TODAY()&gt;=0,OR(Z387="",Z387&lt;90)),"At risk — close to off track","On track"))))))))</t>
        </is>
      </c>
      <c r="AH387" s="49" t="inlineStr">
        <is>
          <t>IF(OR(F387="",AC387="Completed / Handover",AC387="Cancelled"),"",IF(O387="Not awarded",IF(U387&lt;&gt;"",U387-TODAY(),IF(X387="","",X387-TODAY())),IF(X387="","",X387-TODAY())))</t>
        </is>
      </c>
      <c r="AI387" s="47" t="n"/>
      <c r="AJ387" s="47" t="n"/>
      <c r="AK387" s="47" t="n"/>
      <c r="AL387" s="47" t="n"/>
      <c r="AM387" s="47" t="n"/>
      <c r="AN387" s="47" t="n"/>
      <c r="AO387" s="47" t="n"/>
      <c r="AP387" s="47" t="n"/>
      <c r="AQ387" s="47" t="n"/>
      <c r="AR387" s="47" t="n"/>
      <c r="AS387" s="47" t="n"/>
      <c r="AT387" s="50" t="n"/>
      <c r="AU387" s="50" t="n"/>
      <c r="AV387" s="50" t="n"/>
      <c r="AW387" s="49" t="inlineStr">
        <is>
          <t>IF(OR(F387="",AJ387=""),"",IF(COUNT(AI387:AI387)=0,"",AJ387-LOOKUP(2,1/(AI387:AI387&lt;&gt;""),AI387:AI387)))</t>
        </is>
      </c>
      <c r="AX387" s="49" t="inlineStr">
        <is>
          <t>IF(OR(F387="",AK387=""),"",IF(COUNT(AI387:AJ387)=0,"",AK387-LOOKUP(2,1/(AI387:AJ387&lt;&gt;""),AI387:AJ387)))</t>
        </is>
      </c>
      <c r="AY387" s="49" t="inlineStr">
        <is>
          <t>IF(OR(F387="",AL387=""),"",IF(COUNT(AI387:AK387)=0,"",AL387-LOOKUP(2,1/(AI387:AK387&lt;&gt;""),AI387:AK387)))</t>
        </is>
      </c>
      <c r="AZ387" s="49" t="inlineStr">
        <is>
          <t>IF(OR(F387="",AM387=""),"",IF(COUNT(AI387:AL387)=0,"",AM387-LOOKUP(2,1/(AI387:AL387&lt;&gt;""),AI387:AL387)))</t>
        </is>
      </c>
      <c r="BA387" s="49" t="inlineStr">
        <is>
          <t>IF(OR(F387="",AN387=""),"",IF(COUNT(AI387:AM387)=0,"",AN387-LOOKUP(2,1/(AI387:AM387&lt;&gt;""),AI387:AM387)))</t>
        </is>
      </c>
      <c r="BB387" s="49" t="inlineStr">
        <is>
          <t>IF(OR(F387="",AO387=""),"",IF(COUNT(AI387:AN387)=0,"",AO387-LOOKUP(2,1/(AI387:AN387&lt;&gt;""),AI387:AN387)))</t>
        </is>
      </c>
      <c r="BC387" s="49" t="inlineStr">
        <is>
          <t>IF(OR(F387="",AP387=""),"",IF(COUNT(AI387:AO387)=0,"",AP387-LOOKUP(2,1/(AI387:AO387&lt;&gt;""),AI387:AO387)))</t>
        </is>
      </c>
      <c r="BD387" s="49" t="inlineStr">
        <is>
          <t>IF(OR(F387="",AQ387=""),"",IF(COUNT(AI387:AP387)=0,"",AQ387-LOOKUP(2,1/(AI387:AP387&lt;&gt;""),AI387:AP387)))</t>
        </is>
      </c>
      <c r="BE387" s="49" t="inlineStr">
        <is>
          <t>IF(OR(F387="",AR387=""),"",IF(COUNT(AI387:AQ387)=0,"",AR387-LOOKUP(2,1/(AI387:AQ387&lt;&gt;""),AI387:AQ387)))</t>
        </is>
      </c>
      <c r="BF387" s="49" t="inlineStr">
        <is>
          <t>IF(OR(F387="",AS387=""),"",IF(COUNT(AI387:AR387)=0,"",AS387-LOOKUP(2,1/(AI387:AR387&lt;&gt;""),AI387:AR387)))</t>
        </is>
      </c>
      <c r="BG387" s="49" t="inlineStr">
        <is>
          <t>IF(OR(F387="",AT387=""),"",IF(COUNT(AI387:AS387)=0,"",AT387-LOOKUP(2,1/(AI387:AS387&lt;&gt;""),AI387:AS387)))</t>
        </is>
      </c>
      <c r="BH387" s="49" t="inlineStr">
        <is>
          <t>IF(OR(F387="",AU387=""),"",IF(COUNT(AI387:AT387)=0,"",AU387-LOOKUP(2,1/(AI387:AT387&lt;&gt;""),AI387:AT387)))</t>
        </is>
      </c>
      <c r="BI387" s="49" t="inlineStr">
        <is>
          <t>IF(OR(F387="",AV387=""),"",IF(COUNT(AI387:AU387)=0,"",AV387-LOOKUP(2,1/(AI387:AU387&lt;&gt;""),AI387:AU387)))</t>
        </is>
      </c>
      <c r="BJ387" s="51" t="inlineStr">
        <is>
          <t>IF(J387="","All_Provinces",IFERROR(VLOOKUP(J387,'09_Lookups'!$A$4:$B$20,2,FALSE),"All_Provinces"))</t>
        </is>
      </c>
      <c r="BK387" s="51" t="inlineStr">
        <is>
          <t>IF(K387="","All_Districts",IFERROR(VLOOKUP(K387,'09_Lookups'!$E$4:$F$42,2,FALSE),"All_Districts"))</t>
        </is>
      </c>
    </row>
    <row r="388" ht="18" customHeight="1">
      <c r="A388" s="42" t="inlineStr">
        <is>
          <t>IF(F388="","",ROW()-3)</t>
        </is>
      </c>
      <c r="B388" s="52" t="n"/>
      <c r="C388" s="52" t="n"/>
      <c r="D388" s="52" t="n"/>
      <c r="E388" s="52" t="n"/>
      <c r="F388" s="52" t="n"/>
      <c r="G388" s="52" t="n"/>
      <c r="H388" s="52" t="n"/>
      <c r="I388" s="52" t="n"/>
      <c r="J388" s="52" t="n"/>
      <c r="K388" s="52" t="n"/>
      <c r="L388" s="52" t="n"/>
      <c r="M388" s="52" t="n"/>
      <c r="N388" s="52" t="n"/>
      <c r="O388" s="52" t="n"/>
      <c r="P388" s="52" t="n"/>
      <c r="Q388" s="52" t="n"/>
      <c r="R388" s="52" t="n"/>
      <c r="S388" s="53" t="n"/>
      <c r="T388" s="46" t="inlineStr">
        <is>
          <t>IF(AQ388="","",AQ388)</t>
        </is>
      </c>
      <c r="U388" s="54" t="n"/>
      <c r="V388" s="55" t="n"/>
      <c r="W388" s="54" t="n"/>
      <c r="X388" s="46" t="inlineStr">
        <is>
          <t>IF(W388&lt;&gt;"",W388,IF(OR(T388="",V388=""),"",EDATE(T388,V388)))</t>
        </is>
      </c>
      <c r="Y388" s="54" t="n"/>
      <c r="Z388" s="55" t="n"/>
      <c r="AA388" s="52" t="n"/>
      <c r="AB388" s="52" t="n"/>
      <c r="AC388" s="42" t="inlineStr">
        <is>
          <t>IF(F388="","",IF(COUNT(AI388:AV388)=0,IF(AA388="","Not started",AA388),SUBSTITUTE(LOOKUP(2,1/(AI388:AV388&lt;&gt;""),$AI$3:$AV$3),"Date: ","")))</t>
        </is>
      </c>
      <c r="AD388" s="49" t="inlineStr">
        <is>
          <t>IF(OR(F388="",COUNT(AI388:AV388)=0),"",TODAY()-LOOKUP(2,1/(AI388:AV388&lt;&gt;""),AI388:AV388))</t>
        </is>
      </c>
      <c r="AE388" s="49" t="inlineStr">
        <is>
          <t>IF(OR(F388="",COUNT(AI388:AV388)&lt;2),"",LOOKUP(2,1/(AI388:AV388&lt;&gt;""),AI388:AV388)-MIN(AI388:AV388))</t>
        </is>
      </c>
      <c r="AF388" s="49" t="inlineStr">
        <is>
          <t>IF(OR(AD388="",AC388="Not started",AC388=""),"",IFERROR(AD388-IF(VLOOKUP(AC388,'06_Status_Pipeline'!$B$3:$E$20,4,FALSE)="",0,VLOOKUP(AC388,'06_Status_Pipeline'!$B$3:$E$20,4,FALSE)),""))</t>
        </is>
      </c>
      <c r="AG388" s="42" t="inlineStr">
        <is>
          <t>IF(F388="","",IF(OR(AA388="Cancelled",AC388="Cancelled"),"Cancelled",IF(OR(AC388="Completed / Handover",Y388&lt;&gt;"",Z388&gt;=100),"Completed — on track",IF(O388="Not awarded",IF(U388="",IF(X388="","No planned date",IF(TODAY()&gt;X388,"Behind — past planned date",IF(X388-TODAY()&lt;=30,"At risk — close to off track","On track"))),IF(TODAY()&gt;U388,"Behind — award date passed",IF(U388-TODAY()&lt;=30,"At risk — close to off track","On track"))),IF(X388="","No planned date",IF(AND(TODAY()&gt;X388,OR(Z388="",Z388&lt;100)),"Behind — past end date",IF(AND(T388&lt;&gt;"",X388&lt;&gt;"",Z388&lt;&gt;"",(Z388&lt;100),((TODAY()-T388)/MAX(X388-T388,1)*100)-Z388&gt;15),"Behind — progress lag",IF(AND(X388-TODAY()&lt;=30,X388-TODAY()&gt;=0,OR(Z388="",Z388&lt;90)),"At risk — close to off track","On track"))))))))</t>
        </is>
      </c>
      <c r="AH388" s="49" t="inlineStr">
        <is>
          <t>IF(OR(F388="",AC388="Completed / Handover",AC388="Cancelled"),"",IF(O388="Not awarded",IF(U388&lt;&gt;"",U388-TODAY(),IF(X388="","",X388-TODAY())),IF(X388="","",X388-TODAY())))</t>
        </is>
      </c>
      <c r="AI388" s="54" t="n"/>
      <c r="AJ388" s="54" t="n"/>
      <c r="AK388" s="54" t="n"/>
      <c r="AL388" s="54" t="n"/>
      <c r="AM388" s="54" t="n"/>
      <c r="AN388" s="54" t="n"/>
      <c r="AO388" s="54" t="n"/>
      <c r="AP388" s="54" t="n"/>
      <c r="AQ388" s="54" t="n"/>
      <c r="AR388" s="54" t="n"/>
      <c r="AS388" s="54" t="n"/>
      <c r="AT388" s="50" t="n"/>
      <c r="AU388" s="50" t="n"/>
      <c r="AV388" s="50" t="n"/>
      <c r="AW388" s="49" t="inlineStr">
        <is>
          <t>IF(OR(F388="",AJ388=""),"",IF(COUNT(AI388:AI388)=0,"",AJ388-LOOKUP(2,1/(AI388:AI388&lt;&gt;""),AI388:AI388)))</t>
        </is>
      </c>
      <c r="AX388" s="49" t="inlineStr">
        <is>
          <t>IF(OR(F388="",AK388=""),"",IF(COUNT(AI388:AJ388)=0,"",AK388-LOOKUP(2,1/(AI388:AJ388&lt;&gt;""),AI388:AJ388)))</t>
        </is>
      </c>
      <c r="AY388" s="49" t="inlineStr">
        <is>
          <t>IF(OR(F388="",AL388=""),"",IF(COUNT(AI388:AK388)=0,"",AL388-LOOKUP(2,1/(AI388:AK388&lt;&gt;""),AI388:AK388)))</t>
        </is>
      </c>
      <c r="AZ388" s="49" t="inlineStr">
        <is>
          <t>IF(OR(F388="",AM388=""),"",IF(COUNT(AI388:AL388)=0,"",AM388-LOOKUP(2,1/(AI388:AL388&lt;&gt;""),AI388:AL388)))</t>
        </is>
      </c>
      <c r="BA388" s="49" t="inlineStr">
        <is>
          <t>IF(OR(F388="",AN388=""),"",IF(COUNT(AI388:AM388)=0,"",AN388-LOOKUP(2,1/(AI388:AM388&lt;&gt;""),AI388:AM388)))</t>
        </is>
      </c>
      <c r="BB388" s="49" t="inlineStr">
        <is>
          <t>IF(OR(F388="",AO388=""),"",IF(COUNT(AI388:AN388)=0,"",AO388-LOOKUP(2,1/(AI388:AN388&lt;&gt;""),AI388:AN388)))</t>
        </is>
      </c>
      <c r="BC388" s="49" t="inlineStr">
        <is>
          <t>IF(OR(F388="",AP388=""),"",IF(COUNT(AI388:AO388)=0,"",AP388-LOOKUP(2,1/(AI388:AO388&lt;&gt;""),AI388:AO388)))</t>
        </is>
      </c>
      <c r="BD388" s="49" t="inlineStr">
        <is>
          <t>IF(OR(F388="",AQ388=""),"",IF(COUNT(AI388:AP388)=0,"",AQ388-LOOKUP(2,1/(AI388:AP388&lt;&gt;""),AI388:AP388)))</t>
        </is>
      </c>
      <c r="BE388" s="49" t="inlineStr">
        <is>
          <t>IF(OR(F388="",AR388=""),"",IF(COUNT(AI388:AQ388)=0,"",AR388-LOOKUP(2,1/(AI388:AQ388&lt;&gt;""),AI388:AQ388)))</t>
        </is>
      </c>
      <c r="BF388" s="49" t="inlineStr">
        <is>
          <t>IF(OR(F388="",AS388=""),"",IF(COUNT(AI388:AR388)=0,"",AS388-LOOKUP(2,1/(AI388:AR388&lt;&gt;""),AI388:AR388)))</t>
        </is>
      </c>
      <c r="BG388" s="49" t="inlineStr">
        <is>
          <t>IF(OR(F388="",AT388=""),"",IF(COUNT(AI388:AS388)=0,"",AT388-LOOKUP(2,1/(AI388:AS388&lt;&gt;""),AI388:AS388)))</t>
        </is>
      </c>
      <c r="BH388" s="49" t="inlineStr">
        <is>
          <t>IF(OR(F388="",AU388=""),"",IF(COUNT(AI388:AT388)=0,"",AU388-LOOKUP(2,1/(AI388:AT388&lt;&gt;""),AI388:AT388)))</t>
        </is>
      </c>
      <c r="BI388" s="49" t="inlineStr">
        <is>
          <t>IF(OR(F388="",AV388=""),"",IF(COUNT(AI388:AU388)=0,"",AV388-LOOKUP(2,1/(AI388:AU388&lt;&gt;""),AI388:AU388)))</t>
        </is>
      </c>
      <c r="BJ388" s="51" t="inlineStr">
        <is>
          <t>IF(J388="","All_Provinces",IFERROR(VLOOKUP(J388,'09_Lookups'!$A$4:$B$20,2,FALSE),"All_Provinces"))</t>
        </is>
      </c>
      <c r="BK388" s="51" t="inlineStr">
        <is>
          <t>IF(K388="","All_Districts",IFERROR(VLOOKUP(K388,'09_Lookups'!$E$4:$F$42,2,FALSE),"All_Districts"))</t>
        </is>
      </c>
    </row>
    <row r="389" ht="18" customHeight="1">
      <c r="A389" s="42" t="inlineStr">
        <is>
          <t>IF(F389="","",ROW()-3)</t>
        </is>
      </c>
      <c r="B389" s="44" t="n"/>
      <c r="C389" s="44" t="n"/>
      <c r="D389" s="44" t="n"/>
      <c r="E389" s="44" t="n"/>
      <c r="F389" s="44" t="n"/>
      <c r="G389" s="44" t="n"/>
      <c r="H389" s="44" t="n"/>
      <c r="I389" s="44" t="n"/>
      <c r="J389" s="44" t="n"/>
      <c r="K389" s="44" t="n"/>
      <c r="L389" s="44" t="n"/>
      <c r="M389" s="44" t="n"/>
      <c r="N389" s="44" t="n"/>
      <c r="O389" s="44" t="n"/>
      <c r="P389" s="44" t="n"/>
      <c r="Q389" s="44" t="n"/>
      <c r="R389" s="44" t="n"/>
      <c r="S389" s="45" t="n"/>
      <c r="T389" s="46" t="inlineStr">
        <is>
          <t>IF(AQ389="","",AQ389)</t>
        </is>
      </c>
      <c r="U389" s="47" t="n"/>
      <c r="V389" s="48" t="n"/>
      <c r="W389" s="47" t="n"/>
      <c r="X389" s="46" t="inlineStr">
        <is>
          <t>IF(W389&lt;&gt;"",W389,IF(OR(T389="",V389=""),"",EDATE(T389,V389)))</t>
        </is>
      </c>
      <c r="Y389" s="47" t="n"/>
      <c r="Z389" s="48" t="n"/>
      <c r="AA389" s="44" t="n"/>
      <c r="AB389" s="44" t="n"/>
      <c r="AC389" s="42" t="inlineStr">
        <is>
          <t>IF(F389="","",IF(COUNT(AI389:AV389)=0,IF(AA389="","Not started",AA389),SUBSTITUTE(LOOKUP(2,1/(AI389:AV389&lt;&gt;""),$AI$3:$AV$3),"Date: ","")))</t>
        </is>
      </c>
      <c r="AD389" s="49" t="inlineStr">
        <is>
          <t>IF(OR(F389="",COUNT(AI389:AV389)=0),"",TODAY()-LOOKUP(2,1/(AI389:AV389&lt;&gt;""),AI389:AV389))</t>
        </is>
      </c>
      <c r="AE389" s="49" t="inlineStr">
        <is>
          <t>IF(OR(F389="",COUNT(AI389:AV389)&lt;2),"",LOOKUP(2,1/(AI389:AV389&lt;&gt;""),AI389:AV389)-MIN(AI389:AV389))</t>
        </is>
      </c>
      <c r="AF389" s="49" t="inlineStr">
        <is>
          <t>IF(OR(AD389="",AC389="Not started",AC389=""),"",IFERROR(AD389-IF(VLOOKUP(AC389,'06_Status_Pipeline'!$B$3:$E$20,4,FALSE)="",0,VLOOKUP(AC389,'06_Status_Pipeline'!$B$3:$E$20,4,FALSE)),""))</t>
        </is>
      </c>
      <c r="AG389" s="42" t="inlineStr">
        <is>
          <t>IF(F389="","",IF(OR(AA389="Cancelled",AC389="Cancelled"),"Cancelled",IF(OR(AC389="Completed / Handover",Y389&lt;&gt;"",Z389&gt;=100),"Completed — on track",IF(O389="Not awarded",IF(U389="",IF(X389="","No planned date",IF(TODAY()&gt;X389,"Behind — past planned date",IF(X389-TODAY()&lt;=30,"At risk — close to off track","On track"))),IF(TODAY()&gt;U389,"Behind — award date passed",IF(U389-TODAY()&lt;=30,"At risk — close to off track","On track"))),IF(X389="","No planned date",IF(AND(TODAY()&gt;X389,OR(Z389="",Z389&lt;100)),"Behind — past end date",IF(AND(T389&lt;&gt;"",X389&lt;&gt;"",Z389&lt;&gt;"",(Z389&lt;100),((TODAY()-T389)/MAX(X389-T389,1)*100)-Z389&gt;15),"Behind — progress lag",IF(AND(X389-TODAY()&lt;=30,X389-TODAY()&gt;=0,OR(Z389="",Z389&lt;90)),"At risk — close to off track","On track"))))))))</t>
        </is>
      </c>
      <c r="AH389" s="49" t="inlineStr">
        <is>
          <t>IF(OR(F389="",AC389="Completed / Handover",AC389="Cancelled"),"",IF(O389="Not awarded",IF(U389&lt;&gt;"",U389-TODAY(),IF(X389="","",X389-TODAY())),IF(X389="","",X389-TODAY())))</t>
        </is>
      </c>
      <c r="AI389" s="47" t="n"/>
      <c r="AJ389" s="47" t="n"/>
      <c r="AK389" s="47" t="n"/>
      <c r="AL389" s="47" t="n"/>
      <c r="AM389" s="47" t="n"/>
      <c r="AN389" s="47" t="n"/>
      <c r="AO389" s="47" t="n"/>
      <c r="AP389" s="47" t="n"/>
      <c r="AQ389" s="47" t="n"/>
      <c r="AR389" s="47" t="n"/>
      <c r="AS389" s="47" t="n"/>
      <c r="AT389" s="50" t="n"/>
      <c r="AU389" s="50" t="n"/>
      <c r="AV389" s="50" t="n"/>
      <c r="AW389" s="49" t="inlineStr">
        <is>
          <t>IF(OR(F389="",AJ389=""),"",IF(COUNT(AI389:AI389)=0,"",AJ389-LOOKUP(2,1/(AI389:AI389&lt;&gt;""),AI389:AI389)))</t>
        </is>
      </c>
      <c r="AX389" s="49" t="inlineStr">
        <is>
          <t>IF(OR(F389="",AK389=""),"",IF(COUNT(AI389:AJ389)=0,"",AK389-LOOKUP(2,1/(AI389:AJ389&lt;&gt;""),AI389:AJ389)))</t>
        </is>
      </c>
      <c r="AY389" s="49" t="inlineStr">
        <is>
          <t>IF(OR(F389="",AL389=""),"",IF(COUNT(AI389:AK389)=0,"",AL389-LOOKUP(2,1/(AI389:AK389&lt;&gt;""),AI389:AK389)))</t>
        </is>
      </c>
      <c r="AZ389" s="49" t="inlineStr">
        <is>
          <t>IF(OR(F389="",AM389=""),"",IF(COUNT(AI389:AL389)=0,"",AM389-LOOKUP(2,1/(AI389:AL389&lt;&gt;""),AI389:AL389)))</t>
        </is>
      </c>
      <c r="BA389" s="49" t="inlineStr">
        <is>
          <t>IF(OR(F389="",AN389=""),"",IF(COUNT(AI389:AM389)=0,"",AN389-LOOKUP(2,1/(AI389:AM389&lt;&gt;""),AI389:AM389)))</t>
        </is>
      </c>
      <c r="BB389" s="49" t="inlineStr">
        <is>
          <t>IF(OR(F389="",AO389=""),"",IF(COUNT(AI389:AN389)=0,"",AO389-LOOKUP(2,1/(AI389:AN389&lt;&gt;""),AI389:AN389)))</t>
        </is>
      </c>
      <c r="BC389" s="49" t="inlineStr">
        <is>
          <t>IF(OR(F389="",AP389=""),"",IF(COUNT(AI389:AO389)=0,"",AP389-LOOKUP(2,1/(AI389:AO389&lt;&gt;""),AI389:AO389)))</t>
        </is>
      </c>
      <c r="BD389" s="49" t="inlineStr">
        <is>
          <t>IF(OR(F389="",AQ389=""),"",IF(COUNT(AI389:AP389)=0,"",AQ389-LOOKUP(2,1/(AI389:AP389&lt;&gt;""),AI389:AP389)))</t>
        </is>
      </c>
      <c r="BE389" s="49" t="inlineStr">
        <is>
          <t>IF(OR(F389="",AR389=""),"",IF(COUNT(AI389:AQ389)=0,"",AR389-LOOKUP(2,1/(AI389:AQ389&lt;&gt;""),AI389:AQ389)))</t>
        </is>
      </c>
      <c r="BF389" s="49" t="inlineStr">
        <is>
          <t>IF(OR(F389="",AS389=""),"",IF(COUNT(AI389:AR389)=0,"",AS389-LOOKUP(2,1/(AI389:AR389&lt;&gt;""),AI389:AR389)))</t>
        </is>
      </c>
      <c r="BG389" s="49" t="inlineStr">
        <is>
          <t>IF(OR(F389="",AT389=""),"",IF(COUNT(AI389:AS389)=0,"",AT389-LOOKUP(2,1/(AI389:AS389&lt;&gt;""),AI389:AS389)))</t>
        </is>
      </c>
      <c r="BH389" s="49" t="inlineStr">
        <is>
          <t>IF(OR(F389="",AU389=""),"",IF(COUNT(AI389:AT389)=0,"",AU389-LOOKUP(2,1/(AI389:AT389&lt;&gt;""),AI389:AT389)))</t>
        </is>
      </c>
      <c r="BI389" s="49" t="inlineStr">
        <is>
          <t>IF(OR(F389="",AV389=""),"",IF(COUNT(AI389:AU389)=0,"",AV389-LOOKUP(2,1/(AI389:AU389&lt;&gt;""),AI389:AU389)))</t>
        </is>
      </c>
      <c r="BJ389" s="51" t="inlineStr">
        <is>
          <t>IF(J389="","All_Provinces",IFERROR(VLOOKUP(J389,'09_Lookups'!$A$4:$B$20,2,FALSE),"All_Provinces"))</t>
        </is>
      </c>
      <c r="BK389" s="51" t="inlineStr">
        <is>
          <t>IF(K389="","All_Districts",IFERROR(VLOOKUP(K389,'09_Lookups'!$E$4:$F$42,2,FALSE),"All_Districts"))</t>
        </is>
      </c>
    </row>
    <row r="390" ht="18" customHeight="1">
      <c r="A390" s="42" t="inlineStr">
        <is>
          <t>IF(F390="","",ROW()-3)</t>
        </is>
      </c>
      <c r="B390" s="52" t="n"/>
      <c r="C390" s="52" t="n"/>
      <c r="D390" s="52" t="n"/>
      <c r="E390" s="52" t="n"/>
      <c r="F390" s="52" t="n"/>
      <c r="G390" s="52" t="n"/>
      <c r="H390" s="52" t="n"/>
      <c r="I390" s="52" t="n"/>
      <c r="J390" s="52" t="n"/>
      <c r="K390" s="52" t="n"/>
      <c r="L390" s="52" t="n"/>
      <c r="M390" s="52" t="n"/>
      <c r="N390" s="52" t="n"/>
      <c r="O390" s="52" t="n"/>
      <c r="P390" s="52" t="n"/>
      <c r="Q390" s="52" t="n"/>
      <c r="R390" s="52" t="n"/>
      <c r="S390" s="53" t="n"/>
      <c r="T390" s="46" t="inlineStr">
        <is>
          <t>IF(AQ390="","",AQ390)</t>
        </is>
      </c>
      <c r="U390" s="54" t="n"/>
      <c r="V390" s="55" t="n"/>
      <c r="W390" s="54" t="n"/>
      <c r="X390" s="46" t="inlineStr">
        <is>
          <t>IF(W390&lt;&gt;"",W390,IF(OR(T390="",V390=""),"",EDATE(T390,V390)))</t>
        </is>
      </c>
      <c r="Y390" s="54" t="n"/>
      <c r="Z390" s="55" t="n"/>
      <c r="AA390" s="52" t="n"/>
      <c r="AB390" s="52" t="n"/>
      <c r="AC390" s="42" t="inlineStr">
        <is>
          <t>IF(F390="","",IF(COUNT(AI390:AV390)=0,IF(AA390="","Not started",AA390),SUBSTITUTE(LOOKUP(2,1/(AI390:AV390&lt;&gt;""),$AI$3:$AV$3),"Date: ","")))</t>
        </is>
      </c>
      <c r="AD390" s="49" t="inlineStr">
        <is>
          <t>IF(OR(F390="",COUNT(AI390:AV390)=0),"",TODAY()-LOOKUP(2,1/(AI390:AV390&lt;&gt;""),AI390:AV390))</t>
        </is>
      </c>
      <c r="AE390" s="49" t="inlineStr">
        <is>
          <t>IF(OR(F390="",COUNT(AI390:AV390)&lt;2),"",LOOKUP(2,1/(AI390:AV390&lt;&gt;""),AI390:AV390)-MIN(AI390:AV390))</t>
        </is>
      </c>
      <c r="AF390" s="49" t="inlineStr">
        <is>
          <t>IF(OR(AD390="",AC390="Not started",AC390=""),"",IFERROR(AD390-IF(VLOOKUP(AC390,'06_Status_Pipeline'!$B$3:$E$20,4,FALSE)="",0,VLOOKUP(AC390,'06_Status_Pipeline'!$B$3:$E$20,4,FALSE)),""))</t>
        </is>
      </c>
      <c r="AG390" s="42" t="inlineStr">
        <is>
          <t>IF(F390="","",IF(OR(AA390="Cancelled",AC390="Cancelled"),"Cancelled",IF(OR(AC390="Completed / Handover",Y390&lt;&gt;"",Z390&gt;=100),"Completed — on track",IF(O390="Not awarded",IF(U390="",IF(X390="","No planned date",IF(TODAY()&gt;X390,"Behind — past planned date",IF(X390-TODAY()&lt;=30,"At risk — close to off track","On track"))),IF(TODAY()&gt;U390,"Behind — award date passed",IF(U390-TODAY()&lt;=30,"At risk — close to off track","On track"))),IF(X390="","No planned date",IF(AND(TODAY()&gt;X390,OR(Z390="",Z390&lt;100)),"Behind — past end date",IF(AND(T390&lt;&gt;"",X390&lt;&gt;"",Z390&lt;&gt;"",(Z390&lt;100),((TODAY()-T390)/MAX(X390-T390,1)*100)-Z390&gt;15),"Behind — progress lag",IF(AND(X390-TODAY()&lt;=30,X390-TODAY()&gt;=0,OR(Z390="",Z390&lt;90)),"At risk — close to off track","On track"))))))))</t>
        </is>
      </c>
      <c r="AH390" s="49" t="inlineStr">
        <is>
          <t>IF(OR(F390="",AC390="Completed / Handover",AC390="Cancelled"),"",IF(O390="Not awarded",IF(U390&lt;&gt;"",U390-TODAY(),IF(X390="","",X390-TODAY())),IF(X390="","",X390-TODAY())))</t>
        </is>
      </c>
      <c r="AI390" s="54" t="n"/>
      <c r="AJ390" s="54" t="n"/>
      <c r="AK390" s="54" t="n"/>
      <c r="AL390" s="54" t="n"/>
      <c r="AM390" s="54" t="n"/>
      <c r="AN390" s="54" t="n"/>
      <c r="AO390" s="54" t="n"/>
      <c r="AP390" s="54" t="n"/>
      <c r="AQ390" s="54" t="n"/>
      <c r="AR390" s="54" t="n"/>
      <c r="AS390" s="54" t="n"/>
      <c r="AT390" s="50" t="n"/>
      <c r="AU390" s="50" t="n"/>
      <c r="AV390" s="50" t="n"/>
      <c r="AW390" s="49" t="inlineStr">
        <is>
          <t>IF(OR(F390="",AJ390=""),"",IF(COUNT(AI390:AI390)=0,"",AJ390-LOOKUP(2,1/(AI390:AI390&lt;&gt;""),AI390:AI390)))</t>
        </is>
      </c>
      <c r="AX390" s="49" t="inlineStr">
        <is>
          <t>IF(OR(F390="",AK390=""),"",IF(COUNT(AI390:AJ390)=0,"",AK390-LOOKUP(2,1/(AI390:AJ390&lt;&gt;""),AI390:AJ390)))</t>
        </is>
      </c>
      <c r="AY390" s="49" t="inlineStr">
        <is>
          <t>IF(OR(F390="",AL390=""),"",IF(COUNT(AI390:AK390)=0,"",AL390-LOOKUP(2,1/(AI390:AK390&lt;&gt;""),AI390:AK390)))</t>
        </is>
      </c>
      <c r="AZ390" s="49" t="inlineStr">
        <is>
          <t>IF(OR(F390="",AM390=""),"",IF(COUNT(AI390:AL390)=0,"",AM390-LOOKUP(2,1/(AI390:AL390&lt;&gt;""),AI390:AL390)))</t>
        </is>
      </c>
      <c r="BA390" s="49" t="inlineStr">
        <is>
          <t>IF(OR(F390="",AN390=""),"",IF(COUNT(AI390:AM390)=0,"",AN390-LOOKUP(2,1/(AI390:AM390&lt;&gt;""),AI390:AM390)))</t>
        </is>
      </c>
      <c r="BB390" s="49" t="inlineStr">
        <is>
          <t>IF(OR(F390="",AO390=""),"",IF(COUNT(AI390:AN390)=0,"",AO390-LOOKUP(2,1/(AI390:AN390&lt;&gt;""),AI390:AN390)))</t>
        </is>
      </c>
      <c r="BC390" s="49" t="inlineStr">
        <is>
          <t>IF(OR(F390="",AP390=""),"",IF(COUNT(AI390:AO390)=0,"",AP390-LOOKUP(2,1/(AI390:AO390&lt;&gt;""),AI390:AO390)))</t>
        </is>
      </c>
      <c r="BD390" s="49" t="inlineStr">
        <is>
          <t>IF(OR(F390="",AQ390=""),"",IF(COUNT(AI390:AP390)=0,"",AQ390-LOOKUP(2,1/(AI390:AP390&lt;&gt;""),AI390:AP390)))</t>
        </is>
      </c>
      <c r="BE390" s="49" t="inlineStr">
        <is>
          <t>IF(OR(F390="",AR390=""),"",IF(COUNT(AI390:AQ390)=0,"",AR390-LOOKUP(2,1/(AI390:AQ390&lt;&gt;""),AI390:AQ390)))</t>
        </is>
      </c>
      <c r="BF390" s="49" t="inlineStr">
        <is>
          <t>IF(OR(F390="",AS390=""),"",IF(COUNT(AI390:AR390)=0,"",AS390-LOOKUP(2,1/(AI390:AR390&lt;&gt;""),AI390:AR390)))</t>
        </is>
      </c>
      <c r="BG390" s="49" t="inlineStr">
        <is>
          <t>IF(OR(F390="",AT390=""),"",IF(COUNT(AI390:AS390)=0,"",AT390-LOOKUP(2,1/(AI390:AS390&lt;&gt;""),AI390:AS390)))</t>
        </is>
      </c>
      <c r="BH390" s="49" t="inlineStr">
        <is>
          <t>IF(OR(F390="",AU390=""),"",IF(COUNT(AI390:AT390)=0,"",AU390-LOOKUP(2,1/(AI390:AT390&lt;&gt;""),AI390:AT390)))</t>
        </is>
      </c>
      <c r="BI390" s="49" t="inlineStr">
        <is>
          <t>IF(OR(F390="",AV390=""),"",IF(COUNT(AI390:AU390)=0,"",AV390-LOOKUP(2,1/(AI390:AU390&lt;&gt;""),AI390:AU390)))</t>
        </is>
      </c>
      <c r="BJ390" s="51" t="inlineStr">
        <is>
          <t>IF(J390="","All_Provinces",IFERROR(VLOOKUP(J390,'09_Lookups'!$A$4:$B$20,2,FALSE),"All_Provinces"))</t>
        </is>
      </c>
      <c r="BK390" s="51" t="inlineStr">
        <is>
          <t>IF(K390="","All_Districts",IFERROR(VLOOKUP(K390,'09_Lookups'!$E$4:$F$42,2,FALSE),"All_Districts"))</t>
        </is>
      </c>
    </row>
    <row r="391" ht="18" customHeight="1">
      <c r="A391" s="42" t="inlineStr">
        <is>
          <t>IF(F391="","",ROW()-3)</t>
        </is>
      </c>
      <c r="B391" s="44" t="n"/>
      <c r="C391" s="44" t="n"/>
      <c r="D391" s="44" t="n"/>
      <c r="E391" s="44" t="n"/>
      <c r="F391" s="44" t="n"/>
      <c r="G391" s="44" t="n"/>
      <c r="H391" s="44" t="n"/>
      <c r="I391" s="44" t="n"/>
      <c r="J391" s="44" t="n"/>
      <c r="K391" s="44" t="n"/>
      <c r="L391" s="44" t="n"/>
      <c r="M391" s="44" t="n"/>
      <c r="N391" s="44" t="n"/>
      <c r="O391" s="44" t="n"/>
      <c r="P391" s="44" t="n"/>
      <c r="Q391" s="44" t="n"/>
      <c r="R391" s="44" t="n"/>
      <c r="S391" s="45" t="n"/>
      <c r="T391" s="46" t="inlineStr">
        <is>
          <t>IF(AQ391="","",AQ391)</t>
        </is>
      </c>
      <c r="U391" s="47" t="n"/>
      <c r="V391" s="48" t="n"/>
      <c r="W391" s="47" t="n"/>
      <c r="X391" s="46" t="inlineStr">
        <is>
          <t>IF(W391&lt;&gt;"",W391,IF(OR(T391="",V391=""),"",EDATE(T391,V391)))</t>
        </is>
      </c>
      <c r="Y391" s="47" t="n"/>
      <c r="Z391" s="48" t="n"/>
      <c r="AA391" s="44" t="n"/>
      <c r="AB391" s="44" t="n"/>
      <c r="AC391" s="42" t="inlineStr">
        <is>
          <t>IF(F391="","",IF(COUNT(AI391:AV391)=0,IF(AA391="","Not started",AA391),SUBSTITUTE(LOOKUP(2,1/(AI391:AV391&lt;&gt;""),$AI$3:$AV$3),"Date: ","")))</t>
        </is>
      </c>
      <c r="AD391" s="49" t="inlineStr">
        <is>
          <t>IF(OR(F391="",COUNT(AI391:AV391)=0),"",TODAY()-LOOKUP(2,1/(AI391:AV391&lt;&gt;""),AI391:AV391))</t>
        </is>
      </c>
      <c r="AE391" s="49" t="inlineStr">
        <is>
          <t>IF(OR(F391="",COUNT(AI391:AV391)&lt;2),"",LOOKUP(2,1/(AI391:AV391&lt;&gt;""),AI391:AV391)-MIN(AI391:AV391))</t>
        </is>
      </c>
      <c r="AF391" s="49" t="inlineStr">
        <is>
          <t>IF(OR(AD391="",AC391="Not started",AC391=""),"",IFERROR(AD391-IF(VLOOKUP(AC391,'06_Status_Pipeline'!$B$3:$E$20,4,FALSE)="",0,VLOOKUP(AC391,'06_Status_Pipeline'!$B$3:$E$20,4,FALSE)),""))</t>
        </is>
      </c>
      <c r="AG391" s="42" t="inlineStr">
        <is>
          <t>IF(F391="","",IF(OR(AA391="Cancelled",AC391="Cancelled"),"Cancelled",IF(OR(AC391="Completed / Handover",Y391&lt;&gt;"",Z391&gt;=100),"Completed — on track",IF(O391="Not awarded",IF(U391="",IF(X391="","No planned date",IF(TODAY()&gt;X391,"Behind — past planned date",IF(X391-TODAY()&lt;=30,"At risk — close to off track","On track"))),IF(TODAY()&gt;U391,"Behind — award date passed",IF(U391-TODAY()&lt;=30,"At risk — close to off track","On track"))),IF(X391="","No planned date",IF(AND(TODAY()&gt;X391,OR(Z391="",Z391&lt;100)),"Behind — past end date",IF(AND(T391&lt;&gt;"",X391&lt;&gt;"",Z391&lt;&gt;"",(Z391&lt;100),((TODAY()-T391)/MAX(X391-T391,1)*100)-Z391&gt;15),"Behind — progress lag",IF(AND(X391-TODAY()&lt;=30,X391-TODAY()&gt;=0,OR(Z391="",Z391&lt;90)),"At risk — close to off track","On track"))))))))</t>
        </is>
      </c>
      <c r="AH391" s="49" t="inlineStr">
        <is>
          <t>IF(OR(F391="",AC391="Completed / Handover",AC391="Cancelled"),"",IF(O391="Not awarded",IF(U391&lt;&gt;"",U391-TODAY(),IF(X391="","",X391-TODAY())),IF(X391="","",X391-TODAY())))</t>
        </is>
      </c>
      <c r="AI391" s="47" t="n"/>
      <c r="AJ391" s="47" t="n"/>
      <c r="AK391" s="47" t="n"/>
      <c r="AL391" s="47" t="n"/>
      <c r="AM391" s="47" t="n"/>
      <c r="AN391" s="47" t="n"/>
      <c r="AO391" s="47" t="n"/>
      <c r="AP391" s="47" t="n"/>
      <c r="AQ391" s="47" t="n"/>
      <c r="AR391" s="47" t="n"/>
      <c r="AS391" s="47" t="n"/>
      <c r="AT391" s="50" t="n"/>
      <c r="AU391" s="50" t="n"/>
      <c r="AV391" s="50" t="n"/>
      <c r="AW391" s="49" t="inlineStr">
        <is>
          <t>IF(OR(F391="",AJ391=""),"",IF(COUNT(AI391:AI391)=0,"",AJ391-LOOKUP(2,1/(AI391:AI391&lt;&gt;""),AI391:AI391)))</t>
        </is>
      </c>
      <c r="AX391" s="49" t="inlineStr">
        <is>
          <t>IF(OR(F391="",AK391=""),"",IF(COUNT(AI391:AJ391)=0,"",AK391-LOOKUP(2,1/(AI391:AJ391&lt;&gt;""),AI391:AJ391)))</t>
        </is>
      </c>
      <c r="AY391" s="49" t="inlineStr">
        <is>
          <t>IF(OR(F391="",AL391=""),"",IF(COUNT(AI391:AK391)=0,"",AL391-LOOKUP(2,1/(AI391:AK391&lt;&gt;""),AI391:AK391)))</t>
        </is>
      </c>
      <c r="AZ391" s="49" t="inlineStr">
        <is>
          <t>IF(OR(F391="",AM391=""),"",IF(COUNT(AI391:AL391)=0,"",AM391-LOOKUP(2,1/(AI391:AL391&lt;&gt;""),AI391:AL391)))</t>
        </is>
      </c>
      <c r="BA391" s="49" t="inlineStr">
        <is>
          <t>IF(OR(F391="",AN391=""),"",IF(COUNT(AI391:AM391)=0,"",AN391-LOOKUP(2,1/(AI391:AM391&lt;&gt;""),AI391:AM391)))</t>
        </is>
      </c>
      <c r="BB391" s="49" t="inlineStr">
        <is>
          <t>IF(OR(F391="",AO391=""),"",IF(COUNT(AI391:AN391)=0,"",AO391-LOOKUP(2,1/(AI391:AN391&lt;&gt;""),AI391:AN391)))</t>
        </is>
      </c>
      <c r="BC391" s="49" t="inlineStr">
        <is>
          <t>IF(OR(F391="",AP391=""),"",IF(COUNT(AI391:AO391)=0,"",AP391-LOOKUP(2,1/(AI391:AO391&lt;&gt;""),AI391:AO391)))</t>
        </is>
      </c>
      <c r="BD391" s="49" t="inlineStr">
        <is>
          <t>IF(OR(F391="",AQ391=""),"",IF(COUNT(AI391:AP391)=0,"",AQ391-LOOKUP(2,1/(AI391:AP391&lt;&gt;""),AI391:AP391)))</t>
        </is>
      </c>
      <c r="BE391" s="49" t="inlineStr">
        <is>
          <t>IF(OR(F391="",AR391=""),"",IF(COUNT(AI391:AQ391)=0,"",AR391-LOOKUP(2,1/(AI391:AQ391&lt;&gt;""),AI391:AQ391)))</t>
        </is>
      </c>
      <c r="BF391" s="49" t="inlineStr">
        <is>
          <t>IF(OR(F391="",AS391=""),"",IF(COUNT(AI391:AR391)=0,"",AS391-LOOKUP(2,1/(AI391:AR391&lt;&gt;""),AI391:AR391)))</t>
        </is>
      </c>
      <c r="BG391" s="49" t="inlineStr">
        <is>
          <t>IF(OR(F391="",AT391=""),"",IF(COUNT(AI391:AS391)=0,"",AT391-LOOKUP(2,1/(AI391:AS391&lt;&gt;""),AI391:AS391)))</t>
        </is>
      </c>
      <c r="BH391" s="49" t="inlineStr">
        <is>
          <t>IF(OR(F391="",AU391=""),"",IF(COUNT(AI391:AT391)=0,"",AU391-LOOKUP(2,1/(AI391:AT391&lt;&gt;""),AI391:AT391)))</t>
        </is>
      </c>
      <c r="BI391" s="49" t="inlineStr">
        <is>
          <t>IF(OR(F391="",AV391=""),"",IF(COUNT(AI391:AU391)=0,"",AV391-LOOKUP(2,1/(AI391:AU391&lt;&gt;""),AI391:AU391)))</t>
        </is>
      </c>
      <c r="BJ391" s="51" t="inlineStr">
        <is>
          <t>IF(J391="","All_Provinces",IFERROR(VLOOKUP(J391,'09_Lookups'!$A$4:$B$20,2,FALSE),"All_Provinces"))</t>
        </is>
      </c>
      <c r="BK391" s="51" t="inlineStr">
        <is>
          <t>IF(K391="","All_Districts",IFERROR(VLOOKUP(K391,'09_Lookups'!$E$4:$F$42,2,FALSE),"All_Districts"))</t>
        </is>
      </c>
    </row>
    <row r="392" ht="18" customHeight="1">
      <c r="A392" s="42" t="inlineStr">
        <is>
          <t>IF(F392="","",ROW()-3)</t>
        </is>
      </c>
      <c r="B392" s="52" t="n"/>
      <c r="C392" s="52" t="n"/>
      <c r="D392" s="52" t="n"/>
      <c r="E392" s="52" t="n"/>
      <c r="F392" s="52" t="n"/>
      <c r="G392" s="52" t="n"/>
      <c r="H392" s="52" t="n"/>
      <c r="I392" s="52" t="n"/>
      <c r="J392" s="52" t="n"/>
      <c r="K392" s="52" t="n"/>
      <c r="L392" s="52" t="n"/>
      <c r="M392" s="52" t="n"/>
      <c r="N392" s="52" t="n"/>
      <c r="O392" s="52" t="n"/>
      <c r="P392" s="52" t="n"/>
      <c r="Q392" s="52" t="n"/>
      <c r="R392" s="52" t="n"/>
      <c r="S392" s="53" t="n"/>
      <c r="T392" s="46" t="inlineStr">
        <is>
          <t>IF(AQ392="","",AQ392)</t>
        </is>
      </c>
      <c r="U392" s="54" t="n"/>
      <c r="V392" s="55" t="n"/>
      <c r="W392" s="54" t="n"/>
      <c r="X392" s="46" t="inlineStr">
        <is>
          <t>IF(W392&lt;&gt;"",W392,IF(OR(T392="",V392=""),"",EDATE(T392,V392)))</t>
        </is>
      </c>
      <c r="Y392" s="54" t="n"/>
      <c r="Z392" s="55" t="n"/>
      <c r="AA392" s="52" t="n"/>
      <c r="AB392" s="52" t="n"/>
      <c r="AC392" s="42" t="inlineStr">
        <is>
          <t>IF(F392="","",IF(COUNT(AI392:AV392)=0,IF(AA392="","Not started",AA392),SUBSTITUTE(LOOKUP(2,1/(AI392:AV392&lt;&gt;""),$AI$3:$AV$3),"Date: ","")))</t>
        </is>
      </c>
      <c r="AD392" s="49" t="inlineStr">
        <is>
          <t>IF(OR(F392="",COUNT(AI392:AV392)=0),"",TODAY()-LOOKUP(2,1/(AI392:AV392&lt;&gt;""),AI392:AV392))</t>
        </is>
      </c>
      <c r="AE392" s="49" t="inlineStr">
        <is>
          <t>IF(OR(F392="",COUNT(AI392:AV392)&lt;2),"",LOOKUP(2,1/(AI392:AV392&lt;&gt;""),AI392:AV392)-MIN(AI392:AV392))</t>
        </is>
      </c>
      <c r="AF392" s="49" t="inlineStr">
        <is>
          <t>IF(OR(AD392="",AC392="Not started",AC392=""),"",IFERROR(AD392-IF(VLOOKUP(AC392,'06_Status_Pipeline'!$B$3:$E$20,4,FALSE)="",0,VLOOKUP(AC392,'06_Status_Pipeline'!$B$3:$E$20,4,FALSE)),""))</t>
        </is>
      </c>
      <c r="AG392" s="42" t="inlineStr">
        <is>
          <t>IF(F392="","",IF(OR(AA392="Cancelled",AC392="Cancelled"),"Cancelled",IF(OR(AC392="Completed / Handover",Y392&lt;&gt;"",Z392&gt;=100),"Completed — on track",IF(O392="Not awarded",IF(U392="",IF(X392="","No planned date",IF(TODAY()&gt;X392,"Behind — past planned date",IF(X392-TODAY()&lt;=30,"At risk — close to off track","On track"))),IF(TODAY()&gt;U392,"Behind — award date passed",IF(U392-TODAY()&lt;=30,"At risk — close to off track","On track"))),IF(X392="","No planned date",IF(AND(TODAY()&gt;X392,OR(Z392="",Z392&lt;100)),"Behind — past end date",IF(AND(T392&lt;&gt;"",X392&lt;&gt;"",Z392&lt;&gt;"",(Z392&lt;100),((TODAY()-T392)/MAX(X392-T392,1)*100)-Z392&gt;15),"Behind — progress lag",IF(AND(X392-TODAY()&lt;=30,X392-TODAY()&gt;=0,OR(Z392="",Z392&lt;90)),"At risk — close to off track","On track"))))))))</t>
        </is>
      </c>
      <c r="AH392" s="49" t="inlineStr">
        <is>
          <t>IF(OR(F392="",AC392="Completed / Handover",AC392="Cancelled"),"",IF(O392="Not awarded",IF(U392&lt;&gt;"",U392-TODAY(),IF(X392="","",X392-TODAY())),IF(X392="","",X392-TODAY())))</t>
        </is>
      </c>
      <c r="AI392" s="54" t="n"/>
      <c r="AJ392" s="54" t="n"/>
      <c r="AK392" s="54" t="n"/>
      <c r="AL392" s="54" t="n"/>
      <c r="AM392" s="54" t="n"/>
      <c r="AN392" s="54" t="n"/>
      <c r="AO392" s="54" t="n"/>
      <c r="AP392" s="54" t="n"/>
      <c r="AQ392" s="54" t="n"/>
      <c r="AR392" s="54" t="n"/>
      <c r="AS392" s="54" t="n"/>
      <c r="AT392" s="50" t="n"/>
      <c r="AU392" s="50" t="n"/>
      <c r="AV392" s="50" t="n"/>
      <c r="AW392" s="49" t="inlineStr">
        <is>
          <t>IF(OR(F392="",AJ392=""),"",IF(COUNT(AI392:AI392)=0,"",AJ392-LOOKUP(2,1/(AI392:AI392&lt;&gt;""),AI392:AI392)))</t>
        </is>
      </c>
      <c r="AX392" s="49" t="inlineStr">
        <is>
          <t>IF(OR(F392="",AK392=""),"",IF(COUNT(AI392:AJ392)=0,"",AK392-LOOKUP(2,1/(AI392:AJ392&lt;&gt;""),AI392:AJ392)))</t>
        </is>
      </c>
      <c r="AY392" s="49" t="inlineStr">
        <is>
          <t>IF(OR(F392="",AL392=""),"",IF(COUNT(AI392:AK392)=0,"",AL392-LOOKUP(2,1/(AI392:AK392&lt;&gt;""),AI392:AK392)))</t>
        </is>
      </c>
      <c r="AZ392" s="49" t="inlineStr">
        <is>
          <t>IF(OR(F392="",AM392=""),"",IF(COUNT(AI392:AL392)=0,"",AM392-LOOKUP(2,1/(AI392:AL392&lt;&gt;""),AI392:AL392)))</t>
        </is>
      </c>
      <c r="BA392" s="49" t="inlineStr">
        <is>
          <t>IF(OR(F392="",AN392=""),"",IF(COUNT(AI392:AM392)=0,"",AN392-LOOKUP(2,1/(AI392:AM392&lt;&gt;""),AI392:AM392)))</t>
        </is>
      </c>
      <c r="BB392" s="49" t="inlineStr">
        <is>
          <t>IF(OR(F392="",AO392=""),"",IF(COUNT(AI392:AN392)=0,"",AO392-LOOKUP(2,1/(AI392:AN392&lt;&gt;""),AI392:AN392)))</t>
        </is>
      </c>
      <c r="BC392" s="49" t="inlineStr">
        <is>
          <t>IF(OR(F392="",AP392=""),"",IF(COUNT(AI392:AO392)=0,"",AP392-LOOKUP(2,1/(AI392:AO392&lt;&gt;""),AI392:AO392)))</t>
        </is>
      </c>
      <c r="BD392" s="49" t="inlineStr">
        <is>
          <t>IF(OR(F392="",AQ392=""),"",IF(COUNT(AI392:AP392)=0,"",AQ392-LOOKUP(2,1/(AI392:AP392&lt;&gt;""),AI392:AP392)))</t>
        </is>
      </c>
      <c r="BE392" s="49" t="inlineStr">
        <is>
          <t>IF(OR(F392="",AR392=""),"",IF(COUNT(AI392:AQ392)=0,"",AR392-LOOKUP(2,1/(AI392:AQ392&lt;&gt;""),AI392:AQ392)))</t>
        </is>
      </c>
      <c r="BF392" s="49" t="inlineStr">
        <is>
          <t>IF(OR(F392="",AS392=""),"",IF(COUNT(AI392:AR392)=0,"",AS392-LOOKUP(2,1/(AI392:AR392&lt;&gt;""),AI392:AR392)))</t>
        </is>
      </c>
      <c r="BG392" s="49" t="inlineStr">
        <is>
          <t>IF(OR(F392="",AT392=""),"",IF(COUNT(AI392:AS392)=0,"",AT392-LOOKUP(2,1/(AI392:AS392&lt;&gt;""),AI392:AS392)))</t>
        </is>
      </c>
      <c r="BH392" s="49" t="inlineStr">
        <is>
          <t>IF(OR(F392="",AU392=""),"",IF(COUNT(AI392:AT392)=0,"",AU392-LOOKUP(2,1/(AI392:AT392&lt;&gt;""),AI392:AT392)))</t>
        </is>
      </c>
      <c r="BI392" s="49" t="inlineStr">
        <is>
          <t>IF(OR(F392="",AV392=""),"",IF(COUNT(AI392:AU392)=0,"",AV392-LOOKUP(2,1/(AI392:AU392&lt;&gt;""),AI392:AU392)))</t>
        </is>
      </c>
      <c r="BJ392" s="51" t="inlineStr">
        <is>
          <t>IF(J392="","All_Provinces",IFERROR(VLOOKUP(J392,'09_Lookups'!$A$4:$B$20,2,FALSE),"All_Provinces"))</t>
        </is>
      </c>
      <c r="BK392" s="51" t="inlineStr">
        <is>
          <t>IF(K392="","All_Districts",IFERROR(VLOOKUP(K392,'09_Lookups'!$E$4:$F$42,2,FALSE),"All_Districts"))</t>
        </is>
      </c>
    </row>
    <row r="393" ht="18" customHeight="1">
      <c r="A393" s="42" t="inlineStr">
        <is>
          <t>IF(F393="","",ROW()-3)</t>
        </is>
      </c>
      <c r="B393" s="44" t="n"/>
      <c r="C393" s="44" t="n"/>
      <c r="D393" s="44" t="n"/>
      <c r="E393" s="44" t="n"/>
      <c r="F393" s="44" t="n"/>
      <c r="G393" s="44" t="n"/>
      <c r="H393" s="44" t="n"/>
      <c r="I393" s="44" t="n"/>
      <c r="J393" s="44" t="n"/>
      <c r="K393" s="44" t="n"/>
      <c r="L393" s="44" t="n"/>
      <c r="M393" s="44" t="n"/>
      <c r="N393" s="44" t="n"/>
      <c r="O393" s="44" t="n"/>
      <c r="P393" s="44" t="n"/>
      <c r="Q393" s="44" t="n"/>
      <c r="R393" s="44" t="n"/>
      <c r="S393" s="45" t="n"/>
      <c r="T393" s="46" t="inlineStr">
        <is>
          <t>IF(AQ393="","",AQ393)</t>
        </is>
      </c>
      <c r="U393" s="47" t="n"/>
      <c r="V393" s="48" t="n"/>
      <c r="W393" s="47" t="n"/>
      <c r="X393" s="46" t="inlineStr">
        <is>
          <t>IF(W393&lt;&gt;"",W393,IF(OR(T393="",V393=""),"",EDATE(T393,V393)))</t>
        </is>
      </c>
      <c r="Y393" s="47" t="n"/>
      <c r="Z393" s="48" t="n"/>
      <c r="AA393" s="44" t="n"/>
      <c r="AB393" s="44" t="n"/>
      <c r="AC393" s="42" t="inlineStr">
        <is>
          <t>IF(F393="","",IF(COUNT(AI393:AV393)=0,IF(AA393="","Not started",AA393),SUBSTITUTE(LOOKUP(2,1/(AI393:AV393&lt;&gt;""),$AI$3:$AV$3),"Date: ","")))</t>
        </is>
      </c>
      <c r="AD393" s="49" t="inlineStr">
        <is>
          <t>IF(OR(F393="",COUNT(AI393:AV393)=0),"",TODAY()-LOOKUP(2,1/(AI393:AV393&lt;&gt;""),AI393:AV393))</t>
        </is>
      </c>
      <c r="AE393" s="49" t="inlineStr">
        <is>
          <t>IF(OR(F393="",COUNT(AI393:AV393)&lt;2),"",LOOKUP(2,1/(AI393:AV393&lt;&gt;""),AI393:AV393)-MIN(AI393:AV393))</t>
        </is>
      </c>
      <c r="AF393" s="49" t="inlineStr">
        <is>
          <t>IF(OR(AD393="",AC393="Not started",AC393=""),"",IFERROR(AD393-IF(VLOOKUP(AC393,'06_Status_Pipeline'!$B$3:$E$20,4,FALSE)="",0,VLOOKUP(AC393,'06_Status_Pipeline'!$B$3:$E$20,4,FALSE)),""))</t>
        </is>
      </c>
      <c r="AG393" s="42" t="inlineStr">
        <is>
          <t>IF(F393="","",IF(OR(AA393="Cancelled",AC393="Cancelled"),"Cancelled",IF(OR(AC393="Completed / Handover",Y393&lt;&gt;"",Z393&gt;=100),"Completed — on track",IF(O393="Not awarded",IF(U393="",IF(X393="","No planned date",IF(TODAY()&gt;X393,"Behind — past planned date",IF(X393-TODAY()&lt;=30,"At risk — close to off track","On track"))),IF(TODAY()&gt;U393,"Behind — award date passed",IF(U393-TODAY()&lt;=30,"At risk — close to off track","On track"))),IF(X393="","No planned date",IF(AND(TODAY()&gt;X393,OR(Z393="",Z393&lt;100)),"Behind — past end date",IF(AND(T393&lt;&gt;"",X393&lt;&gt;"",Z393&lt;&gt;"",(Z393&lt;100),((TODAY()-T393)/MAX(X393-T393,1)*100)-Z393&gt;15),"Behind — progress lag",IF(AND(X393-TODAY()&lt;=30,X393-TODAY()&gt;=0,OR(Z393="",Z393&lt;90)),"At risk — close to off track","On track"))))))))</t>
        </is>
      </c>
      <c r="AH393" s="49" t="inlineStr">
        <is>
          <t>IF(OR(F393="",AC393="Completed / Handover",AC393="Cancelled"),"",IF(O393="Not awarded",IF(U393&lt;&gt;"",U393-TODAY(),IF(X393="","",X393-TODAY())),IF(X393="","",X393-TODAY())))</t>
        </is>
      </c>
      <c r="AI393" s="47" t="n"/>
      <c r="AJ393" s="47" t="n"/>
      <c r="AK393" s="47" t="n"/>
      <c r="AL393" s="47" t="n"/>
      <c r="AM393" s="47" t="n"/>
      <c r="AN393" s="47" t="n"/>
      <c r="AO393" s="47" t="n"/>
      <c r="AP393" s="47" t="n"/>
      <c r="AQ393" s="47" t="n"/>
      <c r="AR393" s="47" t="n"/>
      <c r="AS393" s="47" t="n"/>
      <c r="AT393" s="50" t="n"/>
      <c r="AU393" s="50" t="n"/>
      <c r="AV393" s="50" t="n"/>
      <c r="AW393" s="49" t="inlineStr">
        <is>
          <t>IF(OR(F393="",AJ393=""),"",IF(COUNT(AI393:AI393)=0,"",AJ393-LOOKUP(2,1/(AI393:AI393&lt;&gt;""),AI393:AI393)))</t>
        </is>
      </c>
      <c r="AX393" s="49" t="inlineStr">
        <is>
          <t>IF(OR(F393="",AK393=""),"",IF(COUNT(AI393:AJ393)=0,"",AK393-LOOKUP(2,1/(AI393:AJ393&lt;&gt;""),AI393:AJ393)))</t>
        </is>
      </c>
      <c r="AY393" s="49" t="inlineStr">
        <is>
          <t>IF(OR(F393="",AL393=""),"",IF(COUNT(AI393:AK393)=0,"",AL393-LOOKUP(2,1/(AI393:AK393&lt;&gt;""),AI393:AK393)))</t>
        </is>
      </c>
      <c r="AZ393" s="49" t="inlineStr">
        <is>
          <t>IF(OR(F393="",AM393=""),"",IF(COUNT(AI393:AL393)=0,"",AM393-LOOKUP(2,1/(AI393:AL393&lt;&gt;""),AI393:AL393)))</t>
        </is>
      </c>
      <c r="BA393" s="49" t="inlineStr">
        <is>
          <t>IF(OR(F393="",AN393=""),"",IF(COUNT(AI393:AM393)=0,"",AN393-LOOKUP(2,1/(AI393:AM393&lt;&gt;""),AI393:AM393)))</t>
        </is>
      </c>
      <c r="BB393" s="49" t="inlineStr">
        <is>
          <t>IF(OR(F393="",AO393=""),"",IF(COUNT(AI393:AN393)=0,"",AO393-LOOKUP(2,1/(AI393:AN393&lt;&gt;""),AI393:AN393)))</t>
        </is>
      </c>
      <c r="BC393" s="49" t="inlineStr">
        <is>
          <t>IF(OR(F393="",AP393=""),"",IF(COUNT(AI393:AO393)=0,"",AP393-LOOKUP(2,1/(AI393:AO393&lt;&gt;""),AI393:AO393)))</t>
        </is>
      </c>
      <c r="BD393" s="49" t="inlineStr">
        <is>
          <t>IF(OR(F393="",AQ393=""),"",IF(COUNT(AI393:AP393)=0,"",AQ393-LOOKUP(2,1/(AI393:AP393&lt;&gt;""),AI393:AP393)))</t>
        </is>
      </c>
      <c r="BE393" s="49" t="inlineStr">
        <is>
          <t>IF(OR(F393="",AR393=""),"",IF(COUNT(AI393:AQ393)=0,"",AR393-LOOKUP(2,1/(AI393:AQ393&lt;&gt;""),AI393:AQ393)))</t>
        </is>
      </c>
      <c r="BF393" s="49" t="inlineStr">
        <is>
          <t>IF(OR(F393="",AS393=""),"",IF(COUNT(AI393:AR393)=0,"",AS393-LOOKUP(2,1/(AI393:AR393&lt;&gt;""),AI393:AR393)))</t>
        </is>
      </c>
      <c r="BG393" s="49" t="inlineStr">
        <is>
          <t>IF(OR(F393="",AT393=""),"",IF(COUNT(AI393:AS393)=0,"",AT393-LOOKUP(2,1/(AI393:AS393&lt;&gt;""),AI393:AS393)))</t>
        </is>
      </c>
      <c r="BH393" s="49" t="inlineStr">
        <is>
          <t>IF(OR(F393="",AU393=""),"",IF(COUNT(AI393:AT393)=0,"",AU393-LOOKUP(2,1/(AI393:AT393&lt;&gt;""),AI393:AT393)))</t>
        </is>
      </c>
      <c r="BI393" s="49" t="inlineStr">
        <is>
          <t>IF(OR(F393="",AV393=""),"",IF(COUNT(AI393:AU393)=0,"",AV393-LOOKUP(2,1/(AI393:AU393&lt;&gt;""),AI393:AU393)))</t>
        </is>
      </c>
      <c r="BJ393" s="51" t="inlineStr">
        <is>
          <t>IF(J393="","All_Provinces",IFERROR(VLOOKUP(J393,'09_Lookups'!$A$4:$B$20,2,FALSE),"All_Provinces"))</t>
        </is>
      </c>
      <c r="BK393" s="51" t="inlineStr">
        <is>
          <t>IF(K393="","All_Districts",IFERROR(VLOOKUP(K393,'09_Lookups'!$E$4:$F$42,2,FALSE),"All_Districts"))</t>
        </is>
      </c>
    </row>
    <row r="394" ht="18" customHeight="1">
      <c r="A394" s="42" t="inlineStr">
        <is>
          <t>IF(F394="","",ROW()-3)</t>
        </is>
      </c>
      <c r="B394" s="52" t="n"/>
      <c r="C394" s="52" t="n"/>
      <c r="D394" s="52" t="n"/>
      <c r="E394" s="52" t="n"/>
      <c r="F394" s="52" t="n"/>
      <c r="G394" s="52" t="n"/>
      <c r="H394" s="52" t="n"/>
      <c r="I394" s="52" t="n"/>
      <c r="J394" s="52" t="n"/>
      <c r="K394" s="52" t="n"/>
      <c r="L394" s="52" t="n"/>
      <c r="M394" s="52" t="n"/>
      <c r="N394" s="52" t="n"/>
      <c r="O394" s="52" t="n"/>
      <c r="P394" s="52" t="n"/>
      <c r="Q394" s="52" t="n"/>
      <c r="R394" s="52" t="n"/>
      <c r="S394" s="53" t="n"/>
      <c r="T394" s="46" t="inlineStr">
        <is>
          <t>IF(AQ394="","",AQ394)</t>
        </is>
      </c>
      <c r="U394" s="54" t="n"/>
      <c r="V394" s="55" t="n"/>
      <c r="W394" s="54" t="n"/>
      <c r="X394" s="46" t="inlineStr">
        <is>
          <t>IF(W394&lt;&gt;"",W394,IF(OR(T394="",V394=""),"",EDATE(T394,V394)))</t>
        </is>
      </c>
      <c r="Y394" s="54" t="n"/>
      <c r="Z394" s="55" t="n"/>
      <c r="AA394" s="52" t="n"/>
      <c r="AB394" s="52" t="n"/>
      <c r="AC394" s="42" t="inlineStr">
        <is>
          <t>IF(F394="","",IF(COUNT(AI394:AV394)=0,IF(AA394="","Not started",AA394),SUBSTITUTE(LOOKUP(2,1/(AI394:AV394&lt;&gt;""),$AI$3:$AV$3),"Date: ","")))</t>
        </is>
      </c>
      <c r="AD394" s="49" t="inlineStr">
        <is>
          <t>IF(OR(F394="",COUNT(AI394:AV394)=0),"",TODAY()-LOOKUP(2,1/(AI394:AV394&lt;&gt;""),AI394:AV394))</t>
        </is>
      </c>
      <c r="AE394" s="49" t="inlineStr">
        <is>
          <t>IF(OR(F394="",COUNT(AI394:AV394)&lt;2),"",LOOKUP(2,1/(AI394:AV394&lt;&gt;""),AI394:AV394)-MIN(AI394:AV394))</t>
        </is>
      </c>
      <c r="AF394" s="49" t="inlineStr">
        <is>
          <t>IF(OR(AD394="",AC394="Not started",AC394=""),"",IFERROR(AD394-IF(VLOOKUP(AC394,'06_Status_Pipeline'!$B$3:$E$20,4,FALSE)="",0,VLOOKUP(AC394,'06_Status_Pipeline'!$B$3:$E$20,4,FALSE)),""))</t>
        </is>
      </c>
      <c r="AG394" s="42" t="inlineStr">
        <is>
          <t>IF(F394="","",IF(OR(AA394="Cancelled",AC394="Cancelled"),"Cancelled",IF(OR(AC394="Completed / Handover",Y394&lt;&gt;"",Z394&gt;=100),"Completed — on track",IF(O394="Not awarded",IF(U394="",IF(X394="","No planned date",IF(TODAY()&gt;X394,"Behind — past planned date",IF(X394-TODAY()&lt;=30,"At risk — close to off track","On track"))),IF(TODAY()&gt;U394,"Behind — award date passed",IF(U394-TODAY()&lt;=30,"At risk — close to off track","On track"))),IF(X394="","No planned date",IF(AND(TODAY()&gt;X394,OR(Z394="",Z394&lt;100)),"Behind — past end date",IF(AND(T394&lt;&gt;"",X394&lt;&gt;"",Z394&lt;&gt;"",(Z394&lt;100),((TODAY()-T394)/MAX(X394-T394,1)*100)-Z394&gt;15),"Behind — progress lag",IF(AND(X394-TODAY()&lt;=30,X394-TODAY()&gt;=0,OR(Z394="",Z394&lt;90)),"At risk — close to off track","On track"))))))))</t>
        </is>
      </c>
      <c r="AH394" s="49" t="inlineStr">
        <is>
          <t>IF(OR(F394="",AC394="Completed / Handover",AC394="Cancelled"),"",IF(O394="Not awarded",IF(U394&lt;&gt;"",U394-TODAY(),IF(X394="","",X394-TODAY())),IF(X394="","",X394-TODAY())))</t>
        </is>
      </c>
      <c r="AI394" s="54" t="n"/>
      <c r="AJ394" s="54" t="n"/>
      <c r="AK394" s="54" t="n"/>
      <c r="AL394" s="54" t="n"/>
      <c r="AM394" s="54" t="n"/>
      <c r="AN394" s="54" t="n"/>
      <c r="AO394" s="54" t="n"/>
      <c r="AP394" s="54" t="n"/>
      <c r="AQ394" s="54" t="n"/>
      <c r="AR394" s="54" t="n"/>
      <c r="AS394" s="54" t="n"/>
      <c r="AT394" s="50" t="n"/>
      <c r="AU394" s="50" t="n"/>
      <c r="AV394" s="50" t="n"/>
      <c r="AW394" s="49" t="inlineStr">
        <is>
          <t>IF(OR(F394="",AJ394=""),"",IF(COUNT(AI394:AI394)=0,"",AJ394-LOOKUP(2,1/(AI394:AI394&lt;&gt;""),AI394:AI394)))</t>
        </is>
      </c>
      <c r="AX394" s="49" t="inlineStr">
        <is>
          <t>IF(OR(F394="",AK394=""),"",IF(COUNT(AI394:AJ394)=0,"",AK394-LOOKUP(2,1/(AI394:AJ394&lt;&gt;""),AI394:AJ394)))</t>
        </is>
      </c>
      <c r="AY394" s="49" t="inlineStr">
        <is>
          <t>IF(OR(F394="",AL394=""),"",IF(COUNT(AI394:AK394)=0,"",AL394-LOOKUP(2,1/(AI394:AK394&lt;&gt;""),AI394:AK394)))</t>
        </is>
      </c>
      <c r="AZ394" s="49" t="inlineStr">
        <is>
          <t>IF(OR(F394="",AM394=""),"",IF(COUNT(AI394:AL394)=0,"",AM394-LOOKUP(2,1/(AI394:AL394&lt;&gt;""),AI394:AL394)))</t>
        </is>
      </c>
      <c r="BA394" s="49" t="inlineStr">
        <is>
          <t>IF(OR(F394="",AN394=""),"",IF(COUNT(AI394:AM394)=0,"",AN394-LOOKUP(2,1/(AI394:AM394&lt;&gt;""),AI394:AM394)))</t>
        </is>
      </c>
      <c r="BB394" s="49" t="inlineStr">
        <is>
          <t>IF(OR(F394="",AO394=""),"",IF(COUNT(AI394:AN394)=0,"",AO394-LOOKUP(2,1/(AI394:AN394&lt;&gt;""),AI394:AN394)))</t>
        </is>
      </c>
      <c r="BC394" s="49" t="inlineStr">
        <is>
          <t>IF(OR(F394="",AP394=""),"",IF(COUNT(AI394:AO394)=0,"",AP394-LOOKUP(2,1/(AI394:AO394&lt;&gt;""),AI394:AO394)))</t>
        </is>
      </c>
      <c r="BD394" s="49" t="inlineStr">
        <is>
          <t>IF(OR(F394="",AQ394=""),"",IF(COUNT(AI394:AP394)=0,"",AQ394-LOOKUP(2,1/(AI394:AP394&lt;&gt;""),AI394:AP394)))</t>
        </is>
      </c>
      <c r="BE394" s="49" t="inlineStr">
        <is>
          <t>IF(OR(F394="",AR394=""),"",IF(COUNT(AI394:AQ394)=0,"",AR394-LOOKUP(2,1/(AI394:AQ394&lt;&gt;""),AI394:AQ394)))</t>
        </is>
      </c>
      <c r="BF394" s="49" t="inlineStr">
        <is>
          <t>IF(OR(F394="",AS394=""),"",IF(COUNT(AI394:AR394)=0,"",AS394-LOOKUP(2,1/(AI394:AR394&lt;&gt;""),AI394:AR394)))</t>
        </is>
      </c>
      <c r="BG394" s="49" t="inlineStr">
        <is>
          <t>IF(OR(F394="",AT394=""),"",IF(COUNT(AI394:AS394)=0,"",AT394-LOOKUP(2,1/(AI394:AS394&lt;&gt;""),AI394:AS394)))</t>
        </is>
      </c>
      <c r="BH394" s="49" t="inlineStr">
        <is>
          <t>IF(OR(F394="",AU394=""),"",IF(COUNT(AI394:AT394)=0,"",AU394-LOOKUP(2,1/(AI394:AT394&lt;&gt;""),AI394:AT394)))</t>
        </is>
      </c>
      <c r="BI394" s="49" t="inlineStr">
        <is>
          <t>IF(OR(F394="",AV394=""),"",IF(COUNT(AI394:AU394)=0,"",AV394-LOOKUP(2,1/(AI394:AU394&lt;&gt;""),AI394:AU394)))</t>
        </is>
      </c>
      <c r="BJ394" s="51" t="inlineStr">
        <is>
          <t>IF(J394="","All_Provinces",IFERROR(VLOOKUP(J394,'09_Lookups'!$A$4:$B$20,2,FALSE),"All_Provinces"))</t>
        </is>
      </c>
      <c r="BK394" s="51" t="inlineStr">
        <is>
          <t>IF(K394="","All_Districts",IFERROR(VLOOKUP(K394,'09_Lookups'!$E$4:$F$42,2,FALSE),"All_Districts"))</t>
        </is>
      </c>
    </row>
    <row r="395" ht="18" customHeight="1">
      <c r="A395" s="42" t="inlineStr">
        <is>
          <t>IF(F395="","",ROW()-3)</t>
        </is>
      </c>
      <c r="B395" s="44" t="n"/>
      <c r="C395" s="44" t="n"/>
      <c r="D395" s="44" t="n"/>
      <c r="E395" s="44" t="n"/>
      <c r="F395" s="44" t="n"/>
      <c r="G395" s="44" t="n"/>
      <c r="H395" s="44" t="n"/>
      <c r="I395" s="44" t="n"/>
      <c r="J395" s="44" t="n"/>
      <c r="K395" s="44" t="n"/>
      <c r="L395" s="44" t="n"/>
      <c r="M395" s="44" t="n"/>
      <c r="N395" s="44" t="n"/>
      <c r="O395" s="44" t="n"/>
      <c r="P395" s="44" t="n"/>
      <c r="Q395" s="44" t="n"/>
      <c r="R395" s="44" t="n"/>
      <c r="S395" s="45" t="n"/>
      <c r="T395" s="46" t="inlineStr">
        <is>
          <t>IF(AQ395="","",AQ395)</t>
        </is>
      </c>
      <c r="U395" s="47" t="n"/>
      <c r="V395" s="48" t="n"/>
      <c r="W395" s="47" t="n"/>
      <c r="X395" s="46" t="inlineStr">
        <is>
          <t>IF(W395&lt;&gt;"",W395,IF(OR(T395="",V395=""),"",EDATE(T395,V395)))</t>
        </is>
      </c>
      <c r="Y395" s="47" t="n"/>
      <c r="Z395" s="48" t="n"/>
      <c r="AA395" s="44" t="n"/>
      <c r="AB395" s="44" t="n"/>
      <c r="AC395" s="42" t="inlineStr">
        <is>
          <t>IF(F395="","",IF(COUNT(AI395:AV395)=0,IF(AA395="","Not started",AA395),SUBSTITUTE(LOOKUP(2,1/(AI395:AV395&lt;&gt;""),$AI$3:$AV$3),"Date: ","")))</t>
        </is>
      </c>
      <c r="AD395" s="49" t="inlineStr">
        <is>
          <t>IF(OR(F395="",COUNT(AI395:AV395)=0),"",TODAY()-LOOKUP(2,1/(AI395:AV395&lt;&gt;""),AI395:AV395))</t>
        </is>
      </c>
      <c r="AE395" s="49" t="inlineStr">
        <is>
          <t>IF(OR(F395="",COUNT(AI395:AV395)&lt;2),"",LOOKUP(2,1/(AI395:AV395&lt;&gt;""),AI395:AV395)-MIN(AI395:AV395))</t>
        </is>
      </c>
      <c r="AF395" s="49" t="inlineStr">
        <is>
          <t>IF(OR(AD395="",AC395="Not started",AC395=""),"",IFERROR(AD395-IF(VLOOKUP(AC395,'06_Status_Pipeline'!$B$3:$E$20,4,FALSE)="",0,VLOOKUP(AC395,'06_Status_Pipeline'!$B$3:$E$20,4,FALSE)),""))</t>
        </is>
      </c>
      <c r="AG395" s="42" t="inlineStr">
        <is>
          <t>IF(F395="","",IF(OR(AA395="Cancelled",AC395="Cancelled"),"Cancelled",IF(OR(AC395="Completed / Handover",Y395&lt;&gt;"",Z395&gt;=100),"Completed — on track",IF(O395="Not awarded",IF(U395="",IF(X395="","No planned date",IF(TODAY()&gt;X395,"Behind — past planned date",IF(X395-TODAY()&lt;=30,"At risk — close to off track","On track"))),IF(TODAY()&gt;U395,"Behind — award date passed",IF(U395-TODAY()&lt;=30,"At risk — close to off track","On track"))),IF(X395="","No planned date",IF(AND(TODAY()&gt;X395,OR(Z395="",Z395&lt;100)),"Behind — past end date",IF(AND(T395&lt;&gt;"",X395&lt;&gt;"",Z395&lt;&gt;"",(Z395&lt;100),((TODAY()-T395)/MAX(X395-T395,1)*100)-Z395&gt;15),"Behind — progress lag",IF(AND(X395-TODAY()&lt;=30,X395-TODAY()&gt;=0,OR(Z395="",Z395&lt;90)),"At risk — close to off track","On track"))))))))</t>
        </is>
      </c>
      <c r="AH395" s="49" t="inlineStr">
        <is>
          <t>IF(OR(F395="",AC395="Completed / Handover",AC395="Cancelled"),"",IF(O395="Not awarded",IF(U395&lt;&gt;"",U395-TODAY(),IF(X395="","",X395-TODAY())),IF(X395="","",X395-TODAY())))</t>
        </is>
      </c>
      <c r="AI395" s="47" t="n"/>
      <c r="AJ395" s="47" t="n"/>
      <c r="AK395" s="47" t="n"/>
      <c r="AL395" s="47" t="n"/>
      <c r="AM395" s="47" t="n"/>
      <c r="AN395" s="47" t="n"/>
      <c r="AO395" s="47" t="n"/>
      <c r="AP395" s="47" t="n"/>
      <c r="AQ395" s="47" t="n"/>
      <c r="AR395" s="47" t="n"/>
      <c r="AS395" s="47" t="n"/>
      <c r="AT395" s="50" t="n"/>
      <c r="AU395" s="50" t="n"/>
      <c r="AV395" s="50" t="n"/>
      <c r="AW395" s="49" t="inlineStr">
        <is>
          <t>IF(OR(F395="",AJ395=""),"",IF(COUNT(AI395:AI395)=0,"",AJ395-LOOKUP(2,1/(AI395:AI395&lt;&gt;""),AI395:AI395)))</t>
        </is>
      </c>
      <c r="AX395" s="49" t="inlineStr">
        <is>
          <t>IF(OR(F395="",AK395=""),"",IF(COUNT(AI395:AJ395)=0,"",AK395-LOOKUP(2,1/(AI395:AJ395&lt;&gt;""),AI395:AJ395)))</t>
        </is>
      </c>
      <c r="AY395" s="49" t="inlineStr">
        <is>
          <t>IF(OR(F395="",AL395=""),"",IF(COUNT(AI395:AK395)=0,"",AL395-LOOKUP(2,1/(AI395:AK395&lt;&gt;""),AI395:AK395)))</t>
        </is>
      </c>
      <c r="AZ395" s="49" t="inlineStr">
        <is>
          <t>IF(OR(F395="",AM395=""),"",IF(COUNT(AI395:AL395)=0,"",AM395-LOOKUP(2,1/(AI395:AL395&lt;&gt;""),AI395:AL395)))</t>
        </is>
      </c>
      <c r="BA395" s="49" t="inlineStr">
        <is>
          <t>IF(OR(F395="",AN395=""),"",IF(COUNT(AI395:AM395)=0,"",AN395-LOOKUP(2,1/(AI395:AM395&lt;&gt;""),AI395:AM395)))</t>
        </is>
      </c>
      <c r="BB395" s="49" t="inlineStr">
        <is>
          <t>IF(OR(F395="",AO395=""),"",IF(COUNT(AI395:AN395)=0,"",AO395-LOOKUP(2,1/(AI395:AN395&lt;&gt;""),AI395:AN395)))</t>
        </is>
      </c>
      <c r="BC395" s="49" t="inlineStr">
        <is>
          <t>IF(OR(F395="",AP395=""),"",IF(COUNT(AI395:AO395)=0,"",AP395-LOOKUP(2,1/(AI395:AO395&lt;&gt;""),AI395:AO395)))</t>
        </is>
      </c>
      <c r="BD395" s="49" t="inlineStr">
        <is>
          <t>IF(OR(F395="",AQ395=""),"",IF(COUNT(AI395:AP395)=0,"",AQ395-LOOKUP(2,1/(AI395:AP395&lt;&gt;""),AI395:AP395)))</t>
        </is>
      </c>
      <c r="BE395" s="49" t="inlineStr">
        <is>
          <t>IF(OR(F395="",AR395=""),"",IF(COUNT(AI395:AQ395)=0,"",AR395-LOOKUP(2,1/(AI395:AQ395&lt;&gt;""),AI395:AQ395)))</t>
        </is>
      </c>
      <c r="BF395" s="49" t="inlineStr">
        <is>
          <t>IF(OR(F395="",AS395=""),"",IF(COUNT(AI395:AR395)=0,"",AS395-LOOKUP(2,1/(AI395:AR395&lt;&gt;""),AI395:AR395)))</t>
        </is>
      </c>
      <c r="BG395" s="49" t="inlineStr">
        <is>
          <t>IF(OR(F395="",AT395=""),"",IF(COUNT(AI395:AS395)=0,"",AT395-LOOKUP(2,1/(AI395:AS395&lt;&gt;""),AI395:AS395)))</t>
        </is>
      </c>
      <c r="BH395" s="49" t="inlineStr">
        <is>
          <t>IF(OR(F395="",AU395=""),"",IF(COUNT(AI395:AT395)=0,"",AU395-LOOKUP(2,1/(AI395:AT395&lt;&gt;""),AI395:AT395)))</t>
        </is>
      </c>
      <c r="BI395" s="49" t="inlineStr">
        <is>
          <t>IF(OR(F395="",AV395=""),"",IF(COUNT(AI395:AU395)=0,"",AV395-LOOKUP(2,1/(AI395:AU395&lt;&gt;""),AI395:AU395)))</t>
        </is>
      </c>
      <c r="BJ395" s="51" t="inlineStr">
        <is>
          <t>IF(J395="","All_Provinces",IFERROR(VLOOKUP(J395,'09_Lookups'!$A$4:$B$20,2,FALSE),"All_Provinces"))</t>
        </is>
      </c>
      <c r="BK395" s="51" t="inlineStr">
        <is>
          <t>IF(K395="","All_Districts",IFERROR(VLOOKUP(K395,'09_Lookups'!$E$4:$F$42,2,FALSE),"All_Districts"))</t>
        </is>
      </c>
    </row>
    <row r="396" ht="18" customHeight="1">
      <c r="A396" s="42" t="inlineStr">
        <is>
          <t>IF(F396="","",ROW()-3)</t>
        </is>
      </c>
      <c r="B396" s="52" t="n"/>
      <c r="C396" s="52" t="n"/>
      <c r="D396" s="52" t="n"/>
      <c r="E396" s="52" t="n"/>
      <c r="F396" s="52" t="n"/>
      <c r="G396" s="52" t="n"/>
      <c r="H396" s="52" t="n"/>
      <c r="I396" s="52" t="n"/>
      <c r="J396" s="52" t="n"/>
      <c r="K396" s="52" t="n"/>
      <c r="L396" s="52" t="n"/>
      <c r="M396" s="52" t="n"/>
      <c r="N396" s="52" t="n"/>
      <c r="O396" s="52" t="n"/>
      <c r="P396" s="52" t="n"/>
      <c r="Q396" s="52" t="n"/>
      <c r="R396" s="52" t="n"/>
      <c r="S396" s="53" t="n"/>
      <c r="T396" s="46" t="inlineStr">
        <is>
          <t>IF(AQ396="","",AQ396)</t>
        </is>
      </c>
      <c r="U396" s="54" t="n"/>
      <c r="V396" s="55" t="n"/>
      <c r="W396" s="54" t="n"/>
      <c r="X396" s="46" t="inlineStr">
        <is>
          <t>IF(W396&lt;&gt;"",W396,IF(OR(T396="",V396=""),"",EDATE(T396,V396)))</t>
        </is>
      </c>
      <c r="Y396" s="54" t="n"/>
      <c r="Z396" s="55" t="n"/>
      <c r="AA396" s="52" t="n"/>
      <c r="AB396" s="52" t="n"/>
      <c r="AC396" s="42" t="inlineStr">
        <is>
          <t>IF(F396="","",IF(COUNT(AI396:AV396)=0,IF(AA396="","Not started",AA396),SUBSTITUTE(LOOKUP(2,1/(AI396:AV396&lt;&gt;""),$AI$3:$AV$3),"Date: ","")))</t>
        </is>
      </c>
      <c r="AD396" s="49" t="inlineStr">
        <is>
          <t>IF(OR(F396="",COUNT(AI396:AV396)=0),"",TODAY()-LOOKUP(2,1/(AI396:AV396&lt;&gt;""),AI396:AV396))</t>
        </is>
      </c>
      <c r="AE396" s="49" t="inlineStr">
        <is>
          <t>IF(OR(F396="",COUNT(AI396:AV396)&lt;2),"",LOOKUP(2,1/(AI396:AV396&lt;&gt;""),AI396:AV396)-MIN(AI396:AV396))</t>
        </is>
      </c>
      <c r="AF396" s="49" t="inlineStr">
        <is>
          <t>IF(OR(AD396="",AC396="Not started",AC396=""),"",IFERROR(AD396-IF(VLOOKUP(AC396,'06_Status_Pipeline'!$B$3:$E$20,4,FALSE)="",0,VLOOKUP(AC396,'06_Status_Pipeline'!$B$3:$E$20,4,FALSE)),""))</t>
        </is>
      </c>
      <c r="AG396" s="42" t="inlineStr">
        <is>
          <t>IF(F396="","",IF(OR(AA396="Cancelled",AC396="Cancelled"),"Cancelled",IF(OR(AC396="Completed / Handover",Y396&lt;&gt;"",Z396&gt;=100),"Completed — on track",IF(O396="Not awarded",IF(U396="",IF(X396="","No planned date",IF(TODAY()&gt;X396,"Behind — past planned date",IF(X396-TODAY()&lt;=30,"At risk — close to off track","On track"))),IF(TODAY()&gt;U396,"Behind — award date passed",IF(U396-TODAY()&lt;=30,"At risk — close to off track","On track"))),IF(X396="","No planned date",IF(AND(TODAY()&gt;X396,OR(Z396="",Z396&lt;100)),"Behind — past end date",IF(AND(T396&lt;&gt;"",X396&lt;&gt;"",Z396&lt;&gt;"",(Z396&lt;100),((TODAY()-T396)/MAX(X396-T396,1)*100)-Z396&gt;15),"Behind — progress lag",IF(AND(X396-TODAY()&lt;=30,X396-TODAY()&gt;=0,OR(Z396="",Z396&lt;90)),"At risk — close to off track","On track"))))))))</t>
        </is>
      </c>
      <c r="AH396" s="49" t="inlineStr">
        <is>
          <t>IF(OR(F396="",AC396="Completed / Handover",AC396="Cancelled"),"",IF(O396="Not awarded",IF(U396&lt;&gt;"",U396-TODAY(),IF(X396="","",X396-TODAY())),IF(X396="","",X396-TODAY())))</t>
        </is>
      </c>
      <c r="AI396" s="54" t="n"/>
      <c r="AJ396" s="54" t="n"/>
      <c r="AK396" s="54" t="n"/>
      <c r="AL396" s="54" t="n"/>
      <c r="AM396" s="54" t="n"/>
      <c r="AN396" s="54" t="n"/>
      <c r="AO396" s="54" t="n"/>
      <c r="AP396" s="54" t="n"/>
      <c r="AQ396" s="54" t="n"/>
      <c r="AR396" s="54" t="n"/>
      <c r="AS396" s="54" t="n"/>
      <c r="AT396" s="50" t="n"/>
      <c r="AU396" s="50" t="n"/>
      <c r="AV396" s="50" t="n"/>
      <c r="AW396" s="49" t="inlineStr">
        <is>
          <t>IF(OR(F396="",AJ396=""),"",IF(COUNT(AI396:AI396)=0,"",AJ396-LOOKUP(2,1/(AI396:AI396&lt;&gt;""),AI396:AI396)))</t>
        </is>
      </c>
      <c r="AX396" s="49" t="inlineStr">
        <is>
          <t>IF(OR(F396="",AK396=""),"",IF(COUNT(AI396:AJ396)=0,"",AK396-LOOKUP(2,1/(AI396:AJ396&lt;&gt;""),AI396:AJ396)))</t>
        </is>
      </c>
      <c r="AY396" s="49" t="inlineStr">
        <is>
          <t>IF(OR(F396="",AL396=""),"",IF(COUNT(AI396:AK396)=0,"",AL396-LOOKUP(2,1/(AI396:AK396&lt;&gt;""),AI396:AK396)))</t>
        </is>
      </c>
      <c r="AZ396" s="49" t="inlineStr">
        <is>
          <t>IF(OR(F396="",AM396=""),"",IF(COUNT(AI396:AL396)=0,"",AM396-LOOKUP(2,1/(AI396:AL396&lt;&gt;""),AI396:AL396)))</t>
        </is>
      </c>
      <c r="BA396" s="49" t="inlineStr">
        <is>
          <t>IF(OR(F396="",AN396=""),"",IF(COUNT(AI396:AM396)=0,"",AN396-LOOKUP(2,1/(AI396:AM396&lt;&gt;""),AI396:AM396)))</t>
        </is>
      </c>
      <c r="BB396" s="49" t="inlineStr">
        <is>
          <t>IF(OR(F396="",AO396=""),"",IF(COUNT(AI396:AN396)=0,"",AO396-LOOKUP(2,1/(AI396:AN396&lt;&gt;""),AI396:AN396)))</t>
        </is>
      </c>
      <c r="BC396" s="49" t="inlineStr">
        <is>
          <t>IF(OR(F396="",AP396=""),"",IF(COUNT(AI396:AO396)=0,"",AP396-LOOKUP(2,1/(AI396:AO396&lt;&gt;""),AI396:AO396)))</t>
        </is>
      </c>
      <c r="BD396" s="49" t="inlineStr">
        <is>
          <t>IF(OR(F396="",AQ396=""),"",IF(COUNT(AI396:AP396)=0,"",AQ396-LOOKUP(2,1/(AI396:AP396&lt;&gt;""),AI396:AP396)))</t>
        </is>
      </c>
      <c r="BE396" s="49" t="inlineStr">
        <is>
          <t>IF(OR(F396="",AR396=""),"",IF(COUNT(AI396:AQ396)=0,"",AR396-LOOKUP(2,1/(AI396:AQ396&lt;&gt;""),AI396:AQ396)))</t>
        </is>
      </c>
      <c r="BF396" s="49" t="inlineStr">
        <is>
          <t>IF(OR(F396="",AS396=""),"",IF(COUNT(AI396:AR396)=0,"",AS396-LOOKUP(2,1/(AI396:AR396&lt;&gt;""),AI396:AR396)))</t>
        </is>
      </c>
      <c r="BG396" s="49" t="inlineStr">
        <is>
          <t>IF(OR(F396="",AT396=""),"",IF(COUNT(AI396:AS396)=0,"",AT396-LOOKUP(2,1/(AI396:AS396&lt;&gt;""),AI396:AS396)))</t>
        </is>
      </c>
      <c r="BH396" s="49" t="inlineStr">
        <is>
          <t>IF(OR(F396="",AU396=""),"",IF(COUNT(AI396:AT396)=0,"",AU396-LOOKUP(2,1/(AI396:AT396&lt;&gt;""),AI396:AT396)))</t>
        </is>
      </c>
      <c r="BI396" s="49" t="inlineStr">
        <is>
          <t>IF(OR(F396="",AV396=""),"",IF(COUNT(AI396:AU396)=0,"",AV396-LOOKUP(2,1/(AI396:AU396&lt;&gt;""),AI396:AU396)))</t>
        </is>
      </c>
      <c r="BJ396" s="51" t="inlineStr">
        <is>
          <t>IF(J396="","All_Provinces",IFERROR(VLOOKUP(J396,'09_Lookups'!$A$4:$B$20,2,FALSE),"All_Provinces"))</t>
        </is>
      </c>
      <c r="BK396" s="51" t="inlineStr">
        <is>
          <t>IF(K396="","All_Districts",IFERROR(VLOOKUP(K396,'09_Lookups'!$E$4:$F$42,2,FALSE),"All_Districts"))</t>
        </is>
      </c>
    </row>
    <row r="397" ht="18" customHeight="1">
      <c r="A397" s="42" t="inlineStr">
        <is>
          <t>IF(F397="","",ROW()-3)</t>
        </is>
      </c>
      <c r="B397" s="44" t="n"/>
      <c r="C397" s="44" t="n"/>
      <c r="D397" s="44" t="n"/>
      <c r="E397" s="44" t="n"/>
      <c r="F397" s="44" t="n"/>
      <c r="G397" s="44" t="n"/>
      <c r="H397" s="44" t="n"/>
      <c r="I397" s="44" t="n"/>
      <c r="J397" s="44" t="n"/>
      <c r="K397" s="44" t="n"/>
      <c r="L397" s="44" t="n"/>
      <c r="M397" s="44" t="n"/>
      <c r="N397" s="44" t="n"/>
      <c r="O397" s="44" t="n"/>
      <c r="P397" s="44" t="n"/>
      <c r="Q397" s="44" t="n"/>
      <c r="R397" s="44" t="n"/>
      <c r="S397" s="45" t="n"/>
      <c r="T397" s="46" t="inlineStr">
        <is>
          <t>IF(AQ397="","",AQ397)</t>
        </is>
      </c>
      <c r="U397" s="47" t="n"/>
      <c r="V397" s="48" t="n"/>
      <c r="W397" s="47" t="n"/>
      <c r="X397" s="46" t="inlineStr">
        <is>
          <t>IF(W397&lt;&gt;"",W397,IF(OR(T397="",V397=""),"",EDATE(T397,V397)))</t>
        </is>
      </c>
      <c r="Y397" s="47" t="n"/>
      <c r="Z397" s="48" t="n"/>
      <c r="AA397" s="44" t="n"/>
      <c r="AB397" s="44" t="n"/>
      <c r="AC397" s="42" t="inlineStr">
        <is>
          <t>IF(F397="","",IF(COUNT(AI397:AV397)=0,IF(AA397="","Not started",AA397),SUBSTITUTE(LOOKUP(2,1/(AI397:AV397&lt;&gt;""),$AI$3:$AV$3),"Date: ","")))</t>
        </is>
      </c>
      <c r="AD397" s="49" t="inlineStr">
        <is>
          <t>IF(OR(F397="",COUNT(AI397:AV397)=0),"",TODAY()-LOOKUP(2,1/(AI397:AV397&lt;&gt;""),AI397:AV397))</t>
        </is>
      </c>
      <c r="AE397" s="49" t="inlineStr">
        <is>
          <t>IF(OR(F397="",COUNT(AI397:AV397)&lt;2),"",LOOKUP(2,1/(AI397:AV397&lt;&gt;""),AI397:AV397)-MIN(AI397:AV397))</t>
        </is>
      </c>
      <c r="AF397" s="49" t="inlineStr">
        <is>
          <t>IF(OR(AD397="",AC397="Not started",AC397=""),"",IFERROR(AD397-IF(VLOOKUP(AC397,'06_Status_Pipeline'!$B$3:$E$20,4,FALSE)="",0,VLOOKUP(AC397,'06_Status_Pipeline'!$B$3:$E$20,4,FALSE)),""))</t>
        </is>
      </c>
      <c r="AG397" s="42" t="inlineStr">
        <is>
          <t>IF(F397="","",IF(OR(AA397="Cancelled",AC397="Cancelled"),"Cancelled",IF(OR(AC397="Completed / Handover",Y397&lt;&gt;"",Z397&gt;=100),"Completed — on track",IF(O397="Not awarded",IF(U397="",IF(X397="","No planned date",IF(TODAY()&gt;X397,"Behind — past planned date",IF(X397-TODAY()&lt;=30,"At risk — close to off track","On track"))),IF(TODAY()&gt;U397,"Behind — award date passed",IF(U397-TODAY()&lt;=30,"At risk — close to off track","On track"))),IF(X397="","No planned date",IF(AND(TODAY()&gt;X397,OR(Z397="",Z397&lt;100)),"Behind — past end date",IF(AND(T397&lt;&gt;"",X397&lt;&gt;"",Z397&lt;&gt;"",(Z397&lt;100),((TODAY()-T397)/MAX(X397-T397,1)*100)-Z397&gt;15),"Behind — progress lag",IF(AND(X397-TODAY()&lt;=30,X397-TODAY()&gt;=0,OR(Z397="",Z397&lt;90)),"At risk — close to off track","On track"))))))))</t>
        </is>
      </c>
      <c r="AH397" s="49" t="inlineStr">
        <is>
          <t>IF(OR(F397="",AC397="Completed / Handover",AC397="Cancelled"),"",IF(O397="Not awarded",IF(U397&lt;&gt;"",U397-TODAY(),IF(X397="","",X397-TODAY())),IF(X397="","",X397-TODAY())))</t>
        </is>
      </c>
      <c r="AI397" s="47" t="n"/>
      <c r="AJ397" s="47" t="n"/>
      <c r="AK397" s="47" t="n"/>
      <c r="AL397" s="47" t="n"/>
      <c r="AM397" s="47" t="n"/>
      <c r="AN397" s="47" t="n"/>
      <c r="AO397" s="47" t="n"/>
      <c r="AP397" s="47" t="n"/>
      <c r="AQ397" s="47" t="n"/>
      <c r="AR397" s="47" t="n"/>
      <c r="AS397" s="47" t="n"/>
      <c r="AT397" s="50" t="n"/>
      <c r="AU397" s="50" t="n"/>
      <c r="AV397" s="50" t="n"/>
      <c r="AW397" s="49" t="inlineStr">
        <is>
          <t>IF(OR(F397="",AJ397=""),"",IF(COUNT(AI397:AI397)=0,"",AJ397-LOOKUP(2,1/(AI397:AI397&lt;&gt;""),AI397:AI397)))</t>
        </is>
      </c>
      <c r="AX397" s="49" t="inlineStr">
        <is>
          <t>IF(OR(F397="",AK397=""),"",IF(COUNT(AI397:AJ397)=0,"",AK397-LOOKUP(2,1/(AI397:AJ397&lt;&gt;""),AI397:AJ397)))</t>
        </is>
      </c>
      <c r="AY397" s="49" t="inlineStr">
        <is>
          <t>IF(OR(F397="",AL397=""),"",IF(COUNT(AI397:AK397)=0,"",AL397-LOOKUP(2,1/(AI397:AK397&lt;&gt;""),AI397:AK397)))</t>
        </is>
      </c>
      <c r="AZ397" s="49" t="inlineStr">
        <is>
          <t>IF(OR(F397="",AM397=""),"",IF(COUNT(AI397:AL397)=0,"",AM397-LOOKUP(2,1/(AI397:AL397&lt;&gt;""),AI397:AL397)))</t>
        </is>
      </c>
      <c r="BA397" s="49" t="inlineStr">
        <is>
          <t>IF(OR(F397="",AN397=""),"",IF(COUNT(AI397:AM397)=0,"",AN397-LOOKUP(2,1/(AI397:AM397&lt;&gt;""),AI397:AM397)))</t>
        </is>
      </c>
      <c r="BB397" s="49" t="inlineStr">
        <is>
          <t>IF(OR(F397="",AO397=""),"",IF(COUNT(AI397:AN397)=0,"",AO397-LOOKUP(2,1/(AI397:AN397&lt;&gt;""),AI397:AN397)))</t>
        </is>
      </c>
      <c r="BC397" s="49" t="inlineStr">
        <is>
          <t>IF(OR(F397="",AP397=""),"",IF(COUNT(AI397:AO397)=0,"",AP397-LOOKUP(2,1/(AI397:AO397&lt;&gt;""),AI397:AO397)))</t>
        </is>
      </c>
      <c r="BD397" s="49" t="inlineStr">
        <is>
          <t>IF(OR(F397="",AQ397=""),"",IF(COUNT(AI397:AP397)=0,"",AQ397-LOOKUP(2,1/(AI397:AP397&lt;&gt;""),AI397:AP397)))</t>
        </is>
      </c>
      <c r="BE397" s="49" t="inlineStr">
        <is>
          <t>IF(OR(F397="",AR397=""),"",IF(COUNT(AI397:AQ397)=0,"",AR397-LOOKUP(2,1/(AI397:AQ397&lt;&gt;""),AI397:AQ397)))</t>
        </is>
      </c>
      <c r="BF397" s="49" t="inlineStr">
        <is>
          <t>IF(OR(F397="",AS397=""),"",IF(COUNT(AI397:AR397)=0,"",AS397-LOOKUP(2,1/(AI397:AR397&lt;&gt;""),AI397:AR397)))</t>
        </is>
      </c>
      <c r="BG397" s="49" t="inlineStr">
        <is>
          <t>IF(OR(F397="",AT397=""),"",IF(COUNT(AI397:AS397)=0,"",AT397-LOOKUP(2,1/(AI397:AS397&lt;&gt;""),AI397:AS397)))</t>
        </is>
      </c>
      <c r="BH397" s="49" t="inlineStr">
        <is>
          <t>IF(OR(F397="",AU397=""),"",IF(COUNT(AI397:AT397)=0,"",AU397-LOOKUP(2,1/(AI397:AT397&lt;&gt;""),AI397:AT397)))</t>
        </is>
      </c>
      <c r="BI397" s="49" t="inlineStr">
        <is>
          <t>IF(OR(F397="",AV397=""),"",IF(COUNT(AI397:AU397)=0,"",AV397-LOOKUP(2,1/(AI397:AU397&lt;&gt;""),AI397:AU397)))</t>
        </is>
      </c>
      <c r="BJ397" s="51" t="inlineStr">
        <is>
          <t>IF(J397="","All_Provinces",IFERROR(VLOOKUP(J397,'09_Lookups'!$A$4:$B$20,2,FALSE),"All_Provinces"))</t>
        </is>
      </c>
      <c r="BK397" s="51" t="inlineStr">
        <is>
          <t>IF(K397="","All_Districts",IFERROR(VLOOKUP(K397,'09_Lookups'!$E$4:$F$42,2,FALSE),"All_Districts"))</t>
        </is>
      </c>
    </row>
    <row r="398" ht="18" customHeight="1">
      <c r="A398" s="42" t="inlineStr">
        <is>
          <t>IF(F398="","",ROW()-3)</t>
        </is>
      </c>
      <c r="B398" s="52" t="n"/>
      <c r="C398" s="52" t="n"/>
      <c r="D398" s="52" t="n"/>
      <c r="E398" s="52" t="n"/>
      <c r="F398" s="52" t="n"/>
      <c r="G398" s="52" t="n"/>
      <c r="H398" s="52" t="n"/>
      <c r="I398" s="52" t="n"/>
      <c r="J398" s="52" t="n"/>
      <c r="K398" s="52" t="n"/>
      <c r="L398" s="52" t="n"/>
      <c r="M398" s="52" t="n"/>
      <c r="N398" s="52" t="n"/>
      <c r="O398" s="52" t="n"/>
      <c r="P398" s="52" t="n"/>
      <c r="Q398" s="52" t="n"/>
      <c r="R398" s="52" t="n"/>
      <c r="S398" s="53" t="n"/>
      <c r="T398" s="46" t="inlineStr">
        <is>
          <t>IF(AQ398="","",AQ398)</t>
        </is>
      </c>
      <c r="U398" s="54" t="n"/>
      <c r="V398" s="55" t="n"/>
      <c r="W398" s="54" t="n"/>
      <c r="X398" s="46" t="inlineStr">
        <is>
          <t>IF(W398&lt;&gt;"",W398,IF(OR(T398="",V398=""),"",EDATE(T398,V398)))</t>
        </is>
      </c>
      <c r="Y398" s="54" t="n"/>
      <c r="Z398" s="55" t="n"/>
      <c r="AA398" s="52" t="n"/>
      <c r="AB398" s="52" t="n"/>
      <c r="AC398" s="42" t="inlineStr">
        <is>
          <t>IF(F398="","",IF(COUNT(AI398:AV398)=0,IF(AA398="","Not started",AA398),SUBSTITUTE(LOOKUP(2,1/(AI398:AV398&lt;&gt;""),$AI$3:$AV$3),"Date: ","")))</t>
        </is>
      </c>
      <c r="AD398" s="49" t="inlineStr">
        <is>
          <t>IF(OR(F398="",COUNT(AI398:AV398)=0),"",TODAY()-LOOKUP(2,1/(AI398:AV398&lt;&gt;""),AI398:AV398))</t>
        </is>
      </c>
      <c r="AE398" s="49" t="inlineStr">
        <is>
          <t>IF(OR(F398="",COUNT(AI398:AV398)&lt;2),"",LOOKUP(2,1/(AI398:AV398&lt;&gt;""),AI398:AV398)-MIN(AI398:AV398))</t>
        </is>
      </c>
      <c r="AF398" s="49" t="inlineStr">
        <is>
          <t>IF(OR(AD398="",AC398="Not started",AC398=""),"",IFERROR(AD398-IF(VLOOKUP(AC398,'06_Status_Pipeline'!$B$3:$E$20,4,FALSE)="",0,VLOOKUP(AC398,'06_Status_Pipeline'!$B$3:$E$20,4,FALSE)),""))</t>
        </is>
      </c>
      <c r="AG398" s="42" t="inlineStr">
        <is>
          <t>IF(F398="","",IF(OR(AA398="Cancelled",AC398="Cancelled"),"Cancelled",IF(OR(AC398="Completed / Handover",Y398&lt;&gt;"",Z398&gt;=100),"Completed — on track",IF(O398="Not awarded",IF(U398="",IF(X398="","No planned date",IF(TODAY()&gt;X398,"Behind — past planned date",IF(X398-TODAY()&lt;=30,"At risk — close to off track","On track"))),IF(TODAY()&gt;U398,"Behind — award date passed",IF(U398-TODAY()&lt;=30,"At risk — close to off track","On track"))),IF(X398="","No planned date",IF(AND(TODAY()&gt;X398,OR(Z398="",Z398&lt;100)),"Behind — past end date",IF(AND(T398&lt;&gt;"",X398&lt;&gt;"",Z398&lt;&gt;"",(Z398&lt;100),((TODAY()-T398)/MAX(X398-T398,1)*100)-Z398&gt;15),"Behind — progress lag",IF(AND(X398-TODAY()&lt;=30,X398-TODAY()&gt;=0,OR(Z398="",Z398&lt;90)),"At risk — close to off track","On track"))))))))</t>
        </is>
      </c>
      <c r="AH398" s="49" t="inlineStr">
        <is>
          <t>IF(OR(F398="",AC398="Completed / Handover",AC398="Cancelled"),"",IF(O398="Not awarded",IF(U398&lt;&gt;"",U398-TODAY(),IF(X398="","",X398-TODAY())),IF(X398="","",X398-TODAY())))</t>
        </is>
      </c>
      <c r="AI398" s="54" t="n"/>
      <c r="AJ398" s="54" t="n"/>
      <c r="AK398" s="54" t="n"/>
      <c r="AL398" s="54" t="n"/>
      <c r="AM398" s="54" t="n"/>
      <c r="AN398" s="54" t="n"/>
      <c r="AO398" s="54" t="n"/>
      <c r="AP398" s="54" t="n"/>
      <c r="AQ398" s="54" t="n"/>
      <c r="AR398" s="54" t="n"/>
      <c r="AS398" s="54" t="n"/>
      <c r="AT398" s="50" t="n"/>
      <c r="AU398" s="50" t="n"/>
      <c r="AV398" s="50" t="n"/>
      <c r="AW398" s="49" t="inlineStr">
        <is>
          <t>IF(OR(F398="",AJ398=""),"",IF(COUNT(AI398:AI398)=0,"",AJ398-LOOKUP(2,1/(AI398:AI398&lt;&gt;""),AI398:AI398)))</t>
        </is>
      </c>
      <c r="AX398" s="49" t="inlineStr">
        <is>
          <t>IF(OR(F398="",AK398=""),"",IF(COUNT(AI398:AJ398)=0,"",AK398-LOOKUP(2,1/(AI398:AJ398&lt;&gt;""),AI398:AJ398)))</t>
        </is>
      </c>
      <c r="AY398" s="49" t="inlineStr">
        <is>
          <t>IF(OR(F398="",AL398=""),"",IF(COUNT(AI398:AK398)=0,"",AL398-LOOKUP(2,1/(AI398:AK398&lt;&gt;""),AI398:AK398)))</t>
        </is>
      </c>
      <c r="AZ398" s="49" t="inlineStr">
        <is>
          <t>IF(OR(F398="",AM398=""),"",IF(COUNT(AI398:AL398)=0,"",AM398-LOOKUP(2,1/(AI398:AL398&lt;&gt;""),AI398:AL398)))</t>
        </is>
      </c>
      <c r="BA398" s="49" t="inlineStr">
        <is>
          <t>IF(OR(F398="",AN398=""),"",IF(COUNT(AI398:AM398)=0,"",AN398-LOOKUP(2,1/(AI398:AM398&lt;&gt;""),AI398:AM398)))</t>
        </is>
      </c>
      <c r="BB398" s="49" t="inlineStr">
        <is>
          <t>IF(OR(F398="",AO398=""),"",IF(COUNT(AI398:AN398)=0,"",AO398-LOOKUP(2,1/(AI398:AN398&lt;&gt;""),AI398:AN398)))</t>
        </is>
      </c>
      <c r="BC398" s="49" t="inlineStr">
        <is>
          <t>IF(OR(F398="",AP398=""),"",IF(COUNT(AI398:AO398)=0,"",AP398-LOOKUP(2,1/(AI398:AO398&lt;&gt;""),AI398:AO398)))</t>
        </is>
      </c>
      <c r="BD398" s="49" t="inlineStr">
        <is>
          <t>IF(OR(F398="",AQ398=""),"",IF(COUNT(AI398:AP398)=0,"",AQ398-LOOKUP(2,1/(AI398:AP398&lt;&gt;""),AI398:AP398)))</t>
        </is>
      </c>
      <c r="BE398" s="49" t="inlineStr">
        <is>
          <t>IF(OR(F398="",AR398=""),"",IF(COUNT(AI398:AQ398)=0,"",AR398-LOOKUP(2,1/(AI398:AQ398&lt;&gt;""),AI398:AQ398)))</t>
        </is>
      </c>
      <c r="BF398" s="49" t="inlineStr">
        <is>
          <t>IF(OR(F398="",AS398=""),"",IF(COUNT(AI398:AR398)=0,"",AS398-LOOKUP(2,1/(AI398:AR398&lt;&gt;""),AI398:AR398)))</t>
        </is>
      </c>
      <c r="BG398" s="49" t="inlineStr">
        <is>
          <t>IF(OR(F398="",AT398=""),"",IF(COUNT(AI398:AS398)=0,"",AT398-LOOKUP(2,1/(AI398:AS398&lt;&gt;""),AI398:AS398)))</t>
        </is>
      </c>
      <c r="BH398" s="49" t="inlineStr">
        <is>
          <t>IF(OR(F398="",AU398=""),"",IF(COUNT(AI398:AT398)=0,"",AU398-LOOKUP(2,1/(AI398:AT398&lt;&gt;""),AI398:AT398)))</t>
        </is>
      </c>
      <c r="BI398" s="49" t="inlineStr">
        <is>
          <t>IF(OR(F398="",AV398=""),"",IF(COUNT(AI398:AU398)=0,"",AV398-LOOKUP(2,1/(AI398:AU398&lt;&gt;""),AI398:AU398)))</t>
        </is>
      </c>
      <c r="BJ398" s="51" t="inlineStr">
        <is>
          <t>IF(J398="","All_Provinces",IFERROR(VLOOKUP(J398,'09_Lookups'!$A$4:$B$20,2,FALSE),"All_Provinces"))</t>
        </is>
      </c>
      <c r="BK398" s="51" t="inlineStr">
        <is>
          <t>IF(K398="","All_Districts",IFERROR(VLOOKUP(K398,'09_Lookups'!$E$4:$F$42,2,FALSE),"All_Districts"))</t>
        </is>
      </c>
    </row>
    <row r="399" ht="18" customHeight="1">
      <c r="A399" s="42" t="inlineStr">
        <is>
          <t>IF(F399="","",ROW()-3)</t>
        </is>
      </c>
      <c r="B399" s="44" t="n"/>
      <c r="C399" s="44" t="n"/>
      <c r="D399" s="44" t="n"/>
      <c r="E399" s="44" t="n"/>
      <c r="F399" s="44" t="n"/>
      <c r="G399" s="44" t="n"/>
      <c r="H399" s="44" t="n"/>
      <c r="I399" s="44" t="n"/>
      <c r="J399" s="44" t="n"/>
      <c r="K399" s="44" t="n"/>
      <c r="L399" s="44" t="n"/>
      <c r="M399" s="44" t="n"/>
      <c r="N399" s="44" t="n"/>
      <c r="O399" s="44" t="n"/>
      <c r="P399" s="44" t="n"/>
      <c r="Q399" s="44" t="n"/>
      <c r="R399" s="44" t="n"/>
      <c r="S399" s="45" t="n"/>
      <c r="T399" s="46" t="inlineStr">
        <is>
          <t>IF(AQ399="","",AQ399)</t>
        </is>
      </c>
      <c r="U399" s="47" t="n"/>
      <c r="V399" s="48" t="n"/>
      <c r="W399" s="47" t="n"/>
      <c r="X399" s="46" t="inlineStr">
        <is>
          <t>IF(W399&lt;&gt;"",W399,IF(OR(T399="",V399=""),"",EDATE(T399,V399)))</t>
        </is>
      </c>
      <c r="Y399" s="47" t="n"/>
      <c r="Z399" s="48" t="n"/>
      <c r="AA399" s="44" t="n"/>
      <c r="AB399" s="44" t="n"/>
      <c r="AC399" s="42" t="inlineStr">
        <is>
          <t>IF(F399="","",IF(COUNT(AI399:AV399)=0,IF(AA399="","Not started",AA399),SUBSTITUTE(LOOKUP(2,1/(AI399:AV399&lt;&gt;""),$AI$3:$AV$3),"Date: ","")))</t>
        </is>
      </c>
      <c r="AD399" s="49" t="inlineStr">
        <is>
          <t>IF(OR(F399="",COUNT(AI399:AV399)=0),"",TODAY()-LOOKUP(2,1/(AI399:AV399&lt;&gt;""),AI399:AV399))</t>
        </is>
      </c>
      <c r="AE399" s="49" t="inlineStr">
        <is>
          <t>IF(OR(F399="",COUNT(AI399:AV399)&lt;2),"",LOOKUP(2,1/(AI399:AV399&lt;&gt;""),AI399:AV399)-MIN(AI399:AV399))</t>
        </is>
      </c>
      <c r="AF399" s="49" t="inlineStr">
        <is>
          <t>IF(OR(AD399="",AC399="Not started",AC399=""),"",IFERROR(AD399-IF(VLOOKUP(AC399,'06_Status_Pipeline'!$B$3:$E$20,4,FALSE)="",0,VLOOKUP(AC399,'06_Status_Pipeline'!$B$3:$E$20,4,FALSE)),""))</t>
        </is>
      </c>
      <c r="AG399" s="42" t="inlineStr">
        <is>
          <t>IF(F399="","",IF(OR(AA399="Cancelled",AC399="Cancelled"),"Cancelled",IF(OR(AC399="Completed / Handover",Y399&lt;&gt;"",Z399&gt;=100),"Completed — on track",IF(O399="Not awarded",IF(U399="",IF(X399="","No planned date",IF(TODAY()&gt;X399,"Behind — past planned date",IF(X399-TODAY()&lt;=30,"At risk — close to off track","On track"))),IF(TODAY()&gt;U399,"Behind — award date passed",IF(U399-TODAY()&lt;=30,"At risk — close to off track","On track"))),IF(X399="","No planned date",IF(AND(TODAY()&gt;X399,OR(Z399="",Z399&lt;100)),"Behind — past end date",IF(AND(T399&lt;&gt;"",X399&lt;&gt;"",Z399&lt;&gt;"",(Z399&lt;100),((TODAY()-T399)/MAX(X399-T399,1)*100)-Z399&gt;15),"Behind — progress lag",IF(AND(X399-TODAY()&lt;=30,X399-TODAY()&gt;=0,OR(Z399="",Z399&lt;90)),"At risk — close to off track","On track"))))))))</t>
        </is>
      </c>
      <c r="AH399" s="49" t="inlineStr">
        <is>
          <t>IF(OR(F399="",AC399="Completed / Handover",AC399="Cancelled"),"",IF(O399="Not awarded",IF(U399&lt;&gt;"",U399-TODAY(),IF(X399="","",X399-TODAY())),IF(X399="","",X399-TODAY())))</t>
        </is>
      </c>
      <c r="AI399" s="47" t="n"/>
      <c r="AJ399" s="47" t="n"/>
      <c r="AK399" s="47" t="n"/>
      <c r="AL399" s="47" t="n"/>
      <c r="AM399" s="47" t="n"/>
      <c r="AN399" s="47" t="n"/>
      <c r="AO399" s="47" t="n"/>
      <c r="AP399" s="47" t="n"/>
      <c r="AQ399" s="47" t="n"/>
      <c r="AR399" s="47" t="n"/>
      <c r="AS399" s="47" t="n"/>
      <c r="AT399" s="50" t="n"/>
      <c r="AU399" s="50" t="n"/>
      <c r="AV399" s="50" t="n"/>
      <c r="AW399" s="49" t="inlineStr">
        <is>
          <t>IF(OR(F399="",AJ399=""),"",IF(COUNT(AI399:AI399)=0,"",AJ399-LOOKUP(2,1/(AI399:AI399&lt;&gt;""),AI399:AI399)))</t>
        </is>
      </c>
      <c r="AX399" s="49" t="inlineStr">
        <is>
          <t>IF(OR(F399="",AK399=""),"",IF(COUNT(AI399:AJ399)=0,"",AK399-LOOKUP(2,1/(AI399:AJ399&lt;&gt;""),AI399:AJ399)))</t>
        </is>
      </c>
      <c r="AY399" s="49" t="inlineStr">
        <is>
          <t>IF(OR(F399="",AL399=""),"",IF(COUNT(AI399:AK399)=0,"",AL399-LOOKUP(2,1/(AI399:AK399&lt;&gt;""),AI399:AK399)))</t>
        </is>
      </c>
      <c r="AZ399" s="49" t="inlineStr">
        <is>
          <t>IF(OR(F399="",AM399=""),"",IF(COUNT(AI399:AL399)=0,"",AM399-LOOKUP(2,1/(AI399:AL399&lt;&gt;""),AI399:AL399)))</t>
        </is>
      </c>
      <c r="BA399" s="49" t="inlineStr">
        <is>
          <t>IF(OR(F399="",AN399=""),"",IF(COUNT(AI399:AM399)=0,"",AN399-LOOKUP(2,1/(AI399:AM399&lt;&gt;""),AI399:AM399)))</t>
        </is>
      </c>
      <c r="BB399" s="49" t="inlineStr">
        <is>
          <t>IF(OR(F399="",AO399=""),"",IF(COUNT(AI399:AN399)=0,"",AO399-LOOKUP(2,1/(AI399:AN399&lt;&gt;""),AI399:AN399)))</t>
        </is>
      </c>
      <c r="BC399" s="49" t="inlineStr">
        <is>
          <t>IF(OR(F399="",AP399=""),"",IF(COUNT(AI399:AO399)=0,"",AP399-LOOKUP(2,1/(AI399:AO399&lt;&gt;""),AI399:AO399)))</t>
        </is>
      </c>
      <c r="BD399" s="49" t="inlineStr">
        <is>
          <t>IF(OR(F399="",AQ399=""),"",IF(COUNT(AI399:AP399)=0,"",AQ399-LOOKUP(2,1/(AI399:AP399&lt;&gt;""),AI399:AP399)))</t>
        </is>
      </c>
      <c r="BE399" s="49" t="inlineStr">
        <is>
          <t>IF(OR(F399="",AR399=""),"",IF(COUNT(AI399:AQ399)=0,"",AR399-LOOKUP(2,1/(AI399:AQ399&lt;&gt;""),AI399:AQ399)))</t>
        </is>
      </c>
      <c r="BF399" s="49" t="inlineStr">
        <is>
          <t>IF(OR(F399="",AS399=""),"",IF(COUNT(AI399:AR399)=0,"",AS399-LOOKUP(2,1/(AI399:AR399&lt;&gt;""),AI399:AR399)))</t>
        </is>
      </c>
      <c r="BG399" s="49" t="inlineStr">
        <is>
          <t>IF(OR(F399="",AT399=""),"",IF(COUNT(AI399:AS399)=0,"",AT399-LOOKUP(2,1/(AI399:AS399&lt;&gt;""),AI399:AS399)))</t>
        </is>
      </c>
      <c r="BH399" s="49" t="inlineStr">
        <is>
          <t>IF(OR(F399="",AU399=""),"",IF(COUNT(AI399:AT399)=0,"",AU399-LOOKUP(2,1/(AI399:AT399&lt;&gt;""),AI399:AT399)))</t>
        </is>
      </c>
      <c r="BI399" s="49" t="inlineStr">
        <is>
          <t>IF(OR(F399="",AV399=""),"",IF(COUNT(AI399:AU399)=0,"",AV399-LOOKUP(2,1/(AI399:AU399&lt;&gt;""),AI399:AU399)))</t>
        </is>
      </c>
      <c r="BJ399" s="51" t="inlineStr">
        <is>
          <t>IF(J399="","All_Provinces",IFERROR(VLOOKUP(J399,'09_Lookups'!$A$4:$B$20,2,FALSE),"All_Provinces"))</t>
        </is>
      </c>
      <c r="BK399" s="51" t="inlineStr">
        <is>
          <t>IF(K399="","All_Districts",IFERROR(VLOOKUP(K399,'09_Lookups'!$E$4:$F$42,2,FALSE),"All_Districts"))</t>
        </is>
      </c>
    </row>
    <row r="400" ht="18" customHeight="1">
      <c r="A400" s="42" t="inlineStr">
        <is>
          <t>IF(F400="","",ROW()-3)</t>
        </is>
      </c>
      <c r="B400" s="52" t="n"/>
      <c r="C400" s="52" t="n"/>
      <c r="D400" s="52" t="n"/>
      <c r="E400" s="52" t="n"/>
      <c r="F400" s="52" t="n"/>
      <c r="G400" s="52" t="n"/>
      <c r="H400" s="52" t="n"/>
      <c r="I400" s="52" t="n"/>
      <c r="J400" s="52" t="n"/>
      <c r="K400" s="52" t="n"/>
      <c r="L400" s="52" t="n"/>
      <c r="M400" s="52" t="n"/>
      <c r="N400" s="52" t="n"/>
      <c r="O400" s="52" t="n"/>
      <c r="P400" s="52" t="n"/>
      <c r="Q400" s="52" t="n"/>
      <c r="R400" s="52" t="n"/>
      <c r="S400" s="53" t="n"/>
      <c r="T400" s="46" t="inlineStr">
        <is>
          <t>IF(AQ400="","",AQ400)</t>
        </is>
      </c>
      <c r="U400" s="54" t="n"/>
      <c r="V400" s="55" t="n"/>
      <c r="W400" s="54" t="n"/>
      <c r="X400" s="46" t="inlineStr">
        <is>
          <t>IF(W400&lt;&gt;"",W400,IF(OR(T400="",V400=""),"",EDATE(T400,V400)))</t>
        </is>
      </c>
      <c r="Y400" s="54" t="n"/>
      <c r="Z400" s="55" t="n"/>
      <c r="AA400" s="52" t="n"/>
      <c r="AB400" s="52" t="n"/>
      <c r="AC400" s="42" t="inlineStr">
        <is>
          <t>IF(F400="","",IF(COUNT(AI400:AV400)=0,IF(AA400="","Not started",AA400),SUBSTITUTE(LOOKUP(2,1/(AI400:AV400&lt;&gt;""),$AI$3:$AV$3),"Date: ","")))</t>
        </is>
      </c>
      <c r="AD400" s="49" t="inlineStr">
        <is>
          <t>IF(OR(F400="",COUNT(AI400:AV400)=0),"",TODAY()-LOOKUP(2,1/(AI400:AV400&lt;&gt;""),AI400:AV400))</t>
        </is>
      </c>
      <c r="AE400" s="49" t="inlineStr">
        <is>
          <t>IF(OR(F400="",COUNT(AI400:AV400)&lt;2),"",LOOKUP(2,1/(AI400:AV400&lt;&gt;""),AI400:AV400)-MIN(AI400:AV400))</t>
        </is>
      </c>
      <c r="AF400" s="49" t="inlineStr">
        <is>
          <t>IF(OR(AD400="",AC400="Not started",AC400=""),"",IFERROR(AD400-IF(VLOOKUP(AC400,'06_Status_Pipeline'!$B$3:$E$20,4,FALSE)="",0,VLOOKUP(AC400,'06_Status_Pipeline'!$B$3:$E$20,4,FALSE)),""))</t>
        </is>
      </c>
      <c r="AG400" s="42" t="inlineStr">
        <is>
          <t>IF(F400="","",IF(OR(AA400="Cancelled",AC400="Cancelled"),"Cancelled",IF(OR(AC400="Completed / Handover",Y400&lt;&gt;"",Z400&gt;=100),"Completed — on track",IF(O400="Not awarded",IF(U400="",IF(X400="","No planned date",IF(TODAY()&gt;X400,"Behind — past planned date",IF(X400-TODAY()&lt;=30,"At risk — close to off track","On track"))),IF(TODAY()&gt;U400,"Behind — award date passed",IF(U400-TODAY()&lt;=30,"At risk — close to off track","On track"))),IF(X400="","No planned date",IF(AND(TODAY()&gt;X400,OR(Z400="",Z400&lt;100)),"Behind — past end date",IF(AND(T400&lt;&gt;"",X400&lt;&gt;"",Z400&lt;&gt;"",(Z400&lt;100),((TODAY()-T400)/MAX(X400-T400,1)*100)-Z400&gt;15),"Behind — progress lag",IF(AND(X400-TODAY()&lt;=30,X400-TODAY()&gt;=0,OR(Z400="",Z400&lt;90)),"At risk — close to off track","On track"))))))))</t>
        </is>
      </c>
      <c r="AH400" s="49" t="inlineStr">
        <is>
          <t>IF(OR(F400="",AC400="Completed / Handover",AC400="Cancelled"),"",IF(O400="Not awarded",IF(U400&lt;&gt;"",U400-TODAY(),IF(X400="","",X400-TODAY())),IF(X400="","",X400-TODAY())))</t>
        </is>
      </c>
      <c r="AI400" s="54" t="n"/>
      <c r="AJ400" s="54" t="n"/>
      <c r="AK400" s="54" t="n"/>
      <c r="AL400" s="54" t="n"/>
      <c r="AM400" s="54" t="n"/>
      <c r="AN400" s="54" t="n"/>
      <c r="AO400" s="54" t="n"/>
      <c r="AP400" s="54" t="n"/>
      <c r="AQ400" s="54" t="n"/>
      <c r="AR400" s="54" t="n"/>
      <c r="AS400" s="54" t="n"/>
      <c r="AT400" s="50" t="n"/>
      <c r="AU400" s="50" t="n"/>
      <c r="AV400" s="50" t="n"/>
      <c r="AW400" s="49" t="inlineStr">
        <is>
          <t>IF(OR(F400="",AJ400=""),"",IF(COUNT(AI400:AI400)=0,"",AJ400-LOOKUP(2,1/(AI400:AI400&lt;&gt;""),AI400:AI400)))</t>
        </is>
      </c>
      <c r="AX400" s="49" t="inlineStr">
        <is>
          <t>IF(OR(F400="",AK400=""),"",IF(COUNT(AI400:AJ400)=0,"",AK400-LOOKUP(2,1/(AI400:AJ400&lt;&gt;""),AI400:AJ400)))</t>
        </is>
      </c>
      <c r="AY400" s="49" t="inlineStr">
        <is>
          <t>IF(OR(F400="",AL400=""),"",IF(COUNT(AI400:AK400)=0,"",AL400-LOOKUP(2,1/(AI400:AK400&lt;&gt;""),AI400:AK400)))</t>
        </is>
      </c>
      <c r="AZ400" s="49" t="inlineStr">
        <is>
          <t>IF(OR(F400="",AM400=""),"",IF(COUNT(AI400:AL400)=0,"",AM400-LOOKUP(2,1/(AI400:AL400&lt;&gt;""),AI400:AL400)))</t>
        </is>
      </c>
      <c r="BA400" s="49" t="inlineStr">
        <is>
          <t>IF(OR(F400="",AN400=""),"",IF(COUNT(AI400:AM400)=0,"",AN400-LOOKUP(2,1/(AI400:AM400&lt;&gt;""),AI400:AM400)))</t>
        </is>
      </c>
      <c r="BB400" s="49" t="inlineStr">
        <is>
          <t>IF(OR(F400="",AO400=""),"",IF(COUNT(AI400:AN400)=0,"",AO400-LOOKUP(2,1/(AI400:AN400&lt;&gt;""),AI400:AN400)))</t>
        </is>
      </c>
      <c r="BC400" s="49" t="inlineStr">
        <is>
          <t>IF(OR(F400="",AP400=""),"",IF(COUNT(AI400:AO400)=0,"",AP400-LOOKUP(2,1/(AI400:AO400&lt;&gt;""),AI400:AO400)))</t>
        </is>
      </c>
      <c r="BD400" s="49" t="inlineStr">
        <is>
          <t>IF(OR(F400="",AQ400=""),"",IF(COUNT(AI400:AP400)=0,"",AQ400-LOOKUP(2,1/(AI400:AP400&lt;&gt;""),AI400:AP400)))</t>
        </is>
      </c>
      <c r="BE400" s="49" t="inlineStr">
        <is>
          <t>IF(OR(F400="",AR400=""),"",IF(COUNT(AI400:AQ400)=0,"",AR400-LOOKUP(2,1/(AI400:AQ400&lt;&gt;""),AI400:AQ400)))</t>
        </is>
      </c>
      <c r="BF400" s="49" t="inlineStr">
        <is>
          <t>IF(OR(F400="",AS400=""),"",IF(COUNT(AI400:AR400)=0,"",AS400-LOOKUP(2,1/(AI400:AR400&lt;&gt;""),AI400:AR400)))</t>
        </is>
      </c>
      <c r="BG400" s="49" t="inlineStr">
        <is>
          <t>IF(OR(F400="",AT400=""),"",IF(COUNT(AI400:AS400)=0,"",AT400-LOOKUP(2,1/(AI400:AS400&lt;&gt;""),AI400:AS400)))</t>
        </is>
      </c>
      <c r="BH400" s="49" t="inlineStr">
        <is>
          <t>IF(OR(F400="",AU400=""),"",IF(COUNT(AI400:AT400)=0,"",AU400-LOOKUP(2,1/(AI400:AT400&lt;&gt;""),AI400:AT400)))</t>
        </is>
      </c>
      <c r="BI400" s="49" t="inlineStr">
        <is>
          <t>IF(OR(F400="",AV400=""),"",IF(COUNT(AI400:AU400)=0,"",AV400-LOOKUP(2,1/(AI400:AU400&lt;&gt;""),AI400:AU400)))</t>
        </is>
      </c>
      <c r="BJ400" s="51" t="inlineStr">
        <is>
          <t>IF(J400="","All_Provinces",IFERROR(VLOOKUP(J400,'09_Lookups'!$A$4:$B$20,2,FALSE),"All_Provinces"))</t>
        </is>
      </c>
      <c r="BK400" s="51" t="inlineStr">
        <is>
          <t>IF(K400="","All_Districts",IFERROR(VLOOKUP(K400,'09_Lookups'!$E$4:$F$42,2,FALSE),"All_Districts"))</t>
        </is>
      </c>
    </row>
    <row r="401" ht="18" customHeight="1">
      <c r="A401" s="42" t="inlineStr">
        <is>
          <t>IF(F401="","",ROW()-3)</t>
        </is>
      </c>
      <c r="B401" s="44" t="n"/>
      <c r="C401" s="44" t="n"/>
      <c r="D401" s="44" t="n"/>
      <c r="E401" s="44" t="n"/>
      <c r="F401" s="44" t="n"/>
      <c r="G401" s="44" t="n"/>
      <c r="H401" s="44" t="n"/>
      <c r="I401" s="44" t="n"/>
      <c r="J401" s="44" t="n"/>
      <c r="K401" s="44" t="n"/>
      <c r="L401" s="44" t="n"/>
      <c r="M401" s="44" t="n"/>
      <c r="N401" s="44" t="n"/>
      <c r="O401" s="44" t="n"/>
      <c r="P401" s="44" t="n"/>
      <c r="Q401" s="44" t="n"/>
      <c r="R401" s="44" t="n"/>
      <c r="S401" s="45" t="n"/>
      <c r="T401" s="46" t="inlineStr">
        <is>
          <t>IF(AQ401="","",AQ401)</t>
        </is>
      </c>
      <c r="U401" s="47" t="n"/>
      <c r="V401" s="48" t="n"/>
      <c r="W401" s="47" t="n"/>
      <c r="X401" s="46" t="inlineStr">
        <is>
          <t>IF(W401&lt;&gt;"",W401,IF(OR(T401="",V401=""),"",EDATE(T401,V401)))</t>
        </is>
      </c>
      <c r="Y401" s="47" t="n"/>
      <c r="Z401" s="48" t="n"/>
      <c r="AA401" s="44" t="n"/>
      <c r="AB401" s="44" t="n"/>
      <c r="AC401" s="42" t="inlineStr">
        <is>
          <t>IF(F401="","",IF(COUNT(AI401:AV401)=0,IF(AA401="","Not started",AA401),SUBSTITUTE(LOOKUP(2,1/(AI401:AV401&lt;&gt;""),$AI$3:$AV$3),"Date: ","")))</t>
        </is>
      </c>
      <c r="AD401" s="49" t="inlineStr">
        <is>
          <t>IF(OR(F401="",COUNT(AI401:AV401)=0),"",TODAY()-LOOKUP(2,1/(AI401:AV401&lt;&gt;""),AI401:AV401))</t>
        </is>
      </c>
      <c r="AE401" s="49" t="inlineStr">
        <is>
          <t>IF(OR(F401="",COUNT(AI401:AV401)&lt;2),"",LOOKUP(2,1/(AI401:AV401&lt;&gt;""),AI401:AV401)-MIN(AI401:AV401))</t>
        </is>
      </c>
      <c r="AF401" s="49" t="inlineStr">
        <is>
          <t>IF(OR(AD401="",AC401="Not started",AC401=""),"",IFERROR(AD401-IF(VLOOKUP(AC401,'06_Status_Pipeline'!$B$3:$E$20,4,FALSE)="",0,VLOOKUP(AC401,'06_Status_Pipeline'!$B$3:$E$20,4,FALSE)),""))</t>
        </is>
      </c>
      <c r="AG401" s="42" t="inlineStr">
        <is>
          <t>IF(F401="","",IF(OR(AA401="Cancelled",AC401="Cancelled"),"Cancelled",IF(OR(AC401="Completed / Handover",Y401&lt;&gt;"",Z401&gt;=100),"Completed — on track",IF(O401="Not awarded",IF(U401="",IF(X401="","No planned date",IF(TODAY()&gt;X401,"Behind — past planned date",IF(X401-TODAY()&lt;=30,"At risk — close to off track","On track"))),IF(TODAY()&gt;U401,"Behind — award date passed",IF(U401-TODAY()&lt;=30,"At risk — close to off track","On track"))),IF(X401="","No planned date",IF(AND(TODAY()&gt;X401,OR(Z401="",Z401&lt;100)),"Behind — past end date",IF(AND(T401&lt;&gt;"",X401&lt;&gt;"",Z401&lt;&gt;"",(Z401&lt;100),((TODAY()-T401)/MAX(X401-T401,1)*100)-Z401&gt;15),"Behind — progress lag",IF(AND(X401-TODAY()&lt;=30,X401-TODAY()&gt;=0,OR(Z401="",Z401&lt;90)),"At risk — close to off track","On track"))))))))</t>
        </is>
      </c>
      <c r="AH401" s="49" t="inlineStr">
        <is>
          <t>IF(OR(F401="",AC401="Completed / Handover",AC401="Cancelled"),"",IF(O401="Not awarded",IF(U401&lt;&gt;"",U401-TODAY(),IF(X401="","",X401-TODAY())),IF(X401="","",X401-TODAY())))</t>
        </is>
      </c>
      <c r="AI401" s="47" t="n"/>
      <c r="AJ401" s="47" t="n"/>
      <c r="AK401" s="47" t="n"/>
      <c r="AL401" s="47" t="n"/>
      <c r="AM401" s="47" t="n"/>
      <c r="AN401" s="47" t="n"/>
      <c r="AO401" s="47" t="n"/>
      <c r="AP401" s="47" t="n"/>
      <c r="AQ401" s="47" t="n"/>
      <c r="AR401" s="47" t="n"/>
      <c r="AS401" s="47" t="n"/>
      <c r="AT401" s="50" t="n"/>
      <c r="AU401" s="50" t="n"/>
      <c r="AV401" s="50" t="n"/>
      <c r="AW401" s="49" t="inlineStr">
        <is>
          <t>IF(OR(F401="",AJ401=""),"",IF(COUNT(AI401:AI401)=0,"",AJ401-LOOKUP(2,1/(AI401:AI401&lt;&gt;""),AI401:AI401)))</t>
        </is>
      </c>
      <c r="AX401" s="49" t="inlineStr">
        <is>
          <t>IF(OR(F401="",AK401=""),"",IF(COUNT(AI401:AJ401)=0,"",AK401-LOOKUP(2,1/(AI401:AJ401&lt;&gt;""),AI401:AJ401)))</t>
        </is>
      </c>
      <c r="AY401" s="49" t="inlineStr">
        <is>
          <t>IF(OR(F401="",AL401=""),"",IF(COUNT(AI401:AK401)=0,"",AL401-LOOKUP(2,1/(AI401:AK401&lt;&gt;""),AI401:AK401)))</t>
        </is>
      </c>
      <c r="AZ401" s="49" t="inlineStr">
        <is>
          <t>IF(OR(F401="",AM401=""),"",IF(COUNT(AI401:AL401)=0,"",AM401-LOOKUP(2,1/(AI401:AL401&lt;&gt;""),AI401:AL401)))</t>
        </is>
      </c>
      <c r="BA401" s="49" t="inlineStr">
        <is>
          <t>IF(OR(F401="",AN401=""),"",IF(COUNT(AI401:AM401)=0,"",AN401-LOOKUP(2,1/(AI401:AM401&lt;&gt;""),AI401:AM401)))</t>
        </is>
      </c>
      <c r="BB401" s="49" t="inlineStr">
        <is>
          <t>IF(OR(F401="",AO401=""),"",IF(COUNT(AI401:AN401)=0,"",AO401-LOOKUP(2,1/(AI401:AN401&lt;&gt;""),AI401:AN401)))</t>
        </is>
      </c>
      <c r="BC401" s="49" t="inlineStr">
        <is>
          <t>IF(OR(F401="",AP401=""),"",IF(COUNT(AI401:AO401)=0,"",AP401-LOOKUP(2,1/(AI401:AO401&lt;&gt;""),AI401:AO401)))</t>
        </is>
      </c>
      <c r="BD401" s="49" t="inlineStr">
        <is>
          <t>IF(OR(F401="",AQ401=""),"",IF(COUNT(AI401:AP401)=0,"",AQ401-LOOKUP(2,1/(AI401:AP401&lt;&gt;""),AI401:AP401)))</t>
        </is>
      </c>
      <c r="BE401" s="49" t="inlineStr">
        <is>
          <t>IF(OR(F401="",AR401=""),"",IF(COUNT(AI401:AQ401)=0,"",AR401-LOOKUP(2,1/(AI401:AQ401&lt;&gt;""),AI401:AQ401)))</t>
        </is>
      </c>
      <c r="BF401" s="49" t="inlineStr">
        <is>
          <t>IF(OR(F401="",AS401=""),"",IF(COUNT(AI401:AR401)=0,"",AS401-LOOKUP(2,1/(AI401:AR401&lt;&gt;""),AI401:AR401)))</t>
        </is>
      </c>
      <c r="BG401" s="49" t="inlineStr">
        <is>
          <t>IF(OR(F401="",AT401=""),"",IF(COUNT(AI401:AS401)=0,"",AT401-LOOKUP(2,1/(AI401:AS401&lt;&gt;""),AI401:AS401)))</t>
        </is>
      </c>
      <c r="BH401" s="49" t="inlineStr">
        <is>
          <t>IF(OR(F401="",AU401=""),"",IF(COUNT(AI401:AT401)=0,"",AU401-LOOKUP(2,1/(AI401:AT401&lt;&gt;""),AI401:AT401)))</t>
        </is>
      </c>
      <c r="BI401" s="49" t="inlineStr">
        <is>
          <t>IF(OR(F401="",AV401=""),"",IF(COUNT(AI401:AU401)=0,"",AV401-LOOKUP(2,1/(AI401:AU401&lt;&gt;""),AI401:AU401)))</t>
        </is>
      </c>
      <c r="BJ401" s="51" t="inlineStr">
        <is>
          <t>IF(J401="","All_Provinces",IFERROR(VLOOKUP(J401,'09_Lookups'!$A$4:$B$20,2,FALSE),"All_Provinces"))</t>
        </is>
      </c>
      <c r="BK401" s="51" t="inlineStr">
        <is>
          <t>IF(K401="","All_Districts",IFERROR(VLOOKUP(K401,'09_Lookups'!$E$4:$F$42,2,FALSE),"All_Districts"))</t>
        </is>
      </c>
    </row>
    <row r="402" ht="18" customHeight="1">
      <c r="A402" s="42" t="inlineStr">
        <is>
          <t>IF(F402="","",ROW()-3)</t>
        </is>
      </c>
      <c r="B402" s="52" t="n"/>
      <c r="C402" s="52" t="n"/>
      <c r="D402" s="52" t="n"/>
      <c r="E402" s="52" t="n"/>
      <c r="F402" s="52" t="n"/>
      <c r="G402" s="52" t="n"/>
      <c r="H402" s="52" t="n"/>
      <c r="I402" s="52" t="n"/>
      <c r="J402" s="52" t="n"/>
      <c r="K402" s="52" t="n"/>
      <c r="L402" s="52" t="n"/>
      <c r="M402" s="52" t="n"/>
      <c r="N402" s="52" t="n"/>
      <c r="O402" s="52" t="n"/>
      <c r="P402" s="52" t="n"/>
      <c r="Q402" s="52" t="n"/>
      <c r="R402" s="52" t="n"/>
      <c r="S402" s="53" t="n"/>
      <c r="T402" s="46" t="inlineStr">
        <is>
          <t>IF(AQ402="","",AQ402)</t>
        </is>
      </c>
      <c r="U402" s="54" t="n"/>
      <c r="V402" s="55" t="n"/>
      <c r="W402" s="54" t="n"/>
      <c r="X402" s="46" t="inlineStr">
        <is>
          <t>IF(W402&lt;&gt;"",W402,IF(OR(T402="",V402=""),"",EDATE(T402,V402)))</t>
        </is>
      </c>
      <c r="Y402" s="54" t="n"/>
      <c r="Z402" s="55" t="n"/>
      <c r="AA402" s="52" t="n"/>
      <c r="AB402" s="52" t="n"/>
      <c r="AC402" s="42" t="inlineStr">
        <is>
          <t>IF(F402="","",IF(COUNT(AI402:AV402)=0,IF(AA402="","Not started",AA402),SUBSTITUTE(LOOKUP(2,1/(AI402:AV402&lt;&gt;""),$AI$3:$AV$3),"Date: ","")))</t>
        </is>
      </c>
      <c r="AD402" s="49" t="inlineStr">
        <is>
          <t>IF(OR(F402="",COUNT(AI402:AV402)=0),"",TODAY()-LOOKUP(2,1/(AI402:AV402&lt;&gt;""),AI402:AV402))</t>
        </is>
      </c>
      <c r="AE402" s="49" t="inlineStr">
        <is>
          <t>IF(OR(F402="",COUNT(AI402:AV402)&lt;2),"",LOOKUP(2,1/(AI402:AV402&lt;&gt;""),AI402:AV402)-MIN(AI402:AV402))</t>
        </is>
      </c>
      <c r="AF402" s="49" t="inlineStr">
        <is>
          <t>IF(OR(AD402="",AC402="Not started",AC402=""),"",IFERROR(AD402-IF(VLOOKUP(AC402,'06_Status_Pipeline'!$B$3:$E$20,4,FALSE)="",0,VLOOKUP(AC402,'06_Status_Pipeline'!$B$3:$E$20,4,FALSE)),""))</t>
        </is>
      </c>
      <c r="AG402" s="42" t="inlineStr">
        <is>
          <t>IF(F402="","",IF(OR(AA402="Cancelled",AC402="Cancelled"),"Cancelled",IF(OR(AC402="Completed / Handover",Y402&lt;&gt;"",Z402&gt;=100),"Completed — on track",IF(O402="Not awarded",IF(U402="",IF(X402="","No planned date",IF(TODAY()&gt;X402,"Behind — past planned date",IF(X402-TODAY()&lt;=30,"At risk — close to off track","On track"))),IF(TODAY()&gt;U402,"Behind — award date passed",IF(U402-TODAY()&lt;=30,"At risk — close to off track","On track"))),IF(X402="","No planned date",IF(AND(TODAY()&gt;X402,OR(Z402="",Z402&lt;100)),"Behind — past end date",IF(AND(T402&lt;&gt;"",X402&lt;&gt;"",Z402&lt;&gt;"",(Z402&lt;100),((TODAY()-T402)/MAX(X402-T402,1)*100)-Z402&gt;15),"Behind — progress lag",IF(AND(X402-TODAY()&lt;=30,X402-TODAY()&gt;=0,OR(Z402="",Z402&lt;90)),"At risk — close to off track","On track"))))))))</t>
        </is>
      </c>
      <c r="AH402" s="49" t="inlineStr">
        <is>
          <t>IF(OR(F402="",AC402="Completed / Handover",AC402="Cancelled"),"",IF(O402="Not awarded",IF(U402&lt;&gt;"",U402-TODAY(),IF(X402="","",X402-TODAY())),IF(X402="","",X402-TODAY())))</t>
        </is>
      </c>
      <c r="AI402" s="54" t="n"/>
      <c r="AJ402" s="54" t="n"/>
      <c r="AK402" s="54" t="n"/>
      <c r="AL402" s="54" t="n"/>
      <c r="AM402" s="54" t="n"/>
      <c r="AN402" s="54" t="n"/>
      <c r="AO402" s="54" t="n"/>
      <c r="AP402" s="54" t="n"/>
      <c r="AQ402" s="54" t="n"/>
      <c r="AR402" s="54" t="n"/>
      <c r="AS402" s="54" t="n"/>
      <c r="AT402" s="50" t="n"/>
      <c r="AU402" s="50" t="n"/>
      <c r="AV402" s="50" t="n"/>
      <c r="AW402" s="49" t="inlineStr">
        <is>
          <t>IF(OR(F402="",AJ402=""),"",IF(COUNT(AI402:AI402)=0,"",AJ402-LOOKUP(2,1/(AI402:AI402&lt;&gt;""),AI402:AI402)))</t>
        </is>
      </c>
      <c r="AX402" s="49" t="inlineStr">
        <is>
          <t>IF(OR(F402="",AK402=""),"",IF(COUNT(AI402:AJ402)=0,"",AK402-LOOKUP(2,1/(AI402:AJ402&lt;&gt;""),AI402:AJ402)))</t>
        </is>
      </c>
      <c r="AY402" s="49" t="inlineStr">
        <is>
          <t>IF(OR(F402="",AL402=""),"",IF(COUNT(AI402:AK402)=0,"",AL402-LOOKUP(2,1/(AI402:AK402&lt;&gt;""),AI402:AK402)))</t>
        </is>
      </c>
      <c r="AZ402" s="49" t="inlineStr">
        <is>
          <t>IF(OR(F402="",AM402=""),"",IF(COUNT(AI402:AL402)=0,"",AM402-LOOKUP(2,1/(AI402:AL402&lt;&gt;""),AI402:AL402)))</t>
        </is>
      </c>
      <c r="BA402" s="49" t="inlineStr">
        <is>
          <t>IF(OR(F402="",AN402=""),"",IF(COUNT(AI402:AM402)=0,"",AN402-LOOKUP(2,1/(AI402:AM402&lt;&gt;""),AI402:AM402)))</t>
        </is>
      </c>
      <c r="BB402" s="49" t="inlineStr">
        <is>
          <t>IF(OR(F402="",AO402=""),"",IF(COUNT(AI402:AN402)=0,"",AO402-LOOKUP(2,1/(AI402:AN402&lt;&gt;""),AI402:AN402)))</t>
        </is>
      </c>
      <c r="BC402" s="49" t="inlineStr">
        <is>
          <t>IF(OR(F402="",AP402=""),"",IF(COUNT(AI402:AO402)=0,"",AP402-LOOKUP(2,1/(AI402:AO402&lt;&gt;""),AI402:AO402)))</t>
        </is>
      </c>
      <c r="BD402" s="49" t="inlineStr">
        <is>
          <t>IF(OR(F402="",AQ402=""),"",IF(COUNT(AI402:AP402)=0,"",AQ402-LOOKUP(2,1/(AI402:AP402&lt;&gt;""),AI402:AP402)))</t>
        </is>
      </c>
      <c r="BE402" s="49" t="inlineStr">
        <is>
          <t>IF(OR(F402="",AR402=""),"",IF(COUNT(AI402:AQ402)=0,"",AR402-LOOKUP(2,1/(AI402:AQ402&lt;&gt;""),AI402:AQ402)))</t>
        </is>
      </c>
      <c r="BF402" s="49" t="inlineStr">
        <is>
          <t>IF(OR(F402="",AS402=""),"",IF(COUNT(AI402:AR402)=0,"",AS402-LOOKUP(2,1/(AI402:AR402&lt;&gt;""),AI402:AR402)))</t>
        </is>
      </c>
      <c r="BG402" s="49" t="inlineStr">
        <is>
          <t>IF(OR(F402="",AT402=""),"",IF(COUNT(AI402:AS402)=0,"",AT402-LOOKUP(2,1/(AI402:AS402&lt;&gt;""),AI402:AS402)))</t>
        </is>
      </c>
      <c r="BH402" s="49" t="inlineStr">
        <is>
          <t>IF(OR(F402="",AU402=""),"",IF(COUNT(AI402:AT402)=0,"",AU402-LOOKUP(2,1/(AI402:AT402&lt;&gt;""),AI402:AT402)))</t>
        </is>
      </c>
      <c r="BI402" s="49" t="inlineStr">
        <is>
          <t>IF(OR(F402="",AV402=""),"",IF(COUNT(AI402:AU402)=0,"",AV402-LOOKUP(2,1/(AI402:AU402&lt;&gt;""),AI402:AU402)))</t>
        </is>
      </c>
      <c r="BJ402" s="51" t="inlineStr">
        <is>
          <t>IF(J402="","All_Provinces",IFERROR(VLOOKUP(J402,'09_Lookups'!$A$4:$B$20,2,FALSE),"All_Provinces"))</t>
        </is>
      </c>
      <c r="BK402" s="51" t="inlineStr">
        <is>
          <t>IF(K402="","All_Districts",IFERROR(VLOOKUP(K402,'09_Lookups'!$E$4:$F$42,2,FALSE),"All_Districts"))</t>
        </is>
      </c>
    </row>
    <row r="403" ht="18" customHeight="1">
      <c r="A403" s="42" t="inlineStr">
        <is>
          <t>IF(F403="","",ROW()-3)</t>
        </is>
      </c>
      <c r="B403" s="44" t="n"/>
      <c r="C403" s="44" t="n"/>
      <c r="D403" s="44" t="n"/>
      <c r="E403" s="44" t="n"/>
      <c r="F403" s="44" t="n"/>
      <c r="G403" s="44" t="n"/>
      <c r="H403" s="44" t="n"/>
      <c r="I403" s="44" t="n"/>
      <c r="J403" s="44" t="n"/>
      <c r="K403" s="44" t="n"/>
      <c r="L403" s="44" t="n"/>
      <c r="M403" s="44" t="n"/>
      <c r="N403" s="44" t="n"/>
      <c r="O403" s="44" t="n"/>
      <c r="P403" s="44" t="n"/>
      <c r="Q403" s="44" t="n"/>
      <c r="R403" s="44" t="n"/>
      <c r="S403" s="45" t="n"/>
      <c r="T403" s="46" t="inlineStr">
        <is>
          <t>IF(AQ403="","",AQ403)</t>
        </is>
      </c>
      <c r="U403" s="47" t="n"/>
      <c r="V403" s="48" t="n"/>
      <c r="W403" s="47" t="n"/>
      <c r="X403" s="46" t="inlineStr">
        <is>
          <t>IF(W403&lt;&gt;"",W403,IF(OR(T403="",V403=""),"",EDATE(T403,V403)))</t>
        </is>
      </c>
      <c r="Y403" s="47" t="n"/>
      <c r="Z403" s="48" t="n"/>
      <c r="AA403" s="44" t="n"/>
      <c r="AB403" s="44" t="n"/>
      <c r="AC403" s="42" t="inlineStr">
        <is>
          <t>IF(F403="","",IF(COUNT(AI403:AV403)=0,IF(AA403="","Not started",AA403),SUBSTITUTE(LOOKUP(2,1/(AI403:AV403&lt;&gt;""),$AI$3:$AV$3),"Date: ","")))</t>
        </is>
      </c>
      <c r="AD403" s="49" t="inlineStr">
        <is>
          <t>IF(OR(F403="",COUNT(AI403:AV403)=0),"",TODAY()-LOOKUP(2,1/(AI403:AV403&lt;&gt;""),AI403:AV403))</t>
        </is>
      </c>
      <c r="AE403" s="49" t="inlineStr">
        <is>
          <t>IF(OR(F403="",COUNT(AI403:AV403)&lt;2),"",LOOKUP(2,1/(AI403:AV403&lt;&gt;""),AI403:AV403)-MIN(AI403:AV403))</t>
        </is>
      </c>
      <c r="AF403" s="49" t="inlineStr">
        <is>
          <t>IF(OR(AD403="",AC403="Not started",AC403=""),"",IFERROR(AD403-IF(VLOOKUP(AC403,'06_Status_Pipeline'!$B$3:$E$20,4,FALSE)="",0,VLOOKUP(AC403,'06_Status_Pipeline'!$B$3:$E$20,4,FALSE)),""))</t>
        </is>
      </c>
      <c r="AG403" s="42" t="inlineStr">
        <is>
          <t>IF(F403="","",IF(OR(AA403="Cancelled",AC403="Cancelled"),"Cancelled",IF(OR(AC403="Completed / Handover",Y403&lt;&gt;"",Z403&gt;=100),"Completed — on track",IF(O403="Not awarded",IF(U403="",IF(X403="","No planned date",IF(TODAY()&gt;X403,"Behind — past planned date",IF(X403-TODAY()&lt;=30,"At risk — close to off track","On track"))),IF(TODAY()&gt;U403,"Behind — award date passed",IF(U403-TODAY()&lt;=30,"At risk — close to off track","On track"))),IF(X403="","No planned date",IF(AND(TODAY()&gt;X403,OR(Z403="",Z403&lt;100)),"Behind — past end date",IF(AND(T403&lt;&gt;"",X403&lt;&gt;"",Z403&lt;&gt;"",(Z403&lt;100),((TODAY()-T403)/MAX(X403-T403,1)*100)-Z403&gt;15),"Behind — progress lag",IF(AND(X403-TODAY()&lt;=30,X403-TODAY()&gt;=0,OR(Z403="",Z403&lt;90)),"At risk — close to off track","On track"))))))))</t>
        </is>
      </c>
      <c r="AH403" s="49" t="inlineStr">
        <is>
          <t>IF(OR(F403="",AC403="Completed / Handover",AC403="Cancelled"),"",IF(O403="Not awarded",IF(U403&lt;&gt;"",U403-TODAY(),IF(X403="","",X403-TODAY())),IF(X403="","",X403-TODAY())))</t>
        </is>
      </c>
      <c r="AI403" s="47" t="n"/>
      <c r="AJ403" s="47" t="n"/>
      <c r="AK403" s="47" t="n"/>
      <c r="AL403" s="47" t="n"/>
      <c r="AM403" s="47" t="n"/>
      <c r="AN403" s="47" t="n"/>
      <c r="AO403" s="47" t="n"/>
      <c r="AP403" s="47" t="n"/>
      <c r="AQ403" s="47" t="n"/>
      <c r="AR403" s="47" t="n"/>
      <c r="AS403" s="47" t="n"/>
      <c r="AT403" s="50" t="n"/>
      <c r="AU403" s="50" t="n"/>
      <c r="AV403" s="50" t="n"/>
      <c r="AW403" s="49" t="inlineStr">
        <is>
          <t>IF(OR(F403="",AJ403=""),"",IF(COUNT(AI403:AI403)=0,"",AJ403-LOOKUP(2,1/(AI403:AI403&lt;&gt;""),AI403:AI403)))</t>
        </is>
      </c>
      <c r="AX403" s="49" t="inlineStr">
        <is>
          <t>IF(OR(F403="",AK403=""),"",IF(COUNT(AI403:AJ403)=0,"",AK403-LOOKUP(2,1/(AI403:AJ403&lt;&gt;""),AI403:AJ403)))</t>
        </is>
      </c>
      <c r="AY403" s="49" t="inlineStr">
        <is>
          <t>IF(OR(F403="",AL403=""),"",IF(COUNT(AI403:AK403)=0,"",AL403-LOOKUP(2,1/(AI403:AK403&lt;&gt;""),AI403:AK403)))</t>
        </is>
      </c>
      <c r="AZ403" s="49" t="inlineStr">
        <is>
          <t>IF(OR(F403="",AM403=""),"",IF(COUNT(AI403:AL403)=0,"",AM403-LOOKUP(2,1/(AI403:AL403&lt;&gt;""),AI403:AL403)))</t>
        </is>
      </c>
      <c r="BA403" s="49" t="inlineStr">
        <is>
          <t>IF(OR(F403="",AN403=""),"",IF(COUNT(AI403:AM403)=0,"",AN403-LOOKUP(2,1/(AI403:AM403&lt;&gt;""),AI403:AM403)))</t>
        </is>
      </c>
      <c r="BB403" s="49" t="inlineStr">
        <is>
          <t>IF(OR(F403="",AO403=""),"",IF(COUNT(AI403:AN403)=0,"",AO403-LOOKUP(2,1/(AI403:AN403&lt;&gt;""),AI403:AN403)))</t>
        </is>
      </c>
      <c r="BC403" s="49" t="inlineStr">
        <is>
          <t>IF(OR(F403="",AP403=""),"",IF(COUNT(AI403:AO403)=0,"",AP403-LOOKUP(2,1/(AI403:AO403&lt;&gt;""),AI403:AO403)))</t>
        </is>
      </c>
      <c r="BD403" s="49" t="inlineStr">
        <is>
          <t>IF(OR(F403="",AQ403=""),"",IF(COUNT(AI403:AP403)=0,"",AQ403-LOOKUP(2,1/(AI403:AP403&lt;&gt;""),AI403:AP403)))</t>
        </is>
      </c>
      <c r="BE403" s="49" t="inlineStr">
        <is>
          <t>IF(OR(F403="",AR403=""),"",IF(COUNT(AI403:AQ403)=0,"",AR403-LOOKUP(2,1/(AI403:AQ403&lt;&gt;""),AI403:AQ403)))</t>
        </is>
      </c>
      <c r="BF403" s="49" t="inlineStr">
        <is>
          <t>IF(OR(F403="",AS403=""),"",IF(COUNT(AI403:AR403)=0,"",AS403-LOOKUP(2,1/(AI403:AR403&lt;&gt;""),AI403:AR403)))</t>
        </is>
      </c>
      <c r="BG403" s="49" t="inlineStr">
        <is>
          <t>IF(OR(F403="",AT403=""),"",IF(COUNT(AI403:AS403)=0,"",AT403-LOOKUP(2,1/(AI403:AS403&lt;&gt;""),AI403:AS403)))</t>
        </is>
      </c>
      <c r="BH403" s="49" t="inlineStr">
        <is>
          <t>IF(OR(F403="",AU403=""),"",IF(COUNT(AI403:AT403)=0,"",AU403-LOOKUP(2,1/(AI403:AT403&lt;&gt;""),AI403:AT403)))</t>
        </is>
      </c>
      <c r="BI403" s="49" t="inlineStr">
        <is>
          <t>IF(OR(F403="",AV403=""),"",IF(COUNT(AI403:AU403)=0,"",AV403-LOOKUP(2,1/(AI403:AU403&lt;&gt;""),AI403:AU403)))</t>
        </is>
      </c>
      <c r="BJ403" s="51" t="inlineStr">
        <is>
          <t>IF(J403="","All_Provinces",IFERROR(VLOOKUP(J403,'09_Lookups'!$A$4:$B$20,2,FALSE),"All_Provinces"))</t>
        </is>
      </c>
      <c r="BK403" s="51" t="inlineStr">
        <is>
          <t>IF(K403="","All_Districts",IFERROR(VLOOKUP(K403,'09_Lookups'!$E$4:$F$42,2,FALSE),"All_Districts"))</t>
        </is>
      </c>
    </row>
    <row r="404" ht="18" customHeight="1">
      <c r="A404" s="42" t="inlineStr">
        <is>
          <t>IF(F404="","",ROW()-3)</t>
        </is>
      </c>
      <c r="B404" s="52" t="n"/>
      <c r="C404" s="52" t="n"/>
      <c r="D404" s="52" t="n"/>
      <c r="E404" s="52" t="n"/>
      <c r="F404" s="52" t="n"/>
      <c r="G404" s="52" t="n"/>
      <c r="H404" s="52" t="n"/>
      <c r="I404" s="52" t="n"/>
      <c r="J404" s="52" t="n"/>
      <c r="K404" s="52" t="n"/>
      <c r="L404" s="52" t="n"/>
      <c r="M404" s="52" t="n"/>
      <c r="N404" s="52" t="n"/>
      <c r="O404" s="52" t="n"/>
      <c r="P404" s="52" t="n"/>
      <c r="Q404" s="52" t="n"/>
      <c r="R404" s="52" t="n"/>
      <c r="S404" s="53" t="n"/>
      <c r="T404" s="46" t="inlineStr">
        <is>
          <t>IF(AQ404="","",AQ404)</t>
        </is>
      </c>
      <c r="U404" s="54" t="n"/>
      <c r="V404" s="55" t="n"/>
      <c r="W404" s="54" t="n"/>
      <c r="X404" s="46" t="inlineStr">
        <is>
          <t>IF(W404&lt;&gt;"",W404,IF(OR(T404="",V404=""),"",EDATE(T404,V404)))</t>
        </is>
      </c>
      <c r="Y404" s="54" t="n"/>
      <c r="Z404" s="55" t="n"/>
      <c r="AA404" s="52" t="n"/>
      <c r="AB404" s="52" t="n"/>
      <c r="AC404" s="42" t="inlineStr">
        <is>
          <t>IF(F404="","",IF(COUNT(AI404:AV404)=0,IF(AA404="","Not started",AA404),SUBSTITUTE(LOOKUP(2,1/(AI404:AV404&lt;&gt;""),$AI$3:$AV$3),"Date: ","")))</t>
        </is>
      </c>
      <c r="AD404" s="49" t="inlineStr">
        <is>
          <t>IF(OR(F404="",COUNT(AI404:AV404)=0),"",TODAY()-LOOKUP(2,1/(AI404:AV404&lt;&gt;""),AI404:AV404))</t>
        </is>
      </c>
      <c r="AE404" s="49" t="inlineStr">
        <is>
          <t>IF(OR(F404="",COUNT(AI404:AV404)&lt;2),"",LOOKUP(2,1/(AI404:AV404&lt;&gt;""),AI404:AV404)-MIN(AI404:AV404))</t>
        </is>
      </c>
      <c r="AF404" s="49" t="inlineStr">
        <is>
          <t>IF(OR(AD404="",AC404="Not started",AC404=""),"",IFERROR(AD404-IF(VLOOKUP(AC404,'06_Status_Pipeline'!$B$3:$E$20,4,FALSE)="",0,VLOOKUP(AC404,'06_Status_Pipeline'!$B$3:$E$20,4,FALSE)),""))</t>
        </is>
      </c>
      <c r="AG404" s="42" t="inlineStr">
        <is>
          <t>IF(F404="","",IF(OR(AA404="Cancelled",AC404="Cancelled"),"Cancelled",IF(OR(AC404="Completed / Handover",Y404&lt;&gt;"",Z404&gt;=100),"Completed — on track",IF(O404="Not awarded",IF(U404="",IF(X404="","No planned date",IF(TODAY()&gt;X404,"Behind — past planned date",IF(X404-TODAY()&lt;=30,"At risk — close to off track","On track"))),IF(TODAY()&gt;U404,"Behind — award date passed",IF(U404-TODAY()&lt;=30,"At risk — close to off track","On track"))),IF(X404="","No planned date",IF(AND(TODAY()&gt;X404,OR(Z404="",Z404&lt;100)),"Behind — past end date",IF(AND(T404&lt;&gt;"",X404&lt;&gt;"",Z404&lt;&gt;"",(Z404&lt;100),((TODAY()-T404)/MAX(X404-T404,1)*100)-Z404&gt;15),"Behind — progress lag",IF(AND(X404-TODAY()&lt;=30,X404-TODAY()&gt;=0,OR(Z404="",Z404&lt;90)),"At risk — close to off track","On track"))))))))</t>
        </is>
      </c>
      <c r="AH404" s="49" t="inlineStr">
        <is>
          <t>IF(OR(F404="",AC404="Completed / Handover",AC404="Cancelled"),"",IF(O404="Not awarded",IF(U404&lt;&gt;"",U404-TODAY(),IF(X404="","",X404-TODAY())),IF(X404="","",X404-TODAY())))</t>
        </is>
      </c>
      <c r="AI404" s="54" t="n"/>
      <c r="AJ404" s="54" t="n"/>
      <c r="AK404" s="54" t="n"/>
      <c r="AL404" s="54" t="n"/>
      <c r="AM404" s="54" t="n"/>
      <c r="AN404" s="54" t="n"/>
      <c r="AO404" s="54" t="n"/>
      <c r="AP404" s="54" t="n"/>
      <c r="AQ404" s="54" t="n"/>
      <c r="AR404" s="54" t="n"/>
      <c r="AS404" s="54" t="n"/>
      <c r="AT404" s="50" t="n"/>
      <c r="AU404" s="50" t="n"/>
      <c r="AV404" s="50" t="n"/>
      <c r="AW404" s="49" t="inlineStr">
        <is>
          <t>IF(OR(F404="",AJ404=""),"",IF(COUNT(AI404:AI404)=0,"",AJ404-LOOKUP(2,1/(AI404:AI404&lt;&gt;""),AI404:AI404)))</t>
        </is>
      </c>
      <c r="AX404" s="49" t="inlineStr">
        <is>
          <t>IF(OR(F404="",AK404=""),"",IF(COUNT(AI404:AJ404)=0,"",AK404-LOOKUP(2,1/(AI404:AJ404&lt;&gt;""),AI404:AJ404)))</t>
        </is>
      </c>
      <c r="AY404" s="49" t="inlineStr">
        <is>
          <t>IF(OR(F404="",AL404=""),"",IF(COUNT(AI404:AK404)=0,"",AL404-LOOKUP(2,1/(AI404:AK404&lt;&gt;""),AI404:AK404)))</t>
        </is>
      </c>
      <c r="AZ404" s="49" t="inlineStr">
        <is>
          <t>IF(OR(F404="",AM404=""),"",IF(COUNT(AI404:AL404)=0,"",AM404-LOOKUP(2,1/(AI404:AL404&lt;&gt;""),AI404:AL404)))</t>
        </is>
      </c>
      <c r="BA404" s="49" t="inlineStr">
        <is>
          <t>IF(OR(F404="",AN404=""),"",IF(COUNT(AI404:AM404)=0,"",AN404-LOOKUP(2,1/(AI404:AM404&lt;&gt;""),AI404:AM404)))</t>
        </is>
      </c>
      <c r="BB404" s="49" t="inlineStr">
        <is>
          <t>IF(OR(F404="",AO404=""),"",IF(COUNT(AI404:AN404)=0,"",AO404-LOOKUP(2,1/(AI404:AN404&lt;&gt;""),AI404:AN404)))</t>
        </is>
      </c>
      <c r="BC404" s="49" t="inlineStr">
        <is>
          <t>IF(OR(F404="",AP404=""),"",IF(COUNT(AI404:AO404)=0,"",AP404-LOOKUP(2,1/(AI404:AO404&lt;&gt;""),AI404:AO404)))</t>
        </is>
      </c>
      <c r="BD404" s="49" t="inlineStr">
        <is>
          <t>IF(OR(F404="",AQ404=""),"",IF(COUNT(AI404:AP404)=0,"",AQ404-LOOKUP(2,1/(AI404:AP404&lt;&gt;""),AI404:AP404)))</t>
        </is>
      </c>
      <c r="BE404" s="49" t="inlineStr">
        <is>
          <t>IF(OR(F404="",AR404=""),"",IF(COUNT(AI404:AQ404)=0,"",AR404-LOOKUP(2,1/(AI404:AQ404&lt;&gt;""),AI404:AQ404)))</t>
        </is>
      </c>
      <c r="BF404" s="49" t="inlineStr">
        <is>
          <t>IF(OR(F404="",AS404=""),"",IF(COUNT(AI404:AR404)=0,"",AS404-LOOKUP(2,1/(AI404:AR404&lt;&gt;""),AI404:AR404)))</t>
        </is>
      </c>
      <c r="BG404" s="49" t="inlineStr">
        <is>
          <t>IF(OR(F404="",AT404=""),"",IF(COUNT(AI404:AS404)=0,"",AT404-LOOKUP(2,1/(AI404:AS404&lt;&gt;""),AI404:AS404)))</t>
        </is>
      </c>
      <c r="BH404" s="49" t="inlineStr">
        <is>
          <t>IF(OR(F404="",AU404=""),"",IF(COUNT(AI404:AT404)=0,"",AU404-LOOKUP(2,1/(AI404:AT404&lt;&gt;""),AI404:AT404)))</t>
        </is>
      </c>
      <c r="BI404" s="49" t="inlineStr">
        <is>
          <t>IF(OR(F404="",AV404=""),"",IF(COUNT(AI404:AU404)=0,"",AV404-LOOKUP(2,1/(AI404:AU404&lt;&gt;""),AI404:AU404)))</t>
        </is>
      </c>
      <c r="BJ404" s="51" t="inlineStr">
        <is>
          <t>IF(J404="","All_Provinces",IFERROR(VLOOKUP(J404,'09_Lookups'!$A$4:$B$20,2,FALSE),"All_Provinces"))</t>
        </is>
      </c>
      <c r="BK404" s="51" t="inlineStr">
        <is>
          <t>IF(K404="","All_Districts",IFERROR(VLOOKUP(K404,'09_Lookups'!$E$4:$F$42,2,FALSE),"All_Districts"))</t>
        </is>
      </c>
    </row>
    <row r="405" ht="18" customHeight="1">
      <c r="A405" s="42" t="inlineStr">
        <is>
          <t>IF(F405="","",ROW()-3)</t>
        </is>
      </c>
      <c r="B405" s="44" t="n"/>
      <c r="C405" s="44" t="n"/>
      <c r="D405" s="44" t="n"/>
      <c r="E405" s="44" t="n"/>
      <c r="F405" s="44" t="n"/>
      <c r="G405" s="44" t="n"/>
      <c r="H405" s="44" t="n"/>
      <c r="I405" s="44" t="n"/>
      <c r="J405" s="44" t="n"/>
      <c r="K405" s="44" t="n"/>
      <c r="L405" s="44" t="n"/>
      <c r="M405" s="44" t="n"/>
      <c r="N405" s="44" t="n"/>
      <c r="O405" s="44" t="n"/>
      <c r="P405" s="44" t="n"/>
      <c r="Q405" s="44" t="n"/>
      <c r="R405" s="44" t="n"/>
      <c r="S405" s="45" t="n"/>
      <c r="T405" s="46" t="inlineStr">
        <is>
          <t>IF(AQ405="","",AQ405)</t>
        </is>
      </c>
      <c r="U405" s="47" t="n"/>
      <c r="V405" s="48" t="n"/>
      <c r="W405" s="47" t="n"/>
      <c r="X405" s="46" t="inlineStr">
        <is>
          <t>IF(W405&lt;&gt;"",W405,IF(OR(T405="",V405=""),"",EDATE(T405,V405)))</t>
        </is>
      </c>
      <c r="Y405" s="47" t="n"/>
      <c r="Z405" s="48" t="n"/>
      <c r="AA405" s="44" t="n"/>
      <c r="AB405" s="44" t="n"/>
      <c r="AC405" s="42" t="inlineStr">
        <is>
          <t>IF(F405="","",IF(COUNT(AI405:AV405)=0,IF(AA405="","Not started",AA405),SUBSTITUTE(LOOKUP(2,1/(AI405:AV405&lt;&gt;""),$AI$3:$AV$3),"Date: ","")))</t>
        </is>
      </c>
      <c r="AD405" s="49" t="inlineStr">
        <is>
          <t>IF(OR(F405="",COUNT(AI405:AV405)=0),"",TODAY()-LOOKUP(2,1/(AI405:AV405&lt;&gt;""),AI405:AV405))</t>
        </is>
      </c>
      <c r="AE405" s="49" t="inlineStr">
        <is>
          <t>IF(OR(F405="",COUNT(AI405:AV405)&lt;2),"",LOOKUP(2,1/(AI405:AV405&lt;&gt;""),AI405:AV405)-MIN(AI405:AV405))</t>
        </is>
      </c>
      <c r="AF405" s="49" t="inlineStr">
        <is>
          <t>IF(OR(AD405="",AC405="Not started",AC405=""),"",IFERROR(AD405-IF(VLOOKUP(AC405,'06_Status_Pipeline'!$B$3:$E$20,4,FALSE)="",0,VLOOKUP(AC405,'06_Status_Pipeline'!$B$3:$E$20,4,FALSE)),""))</t>
        </is>
      </c>
      <c r="AG405" s="42" t="inlineStr">
        <is>
          <t>IF(F405="","",IF(OR(AA405="Cancelled",AC405="Cancelled"),"Cancelled",IF(OR(AC405="Completed / Handover",Y405&lt;&gt;"",Z405&gt;=100),"Completed — on track",IF(O405="Not awarded",IF(U405="",IF(X405="","No planned date",IF(TODAY()&gt;X405,"Behind — past planned date",IF(X405-TODAY()&lt;=30,"At risk — close to off track","On track"))),IF(TODAY()&gt;U405,"Behind — award date passed",IF(U405-TODAY()&lt;=30,"At risk — close to off track","On track"))),IF(X405="","No planned date",IF(AND(TODAY()&gt;X405,OR(Z405="",Z405&lt;100)),"Behind — past end date",IF(AND(T405&lt;&gt;"",X405&lt;&gt;"",Z405&lt;&gt;"",(Z405&lt;100),((TODAY()-T405)/MAX(X405-T405,1)*100)-Z405&gt;15),"Behind — progress lag",IF(AND(X405-TODAY()&lt;=30,X405-TODAY()&gt;=0,OR(Z405="",Z405&lt;90)),"At risk — close to off track","On track"))))))))</t>
        </is>
      </c>
      <c r="AH405" s="49" t="inlineStr">
        <is>
          <t>IF(OR(F405="",AC405="Completed / Handover",AC405="Cancelled"),"",IF(O405="Not awarded",IF(U405&lt;&gt;"",U405-TODAY(),IF(X405="","",X405-TODAY())),IF(X405="","",X405-TODAY())))</t>
        </is>
      </c>
      <c r="AI405" s="47" t="n"/>
      <c r="AJ405" s="47" t="n"/>
      <c r="AK405" s="47" t="n"/>
      <c r="AL405" s="47" t="n"/>
      <c r="AM405" s="47" t="n"/>
      <c r="AN405" s="47" t="n"/>
      <c r="AO405" s="47" t="n"/>
      <c r="AP405" s="47" t="n"/>
      <c r="AQ405" s="47" t="n"/>
      <c r="AR405" s="47" t="n"/>
      <c r="AS405" s="47" t="n"/>
      <c r="AT405" s="50" t="n"/>
      <c r="AU405" s="50" t="n"/>
      <c r="AV405" s="50" t="n"/>
      <c r="AW405" s="49" t="inlineStr">
        <is>
          <t>IF(OR(F405="",AJ405=""),"",IF(COUNT(AI405:AI405)=0,"",AJ405-LOOKUP(2,1/(AI405:AI405&lt;&gt;""),AI405:AI405)))</t>
        </is>
      </c>
      <c r="AX405" s="49" t="inlineStr">
        <is>
          <t>IF(OR(F405="",AK405=""),"",IF(COUNT(AI405:AJ405)=0,"",AK405-LOOKUP(2,1/(AI405:AJ405&lt;&gt;""),AI405:AJ405)))</t>
        </is>
      </c>
      <c r="AY405" s="49" t="inlineStr">
        <is>
          <t>IF(OR(F405="",AL405=""),"",IF(COUNT(AI405:AK405)=0,"",AL405-LOOKUP(2,1/(AI405:AK405&lt;&gt;""),AI405:AK405)))</t>
        </is>
      </c>
      <c r="AZ405" s="49" t="inlineStr">
        <is>
          <t>IF(OR(F405="",AM405=""),"",IF(COUNT(AI405:AL405)=0,"",AM405-LOOKUP(2,1/(AI405:AL405&lt;&gt;""),AI405:AL405)))</t>
        </is>
      </c>
      <c r="BA405" s="49" t="inlineStr">
        <is>
          <t>IF(OR(F405="",AN405=""),"",IF(COUNT(AI405:AM405)=0,"",AN405-LOOKUP(2,1/(AI405:AM405&lt;&gt;""),AI405:AM405)))</t>
        </is>
      </c>
      <c r="BB405" s="49" t="inlineStr">
        <is>
          <t>IF(OR(F405="",AO405=""),"",IF(COUNT(AI405:AN405)=0,"",AO405-LOOKUP(2,1/(AI405:AN405&lt;&gt;""),AI405:AN405)))</t>
        </is>
      </c>
      <c r="BC405" s="49" t="inlineStr">
        <is>
          <t>IF(OR(F405="",AP405=""),"",IF(COUNT(AI405:AO405)=0,"",AP405-LOOKUP(2,1/(AI405:AO405&lt;&gt;""),AI405:AO405)))</t>
        </is>
      </c>
      <c r="BD405" s="49" t="inlineStr">
        <is>
          <t>IF(OR(F405="",AQ405=""),"",IF(COUNT(AI405:AP405)=0,"",AQ405-LOOKUP(2,1/(AI405:AP405&lt;&gt;""),AI405:AP405)))</t>
        </is>
      </c>
      <c r="BE405" s="49" t="inlineStr">
        <is>
          <t>IF(OR(F405="",AR405=""),"",IF(COUNT(AI405:AQ405)=0,"",AR405-LOOKUP(2,1/(AI405:AQ405&lt;&gt;""),AI405:AQ405)))</t>
        </is>
      </c>
      <c r="BF405" s="49" t="inlineStr">
        <is>
          <t>IF(OR(F405="",AS405=""),"",IF(COUNT(AI405:AR405)=0,"",AS405-LOOKUP(2,1/(AI405:AR405&lt;&gt;""),AI405:AR405)))</t>
        </is>
      </c>
      <c r="BG405" s="49" t="inlineStr">
        <is>
          <t>IF(OR(F405="",AT405=""),"",IF(COUNT(AI405:AS405)=0,"",AT405-LOOKUP(2,1/(AI405:AS405&lt;&gt;""),AI405:AS405)))</t>
        </is>
      </c>
      <c r="BH405" s="49" t="inlineStr">
        <is>
          <t>IF(OR(F405="",AU405=""),"",IF(COUNT(AI405:AT405)=0,"",AU405-LOOKUP(2,1/(AI405:AT405&lt;&gt;""),AI405:AT405)))</t>
        </is>
      </c>
      <c r="BI405" s="49" t="inlineStr">
        <is>
          <t>IF(OR(F405="",AV405=""),"",IF(COUNT(AI405:AU405)=0,"",AV405-LOOKUP(2,1/(AI405:AU405&lt;&gt;""),AI405:AU405)))</t>
        </is>
      </c>
      <c r="BJ405" s="51" t="inlineStr">
        <is>
          <t>IF(J405="","All_Provinces",IFERROR(VLOOKUP(J405,'09_Lookups'!$A$4:$B$20,2,FALSE),"All_Provinces"))</t>
        </is>
      </c>
      <c r="BK405" s="51" t="inlineStr">
        <is>
          <t>IF(K405="","All_Districts",IFERROR(VLOOKUP(K405,'09_Lookups'!$E$4:$F$42,2,FALSE),"All_Districts"))</t>
        </is>
      </c>
    </row>
    <row r="406" ht="18" customHeight="1">
      <c r="A406" s="42" t="inlineStr">
        <is>
          <t>IF(F406="","",ROW()-3)</t>
        </is>
      </c>
      <c r="B406" s="52" t="n"/>
      <c r="C406" s="52" t="n"/>
      <c r="D406" s="52" t="n"/>
      <c r="E406" s="52" t="n"/>
      <c r="F406" s="52" t="n"/>
      <c r="G406" s="52" t="n"/>
      <c r="H406" s="52" t="n"/>
      <c r="I406" s="52" t="n"/>
      <c r="J406" s="52" t="n"/>
      <c r="K406" s="52" t="n"/>
      <c r="L406" s="52" t="n"/>
      <c r="M406" s="52" t="n"/>
      <c r="N406" s="52" t="n"/>
      <c r="O406" s="52" t="n"/>
      <c r="P406" s="52" t="n"/>
      <c r="Q406" s="52" t="n"/>
      <c r="R406" s="52" t="n"/>
      <c r="S406" s="53" t="n"/>
      <c r="T406" s="46" t="inlineStr">
        <is>
          <t>IF(AQ406="","",AQ406)</t>
        </is>
      </c>
      <c r="U406" s="54" t="n"/>
      <c r="V406" s="55" t="n"/>
      <c r="W406" s="54" t="n"/>
      <c r="X406" s="46" t="inlineStr">
        <is>
          <t>IF(W406&lt;&gt;"",W406,IF(OR(T406="",V406=""),"",EDATE(T406,V406)))</t>
        </is>
      </c>
      <c r="Y406" s="54" t="n"/>
      <c r="Z406" s="55" t="n"/>
      <c r="AA406" s="52" t="n"/>
      <c r="AB406" s="52" t="n"/>
      <c r="AC406" s="42" t="inlineStr">
        <is>
          <t>IF(F406="","",IF(COUNT(AI406:AV406)=0,IF(AA406="","Not started",AA406),SUBSTITUTE(LOOKUP(2,1/(AI406:AV406&lt;&gt;""),$AI$3:$AV$3),"Date: ","")))</t>
        </is>
      </c>
      <c r="AD406" s="49" t="inlineStr">
        <is>
          <t>IF(OR(F406="",COUNT(AI406:AV406)=0),"",TODAY()-LOOKUP(2,1/(AI406:AV406&lt;&gt;""),AI406:AV406))</t>
        </is>
      </c>
      <c r="AE406" s="49" t="inlineStr">
        <is>
          <t>IF(OR(F406="",COUNT(AI406:AV406)&lt;2),"",LOOKUP(2,1/(AI406:AV406&lt;&gt;""),AI406:AV406)-MIN(AI406:AV406))</t>
        </is>
      </c>
      <c r="AF406" s="49" t="inlineStr">
        <is>
          <t>IF(OR(AD406="",AC406="Not started",AC406=""),"",IFERROR(AD406-IF(VLOOKUP(AC406,'06_Status_Pipeline'!$B$3:$E$20,4,FALSE)="",0,VLOOKUP(AC406,'06_Status_Pipeline'!$B$3:$E$20,4,FALSE)),""))</t>
        </is>
      </c>
      <c r="AG406" s="42" t="inlineStr">
        <is>
          <t>IF(F406="","",IF(OR(AA406="Cancelled",AC406="Cancelled"),"Cancelled",IF(OR(AC406="Completed / Handover",Y406&lt;&gt;"",Z406&gt;=100),"Completed — on track",IF(O406="Not awarded",IF(U406="",IF(X406="","No planned date",IF(TODAY()&gt;X406,"Behind — past planned date",IF(X406-TODAY()&lt;=30,"At risk — close to off track","On track"))),IF(TODAY()&gt;U406,"Behind — award date passed",IF(U406-TODAY()&lt;=30,"At risk — close to off track","On track"))),IF(X406="","No planned date",IF(AND(TODAY()&gt;X406,OR(Z406="",Z406&lt;100)),"Behind — past end date",IF(AND(T406&lt;&gt;"",X406&lt;&gt;"",Z406&lt;&gt;"",(Z406&lt;100),((TODAY()-T406)/MAX(X406-T406,1)*100)-Z406&gt;15),"Behind — progress lag",IF(AND(X406-TODAY()&lt;=30,X406-TODAY()&gt;=0,OR(Z406="",Z406&lt;90)),"At risk — close to off track","On track"))))))))</t>
        </is>
      </c>
      <c r="AH406" s="49" t="inlineStr">
        <is>
          <t>IF(OR(F406="",AC406="Completed / Handover",AC406="Cancelled"),"",IF(O406="Not awarded",IF(U406&lt;&gt;"",U406-TODAY(),IF(X406="","",X406-TODAY())),IF(X406="","",X406-TODAY())))</t>
        </is>
      </c>
      <c r="AI406" s="54" t="n"/>
      <c r="AJ406" s="54" t="n"/>
      <c r="AK406" s="54" t="n"/>
      <c r="AL406" s="54" t="n"/>
      <c r="AM406" s="54" t="n"/>
      <c r="AN406" s="54" t="n"/>
      <c r="AO406" s="54" t="n"/>
      <c r="AP406" s="54" t="n"/>
      <c r="AQ406" s="54" t="n"/>
      <c r="AR406" s="54" t="n"/>
      <c r="AS406" s="54" t="n"/>
      <c r="AT406" s="50" t="n"/>
      <c r="AU406" s="50" t="n"/>
      <c r="AV406" s="50" t="n"/>
      <c r="AW406" s="49" t="inlineStr">
        <is>
          <t>IF(OR(F406="",AJ406=""),"",IF(COUNT(AI406:AI406)=0,"",AJ406-LOOKUP(2,1/(AI406:AI406&lt;&gt;""),AI406:AI406)))</t>
        </is>
      </c>
      <c r="AX406" s="49" t="inlineStr">
        <is>
          <t>IF(OR(F406="",AK406=""),"",IF(COUNT(AI406:AJ406)=0,"",AK406-LOOKUP(2,1/(AI406:AJ406&lt;&gt;""),AI406:AJ406)))</t>
        </is>
      </c>
      <c r="AY406" s="49" t="inlineStr">
        <is>
          <t>IF(OR(F406="",AL406=""),"",IF(COUNT(AI406:AK406)=0,"",AL406-LOOKUP(2,1/(AI406:AK406&lt;&gt;""),AI406:AK406)))</t>
        </is>
      </c>
      <c r="AZ406" s="49" t="inlineStr">
        <is>
          <t>IF(OR(F406="",AM406=""),"",IF(COUNT(AI406:AL406)=0,"",AM406-LOOKUP(2,1/(AI406:AL406&lt;&gt;""),AI406:AL406)))</t>
        </is>
      </c>
      <c r="BA406" s="49" t="inlineStr">
        <is>
          <t>IF(OR(F406="",AN406=""),"",IF(COUNT(AI406:AM406)=0,"",AN406-LOOKUP(2,1/(AI406:AM406&lt;&gt;""),AI406:AM406)))</t>
        </is>
      </c>
      <c r="BB406" s="49" t="inlineStr">
        <is>
          <t>IF(OR(F406="",AO406=""),"",IF(COUNT(AI406:AN406)=0,"",AO406-LOOKUP(2,1/(AI406:AN406&lt;&gt;""),AI406:AN406)))</t>
        </is>
      </c>
      <c r="BC406" s="49" t="inlineStr">
        <is>
          <t>IF(OR(F406="",AP406=""),"",IF(COUNT(AI406:AO406)=0,"",AP406-LOOKUP(2,1/(AI406:AO406&lt;&gt;""),AI406:AO406)))</t>
        </is>
      </c>
      <c r="BD406" s="49" t="inlineStr">
        <is>
          <t>IF(OR(F406="",AQ406=""),"",IF(COUNT(AI406:AP406)=0,"",AQ406-LOOKUP(2,1/(AI406:AP406&lt;&gt;""),AI406:AP406)))</t>
        </is>
      </c>
      <c r="BE406" s="49" t="inlineStr">
        <is>
          <t>IF(OR(F406="",AR406=""),"",IF(COUNT(AI406:AQ406)=0,"",AR406-LOOKUP(2,1/(AI406:AQ406&lt;&gt;""),AI406:AQ406)))</t>
        </is>
      </c>
      <c r="BF406" s="49" t="inlineStr">
        <is>
          <t>IF(OR(F406="",AS406=""),"",IF(COUNT(AI406:AR406)=0,"",AS406-LOOKUP(2,1/(AI406:AR406&lt;&gt;""),AI406:AR406)))</t>
        </is>
      </c>
      <c r="BG406" s="49" t="inlineStr">
        <is>
          <t>IF(OR(F406="",AT406=""),"",IF(COUNT(AI406:AS406)=0,"",AT406-LOOKUP(2,1/(AI406:AS406&lt;&gt;""),AI406:AS406)))</t>
        </is>
      </c>
      <c r="BH406" s="49" t="inlineStr">
        <is>
          <t>IF(OR(F406="",AU406=""),"",IF(COUNT(AI406:AT406)=0,"",AU406-LOOKUP(2,1/(AI406:AT406&lt;&gt;""),AI406:AT406)))</t>
        </is>
      </c>
      <c r="BI406" s="49" t="inlineStr">
        <is>
          <t>IF(OR(F406="",AV406=""),"",IF(COUNT(AI406:AU406)=0,"",AV406-LOOKUP(2,1/(AI406:AU406&lt;&gt;""),AI406:AU406)))</t>
        </is>
      </c>
      <c r="BJ406" s="51" t="inlineStr">
        <is>
          <t>IF(J406="","All_Provinces",IFERROR(VLOOKUP(J406,'09_Lookups'!$A$4:$B$20,2,FALSE),"All_Provinces"))</t>
        </is>
      </c>
      <c r="BK406" s="51" t="inlineStr">
        <is>
          <t>IF(K406="","All_Districts",IFERROR(VLOOKUP(K406,'09_Lookups'!$E$4:$F$42,2,FALSE),"All_Districts"))</t>
        </is>
      </c>
    </row>
    <row r="407" ht="18" customHeight="1">
      <c r="A407" s="42" t="inlineStr">
        <is>
          <t>IF(F407="","",ROW()-3)</t>
        </is>
      </c>
      <c r="B407" s="44" t="n"/>
      <c r="C407" s="44" t="n"/>
      <c r="D407" s="44" t="n"/>
      <c r="E407" s="44" t="n"/>
      <c r="F407" s="44" t="n"/>
      <c r="G407" s="44" t="n"/>
      <c r="H407" s="44" t="n"/>
      <c r="I407" s="44" t="n"/>
      <c r="J407" s="44" t="n"/>
      <c r="K407" s="44" t="n"/>
      <c r="L407" s="44" t="n"/>
      <c r="M407" s="44" t="n"/>
      <c r="N407" s="44" t="n"/>
      <c r="O407" s="44" t="n"/>
      <c r="P407" s="44" t="n"/>
      <c r="Q407" s="44" t="n"/>
      <c r="R407" s="44" t="n"/>
      <c r="S407" s="45" t="n"/>
      <c r="T407" s="46" t="inlineStr">
        <is>
          <t>IF(AQ407="","",AQ407)</t>
        </is>
      </c>
      <c r="U407" s="47" t="n"/>
      <c r="V407" s="48" t="n"/>
      <c r="W407" s="47" t="n"/>
      <c r="X407" s="46" t="inlineStr">
        <is>
          <t>IF(W407&lt;&gt;"",W407,IF(OR(T407="",V407=""),"",EDATE(T407,V407)))</t>
        </is>
      </c>
      <c r="Y407" s="47" t="n"/>
      <c r="Z407" s="48" t="n"/>
      <c r="AA407" s="44" t="n"/>
      <c r="AB407" s="44" t="n"/>
      <c r="AC407" s="42" t="inlineStr">
        <is>
          <t>IF(F407="","",IF(COUNT(AI407:AV407)=0,IF(AA407="","Not started",AA407),SUBSTITUTE(LOOKUP(2,1/(AI407:AV407&lt;&gt;""),$AI$3:$AV$3),"Date: ","")))</t>
        </is>
      </c>
      <c r="AD407" s="49" t="inlineStr">
        <is>
          <t>IF(OR(F407="",COUNT(AI407:AV407)=0),"",TODAY()-LOOKUP(2,1/(AI407:AV407&lt;&gt;""),AI407:AV407))</t>
        </is>
      </c>
      <c r="AE407" s="49" t="inlineStr">
        <is>
          <t>IF(OR(F407="",COUNT(AI407:AV407)&lt;2),"",LOOKUP(2,1/(AI407:AV407&lt;&gt;""),AI407:AV407)-MIN(AI407:AV407))</t>
        </is>
      </c>
      <c r="AF407" s="49" t="inlineStr">
        <is>
          <t>IF(OR(AD407="",AC407="Not started",AC407=""),"",IFERROR(AD407-IF(VLOOKUP(AC407,'06_Status_Pipeline'!$B$3:$E$20,4,FALSE)="",0,VLOOKUP(AC407,'06_Status_Pipeline'!$B$3:$E$20,4,FALSE)),""))</t>
        </is>
      </c>
      <c r="AG407" s="42" t="inlineStr">
        <is>
          <t>IF(F407="","",IF(OR(AA407="Cancelled",AC407="Cancelled"),"Cancelled",IF(OR(AC407="Completed / Handover",Y407&lt;&gt;"",Z407&gt;=100),"Completed — on track",IF(O407="Not awarded",IF(U407="",IF(X407="","No planned date",IF(TODAY()&gt;X407,"Behind — past planned date",IF(X407-TODAY()&lt;=30,"At risk — close to off track","On track"))),IF(TODAY()&gt;U407,"Behind — award date passed",IF(U407-TODAY()&lt;=30,"At risk — close to off track","On track"))),IF(X407="","No planned date",IF(AND(TODAY()&gt;X407,OR(Z407="",Z407&lt;100)),"Behind — past end date",IF(AND(T407&lt;&gt;"",X407&lt;&gt;"",Z407&lt;&gt;"",(Z407&lt;100),((TODAY()-T407)/MAX(X407-T407,1)*100)-Z407&gt;15),"Behind — progress lag",IF(AND(X407-TODAY()&lt;=30,X407-TODAY()&gt;=0,OR(Z407="",Z407&lt;90)),"At risk — close to off track","On track"))))))))</t>
        </is>
      </c>
      <c r="AH407" s="49" t="inlineStr">
        <is>
          <t>IF(OR(F407="",AC407="Completed / Handover",AC407="Cancelled"),"",IF(O407="Not awarded",IF(U407&lt;&gt;"",U407-TODAY(),IF(X407="","",X407-TODAY())),IF(X407="","",X407-TODAY())))</t>
        </is>
      </c>
      <c r="AI407" s="47" t="n"/>
      <c r="AJ407" s="47" t="n"/>
      <c r="AK407" s="47" t="n"/>
      <c r="AL407" s="47" t="n"/>
      <c r="AM407" s="47" t="n"/>
      <c r="AN407" s="47" t="n"/>
      <c r="AO407" s="47" t="n"/>
      <c r="AP407" s="47" t="n"/>
      <c r="AQ407" s="47" t="n"/>
      <c r="AR407" s="47" t="n"/>
      <c r="AS407" s="47" t="n"/>
      <c r="AT407" s="50" t="n"/>
      <c r="AU407" s="50" t="n"/>
      <c r="AV407" s="50" t="n"/>
      <c r="AW407" s="49" t="inlineStr">
        <is>
          <t>IF(OR(F407="",AJ407=""),"",IF(COUNT(AI407:AI407)=0,"",AJ407-LOOKUP(2,1/(AI407:AI407&lt;&gt;""),AI407:AI407)))</t>
        </is>
      </c>
      <c r="AX407" s="49" t="inlineStr">
        <is>
          <t>IF(OR(F407="",AK407=""),"",IF(COUNT(AI407:AJ407)=0,"",AK407-LOOKUP(2,1/(AI407:AJ407&lt;&gt;""),AI407:AJ407)))</t>
        </is>
      </c>
      <c r="AY407" s="49" t="inlineStr">
        <is>
          <t>IF(OR(F407="",AL407=""),"",IF(COUNT(AI407:AK407)=0,"",AL407-LOOKUP(2,1/(AI407:AK407&lt;&gt;""),AI407:AK407)))</t>
        </is>
      </c>
      <c r="AZ407" s="49" t="inlineStr">
        <is>
          <t>IF(OR(F407="",AM407=""),"",IF(COUNT(AI407:AL407)=0,"",AM407-LOOKUP(2,1/(AI407:AL407&lt;&gt;""),AI407:AL407)))</t>
        </is>
      </c>
      <c r="BA407" s="49" t="inlineStr">
        <is>
          <t>IF(OR(F407="",AN407=""),"",IF(COUNT(AI407:AM407)=0,"",AN407-LOOKUP(2,1/(AI407:AM407&lt;&gt;""),AI407:AM407)))</t>
        </is>
      </c>
      <c r="BB407" s="49" t="inlineStr">
        <is>
          <t>IF(OR(F407="",AO407=""),"",IF(COUNT(AI407:AN407)=0,"",AO407-LOOKUP(2,1/(AI407:AN407&lt;&gt;""),AI407:AN407)))</t>
        </is>
      </c>
      <c r="BC407" s="49" t="inlineStr">
        <is>
          <t>IF(OR(F407="",AP407=""),"",IF(COUNT(AI407:AO407)=0,"",AP407-LOOKUP(2,1/(AI407:AO407&lt;&gt;""),AI407:AO407)))</t>
        </is>
      </c>
      <c r="BD407" s="49" t="inlineStr">
        <is>
          <t>IF(OR(F407="",AQ407=""),"",IF(COUNT(AI407:AP407)=0,"",AQ407-LOOKUP(2,1/(AI407:AP407&lt;&gt;""),AI407:AP407)))</t>
        </is>
      </c>
      <c r="BE407" s="49" t="inlineStr">
        <is>
          <t>IF(OR(F407="",AR407=""),"",IF(COUNT(AI407:AQ407)=0,"",AR407-LOOKUP(2,1/(AI407:AQ407&lt;&gt;""),AI407:AQ407)))</t>
        </is>
      </c>
      <c r="BF407" s="49" t="inlineStr">
        <is>
          <t>IF(OR(F407="",AS407=""),"",IF(COUNT(AI407:AR407)=0,"",AS407-LOOKUP(2,1/(AI407:AR407&lt;&gt;""),AI407:AR407)))</t>
        </is>
      </c>
      <c r="BG407" s="49" t="inlineStr">
        <is>
          <t>IF(OR(F407="",AT407=""),"",IF(COUNT(AI407:AS407)=0,"",AT407-LOOKUP(2,1/(AI407:AS407&lt;&gt;""),AI407:AS407)))</t>
        </is>
      </c>
      <c r="BH407" s="49" t="inlineStr">
        <is>
          <t>IF(OR(F407="",AU407=""),"",IF(COUNT(AI407:AT407)=0,"",AU407-LOOKUP(2,1/(AI407:AT407&lt;&gt;""),AI407:AT407)))</t>
        </is>
      </c>
      <c r="BI407" s="49" t="inlineStr">
        <is>
          <t>IF(OR(F407="",AV407=""),"",IF(COUNT(AI407:AU407)=0,"",AV407-LOOKUP(2,1/(AI407:AU407&lt;&gt;""),AI407:AU407)))</t>
        </is>
      </c>
      <c r="BJ407" s="51" t="inlineStr">
        <is>
          <t>IF(J407="","All_Provinces",IFERROR(VLOOKUP(J407,'09_Lookups'!$A$4:$B$20,2,FALSE),"All_Provinces"))</t>
        </is>
      </c>
      <c r="BK407" s="51" t="inlineStr">
        <is>
          <t>IF(K407="","All_Districts",IFERROR(VLOOKUP(K407,'09_Lookups'!$E$4:$F$42,2,FALSE),"All_Districts"))</t>
        </is>
      </c>
    </row>
    <row r="408" ht="18" customHeight="1">
      <c r="A408" s="42" t="inlineStr">
        <is>
          <t>IF(F408="","",ROW()-3)</t>
        </is>
      </c>
      <c r="B408" s="52" t="n"/>
      <c r="C408" s="52" t="n"/>
      <c r="D408" s="52" t="n"/>
      <c r="E408" s="52" t="n"/>
      <c r="F408" s="52" t="n"/>
      <c r="G408" s="52" t="n"/>
      <c r="H408" s="52" t="n"/>
      <c r="I408" s="52" t="n"/>
      <c r="J408" s="52" t="n"/>
      <c r="K408" s="52" t="n"/>
      <c r="L408" s="52" t="n"/>
      <c r="M408" s="52" t="n"/>
      <c r="N408" s="52" t="n"/>
      <c r="O408" s="52" t="n"/>
      <c r="P408" s="52" t="n"/>
      <c r="Q408" s="52" t="n"/>
      <c r="R408" s="52" t="n"/>
      <c r="S408" s="53" t="n"/>
      <c r="T408" s="46" t="inlineStr">
        <is>
          <t>IF(AQ408="","",AQ408)</t>
        </is>
      </c>
      <c r="U408" s="54" t="n"/>
      <c r="V408" s="55" t="n"/>
      <c r="W408" s="54" t="n"/>
      <c r="X408" s="46" t="inlineStr">
        <is>
          <t>IF(W408&lt;&gt;"",W408,IF(OR(T408="",V408=""),"",EDATE(T408,V408)))</t>
        </is>
      </c>
      <c r="Y408" s="54" t="n"/>
      <c r="Z408" s="55" t="n"/>
      <c r="AA408" s="52" t="n"/>
      <c r="AB408" s="52" t="n"/>
      <c r="AC408" s="42" t="inlineStr">
        <is>
          <t>IF(F408="","",IF(COUNT(AI408:AV408)=0,IF(AA408="","Not started",AA408),SUBSTITUTE(LOOKUP(2,1/(AI408:AV408&lt;&gt;""),$AI$3:$AV$3),"Date: ","")))</t>
        </is>
      </c>
      <c r="AD408" s="49" t="inlineStr">
        <is>
          <t>IF(OR(F408="",COUNT(AI408:AV408)=0),"",TODAY()-LOOKUP(2,1/(AI408:AV408&lt;&gt;""),AI408:AV408))</t>
        </is>
      </c>
      <c r="AE408" s="49" t="inlineStr">
        <is>
          <t>IF(OR(F408="",COUNT(AI408:AV408)&lt;2),"",LOOKUP(2,1/(AI408:AV408&lt;&gt;""),AI408:AV408)-MIN(AI408:AV408))</t>
        </is>
      </c>
      <c r="AF408" s="49" t="inlineStr">
        <is>
          <t>IF(OR(AD408="",AC408="Not started",AC408=""),"",IFERROR(AD408-IF(VLOOKUP(AC408,'06_Status_Pipeline'!$B$3:$E$20,4,FALSE)="",0,VLOOKUP(AC408,'06_Status_Pipeline'!$B$3:$E$20,4,FALSE)),""))</t>
        </is>
      </c>
      <c r="AG408" s="42" t="inlineStr">
        <is>
          <t>IF(F408="","",IF(OR(AA408="Cancelled",AC408="Cancelled"),"Cancelled",IF(OR(AC408="Completed / Handover",Y408&lt;&gt;"",Z408&gt;=100),"Completed — on track",IF(O408="Not awarded",IF(U408="",IF(X408="","No planned date",IF(TODAY()&gt;X408,"Behind — past planned date",IF(X408-TODAY()&lt;=30,"At risk — close to off track","On track"))),IF(TODAY()&gt;U408,"Behind — award date passed",IF(U408-TODAY()&lt;=30,"At risk — close to off track","On track"))),IF(X408="","No planned date",IF(AND(TODAY()&gt;X408,OR(Z408="",Z408&lt;100)),"Behind — past end date",IF(AND(T408&lt;&gt;"",X408&lt;&gt;"",Z408&lt;&gt;"",(Z408&lt;100),((TODAY()-T408)/MAX(X408-T408,1)*100)-Z408&gt;15),"Behind — progress lag",IF(AND(X408-TODAY()&lt;=30,X408-TODAY()&gt;=0,OR(Z408="",Z408&lt;90)),"At risk — close to off track","On track"))))))))</t>
        </is>
      </c>
      <c r="AH408" s="49" t="inlineStr">
        <is>
          <t>IF(OR(F408="",AC408="Completed / Handover",AC408="Cancelled"),"",IF(O408="Not awarded",IF(U408&lt;&gt;"",U408-TODAY(),IF(X408="","",X408-TODAY())),IF(X408="","",X408-TODAY())))</t>
        </is>
      </c>
      <c r="AI408" s="54" t="n"/>
      <c r="AJ408" s="54" t="n"/>
      <c r="AK408" s="54" t="n"/>
      <c r="AL408" s="54" t="n"/>
      <c r="AM408" s="54" t="n"/>
      <c r="AN408" s="54" t="n"/>
      <c r="AO408" s="54" t="n"/>
      <c r="AP408" s="54" t="n"/>
      <c r="AQ408" s="54" t="n"/>
      <c r="AR408" s="54" t="n"/>
      <c r="AS408" s="54" t="n"/>
      <c r="AT408" s="50" t="n"/>
      <c r="AU408" s="50" t="n"/>
      <c r="AV408" s="50" t="n"/>
      <c r="AW408" s="49" t="inlineStr">
        <is>
          <t>IF(OR(F408="",AJ408=""),"",IF(COUNT(AI408:AI408)=0,"",AJ408-LOOKUP(2,1/(AI408:AI408&lt;&gt;""),AI408:AI408)))</t>
        </is>
      </c>
      <c r="AX408" s="49" t="inlineStr">
        <is>
          <t>IF(OR(F408="",AK408=""),"",IF(COUNT(AI408:AJ408)=0,"",AK408-LOOKUP(2,1/(AI408:AJ408&lt;&gt;""),AI408:AJ408)))</t>
        </is>
      </c>
      <c r="AY408" s="49" t="inlineStr">
        <is>
          <t>IF(OR(F408="",AL408=""),"",IF(COUNT(AI408:AK408)=0,"",AL408-LOOKUP(2,1/(AI408:AK408&lt;&gt;""),AI408:AK408)))</t>
        </is>
      </c>
      <c r="AZ408" s="49" t="inlineStr">
        <is>
          <t>IF(OR(F408="",AM408=""),"",IF(COUNT(AI408:AL408)=0,"",AM408-LOOKUP(2,1/(AI408:AL408&lt;&gt;""),AI408:AL408)))</t>
        </is>
      </c>
      <c r="BA408" s="49" t="inlineStr">
        <is>
          <t>IF(OR(F408="",AN408=""),"",IF(COUNT(AI408:AM408)=0,"",AN408-LOOKUP(2,1/(AI408:AM408&lt;&gt;""),AI408:AM408)))</t>
        </is>
      </c>
      <c r="BB408" s="49" t="inlineStr">
        <is>
          <t>IF(OR(F408="",AO408=""),"",IF(COUNT(AI408:AN408)=0,"",AO408-LOOKUP(2,1/(AI408:AN408&lt;&gt;""),AI408:AN408)))</t>
        </is>
      </c>
      <c r="BC408" s="49" t="inlineStr">
        <is>
          <t>IF(OR(F408="",AP408=""),"",IF(COUNT(AI408:AO408)=0,"",AP408-LOOKUP(2,1/(AI408:AO408&lt;&gt;""),AI408:AO408)))</t>
        </is>
      </c>
      <c r="BD408" s="49" t="inlineStr">
        <is>
          <t>IF(OR(F408="",AQ408=""),"",IF(COUNT(AI408:AP408)=0,"",AQ408-LOOKUP(2,1/(AI408:AP408&lt;&gt;""),AI408:AP408)))</t>
        </is>
      </c>
      <c r="BE408" s="49" t="inlineStr">
        <is>
          <t>IF(OR(F408="",AR408=""),"",IF(COUNT(AI408:AQ408)=0,"",AR408-LOOKUP(2,1/(AI408:AQ408&lt;&gt;""),AI408:AQ408)))</t>
        </is>
      </c>
      <c r="BF408" s="49" t="inlineStr">
        <is>
          <t>IF(OR(F408="",AS408=""),"",IF(COUNT(AI408:AR408)=0,"",AS408-LOOKUP(2,1/(AI408:AR408&lt;&gt;""),AI408:AR408)))</t>
        </is>
      </c>
      <c r="BG408" s="49" t="inlineStr">
        <is>
          <t>IF(OR(F408="",AT408=""),"",IF(COUNT(AI408:AS408)=0,"",AT408-LOOKUP(2,1/(AI408:AS408&lt;&gt;""),AI408:AS408)))</t>
        </is>
      </c>
      <c r="BH408" s="49" t="inlineStr">
        <is>
          <t>IF(OR(F408="",AU408=""),"",IF(COUNT(AI408:AT408)=0,"",AU408-LOOKUP(2,1/(AI408:AT408&lt;&gt;""),AI408:AT408)))</t>
        </is>
      </c>
      <c r="BI408" s="49" t="inlineStr">
        <is>
          <t>IF(OR(F408="",AV408=""),"",IF(COUNT(AI408:AU408)=0,"",AV408-LOOKUP(2,1/(AI408:AU408&lt;&gt;""),AI408:AU408)))</t>
        </is>
      </c>
      <c r="BJ408" s="51" t="inlineStr">
        <is>
          <t>IF(J408="","All_Provinces",IFERROR(VLOOKUP(J408,'09_Lookups'!$A$4:$B$20,2,FALSE),"All_Provinces"))</t>
        </is>
      </c>
      <c r="BK408" s="51" t="inlineStr">
        <is>
          <t>IF(K408="","All_Districts",IFERROR(VLOOKUP(K408,'09_Lookups'!$E$4:$F$42,2,FALSE),"All_Districts"))</t>
        </is>
      </c>
    </row>
    <row r="409" ht="18" customHeight="1">
      <c r="A409" s="42" t="inlineStr">
        <is>
          <t>IF(F409="","",ROW()-3)</t>
        </is>
      </c>
      <c r="B409" s="44" t="n"/>
      <c r="C409" s="44" t="n"/>
      <c r="D409" s="44" t="n"/>
      <c r="E409" s="44" t="n"/>
      <c r="F409" s="44" t="n"/>
      <c r="G409" s="44" t="n"/>
      <c r="H409" s="44" t="n"/>
      <c r="I409" s="44" t="n"/>
      <c r="J409" s="44" t="n"/>
      <c r="K409" s="44" t="n"/>
      <c r="L409" s="44" t="n"/>
      <c r="M409" s="44" t="n"/>
      <c r="N409" s="44" t="n"/>
      <c r="O409" s="44" t="n"/>
      <c r="P409" s="44" t="n"/>
      <c r="Q409" s="44" t="n"/>
      <c r="R409" s="44" t="n"/>
      <c r="S409" s="45" t="n"/>
      <c r="T409" s="46" t="inlineStr">
        <is>
          <t>IF(AQ409="","",AQ409)</t>
        </is>
      </c>
      <c r="U409" s="47" t="n"/>
      <c r="V409" s="48" t="n"/>
      <c r="W409" s="47" t="n"/>
      <c r="X409" s="46" t="inlineStr">
        <is>
          <t>IF(W409&lt;&gt;"",W409,IF(OR(T409="",V409=""),"",EDATE(T409,V409)))</t>
        </is>
      </c>
      <c r="Y409" s="47" t="n"/>
      <c r="Z409" s="48" t="n"/>
      <c r="AA409" s="44" t="n"/>
      <c r="AB409" s="44" t="n"/>
      <c r="AC409" s="42" t="inlineStr">
        <is>
          <t>IF(F409="","",IF(COUNT(AI409:AV409)=0,IF(AA409="","Not started",AA409),SUBSTITUTE(LOOKUP(2,1/(AI409:AV409&lt;&gt;""),$AI$3:$AV$3),"Date: ","")))</t>
        </is>
      </c>
      <c r="AD409" s="49" t="inlineStr">
        <is>
          <t>IF(OR(F409="",COUNT(AI409:AV409)=0),"",TODAY()-LOOKUP(2,1/(AI409:AV409&lt;&gt;""),AI409:AV409))</t>
        </is>
      </c>
      <c r="AE409" s="49" t="inlineStr">
        <is>
          <t>IF(OR(F409="",COUNT(AI409:AV409)&lt;2),"",LOOKUP(2,1/(AI409:AV409&lt;&gt;""),AI409:AV409)-MIN(AI409:AV409))</t>
        </is>
      </c>
      <c r="AF409" s="49" t="inlineStr">
        <is>
          <t>IF(OR(AD409="",AC409="Not started",AC409=""),"",IFERROR(AD409-IF(VLOOKUP(AC409,'06_Status_Pipeline'!$B$3:$E$20,4,FALSE)="",0,VLOOKUP(AC409,'06_Status_Pipeline'!$B$3:$E$20,4,FALSE)),""))</t>
        </is>
      </c>
      <c r="AG409" s="42" t="inlineStr">
        <is>
          <t>IF(F409="","",IF(OR(AA409="Cancelled",AC409="Cancelled"),"Cancelled",IF(OR(AC409="Completed / Handover",Y409&lt;&gt;"",Z409&gt;=100),"Completed — on track",IF(O409="Not awarded",IF(U409="",IF(X409="","No planned date",IF(TODAY()&gt;X409,"Behind — past planned date",IF(X409-TODAY()&lt;=30,"At risk — close to off track","On track"))),IF(TODAY()&gt;U409,"Behind — award date passed",IF(U409-TODAY()&lt;=30,"At risk — close to off track","On track"))),IF(X409="","No planned date",IF(AND(TODAY()&gt;X409,OR(Z409="",Z409&lt;100)),"Behind — past end date",IF(AND(T409&lt;&gt;"",X409&lt;&gt;"",Z409&lt;&gt;"",(Z409&lt;100),((TODAY()-T409)/MAX(X409-T409,1)*100)-Z409&gt;15),"Behind — progress lag",IF(AND(X409-TODAY()&lt;=30,X409-TODAY()&gt;=0,OR(Z409="",Z409&lt;90)),"At risk — close to off track","On track"))))))))</t>
        </is>
      </c>
      <c r="AH409" s="49" t="inlineStr">
        <is>
          <t>IF(OR(F409="",AC409="Completed / Handover",AC409="Cancelled"),"",IF(O409="Not awarded",IF(U409&lt;&gt;"",U409-TODAY(),IF(X409="","",X409-TODAY())),IF(X409="","",X409-TODAY())))</t>
        </is>
      </c>
      <c r="AI409" s="47" t="n"/>
      <c r="AJ409" s="47" t="n"/>
      <c r="AK409" s="47" t="n"/>
      <c r="AL409" s="47" t="n"/>
      <c r="AM409" s="47" t="n"/>
      <c r="AN409" s="47" t="n"/>
      <c r="AO409" s="47" t="n"/>
      <c r="AP409" s="47" t="n"/>
      <c r="AQ409" s="47" t="n"/>
      <c r="AR409" s="47" t="n"/>
      <c r="AS409" s="47" t="n"/>
      <c r="AT409" s="50" t="n"/>
      <c r="AU409" s="50" t="n"/>
      <c r="AV409" s="50" t="n"/>
      <c r="AW409" s="49" t="inlineStr">
        <is>
          <t>IF(OR(F409="",AJ409=""),"",IF(COUNT(AI409:AI409)=0,"",AJ409-LOOKUP(2,1/(AI409:AI409&lt;&gt;""),AI409:AI409)))</t>
        </is>
      </c>
      <c r="AX409" s="49" t="inlineStr">
        <is>
          <t>IF(OR(F409="",AK409=""),"",IF(COUNT(AI409:AJ409)=0,"",AK409-LOOKUP(2,1/(AI409:AJ409&lt;&gt;""),AI409:AJ409)))</t>
        </is>
      </c>
      <c r="AY409" s="49" t="inlineStr">
        <is>
          <t>IF(OR(F409="",AL409=""),"",IF(COUNT(AI409:AK409)=0,"",AL409-LOOKUP(2,1/(AI409:AK409&lt;&gt;""),AI409:AK409)))</t>
        </is>
      </c>
      <c r="AZ409" s="49" t="inlineStr">
        <is>
          <t>IF(OR(F409="",AM409=""),"",IF(COUNT(AI409:AL409)=0,"",AM409-LOOKUP(2,1/(AI409:AL409&lt;&gt;""),AI409:AL409)))</t>
        </is>
      </c>
      <c r="BA409" s="49" t="inlineStr">
        <is>
          <t>IF(OR(F409="",AN409=""),"",IF(COUNT(AI409:AM409)=0,"",AN409-LOOKUP(2,1/(AI409:AM409&lt;&gt;""),AI409:AM409)))</t>
        </is>
      </c>
      <c r="BB409" s="49" t="inlineStr">
        <is>
          <t>IF(OR(F409="",AO409=""),"",IF(COUNT(AI409:AN409)=0,"",AO409-LOOKUP(2,1/(AI409:AN409&lt;&gt;""),AI409:AN409)))</t>
        </is>
      </c>
      <c r="BC409" s="49" t="inlineStr">
        <is>
          <t>IF(OR(F409="",AP409=""),"",IF(COUNT(AI409:AO409)=0,"",AP409-LOOKUP(2,1/(AI409:AO409&lt;&gt;""),AI409:AO409)))</t>
        </is>
      </c>
      <c r="BD409" s="49" t="inlineStr">
        <is>
          <t>IF(OR(F409="",AQ409=""),"",IF(COUNT(AI409:AP409)=0,"",AQ409-LOOKUP(2,1/(AI409:AP409&lt;&gt;""),AI409:AP409)))</t>
        </is>
      </c>
      <c r="BE409" s="49" t="inlineStr">
        <is>
          <t>IF(OR(F409="",AR409=""),"",IF(COUNT(AI409:AQ409)=0,"",AR409-LOOKUP(2,1/(AI409:AQ409&lt;&gt;""),AI409:AQ409)))</t>
        </is>
      </c>
      <c r="BF409" s="49" t="inlineStr">
        <is>
          <t>IF(OR(F409="",AS409=""),"",IF(COUNT(AI409:AR409)=0,"",AS409-LOOKUP(2,1/(AI409:AR409&lt;&gt;""),AI409:AR409)))</t>
        </is>
      </c>
      <c r="BG409" s="49" t="inlineStr">
        <is>
          <t>IF(OR(F409="",AT409=""),"",IF(COUNT(AI409:AS409)=0,"",AT409-LOOKUP(2,1/(AI409:AS409&lt;&gt;""),AI409:AS409)))</t>
        </is>
      </c>
      <c r="BH409" s="49" t="inlineStr">
        <is>
          <t>IF(OR(F409="",AU409=""),"",IF(COUNT(AI409:AT409)=0,"",AU409-LOOKUP(2,1/(AI409:AT409&lt;&gt;""),AI409:AT409)))</t>
        </is>
      </c>
      <c r="BI409" s="49" t="inlineStr">
        <is>
          <t>IF(OR(F409="",AV409=""),"",IF(COUNT(AI409:AU409)=0,"",AV409-LOOKUP(2,1/(AI409:AU409&lt;&gt;""),AI409:AU409)))</t>
        </is>
      </c>
      <c r="BJ409" s="51" t="inlineStr">
        <is>
          <t>IF(J409="","All_Provinces",IFERROR(VLOOKUP(J409,'09_Lookups'!$A$4:$B$20,2,FALSE),"All_Provinces"))</t>
        </is>
      </c>
      <c r="BK409" s="51" t="inlineStr">
        <is>
          <t>IF(K409="","All_Districts",IFERROR(VLOOKUP(K409,'09_Lookups'!$E$4:$F$42,2,FALSE),"All_Districts"))</t>
        </is>
      </c>
    </row>
    <row r="410" ht="18" customHeight="1">
      <c r="A410" s="42" t="inlineStr">
        <is>
          <t>IF(F410="","",ROW()-3)</t>
        </is>
      </c>
      <c r="B410" s="52" t="n"/>
      <c r="C410" s="52" t="n"/>
      <c r="D410" s="52" t="n"/>
      <c r="E410" s="52" t="n"/>
      <c r="F410" s="52" t="n"/>
      <c r="G410" s="52" t="n"/>
      <c r="H410" s="52" t="n"/>
      <c r="I410" s="52" t="n"/>
      <c r="J410" s="52" t="n"/>
      <c r="K410" s="52" t="n"/>
      <c r="L410" s="52" t="n"/>
      <c r="M410" s="52" t="n"/>
      <c r="N410" s="52" t="n"/>
      <c r="O410" s="52" t="n"/>
      <c r="P410" s="52" t="n"/>
      <c r="Q410" s="52" t="n"/>
      <c r="R410" s="52" t="n"/>
      <c r="S410" s="53" t="n"/>
      <c r="T410" s="46" t="inlineStr">
        <is>
          <t>IF(AQ410="","",AQ410)</t>
        </is>
      </c>
      <c r="U410" s="54" t="n"/>
      <c r="V410" s="55" t="n"/>
      <c r="W410" s="54" t="n"/>
      <c r="X410" s="46" t="inlineStr">
        <is>
          <t>IF(W410&lt;&gt;"",W410,IF(OR(T410="",V410=""),"",EDATE(T410,V410)))</t>
        </is>
      </c>
      <c r="Y410" s="54" t="n"/>
      <c r="Z410" s="55" t="n"/>
      <c r="AA410" s="52" t="n"/>
      <c r="AB410" s="52" t="n"/>
      <c r="AC410" s="42" t="inlineStr">
        <is>
          <t>IF(F410="","",IF(COUNT(AI410:AV410)=0,IF(AA410="","Not started",AA410),SUBSTITUTE(LOOKUP(2,1/(AI410:AV410&lt;&gt;""),$AI$3:$AV$3),"Date: ","")))</t>
        </is>
      </c>
      <c r="AD410" s="49" t="inlineStr">
        <is>
          <t>IF(OR(F410="",COUNT(AI410:AV410)=0),"",TODAY()-LOOKUP(2,1/(AI410:AV410&lt;&gt;""),AI410:AV410))</t>
        </is>
      </c>
      <c r="AE410" s="49" t="inlineStr">
        <is>
          <t>IF(OR(F410="",COUNT(AI410:AV410)&lt;2),"",LOOKUP(2,1/(AI410:AV410&lt;&gt;""),AI410:AV410)-MIN(AI410:AV410))</t>
        </is>
      </c>
      <c r="AF410" s="49" t="inlineStr">
        <is>
          <t>IF(OR(AD410="",AC410="Not started",AC410=""),"",IFERROR(AD410-IF(VLOOKUP(AC410,'06_Status_Pipeline'!$B$3:$E$20,4,FALSE)="",0,VLOOKUP(AC410,'06_Status_Pipeline'!$B$3:$E$20,4,FALSE)),""))</t>
        </is>
      </c>
      <c r="AG410" s="42" t="inlineStr">
        <is>
          <t>IF(F410="","",IF(OR(AA410="Cancelled",AC410="Cancelled"),"Cancelled",IF(OR(AC410="Completed / Handover",Y410&lt;&gt;"",Z410&gt;=100),"Completed — on track",IF(O410="Not awarded",IF(U410="",IF(X410="","No planned date",IF(TODAY()&gt;X410,"Behind — past planned date",IF(X410-TODAY()&lt;=30,"At risk — close to off track","On track"))),IF(TODAY()&gt;U410,"Behind — award date passed",IF(U410-TODAY()&lt;=30,"At risk — close to off track","On track"))),IF(X410="","No planned date",IF(AND(TODAY()&gt;X410,OR(Z410="",Z410&lt;100)),"Behind — past end date",IF(AND(T410&lt;&gt;"",X410&lt;&gt;"",Z410&lt;&gt;"",(Z410&lt;100),((TODAY()-T410)/MAX(X410-T410,1)*100)-Z410&gt;15),"Behind — progress lag",IF(AND(X410-TODAY()&lt;=30,X410-TODAY()&gt;=0,OR(Z410="",Z410&lt;90)),"At risk — close to off track","On track"))))))))</t>
        </is>
      </c>
      <c r="AH410" s="49" t="inlineStr">
        <is>
          <t>IF(OR(F410="",AC410="Completed / Handover",AC410="Cancelled"),"",IF(O410="Not awarded",IF(U410&lt;&gt;"",U410-TODAY(),IF(X410="","",X410-TODAY())),IF(X410="","",X410-TODAY())))</t>
        </is>
      </c>
      <c r="AI410" s="54" t="n"/>
      <c r="AJ410" s="54" t="n"/>
      <c r="AK410" s="54" t="n"/>
      <c r="AL410" s="54" t="n"/>
      <c r="AM410" s="54" t="n"/>
      <c r="AN410" s="54" t="n"/>
      <c r="AO410" s="54" t="n"/>
      <c r="AP410" s="54" t="n"/>
      <c r="AQ410" s="54" t="n"/>
      <c r="AR410" s="54" t="n"/>
      <c r="AS410" s="54" t="n"/>
      <c r="AT410" s="50" t="n"/>
      <c r="AU410" s="50" t="n"/>
      <c r="AV410" s="50" t="n"/>
      <c r="AW410" s="49" t="inlineStr">
        <is>
          <t>IF(OR(F410="",AJ410=""),"",IF(COUNT(AI410:AI410)=0,"",AJ410-LOOKUP(2,1/(AI410:AI410&lt;&gt;""),AI410:AI410)))</t>
        </is>
      </c>
      <c r="AX410" s="49" t="inlineStr">
        <is>
          <t>IF(OR(F410="",AK410=""),"",IF(COUNT(AI410:AJ410)=0,"",AK410-LOOKUP(2,1/(AI410:AJ410&lt;&gt;""),AI410:AJ410)))</t>
        </is>
      </c>
      <c r="AY410" s="49" t="inlineStr">
        <is>
          <t>IF(OR(F410="",AL410=""),"",IF(COUNT(AI410:AK410)=0,"",AL410-LOOKUP(2,1/(AI410:AK410&lt;&gt;""),AI410:AK410)))</t>
        </is>
      </c>
      <c r="AZ410" s="49" t="inlineStr">
        <is>
          <t>IF(OR(F410="",AM410=""),"",IF(COUNT(AI410:AL410)=0,"",AM410-LOOKUP(2,1/(AI410:AL410&lt;&gt;""),AI410:AL410)))</t>
        </is>
      </c>
      <c r="BA410" s="49" t="inlineStr">
        <is>
          <t>IF(OR(F410="",AN410=""),"",IF(COUNT(AI410:AM410)=0,"",AN410-LOOKUP(2,1/(AI410:AM410&lt;&gt;""),AI410:AM410)))</t>
        </is>
      </c>
      <c r="BB410" s="49" t="inlineStr">
        <is>
          <t>IF(OR(F410="",AO410=""),"",IF(COUNT(AI410:AN410)=0,"",AO410-LOOKUP(2,1/(AI410:AN410&lt;&gt;""),AI410:AN410)))</t>
        </is>
      </c>
      <c r="BC410" s="49" t="inlineStr">
        <is>
          <t>IF(OR(F410="",AP410=""),"",IF(COUNT(AI410:AO410)=0,"",AP410-LOOKUP(2,1/(AI410:AO410&lt;&gt;""),AI410:AO410)))</t>
        </is>
      </c>
      <c r="BD410" s="49" t="inlineStr">
        <is>
          <t>IF(OR(F410="",AQ410=""),"",IF(COUNT(AI410:AP410)=0,"",AQ410-LOOKUP(2,1/(AI410:AP410&lt;&gt;""),AI410:AP410)))</t>
        </is>
      </c>
      <c r="BE410" s="49" t="inlineStr">
        <is>
          <t>IF(OR(F410="",AR410=""),"",IF(COUNT(AI410:AQ410)=0,"",AR410-LOOKUP(2,1/(AI410:AQ410&lt;&gt;""),AI410:AQ410)))</t>
        </is>
      </c>
      <c r="BF410" s="49" t="inlineStr">
        <is>
          <t>IF(OR(F410="",AS410=""),"",IF(COUNT(AI410:AR410)=0,"",AS410-LOOKUP(2,1/(AI410:AR410&lt;&gt;""),AI410:AR410)))</t>
        </is>
      </c>
      <c r="BG410" s="49" t="inlineStr">
        <is>
          <t>IF(OR(F410="",AT410=""),"",IF(COUNT(AI410:AS410)=0,"",AT410-LOOKUP(2,1/(AI410:AS410&lt;&gt;""),AI410:AS410)))</t>
        </is>
      </c>
      <c r="BH410" s="49" t="inlineStr">
        <is>
          <t>IF(OR(F410="",AU410=""),"",IF(COUNT(AI410:AT410)=0,"",AU410-LOOKUP(2,1/(AI410:AT410&lt;&gt;""),AI410:AT410)))</t>
        </is>
      </c>
      <c r="BI410" s="49" t="inlineStr">
        <is>
          <t>IF(OR(F410="",AV410=""),"",IF(COUNT(AI410:AU410)=0,"",AV410-LOOKUP(2,1/(AI410:AU410&lt;&gt;""),AI410:AU410)))</t>
        </is>
      </c>
      <c r="BJ410" s="51" t="inlineStr">
        <is>
          <t>IF(J410="","All_Provinces",IFERROR(VLOOKUP(J410,'09_Lookups'!$A$4:$B$20,2,FALSE),"All_Provinces"))</t>
        </is>
      </c>
      <c r="BK410" s="51" t="inlineStr">
        <is>
          <t>IF(K410="","All_Districts",IFERROR(VLOOKUP(K410,'09_Lookups'!$E$4:$F$42,2,FALSE),"All_Districts"))</t>
        </is>
      </c>
    </row>
    <row r="411" ht="18" customHeight="1">
      <c r="A411" s="42" t="inlineStr">
        <is>
          <t>IF(F411="","",ROW()-3)</t>
        </is>
      </c>
      <c r="B411" s="44" t="n"/>
      <c r="C411" s="44" t="n"/>
      <c r="D411" s="44" t="n"/>
      <c r="E411" s="44" t="n"/>
      <c r="F411" s="44" t="n"/>
      <c r="G411" s="44" t="n"/>
      <c r="H411" s="44" t="n"/>
      <c r="I411" s="44" t="n"/>
      <c r="J411" s="44" t="n"/>
      <c r="K411" s="44" t="n"/>
      <c r="L411" s="44" t="n"/>
      <c r="M411" s="44" t="n"/>
      <c r="N411" s="44" t="n"/>
      <c r="O411" s="44" t="n"/>
      <c r="P411" s="44" t="n"/>
      <c r="Q411" s="44" t="n"/>
      <c r="R411" s="44" t="n"/>
      <c r="S411" s="45" t="n"/>
      <c r="T411" s="46" t="inlineStr">
        <is>
          <t>IF(AQ411="","",AQ411)</t>
        </is>
      </c>
      <c r="U411" s="47" t="n"/>
      <c r="V411" s="48" t="n"/>
      <c r="W411" s="47" t="n"/>
      <c r="X411" s="46" t="inlineStr">
        <is>
          <t>IF(W411&lt;&gt;"",W411,IF(OR(T411="",V411=""),"",EDATE(T411,V411)))</t>
        </is>
      </c>
      <c r="Y411" s="47" t="n"/>
      <c r="Z411" s="48" t="n"/>
      <c r="AA411" s="44" t="n"/>
      <c r="AB411" s="44" t="n"/>
      <c r="AC411" s="42" t="inlineStr">
        <is>
          <t>IF(F411="","",IF(COUNT(AI411:AV411)=0,IF(AA411="","Not started",AA411),SUBSTITUTE(LOOKUP(2,1/(AI411:AV411&lt;&gt;""),$AI$3:$AV$3),"Date: ","")))</t>
        </is>
      </c>
      <c r="AD411" s="49" t="inlineStr">
        <is>
          <t>IF(OR(F411="",COUNT(AI411:AV411)=0),"",TODAY()-LOOKUP(2,1/(AI411:AV411&lt;&gt;""),AI411:AV411))</t>
        </is>
      </c>
      <c r="AE411" s="49" t="inlineStr">
        <is>
          <t>IF(OR(F411="",COUNT(AI411:AV411)&lt;2),"",LOOKUP(2,1/(AI411:AV411&lt;&gt;""),AI411:AV411)-MIN(AI411:AV411))</t>
        </is>
      </c>
      <c r="AF411" s="49" t="inlineStr">
        <is>
          <t>IF(OR(AD411="",AC411="Not started",AC411=""),"",IFERROR(AD411-IF(VLOOKUP(AC411,'06_Status_Pipeline'!$B$3:$E$20,4,FALSE)="",0,VLOOKUP(AC411,'06_Status_Pipeline'!$B$3:$E$20,4,FALSE)),""))</t>
        </is>
      </c>
      <c r="AG411" s="42" t="inlineStr">
        <is>
          <t>IF(F411="","",IF(OR(AA411="Cancelled",AC411="Cancelled"),"Cancelled",IF(OR(AC411="Completed / Handover",Y411&lt;&gt;"",Z411&gt;=100),"Completed — on track",IF(O411="Not awarded",IF(U411="",IF(X411="","No planned date",IF(TODAY()&gt;X411,"Behind — past planned date",IF(X411-TODAY()&lt;=30,"At risk — close to off track","On track"))),IF(TODAY()&gt;U411,"Behind — award date passed",IF(U411-TODAY()&lt;=30,"At risk — close to off track","On track"))),IF(X411="","No planned date",IF(AND(TODAY()&gt;X411,OR(Z411="",Z411&lt;100)),"Behind — past end date",IF(AND(T411&lt;&gt;"",X411&lt;&gt;"",Z411&lt;&gt;"",(Z411&lt;100),((TODAY()-T411)/MAX(X411-T411,1)*100)-Z411&gt;15),"Behind — progress lag",IF(AND(X411-TODAY()&lt;=30,X411-TODAY()&gt;=0,OR(Z411="",Z411&lt;90)),"At risk — close to off track","On track"))))))))</t>
        </is>
      </c>
      <c r="AH411" s="49" t="inlineStr">
        <is>
          <t>IF(OR(F411="",AC411="Completed / Handover",AC411="Cancelled"),"",IF(O411="Not awarded",IF(U411&lt;&gt;"",U411-TODAY(),IF(X411="","",X411-TODAY())),IF(X411="","",X411-TODAY())))</t>
        </is>
      </c>
      <c r="AI411" s="47" t="n"/>
      <c r="AJ411" s="47" t="n"/>
      <c r="AK411" s="47" t="n"/>
      <c r="AL411" s="47" t="n"/>
      <c r="AM411" s="47" t="n"/>
      <c r="AN411" s="47" t="n"/>
      <c r="AO411" s="47" t="n"/>
      <c r="AP411" s="47" t="n"/>
      <c r="AQ411" s="47" t="n"/>
      <c r="AR411" s="47" t="n"/>
      <c r="AS411" s="47" t="n"/>
      <c r="AT411" s="50" t="n"/>
      <c r="AU411" s="50" t="n"/>
      <c r="AV411" s="50" t="n"/>
      <c r="AW411" s="49" t="inlineStr">
        <is>
          <t>IF(OR(F411="",AJ411=""),"",IF(COUNT(AI411:AI411)=0,"",AJ411-LOOKUP(2,1/(AI411:AI411&lt;&gt;""),AI411:AI411)))</t>
        </is>
      </c>
      <c r="AX411" s="49" t="inlineStr">
        <is>
          <t>IF(OR(F411="",AK411=""),"",IF(COUNT(AI411:AJ411)=0,"",AK411-LOOKUP(2,1/(AI411:AJ411&lt;&gt;""),AI411:AJ411)))</t>
        </is>
      </c>
      <c r="AY411" s="49" t="inlineStr">
        <is>
          <t>IF(OR(F411="",AL411=""),"",IF(COUNT(AI411:AK411)=0,"",AL411-LOOKUP(2,1/(AI411:AK411&lt;&gt;""),AI411:AK411)))</t>
        </is>
      </c>
      <c r="AZ411" s="49" t="inlineStr">
        <is>
          <t>IF(OR(F411="",AM411=""),"",IF(COUNT(AI411:AL411)=0,"",AM411-LOOKUP(2,1/(AI411:AL411&lt;&gt;""),AI411:AL411)))</t>
        </is>
      </c>
      <c r="BA411" s="49" t="inlineStr">
        <is>
          <t>IF(OR(F411="",AN411=""),"",IF(COUNT(AI411:AM411)=0,"",AN411-LOOKUP(2,1/(AI411:AM411&lt;&gt;""),AI411:AM411)))</t>
        </is>
      </c>
      <c r="BB411" s="49" t="inlineStr">
        <is>
          <t>IF(OR(F411="",AO411=""),"",IF(COUNT(AI411:AN411)=0,"",AO411-LOOKUP(2,1/(AI411:AN411&lt;&gt;""),AI411:AN411)))</t>
        </is>
      </c>
      <c r="BC411" s="49" t="inlineStr">
        <is>
          <t>IF(OR(F411="",AP411=""),"",IF(COUNT(AI411:AO411)=0,"",AP411-LOOKUP(2,1/(AI411:AO411&lt;&gt;""),AI411:AO411)))</t>
        </is>
      </c>
      <c r="BD411" s="49" t="inlineStr">
        <is>
          <t>IF(OR(F411="",AQ411=""),"",IF(COUNT(AI411:AP411)=0,"",AQ411-LOOKUP(2,1/(AI411:AP411&lt;&gt;""),AI411:AP411)))</t>
        </is>
      </c>
      <c r="BE411" s="49" t="inlineStr">
        <is>
          <t>IF(OR(F411="",AR411=""),"",IF(COUNT(AI411:AQ411)=0,"",AR411-LOOKUP(2,1/(AI411:AQ411&lt;&gt;""),AI411:AQ411)))</t>
        </is>
      </c>
      <c r="BF411" s="49" t="inlineStr">
        <is>
          <t>IF(OR(F411="",AS411=""),"",IF(COUNT(AI411:AR411)=0,"",AS411-LOOKUP(2,1/(AI411:AR411&lt;&gt;""),AI411:AR411)))</t>
        </is>
      </c>
      <c r="BG411" s="49" t="inlineStr">
        <is>
          <t>IF(OR(F411="",AT411=""),"",IF(COUNT(AI411:AS411)=0,"",AT411-LOOKUP(2,1/(AI411:AS411&lt;&gt;""),AI411:AS411)))</t>
        </is>
      </c>
      <c r="BH411" s="49" t="inlineStr">
        <is>
          <t>IF(OR(F411="",AU411=""),"",IF(COUNT(AI411:AT411)=0,"",AU411-LOOKUP(2,1/(AI411:AT411&lt;&gt;""),AI411:AT411)))</t>
        </is>
      </c>
      <c r="BI411" s="49" t="inlineStr">
        <is>
          <t>IF(OR(F411="",AV411=""),"",IF(COUNT(AI411:AU411)=0,"",AV411-LOOKUP(2,1/(AI411:AU411&lt;&gt;""),AI411:AU411)))</t>
        </is>
      </c>
      <c r="BJ411" s="51" t="inlineStr">
        <is>
          <t>IF(J411="","All_Provinces",IFERROR(VLOOKUP(J411,'09_Lookups'!$A$4:$B$20,2,FALSE),"All_Provinces"))</t>
        </is>
      </c>
      <c r="BK411" s="51" t="inlineStr">
        <is>
          <t>IF(K411="","All_Districts",IFERROR(VLOOKUP(K411,'09_Lookups'!$E$4:$F$42,2,FALSE),"All_Districts"))</t>
        </is>
      </c>
    </row>
    <row r="412" ht="18" customHeight="1">
      <c r="A412" s="42" t="inlineStr">
        <is>
          <t>IF(F412="","",ROW()-3)</t>
        </is>
      </c>
      <c r="B412" s="52" t="n"/>
      <c r="C412" s="52" t="n"/>
      <c r="D412" s="52" t="n"/>
      <c r="E412" s="52" t="n"/>
      <c r="F412" s="52" t="n"/>
      <c r="G412" s="52" t="n"/>
      <c r="H412" s="52" t="n"/>
      <c r="I412" s="52" t="n"/>
      <c r="J412" s="52" t="n"/>
      <c r="K412" s="52" t="n"/>
      <c r="L412" s="52" t="n"/>
      <c r="M412" s="52" t="n"/>
      <c r="N412" s="52" t="n"/>
      <c r="O412" s="52" t="n"/>
      <c r="P412" s="52" t="n"/>
      <c r="Q412" s="52" t="n"/>
      <c r="R412" s="52" t="n"/>
      <c r="S412" s="53" t="n"/>
      <c r="T412" s="46" t="inlineStr">
        <is>
          <t>IF(AQ412="","",AQ412)</t>
        </is>
      </c>
      <c r="U412" s="54" t="n"/>
      <c r="V412" s="55" t="n"/>
      <c r="W412" s="54" t="n"/>
      <c r="X412" s="46" t="inlineStr">
        <is>
          <t>IF(W412&lt;&gt;"",W412,IF(OR(T412="",V412=""),"",EDATE(T412,V412)))</t>
        </is>
      </c>
      <c r="Y412" s="54" t="n"/>
      <c r="Z412" s="55" t="n"/>
      <c r="AA412" s="52" t="n"/>
      <c r="AB412" s="52" t="n"/>
      <c r="AC412" s="42" t="inlineStr">
        <is>
          <t>IF(F412="","",IF(COUNT(AI412:AV412)=0,IF(AA412="","Not started",AA412),SUBSTITUTE(LOOKUP(2,1/(AI412:AV412&lt;&gt;""),$AI$3:$AV$3),"Date: ","")))</t>
        </is>
      </c>
      <c r="AD412" s="49" t="inlineStr">
        <is>
          <t>IF(OR(F412="",COUNT(AI412:AV412)=0),"",TODAY()-LOOKUP(2,1/(AI412:AV412&lt;&gt;""),AI412:AV412))</t>
        </is>
      </c>
      <c r="AE412" s="49" t="inlineStr">
        <is>
          <t>IF(OR(F412="",COUNT(AI412:AV412)&lt;2),"",LOOKUP(2,1/(AI412:AV412&lt;&gt;""),AI412:AV412)-MIN(AI412:AV412))</t>
        </is>
      </c>
      <c r="AF412" s="49" t="inlineStr">
        <is>
          <t>IF(OR(AD412="",AC412="Not started",AC412=""),"",IFERROR(AD412-IF(VLOOKUP(AC412,'06_Status_Pipeline'!$B$3:$E$20,4,FALSE)="",0,VLOOKUP(AC412,'06_Status_Pipeline'!$B$3:$E$20,4,FALSE)),""))</t>
        </is>
      </c>
      <c r="AG412" s="42" t="inlineStr">
        <is>
          <t>IF(F412="","",IF(OR(AA412="Cancelled",AC412="Cancelled"),"Cancelled",IF(OR(AC412="Completed / Handover",Y412&lt;&gt;"",Z412&gt;=100),"Completed — on track",IF(O412="Not awarded",IF(U412="",IF(X412="","No planned date",IF(TODAY()&gt;X412,"Behind — past planned date",IF(X412-TODAY()&lt;=30,"At risk — close to off track","On track"))),IF(TODAY()&gt;U412,"Behind — award date passed",IF(U412-TODAY()&lt;=30,"At risk — close to off track","On track"))),IF(X412="","No planned date",IF(AND(TODAY()&gt;X412,OR(Z412="",Z412&lt;100)),"Behind — past end date",IF(AND(T412&lt;&gt;"",X412&lt;&gt;"",Z412&lt;&gt;"",(Z412&lt;100),((TODAY()-T412)/MAX(X412-T412,1)*100)-Z412&gt;15),"Behind — progress lag",IF(AND(X412-TODAY()&lt;=30,X412-TODAY()&gt;=0,OR(Z412="",Z412&lt;90)),"At risk — close to off track","On track"))))))))</t>
        </is>
      </c>
      <c r="AH412" s="49" t="inlineStr">
        <is>
          <t>IF(OR(F412="",AC412="Completed / Handover",AC412="Cancelled"),"",IF(O412="Not awarded",IF(U412&lt;&gt;"",U412-TODAY(),IF(X412="","",X412-TODAY())),IF(X412="","",X412-TODAY())))</t>
        </is>
      </c>
      <c r="AI412" s="54" t="n"/>
      <c r="AJ412" s="54" t="n"/>
      <c r="AK412" s="54" t="n"/>
      <c r="AL412" s="54" t="n"/>
      <c r="AM412" s="54" t="n"/>
      <c r="AN412" s="54" t="n"/>
      <c r="AO412" s="54" t="n"/>
      <c r="AP412" s="54" t="n"/>
      <c r="AQ412" s="54" t="n"/>
      <c r="AR412" s="54" t="n"/>
      <c r="AS412" s="54" t="n"/>
      <c r="AT412" s="50" t="n"/>
      <c r="AU412" s="50" t="n"/>
      <c r="AV412" s="50" t="n"/>
      <c r="AW412" s="49" t="inlineStr">
        <is>
          <t>IF(OR(F412="",AJ412=""),"",IF(COUNT(AI412:AI412)=0,"",AJ412-LOOKUP(2,1/(AI412:AI412&lt;&gt;""),AI412:AI412)))</t>
        </is>
      </c>
      <c r="AX412" s="49" t="inlineStr">
        <is>
          <t>IF(OR(F412="",AK412=""),"",IF(COUNT(AI412:AJ412)=0,"",AK412-LOOKUP(2,1/(AI412:AJ412&lt;&gt;""),AI412:AJ412)))</t>
        </is>
      </c>
      <c r="AY412" s="49" t="inlineStr">
        <is>
          <t>IF(OR(F412="",AL412=""),"",IF(COUNT(AI412:AK412)=0,"",AL412-LOOKUP(2,1/(AI412:AK412&lt;&gt;""),AI412:AK412)))</t>
        </is>
      </c>
      <c r="AZ412" s="49" t="inlineStr">
        <is>
          <t>IF(OR(F412="",AM412=""),"",IF(COUNT(AI412:AL412)=0,"",AM412-LOOKUP(2,1/(AI412:AL412&lt;&gt;""),AI412:AL412)))</t>
        </is>
      </c>
      <c r="BA412" s="49" t="inlineStr">
        <is>
          <t>IF(OR(F412="",AN412=""),"",IF(COUNT(AI412:AM412)=0,"",AN412-LOOKUP(2,1/(AI412:AM412&lt;&gt;""),AI412:AM412)))</t>
        </is>
      </c>
      <c r="BB412" s="49" t="inlineStr">
        <is>
          <t>IF(OR(F412="",AO412=""),"",IF(COUNT(AI412:AN412)=0,"",AO412-LOOKUP(2,1/(AI412:AN412&lt;&gt;""),AI412:AN412)))</t>
        </is>
      </c>
      <c r="BC412" s="49" t="inlineStr">
        <is>
          <t>IF(OR(F412="",AP412=""),"",IF(COUNT(AI412:AO412)=0,"",AP412-LOOKUP(2,1/(AI412:AO412&lt;&gt;""),AI412:AO412)))</t>
        </is>
      </c>
      <c r="BD412" s="49" t="inlineStr">
        <is>
          <t>IF(OR(F412="",AQ412=""),"",IF(COUNT(AI412:AP412)=0,"",AQ412-LOOKUP(2,1/(AI412:AP412&lt;&gt;""),AI412:AP412)))</t>
        </is>
      </c>
      <c r="BE412" s="49" t="inlineStr">
        <is>
          <t>IF(OR(F412="",AR412=""),"",IF(COUNT(AI412:AQ412)=0,"",AR412-LOOKUP(2,1/(AI412:AQ412&lt;&gt;""),AI412:AQ412)))</t>
        </is>
      </c>
      <c r="BF412" s="49" t="inlineStr">
        <is>
          <t>IF(OR(F412="",AS412=""),"",IF(COUNT(AI412:AR412)=0,"",AS412-LOOKUP(2,1/(AI412:AR412&lt;&gt;""),AI412:AR412)))</t>
        </is>
      </c>
      <c r="BG412" s="49" t="inlineStr">
        <is>
          <t>IF(OR(F412="",AT412=""),"",IF(COUNT(AI412:AS412)=0,"",AT412-LOOKUP(2,1/(AI412:AS412&lt;&gt;""),AI412:AS412)))</t>
        </is>
      </c>
      <c r="BH412" s="49" t="inlineStr">
        <is>
          <t>IF(OR(F412="",AU412=""),"",IF(COUNT(AI412:AT412)=0,"",AU412-LOOKUP(2,1/(AI412:AT412&lt;&gt;""),AI412:AT412)))</t>
        </is>
      </c>
      <c r="BI412" s="49" t="inlineStr">
        <is>
          <t>IF(OR(F412="",AV412=""),"",IF(COUNT(AI412:AU412)=0,"",AV412-LOOKUP(2,1/(AI412:AU412&lt;&gt;""),AI412:AU412)))</t>
        </is>
      </c>
      <c r="BJ412" s="51" t="inlineStr">
        <is>
          <t>IF(J412="","All_Provinces",IFERROR(VLOOKUP(J412,'09_Lookups'!$A$4:$B$20,2,FALSE),"All_Provinces"))</t>
        </is>
      </c>
      <c r="BK412" s="51" t="inlineStr">
        <is>
          <t>IF(K412="","All_Districts",IFERROR(VLOOKUP(K412,'09_Lookups'!$E$4:$F$42,2,FALSE),"All_Districts"))</t>
        </is>
      </c>
    </row>
    <row r="413" ht="18" customHeight="1">
      <c r="A413" s="42" t="inlineStr">
        <is>
          <t>IF(F413="","",ROW()-3)</t>
        </is>
      </c>
      <c r="B413" s="44" t="n"/>
      <c r="C413" s="44" t="n"/>
      <c r="D413" s="44" t="n"/>
      <c r="E413" s="44" t="n"/>
      <c r="F413" s="44" t="n"/>
      <c r="G413" s="44" t="n"/>
      <c r="H413" s="44" t="n"/>
      <c r="I413" s="44" t="n"/>
      <c r="J413" s="44" t="n"/>
      <c r="K413" s="44" t="n"/>
      <c r="L413" s="44" t="n"/>
      <c r="M413" s="44" t="n"/>
      <c r="N413" s="44" t="n"/>
      <c r="O413" s="44" t="n"/>
      <c r="P413" s="44" t="n"/>
      <c r="Q413" s="44" t="n"/>
      <c r="R413" s="44" t="n"/>
      <c r="S413" s="45" t="n"/>
      <c r="T413" s="46" t="inlineStr">
        <is>
          <t>IF(AQ413="","",AQ413)</t>
        </is>
      </c>
      <c r="U413" s="47" t="n"/>
      <c r="V413" s="48" t="n"/>
      <c r="W413" s="47" t="n"/>
      <c r="X413" s="46" t="inlineStr">
        <is>
          <t>IF(W413&lt;&gt;"",W413,IF(OR(T413="",V413=""),"",EDATE(T413,V413)))</t>
        </is>
      </c>
      <c r="Y413" s="47" t="n"/>
      <c r="Z413" s="48" t="n"/>
      <c r="AA413" s="44" t="n"/>
      <c r="AB413" s="44" t="n"/>
      <c r="AC413" s="42" t="inlineStr">
        <is>
          <t>IF(F413="","",IF(COUNT(AI413:AV413)=0,IF(AA413="","Not started",AA413),SUBSTITUTE(LOOKUP(2,1/(AI413:AV413&lt;&gt;""),$AI$3:$AV$3),"Date: ","")))</t>
        </is>
      </c>
      <c r="AD413" s="49" t="inlineStr">
        <is>
          <t>IF(OR(F413="",COUNT(AI413:AV413)=0),"",TODAY()-LOOKUP(2,1/(AI413:AV413&lt;&gt;""),AI413:AV413))</t>
        </is>
      </c>
      <c r="AE413" s="49" t="inlineStr">
        <is>
          <t>IF(OR(F413="",COUNT(AI413:AV413)&lt;2),"",LOOKUP(2,1/(AI413:AV413&lt;&gt;""),AI413:AV413)-MIN(AI413:AV413))</t>
        </is>
      </c>
      <c r="AF413" s="49" t="inlineStr">
        <is>
          <t>IF(OR(AD413="",AC413="Not started",AC413=""),"",IFERROR(AD413-IF(VLOOKUP(AC413,'06_Status_Pipeline'!$B$3:$E$20,4,FALSE)="",0,VLOOKUP(AC413,'06_Status_Pipeline'!$B$3:$E$20,4,FALSE)),""))</t>
        </is>
      </c>
      <c r="AG413" s="42" t="inlineStr">
        <is>
          <t>IF(F413="","",IF(OR(AA413="Cancelled",AC413="Cancelled"),"Cancelled",IF(OR(AC413="Completed / Handover",Y413&lt;&gt;"",Z413&gt;=100),"Completed — on track",IF(O413="Not awarded",IF(U413="",IF(X413="","No planned date",IF(TODAY()&gt;X413,"Behind — past planned date",IF(X413-TODAY()&lt;=30,"At risk — close to off track","On track"))),IF(TODAY()&gt;U413,"Behind — award date passed",IF(U413-TODAY()&lt;=30,"At risk — close to off track","On track"))),IF(X413="","No planned date",IF(AND(TODAY()&gt;X413,OR(Z413="",Z413&lt;100)),"Behind — past end date",IF(AND(T413&lt;&gt;"",X413&lt;&gt;"",Z413&lt;&gt;"",(Z413&lt;100),((TODAY()-T413)/MAX(X413-T413,1)*100)-Z413&gt;15),"Behind — progress lag",IF(AND(X413-TODAY()&lt;=30,X413-TODAY()&gt;=0,OR(Z413="",Z413&lt;90)),"At risk — close to off track","On track"))))))))</t>
        </is>
      </c>
      <c r="AH413" s="49" t="inlineStr">
        <is>
          <t>IF(OR(F413="",AC413="Completed / Handover",AC413="Cancelled"),"",IF(O413="Not awarded",IF(U413&lt;&gt;"",U413-TODAY(),IF(X413="","",X413-TODAY())),IF(X413="","",X413-TODAY())))</t>
        </is>
      </c>
      <c r="AI413" s="47" t="n"/>
      <c r="AJ413" s="47" t="n"/>
      <c r="AK413" s="47" t="n"/>
      <c r="AL413" s="47" t="n"/>
      <c r="AM413" s="47" t="n"/>
      <c r="AN413" s="47" t="n"/>
      <c r="AO413" s="47" t="n"/>
      <c r="AP413" s="47" t="n"/>
      <c r="AQ413" s="47" t="n"/>
      <c r="AR413" s="47" t="n"/>
      <c r="AS413" s="47" t="n"/>
      <c r="AT413" s="50" t="n"/>
      <c r="AU413" s="50" t="n"/>
      <c r="AV413" s="50" t="n"/>
      <c r="AW413" s="49" t="inlineStr">
        <is>
          <t>IF(OR(F413="",AJ413=""),"",IF(COUNT(AI413:AI413)=0,"",AJ413-LOOKUP(2,1/(AI413:AI413&lt;&gt;""),AI413:AI413)))</t>
        </is>
      </c>
      <c r="AX413" s="49" t="inlineStr">
        <is>
          <t>IF(OR(F413="",AK413=""),"",IF(COUNT(AI413:AJ413)=0,"",AK413-LOOKUP(2,1/(AI413:AJ413&lt;&gt;""),AI413:AJ413)))</t>
        </is>
      </c>
      <c r="AY413" s="49" t="inlineStr">
        <is>
          <t>IF(OR(F413="",AL413=""),"",IF(COUNT(AI413:AK413)=0,"",AL413-LOOKUP(2,1/(AI413:AK413&lt;&gt;""),AI413:AK413)))</t>
        </is>
      </c>
      <c r="AZ413" s="49" t="inlineStr">
        <is>
          <t>IF(OR(F413="",AM413=""),"",IF(COUNT(AI413:AL413)=0,"",AM413-LOOKUP(2,1/(AI413:AL413&lt;&gt;""),AI413:AL413)))</t>
        </is>
      </c>
      <c r="BA413" s="49" t="inlineStr">
        <is>
          <t>IF(OR(F413="",AN413=""),"",IF(COUNT(AI413:AM413)=0,"",AN413-LOOKUP(2,1/(AI413:AM413&lt;&gt;""),AI413:AM413)))</t>
        </is>
      </c>
      <c r="BB413" s="49" t="inlineStr">
        <is>
          <t>IF(OR(F413="",AO413=""),"",IF(COUNT(AI413:AN413)=0,"",AO413-LOOKUP(2,1/(AI413:AN413&lt;&gt;""),AI413:AN413)))</t>
        </is>
      </c>
      <c r="BC413" s="49" t="inlineStr">
        <is>
          <t>IF(OR(F413="",AP413=""),"",IF(COUNT(AI413:AO413)=0,"",AP413-LOOKUP(2,1/(AI413:AO413&lt;&gt;""),AI413:AO413)))</t>
        </is>
      </c>
      <c r="BD413" s="49" t="inlineStr">
        <is>
          <t>IF(OR(F413="",AQ413=""),"",IF(COUNT(AI413:AP413)=0,"",AQ413-LOOKUP(2,1/(AI413:AP413&lt;&gt;""),AI413:AP413)))</t>
        </is>
      </c>
      <c r="BE413" s="49" t="inlineStr">
        <is>
          <t>IF(OR(F413="",AR413=""),"",IF(COUNT(AI413:AQ413)=0,"",AR413-LOOKUP(2,1/(AI413:AQ413&lt;&gt;""),AI413:AQ413)))</t>
        </is>
      </c>
      <c r="BF413" s="49" t="inlineStr">
        <is>
          <t>IF(OR(F413="",AS413=""),"",IF(COUNT(AI413:AR413)=0,"",AS413-LOOKUP(2,1/(AI413:AR413&lt;&gt;""),AI413:AR413)))</t>
        </is>
      </c>
      <c r="BG413" s="49" t="inlineStr">
        <is>
          <t>IF(OR(F413="",AT413=""),"",IF(COUNT(AI413:AS413)=0,"",AT413-LOOKUP(2,1/(AI413:AS413&lt;&gt;""),AI413:AS413)))</t>
        </is>
      </c>
      <c r="BH413" s="49" t="inlineStr">
        <is>
          <t>IF(OR(F413="",AU413=""),"",IF(COUNT(AI413:AT413)=0,"",AU413-LOOKUP(2,1/(AI413:AT413&lt;&gt;""),AI413:AT413)))</t>
        </is>
      </c>
      <c r="BI413" s="49" t="inlineStr">
        <is>
          <t>IF(OR(F413="",AV413=""),"",IF(COUNT(AI413:AU413)=0,"",AV413-LOOKUP(2,1/(AI413:AU413&lt;&gt;""),AI413:AU413)))</t>
        </is>
      </c>
      <c r="BJ413" s="51" t="inlineStr">
        <is>
          <t>IF(J413="","All_Provinces",IFERROR(VLOOKUP(J413,'09_Lookups'!$A$4:$B$20,2,FALSE),"All_Provinces"))</t>
        </is>
      </c>
      <c r="BK413" s="51" t="inlineStr">
        <is>
          <t>IF(K413="","All_Districts",IFERROR(VLOOKUP(K413,'09_Lookups'!$E$4:$F$42,2,FALSE),"All_Districts"))</t>
        </is>
      </c>
    </row>
    <row r="414" ht="18" customHeight="1">
      <c r="A414" s="42" t="inlineStr">
        <is>
          <t>IF(F414="","",ROW()-3)</t>
        </is>
      </c>
      <c r="B414" s="52" t="n"/>
      <c r="C414" s="52" t="n"/>
      <c r="D414" s="52" t="n"/>
      <c r="E414" s="52" t="n"/>
      <c r="F414" s="52" t="n"/>
      <c r="G414" s="52" t="n"/>
      <c r="H414" s="52" t="n"/>
      <c r="I414" s="52" t="n"/>
      <c r="J414" s="52" t="n"/>
      <c r="K414" s="52" t="n"/>
      <c r="L414" s="52" t="n"/>
      <c r="M414" s="52" t="n"/>
      <c r="N414" s="52" t="n"/>
      <c r="O414" s="52" t="n"/>
      <c r="P414" s="52" t="n"/>
      <c r="Q414" s="52" t="n"/>
      <c r="R414" s="52" t="n"/>
      <c r="S414" s="53" t="n"/>
      <c r="T414" s="46" t="inlineStr">
        <is>
          <t>IF(AQ414="","",AQ414)</t>
        </is>
      </c>
      <c r="U414" s="54" t="n"/>
      <c r="V414" s="55" t="n"/>
      <c r="W414" s="54" t="n"/>
      <c r="X414" s="46" t="inlineStr">
        <is>
          <t>IF(W414&lt;&gt;"",W414,IF(OR(T414="",V414=""),"",EDATE(T414,V414)))</t>
        </is>
      </c>
      <c r="Y414" s="54" t="n"/>
      <c r="Z414" s="55" t="n"/>
      <c r="AA414" s="52" t="n"/>
      <c r="AB414" s="52" t="n"/>
      <c r="AC414" s="42" t="inlineStr">
        <is>
          <t>IF(F414="","",IF(COUNT(AI414:AV414)=0,IF(AA414="","Not started",AA414),SUBSTITUTE(LOOKUP(2,1/(AI414:AV414&lt;&gt;""),$AI$3:$AV$3),"Date: ","")))</t>
        </is>
      </c>
      <c r="AD414" s="49" t="inlineStr">
        <is>
          <t>IF(OR(F414="",COUNT(AI414:AV414)=0),"",TODAY()-LOOKUP(2,1/(AI414:AV414&lt;&gt;""),AI414:AV414))</t>
        </is>
      </c>
      <c r="AE414" s="49" t="inlineStr">
        <is>
          <t>IF(OR(F414="",COUNT(AI414:AV414)&lt;2),"",LOOKUP(2,1/(AI414:AV414&lt;&gt;""),AI414:AV414)-MIN(AI414:AV414))</t>
        </is>
      </c>
      <c r="AF414" s="49" t="inlineStr">
        <is>
          <t>IF(OR(AD414="",AC414="Not started",AC414=""),"",IFERROR(AD414-IF(VLOOKUP(AC414,'06_Status_Pipeline'!$B$3:$E$20,4,FALSE)="",0,VLOOKUP(AC414,'06_Status_Pipeline'!$B$3:$E$20,4,FALSE)),""))</t>
        </is>
      </c>
      <c r="AG414" s="42" t="inlineStr">
        <is>
          <t>IF(F414="","",IF(OR(AA414="Cancelled",AC414="Cancelled"),"Cancelled",IF(OR(AC414="Completed / Handover",Y414&lt;&gt;"",Z414&gt;=100),"Completed — on track",IF(O414="Not awarded",IF(U414="",IF(X414="","No planned date",IF(TODAY()&gt;X414,"Behind — past planned date",IF(X414-TODAY()&lt;=30,"At risk — close to off track","On track"))),IF(TODAY()&gt;U414,"Behind — award date passed",IF(U414-TODAY()&lt;=30,"At risk — close to off track","On track"))),IF(X414="","No planned date",IF(AND(TODAY()&gt;X414,OR(Z414="",Z414&lt;100)),"Behind — past end date",IF(AND(T414&lt;&gt;"",X414&lt;&gt;"",Z414&lt;&gt;"",(Z414&lt;100),((TODAY()-T414)/MAX(X414-T414,1)*100)-Z414&gt;15),"Behind — progress lag",IF(AND(X414-TODAY()&lt;=30,X414-TODAY()&gt;=0,OR(Z414="",Z414&lt;90)),"At risk — close to off track","On track"))))))))</t>
        </is>
      </c>
      <c r="AH414" s="49" t="inlineStr">
        <is>
          <t>IF(OR(F414="",AC414="Completed / Handover",AC414="Cancelled"),"",IF(O414="Not awarded",IF(U414&lt;&gt;"",U414-TODAY(),IF(X414="","",X414-TODAY())),IF(X414="","",X414-TODAY())))</t>
        </is>
      </c>
      <c r="AI414" s="54" t="n"/>
      <c r="AJ414" s="54" t="n"/>
      <c r="AK414" s="54" t="n"/>
      <c r="AL414" s="54" t="n"/>
      <c r="AM414" s="54" t="n"/>
      <c r="AN414" s="54" t="n"/>
      <c r="AO414" s="54" t="n"/>
      <c r="AP414" s="54" t="n"/>
      <c r="AQ414" s="54" t="n"/>
      <c r="AR414" s="54" t="n"/>
      <c r="AS414" s="54" t="n"/>
      <c r="AT414" s="50" t="n"/>
      <c r="AU414" s="50" t="n"/>
      <c r="AV414" s="50" t="n"/>
      <c r="AW414" s="49" t="inlineStr">
        <is>
          <t>IF(OR(F414="",AJ414=""),"",IF(COUNT(AI414:AI414)=0,"",AJ414-LOOKUP(2,1/(AI414:AI414&lt;&gt;""),AI414:AI414)))</t>
        </is>
      </c>
      <c r="AX414" s="49" t="inlineStr">
        <is>
          <t>IF(OR(F414="",AK414=""),"",IF(COUNT(AI414:AJ414)=0,"",AK414-LOOKUP(2,1/(AI414:AJ414&lt;&gt;""),AI414:AJ414)))</t>
        </is>
      </c>
      <c r="AY414" s="49" t="inlineStr">
        <is>
          <t>IF(OR(F414="",AL414=""),"",IF(COUNT(AI414:AK414)=0,"",AL414-LOOKUP(2,1/(AI414:AK414&lt;&gt;""),AI414:AK414)))</t>
        </is>
      </c>
      <c r="AZ414" s="49" t="inlineStr">
        <is>
          <t>IF(OR(F414="",AM414=""),"",IF(COUNT(AI414:AL414)=0,"",AM414-LOOKUP(2,1/(AI414:AL414&lt;&gt;""),AI414:AL414)))</t>
        </is>
      </c>
      <c r="BA414" s="49" t="inlineStr">
        <is>
          <t>IF(OR(F414="",AN414=""),"",IF(COUNT(AI414:AM414)=0,"",AN414-LOOKUP(2,1/(AI414:AM414&lt;&gt;""),AI414:AM414)))</t>
        </is>
      </c>
      <c r="BB414" s="49" t="inlineStr">
        <is>
          <t>IF(OR(F414="",AO414=""),"",IF(COUNT(AI414:AN414)=0,"",AO414-LOOKUP(2,1/(AI414:AN414&lt;&gt;""),AI414:AN414)))</t>
        </is>
      </c>
      <c r="BC414" s="49" t="inlineStr">
        <is>
          <t>IF(OR(F414="",AP414=""),"",IF(COUNT(AI414:AO414)=0,"",AP414-LOOKUP(2,1/(AI414:AO414&lt;&gt;""),AI414:AO414)))</t>
        </is>
      </c>
      <c r="BD414" s="49" t="inlineStr">
        <is>
          <t>IF(OR(F414="",AQ414=""),"",IF(COUNT(AI414:AP414)=0,"",AQ414-LOOKUP(2,1/(AI414:AP414&lt;&gt;""),AI414:AP414)))</t>
        </is>
      </c>
      <c r="BE414" s="49" t="inlineStr">
        <is>
          <t>IF(OR(F414="",AR414=""),"",IF(COUNT(AI414:AQ414)=0,"",AR414-LOOKUP(2,1/(AI414:AQ414&lt;&gt;""),AI414:AQ414)))</t>
        </is>
      </c>
      <c r="BF414" s="49" t="inlineStr">
        <is>
          <t>IF(OR(F414="",AS414=""),"",IF(COUNT(AI414:AR414)=0,"",AS414-LOOKUP(2,1/(AI414:AR414&lt;&gt;""),AI414:AR414)))</t>
        </is>
      </c>
      <c r="BG414" s="49" t="inlineStr">
        <is>
          <t>IF(OR(F414="",AT414=""),"",IF(COUNT(AI414:AS414)=0,"",AT414-LOOKUP(2,1/(AI414:AS414&lt;&gt;""),AI414:AS414)))</t>
        </is>
      </c>
      <c r="BH414" s="49" t="inlineStr">
        <is>
          <t>IF(OR(F414="",AU414=""),"",IF(COUNT(AI414:AT414)=0,"",AU414-LOOKUP(2,1/(AI414:AT414&lt;&gt;""),AI414:AT414)))</t>
        </is>
      </c>
      <c r="BI414" s="49" t="inlineStr">
        <is>
          <t>IF(OR(F414="",AV414=""),"",IF(COUNT(AI414:AU414)=0,"",AV414-LOOKUP(2,1/(AI414:AU414&lt;&gt;""),AI414:AU414)))</t>
        </is>
      </c>
      <c r="BJ414" s="51" t="inlineStr">
        <is>
          <t>IF(J414="","All_Provinces",IFERROR(VLOOKUP(J414,'09_Lookups'!$A$4:$B$20,2,FALSE),"All_Provinces"))</t>
        </is>
      </c>
      <c r="BK414" s="51" t="inlineStr">
        <is>
          <t>IF(K414="","All_Districts",IFERROR(VLOOKUP(K414,'09_Lookups'!$E$4:$F$42,2,FALSE),"All_Districts"))</t>
        </is>
      </c>
    </row>
    <row r="415" ht="18" customHeight="1">
      <c r="A415" s="42" t="inlineStr">
        <is>
          <t>IF(F415="","",ROW()-3)</t>
        </is>
      </c>
      <c r="B415" s="44" t="n"/>
      <c r="C415" s="44" t="n"/>
      <c r="D415" s="44" t="n"/>
      <c r="E415" s="44" t="n"/>
      <c r="F415" s="44" t="n"/>
      <c r="G415" s="44" t="n"/>
      <c r="H415" s="44" t="n"/>
      <c r="I415" s="44" t="n"/>
      <c r="J415" s="44" t="n"/>
      <c r="K415" s="44" t="n"/>
      <c r="L415" s="44" t="n"/>
      <c r="M415" s="44" t="n"/>
      <c r="N415" s="44" t="n"/>
      <c r="O415" s="44" t="n"/>
      <c r="P415" s="44" t="n"/>
      <c r="Q415" s="44" t="n"/>
      <c r="R415" s="44" t="n"/>
      <c r="S415" s="45" t="n"/>
      <c r="T415" s="46" t="inlineStr">
        <is>
          <t>IF(AQ415="","",AQ415)</t>
        </is>
      </c>
      <c r="U415" s="47" t="n"/>
      <c r="V415" s="48" t="n"/>
      <c r="W415" s="47" t="n"/>
      <c r="X415" s="46" t="inlineStr">
        <is>
          <t>IF(W415&lt;&gt;"",W415,IF(OR(T415="",V415=""),"",EDATE(T415,V415)))</t>
        </is>
      </c>
      <c r="Y415" s="47" t="n"/>
      <c r="Z415" s="48" t="n"/>
      <c r="AA415" s="44" t="n"/>
      <c r="AB415" s="44" t="n"/>
      <c r="AC415" s="42" t="inlineStr">
        <is>
          <t>IF(F415="","",IF(COUNT(AI415:AV415)=0,IF(AA415="","Not started",AA415),SUBSTITUTE(LOOKUP(2,1/(AI415:AV415&lt;&gt;""),$AI$3:$AV$3),"Date: ","")))</t>
        </is>
      </c>
      <c r="AD415" s="49" t="inlineStr">
        <is>
          <t>IF(OR(F415="",COUNT(AI415:AV415)=0),"",TODAY()-LOOKUP(2,1/(AI415:AV415&lt;&gt;""),AI415:AV415))</t>
        </is>
      </c>
      <c r="AE415" s="49" t="inlineStr">
        <is>
          <t>IF(OR(F415="",COUNT(AI415:AV415)&lt;2),"",LOOKUP(2,1/(AI415:AV415&lt;&gt;""),AI415:AV415)-MIN(AI415:AV415))</t>
        </is>
      </c>
      <c r="AF415" s="49" t="inlineStr">
        <is>
          <t>IF(OR(AD415="",AC415="Not started",AC415=""),"",IFERROR(AD415-IF(VLOOKUP(AC415,'06_Status_Pipeline'!$B$3:$E$20,4,FALSE)="",0,VLOOKUP(AC415,'06_Status_Pipeline'!$B$3:$E$20,4,FALSE)),""))</t>
        </is>
      </c>
      <c r="AG415" s="42" t="inlineStr">
        <is>
          <t>IF(F415="","",IF(OR(AA415="Cancelled",AC415="Cancelled"),"Cancelled",IF(OR(AC415="Completed / Handover",Y415&lt;&gt;"",Z415&gt;=100),"Completed — on track",IF(O415="Not awarded",IF(U415="",IF(X415="","No planned date",IF(TODAY()&gt;X415,"Behind — past planned date",IF(X415-TODAY()&lt;=30,"At risk — close to off track","On track"))),IF(TODAY()&gt;U415,"Behind — award date passed",IF(U415-TODAY()&lt;=30,"At risk — close to off track","On track"))),IF(X415="","No planned date",IF(AND(TODAY()&gt;X415,OR(Z415="",Z415&lt;100)),"Behind — past end date",IF(AND(T415&lt;&gt;"",X415&lt;&gt;"",Z415&lt;&gt;"",(Z415&lt;100),((TODAY()-T415)/MAX(X415-T415,1)*100)-Z415&gt;15),"Behind — progress lag",IF(AND(X415-TODAY()&lt;=30,X415-TODAY()&gt;=0,OR(Z415="",Z415&lt;90)),"At risk — close to off track","On track"))))))))</t>
        </is>
      </c>
      <c r="AH415" s="49" t="inlineStr">
        <is>
          <t>IF(OR(F415="",AC415="Completed / Handover",AC415="Cancelled"),"",IF(O415="Not awarded",IF(U415&lt;&gt;"",U415-TODAY(),IF(X415="","",X415-TODAY())),IF(X415="","",X415-TODAY())))</t>
        </is>
      </c>
      <c r="AI415" s="47" t="n"/>
      <c r="AJ415" s="47" t="n"/>
      <c r="AK415" s="47" t="n"/>
      <c r="AL415" s="47" t="n"/>
      <c r="AM415" s="47" t="n"/>
      <c r="AN415" s="47" t="n"/>
      <c r="AO415" s="47" t="n"/>
      <c r="AP415" s="47" t="n"/>
      <c r="AQ415" s="47" t="n"/>
      <c r="AR415" s="47" t="n"/>
      <c r="AS415" s="47" t="n"/>
      <c r="AT415" s="50" t="n"/>
      <c r="AU415" s="50" t="n"/>
      <c r="AV415" s="50" t="n"/>
      <c r="AW415" s="49" t="inlineStr">
        <is>
          <t>IF(OR(F415="",AJ415=""),"",IF(COUNT(AI415:AI415)=0,"",AJ415-LOOKUP(2,1/(AI415:AI415&lt;&gt;""),AI415:AI415)))</t>
        </is>
      </c>
      <c r="AX415" s="49" t="inlineStr">
        <is>
          <t>IF(OR(F415="",AK415=""),"",IF(COUNT(AI415:AJ415)=0,"",AK415-LOOKUP(2,1/(AI415:AJ415&lt;&gt;""),AI415:AJ415)))</t>
        </is>
      </c>
      <c r="AY415" s="49" t="inlineStr">
        <is>
          <t>IF(OR(F415="",AL415=""),"",IF(COUNT(AI415:AK415)=0,"",AL415-LOOKUP(2,1/(AI415:AK415&lt;&gt;""),AI415:AK415)))</t>
        </is>
      </c>
      <c r="AZ415" s="49" t="inlineStr">
        <is>
          <t>IF(OR(F415="",AM415=""),"",IF(COUNT(AI415:AL415)=0,"",AM415-LOOKUP(2,1/(AI415:AL415&lt;&gt;""),AI415:AL415)))</t>
        </is>
      </c>
      <c r="BA415" s="49" t="inlineStr">
        <is>
          <t>IF(OR(F415="",AN415=""),"",IF(COUNT(AI415:AM415)=0,"",AN415-LOOKUP(2,1/(AI415:AM415&lt;&gt;""),AI415:AM415)))</t>
        </is>
      </c>
      <c r="BB415" s="49" t="inlineStr">
        <is>
          <t>IF(OR(F415="",AO415=""),"",IF(COUNT(AI415:AN415)=0,"",AO415-LOOKUP(2,1/(AI415:AN415&lt;&gt;""),AI415:AN415)))</t>
        </is>
      </c>
      <c r="BC415" s="49" t="inlineStr">
        <is>
          <t>IF(OR(F415="",AP415=""),"",IF(COUNT(AI415:AO415)=0,"",AP415-LOOKUP(2,1/(AI415:AO415&lt;&gt;""),AI415:AO415)))</t>
        </is>
      </c>
      <c r="BD415" s="49" t="inlineStr">
        <is>
          <t>IF(OR(F415="",AQ415=""),"",IF(COUNT(AI415:AP415)=0,"",AQ415-LOOKUP(2,1/(AI415:AP415&lt;&gt;""),AI415:AP415)))</t>
        </is>
      </c>
      <c r="BE415" s="49" t="inlineStr">
        <is>
          <t>IF(OR(F415="",AR415=""),"",IF(COUNT(AI415:AQ415)=0,"",AR415-LOOKUP(2,1/(AI415:AQ415&lt;&gt;""),AI415:AQ415)))</t>
        </is>
      </c>
      <c r="BF415" s="49" t="inlineStr">
        <is>
          <t>IF(OR(F415="",AS415=""),"",IF(COUNT(AI415:AR415)=0,"",AS415-LOOKUP(2,1/(AI415:AR415&lt;&gt;""),AI415:AR415)))</t>
        </is>
      </c>
      <c r="BG415" s="49" t="inlineStr">
        <is>
          <t>IF(OR(F415="",AT415=""),"",IF(COUNT(AI415:AS415)=0,"",AT415-LOOKUP(2,1/(AI415:AS415&lt;&gt;""),AI415:AS415)))</t>
        </is>
      </c>
      <c r="BH415" s="49" t="inlineStr">
        <is>
          <t>IF(OR(F415="",AU415=""),"",IF(COUNT(AI415:AT415)=0,"",AU415-LOOKUP(2,1/(AI415:AT415&lt;&gt;""),AI415:AT415)))</t>
        </is>
      </c>
      <c r="BI415" s="49" t="inlineStr">
        <is>
          <t>IF(OR(F415="",AV415=""),"",IF(COUNT(AI415:AU415)=0,"",AV415-LOOKUP(2,1/(AI415:AU415&lt;&gt;""),AI415:AU415)))</t>
        </is>
      </c>
      <c r="BJ415" s="51" t="inlineStr">
        <is>
          <t>IF(J415="","All_Provinces",IFERROR(VLOOKUP(J415,'09_Lookups'!$A$4:$B$20,2,FALSE),"All_Provinces"))</t>
        </is>
      </c>
      <c r="BK415" s="51" t="inlineStr">
        <is>
          <t>IF(K415="","All_Districts",IFERROR(VLOOKUP(K415,'09_Lookups'!$E$4:$F$42,2,FALSE),"All_Districts"))</t>
        </is>
      </c>
    </row>
    <row r="416" ht="18" customHeight="1">
      <c r="A416" s="42" t="inlineStr">
        <is>
          <t>IF(F416="","",ROW()-3)</t>
        </is>
      </c>
      <c r="B416" s="52" t="n"/>
      <c r="C416" s="52" t="n"/>
      <c r="D416" s="52" t="n"/>
      <c r="E416" s="52" t="n"/>
      <c r="F416" s="52" t="n"/>
      <c r="G416" s="52" t="n"/>
      <c r="H416" s="52" t="n"/>
      <c r="I416" s="52" t="n"/>
      <c r="J416" s="52" t="n"/>
      <c r="K416" s="52" t="n"/>
      <c r="L416" s="52" t="n"/>
      <c r="M416" s="52" t="n"/>
      <c r="N416" s="52" t="n"/>
      <c r="O416" s="52" t="n"/>
      <c r="P416" s="52" t="n"/>
      <c r="Q416" s="52" t="n"/>
      <c r="R416" s="52" t="n"/>
      <c r="S416" s="53" t="n"/>
      <c r="T416" s="46" t="inlineStr">
        <is>
          <t>IF(AQ416="","",AQ416)</t>
        </is>
      </c>
      <c r="U416" s="54" t="n"/>
      <c r="V416" s="55" t="n"/>
      <c r="W416" s="54" t="n"/>
      <c r="X416" s="46" t="inlineStr">
        <is>
          <t>IF(W416&lt;&gt;"",W416,IF(OR(T416="",V416=""),"",EDATE(T416,V416)))</t>
        </is>
      </c>
      <c r="Y416" s="54" t="n"/>
      <c r="Z416" s="55" t="n"/>
      <c r="AA416" s="52" t="n"/>
      <c r="AB416" s="52" t="n"/>
      <c r="AC416" s="42" t="inlineStr">
        <is>
          <t>IF(F416="","",IF(COUNT(AI416:AV416)=0,IF(AA416="","Not started",AA416),SUBSTITUTE(LOOKUP(2,1/(AI416:AV416&lt;&gt;""),$AI$3:$AV$3),"Date: ","")))</t>
        </is>
      </c>
      <c r="AD416" s="49" t="inlineStr">
        <is>
          <t>IF(OR(F416="",COUNT(AI416:AV416)=0),"",TODAY()-LOOKUP(2,1/(AI416:AV416&lt;&gt;""),AI416:AV416))</t>
        </is>
      </c>
      <c r="AE416" s="49" t="inlineStr">
        <is>
          <t>IF(OR(F416="",COUNT(AI416:AV416)&lt;2),"",LOOKUP(2,1/(AI416:AV416&lt;&gt;""),AI416:AV416)-MIN(AI416:AV416))</t>
        </is>
      </c>
      <c r="AF416" s="49" t="inlineStr">
        <is>
          <t>IF(OR(AD416="",AC416="Not started",AC416=""),"",IFERROR(AD416-IF(VLOOKUP(AC416,'06_Status_Pipeline'!$B$3:$E$20,4,FALSE)="",0,VLOOKUP(AC416,'06_Status_Pipeline'!$B$3:$E$20,4,FALSE)),""))</t>
        </is>
      </c>
      <c r="AG416" s="42" t="inlineStr">
        <is>
          <t>IF(F416="","",IF(OR(AA416="Cancelled",AC416="Cancelled"),"Cancelled",IF(OR(AC416="Completed / Handover",Y416&lt;&gt;"",Z416&gt;=100),"Completed — on track",IF(O416="Not awarded",IF(U416="",IF(X416="","No planned date",IF(TODAY()&gt;X416,"Behind — past planned date",IF(X416-TODAY()&lt;=30,"At risk — close to off track","On track"))),IF(TODAY()&gt;U416,"Behind — award date passed",IF(U416-TODAY()&lt;=30,"At risk — close to off track","On track"))),IF(X416="","No planned date",IF(AND(TODAY()&gt;X416,OR(Z416="",Z416&lt;100)),"Behind — past end date",IF(AND(T416&lt;&gt;"",X416&lt;&gt;"",Z416&lt;&gt;"",(Z416&lt;100),((TODAY()-T416)/MAX(X416-T416,1)*100)-Z416&gt;15),"Behind — progress lag",IF(AND(X416-TODAY()&lt;=30,X416-TODAY()&gt;=0,OR(Z416="",Z416&lt;90)),"At risk — close to off track","On track"))))))))</t>
        </is>
      </c>
      <c r="AH416" s="49" t="inlineStr">
        <is>
          <t>IF(OR(F416="",AC416="Completed / Handover",AC416="Cancelled"),"",IF(O416="Not awarded",IF(U416&lt;&gt;"",U416-TODAY(),IF(X416="","",X416-TODAY())),IF(X416="","",X416-TODAY())))</t>
        </is>
      </c>
      <c r="AI416" s="54" t="n"/>
      <c r="AJ416" s="54" t="n"/>
      <c r="AK416" s="54" t="n"/>
      <c r="AL416" s="54" t="n"/>
      <c r="AM416" s="54" t="n"/>
      <c r="AN416" s="54" t="n"/>
      <c r="AO416" s="54" t="n"/>
      <c r="AP416" s="54" t="n"/>
      <c r="AQ416" s="54" t="n"/>
      <c r="AR416" s="54" t="n"/>
      <c r="AS416" s="54" t="n"/>
      <c r="AT416" s="50" t="n"/>
      <c r="AU416" s="50" t="n"/>
      <c r="AV416" s="50" t="n"/>
      <c r="AW416" s="49" t="inlineStr">
        <is>
          <t>IF(OR(F416="",AJ416=""),"",IF(COUNT(AI416:AI416)=0,"",AJ416-LOOKUP(2,1/(AI416:AI416&lt;&gt;""),AI416:AI416)))</t>
        </is>
      </c>
      <c r="AX416" s="49" t="inlineStr">
        <is>
          <t>IF(OR(F416="",AK416=""),"",IF(COUNT(AI416:AJ416)=0,"",AK416-LOOKUP(2,1/(AI416:AJ416&lt;&gt;""),AI416:AJ416)))</t>
        </is>
      </c>
      <c r="AY416" s="49" t="inlineStr">
        <is>
          <t>IF(OR(F416="",AL416=""),"",IF(COUNT(AI416:AK416)=0,"",AL416-LOOKUP(2,1/(AI416:AK416&lt;&gt;""),AI416:AK416)))</t>
        </is>
      </c>
      <c r="AZ416" s="49" t="inlineStr">
        <is>
          <t>IF(OR(F416="",AM416=""),"",IF(COUNT(AI416:AL416)=0,"",AM416-LOOKUP(2,1/(AI416:AL416&lt;&gt;""),AI416:AL416)))</t>
        </is>
      </c>
      <c r="BA416" s="49" t="inlineStr">
        <is>
          <t>IF(OR(F416="",AN416=""),"",IF(COUNT(AI416:AM416)=0,"",AN416-LOOKUP(2,1/(AI416:AM416&lt;&gt;""),AI416:AM416)))</t>
        </is>
      </c>
      <c r="BB416" s="49" t="inlineStr">
        <is>
          <t>IF(OR(F416="",AO416=""),"",IF(COUNT(AI416:AN416)=0,"",AO416-LOOKUP(2,1/(AI416:AN416&lt;&gt;""),AI416:AN416)))</t>
        </is>
      </c>
      <c r="BC416" s="49" t="inlineStr">
        <is>
          <t>IF(OR(F416="",AP416=""),"",IF(COUNT(AI416:AO416)=0,"",AP416-LOOKUP(2,1/(AI416:AO416&lt;&gt;""),AI416:AO416)))</t>
        </is>
      </c>
      <c r="BD416" s="49" t="inlineStr">
        <is>
          <t>IF(OR(F416="",AQ416=""),"",IF(COUNT(AI416:AP416)=0,"",AQ416-LOOKUP(2,1/(AI416:AP416&lt;&gt;""),AI416:AP416)))</t>
        </is>
      </c>
      <c r="BE416" s="49" t="inlineStr">
        <is>
          <t>IF(OR(F416="",AR416=""),"",IF(COUNT(AI416:AQ416)=0,"",AR416-LOOKUP(2,1/(AI416:AQ416&lt;&gt;""),AI416:AQ416)))</t>
        </is>
      </c>
      <c r="BF416" s="49" t="inlineStr">
        <is>
          <t>IF(OR(F416="",AS416=""),"",IF(COUNT(AI416:AR416)=0,"",AS416-LOOKUP(2,1/(AI416:AR416&lt;&gt;""),AI416:AR416)))</t>
        </is>
      </c>
      <c r="BG416" s="49" t="inlineStr">
        <is>
          <t>IF(OR(F416="",AT416=""),"",IF(COUNT(AI416:AS416)=0,"",AT416-LOOKUP(2,1/(AI416:AS416&lt;&gt;""),AI416:AS416)))</t>
        </is>
      </c>
      <c r="BH416" s="49" t="inlineStr">
        <is>
          <t>IF(OR(F416="",AU416=""),"",IF(COUNT(AI416:AT416)=0,"",AU416-LOOKUP(2,1/(AI416:AT416&lt;&gt;""),AI416:AT416)))</t>
        </is>
      </c>
      <c r="BI416" s="49" t="inlineStr">
        <is>
          <t>IF(OR(F416="",AV416=""),"",IF(COUNT(AI416:AU416)=0,"",AV416-LOOKUP(2,1/(AI416:AU416&lt;&gt;""),AI416:AU416)))</t>
        </is>
      </c>
      <c r="BJ416" s="51" t="inlineStr">
        <is>
          <t>IF(J416="","All_Provinces",IFERROR(VLOOKUP(J416,'09_Lookups'!$A$4:$B$20,2,FALSE),"All_Provinces"))</t>
        </is>
      </c>
      <c r="BK416" s="51" t="inlineStr">
        <is>
          <t>IF(K416="","All_Districts",IFERROR(VLOOKUP(K416,'09_Lookups'!$E$4:$F$42,2,FALSE),"All_Districts"))</t>
        </is>
      </c>
    </row>
    <row r="417" ht="18" customHeight="1">
      <c r="A417" s="42" t="inlineStr">
        <is>
          <t>IF(F417="","",ROW()-3)</t>
        </is>
      </c>
      <c r="B417" s="44" t="n"/>
      <c r="C417" s="44" t="n"/>
      <c r="D417" s="44" t="n"/>
      <c r="E417" s="44" t="n"/>
      <c r="F417" s="44" t="n"/>
      <c r="G417" s="44" t="n"/>
      <c r="H417" s="44" t="n"/>
      <c r="I417" s="44" t="n"/>
      <c r="J417" s="44" t="n"/>
      <c r="K417" s="44" t="n"/>
      <c r="L417" s="44" t="n"/>
      <c r="M417" s="44" t="n"/>
      <c r="N417" s="44" t="n"/>
      <c r="O417" s="44" t="n"/>
      <c r="P417" s="44" t="n"/>
      <c r="Q417" s="44" t="n"/>
      <c r="R417" s="44" t="n"/>
      <c r="S417" s="45" t="n"/>
      <c r="T417" s="46" t="inlineStr">
        <is>
          <t>IF(AQ417="","",AQ417)</t>
        </is>
      </c>
      <c r="U417" s="47" t="n"/>
      <c r="V417" s="48" t="n"/>
      <c r="W417" s="47" t="n"/>
      <c r="X417" s="46" t="inlineStr">
        <is>
          <t>IF(W417&lt;&gt;"",W417,IF(OR(T417="",V417=""),"",EDATE(T417,V417)))</t>
        </is>
      </c>
      <c r="Y417" s="47" t="n"/>
      <c r="Z417" s="48" t="n"/>
      <c r="AA417" s="44" t="n"/>
      <c r="AB417" s="44" t="n"/>
      <c r="AC417" s="42" t="inlineStr">
        <is>
          <t>IF(F417="","",IF(COUNT(AI417:AV417)=0,IF(AA417="","Not started",AA417),SUBSTITUTE(LOOKUP(2,1/(AI417:AV417&lt;&gt;""),$AI$3:$AV$3),"Date: ","")))</t>
        </is>
      </c>
      <c r="AD417" s="49" t="inlineStr">
        <is>
          <t>IF(OR(F417="",COUNT(AI417:AV417)=0),"",TODAY()-LOOKUP(2,1/(AI417:AV417&lt;&gt;""),AI417:AV417))</t>
        </is>
      </c>
      <c r="AE417" s="49" t="inlineStr">
        <is>
          <t>IF(OR(F417="",COUNT(AI417:AV417)&lt;2),"",LOOKUP(2,1/(AI417:AV417&lt;&gt;""),AI417:AV417)-MIN(AI417:AV417))</t>
        </is>
      </c>
      <c r="AF417" s="49" t="inlineStr">
        <is>
          <t>IF(OR(AD417="",AC417="Not started",AC417=""),"",IFERROR(AD417-IF(VLOOKUP(AC417,'06_Status_Pipeline'!$B$3:$E$20,4,FALSE)="",0,VLOOKUP(AC417,'06_Status_Pipeline'!$B$3:$E$20,4,FALSE)),""))</t>
        </is>
      </c>
      <c r="AG417" s="42" t="inlineStr">
        <is>
          <t>IF(F417="","",IF(OR(AA417="Cancelled",AC417="Cancelled"),"Cancelled",IF(OR(AC417="Completed / Handover",Y417&lt;&gt;"",Z417&gt;=100),"Completed — on track",IF(O417="Not awarded",IF(U417="",IF(X417="","No planned date",IF(TODAY()&gt;X417,"Behind — past planned date",IF(X417-TODAY()&lt;=30,"At risk — close to off track","On track"))),IF(TODAY()&gt;U417,"Behind — award date passed",IF(U417-TODAY()&lt;=30,"At risk — close to off track","On track"))),IF(X417="","No planned date",IF(AND(TODAY()&gt;X417,OR(Z417="",Z417&lt;100)),"Behind — past end date",IF(AND(T417&lt;&gt;"",X417&lt;&gt;"",Z417&lt;&gt;"",(Z417&lt;100),((TODAY()-T417)/MAX(X417-T417,1)*100)-Z417&gt;15),"Behind — progress lag",IF(AND(X417-TODAY()&lt;=30,X417-TODAY()&gt;=0,OR(Z417="",Z417&lt;90)),"At risk — close to off track","On track"))))))))</t>
        </is>
      </c>
      <c r="AH417" s="49" t="inlineStr">
        <is>
          <t>IF(OR(F417="",AC417="Completed / Handover",AC417="Cancelled"),"",IF(O417="Not awarded",IF(U417&lt;&gt;"",U417-TODAY(),IF(X417="","",X417-TODAY())),IF(X417="","",X417-TODAY())))</t>
        </is>
      </c>
      <c r="AI417" s="47" t="n"/>
      <c r="AJ417" s="47" t="n"/>
      <c r="AK417" s="47" t="n"/>
      <c r="AL417" s="47" t="n"/>
      <c r="AM417" s="47" t="n"/>
      <c r="AN417" s="47" t="n"/>
      <c r="AO417" s="47" t="n"/>
      <c r="AP417" s="47" t="n"/>
      <c r="AQ417" s="47" t="n"/>
      <c r="AR417" s="47" t="n"/>
      <c r="AS417" s="47" t="n"/>
      <c r="AT417" s="50" t="n"/>
      <c r="AU417" s="50" t="n"/>
      <c r="AV417" s="50" t="n"/>
      <c r="AW417" s="49" t="inlineStr">
        <is>
          <t>IF(OR(F417="",AJ417=""),"",IF(COUNT(AI417:AI417)=0,"",AJ417-LOOKUP(2,1/(AI417:AI417&lt;&gt;""),AI417:AI417)))</t>
        </is>
      </c>
      <c r="AX417" s="49" t="inlineStr">
        <is>
          <t>IF(OR(F417="",AK417=""),"",IF(COUNT(AI417:AJ417)=0,"",AK417-LOOKUP(2,1/(AI417:AJ417&lt;&gt;""),AI417:AJ417)))</t>
        </is>
      </c>
      <c r="AY417" s="49" t="inlineStr">
        <is>
          <t>IF(OR(F417="",AL417=""),"",IF(COUNT(AI417:AK417)=0,"",AL417-LOOKUP(2,1/(AI417:AK417&lt;&gt;""),AI417:AK417)))</t>
        </is>
      </c>
      <c r="AZ417" s="49" t="inlineStr">
        <is>
          <t>IF(OR(F417="",AM417=""),"",IF(COUNT(AI417:AL417)=0,"",AM417-LOOKUP(2,1/(AI417:AL417&lt;&gt;""),AI417:AL417)))</t>
        </is>
      </c>
      <c r="BA417" s="49" t="inlineStr">
        <is>
          <t>IF(OR(F417="",AN417=""),"",IF(COUNT(AI417:AM417)=0,"",AN417-LOOKUP(2,1/(AI417:AM417&lt;&gt;""),AI417:AM417)))</t>
        </is>
      </c>
      <c r="BB417" s="49" t="inlineStr">
        <is>
          <t>IF(OR(F417="",AO417=""),"",IF(COUNT(AI417:AN417)=0,"",AO417-LOOKUP(2,1/(AI417:AN417&lt;&gt;""),AI417:AN417)))</t>
        </is>
      </c>
      <c r="BC417" s="49" t="inlineStr">
        <is>
          <t>IF(OR(F417="",AP417=""),"",IF(COUNT(AI417:AO417)=0,"",AP417-LOOKUP(2,1/(AI417:AO417&lt;&gt;""),AI417:AO417)))</t>
        </is>
      </c>
      <c r="BD417" s="49" t="inlineStr">
        <is>
          <t>IF(OR(F417="",AQ417=""),"",IF(COUNT(AI417:AP417)=0,"",AQ417-LOOKUP(2,1/(AI417:AP417&lt;&gt;""),AI417:AP417)))</t>
        </is>
      </c>
      <c r="BE417" s="49" t="inlineStr">
        <is>
          <t>IF(OR(F417="",AR417=""),"",IF(COUNT(AI417:AQ417)=0,"",AR417-LOOKUP(2,1/(AI417:AQ417&lt;&gt;""),AI417:AQ417)))</t>
        </is>
      </c>
      <c r="BF417" s="49" t="inlineStr">
        <is>
          <t>IF(OR(F417="",AS417=""),"",IF(COUNT(AI417:AR417)=0,"",AS417-LOOKUP(2,1/(AI417:AR417&lt;&gt;""),AI417:AR417)))</t>
        </is>
      </c>
      <c r="BG417" s="49" t="inlineStr">
        <is>
          <t>IF(OR(F417="",AT417=""),"",IF(COUNT(AI417:AS417)=0,"",AT417-LOOKUP(2,1/(AI417:AS417&lt;&gt;""),AI417:AS417)))</t>
        </is>
      </c>
      <c r="BH417" s="49" t="inlineStr">
        <is>
          <t>IF(OR(F417="",AU417=""),"",IF(COUNT(AI417:AT417)=0,"",AU417-LOOKUP(2,1/(AI417:AT417&lt;&gt;""),AI417:AT417)))</t>
        </is>
      </c>
      <c r="BI417" s="49" t="inlineStr">
        <is>
          <t>IF(OR(F417="",AV417=""),"",IF(COUNT(AI417:AU417)=0,"",AV417-LOOKUP(2,1/(AI417:AU417&lt;&gt;""),AI417:AU417)))</t>
        </is>
      </c>
      <c r="BJ417" s="51" t="inlineStr">
        <is>
          <t>IF(J417="","All_Provinces",IFERROR(VLOOKUP(J417,'09_Lookups'!$A$4:$B$20,2,FALSE),"All_Provinces"))</t>
        </is>
      </c>
      <c r="BK417" s="51" t="inlineStr">
        <is>
          <t>IF(K417="","All_Districts",IFERROR(VLOOKUP(K417,'09_Lookups'!$E$4:$F$42,2,FALSE),"All_Districts"))</t>
        </is>
      </c>
    </row>
    <row r="418" ht="18" customHeight="1">
      <c r="A418" s="42" t="inlineStr">
        <is>
          <t>IF(F418="","",ROW()-3)</t>
        </is>
      </c>
      <c r="B418" s="52" t="n"/>
      <c r="C418" s="52" t="n"/>
      <c r="D418" s="52" t="n"/>
      <c r="E418" s="52" t="n"/>
      <c r="F418" s="52" t="n"/>
      <c r="G418" s="52" t="n"/>
      <c r="H418" s="52" t="n"/>
      <c r="I418" s="52" t="n"/>
      <c r="J418" s="52" t="n"/>
      <c r="K418" s="52" t="n"/>
      <c r="L418" s="52" t="n"/>
      <c r="M418" s="52" t="n"/>
      <c r="N418" s="52" t="n"/>
      <c r="O418" s="52" t="n"/>
      <c r="P418" s="52" t="n"/>
      <c r="Q418" s="52" t="n"/>
      <c r="R418" s="52" t="n"/>
      <c r="S418" s="53" t="n"/>
      <c r="T418" s="46" t="inlineStr">
        <is>
          <t>IF(AQ418="","",AQ418)</t>
        </is>
      </c>
      <c r="U418" s="54" t="n"/>
      <c r="V418" s="55" t="n"/>
      <c r="W418" s="54" t="n"/>
      <c r="X418" s="46" t="inlineStr">
        <is>
          <t>IF(W418&lt;&gt;"",W418,IF(OR(T418="",V418=""),"",EDATE(T418,V418)))</t>
        </is>
      </c>
      <c r="Y418" s="54" t="n"/>
      <c r="Z418" s="55" t="n"/>
      <c r="AA418" s="52" t="n"/>
      <c r="AB418" s="52" t="n"/>
      <c r="AC418" s="42" t="inlineStr">
        <is>
          <t>IF(F418="","",IF(COUNT(AI418:AV418)=0,IF(AA418="","Not started",AA418),SUBSTITUTE(LOOKUP(2,1/(AI418:AV418&lt;&gt;""),$AI$3:$AV$3),"Date: ","")))</t>
        </is>
      </c>
      <c r="AD418" s="49" t="inlineStr">
        <is>
          <t>IF(OR(F418="",COUNT(AI418:AV418)=0),"",TODAY()-LOOKUP(2,1/(AI418:AV418&lt;&gt;""),AI418:AV418))</t>
        </is>
      </c>
      <c r="AE418" s="49" t="inlineStr">
        <is>
          <t>IF(OR(F418="",COUNT(AI418:AV418)&lt;2),"",LOOKUP(2,1/(AI418:AV418&lt;&gt;""),AI418:AV418)-MIN(AI418:AV418))</t>
        </is>
      </c>
      <c r="AF418" s="49" t="inlineStr">
        <is>
          <t>IF(OR(AD418="",AC418="Not started",AC418=""),"",IFERROR(AD418-IF(VLOOKUP(AC418,'06_Status_Pipeline'!$B$3:$E$20,4,FALSE)="",0,VLOOKUP(AC418,'06_Status_Pipeline'!$B$3:$E$20,4,FALSE)),""))</t>
        </is>
      </c>
      <c r="AG418" s="42" t="inlineStr">
        <is>
          <t>IF(F418="","",IF(OR(AA418="Cancelled",AC418="Cancelled"),"Cancelled",IF(OR(AC418="Completed / Handover",Y418&lt;&gt;"",Z418&gt;=100),"Completed — on track",IF(O418="Not awarded",IF(U418="",IF(X418="","No planned date",IF(TODAY()&gt;X418,"Behind — past planned date",IF(X418-TODAY()&lt;=30,"At risk — close to off track","On track"))),IF(TODAY()&gt;U418,"Behind — award date passed",IF(U418-TODAY()&lt;=30,"At risk — close to off track","On track"))),IF(X418="","No planned date",IF(AND(TODAY()&gt;X418,OR(Z418="",Z418&lt;100)),"Behind — past end date",IF(AND(T418&lt;&gt;"",X418&lt;&gt;"",Z418&lt;&gt;"",(Z418&lt;100),((TODAY()-T418)/MAX(X418-T418,1)*100)-Z418&gt;15),"Behind — progress lag",IF(AND(X418-TODAY()&lt;=30,X418-TODAY()&gt;=0,OR(Z418="",Z418&lt;90)),"At risk — close to off track","On track"))))))))</t>
        </is>
      </c>
      <c r="AH418" s="49" t="inlineStr">
        <is>
          <t>IF(OR(F418="",AC418="Completed / Handover",AC418="Cancelled"),"",IF(O418="Not awarded",IF(U418&lt;&gt;"",U418-TODAY(),IF(X418="","",X418-TODAY())),IF(X418="","",X418-TODAY())))</t>
        </is>
      </c>
      <c r="AI418" s="54" t="n"/>
      <c r="AJ418" s="54" t="n"/>
      <c r="AK418" s="54" t="n"/>
      <c r="AL418" s="54" t="n"/>
      <c r="AM418" s="54" t="n"/>
      <c r="AN418" s="54" t="n"/>
      <c r="AO418" s="54" t="n"/>
      <c r="AP418" s="54" t="n"/>
      <c r="AQ418" s="54" t="n"/>
      <c r="AR418" s="54" t="n"/>
      <c r="AS418" s="54" t="n"/>
      <c r="AT418" s="50" t="n"/>
      <c r="AU418" s="50" t="n"/>
      <c r="AV418" s="50" t="n"/>
      <c r="AW418" s="49" t="inlineStr">
        <is>
          <t>IF(OR(F418="",AJ418=""),"",IF(COUNT(AI418:AI418)=0,"",AJ418-LOOKUP(2,1/(AI418:AI418&lt;&gt;""),AI418:AI418)))</t>
        </is>
      </c>
      <c r="AX418" s="49" t="inlineStr">
        <is>
          <t>IF(OR(F418="",AK418=""),"",IF(COUNT(AI418:AJ418)=0,"",AK418-LOOKUP(2,1/(AI418:AJ418&lt;&gt;""),AI418:AJ418)))</t>
        </is>
      </c>
      <c r="AY418" s="49" t="inlineStr">
        <is>
          <t>IF(OR(F418="",AL418=""),"",IF(COUNT(AI418:AK418)=0,"",AL418-LOOKUP(2,1/(AI418:AK418&lt;&gt;""),AI418:AK418)))</t>
        </is>
      </c>
      <c r="AZ418" s="49" t="inlineStr">
        <is>
          <t>IF(OR(F418="",AM418=""),"",IF(COUNT(AI418:AL418)=0,"",AM418-LOOKUP(2,1/(AI418:AL418&lt;&gt;""),AI418:AL418)))</t>
        </is>
      </c>
      <c r="BA418" s="49" t="inlineStr">
        <is>
          <t>IF(OR(F418="",AN418=""),"",IF(COUNT(AI418:AM418)=0,"",AN418-LOOKUP(2,1/(AI418:AM418&lt;&gt;""),AI418:AM418)))</t>
        </is>
      </c>
      <c r="BB418" s="49" t="inlineStr">
        <is>
          <t>IF(OR(F418="",AO418=""),"",IF(COUNT(AI418:AN418)=0,"",AO418-LOOKUP(2,1/(AI418:AN418&lt;&gt;""),AI418:AN418)))</t>
        </is>
      </c>
      <c r="BC418" s="49" t="inlineStr">
        <is>
          <t>IF(OR(F418="",AP418=""),"",IF(COUNT(AI418:AO418)=0,"",AP418-LOOKUP(2,1/(AI418:AO418&lt;&gt;""),AI418:AO418)))</t>
        </is>
      </c>
      <c r="BD418" s="49" t="inlineStr">
        <is>
          <t>IF(OR(F418="",AQ418=""),"",IF(COUNT(AI418:AP418)=0,"",AQ418-LOOKUP(2,1/(AI418:AP418&lt;&gt;""),AI418:AP418)))</t>
        </is>
      </c>
      <c r="BE418" s="49" t="inlineStr">
        <is>
          <t>IF(OR(F418="",AR418=""),"",IF(COUNT(AI418:AQ418)=0,"",AR418-LOOKUP(2,1/(AI418:AQ418&lt;&gt;""),AI418:AQ418)))</t>
        </is>
      </c>
      <c r="BF418" s="49" t="inlineStr">
        <is>
          <t>IF(OR(F418="",AS418=""),"",IF(COUNT(AI418:AR418)=0,"",AS418-LOOKUP(2,1/(AI418:AR418&lt;&gt;""),AI418:AR418)))</t>
        </is>
      </c>
      <c r="BG418" s="49" t="inlineStr">
        <is>
          <t>IF(OR(F418="",AT418=""),"",IF(COUNT(AI418:AS418)=0,"",AT418-LOOKUP(2,1/(AI418:AS418&lt;&gt;""),AI418:AS418)))</t>
        </is>
      </c>
      <c r="BH418" s="49" t="inlineStr">
        <is>
          <t>IF(OR(F418="",AU418=""),"",IF(COUNT(AI418:AT418)=0,"",AU418-LOOKUP(2,1/(AI418:AT418&lt;&gt;""),AI418:AT418)))</t>
        </is>
      </c>
      <c r="BI418" s="49" t="inlineStr">
        <is>
          <t>IF(OR(F418="",AV418=""),"",IF(COUNT(AI418:AU418)=0,"",AV418-LOOKUP(2,1/(AI418:AU418&lt;&gt;""),AI418:AU418)))</t>
        </is>
      </c>
      <c r="BJ418" s="51" t="inlineStr">
        <is>
          <t>IF(J418="","All_Provinces",IFERROR(VLOOKUP(J418,'09_Lookups'!$A$4:$B$20,2,FALSE),"All_Provinces"))</t>
        </is>
      </c>
      <c r="BK418" s="51" t="inlineStr">
        <is>
          <t>IF(K418="","All_Districts",IFERROR(VLOOKUP(K418,'09_Lookups'!$E$4:$F$42,2,FALSE),"All_Districts"))</t>
        </is>
      </c>
    </row>
    <row r="419" ht="18" customHeight="1">
      <c r="A419" s="42" t="inlineStr">
        <is>
          <t>IF(F419="","",ROW()-3)</t>
        </is>
      </c>
      <c r="B419" s="44" t="n"/>
      <c r="C419" s="44" t="n"/>
      <c r="D419" s="44" t="n"/>
      <c r="E419" s="44" t="n"/>
      <c r="F419" s="44" t="n"/>
      <c r="G419" s="44" t="n"/>
      <c r="H419" s="44" t="n"/>
      <c r="I419" s="44" t="n"/>
      <c r="J419" s="44" t="n"/>
      <c r="K419" s="44" t="n"/>
      <c r="L419" s="44" t="n"/>
      <c r="M419" s="44" t="n"/>
      <c r="N419" s="44" t="n"/>
      <c r="O419" s="44" t="n"/>
      <c r="P419" s="44" t="n"/>
      <c r="Q419" s="44" t="n"/>
      <c r="R419" s="44" t="n"/>
      <c r="S419" s="45" t="n"/>
      <c r="T419" s="46" t="inlineStr">
        <is>
          <t>IF(AQ419="","",AQ419)</t>
        </is>
      </c>
      <c r="U419" s="47" t="n"/>
      <c r="V419" s="48" t="n"/>
      <c r="W419" s="47" t="n"/>
      <c r="X419" s="46" t="inlineStr">
        <is>
          <t>IF(W419&lt;&gt;"",W419,IF(OR(T419="",V419=""),"",EDATE(T419,V419)))</t>
        </is>
      </c>
      <c r="Y419" s="47" t="n"/>
      <c r="Z419" s="48" t="n"/>
      <c r="AA419" s="44" t="n"/>
      <c r="AB419" s="44" t="n"/>
      <c r="AC419" s="42" t="inlineStr">
        <is>
          <t>IF(F419="","",IF(COUNT(AI419:AV419)=0,IF(AA419="","Not started",AA419),SUBSTITUTE(LOOKUP(2,1/(AI419:AV419&lt;&gt;""),$AI$3:$AV$3),"Date: ","")))</t>
        </is>
      </c>
      <c r="AD419" s="49" t="inlineStr">
        <is>
          <t>IF(OR(F419="",COUNT(AI419:AV419)=0),"",TODAY()-LOOKUP(2,1/(AI419:AV419&lt;&gt;""),AI419:AV419))</t>
        </is>
      </c>
      <c r="AE419" s="49" t="inlineStr">
        <is>
          <t>IF(OR(F419="",COUNT(AI419:AV419)&lt;2),"",LOOKUP(2,1/(AI419:AV419&lt;&gt;""),AI419:AV419)-MIN(AI419:AV419))</t>
        </is>
      </c>
      <c r="AF419" s="49" t="inlineStr">
        <is>
          <t>IF(OR(AD419="",AC419="Not started",AC419=""),"",IFERROR(AD419-IF(VLOOKUP(AC419,'06_Status_Pipeline'!$B$3:$E$20,4,FALSE)="",0,VLOOKUP(AC419,'06_Status_Pipeline'!$B$3:$E$20,4,FALSE)),""))</t>
        </is>
      </c>
      <c r="AG419" s="42" t="inlineStr">
        <is>
          <t>IF(F419="","",IF(OR(AA419="Cancelled",AC419="Cancelled"),"Cancelled",IF(OR(AC419="Completed / Handover",Y419&lt;&gt;"",Z419&gt;=100),"Completed — on track",IF(O419="Not awarded",IF(U419="",IF(X419="","No planned date",IF(TODAY()&gt;X419,"Behind — past planned date",IF(X419-TODAY()&lt;=30,"At risk — close to off track","On track"))),IF(TODAY()&gt;U419,"Behind — award date passed",IF(U419-TODAY()&lt;=30,"At risk — close to off track","On track"))),IF(X419="","No planned date",IF(AND(TODAY()&gt;X419,OR(Z419="",Z419&lt;100)),"Behind — past end date",IF(AND(T419&lt;&gt;"",X419&lt;&gt;"",Z419&lt;&gt;"",(Z419&lt;100),((TODAY()-T419)/MAX(X419-T419,1)*100)-Z419&gt;15),"Behind — progress lag",IF(AND(X419-TODAY()&lt;=30,X419-TODAY()&gt;=0,OR(Z419="",Z419&lt;90)),"At risk — close to off track","On track"))))))))</t>
        </is>
      </c>
      <c r="AH419" s="49" t="inlineStr">
        <is>
          <t>IF(OR(F419="",AC419="Completed / Handover",AC419="Cancelled"),"",IF(O419="Not awarded",IF(U419&lt;&gt;"",U419-TODAY(),IF(X419="","",X419-TODAY())),IF(X419="","",X419-TODAY())))</t>
        </is>
      </c>
      <c r="AI419" s="47" t="n"/>
      <c r="AJ419" s="47" t="n"/>
      <c r="AK419" s="47" t="n"/>
      <c r="AL419" s="47" t="n"/>
      <c r="AM419" s="47" t="n"/>
      <c r="AN419" s="47" t="n"/>
      <c r="AO419" s="47" t="n"/>
      <c r="AP419" s="47" t="n"/>
      <c r="AQ419" s="47" t="n"/>
      <c r="AR419" s="47" t="n"/>
      <c r="AS419" s="47" t="n"/>
      <c r="AT419" s="50" t="n"/>
      <c r="AU419" s="50" t="n"/>
      <c r="AV419" s="50" t="n"/>
      <c r="AW419" s="49" t="inlineStr">
        <is>
          <t>IF(OR(F419="",AJ419=""),"",IF(COUNT(AI419:AI419)=0,"",AJ419-LOOKUP(2,1/(AI419:AI419&lt;&gt;""),AI419:AI419)))</t>
        </is>
      </c>
      <c r="AX419" s="49" t="inlineStr">
        <is>
          <t>IF(OR(F419="",AK419=""),"",IF(COUNT(AI419:AJ419)=0,"",AK419-LOOKUP(2,1/(AI419:AJ419&lt;&gt;""),AI419:AJ419)))</t>
        </is>
      </c>
      <c r="AY419" s="49" t="inlineStr">
        <is>
          <t>IF(OR(F419="",AL419=""),"",IF(COUNT(AI419:AK419)=0,"",AL419-LOOKUP(2,1/(AI419:AK419&lt;&gt;""),AI419:AK419)))</t>
        </is>
      </c>
      <c r="AZ419" s="49" t="inlineStr">
        <is>
          <t>IF(OR(F419="",AM419=""),"",IF(COUNT(AI419:AL419)=0,"",AM419-LOOKUP(2,1/(AI419:AL419&lt;&gt;""),AI419:AL419)))</t>
        </is>
      </c>
      <c r="BA419" s="49" t="inlineStr">
        <is>
          <t>IF(OR(F419="",AN419=""),"",IF(COUNT(AI419:AM419)=0,"",AN419-LOOKUP(2,1/(AI419:AM419&lt;&gt;""),AI419:AM419)))</t>
        </is>
      </c>
      <c r="BB419" s="49" t="inlineStr">
        <is>
          <t>IF(OR(F419="",AO419=""),"",IF(COUNT(AI419:AN419)=0,"",AO419-LOOKUP(2,1/(AI419:AN419&lt;&gt;""),AI419:AN419)))</t>
        </is>
      </c>
      <c r="BC419" s="49" t="inlineStr">
        <is>
          <t>IF(OR(F419="",AP419=""),"",IF(COUNT(AI419:AO419)=0,"",AP419-LOOKUP(2,1/(AI419:AO419&lt;&gt;""),AI419:AO419)))</t>
        </is>
      </c>
      <c r="BD419" s="49" t="inlineStr">
        <is>
          <t>IF(OR(F419="",AQ419=""),"",IF(COUNT(AI419:AP419)=0,"",AQ419-LOOKUP(2,1/(AI419:AP419&lt;&gt;""),AI419:AP419)))</t>
        </is>
      </c>
      <c r="BE419" s="49" t="inlineStr">
        <is>
          <t>IF(OR(F419="",AR419=""),"",IF(COUNT(AI419:AQ419)=0,"",AR419-LOOKUP(2,1/(AI419:AQ419&lt;&gt;""),AI419:AQ419)))</t>
        </is>
      </c>
      <c r="BF419" s="49" t="inlineStr">
        <is>
          <t>IF(OR(F419="",AS419=""),"",IF(COUNT(AI419:AR419)=0,"",AS419-LOOKUP(2,1/(AI419:AR419&lt;&gt;""),AI419:AR419)))</t>
        </is>
      </c>
      <c r="BG419" s="49" t="inlineStr">
        <is>
          <t>IF(OR(F419="",AT419=""),"",IF(COUNT(AI419:AS419)=0,"",AT419-LOOKUP(2,1/(AI419:AS419&lt;&gt;""),AI419:AS419)))</t>
        </is>
      </c>
      <c r="BH419" s="49" t="inlineStr">
        <is>
          <t>IF(OR(F419="",AU419=""),"",IF(COUNT(AI419:AT419)=0,"",AU419-LOOKUP(2,1/(AI419:AT419&lt;&gt;""),AI419:AT419)))</t>
        </is>
      </c>
      <c r="BI419" s="49" t="inlineStr">
        <is>
          <t>IF(OR(F419="",AV419=""),"",IF(COUNT(AI419:AU419)=0,"",AV419-LOOKUP(2,1/(AI419:AU419&lt;&gt;""),AI419:AU419)))</t>
        </is>
      </c>
      <c r="BJ419" s="51" t="inlineStr">
        <is>
          <t>IF(J419="","All_Provinces",IFERROR(VLOOKUP(J419,'09_Lookups'!$A$4:$B$20,2,FALSE),"All_Provinces"))</t>
        </is>
      </c>
      <c r="BK419" s="51" t="inlineStr">
        <is>
          <t>IF(K419="","All_Districts",IFERROR(VLOOKUP(K419,'09_Lookups'!$E$4:$F$42,2,FALSE),"All_Districts"))</t>
        </is>
      </c>
    </row>
    <row r="420" ht="18" customHeight="1">
      <c r="A420" s="42" t="inlineStr">
        <is>
          <t>IF(F420="","",ROW()-3)</t>
        </is>
      </c>
      <c r="B420" s="52" t="n"/>
      <c r="C420" s="52" t="n"/>
      <c r="D420" s="52" t="n"/>
      <c r="E420" s="52" t="n"/>
      <c r="F420" s="52" t="n"/>
      <c r="G420" s="52" t="n"/>
      <c r="H420" s="52" t="n"/>
      <c r="I420" s="52" t="n"/>
      <c r="J420" s="52" t="n"/>
      <c r="K420" s="52" t="n"/>
      <c r="L420" s="52" t="n"/>
      <c r="M420" s="52" t="n"/>
      <c r="N420" s="52" t="n"/>
      <c r="O420" s="52" t="n"/>
      <c r="P420" s="52" t="n"/>
      <c r="Q420" s="52" t="n"/>
      <c r="R420" s="52" t="n"/>
      <c r="S420" s="53" t="n"/>
      <c r="T420" s="46" t="inlineStr">
        <is>
          <t>IF(AQ420="","",AQ420)</t>
        </is>
      </c>
      <c r="U420" s="54" t="n"/>
      <c r="V420" s="55" t="n"/>
      <c r="W420" s="54" t="n"/>
      <c r="X420" s="46" t="inlineStr">
        <is>
          <t>IF(W420&lt;&gt;"",W420,IF(OR(T420="",V420=""),"",EDATE(T420,V420)))</t>
        </is>
      </c>
      <c r="Y420" s="54" t="n"/>
      <c r="Z420" s="55" t="n"/>
      <c r="AA420" s="52" t="n"/>
      <c r="AB420" s="52" t="n"/>
      <c r="AC420" s="42" t="inlineStr">
        <is>
          <t>IF(F420="","",IF(COUNT(AI420:AV420)=0,IF(AA420="","Not started",AA420),SUBSTITUTE(LOOKUP(2,1/(AI420:AV420&lt;&gt;""),$AI$3:$AV$3),"Date: ","")))</t>
        </is>
      </c>
      <c r="AD420" s="49" t="inlineStr">
        <is>
          <t>IF(OR(F420="",COUNT(AI420:AV420)=0),"",TODAY()-LOOKUP(2,1/(AI420:AV420&lt;&gt;""),AI420:AV420))</t>
        </is>
      </c>
      <c r="AE420" s="49" t="inlineStr">
        <is>
          <t>IF(OR(F420="",COUNT(AI420:AV420)&lt;2),"",LOOKUP(2,1/(AI420:AV420&lt;&gt;""),AI420:AV420)-MIN(AI420:AV420))</t>
        </is>
      </c>
      <c r="AF420" s="49" t="inlineStr">
        <is>
          <t>IF(OR(AD420="",AC420="Not started",AC420=""),"",IFERROR(AD420-IF(VLOOKUP(AC420,'06_Status_Pipeline'!$B$3:$E$20,4,FALSE)="",0,VLOOKUP(AC420,'06_Status_Pipeline'!$B$3:$E$20,4,FALSE)),""))</t>
        </is>
      </c>
      <c r="AG420" s="42" t="inlineStr">
        <is>
          <t>IF(F420="","",IF(OR(AA420="Cancelled",AC420="Cancelled"),"Cancelled",IF(OR(AC420="Completed / Handover",Y420&lt;&gt;"",Z420&gt;=100),"Completed — on track",IF(O420="Not awarded",IF(U420="",IF(X420="","No planned date",IF(TODAY()&gt;X420,"Behind — past planned date",IF(X420-TODAY()&lt;=30,"At risk — close to off track","On track"))),IF(TODAY()&gt;U420,"Behind — award date passed",IF(U420-TODAY()&lt;=30,"At risk — close to off track","On track"))),IF(X420="","No planned date",IF(AND(TODAY()&gt;X420,OR(Z420="",Z420&lt;100)),"Behind — past end date",IF(AND(T420&lt;&gt;"",X420&lt;&gt;"",Z420&lt;&gt;"",(Z420&lt;100),((TODAY()-T420)/MAX(X420-T420,1)*100)-Z420&gt;15),"Behind — progress lag",IF(AND(X420-TODAY()&lt;=30,X420-TODAY()&gt;=0,OR(Z420="",Z420&lt;90)),"At risk — close to off track","On track"))))))))</t>
        </is>
      </c>
      <c r="AH420" s="49" t="inlineStr">
        <is>
          <t>IF(OR(F420="",AC420="Completed / Handover",AC420="Cancelled"),"",IF(O420="Not awarded",IF(U420&lt;&gt;"",U420-TODAY(),IF(X420="","",X420-TODAY())),IF(X420="","",X420-TODAY())))</t>
        </is>
      </c>
      <c r="AI420" s="54" t="n"/>
      <c r="AJ420" s="54" t="n"/>
      <c r="AK420" s="54" t="n"/>
      <c r="AL420" s="54" t="n"/>
      <c r="AM420" s="54" t="n"/>
      <c r="AN420" s="54" t="n"/>
      <c r="AO420" s="54" t="n"/>
      <c r="AP420" s="54" t="n"/>
      <c r="AQ420" s="54" t="n"/>
      <c r="AR420" s="54" t="n"/>
      <c r="AS420" s="54" t="n"/>
      <c r="AT420" s="50" t="n"/>
      <c r="AU420" s="50" t="n"/>
      <c r="AV420" s="50" t="n"/>
      <c r="AW420" s="49" t="inlineStr">
        <is>
          <t>IF(OR(F420="",AJ420=""),"",IF(COUNT(AI420:AI420)=0,"",AJ420-LOOKUP(2,1/(AI420:AI420&lt;&gt;""),AI420:AI420)))</t>
        </is>
      </c>
      <c r="AX420" s="49" t="inlineStr">
        <is>
          <t>IF(OR(F420="",AK420=""),"",IF(COUNT(AI420:AJ420)=0,"",AK420-LOOKUP(2,1/(AI420:AJ420&lt;&gt;""),AI420:AJ420)))</t>
        </is>
      </c>
      <c r="AY420" s="49" t="inlineStr">
        <is>
          <t>IF(OR(F420="",AL420=""),"",IF(COUNT(AI420:AK420)=0,"",AL420-LOOKUP(2,1/(AI420:AK420&lt;&gt;""),AI420:AK420)))</t>
        </is>
      </c>
      <c r="AZ420" s="49" t="inlineStr">
        <is>
          <t>IF(OR(F420="",AM420=""),"",IF(COUNT(AI420:AL420)=0,"",AM420-LOOKUP(2,1/(AI420:AL420&lt;&gt;""),AI420:AL420)))</t>
        </is>
      </c>
      <c r="BA420" s="49" t="inlineStr">
        <is>
          <t>IF(OR(F420="",AN420=""),"",IF(COUNT(AI420:AM420)=0,"",AN420-LOOKUP(2,1/(AI420:AM420&lt;&gt;""),AI420:AM420)))</t>
        </is>
      </c>
      <c r="BB420" s="49" t="inlineStr">
        <is>
          <t>IF(OR(F420="",AO420=""),"",IF(COUNT(AI420:AN420)=0,"",AO420-LOOKUP(2,1/(AI420:AN420&lt;&gt;""),AI420:AN420)))</t>
        </is>
      </c>
      <c r="BC420" s="49" t="inlineStr">
        <is>
          <t>IF(OR(F420="",AP420=""),"",IF(COUNT(AI420:AO420)=0,"",AP420-LOOKUP(2,1/(AI420:AO420&lt;&gt;""),AI420:AO420)))</t>
        </is>
      </c>
      <c r="BD420" s="49" t="inlineStr">
        <is>
          <t>IF(OR(F420="",AQ420=""),"",IF(COUNT(AI420:AP420)=0,"",AQ420-LOOKUP(2,1/(AI420:AP420&lt;&gt;""),AI420:AP420)))</t>
        </is>
      </c>
      <c r="BE420" s="49" t="inlineStr">
        <is>
          <t>IF(OR(F420="",AR420=""),"",IF(COUNT(AI420:AQ420)=0,"",AR420-LOOKUP(2,1/(AI420:AQ420&lt;&gt;""),AI420:AQ420)))</t>
        </is>
      </c>
      <c r="BF420" s="49" t="inlineStr">
        <is>
          <t>IF(OR(F420="",AS420=""),"",IF(COUNT(AI420:AR420)=0,"",AS420-LOOKUP(2,1/(AI420:AR420&lt;&gt;""),AI420:AR420)))</t>
        </is>
      </c>
      <c r="BG420" s="49" t="inlineStr">
        <is>
          <t>IF(OR(F420="",AT420=""),"",IF(COUNT(AI420:AS420)=0,"",AT420-LOOKUP(2,1/(AI420:AS420&lt;&gt;""),AI420:AS420)))</t>
        </is>
      </c>
      <c r="BH420" s="49" t="inlineStr">
        <is>
          <t>IF(OR(F420="",AU420=""),"",IF(COUNT(AI420:AT420)=0,"",AU420-LOOKUP(2,1/(AI420:AT420&lt;&gt;""),AI420:AT420)))</t>
        </is>
      </c>
      <c r="BI420" s="49" t="inlineStr">
        <is>
          <t>IF(OR(F420="",AV420=""),"",IF(COUNT(AI420:AU420)=0,"",AV420-LOOKUP(2,1/(AI420:AU420&lt;&gt;""),AI420:AU420)))</t>
        </is>
      </c>
      <c r="BJ420" s="51" t="inlineStr">
        <is>
          <t>IF(J420="","All_Provinces",IFERROR(VLOOKUP(J420,'09_Lookups'!$A$4:$B$20,2,FALSE),"All_Provinces"))</t>
        </is>
      </c>
      <c r="BK420" s="51" t="inlineStr">
        <is>
          <t>IF(K420="","All_Districts",IFERROR(VLOOKUP(K420,'09_Lookups'!$E$4:$F$42,2,FALSE),"All_Districts"))</t>
        </is>
      </c>
    </row>
    <row r="421" ht="18" customHeight="1">
      <c r="A421" s="42" t="inlineStr">
        <is>
          <t>IF(F421="","",ROW()-3)</t>
        </is>
      </c>
      <c r="B421" s="44" t="n"/>
      <c r="C421" s="44" t="n"/>
      <c r="D421" s="44" t="n"/>
      <c r="E421" s="44" t="n"/>
      <c r="F421" s="44" t="n"/>
      <c r="G421" s="44" t="n"/>
      <c r="H421" s="44" t="n"/>
      <c r="I421" s="44" t="n"/>
      <c r="J421" s="44" t="n"/>
      <c r="K421" s="44" t="n"/>
      <c r="L421" s="44" t="n"/>
      <c r="M421" s="44" t="n"/>
      <c r="N421" s="44" t="n"/>
      <c r="O421" s="44" t="n"/>
      <c r="P421" s="44" t="n"/>
      <c r="Q421" s="44" t="n"/>
      <c r="R421" s="44" t="n"/>
      <c r="S421" s="45" t="n"/>
      <c r="T421" s="46" t="inlineStr">
        <is>
          <t>IF(AQ421="","",AQ421)</t>
        </is>
      </c>
      <c r="U421" s="47" t="n"/>
      <c r="V421" s="48" t="n"/>
      <c r="W421" s="47" t="n"/>
      <c r="X421" s="46" t="inlineStr">
        <is>
          <t>IF(W421&lt;&gt;"",W421,IF(OR(T421="",V421=""),"",EDATE(T421,V421)))</t>
        </is>
      </c>
      <c r="Y421" s="47" t="n"/>
      <c r="Z421" s="48" t="n"/>
      <c r="AA421" s="44" t="n"/>
      <c r="AB421" s="44" t="n"/>
      <c r="AC421" s="42" t="inlineStr">
        <is>
          <t>IF(F421="","",IF(COUNT(AI421:AV421)=0,IF(AA421="","Not started",AA421),SUBSTITUTE(LOOKUP(2,1/(AI421:AV421&lt;&gt;""),$AI$3:$AV$3),"Date: ","")))</t>
        </is>
      </c>
      <c r="AD421" s="49" t="inlineStr">
        <is>
          <t>IF(OR(F421="",COUNT(AI421:AV421)=0),"",TODAY()-LOOKUP(2,1/(AI421:AV421&lt;&gt;""),AI421:AV421))</t>
        </is>
      </c>
      <c r="AE421" s="49" t="inlineStr">
        <is>
          <t>IF(OR(F421="",COUNT(AI421:AV421)&lt;2),"",LOOKUP(2,1/(AI421:AV421&lt;&gt;""),AI421:AV421)-MIN(AI421:AV421))</t>
        </is>
      </c>
      <c r="AF421" s="49" t="inlineStr">
        <is>
          <t>IF(OR(AD421="",AC421="Not started",AC421=""),"",IFERROR(AD421-IF(VLOOKUP(AC421,'06_Status_Pipeline'!$B$3:$E$20,4,FALSE)="",0,VLOOKUP(AC421,'06_Status_Pipeline'!$B$3:$E$20,4,FALSE)),""))</t>
        </is>
      </c>
      <c r="AG421" s="42" t="inlineStr">
        <is>
          <t>IF(F421="","",IF(OR(AA421="Cancelled",AC421="Cancelled"),"Cancelled",IF(OR(AC421="Completed / Handover",Y421&lt;&gt;"",Z421&gt;=100),"Completed — on track",IF(O421="Not awarded",IF(U421="",IF(X421="","No planned date",IF(TODAY()&gt;X421,"Behind — past planned date",IF(X421-TODAY()&lt;=30,"At risk — close to off track","On track"))),IF(TODAY()&gt;U421,"Behind — award date passed",IF(U421-TODAY()&lt;=30,"At risk — close to off track","On track"))),IF(X421="","No planned date",IF(AND(TODAY()&gt;X421,OR(Z421="",Z421&lt;100)),"Behind — past end date",IF(AND(T421&lt;&gt;"",X421&lt;&gt;"",Z421&lt;&gt;"",(Z421&lt;100),((TODAY()-T421)/MAX(X421-T421,1)*100)-Z421&gt;15),"Behind — progress lag",IF(AND(X421-TODAY()&lt;=30,X421-TODAY()&gt;=0,OR(Z421="",Z421&lt;90)),"At risk — close to off track","On track"))))))))</t>
        </is>
      </c>
      <c r="AH421" s="49" t="inlineStr">
        <is>
          <t>IF(OR(F421="",AC421="Completed / Handover",AC421="Cancelled"),"",IF(O421="Not awarded",IF(U421&lt;&gt;"",U421-TODAY(),IF(X421="","",X421-TODAY())),IF(X421="","",X421-TODAY())))</t>
        </is>
      </c>
      <c r="AI421" s="47" t="n"/>
      <c r="AJ421" s="47" t="n"/>
      <c r="AK421" s="47" t="n"/>
      <c r="AL421" s="47" t="n"/>
      <c r="AM421" s="47" t="n"/>
      <c r="AN421" s="47" t="n"/>
      <c r="AO421" s="47" t="n"/>
      <c r="AP421" s="47" t="n"/>
      <c r="AQ421" s="47" t="n"/>
      <c r="AR421" s="47" t="n"/>
      <c r="AS421" s="47" t="n"/>
      <c r="AT421" s="50" t="n"/>
      <c r="AU421" s="50" t="n"/>
      <c r="AV421" s="50" t="n"/>
      <c r="AW421" s="49" t="inlineStr">
        <is>
          <t>IF(OR(F421="",AJ421=""),"",IF(COUNT(AI421:AI421)=0,"",AJ421-LOOKUP(2,1/(AI421:AI421&lt;&gt;""),AI421:AI421)))</t>
        </is>
      </c>
      <c r="AX421" s="49" t="inlineStr">
        <is>
          <t>IF(OR(F421="",AK421=""),"",IF(COUNT(AI421:AJ421)=0,"",AK421-LOOKUP(2,1/(AI421:AJ421&lt;&gt;""),AI421:AJ421)))</t>
        </is>
      </c>
      <c r="AY421" s="49" t="inlineStr">
        <is>
          <t>IF(OR(F421="",AL421=""),"",IF(COUNT(AI421:AK421)=0,"",AL421-LOOKUP(2,1/(AI421:AK421&lt;&gt;""),AI421:AK421)))</t>
        </is>
      </c>
      <c r="AZ421" s="49" t="inlineStr">
        <is>
          <t>IF(OR(F421="",AM421=""),"",IF(COUNT(AI421:AL421)=0,"",AM421-LOOKUP(2,1/(AI421:AL421&lt;&gt;""),AI421:AL421)))</t>
        </is>
      </c>
      <c r="BA421" s="49" t="inlineStr">
        <is>
          <t>IF(OR(F421="",AN421=""),"",IF(COUNT(AI421:AM421)=0,"",AN421-LOOKUP(2,1/(AI421:AM421&lt;&gt;""),AI421:AM421)))</t>
        </is>
      </c>
      <c r="BB421" s="49" t="inlineStr">
        <is>
          <t>IF(OR(F421="",AO421=""),"",IF(COUNT(AI421:AN421)=0,"",AO421-LOOKUP(2,1/(AI421:AN421&lt;&gt;""),AI421:AN421)))</t>
        </is>
      </c>
      <c r="BC421" s="49" t="inlineStr">
        <is>
          <t>IF(OR(F421="",AP421=""),"",IF(COUNT(AI421:AO421)=0,"",AP421-LOOKUP(2,1/(AI421:AO421&lt;&gt;""),AI421:AO421)))</t>
        </is>
      </c>
      <c r="BD421" s="49" t="inlineStr">
        <is>
          <t>IF(OR(F421="",AQ421=""),"",IF(COUNT(AI421:AP421)=0,"",AQ421-LOOKUP(2,1/(AI421:AP421&lt;&gt;""),AI421:AP421)))</t>
        </is>
      </c>
      <c r="BE421" s="49" t="inlineStr">
        <is>
          <t>IF(OR(F421="",AR421=""),"",IF(COUNT(AI421:AQ421)=0,"",AR421-LOOKUP(2,1/(AI421:AQ421&lt;&gt;""),AI421:AQ421)))</t>
        </is>
      </c>
      <c r="BF421" s="49" t="inlineStr">
        <is>
          <t>IF(OR(F421="",AS421=""),"",IF(COUNT(AI421:AR421)=0,"",AS421-LOOKUP(2,1/(AI421:AR421&lt;&gt;""),AI421:AR421)))</t>
        </is>
      </c>
      <c r="BG421" s="49" t="inlineStr">
        <is>
          <t>IF(OR(F421="",AT421=""),"",IF(COUNT(AI421:AS421)=0,"",AT421-LOOKUP(2,1/(AI421:AS421&lt;&gt;""),AI421:AS421)))</t>
        </is>
      </c>
      <c r="BH421" s="49" t="inlineStr">
        <is>
          <t>IF(OR(F421="",AU421=""),"",IF(COUNT(AI421:AT421)=0,"",AU421-LOOKUP(2,1/(AI421:AT421&lt;&gt;""),AI421:AT421)))</t>
        </is>
      </c>
      <c r="BI421" s="49" t="inlineStr">
        <is>
          <t>IF(OR(F421="",AV421=""),"",IF(COUNT(AI421:AU421)=0,"",AV421-LOOKUP(2,1/(AI421:AU421&lt;&gt;""),AI421:AU421)))</t>
        </is>
      </c>
      <c r="BJ421" s="51" t="inlineStr">
        <is>
          <t>IF(J421="","All_Provinces",IFERROR(VLOOKUP(J421,'09_Lookups'!$A$4:$B$20,2,FALSE),"All_Provinces"))</t>
        </is>
      </c>
      <c r="BK421" s="51" t="inlineStr">
        <is>
          <t>IF(K421="","All_Districts",IFERROR(VLOOKUP(K421,'09_Lookups'!$E$4:$F$42,2,FALSE),"All_Districts"))</t>
        </is>
      </c>
    </row>
    <row r="422" ht="18" customHeight="1">
      <c r="A422" s="42" t="inlineStr">
        <is>
          <t>IF(F422="","",ROW()-3)</t>
        </is>
      </c>
      <c r="B422" s="52" t="n"/>
      <c r="C422" s="52" t="n"/>
      <c r="D422" s="52" t="n"/>
      <c r="E422" s="52" t="n"/>
      <c r="F422" s="52" t="n"/>
      <c r="G422" s="52" t="n"/>
      <c r="H422" s="52" t="n"/>
      <c r="I422" s="52" t="n"/>
      <c r="J422" s="52" t="n"/>
      <c r="K422" s="52" t="n"/>
      <c r="L422" s="52" t="n"/>
      <c r="M422" s="52" t="n"/>
      <c r="N422" s="52" t="n"/>
      <c r="O422" s="52" t="n"/>
      <c r="P422" s="52" t="n"/>
      <c r="Q422" s="52" t="n"/>
      <c r="R422" s="52" t="n"/>
      <c r="S422" s="53" t="n"/>
      <c r="T422" s="46" t="inlineStr">
        <is>
          <t>IF(AQ422="","",AQ422)</t>
        </is>
      </c>
      <c r="U422" s="54" t="n"/>
      <c r="V422" s="55" t="n"/>
      <c r="W422" s="54" t="n"/>
      <c r="X422" s="46" t="inlineStr">
        <is>
          <t>IF(W422&lt;&gt;"",W422,IF(OR(T422="",V422=""),"",EDATE(T422,V422)))</t>
        </is>
      </c>
      <c r="Y422" s="54" t="n"/>
      <c r="Z422" s="55" t="n"/>
      <c r="AA422" s="52" t="n"/>
      <c r="AB422" s="52" t="n"/>
      <c r="AC422" s="42" t="inlineStr">
        <is>
          <t>IF(F422="","",IF(COUNT(AI422:AV422)=0,IF(AA422="","Not started",AA422),SUBSTITUTE(LOOKUP(2,1/(AI422:AV422&lt;&gt;""),$AI$3:$AV$3),"Date: ","")))</t>
        </is>
      </c>
      <c r="AD422" s="49" t="inlineStr">
        <is>
          <t>IF(OR(F422="",COUNT(AI422:AV422)=0),"",TODAY()-LOOKUP(2,1/(AI422:AV422&lt;&gt;""),AI422:AV422))</t>
        </is>
      </c>
      <c r="AE422" s="49" t="inlineStr">
        <is>
          <t>IF(OR(F422="",COUNT(AI422:AV422)&lt;2),"",LOOKUP(2,1/(AI422:AV422&lt;&gt;""),AI422:AV422)-MIN(AI422:AV422))</t>
        </is>
      </c>
      <c r="AF422" s="49" t="inlineStr">
        <is>
          <t>IF(OR(AD422="",AC422="Not started",AC422=""),"",IFERROR(AD422-IF(VLOOKUP(AC422,'06_Status_Pipeline'!$B$3:$E$20,4,FALSE)="",0,VLOOKUP(AC422,'06_Status_Pipeline'!$B$3:$E$20,4,FALSE)),""))</t>
        </is>
      </c>
      <c r="AG422" s="42" t="inlineStr">
        <is>
          <t>IF(F422="","",IF(OR(AA422="Cancelled",AC422="Cancelled"),"Cancelled",IF(OR(AC422="Completed / Handover",Y422&lt;&gt;"",Z422&gt;=100),"Completed — on track",IF(O422="Not awarded",IF(U422="",IF(X422="","No planned date",IF(TODAY()&gt;X422,"Behind — past planned date",IF(X422-TODAY()&lt;=30,"At risk — close to off track","On track"))),IF(TODAY()&gt;U422,"Behind — award date passed",IF(U422-TODAY()&lt;=30,"At risk — close to off track","On track"))),IF(X422="","No planned date",IF(AND(TODAY()&gt;X422,OR(Z422="",Z422&lt;100)),"Behind — past end date",IF(AND(T422&lt;&gt;"",X422&lt;&gt;"",Z422&lt;&gt;"",(Z422&lt;100),((TODAY()-T422)/MAX(X422-T422,1)*100)-Z422&gt;15),"Behind — progress lag",IF(AND(X422-TODAY()&lt;=30,X422-TODAY()&gt;=0,OR(Z422="",Z422&lt;90)),"At risk — close to off track","On track"))))))))</t>
        </is>
      </c>
      <c r="AH422" s="49" t="inlineStr">
        <is>
          <t>IF(OR(F422="",AC422="Completed / Handover",AC422="Cancelled"),"",IF(O422="Not awarded",IF(U422&lt;&gt;"",U422-TODAY(),IF(X422="","",X422-TODAY())),IF(X422="","",X422-TODAY())))</t>
        </is>
      </c>
      <c r="AI422" s="54" t="n"/>
      <c r="AJ422" s="54" t="n"/>
      <c r="AK422" s="54" t="n"/>
      <c r="AL422" s="54" t="n"/>
      <c r="AM422" s="54" t="n"/>
      <c r="AN422" s="54" t="n"/>
      <c r="AO422" s="54" t="n"/>
      <c r="AP422" s="54" t="n"/>
      <c r="AQ422" s="54" t="n"/>
      <c r="AR422" s="54" t="n"/>
      <c r="AS422" s="54" t="n"/>
      <c r="AT422" s="50" t="n"/>
      <c r="AU422" s="50" t="n"/>
      <c r="AV422" s="50" t="n"/>
      <c r="AW422" s="49" t="inlineStr">
        <is>
          <t>IF(OR(F422="",AJ422=""),"",IF(COUNT(AI422:AI422)=0,"",AJ422-LOOKUP(2,1/(AI422:AI422&lt;&gt;""),AI422:AI422)))</t>
        </is>
      </c>
      <c r="AX422" s="49" t="inlineStr">
        <is>
          <t>IF(OR(F422="",AK422=""),"",IF(COUNT(AI422:AJ422)=0,"",AK422-LOOKUP(2,1/(AI422:AJ422&lt;&gt;""),AI422:AJ422)))</t>
        </is>
      </c>
      <c r="AY422" s="49" t="inlineStr">
        <is>
          <t>IF(OR(F422="",AL422=""),"",IF(COUNT(AI422:AK422)=0,"",AL422-LOOKUP(2,1/(AI422:AK422&lt;&gt;""),AI422:AK422)))</t>
        </is>
      </c>
      <c r="AZ422" s="49" t="inlineStr">
        <is>
          <t>IF(OR(F422="",AM422=""),"",IF(COUNT(AI422:AL422)=0,"",AM422-LOOKUP(2,1/(AI422:AL422&lt;&gt;""),AI422:AL422)))</t>
        </is>
      </c>
      <c r="BA422" s="49" t="inlineStr">
        <is>
          <t>IF(OR(F422="",AN422=""),"",IF(COUNT(AI422:AM422)=0,"",AN422-LOOKUP(2,1/(AI422:AM422&lt;&gt;""),AI422:AM422)))</t>
        </is>
      </c>
      <c r="BB422" s="49" t="inlineStr">
        <is>
          <t>IF(OR(F422="",AO422=""),"",IF(COUNT(AI422:AN422)=0,"",AO422-LOOKUP(2,1/(AI422:AN422&lt;&gt;""),AI422:AN422)))</t>
        </is>
      </c>
      <c r="BC422" s="49" t="inlineStr">
        <is>
          <t>IF(OR(F422="",AP422=""),"",IF(COUNT(AI422:AO422)=0,"",AP422-LOOKUP(2,1/(AI422:AO422&lt;&gt;""),AI422:AO422)))</t>
        </is>
      </c>
      <c r="BD422" s="49" t="inlineStr">
        <is>
          <t>IF(OR(F422="",AQ422=""),"",IF(COUNT(AI422:AP422)=0,"",AQ422-LOOKUP(2,1/(AI422:AP422&lt;&gt;""),AI422:AP422)))</t>
        </is>
      </c>
      <c r="BE422" s="49" t="inlineStr">
        <is>
          <t>IF(OR(F422="",AR422=""),"",IF(COUNT(AI422:AQ422)=0,"",AR422-LOOKUP(2,1/(AI422:AQ422&lt;&gt;""),AI422:AQ422)))</t>
        </is>
      </c>
      <c r="BF422" s="49" t="inlineStr">
        <is>
          <t>IF(OR(F422="",AS422=""),"",IF(COUNT(AI422:AR422)=0,"",AS422-LOOKUP(2,1/(AI422:AR422&lt;&gt;""),AI422:AR422)))</t>
        </is>
      </c>
      <c r="BG422" s="49" t="inlineStr">
        <is>
          <t>IF(OR(F422="",AT422=""),"",IF(COUNT(AI422:AS422)=0,"",AT422-LOOKUP(2,1/(AI422:AS422&lt;&gt;""),AI422:AS422)))</t>
        </is>
      </c>
      <c r="BH422" s="49" t="inlineStr">
        <is>
          <t>IF(OR(F422="",AU422=""),"",IF(COUNT(AI422:AT422)=0,"",AU422-LOOKUP(2,1/(AI422:AT422&lt;&gt;""),AI422:AT422)))</t>
        </is>
      </c>
      <c r="BI422" s="49" t="inlineStr">
        <is>
          <t>IF(OR(F422="",AV422=""),"",IF(COUNT(AI422:AU422)=0,"",AV422-LOOKUP(2,1/(AI422:AU422&lt;&gt;""),AI422:AU422)))</t>
        </is>
      </c>
      <c r="BJ422" s="51" t="inlineStr">
        <is>
          <t>IF(J422="","All_Provinces",IFERROR(VLOOKUP(J422,'09_Lookups'!$A$4:$B$20,2,FALSE),"All_Provinces"))</t>
        </is>
      </c>
      <c r="BK422" s="51" t="inlineStr">
        <is>
          <t>IF(K422="","All_Districts",IFERROR(VLOOKUP(K422,'09_Lookups'!$E$4:$F$42,2,FALSE),"All_Districts"))</t>
        </is>
      </c>
    </row>
    <row r="423" ht="18" customHeight="1">
      <c r="A423" s="42" t="inlineStr">
        <is>
          <t>IF(F423="","",ROW()-3)</t>
        </is>
      </c>
      <c r="B423" s="44" t="n"/>
      <c r="C423" s="44" t="n"/>
      <c r="D423" s="44" t="n"/>
      <c r="E423" s="44" t="n"/>
      <c r="F423" s="44" t="n"/>
      <c r="G423" s="44" t="n"/>
      <c r="H423" s="44" t="n"/>
      <c r="I423" s="44" t="n"/>
      <c r="J423" s="44" t="n"/>
      <c r="K423" s="44" t="n"/>
      <c r="L423" s="44" t="n"/>
      <c r="M423" s="44" t="n"/>
      <c r="N423" s="44" t="n"/>
      <c r="O423" s="44" t="n"/>
      <c r="P423" s="44" t="n"/>
      <c r="Q423" s="44" t="n"/>
      <c r="R423" s="44" t="n"/>
      <c r="S423" s="45" t="n"/>
      <c r="T423" s="46" t="inlineStr">
        <is>
          <t>IF(AQ423="","",AQ423)</t>
        </is>
      </c>
      <c r="U423" s="47" t="n"/>
      <c r="V423" s="48" t="n"/>
      <c r="W423" s="47" t="n"/>
      <c r="X423" s="46" t="inlineStr">
        <is>
          <t>IF(W423&lt;&gt;"",W423,IF(OR(T423="",V423=""),"",EDATE(T423,V423)))</t>
        </is>
      </c>
      <c r="Y423" s="47" t="n"/>
      <c r="Z423" s="48" t="n"/>
      <c r="AA423" s="44" t="n"/>
      <c r="AB423" s="44" t="n"/>
      <c r="AC423" s="42" t="inlineStr">
        <is>
          <t>IF(F423="","",IF(COUNT(AI423:AV423)=0,IF(AA423="","Not started",AA423),SUBSTITUTE(LOOKUP(2,1/(AI423:AV423&lt;&gt;""),$AI$3:$AV$3),"Date: ","")))</t>
        </is>
      </c>
      <c r="AD423" s="49" t="inlineStr">
        <is>
          <t>IF(OR(F423="",COUNT(AI423:AV423)=0),"",TODAY()-LOOKUP(2,1/(AI423:AV423&lt;&gt;""),AI423:AV423))</t>
        </is>
      </c>
      <c r="AE423" s="49" t="inlineStr">
        <is>
          <t>IF(OR(F423="",COUNT(AI423:AV423)&lt;2),"",LOOKUP(2,1/(AI423:AV423&lt;&gt;""),AI423:AV423)-MIN(AI423:AV423))</t>
        </is>
      </c>
      <c r="AF423" s="49" t="inlineStr">
        <is>
          <t>IF(OR(AD423="",AC423="Not started",AC423=""),"",IFERROR(AD423-IF(VLOOKUP(AC423,'06_Status_Pipeline'!$B$3:$E$20,4,FALSE)="",0,VLOOKUP(AC423,'06_Status_Pipeline'!$B$3:$E$20,4,FALSE)),""))</t>
        </is>
      </c>
      <c r="AG423" s="42" t="inlineStr">
        <is>
          <t>IF(F423="","",IF(OR(AA423="Cancelled",AC423="Cancelled"),"Cancelled",IF(OR(AC423="Completed / Handover",Y423&lt;&gt;"",Z423&gt;=100),"Completed — on track",IF(O423="Not awarded",IF(U423="",IF(X423="","No planned date",IF(TODAY()&gt;X423,"Behind — past planned date",IF(X423-TODAY()&lt;=30,"At risk — close to off track","On track"))),IF(TODAY()&gt;U423,"Behind — award date passed",IF(U423-TODAY()&lt;=30,"At risk — close to off track","On track"))),IF(X423="","No planned date",IF(AND(TODAY()&gt;X423,OR(Z423="",Z423&lt;100)),"Behind — past end date",IF(AND(T423&lt;&gt;"",X423&lt;&gt;"",Z423&lt;&gt;"",(Z423&lt;100),((TODAY()-T423)/MAX(X423-T423,1)*100)-Z423&gt;15),"Behind — progress lag",IF(AND(X423-TODAY()&lt;=30,X423-TODAY()&gt;=0,OR(Z423="",Z423&lt;90)),"At risk — close to off track","On track"))))))))</t>
        </is>
      </c>
      <c r="AH423" s="49" t="inlineStr">
        <is>
          <t>IF(OR(F423="",AC423="Completed / Handover",AC423="Cancelled"),"",IF(O423="Not awarded",IF(U423&lt;&gt;"",U423-TODAY(),IF(X423="","",X423-TODAY())),IF(X423="","",X423-TODAY())))</t>
        </is>
      </c>
      <c r="AI423" s="47" t="n"/>
      <c r="AJ423" s="47" t="n"/>
      <c r="AK423" s="47" t="n"/>
      <c r="AL423" s="47" t="n"/>
      <c r="AM423" s="47" t="n"/>
      <c r="AN423" s="47" t="n"/>
      <c r="AO423" s="47" t="n"/>
      <c r="AP423" s="47" t="n"/>
      <c r="AQ423" s="47" t="n"/>
      <c r="AR423" s="47" t="n"/>
      <c r="AS423" s="47" t="n"/>
      <c r="AT423" s="50" t="n"/>
      <c r="AU423" s="50" t="n"/>
      <c r="AV423" s="50" t="n"/>
      <c r="AW423" s="49" t="inlineStr">
        <is>
          <t>IF(OR(F423="",AJ423=""),"",IF(COUNT(AI423:AI423)=0,"",AJ423-LOOKUP(2,1/(AI423:AI423&lt;&gt;""),AI423:AI423)))</t>
        </is>
      </c>
      <c r="AX423" s="49" t="inlineStr">
        <is>
          <t>IF(OR(F423="",AK423=""),"",IF(COUNT(AI423:AJ423)=0,"",AK423-LOOKUP(2,1/(AI423:AJ423&lt;&gt;""),AI423:AJ423)))</t>
        </is>
      </c>
      <c r="AY423" s="49" t="inlineStr">
        <is>
          <t>IF(OR(F423="",AL423=""),"",IF(COUNT(AI423:AK423)=0,"",AL423-LOOKUP(2,1/(AI423:AK423&lt;&gt;""),AI423:AK423)))</t>
        </is>
      </c>
      <c r="AZ423" s="49" t="inlineStr">
        <is>
          <t>IF(OR(F423="",AM423=""),"",IF(COUNT(AI423:AL423)=0,"",AM423-LOOKUP(2,1/(AI423:AL423&lt;&gt;""),AI423:AL423)))</t>
        </is>
      </c>
      <c r="BA423" s="49" t="inlineStr">
        <is>
          <t>IF(OR(F423="",AN423=""),"",IF(COUNT(AI423:AM423)=0,"",AN423-LOOKUP(2,1/(AI423:AM423&lt;&gt;""),AI423:AM423)))</t>
        </is>
      </c>
      <c r="BB423" s="49" t="inlineStr">
        <is>
          <t>IF(OR(F423="",AO423=""),"",IF(COUNT(AI423:AN423)=0,"",AO423-LOOKUP(2,1/(AI423:AN423&lt;&gt;""),AI423:AN423)))</t>
        </is>
      </c>
      <c r="BC423" s="49" t="inlineStr">
        <is>
          <t>IF(OR(F423="",AP423=""),"",IF(COUNT(AI423:AO423)=0,"",AP423-LOOKUP(2,1/(AI423:AO423&lt;&gt;""),AI423:AO423)))</t>
        </is>
      </c>
      <c r="BD423" s="49" t="inlineStr">
        <is>
          <t>IF(OR(F423="",AQ423=""),"",IF(COUNT(AI423:AP423)=0,"",AQ423-LOOKUP(2,1/(AI423:AP423&lt;&gt;""),AI423:AP423)))</t>
        </is>
      </c>
      <c r="BE423" s="49" t="inlineStr">
        <is>
          <t>IF(OR(F423="",AR423=""),"",IF(COUNT(AI423:AQ423)=0,"",AR423-LOOKUP(2,1/(AI423:AQ423&lt;&gt;""),AI423:AQ423)))</t>
        </is>
      </c>
      <c r="BF423" s="49" t="inlineStr">
        <is>
          <t>IF(OR(F423="",AS423=""),"",IF(COUNT(AI423:AR423)=0,"",AS423-LOOKUP(2,1/(AI423:AR423&lt;&gt;""),AI423:AR423)))</t>
        </is>
      </c>
      <c r="BG423" s="49" t="inlineStr">
        <is>
          <t>IF(OR(F423="",AT423=""),"",IF(COUNT(AI423:AS423)=0,"",AT423-LOOKUP(2,1/(AI423:AS423&lt;&gt;""),AI423:AS423)))</t>
        </is>
      </c>
      <c r="BH423" s="49" t="inlineStr">
        <is>
          <t>IF(OR(F423="",AU423=""),"",IF(COUNT(AI423:AT423)=0,"",AU423-LOOKUP(2,1/(AI423:AT423&lt;&gt;""),AI423:AT423)))</t>
        </is>
      </c>
      <c r="BI423" s="49" t="inlineStr">
        <is>
          <t>IF(OR(F423="",AV423=""),"",IF(COUNT(AI423:AU423)=0,"",AV423-LOOKUP(2,1/(AI423:AU423&lt;&gt;""),AI423:AU423)))</t>
        </is>
      </c>
      <c r="BJ423" s="51" t="inlineStr">
        <is>
          <t>IF(J423="","All_Provinces",IFERROR(VLOOKUP(J423,'09_Lookups'!$A$4:$B$20,2,FALSE),"All_Provinces"))</t>
        </is>
      </c>
      <c r="BK423" s="51" t="inlineStr">
        <is>
          <t>IF(K423="","All_Districts",IFERROR(VLOOKUP(K423,'09_Lookups'!$E$4:$F$42,2,FALSE),"All_Districts"))</t>
        </is>
      </c>
    </row>
    <row r="424" ht="18" customHeight="1">
      <c r="A424" s="42" t="inlineStr">
        <is>
          <t>IF(F424="","",ROW()-3)</t>
        </is>
      </c>
      <c r="B424" s="52" t="n"/>
      <c r="C424" s="52" t="n"/>
      <c r="D424" s="52" t="n"/>
      <c r="E424" s="52" t="n"/>
      <c r="F424" s="52" t="n"/>
      <c r="G424" s="52" t="n"/>
      <c r="H424" s="52" t="n"/>
      <c r="I424" s="52" t="n"/>
      <c r="J424" s="52" t="n"/>
      <c r="K424" s="52" t="n"/>
      <c r="L424" s="52" t="n"/>
      <c r="M424" s="52" t="n"/>
      <c r="N424" s="52" t="n"/>
      <c r="O424" s="52" t="n"/>
      <c r="P424" s="52" t="n"/>
      <c r="Q424" s="52" t="n"/>
      <c r="R424" s="52" t="n"/>
      <c r="S424" s="53" t="n"/>
      <c r="T424" s="46" t="inlineStr">
        <is>
          <t>IF(AQ424="","",AQ424)</t>
        </is>
      </c>
      <c r="U424" s="54" t="n"/>
      <c r="V424" s="55" t="n"/>
      <c r="W424" s="54" t="n"/>
      <c r="X424" s="46" t="inlineStr">
        <is>
          <t>IF(W424&lt;&gt;"",W424,IF(OR(T424="",V424=""),"",EDATE(T424,V424)))</t>
        </is>
      </c>
      <c r="Y424" s="54" t="n"/>
      <c r="Z424" s="55" t="n"/>
      <c r="AA424" s="52" t="n"/>
      <c r="AB424" s="52" t="n"/>
      <c r="AC424" s="42" t="inlineStr">
        <is>
          <t>IF(F424="","",IF(COUNT(AI424:AV424)=0,IF(AA424="","Not started",AA424),SUBSTITUTE(LOOKUP(2,1/(AI424:AV424&lt;&gt;""),$AI$3:$AV$3),"Date: ","")))</t>
        </is>
      </c>
      <c r="AD424" s="49" t="inlineStr">
        <is>
          <t>IF(OR(F424="",COUNT(AI424:AV424)=0),"",TODAY()-LOOKUP(2,1/(AI424:AV424&lt;&gt;""),AI424:AV424))</t>
        </is>
      </c>
      <c r="AE424" s="49" t="inlineStr">
        <is>
          <t>IF(OR(F424="",COUNT(AI424:AV424)&lt;2),"",LOOKUP(2,1/(AI424:AV424&lt;&gt;""),AI424:AV424)-MIN(AI424:AV424))</t>
        </is>
      </c>
      <c r="AF424" s="49" t="inlineStr">
        <is>
          <t>IF(OR(AD424="",AC424="Not started",AC424=""),"",IFERROR(AD424-IF(VLOOKUP(AC424,'06_Status_Pipeline'!$B$3:$E$20,4,FALSE)="",0,VLOOKUP(AC424,'06_Status_Pipeline'!$B$3:$E$20,4,FALSE)),""))</t>
        </is>
      </c>
      <c r="AG424" s="42" t="inlineStr">
        <is>
          <t>IF(F424="","",IF(OR(AA424="Cancelled",AC424="Cancelled"),"Cancelled",IF(OR(AC424="Completed / Handover",Y424&lt;&gt;"",Z424&gt;=100),"Completed — on track",IF(O424="Not awarded",IF(U424="",IF(X424="","No planned date",IF(TODAY()&gt;X424,"Behind — past planned date",IF(X424-TODAY()&lt;=30,"At risk — close to off track","On track"))),IF(TODAY()&gt;U424,"Behind — award date passed",IF(U424-TODAY()&lt;=30,"At risk — close to off track","On track"))),IF(X424="","No planned date",IF(AND(TODAY()&gt;X424,OR(Z424="",Z424&lt;100)),"Behind — past end date",IF(AND(T424&lt;&gt;"",X424&lt;&gt;"",Z424&lt;&gt;"",(Z424&lt;100),((TODAY()-T424)/MAX(X424-T424,1)*100)-Z424&gt;15),"Behind — progress lag",IF(AND(X424-TODAY()&lt;=30,X424-TODAY()&gt;=0,OR(Z424="",Z424&lt;90)),"At risk — close to off track","On track"))))))))</t>
        </is>
      </c>
      <c r="AH424" s="49" t="inlineStr">
        <is>
          <t>IF(OR(F424="",AC424="Completed / Handover",AC424="Cancelled"),"",IF(O424="Not awarded",IF(U424&lt;&gt;"",U424-TODAY(),IF(X424="","",X424-TODAY())),IF(X424="","",X424-TODAY())))</t>
        </is>
      </c>
      <c r="AI424" s="54" t="n"/>
      <c r="AJ424" s="54" t="n"/>
      <c r="AK424" s="54" t="n"/>
      <c r="AL424" s="54" t="n"/>
      <c r="AM424" s="54" t="n"/>
      <c r="AN424" s="54" t="n"/>
      <c r="AO424" s="54" t="n"/>
      <c r="AP424" s="54" t="n"/>
      <c r="AQ424" s="54" t="n"/>
      <c r="AR424" s="54" t="n"/>
      <c r="AS424" s="54" t="n"/>
      <c r="AT424" s="50" t="n"/>
      <c r="AU424" s="50" t="n"/>
      <c r="AV424" s="50" t="n"/>
      <c r="AW424" s="49" t="inlineStr">
        <is>
          <t>IF(OR(F424="",AJ424=""),"",IF(COUNT(AI424:AI424)=0,"",AJ424-LOOKUP(2,1/(AI424:AI424&lt;&gt;""),AI424:AI424)))</t>
        </is>
      </c>
      <c r="AX424" s="49" t="inlineStr">
        <is>
          <t>IF(OR(F424="",AK424=""),"",IF(COUNT(AI424:AJ424)=0,"",AK424-LOOKUP(2,1/(AI424:AJ424&lt;&gt;""),AI424:AJ424)))</t>
        </is>
      </c>
      <c r="AY424" s="49" t="inlineStr">
        <is>
          <t>IF(OR(F424="",AL424=""),"",IF(COUNT(AI424:AK424)=0,"",AL424-LOOKUP(2,1/(AI424:AK424&lt;&gt;""),AI424:AK424)))</t>
        </is>
      </c>
      <c r="AZ424" s="49" t="inlineStr">
        <is>
          <t>IF(OR(F424="",AM424=""),"",IF(COUNT(AI424:AL424)=0,"",AM424-LOOKUP(2,1/(AI424:AL424&lt;&gt;""),AI424:AL424)))</t>
        </is>
      </c>
      <c r="BA424" s="49" t="inlineStr">
        <is>
          <t>IF(OR(F424="",AN424=""),"",IF(COUNT(AI424:AM424)=0,"",AN424-LOOKUP(2,1/(AI424:AM424&lt;&gt;""),AI424:AM424)))</t>
        </is>
      </c>
      <c r="BB424" s="49" t="inlineStr">
        <is>
          <t>IF(OR(F424="",AO424=""),"",IF(COUNT(AI424:AN424)=0,"",AO424-LOOKUP(2,1/(AI424:AN424&lt;&gt;""),AI424:AN424)))</t>
        </is>
      </c>
      <c r="BC424" s="49" t="inlineStr">
        <is>
          <t>IF(OR(F424="",AP424=""),"",IF(COUNT(AI424:AO424)=0,"",AP424-LOOKUP(2,1/(AI424:AO424&lt;&gt;""),AI424:AO424)))</t>
        </is>
      </c>
      <c r="BD424" s="49" t="inlineStr">
        <is>
          <t>IF(OR(F424="",AQ424=""),"",IF(COUNT(AI424:AP424)=0,"",AQ424-LOOKUP(2,1/(AI424:AP424&lt;&gt;""),AI424:AP424)))</t>
        </is>
      </c>
      <c r="BE424" s="49" t="inlineStr">
        <is>
          <t>IF(OR(F424="",AR424=""),"",IF(COUNT(AI424:AQ424)=0,"",AR424-LOOKUP(2,1/(AI424:AQ424&lt;&gt;""),AI424:AQ424)))</t>
        </is>
      </c>
      <c r="BF424" s="49" t="inlineStr">
        <is>
          <t>IF(OR(F424="",AS424=""),"",IF(COUNT(AI424:AR424)=0,"",AS424-LOOKUP(2,1/(AI424:AR424&lt;&gt;""),AI424:AR424)))</t>
        </is>
      </c>
      <c r="BG424" s="49" t="inlineStr">
        <is>
          <t>IF(OR(F424="",AT424=""),"",IF(COUNT(AI424:AS424)=0,"",AT424-LOOKUP(2,1/(AI424:AS424&lt;&gt;""),AI424:AS424)))</t>
        </is>
      </c>
      <c r="BH424" s="49" t="inlineStr">
        <is>
          <t>IF(OR(F424="",AU424=""),"",IF(COUNT(AI424:AT424)=0,"",AU424-LOOKUP(2,1/(AI424:AT424&lt;&gt;""),AI424:AT424)))</t>
        </is>
      </c>
      <c r="BI424" s="49" t="inlineStr">
        <is>
          <t>IF(OR(F424="",AV424=""),"",IF(COUNT(AI424:AU424)=0,"",AV424-LOOKUP(2,1/(AI424:AU424&lt;&gt;""),AI424:AU424)))</t>
        </is>
      </c>
      <c r="BJ424" s="51" t="inlineStr">
        <is>
          <t>IF(J424="","All_Provinces",IFERROR(VLOOKUP(J424,'09_Lookups'!$A$4:$B$20,2,FALSE),"All_Provinces"))</t>
        </is>
      </c>
      <c r="BK424" s="51" t="inlineStr">
        <is>
          <t>IF(K424="","All_Districts",IFERROR(VLOOKUP(K424,'09_Lookups'!$E$4:$F$42,2,FALSE),"All_Districts"))</t>
        </is>
      </c>
    </row>
    <row r="425" ht="18" customHeight="1">
      <c r="A425" s="42" t="inlineStr">
        <is>
          <t>IF(F425="","",ROW()-3)</t>
        </is>
      </c>
      <c r="B425" s="44" t="n"/>
      <c r="C425" s="44" t="n"/>
      <c r="D425" s="44" t="n"/>
      <c r="E425" s="44" t="n"/>
      <c r="F425" s="44" t="n"/>
      <c r="G425" s="44" t="n"/>
      <c r="H425" s="44" t="n"/>
      <c r="I425" s="44" t="n"/>
      <c r="J425" s="44" t="n"/>
      <c r="K425" s="44" t="n"/>
      <c r="L425" s="44" t="n"/>
      <c r="M425" s="44" t="n"/>
      <c r="N425" s="44" t="n"/>
      <c r="O425" s="44" t="n"/>
      <c r="P425" s="44" t="n"/>
      <c r="Q425" s="44" t="n"/>
      <c r="R425" s="44" t="n"/>
      <c r="S425" s="45" t="n"/>
      <c r="T425" s="46" t="inlineStr">
        <is>
          <t>IF(AQ425="","",AQ425)</t>
        </is>
      </c>
      <c r="U425" s="47" t="n"/>
      <c r="V425" s="48" t="n"/>
      <c r="W425" s="47" t="n"/>
      <c r="X425" s="46" t="inlineStr">
        <is>
          <t>IF(W425&lt;&gt;"",W425,IF(OR(T425="",V425=""),"",EDATE(T425,V425)))</t>
        </is>
      </c>
      <c r="Y425" s="47" t="n"/>
      <c r="Z425" s="48" t="n"/>
      <c r="AA425" s="44" t="n"/>
      <c r="AB425" s="44" t="n"/>
      <c r="AC425" s="42" t="inlineStr">
        <is>
          <t>IF(F425="","",IF(COUNT(AI425:AV425)=0,IF(AA425="","Not started",AA425),SUBSTITUTE(LOOKUP(2,1/(AI425:AV425&lt;&gt;""),$AI$3:$AV$3),"Date: ","")))</t>
        </is>
      </c>
      <c r="AD425" s="49" t="inlineStr">
        <is>
          <t>IF(OR(F425="",COUNT(AI425:AV425)=0),"",TODAY()-LOOKUP(2,1/(AI425:AV425&lt;&gt;""),AI425:AV425))</t>
        </is>
      </c>
      <c r="AE425" s="49" t="inlineStr">
        <is>
          <t>IF(OR(F425="",COUNT(AI425:AV425)&lt;2),"",LOOKUP(2,1/(AI425:AV425&lt;&gt;""),AI425:AV425)-MIN(AI425:AV425))</t>
        </is>
      </c>
      <c r="AF425" s="49" t="inlineStr">
        <is>
          <t>IF(OR(AD425="",AC425="Not started",AC425=""),"",IFERROR(AD425-IF(VLOOKUP(AC425,'06_Status_Pipeline'!$B$3:$E$20,4,FALSE)="",0,VLOOKUP(AC425,'06_Status_Pipeline'!$B$3:$E$20,4,FALSE)),""))</t>
        </is>
      </c>
      <c r="AG425" s="42" t="inlineStr">
        <is>
          <t>IF(F425="","",IF(OR(AA425="Cancelled",AC425="Cancelled"),"Cancelled",IF(OR(AC425="Completed / Handover",Y425&lt;&gt;"",Z425&gt;=100),"Completed — on track",IF(O425="Not awarded",IF(U425="",IF(X425="","No planned date",IF(TODAY()&gt;X425,"Behind — past planned date",IF(X425-TODAY()&lt;=30,"At risk — close to off track","On track"))),IF(TODAY()&gt;U425,"Behind — award date passed",IF(U425-TODAY()&lt;=30,"At risk — close to off track","On track"))),IF(X425="","No planned date",IF(AND(TODAY()&gt;X425,OR(Z425="",Z425&lt;100)),"Behind — past end date",IF(AND(T425&lt;&gt;"",X425&lt;&gt;"",Z425&lt;&gt;"",(Z425&lt;100),((TODAY()-T425)/MAX(X425-T425,1)*100)-Z425&gt;15),"Behind — progress lag",IF(AND(X425-TODAY()&lt;=30,X425-TODAY()&gt;=0,OR(Z425="",Z425&lt;90)),"At risk — close to off track","On track"))))))))</t>
        </is>
      </c>
      <c r="AH425" s="49" t="inlineStr">
        <is>
          <t>IF(OR(F425="",AC425="Completed / Handover",AC425="Cancelled"),"",IF(O425="Not awarded",IF(U425&lt;&gt;"",U425-TODAY(),IF(X425="","",X425-TODAY())),IF(X425="","",X425-TODAY())))</t>
        </is>
      </c>
      <c r="AI425" s="47" t="n"/>
      <c r="AJ425" s="47" t="n"/>
      <c r="AK425" s="47" t="n"/>
      <c r="AL425" s="47" t="n"/>
      <c r="AM425" s="47" t="n"/>
      <c r="AN425" s="47" t="n"/>
      <c r="AO425" s="47" t="n"/>
      <c r="AP425" s="47" t="n"/>
      <c r="AQ425" s="47" t="n"/>
      <c r="AR425" s="47" t="n"/>
      <c r="AS425" s="47" t="n"/>
      <c r="AT425" s="50" t="n"/>
      <c r="AU425" s="50" t="n"/>
      <c r="AV425" s="50" t="n"/>
      <c r="AW425" s="49" t="inlineStr">
        <is>
          <t>IF(OR(F425="",AJ425=""),"",IF(COUNT(AI425:AI425)=0,"",AJ425-LOOKUP(2,1/(AI425:AI425&lt;&gt;""),AI425:AI425)))</t>
        </is>
      </c>
      <c r="AX425" s="49" t="inlineStr">
        <is>
          <t>IF(OR(F425="",AK425=""),"",IF(COUNT(AI425:AJ425)=0,"",AK425-LOOKUP(2,1/(AI425:AJ425&lt;&gt;""),AI425:AJ425)))</t>
        </is>
      </c>
      <c r="AY425" s="49" t="inlineStr">
        <is>
          <t>IF(OR(F425="",AL425=""),"",IF(COUNT(AI425:AK425)=0,"",AL425-LOOKUP(2,1/(AI425:AK425&lt;&gt;""),AI425:AK425)))</t>
        </is>
      </c>
      <c r="AZ425" s="49" t="inlineStr">
        <is>
          <t>IF(OR(F425="",AM425=""),"",IF(COUNT(AI425:AL425)=0,"",AM425-LOOKUP(2,1/(AI425:AL425&lt;&gt;""),AI425:AL425)))</t>
        </is>
      </c>
      <c r="BA425" s="49" t="inlineStr">
        <is>
          <t>IF(OR(F425="",AN425=""),"",IF(COUNT(AI425:AM425)=0,"",AN425-LOOKUP(2,1/(AI425:AM425&lt;&gt;""),AI425:AM425)))</t>
        </is>
      </c>
      <c r="BB425" s="49" t="inlineStr">
        <is>
          <t>IF(OR(F425="",AO425=""),"",IF(COUNT(AI425:AN425)=0,"",AO425-LOOKUP(2,1/(AI425:AN425&lt;&gt;""),AI425:AN425)))</t>
        </is>
      </c>
      <c r="BC425" s="49" t="inlineStr">
        <is>
          <t>IF(OR(F425="",AP425=""),"",IF(COUNT(AI425:AO425)=0,"",AP425-LOOKUP(2,1/(AI425:AO425&lt;&gt;""),AI425:AO425)))</t>
        </is>
      </c>
      <c r="BD425" s="49" t="inlineStr">
        <is>
          <t>IF(OR(F425="",AQ425=""),"",IF(COUNT(AI425:AP425)=0,"",AQ425-LOOKUP(2,1/(AI425:AP425&lt;&gt;""),AI425:AP425)))</t>
        </is>
      </c>
      <c r="BE425" s="49" t="inlineStr">
        <is>
          <t>IF(OR(F425="",AR425=""),"",IF(COUNT(AI425:AQ425)=0,"",AR425-LOOKUP(2,1/(AI425:AQ425&lt;&gt;""),AI425:AQ425)))</t>
        </is>
      </c>
      <c r="BF425" s="49" t="inlineStr">
        <is>
          <t>IF(OR(F425="",AS425=""),"",IF(COUNT(AI425:AR425)=0,"",AS425-LOOKUP(2,1/(AI425:AR425&lt;&gt;""),AI425:AR425)))</t>
        </is>
      </c>
      <c r="BG425" s="49" t="inlineStr">
        <is>
          <t>IF(OR(F425="",AT425=""),"",IF(COUNT(AI425:AS425)=0,"",AT425-LOOKUP(2,1/(AI425:AS425&lt;&gt;""),AI425:AS425)))</t>
        </is>
      </c>
      <c r="BH425" s="49" t="inlineStr">
        <is>
          <t>IF(OR(F425="",AU425=""),"",IF(COUNT(AI425:AT425)=0,"",AU425-LOOKUP(2,1/(AI425:AT425&lt;&gt;""),AI425:AT425)))</t>
        </is>
      </c>
      <c r="BI425" s="49" t="inlineStr">
        <is>
          <t>IF(OR(F425="",AV425=""),"",IF(COUNT(AI425:AU425)=0,"",AV425-LOOKUP(2,1/(AI425:AU425&lt;&gt;""),AI425:AU425)))</t>
        </is>
      </c>
      <c r="BJ425" s="51" t="inlineStr">
        <is>
          <t>IF(J425="","All_Provinces",IFERROR(VLOOKUP(J425,'09_Lookups'!$A$4:$B$20,2,FALSE),"All_Provinces"))</t>
        </is>
      </c>
      <c r="BK425" s="51" t="inlineStr">
        <is>
          <t>IF(K425="","All_Districts",IFERROR(VLOOKUP(K425,'09_Lookups'!$E$4:$F$42,2,FALSE),"All_Districts"))</t>
        </is>
      </c>
    </row>
    <row r="426" ht="18" customHeight="1">
      <c r="A426" s="42" t="inlineStr">
        <is>
          <t>IF(F426="","",ROW()-3)</t>
        </is>
      </c>
      <c r="B426" s="52" t="n"/>
      <c r="C426" s="52" t="n"/>
      <c r="D426" s="52" t="n"/>
      <c r="E426" s="52" t="n"/>
      <c r="F426" s="52" t="n"/>
      <c r="G426" s="52" t="n"/>
      <c r="H426" s="52" t="n"/>
      <c r="I426" s="52" t="n"/>
      <c r="J426" s="52" t="n"/>
      <c r="K426" s="52" t="n"/>
      <c r="L426" s="52" t="n"/>
      <c r="M426" s="52" t="n"/>
      <c r="N426" s="52" t="n"/>
      <c r="O426" s="52" t="n"/>
      <c r="P426" s="52" t="n"/>
      <c r="Q426" s="52" t="n"/>
      <c r="R426" s="52" t="n"/>
      <c r="S426" s="53" t="n"/>
      <c r="T426" s="46" t="inlineStr">
        <is>
          <t>IF(AQ426="","",AQ426)</t>
        </is>
      </c>
      <c r="U426" s="54" t="n"/>
      <c r="V426" s="55" t="n"/>
      <c r="W426" s="54" t="n"/>
      <c r="X426" s="46" t="inlineStr">
        <is>
          <t>IF(W426&lt;&gt;"",W426,IF(OR(T426="",V426=""),"",EDATE(T426,V426)))</t>
        </is>
      </c>
      <c r="Y426" s="54" t="n"/>
      <c r="Z426" s="55" t="n"/>
      <c r="AA426" s="52" t="n"/>
      <c r="AB426" s="52" t="n"/>
      <c r="AC426" s="42" t="inlineStr">
        <is>
          <t>IF(F426="","",IF(COUNT(AI426:AV426)=0,IF(AA426="","Not started",AA426),SUBSTITUTE(LOOKUP(2,1/(AI426:AV426&lt;&gt;""),$AI$3:$AV$3),"Date: ","")))</t>
        </is>
      </c>
      <c r="AD426" s="49" t="inlineStr">
        <is>
          <t>IF(OR(F426="",COUNT(AI426:AV426)=0),"",TODAY()-LOOKUP(2,1/(AI426:AV426&lt;&gt;""),AI426:AV426))</t>
        </is>
      </c>
      <c r="AE426" s="49" t="inlineStr">
        <is>
          <t>IF(OR(F426="",COUNT(AI426:AV426)&lt;2),"",LOOKUP(2,1/(AI426:AV426&lt;&gt;""),AI426:AV426)-MIN(AI426:AV426))</t>
        </is>
      </c>
      <c r="AF426" s="49" t="inlineStr">
        <is>
          <t>IF(OR(AD426="",AC426="Not started",AC426=""),"",IFERROR(AD426-IF(VLOOKUP(AC426,'06_Status_Pipeline'!$B$3:$E$20,4,FALSE)="",0,VLOOKUP(AC426,'06_Status_Pipeline'!$B$3:$E$20,4,FALSE)),""))</t>
        </is>
      </c>
      <c r="AG426" s="42" t="inlineStr">
        <is>
          <t>IF(F426="","",IF(OR(AA426="Cancelled",AC426="Cancelled"),"Cancelled",IF(OR(AC426="Completed / Handover",Y426&lt;&gt;"",Z426&gt;=100),"Completed — on track",IF(O426="Not awarded",IF(U426="",IF(X426="","No planned date",IF(TODAY()&gt;X426,"Behind — past planned date",IF(X426-TODAY()&lt;=30,"At risk — close to off track","On track"))),IF(TODAY()&gt;U426,"Behind — award date passed",IF(U426-TODAY()&lt;=30,"At risk — close to off track","On track"))),IF(X426="","No planned date",IF(AND(TODAY()&gt;X426,OR(Z426="",Z426&lt;100)),"Behind — past end date",IF(AND(T426&lt;&gt;"",X426&lt;&gt;"",Z426&lt;&gt;"",(Z426&lt;100),((TODAY()-T426)/MAX(X426-T426,1)*100)-Z426&gt;15),"Behind — progress lag",IF(AND(X426-TODAY()&lt;=30,X426-TODAY()&gt;=0,OR(Z426="",Z426&lt;90)),"At risk — close to off track","On track"))))))))</t>
        </is>
      </c>
      <c r="AH426" s="49" t="inlineStr">
        <is>
          <t>IF(OR(F426="",AC426="Completed / Handover",AC426="Cancelled"),"",IF(O426="Not awarded",IF(U426&lt;&gt;"",U426-TODAY(),IF(X426="","",X426-TODAY())),IF(X426="","",X426-TODAY())))</t>
        </is>
      </c>
      <c r="AI426" s="54" t="n"/>
      <c r="AJ426" s="54" t="n"/>
      <c r="AK426" s="54" t="n"/>
      <c r="AL426" s="54" t="n"/>
      <c r="AM426" s="54" t="n"/>
      <c r="AN426" s="54" t="n"/>
      <c r="AO426" s="54" t="n"/>
      <c r="AP426" s="54" t="n"/>
      <c r="AQ426" s="54" t="n"/>
      <c r="AR426" s="54" t="n"/>
      <c r="AS426" s="54" t="n"/>
      <c r="AT426" s="50" t="n"/>
      <c r="AU426" s="50" t="n"/>
      <c r="AV426" s="50" t="n"/>
      <c r="AW426" s="49" t="inlineStr">
        <is>
          <t>IF(OR(F426="",AJ426=""),"",IF(COUNT(AI426:AI426)=0,"",AJ426-LOOKUP(2,1/(AI426:AI426&lt;&gt;""),AI426:AI426)))</t>
        </is>
      </c>
      <c r="AX426" s="49" t="inlineStr">
        <is>
          <t>IF(OR(F426="",AK426=""),"",IF(COUNT(AI426:AJ426)=0,"",AK426-LOOKUP(2,1/(AI426:AJ426&lt;&gt;""),AI426:AJ426)))</t>
        </is>
      </c>
      <c r="AY426" s="49" t="inlineStr">
        <is>
          <t>IF(OR(F426="",AL426=""),"",IF(COUNT(AI426:AK426)=0,"",AL426-LOOKUP(2,1/(AI426:AK426&lt;&gt;""),AI426:AK426)))</t>
        </is>
      </c>
      <c r="AZ426" s="49" t="inlineStr">
        <is>
          <t>IF(OR(F426="",AM426=""),"",IF(COUNT(AI426:AL426)=0,"",AM426-LOOKUP(2,1/(AI426:AL426&lt;&gt;""),AI426:AL426)))</t>
        </is>
      </c>
      <c r="BA426" s="49" t="inlineStr">
        <is>
          <t>IF(OR(F426="",AN426=""),"",IF(COUNT(AI426:AM426)=0,"",AN426-LOOKUP(2,1/(AI426:AM426&lt;&gt;""),AI426:AM426)))</t>
        </is>
      </c>
      <c r="BB426" s="49" t="inlineStr">
        <is>
          <t>IF(OR(F426="",AO426=""),"",IF(COUNT(AI426:AN426)=0,"",AO426-LOOKUP(2,1/(AI426:AN426&lt;&gt;""),AI426:AN426)))</t>
        </is>
      </c>
      <c r="BC426" s="49" t="inlineStr">
        <is>
          <t>IF(OR(F426="",AP426=""),"",IF(COUNT(AI426:AO426)=0,"",AP426-LOOKUP(2,1/(AI426:AO426&lt;&gt;""),AI426:AO426)))</t>
        </is>
      </c>
      <c r="BD426" s="49" t="inlineStr">
        <is>
          <t>IF(OR(F426="",AQ426=""),"",IF(COUNT(AI426:AP426)=0,"",AQ426-LOOKUP(2,1/(AI426:AP426&lt;&gt;""),AI426:AP426)))</t>
        </is>
      </c>
      <c r="BE426" s="49" t="inlineStr">
        <is>
          <t>IF(OR(F426="",AR426=""),"",IF(COUNT(AI426:AQ426)=0,"",AR426-LOOKUP(2,1/(AI426:AQ426&lt;&gt;""),AI426:AQ426)))</t>
        </is>
      </c>
      <c r="BF426" s="49" t="inlineStr">
        <is>
          <t>IF(OR(F426="",AS426=""),"",IF(COUNT(AI426:AR426)=0,"",AS426-LOOKUP(2,1/(AI426:AR426&lt;&gt;""),AI426:AR426)))</t>
        </is>
      </c>
      <c r="BG426" s="49" t="inlineStr">
        <is>
          <t>IF(OR(F426="",AT426=""),"",IF(COUNT(AI426:AS426)=0,"",AT426-LOOKUP(2,1/(AI426:AS426&lt;&gt;""),AI426:AS426)))</t>
        </is>
      </c>
      <c r="BH426" s="49" t="inlineStr">
        <is>
          <t>IF(OR(F426="",AU426=""),"",IF(COUNT(AI426:AT426)=0,"",AU426-LOOKUP(2,1/(AI426:AT426&lt;&gt;""),AI426:AT426)))</t>
        </is>
      </c>
      <c r="BI426" s="49" t="inlineStr">
        <is>
          <t>IF(OR(F426="",AV426=""),"",IF(COUNT(AI426:AU426)=0,"",AV426-LOOKUP(2,1/(AI426:AU426&lt;&gt;""),AI426:AU426)))</t>
        </is>
      </c>
      <c r="BJ426" s="51" t="inlineStr">
        <is>
          <t>IF(J426="","All_Provinces",IFERROR(VLOOKUP(J426,'09_Lookups'!$A$4:$B$20,2,FALSE),"All_Provinces"))</t>
        </is>
      </c>
      <c r="BK426" s="51" t="inlineStr">
        <is>
          <t>IF(K426="","All_Districts",IFERROR(VLOOKUP(K426,'09_Lookups'!$E$4:$F$42,2,FALSE),"All_Districts"))</t>
        </is>
      </c>
    </row>
    <row r="427" ht="18" customHeight="1">
      <c r="A427" s="42" t="inlineStr">
        <is>
          <t>IF(F427="","",ROW()-3)</t>
        </is>
      </c>
      <c r="B427" s="44" t="n"/>
      <c r="C427" s="44" t="n"/>
      <c r="D427" s="44" t="n"/>
      <c r="E427" s="44" t="n"/>
      <c r="F427" s="44" t="n"/>
      <c r="G427" s="44" t="n"/>
      <c r="H427" s="44" t="n"/>
      <c r="I427" s="44" t="n"/>
      <c r="J427" s="44" t="n"/>
      <c r="K427" s="44" t="n"/>
      <c r="L427" s="44" t="n"/>
      <c r="M427" s="44" t="n"/>
      <c r="N427" s="44" t="n"/>
      <c r="O427" s="44" t="n"/>
      <c r="P427" s="44" t="n"/>
      <c r="Q427" s="44" t="n"/>
      <c r="R427" s="44" t="n"/>
      <c r="S427" s="45" t="n"/>
      <c r="T427" s="46" t="inlineStr">
        <is>
          <t>IF(AQ427="","",AQ427)</t>
        </is>
      </c>
      <c r="U427" s="47" t="n"/>
      <c r="V427" s="48" t="n"/>
      <c r="W427" s="47" t="n"/>
      <c r="X427" s="46" t="inlineStr">
        <is>
          <t>IF(W427&lt;&gt;"",W427,IF(OR(T427="",V427=""),"",EDATE(T427,V427)))</t>
        </is>
      </c>
      <c r="Y427" s="47" t="n"/>
      <c r="Z427" s="48" t="n"/>
      <c r="AA427" s="44" t="n"/>
      <c r="AB427" s="44" t="n"/>
      <c r="AC427" s="42" t="inlineStr">
        <is>
          <t>IF(F427="","",IF(COUNT(AI427:AV427)=0,IF(AA427="","Not started",AA427),SUBSTITUTE(LOOKUP(2,1/(AI427:AV427&lt;&gt;""),$AI$3:$AV$3),"Date: ","")))</t>
        </is>
      </c>
      <c r="AD427" s="49" t="inlineStr">
        <is>
          <t>IF(OR(F427="",COUNT(AI427:AV427)=0),"",TODAY()-LOOKUP(2,1/(AI427:AV427&lt;&gt;""),AI427:AV427))</t>
        </is>
      </c>
      <c r="AE427" s="49" t="inlineStr">
        <is>
          <t>IF(OR(F427="",COUNT(AI427:AV427)&lt;2),"",LOOKUP(2,1/(AI427:AV427&lt;&gt;""),AI427:AV427)-MIN(AI427:AV427))</t>
        </is>
      </c>
      <c r="AF427" s="49" t="inlineStr">
        <is>
          <t>IF(OR(AD427="",AC427="Not started",AC427=""),"",IFERROR(AD427-IF(VLOOKUP(AC427,'06_Status_Pipeline'!$B$3:$E$20,4,FALSE)="",0,VLOOKUP(AC427,'06_Status_Pipeline'!$B$3:$E$20,4,FALSE)),""))</t>
        </is>
      </c>
      <c r="AG427" s="42" t="inlineStr">
        <is>
          <t>IF(F427="","",IF(OR(AA427="Cancelled",AC427="Cancelled"),"Cancelled",IF(OR(AC427="Completed / Handover",Y427&lt;&gt;"",Z427&gt;=100),"Completed — on track",IF(O427="Not awarded",IF(U427="",IF(X427="","No planned date",IF(TODAY()&gt;X427,"Behind — past planned date",IF(X427-TODAY()&lt;=30,"At risk — close to off track","On track"))),IF(TODAY()&gt;U427,"Behind — award date passed",IF(U427-TODAY()&lt;=30,"At risk — close to off track","On track"))),IF(X427="","No planned date",IF(AND(TODAY()&gt;X427,OR(Z427="",Z427&lt;100)),"Behind — past end date",IF(AND(T427&lt;&gt;"",X427&lt;&gt;"",Z427&lt;&gt;"",(Z427&lt;100),((TODAY()-T427)/MAX(X427-T427,1)*100)-Z427&gt;15),"Behind — progress lag",IF(AND(X427-TODAY()&lt;=30,X427-TODAY()&gt;=0,OR(Z427="",Z427&lt;90)),"At risk — close to off track","On track"))))))))</t>
        </is>
      </c>
      <c r="AH427" s="49" t="inlineStr">
        <is>
          <t>IF(OR(F427="",AC427="Completed / Handover",AC427="Cancelled"),"",IF(O427="Not awarded",IF(U427&lt;&gt;"",U427-TODAY(),IF(X427="","",X427-TODAY())),IF(X427="","",X427-TODAY())))</t>
        </is>
      </c>
      <c r="AI427" s="47" t="n"/>
      <c r="AJ427" s="47" t="n"/>
      <c r="AK427" s="47" t="n"/>
      <c r="AL427" s="47" t="n"/>
      <c r="AM427" s="47" t="n"/>
      <c r="AN427" s="47" t="n"/>
      <c r="AO427" s="47" t="n"/>
      <c r="AP427" s="47" t="n"/>
      <c r="AQ427" s="47" t="n"/>
      <c r="AR427" s="47" t="n"/>
      <c r="AS427" s="47" t="n"/>
      <c r="AT427" s="50" t="n"/>
      <c r="AU427" s="50" t="n"/>
      <c r="AV427" s="50" t="n"/>
      <c r="AW427" s="49" t="inlineStr">
        <is>
          <t>IF(OR(F427="",AJ427=""),"",IF(COUNT(AI427:AI427)=0,"",AJ427-LOOKUP(2,1/(AI427:AI427&lt;&gt;""),AI427:AI427)))</t>
        </is>
      </c>
      <c r="AX427" s="49" t="inlineStr">
        <is>
          <t>IF(OR(F427="",AK427=""),"",IF(COUNT(AI427:AJ427)=0,"",AK427-LOOKUP(2,1/(AI427:AJ427&lt;&gt;""),AI427:AJ427)))</t>
        </is>
      </c>
      <c r="AY427" s="49" t="inlineStr">
        <is>
          <t>IF(OR(F427="",AL427=""),"",IF(COUNT(AI427:AK427)=0,"",AL427-LOOKUP(2,1/(AI427:AK427&lt;&gt;""),AI427:AK427)))</t>
        </is>
      </c>
      <c r="AZ427" s="49" t="inlineStr">
        <is>
          <t>IF(OR(F427="",AM427=""),"",IF(COUNT(AI427:AL427)=0,"",AM427-LOOKUP(2,1/(AI427:AL427&lt;&gt;""),AI427:AL427)))</t>
        </is>
      </c>
      <c r="BA427" s="49" t="inlineStr">
        <is>
          <t>IF(OR(F427="",AN427=""),"",IF(COUNT(AI427:AM427)=0,"",AN427-LOOKUP(2,1/(AI427:AM427&lt;&gt;""),AI427:AM427)))</t>
        </is>
      </c>
      <c r="BB427" s="49" t="inlineStr">
        <is>
          <t>IF(OR(F427="",AO427=""),"",IF(COUNT(AI427:AN427)=0,"",AO427-LOOKUP(2,1/(AI427:AN427&lt;&gt;""),AI427:AN427)))</t>
        </is>
      </c>
      <c r="BC427" s="49" t="inlineStr">
        <is>
          <t>IF(OR(F427="",AP427=""),"",IF(COUNT(AI427:AO427)=0,"",AP427-LOOKUP(2,1/(AI427:AO427&lt;&gt;""),AI427:AO427)))</t>
        </is>
      </c>
      <c r="BD427" s="49" t="inlineStr">
        <is>
          <t>IF(OR(F427="",AQ427=""),"",IF(COUNT(AI427:AP427)=0,"",AQ427-LOOKUP(2,1/(AI427:AP427&lt;&gt;""),AI427:AP427)))</t>
        </is>
      </c>
      <c r="BE427" s="49" t="inlineStr">
        <is>
          <t>IF(OR(F427="",AR427=""),"",IF(COUNT(AI427:AQ427)=0,"",AR427-LOOKUP(2,1/(AI427:AQ427&lt;&gt;""),AI427:AQ427)))</t>
        </is>
      </c>
      <c r="BF427" s="49" t="inlineStr">
        <is>
          <t>IF(OR(F427="",AS427=""),"",IF(COUNT(AI427:AR427)=0,"",AS427-LOOKUP(2,1/(AI427:AR427&lt;&gt;""),AI427:AR427)))</t>
        </is>
      </c>
      <c r="BG427" s="49" t="inlineStr">
        <is>
          <t>IF(OR(F427="",AT427=""),"",IF(COUNT(AI427:AS427)=0,"",AT427-LOOKUP(2,1/(AI427:AS427&lt;&gt;""),AI427:AS427)))</t>
        </is>
      </c>
      <c r="BH427" s="49" t="inlineStr">
        <is>
          <t>IF(OR(F427="",AU427=""),"",IF(COUNT(AI427:AT427)=0,"",AU427-LOOKUP(2,1/(AI427:AT427&lt;&gt;""),AI427:AT427)))</t>
        </is>
      </c>
      <c r="BI427" s="49" t="inlineStr">
        <is>
          <t>IF(OR(F427="",AV427=""),"",IF(COUNT(AI427:AU427)=0,"",AV427-LOOKUP(2,1/(AI427:AU427&lt;&gt;""),AI427:AU427)))</t>
        </is>
      </c>
      <c r="BJ427" s="51" t="inlineStr">
        <is>
          <t>IF(J427="","All_Provinces",IFERROR(VLOOKUP(J427,'09_Lookups'!$A$4:$B$20,2,FALSE),"All_Provinces"))</t>
        </is>
      </c>
      <c r="BK427" s="51" t="inlineStr">
        <is>
          <t>IF(K427="","All_Districts",IFERROR(VLOOKUP(K427,'09_Lookups'!$E$4:$F$42,2,FALSE),"All_Districts"))</t>
        </is>
      </c>
    </row>
    <row r="428" ht="18" customHeight="1">
      <c r="A428" s="42" t="inlineStr">
        <is>
          <t>IF(F428="","",ROW()-3)</t>
        </is>
      </c>
      <c r="B428" s="52" t="n"/>
      <c r="C428" s="52" t="n"/>
      <c r="D428" s="52" t="n"/>
      <c r="E428" s="52" t="n"/>
      <c r="F428" s="52" t="n"/>
      <c r="G428" s="52" t="n"/>
      <c r="H428" s="52" t="n"/>
      <c r="I428" s="52" t="n"/>
      <c r="J428" s="52" t="n"/>
      <c r="K428" s="52" t="n"/>
      <c r="L428" s="52" t="n"/>
      <c r="M428" s="52" t="n"/>
      <c r="N428" s="52" t="n"/>
      <c r="O428" s="52" t="n"/>
      <c r="P428" s="52" t="n"/>
      <c r="Q428" s="52" t="n"/>
      <c r="R428" s="52" t="n"/>
      <c r="S428" s="53" t="n"/>
      <c r="T428" s="46" t="inlineStr">
        <is>
          <t>IF(AQ428="","",AQ428)</t>
        </is>
      </c>
      <c r="U428" s="54" t="n"/>
      <c r="V428" s="55" t="n"/>
      <c r="W428" s="54" t="n"/>
      <c r="X428" s="46" t="inlineStr">
        <is>
          <t>IF(W428&lt;&gt;"",W428,IF(OR(T428="",V428=""),"",EDATE(T428,V428)))</t>
        </is>
      </c>
      <c r="Y428" s="54" t="n"/>
      <c r="Z428" s="55" t="n"/>
      <c r="AA428" s="52" t="n"/>
      <c r="AB428" s="52" t="n"/>
      <c r="AC428" s="42" t="inlineStr">
        <is>
          <t>IF(F428="","",IF(COUNT(AI428:AV428)=0,IF(AA428="","Not started",AA428),SUBSTITUTE(LOOKUP(2,1/(AI428:AV428&lt;&gt;""),$AI$3:$AV$3),"Date: ","")))</t>
        </is>
      </c>
      <c r="AD428" s="49" t="inlineStr">
        <is>
          <t>IF(OR(F428="",COUNT(AI428:AV428)=0),"",TODAY()-LOOKUP(2,1/(AI428:AV428&lt;&gt;""),AI428:AV428))</t>
        </is>
      </c>
      <c r="AE428" s="49" t="inlineStr">
        <is>
          <t>IF(OR(F428="",COUNT(AI428:AV428)&lt;2),"",LOOKUP(2,1/(AI428:AV428&lt;&gt;""),AI428:AV428)-MIN(AI428:AV428))</t>
        </is>
      </c>
      <c r="AF428" s="49" t="inlineStr">
        <is>
          <t>IF(OR(AD428="",AC428="Not started",AC428=""),"",IFERROR(AD428-IF(VLOOKUP(AC428,'06_Status_Pipeline'!$B$3:$E$20,4,FALSE)="",0,VLOOKUP(AC428,'06_Status_Pipeline'!$B$3:$E$20,4,FALSE)),""))</t>
        </is>
      </c>
      <c r="AG428" s="42" t="inlineStr">
        <is>
          <t>IF(F428="","",IF(OR(AA428="Cancelled",AC428="Cancelled"),"Cancelled",IF(OR(AC428="Completed / Handover",Y428&lt;&gt;"",Z428&gt;=100),"Completed — on track",IF(O428="Not awarded",IF(U428="",IF(X428="","No planned date",IF(TODAY()&gt;X428,"Behind — past planned date",IF(X428-TODAY()&lt;=30,"At risk — close to off track","On track"))),IF(TODAY()&gt;U428,"Behind — award date passed",IF(U428-TODAY()&lt;=30,"At risk — close to off track","On track"))),IF(X428="","No planned date",IF(AND(TODAY()&gt;X428,OR(Z428="",Z428&lt;100)),"Behind — past end date",IF(AND(T428&lt;&gt;"",X428&lt;&gt;"",Z428&lt;&gt;"",(Z428&lt;100),((TODAY()-T428)/MAX(X428-T428,1)*100)-Z428&gt;15),"Behind — progress lag",IF(AND(X428-TODAY()&lt;=30,X428-TODAY()&gt;=0,OR(Z428="",Z428&lt;90)),"At risk — close to off track","On track"))))))))</t>
        </is>
      </c>
      <c r="AH428" s="49" t="inlineStr">
        <is>
          <t>IF(OR(F428="",AC428="Completed / Handover",AC428="Cancelled"),"",IF(O428="Not awarded",IF(U428&lt;&gt;"",U428-TODAY(),IF(X428="","",X428-TODAY())),IF(X428="","",X428-TODAY())))</t>
        </is>
      </c>
      <c r="AI428" s="54" t="n"/>
      <c r="AJ428" s="54" t="n"/>
      <c r="AK428" s="54" t="n"/>
      <c r="AL428" s="54" t="n"/>
      <c r="AM428" s="54" t="n"/>
      <c r="AN428" s="54" t="n"/>
      <c r="AO428" s="54" t="n"/>
      <c r="AP428" s="54" t="n"/>
      <c r="AQ428" s="54" t="n"/>
      <c r="AR428" s="54" t="n"/>
      <c r="AS428" s="54" t="n"/>
      <c r="AT428" s="50" t="n"/>
      <c r="AU428" s="50" t="n"/>
      <c r="AV428" s="50" t="n"/>
      <c r="AW428" s="49" t="inlineStr">
        <is>
          <t>IF(OR(F428="",AJ428=""),"",IF(COUNT(AI428:AI428)=0,"",AJ428-LOOKUP(2,1/(AI428:AI428&lt;&gt;""),AI428:AI428)))</t>
        </is>
      </c>
      <c r="AX428" s="49" t="inlineStr">
        <is>
          <t>IF(OR(F428="",AK428=""),"",IF(COUNT(AI428:AJ428)=0,"",AK428-LOOKUP(2,1/(AI428:AJ428&lt;&gt;""),AI428:AJ428)))</t>
        </is>
      </c>
      <c r="AY428" s="49" t="inlineStr">
        <is>
          <t>IF(OR(F428="",AL428=""),"",IF(COUNT(AI428:AK428)=0,"",AL428-LOOKUP(2,1/(AI428:AK428&lt;&gt;""),AI428:AK428)))</t>
        </is>
      </c>
      <c r="AZ428" s="49" t="inlineStr">
        <is>
          <t>IF(OR(F428="",AM428=""),"",IF(COUNT(AI428:AL428)=0,"",AM428-LOOKUP(2,1/(AI428:AL428&lt;&gt;""),AI428:AL428)))</t>
        </is>
      </c>
      <c r="BA428" s="49" t="inlineStr">
        <is>
          <t>IF(OR(F428="",AN428=""),"",IF(COUNT(AI428:AM428)=0,"",AN428-LOOKUP(2,1/(AI428:AM428&lt;&gt;""),AI428:AM428)))</t>
        </is>
      </c>
      <c r="BB428" s="49" t="inlineStr">
        <is>
          <t>IF(OR(F428="",AO428=""),"",IF(COUNT(AI428:AN428)=0,"",AO428-LOOKUP(2,1/(AI428:AN428&lt;&gt;""),AI428:AN428)))</t>
        </is>
      </c>
      <c r="BC428" s="49" t="inlineStr">
        <is>
          <t>IF(OR(F428="",AP428=""),"",IF(COUNT(AI428:AO428)=0,"",AP428-LOOKUP(2,1/(AI428:AO428&lt;&gt;""),AI428:AO428)))</t>
        </is>
      </c>
      <c r="BD428" s="49" t="inlineStr">
        <is>
          <t>IF(OR(F428="",AQ428=""),"",IF(COUNT(AI428:AP428)=0,"",AQ428-LOOKUP(2,1/(AI428:AP428&lt;&gt;""),AI428:AP428)))</t>
        </is>
      </c>
      <c r="BE428" s="49" t="inlineStr">
        <is>
          <t>IF(OR(F428="",AR428=""),"",IF(COUNT(AI428:AQ428)=0,"",AR428-LOOKUP(2,1/(AI428:AQ428&lt;&gt;""),AI428:AQ428)))</t>
        </is>
      </c>
      <c r="BF428" s="49" t="inlineStr">
        <is>
          <t>IF(OR(F428="",AS428=""),"",IF(COUNT(AI428:AR428)=0,"",AS428-LOOKUP(2,1/(AI428:AR428&lt;&gt;""),AI428:AR428)))</t>
        </is>
      </c>
      <c r="BG428" s="49" t="inlineStr">
        <is>
          <t>IF(OR(F428="",AT428=""),"",IF(COUNT(AI428:AS428)=0,"",AT428-LOOKUP(2,1/(AI428:AS428&lt;&gt;""),AI428:AS428)))</t>
        </is>
      </c>
      <c r="BH428" s="49" t="inlineStr">
        <is>
          <t>IF(OR(F428="",AU428=""),"",IF(COUNT(AI428:AT428)=0,"",AU428-LOOKUP(2,1/(AI428:AT428&lt;&gt;""),AI428:AT428)))</t>
        </is>
      </c>
      <c r="BI428" s="49" t="inlineStr">
        <is>
          <t>IF(OR(F428="",AV428=""),"",IF(COUNT(AI428:AU428)=0,"",AV428-LOOKUP(2,1/(AI428:AU428&lt;&gt;""),AI428:AU428)))</t>
        </is>
      </c>
      <c r="BJ428" s="51" t="inlineStr">
        <is>
          <t>IF(J428="","All_Provinces",IFERROR(VLOOKUP(J428,'09_Lookups'!$A$4:$B$20,2,FALSE),"All_Provinces"))</t>
        </is>
      </c>
      <c r="BK428" s="51" t="inlineStr">
        <is>
          <t>IF(K428="","All_Districts",IFERROR(VLOOKUP(K428,'09_Lookups'!$E$4:$F$42,2,FALSE),"All_Districts"))</t>
        </is>
      </c>
    </row>
    <row r="429" ht="18" customHeight="1">
      <c r="A429" s="42" t="inlineStr">
        <is>
          <t>IF(F429="","",ROW()-3)</t>
        </is>
      </c>
      <c r="B429" s="44" t="n"/>
      <c r="C429" s="44" t="n"/>
      <c r="D429" s="44" t="n"/>
      <c r="E429" s="44" t="n"/>
      <c r="F429" s="44" t="n"/>
      <c r="G429" s="44" t="n"/>
      <c r="H429" s="44" t="n"/>
      <c r="I429" s="44" t="n"/>
      <c r="J429" s="44" t="n"/>
      <c r="K429" s="44" t="n"/>
      <c r="L429" s="44" t="n"/>
      <c r="M429" s="44" t="n"/>
      <c r="N429" s="44" t="n"/>
      <c r="O429" s="44" t="n"/>
      <c r="P429" s="44" t="n"/>
      <c r="Q429" s="44" t="n"/>
      <c r="R429" s="44" t="n"/>
      <c r="S429" s="45" t="n"/>
      <c r="T429" s="46" t="inlineStr">
        <is>
          <t>IF(AQ429="","",AQ429)</t>
        </is>
      </c>
      <c r="U429" s="47" t="n"/>
      <c r="V429" s="48" t="n"/>
      <c r="W429" s="47" t="n"/>
      <c r="X429" s="46" t="inlineStr">
        <is>
          <t>IF(W429&lt;&gt;"",W429,IF(OR(T429="",V429=""),"",EDATE(T429,V429)))</t>
        </is>
      </c>
      <c r="Y429" s="47" t="n"/>
      <c r="Z429" s="48" t="n"/>
      <c r="AA429" s="44" t="n"/>
      <c r="AB429" s="44" t="n"/>
      <c r="AC429" s="42" t="inlineStr">
        <is>
          <t>IF(F429="","",IF(COUNT(AI429:AV429)=0,IF(AA429="","Not started",AA429),SUBSTITUTE(LOOKUP(2,1/(AI429:AV429&lt;&gt;""),$AI$3:$AV$3),"Date: ","")))</t>
        </is>
      </c>
      <c r="AD429" s="49" t="inlineStr">
        <is>
          <t>IF(OR(F429="",COUNT(AI429:AV429)=0),"",TODAY()-LOOKUP(2,1/(AI429:AV429&lt;&gt;""),AI429:AV429))</t>
        </is>
      </c>
      <c r="AE429" s="49" t="inlineStr">
        <is>
          <t>IF(OR(F429="",COUNT(AI429:AV429)&lt;2),"",LOOKUP(2,1/(AI429:AV429&lt;&gt;""),AI429:AV429)-MIN(AI429:AV429))</t>
        </is>
      </c>
      <c r="AF429" s="49" t="inlineStr">
        <is>
          <t>IF(OR(AD429="",AC429="Not started",AC429=""),"",IFERROR(AD429-IF(VLOOKUP(AC429,'06_Status_Pipeline'!$B$3:$E$20,4,FALSE)="",0,VLOOKUP(AC429,'06_Status_Pipeline'!$B$3:$E$20,4,FALSE)),""))</t>
        </is>
      </c>
      <c r="AG429" s="42" t="inlineStr">
        <is>
          <t>IF(F429="","",IF(OR(AA429="Cancelled",AC429="Cancelled"),"Cancelled",IF(OR(AC429="Completed / Handover",Y429&lt;&gt;"",Z429&gt;=100),"Completed — on track",IF(O429="Not awarded",IF(U429="",IF(X429="","No planned date",IF(TODAY()&gt;X429,"Behind — past planned date",IF(X429-TODAY()&lt;=30,"At risk — close to off track","On track"))),IF(TODAY()&gt;U429,"Behind — award date passed",IF(U429-TODAY()&lt;=30,"At risk — close to off track","On track"))),IF(X429="","No planned date",IF(AND(TODAY()&gt;X429,OR(Z429="",Z429&lt;100)),"Behind — past end date",IF(AND(T429&lt;&gt;"",X429&lt;&gt;"",Z429&lt;&gt;"",(Z429&lt;100),((TODAY()-T429)/MAX(X429-T429,1)*100)-Z429&gt;15),"Behind — progress lag",IF(AND(X429-TODAY()&lt;=30,X429-TODAY()&gt;=0,OR(Z429="",Z429&lt;90)),"At risk — close to off track","On track"))))))))</t>
        </is>
      </c>
      <c r="AH429" s="49" t="inlineStr">
        <is>
          <t>IF(OR(F429="",AC429="Completed / Handover",AC429="Cancelled"),"",IF(O429="Not awarded",IF(U429&lt;&gt;"",U429-TODAY(),IF(X429="","",X429-TODAY())),IF(X429="","",X429-TODAY())))</t>
        </is>
      </c>
      <c r="AI429" s="47" t="n"/>
      <c r="AJ429" s="47" t="n"/>
      <c r="AK429" s="47" t="n"/>
      <c r="AL429" s="47" t="n"/>
      <c r="AM429" s="47" t="n"/>
      <c r="AN429" s="47" t="n"/>
      <c r="AO429" s="47" t="n"/>
      <c r="AP429" s="47" t="n"/>
      <c r="AQ429" s="47" t="n"/>
      <c r="AR429" s="47" t="n"/>
      <c r="AS429" s="47" t="n"/>
      <c r="AT429" s="50" t="n"/>
      <c r="AU429" s="50" t="n"/>
      <c r="AV429" s="50" t="n"/>
      <c r="AW429" s="49" t="inlineStr">
        <is>
          <t>IF(OR(F429="",AJ429=""),"",IF(COUNT(AI429:AI429)=0,"",AJ429-LOOKUP(2,1/(AI429:AI429&lt;&gt;""),AI429:AI429)))</t>
        </is>
      </c>
      <c r="AX429" s="49" t="inlineStr">
        <is>
          <t>IF(OR(F429="",AK429=""),"",IF(COUNT(AI429:AJ429)=0,"",AK429-LOOKUP(2,1/(AI429:AJ429&lt;&gt;""),AI429:AJ429)))</t>
        </is>
      </c>
      <c r="AY429" s="49" t="inlineStr">
        <is>
          <t>IF(OR(F429="",AL429=""),"",IF(COUNT(AI429:AK429)=0,"",AL429-LOOKUP(2,1/(AI429:AK429&lt;&gt;""),AI429:AK429)))</t>
        </is>
      </c>
      <c r="AZ429" s="49" t="inlineStr">
        <is>
          <t>IF(OR(F429="",AM429=""),"",IF(COUNT(AI429:AL429)=0,"",AM429-LOOKUP(2,1/(AI429:AL429&lt;&gt;""),AI429:AL429)))</t>
        </is>
      </c>
      <c r="BA429" s="49" t="inlineStr">
        <is>
          <t>IF(OR(F429="",AN429=""),"",IF(COUNT(AI429:AM429)=0,"",AN429-LOOKUP(2,1/(AI429:AM429&lt;&gt;""),AI429:AM429)))</t>
        </is>
      </c>
      <c r="BB429" s="49" t="inlineStr">
        <is>
          <t>IF(OR(F429="",AO429=""),"",IF(COUNT(AI429:AN429)=0,"",AO429-LOOKUP(2,1/(AI429:AN429&lt;&gt;""),AI429:AN429)))</t>
        </is>
      </c>
      <c r="BC429" s="49" t="inlineStr">
        <is>
          <t>IF(OR(F429="",AP429=""),"",IF(COUNT(AI429:AO429)=0,"",AP429-LOOKUP(2,1/(AI429:AO429&lt;&gt;""),AI429:AO429)))</t>
        </is>
      </c>
      <c r="BD429" s="49" t="inlineStr">
        <is>
          <t>IF(OR(F429="",AQ429=""),"",IF(COUNT(AI429:AP429)=0,"",AQ429-LOOKUP(2,1/(AI429:AP429&lt;&gt;""),AI429:AP429)))</t>
        </is>
      </c>
      <c r="BE429" s="49" t="inlineStr">
        <is>
          <t>IF(OR(F429="",AR429=""),"",IF(COUNT(AI429:AQ429)=0,"",AR429-LOOKUP(2,1/(AI429:AQ429&lt;&gt;""),AI429:AQ429)))</t>
        </is>
      </c>
      <c r="BF429" s="49" t="inlineStr">
        <is>
          <t>IF(OR(F429="",AS429=""),"",IF(COUNT(AI429:AR429)=0,"",AS429-LOOKUP(2,1/(AI429:AR429&lt;&gt;""),AI429:AR429)))</t>
        </is>
      </c>
      <c r="BG429" s="49" t="inlineStr">
        <is>
          <t>IF(OR(F429="",AT429=""),"",IF(COUNT(AI429:AS429)=0,"",AT429-LOOKUP(2,1/(AI429:AS429&lt;&gt;""),AI429:AS429)))</t>
        </is>
      </c>
      <c r="BH429" s="49" t="inlineStr">
        <is>
          <t>IF(OR(F429="",AU429=""),"",IF(COUNT(AI429:AT429)=0,"",AU429-LOOKUP(2,1/(AI429:AT429&lt;&gt;""),AI429:AT429)))</t>
        </is>
      </c>
      <c r="BI429" s="49" t="inlineStr">
        <is>
          <t>IF(OR(F429="",AV429=""),"",IF(COUNT(AI429:AU429)=0,"",AV429-LOOKUP(2,1/(AI429:AU429&lt;&gt;""),AI429:AU429)))</t>
        </is>
      </c>
      <c r="BJ429" s="51" t="inlineStr">
        <is>
          <t>IF(J429="","All_Provinces",IFERROR(VLOOKUP(J429,'09_Lookups'!$A$4:$B$20,2,FALSE),"All_Provinces"))</t>
        </is>
      </c>
      <c r="BK429" s="51" t="inlineStr">
        <is>
          <t>IF(K429="","All_Districts",IFERROR(VLOOKUP(K429,'09_Lookups'!$E$4:$F$42,2,FALSE),"All_Districts"))</t>
        </is>
      </c>
    </row>
    <row r="430" ht="18" customHeight="1">
      <c r="A430" s="42" t="inlineStr">
        <is>
          <t>IF(F430="","",ROW()-3)</t>
        </is>
      </c>
      <c r="B430" s="52" t="n"/>
      <c r="C430" s="52" t="n"/>
      <c r="D430" s="52" t="n"/>
      <c r="E430" s="52" t="n"/>
      <c r="F430" s="52" t="n"/>
      <c r="G430" s="52" t="n"/>
      <c r="H430" s="52" t="n"/>
      <c r="I430" s="52" t="n"/>
      <c r="J430" s="52" t="n"/>
      <c r="K430" s="52" t="n"/>
      <c r="L430" s="52" t="n"/>
      <c r="M430" s="52" t="n"/>
      <c r="N430" s="52" t="n"/>
      <c r="O430" s="52" t="n"/>
      <c r="P430" s="52" t="n"/>
      <c r="Q430" s="52" t="n"/>
      <c r="R430" s="52" t="n"/>
      <c r="S430" s="53" t="n"/>
      <c r="T430" s="46" t="inlineStr">
        <is>
          <t>IF(AQ430="","",AQ430)</t>
        </is>
      </c>
      <c r="U430" s="54" t="n"/>
      <c r="V430" s="55" t="n"/>
      <c r="W430" s="54" t="n"/>
      <c r="X430" s="46" t="inlineStr">
        <is>
          <t>IF(W430&lt;&gt;"",W430,IF(OR(T430="",V430=""),"",EDATE(T430,V430)))</t>
        </is>
      </c>
      <c r="Y430" s="54" t="n"/>
      <c r="Z430" s="55" t="n"/>
      <c r="AA430" s="52" t="n"/>
      <c r="AB430" s="52" t="n"/>
      <c r="AC430" s="42" t="inlineStr">
        <is>
          <t>IF(F430="","",IF(COUNT(AI430:AV430)=0,IF(AA430="","Not started",AA430),SUBSTITUTE(LOOKUP(2,1/(AI430:AV430&lt;&gt;""),$AI$3:$AV$3),"Date: ","")))</t>
        </is>
      </c>
      <c r="AD430" s="49" t="inlineStr">
        <is>
          <t>IF(OR(F430="",COUNT(AI430:AV430)=0),"",TODAY()-LOOKUP(2,1/(AI430:AV430&lt;&gt;""),AI430:AV430))</t>
        </is>
      </c>
      <c r="AE430" s="49" t="inlineStr">
        <is>
          <t>IF(OR(F430="",COUNT(AI430:AV430)&lt;2),"",LOOKUP(2,1/(AI430:AV430&lt;&gt;""),AI430:AV430)-MIN(AI430:AV430))</t>
        </is>
      </c>
      <c r="AF430" s="49" t="inlineStr">
        <is>
          <t>IF(OR(AD430="",AC430="Not started",AC430=""),"",IFERROR(AD430-IF(VLOOKUP(AC430,'06_Status_Pipeline'!$B$3:$E$20,4,FALSE)="",0,VLOOKUP(AC430,'06_Status_Pipeline'!$B$3:$E$20,4,FALSE)),""))</t>
        </is>
      </c>
      <c r="AG430" s="42" t="inlineStr">
        <is>
          <t>IF(F430="","",IF(OR(AA430="Cancelled",AC430="Cancelled"),"Cancelled",IF(OR(AC430="Completed / Handover",Y430&lt;&gt;"",Z430&gt;=100),"Completed — on track",IF(O430="Not awarded",IF(U430="",IF(X430="","No planned date",IF(TODAY()&gt;X430,"Behind — past planned date",IF(X430-TODAY()&lt;=30,"At risk — close to off track","On track"))),IF(TODAY()&gt;U430,"Behind — award date passed",IF(U430-TODAY()&lt;=30,"At risk — close to off track","On track"))),IF(X430="","No planned date",IF(AND(TODAY()&gt;X430,OR(Z430="",Z430&lt;100)),"Behind — past end date",IF(AND(T430&lt;&gt;"",X430&lt;&gt;"",Z430&lt;&gt;"",(Z430&lt;100),((TODAY()-T430)/MAX(X430-T430,1)*100)-Z430&gt;15),"Behind — progress lag",IF(AND(X430-TODAY()&lt;=30,X430-TODAY()&gt;=0,OR(Z430="",Z430&lt;90)),"At risk — close to off track","On track"))))))))</t>
        </is>
      </c>
      <c r="AH430" s="49" t="inlineStr">
        <is>
          <t>IF(OR(F430="",AC430="Completed / Handover",AC430="Cancelled"),"",IF(O430="Not awarded",IF(U430&lt;&gt;"",U430-TODAY(),IF(X430="","",X430-TODAY())),IF(X430="","",X430-TODAY())))</t>
        </is>
      </c>
      <c r="AI430" s="54" t="n"/>
      <c r="AJ430" s="54" t="n"/>
      <c r="AK430" s="54" t="n"/>
      <c r="AL430" s="54" t="n"/>
      <c r="AM430" s="54" t="n"/>
      <c r="AN430" s="54" t="n"/>
      <c r="AO430" s="54" t="n"/>
      <c r="AP430" s="54" t="n"/>
      <c r="AQ430" s="54" t="n"/>
      <c r="AR430" s="54" t="n"/>
      <c r="AS430" s="54" t="n"/>
      <c r="AT430" s="50" t="n"/>
      <c r="AU430" s="50" t="n"/>
      <c r="AV430" s="50" t="n"/>
      <c r="AW430" s="49" t="inlineStr">
        <is>
          <t>IF(OR(F430="",AJ430=""),"",IF(COUNT(AI430:AI430)=0,"",AJ430-LOOKUP(2,1/(AI430:AI430&lt;&gt;""),AI430:AI430)))</t>
        </is>
      </c>
      <c r="AX430" s="49" t="inlineStr">
        <is>
          <t>IF(OR(F430="",AK430=""),"",IF(COUNT(AI430:AJ430)=0,"",AK430-LOOKUP(2,1/(AI430:AJ430&lt;&gt;""),AI430:AJ430)))</t>
        </is>
      </c>
      <c r="AY430" s="49" t="inlineStr">
        <is>
          <t>IF(OR(F430="",AL430=""),"",IF(COUNT(AI430:AK430)=0,"",AL430-LOOKUP(2,1/(AI430:AK430&lt;&gt;""),AI430:AK430)))</t>
        </is>
      </c>
      <c r="AZ430" s="49" t="inlineStr">
        <is>
          <t>IF(OR(F430="",AM430=""),"",IF(COUNT(AI430:AL430)=0,"",AM430-LOOKUP(2,1/(AI430:AL430&lt;&gt;""),AI430:AL430)))</t>
        </is>
      </c>
      <c r="BA430" s="49" t="inlineStr">
        <is>
          <t>IF(OR(F430="",AN430=""),"",IF(COUNT(AI430:AM430)=0,"",AN430-LOOKUP(2,1/(AI430:AM430&lt;&gt;""),AI430:AM430)))</t>
        </is>
      </c>
      <c r="BB430" s="49" t="inlineStr">
        <is>
          <t>IF(OR(F430="",AO430=""),"",IF(COUNT(AI430:AN430)=0,"",AO430-LOOKUP(2,1/(AI430:AN430&lt;&gt;""),AI430:AN430)))</t>
        </is>
      </c>
      <c r="BC430" s="49" t="inlineStr">
        <is>
          <t>IF(OR(F430="",AP430=""),"",IF(COUNT(AI430:AO430)=0,"",AP430-LOOKUP(2,1/(AI430:AO430&lt;&gt;""),AI430:AO430)))</t>
        </is>
      </c>
      <c r="BD430" s="49" t="inlineStr">
        <is>
          <t>IF(OR(F430="",AQ430=""),"",IF(COUNT(AI430:AP430)=0,"",AQ430-LOOKUP(2,1/(AI430:AP430&lt;&gt;""),AI430:AP430)))</t>
        </is>
      </c>
      <c r="BE430" s="49" t="inlineStr">
        <is>
          <t>IF(OR(F430="",AR430=""),"",IF(COUNT(AI430:AQ430)=0,"",AR430-LOOKUP(2,1/(AI430:AQ430&lt;&gt;""),AI430:AQ430)))</t>
        </is>
      </c>
      <c r="BF430" s="49" t="inlineStr">
        <is>
          <t>IF(OR(F430="",AS430=""),"",IF(COUNT(AI430:AR430)=0,"",AS430-LOOKUP(2,1/(AI430:AR430&lt;&gt;""),AI430:AR430)))</t>
        </is>
      </c>
      <c r="BG430" s="49" t="inlineStr">
        <is>
          <t>IF(OR(F430="",AT430=""),"",IF(COUNT(AI430:AS430)=0,"",AT430-LOOKUP(2,1/(AI430:AS430&lt;&gt;""),AI430:AS430)))</t>
        </is>
      </c>
      <c r="BH430" s="49" t="inlineStr">
        <is>
          <t>IF(OR(F430="",AU430=""),"",IF(COUNT(AI430:AT430)=0,"",AU430-LOOKUP(2,1/(AI430:AT430&lt;&gt;""),AI430:AT430)))</t>
        </is>
      </c>
      <c r="BI430" s="49" t="inlineStr">
        <is>
          <t>IF(OR(F430="",AV430=""),"",IF(COUNT(AI430:AU430)=0,"",AV430-LOOKUP(2,1/(AI430:AU430&lt;&gt;""),AI430:AU430)))</t>
        </is>
      </c>
      <c r="BJ430" s="51" t="inlineStr">
        <is>
          <t>IF(J430="","All_Provinces",IFERROR(VLOOKUP(J430,'09_Lookups'!$A$4:$B$20,2,FALSE),"All_Provinces"))</t>
        </is>
      </c>
      <c r="BK430" s="51" t="inlineStr">
        <is>
          <t>IF(K430="","All_Districts",IFERROR(VLOOKUP(K430,'09_Lookups'!$E$4:$F$42,2,FALSE),"All_Districts"))</t>
        </is>
      </c>
    </row>
    <row r="431" ht="18" customHeight="1">
      <c r="A431" s="42" t="inlineStr">
        <is>
          <t>IF(F431="","",ROW()-3)</t>
        </is>
      </c>
      <c r="B431" s="44" t="n"/>
      <c r="C431" s="44" t="n"/>
      <c r="D431" s="44" t="n"/>
      <c r="E431" s="44" t="n"/>
      <c r="F431" s="44" t="n"/>
      <c r="G431" s="44" t="n"/>
      <c r="H431" s="44" t="n"/>
      <c r="I431" s="44" t="n"/>
      <c r="J431" s="44" t="n"/>
      <c r="K431" s="44" t="n"/>
      <c r="L431" s="44" t="n"/>
      <c r="M431" s="44" t="n"/>
      <c r="N431" s="44" t="n"/>
      <c r="O431" s="44" t="n"/>
      <c r="P431" s="44" t="n"/>
      <c r="Q431" s="44" t="n"/>
      <c r="R431" s="44" t="n"/>
      <c r="S431" s="45" t="n"/>
      <c r="T431" s="46" t="inlineStr">
        <is>
          <t>IF(AQ431="","",AQ431)</t>
        </is>
      </c>
      <c r="U431" s="47" t="n"/>
      <c r="V431" s="48" t="n"/>
      <c r="W431" s="47" t="n"/>
      <c r="X431" s="46" t="inlineStr">
        <is>
          <t>IF(W431&lt;&gt;"",W431,IF(OR(T431="",V431=""),"",EDATE(T431,V431)))</t>
        </is>
      </c>
      <c r="Y431" s="47" t="n"/>
      <c r="Z431" s="48" t="n"/>
      <c r="AA431" s="44" t="n"/>
      <c r="AB431" s="44" t="n"/>
      <c r="AC431" s="42" t="inlineStr">
        <is>
          <t>IF(F431="","",IF(COUNT(AI431:AV431)=0,IF(AA431="","Not started",AA431),SUBSTITUTE(LOOKUP(2,1/(AI431:AV431&lt;&gt;""),$AI$3:$AV$3),"Date: ","")))</t>
        </is>
      </c>
      <c r="AD431" s="49" t="inlineStr">
        <is>
          <t>IF(OR(F431="",COUNT(AI431:AV431)=0),"",TODAY()-LOOKUP(2,1/(AI431:AV431&lt;&gt;""),AI431:AV431))</t>
        </is>
      </c>
      <c r="AE431" s="49" t="inlineStr">
        <is>
          <t>IF(OR(F431="",COUNT(AI431:AV431)&lt;2),"",LOOKUP(2,1/(AI431:AV431&lt;&gt;""),AI431:AV431)-MIN(AI431:AV431))</t>
        </is>
      </c>
      <c r="AF431" s="49" t="inlineStr">
        <is>
          <t>IF(OR(AD431="",AC431="Not started",AC431=""),"",IFERROR(AD431-IF(VLOOKUP(AC431,'06_Status_Pipeline'!$B$3:$E$20,4,FALSE)="",0,VLOOKUP(AC431,'06_Status_Pipeline'!$B$3:$E$20,4,FALSE)),""))</t>
        </is>
      </c>
      <c r="AG431" s="42" t="inlineStr">
        <is>
          <t>IF(F431="","",IF(OR(AA431="Cancelled",AC431="Cancelled"),"Cancelled",IF(OR(AC431="Completed / Handover",Y431&lt;&gt;"",Z431&gt;=100),"Completed — on track",IF(O431="Not awarded",IF(U431="",IF(X431="","No planned date",IF(TODAY()&gt;X431,"Behind — past planned date",IF(X431-TODAY()&lt;=30,"At risk — close to off track","On track"))),IF(TODAY()&gt;U431,"Behind — award date passed",IF(U431-TODAY()&lt;=30,"At risk — close to off track","On track"))),IF(X431="","No planned date",IF(AND(TODAY()&gt;X431,OR(Z431="",Z431&lt;100)),"Behind — past end date",IF(AND(T431&lt;&gt;"",X431&lt;&gt;"",Z431&lt;&gt;"",(Z431&lt;100),((TODAY()-T431)/MAX(X431-T431,1)*100)-Z431&gt;15),"Behind — progress lag",IF(AND(X431-TODAY()&lt;=30,X431-TODAY()&gt;=0,OR(Z431="",Z431&lt;90)),"At risk — close to off track","On track"))))))))</t>
        </is>
      </c>
      <c r="AH431" s="49" t="inlineStr">
        <is>
          <t>IF(OR(F431="",AC431="Completed / Handover",AC431="Cancelled"),"",IF(O431="Not awarded",IF(U431&lt;&gt;"",U431-TODAY(),IF(X431="","",X431-TODAY())),IF(X431="","",X431-TODAY())))</t>
        </is>
      </c>
      <c r="AI431" s="47" t="n"/>
      <c r="AJ431" s="47" t="n"/>
      <c r="AK431" s="47" t="n"/>
      <c r="AL431" s="47" t="n"/>
      <c r="AM431" s="47" t="n"/>
      <c r="AN431" s="47" t="n"/>
      <c r="AO431" s="47" t="n"/>
      <c r="AP431" s="47" t="n"/>
      <c r="AQ431" s="47" t="n"/>
      <c r="AR431" s="47" t="n"/>
      <c r="AS431" s="47" t="n"/>
      <c r="AT431" s="50" t="n"/>
      <c r="AU431" s="50" t="n"/>
      <c r="AV431" s="50" t="n"/>
      <c r="AW431" s="49" t="inlineStr">
        <is>
          <t>IF(OR(F431="",AJ431=""),"",IF(COUNT(AI431:AI431)=0,"",AJ431-LOOKUP(2,1/(AI431:AI431&lt;&gt;""),AI431:AI431)))</t>
        </is>
      </c>
      <c r="AX431" s="49" t="inlineStr">
        <is>
          <t>IF(OR(F431="",AK431=""),"",IF(COUNT(AI431:AJ431)=0,"",AK431-LOOKUP(2,1/(AI431:AJ431&lt;&gt;""),AI431:AJ431)))</t>
        </is>
      </c>
      <c r="AY431" s="49" t="inlineStr">
        <is>
          <t>IF(OR(F431="",AL431=""),"",IF(COUNT(AI431:AK431)=0,"",AL431-LOOKUP(2,1/(AI431:AK431&lt;&gt;""),AI431:AK431)))</t>
        </is>
      </c>
      <c r="AZ431" s="49" t="inlineStr">
        <is>
          <t>IF(OR(F431="",AM431=""),"",IF(COUNT(AI431:AL431)=0,"",AM431-LOOKUP(2,1/(AI431:AL431&lt;&gt;""),AI431:AL431)))</t>
        </is>
      </c>
      <c r="BA431" s="49" t="inlineStr">
        <is>
          <t>IF(OR(F431="",AN431=""),"",IF(COUNT(AI431:AM431)=0,"",AN431-LOOKUP(2,1/(AI431:AM431&lt;&gt;""),AI431:AM431)))</t>
        </is>
      </c>
      <c r="BB431" s="49" t="inlineStr">
        <is>
          <t>IF(OR(F431="",AO431=""),"",IF(COUNT(AI431:AN431)=0,"",AO431-LOOKUP(2,1/(AI431:AN431&lt;&gt;""),AI431:AN431)))</t>
        </is>
      </c>
      <c r="BC431" s="49" t="inlineStr">
        <is>
          <t>IF(OR(F431="",AP431=""),"",IF(COUNT(AI431:AO431)=0,"",AP431-LOOKUP(2,1/(AI431:AO431&lt;&gt;""),AI431:AO431)))</t>
        </is>
      </c>
      <c r="BD431" s="49" t="inlineStr">
        <is>
          <t>IF(OR(F431="",AQ431=""),"",IF(COUNT(AI431:AP431)=0,"",AQ431-LOOKUP(2,1/(AI431:AP431&lt;&gt;""),AI431:AP431)))</t>
        </is>
      </c>
      <c r="BE431" s="49" t="inlineStr">
        <is>
          <t>IF(OR(F431="",AR431=""),"",IF(COUNT(AI431:AQ431)=0,"",AR431-LOOKUP(2,1/(AI431:AQ431&lt;&gt;""),AI431:AQ431)))</t>
        </is>
      </c>
      <c r="BF431" s="49" t="inlineStr">
        <is>
          <t>IF(OR(F431="",AS431=""),"",IF(COUNT(AI431:AR431)=0,"",AS431-LOOKUP(2,1/(AI431:AR431&lt;&gt;""),AI431:AR431)))</t>
        </is>
      </c>
      <c r="BG431" s="49" t="inlineStr">
        <is>
          <t>IF(OR(F431="",AT431=""),"",IF(COUNT(AI431:AS431)=0,"",AT431-LOOKUP(2,1/(AI431:AS431&lt;&gt;""),AI431:AS431)))</t>
        </is>
      </c>
      <c r="BH431" s="49" t="inlineStr">
        <is>
          <t>IF(OR(F431="",AU431=""),"",IF(COUNT(AI431:AT431)=0,"",AU431-LOOKUP(2,1/(AI431:AT431&lt;&gt;""),AI431:AT431)))</t>
        </is>
      </c>
      <c r="BI431" s="49" t="inlineStr">
        <is>
          <t>IF(OR(F431="",AV431=""),"",IF(COUNT(AI431:AU431)=0,"",AV431-LOOKUP(2,1/(AI431:AU431&lt;&gt;""),AI431:AU431)))</t>
        </is>
      </c>
      <c r="BJ431" s="51" t="inlineStr">
        <is>
          <t>IF(J431="","All_Provinces",IFERROR(VLOOKUP(J431,'09_Lookups'!$A$4:$B$20,2,FALSE),"All_Provinces"))</t>
        </is>
      </c>
      <c r="BK431" s="51" t="inlineStr">
        <is>
          <t>IF(K431="","All_Districts",IFERROR(VLOOKUP(K431,'09_Lookups'!$E$4:$F$42,2,FALSE),"All_Districts"))</t>
        </is>
      </c>
    </row>
    <row r="432" ht="18" customHeight="1">
      <c r="A432" s="42" t="inlineStr">
        <is>
          <t>IF(F432="","",ROW()-3)</t>
        </is>
      </c>
      <c r="B432" s="52" t="n"/>
      <c r="C432" s="52" t="n"/>
      <c r="D432" s="52" t="n"/>
      <c r="E432" s="52" t="n"/>
      <c r="F432" s="52" t="n"/>
      <c r="G432" s="52" t="n"/>
      <c r="H432" s="52" t="n"/>
      <c r="I432" s="52" t="n"/>
      <c r="J432" s="52" t="n"/>
      <c r="K432" s="52" t="n"/>
      <c r="L432" s="52" t="n"/>
      <c r="M432" s="52" t="n"/>
      <c r="N432" s="52" t="n"/>
      <c r="O432" s="52" t="n"/>
      <c r="P432" s="52" t="n"/>
      <c r="Q432" s="52" t="n"/>
      <c r="R432" s="52" t="n"/>
      <c r="S432" s="53" t="n"/>
      <c r="T432" s="46" t="inlineStr">
        <is>
          <t>IF(AQ432="","",AQ432)</t>
        </is>
      </c>
      <c r="U432" s="54" t="n"/>
      <c r="V432" s="55" t="n"/>
      <c r="W432" s="54" t="n"/>
      <c r="X432" s="46" t="inlineStr">
        <is>
          <t>IF(W432&lt;&gt;"",W432,IF(OR(T432="",V432=""),"",EDATE(T432,V432)))</t>
        </is>
      </c>
      <c r="Y432" s="54" t="n"/>
      <c r="Z432" s="55" t="n"/>
      <c r="AA432" s="52" t="n"/>
      <c r="AB432" s="52" t="n"/>
      <c r="AC432" s="42" t="inlineStr">
        <is>
          <t>IF(F432="","",IF(COUNT(AI432:AV432)=0,IF(AA432="","Not started",AA432),SUBSTITUTE(LOOKUP(2,1/(AI432:AV432&lt;&gt;""),$AI$3:$AV$3),"Date: ","")))</t>
        </is>
      </c>
      <c r="AD432" s="49" t="inlineStr">
        <is>
          <t>IF(OR(F432="",COUNT(AI432:AV432)=0),"",TODAY()-LOOKUP(2,1/(AI432:AV432&lt;&gt;""),AI432:AV432))</t>
        </is>
      </c>
      <c r="AE432" s="49" t="inlineStr">
        <is>
          <t>IF(OR(F432="",COUNT(AI432:AV432)&lt;2),"",LOOKUP(2,1/(AI432:AV432&lt;&gt;""),AI432:AV432)-MIN(AI432:AV432))</t>
        </is>
      </c>
      <c r="AF432" s="49" t="inlineStr">
        <is>
          <t>IF(OR(AD432="",AC432="Not started",AC432=""),"",IFERROR(AD432-IF(VLOOKUP(AC432,'06_Status_Pipeline'!$B$3:$E$20,4,FALSE)="",0,VLOOKUP(AC432,'06_Status_Pipeline'!$B$3:$E$20,4,FALSE)),""))</t>
        </is>
      </c>
      <c r="AG432" s="42" t="inlineStr">
        <is>
          <t>IF(F432="","",IF(OR(AA432="Cancelled",AC432="Cancelled"),"Cancelled",IF(OR(AC432="Completed / Handover",Y432&lt;&gt;"",Z432&gt;=100),"Completed — on track",IF(O432="Not awarded",IF(U432="",IF(X432="","No planned date",IF(TODAY()&gt;X432,"Behind — past planned date",IF(X432-TODAY()&lt;=30,"At risk — close to off track","On track"))),IF(TODAY()&gt;U432,"Behind — award date passed",IF(U432-TODAY()&lt;=30,"At risk — close to off track","On track"))),IF(X432="","No planned date",IF(AND(TODAY()&gt;X432,OR(Z432="",Z432&lt;100)),"Behind — past end date",IF(AND(T432&lt;&gt;"",X432&lt;&gt;"",Z432&lt;&gt;"",(Z432&lt;100),((TODAY()-T432)/MAX(X432-T432,1)*100)-Z432&gt;15),"Behind — progress lag",IF(AND(X432-TODAY()&lt;=30,X432-TODAY()&gt;=0,OR(Z432="",Z432&lt;90)),"At risk — close to off track","On track"))))))))</t>
        </is>
      </c>
      <c r="AH432" s="49" t="inlineStr">
        <is>
          <t>IF(OR(F432="",AC432="Completed / Handover",AC432="Cancelled"),"",IF(O432="Not awarded",IF(U432&lt;&gt;"",U432-TODAY(),IF(X432="","",X432-TODAY())),IF(X432="","",X432-TODAY())))</t>
        </is>
      </c>
      <c r="AI432" s="54" t="n"/>
      <c r="AJ432" s="54" t="n"/>
      <c r="AK432" s="54" t="n"/>
      <c r="AL432" s="54" t="n"/>
      <c r="AM432" s="54" t="n"/>
      <c r="AN432" s="54" t="n"/>
      <c r="AO432" s="54" t="n"/>
      <c r="AP432" s="54" t="n"/>
      <c r="AQ432" s="54" t="n"/>
      <c r="AR432" s="54" t="n"/>
      <c r="AS432" s="54" t="n"/>
      <c r="AT432" s="50" t="n"/>
      <c r="AU432" s="50" t="n"/>
      <c r="AV432" s="50" t="n"/>
      <c r="AW432" s="49" t="inlineStr">
        <is>
          <t>IF(OR(F432="",AJ432=""),"",IF(COUNT(AI432:AI432)=0,"",AJ432-LOOKUP(2,1/(AI432:AI432&lt;&gt;""),AI432:AI432)))</t>
        </is>
      </c>
      <c r="AX432" s="49" t="inlineStr">
        <is>
          <t>IF(OR(F432="",AK432=""),"",IF(COUNT(AI432:AJ432)=0,"",AK432-LOOKUP(2,1/(AI432:AJ432&lt;&gt;""),AI432:AJ432)))</t>
        </is>
      </c>
      <c r="AY432" s="49" t="inlineStr">
        <is>
          <t>IF(OR(F432="",AL432=""),"",IF(COUNT(AI432:AK432)=0,"",AL432-LOOKUP(2,1/(AI432:AK432&lt;&gt;""),AI432:AK432)))</t>
        </is>
      </c>
      <c r="AZ432" s="49" t="inlineStr">
        <is>
          <t>IF(OR(F432="",AM432=""),"",IF(COUNT(AI432:AL432)=0,"",AM432-LOOKUP(2,1/(AI432:AL432&lt;&gt;""),AI432:AL432)))</t>
        </is>
      </c>
      <c r="BA432" s="49" t="inlineStr">
        <is>
          <t>IF(OR(F432="",AN432=""),"",IF(COUNT(AI432:AM432)=0,"",AN432-LOOKUP(2,1/(AI432:AM432&lt;&gt;""),AI432:AM432)))</t>
        </is>
      </c>
      <c r="BB432" s="49" t="inlineStr">
        <is>
          <t>IF(OR(F432="",AO432=""),"",IF(COUNT(AI432:AN432)=0,"",AO432-LOOKUP(2,1/(AI432:AN432&lt;&gt;""),AI432:AN432)))</t>
        </is>
      </c>
      <c r="BC432" s="49" t="inlineStr">
        <is>
          <t>IF(OR(F432="",AP432=""),"",IF(COUNT(AI432:AO432)=0,"",AP432-LOOKUP(2,1/(AI432:AO432&lt;&gt;""),AI432:AO432)))</t>
        </is>
      </c>
      <c r="BD432" s="49" t="inlineStr">
        <is>
          <t>IF(OR(F432="",AQ432=""),"",IF(COUNT(AI432:AP432)=0,"",AQ432-LOOKUP(2,1/(AI432:AP432&lt;&gt;""),AI432:AP432)))</t>
        </is>
      </c>
      <c r="BE432" s="49" t="inlineStr">
        <is>
          <t>IF(OR(F432="",AR432=""),"",IF(COUNT(AI432:AQ432)=0,"",AR432-LOOKUP(2,1/(AI432:AQ432&lt;&gt;""),AI432:AQ432)))</t>
        </is>
      </c>
      <c r="BF432" s="49" t="inlineStr">
        <is>
          <t>IF(OR(F432="",AS432=""),"",IF(COUNT(AI432:AR432)=0,"",AS432-LOOKUP(2,1/(AI432:AR432&lt;&gt;""),AI432:AR432)))</t>
        </is>
      </c>
      <c r="BG432" s="49" t="inlineStr">
        <is>
          <t>IF(OR(F432="",AT432=""),"",IF(COUNT(AI432:AS432)=0,"",AT432-LOOKUP(2,1/(AI432:AS432&lt;&gt;""),AI432:AS432)))</t>
        </is>
      </c>
      <c r="BH432" s="49" t="inlineStr">
        <is>
          <t>IF(OR(F432="",AU432=""),"",IF(COUNT(AI432:AT432)=0,"",AU432-LOOKUP(2,1/(AI432:AT432&lt;&gt;""),AI432:AT432)))</t>
        </is>
      </c>
      <c r="BI432" s="49" t="inlineStr">
        <is>
          <t>IF(OR(F432="",AV432=""),"",IF(COUNT(AI432:AU432)=0,"",AV432-LOOKUP(2,1/(AI432:AU432&lt;&gt;""),AI432:AU432)))</t>
        </is>
      </c>
      <c r="BJ432" s="51" t="inlineStr">
        <is>
          <t>IF(J432="","All_Provinces",IFERROR(VLOOKUP(J432,'09_Lookups'!$A$4:$B$20,2,FALSE),"All_Provinces"))</t>
        </is>
      </c>
      <c r="BK432" s="51" t="inlineStr">
        <is>
          <t>IF(K432="","All_Districts",IFERROR(VLOOKUP(K432,'09_Lookups'!$E$4:$F$42,2,FALSE),"All_Districts"))</t>
        </is>
      </c>
    </row>
    <row r="433" ht="18" customHeight="1">
      <c r="A433" s="42" t="inlineStr">
        <is>
          <t>IF(F433="","",ROW()-3)</t>
        </is>
      </c>
      <c r="B433" s="44" t="n"/>
      <c r="C433" s="44" t="n"/>
      <c r="D433" s="44" t="n"/>
      <c r="E433" s="44" t="n"/>
      <c r="F433" s="44" t="n"/>
      <c r="G433" s="44" t="n"/>
      <c r="H433" s="44" t="n"/>
      <c r="I433" s="44" t="n"/>
      <c r="J433" s="44" t="n"/>
      <c r="K433" s="44" t="n"/>
      <c r="L433" s="44" t="n"/>
      <c r="M433" s="44" t="n"/>
      <c r="N433" s="44" t="n"/>
      <c r="O433" s="44" t="n"/>
      <c r="P433" s="44" t="n"/>
      <c r="Q433" s="44" t="n"/>
      <c r="R433" s="44" t="n"/>
      <c r="S433" s="45" t="n"/>
      <c r="T433" s="46" t="inlineStr">
        <is>
          <t>IF(AQ433="","",AQ433)</t>
        </is>
      </c>
      <c r="U433" s="47" t="n"/>
      <c r="V433" s="48" t="n"/>
      <c r="W433" s="47" t="n"/>
      <c r="X433" s="46" t="inlineStr">
        <is>
          <t>IF(W433&lt;&gt;"",W433,IF(OR(T433="",V433=""),"",EDATE(T433,V433)))</t>
        </is>
      </c>
      <c r="Y433" s="47" t="n"/>
      <c r="Z433" s="48" t="n"/>
      <c r="AA433" s="44" t="n"/>
      <c r="AB433" s="44" t="n"/>
      <c r="AC433" s="42" t="inlineStr">
        <is>
          <t>IF(F433="","",IF(COUNT(AI433:AV433)=0,IF(AA433="","Not started",AA433),SUBSTITUTE(LOOKUP(2,1/(AI433:AV433&lt;&gt;""),$AI$3:$AV$3),"Date: ","")))</t>
        </is>
      </c>
      <c r="AD433" s="49" t="inlineStr">
        <is>
          <t>IF(OR(F433="",COUNT(AI433:AV433)=0),"",TODAY()-LOOKUP(2,1/(AI433:AV433&lt;&gt;""),AI433:AV433))</t>
        </is>
      </c>
      <c r="AE433" s="49" t="inlineStr">
        <is>
          <t>IF(OR(F433="",COUNT(AI433:AV433)&lt;2),"",LOOKUP(2,1/(AI433:AV433&lt;&gt;""),AI433:AV433)-MIN(AI433:AV433))</t>
        </is>
      </c>
      <c r="AF433" s="49" t="inlineStr">
        <is>
          <t>IF(OR(AD433="",AC433="Not started",AC433=""),"",IFERROR(AD433-IF(VLOOKUP(AC433,'06_Status_Pipeline'!$B$3:$E$20,4,FALSE)="",0,VLOOKUP(AC433,'06_Status_Pipeline'!$B$3:$E$20,4,FALSE)),""))</t>
        </is>
      </c>
      <c r="AG433" s="42" t="inlineStr">
        <is>
          <t>IF(F433="","",IF(OR(AA433="Cancelled",AC433="Cancelled"),"Cancelled",IF(OR(AC433="Completed / Handover",Y433&lt;&gt;"",Z433&gt;=100),"Completed — on track",IF(O433="Not awarded",IF(U433="",IF(X433="","No planned date",IF(TODAY()&gt;X433,"Behind — past planned date",IF(X433-TODAY()&lt;=30,"At risk — close to off track","On track"))),IF(TODAY()&gt;U433,"Behind — award date passed",IF(U433-TODAY()&lt;=30,"At risk — close to off track","On track"))),IF(X433="","No planned date",IF(AND(TODAY()&gt;X433,OR(Z433="",Z433&lt;100)),"Behind — past end date",IF(AND(T433&lt;&gt;"",X433&lt;&gt;"",Z433&lt;&gt;"",(Z433&lt;100),((TODAY()-T433)/MAX(X433-T433,1)*100)-Z433&gt;15),"Behind — progress lag",IF(AND(X433-TODAY()&lt;=30,X433-TODAY()&gt;=0,OR(Z433="",Z433&lt;90)),"At risk — close to off track","On track"))))))))</t>
        </is>
      </c>
      <c r="AH433" s="49" t="inlineStr">
        <is>
          <t>IF(OR(F433="",AC433="Completed / Handover",AC433="Cancelled"),"",IF(O433="Not awarded",IF(U433&lt;&gt;"",U433-TODAY(),IF(X433="","",X433-TODAY())),IF(X433="","",X433-TODAY())))</t>
        </is>
      </c>
      <c r="AI433" s="47" t="n"/>
      <c r="AJ433" s="47" t="n"/>
      <c r="AK433" s="47" t="n"/>
      <c r="AL433" s="47" t="n"/>
      <c r="AM433" s="47" t="n"/>
      <c r="AN433" s="47" t="n"/>
      <c r="AO433" s="47" t="n"/>
      <c r="AP433" s="47" t="n"/>
      <c r="AQ433" s="47" t="n"/>
      <c r="AR433" s="47" t="n"/>
      <c r="AS433" s="47" t="n"/>
      <c r="AT433" s="50" t="n"/>
      <c r="AU433" s="50" t="n"/>
      <c r="AV433" s="50" t="n"/>
      <c r="AW433" s="49" t="inlineStr">
        <is>
          <t>IF(OR(F433="",AJ433=""),"",IF(COUNT(AI433:AI433)=0,"",AJ433-LOOKUP(2,1/(AI433:AI433&lt;&gt;""),AI433:AI433)))</t>
        </is>
      </c>
      <c r="AX433" s="49" t="inlineStr">
        <is>
          <t>IF(OR(F433="",AK433=""),"",IF(COUNT(AI433:AJ433)=0,"",AK433-LOOKUP(2,1/(AI433:AJ433&lt;&gt;""),AI433:AJ433)))</t>
        </is>
      </c>
      <c r="AY433" s="49" t="inlineStr">
        <is>
          <t>IF(OR(F433="",AL433=""),"",IF(COUNT(AI433:AK433)=0,"",AL433-LOOKUP(2,1/(AI433:AK433&lt;&gt;""),AI433:AK433)))</t>
        </is>
      </c>
      <c r="AZ433" s="49" t="inlineStr">
        <is>
          <t>IF(OR(F433="",AM433=""),"",IF(COUNT(AI433:AL433)=0,"",AM433-LOOKUP(2,1/(AI433:AL433&lt;&gt;""),AI433:AL433)))</t>
        </is>
      </c>
      <c r="BA433" s="49" t="inlineStr">
        <is>
          <t>IF(OR(F433="",AN433=""),"",IF(COUNT(AI433:AM433)=0,"",AN433-LOOKUP(2,1/(AI433:AM433&lt;&gt;""),AI433:AM433)))</t>
        </is>
      </c>
      <c r="BB433" s="49" t="inlineStr">
        <is>
          <t>IF(OR(F433="",AO433=""),"",IF(COUNT(AI433:AN433)=0,"",AO433-LOOKUP(2,1/(AI433:AN433&lt;&gt;""),AI433:AN433)))</t>
        </is>
      </c>
      <c r="BC433" s="49" t="inlineStr">
        <is>
          <t>IF(OR(F433="",AP433=""),"",IF(COUNT(AI433:AO433)=0,"",AP433-LOOKUP(2,1/(AI433:AO433&lt;&gt;""),AI433:AO433)))</t>
        </is>
      </c>
      <c r="BD433" s="49" t="inlineStr">
        <is>
          <t>IF(OR(F433="",AQ433=""),"",IF(COUNT(AI433:AP433)=0,"",AQ433-LOOKUP(2,1/(AI433:AP433&lt;&gt;""),AI433:AP433)))</t>
        </is>
      </c>
      <c r="BE433" s="49" t="inlineStr">
        <is>
          <t>IF(OR(F433="",AR433=""),"",IF(COUNT(AI433:AQ433)=0,"",AR433-LOOKUP(2,1/(AI433:AQ433&lt;&gt;""),AI433:AQ433)))</t>
        </is>
      </c>
      <c r="BF433" s="49" t="inlineStr">
        <is>
          <t>IF(OR(F433="",AS433=""),"",IF(COUNT(AI433:AR433)=0,"",AS433-LOOKUP(2,1/(AI433:AR433&lt;&gt;""),AI433:AR433)))</t>
        </is>
      </c>
      <c r="BG433" s="49" t="inlineStr">
        <is>
          <t>IF(OR(F433="",AT433=""),"",IF(COUNT(AI433:AS433)=0,"",AT433-LOOKUP(2,1/(AI433:AS433&lt;&gt;""),AI433:AS433)))</t>
        </is>
      </c>
      <c r="BH433" s="49" t="inlineStr">
        <is>
          <t>IF(OR(F433="",AU433=""),"",IF(COUNT(AI433:AT433)=0,"",AU433-LOOKUP(2,1/(AI433:AT433&lt;&gt;""),AI433:AT433)))</t>
        </is>
      </c>
      <c r="BI433" s="49" t="inlineStr">
        <is>
          <t>IF(OR(F433="",AV433=""),"",IF(COUNT(AI433:AU433)=0,"",AV433-LOOKUP(2,1/(AI433:AU433&lt;&gt;""),AI433:AU433)))</t>
        </is>
      </c>
      <c r="BJ433" s="51" t="inlineStr">
        <is>
          <t>IF(J433="","All_Provinces",IFERROR(VLOOKUP(J433,'09_Lookups'!$A$4:$B$20,2,FALSE),"All_Provinces"))</t>
        </is>
      </c>
      <c r="BK433" s="51" t="inlineStr">
        <is>
          <t>IF(K433="","All_Districts",IFERROR(VLOOKUP(K433,'09_Lookups'!$E$4:$F$42,2,FALSE),"All_Districts"))</t>
        </is>
      </c>
    </row>
    <row r="434" ht="18" customHeight="1">
      <c r="A434" s="42" t="inlineStr">
        <is>
          <t>IF(F434="","",ROW()-3)</t>
        </is>
      </c>
      <c r="B434" s="52" t="n"/>
      <c r="C434" s="52" t="n"/>
      <c r="D434" s="52" t="n"/>
      <c r="E434" s="52" t="n"/>
      <c r="F434" s="52" t="n"/>
      <c r="G434" s="52" t="n"/>
      <c r="H434" s="52" t="n"/>
      <c r="I434" s="52" t="n"/>
      <c r="J434" s="52" t="n"/>
      <c r="K434" s="52" t="n"/>
      <c r="L434" s="52" t="n"/>
      <c r="M434" s="52" t="n"/>
      <c r="N434" s="52" t="n"/>
      <c r="O434" s="52" t="n"/>
      <c r="P434" s="52" t="n"/>
      <c r="Q434" s="52" t="n"/>
      <c r="R434" s="52" t="n"/>
      <c r="S434" s="53" t="n"/>
      <c r="T434" s="46" t="inlineStr">
        <is>
          <t>IF(AQ434="","",AQ434)</t>
        </is>
      </c>
      <c r="U434" s="54" t="n"/>
      <c r="V434" s="55" t="n"/>
      <c r="W434" s="54" t="n"/>
      <c r="X434" s="46" t="inlineStr">
        <is>
          <t>IF(W434&lt;&gt;"",W434,IF(OR(T434="",V434=""),"",EDATE(T434,V434)))</t>
        </is>
      </c>
      <c r="Y434" s="54" t="n"/>
      <c r="Z434" s="55" t="n"/>
      <c r="AA434" s="52" t="n"/>
      <c r="AB434" s="52" t="n"/>
      <c r="AC434" s="42" t="inlineStr">
        <is>
          <t>IF(F434="","",IF(COUNT(AI434:AV434)=0,IF(AA434="","Not started",AA434),SUBSTITUTE(LOOKUP(2,1/(AI434:AV434&lt;&gt;""),$AI$3:$AV$3),"Date: ","")))</t>
        </is>
      </c>
      <c r="AD434" s="49" t="inlineStr">
        <is>
          <t>IF(OR(F434="",COUNT(AI434:AV434)=0),"",TODAY()-LOOKUP(2,1/(AI434:AV434&lt;&gt;""),AI434:AV434))</t>
        </is>
      </c>
      <c r="AE434" s="49" t="inlineStr">
        <is>
          <t>IF(OR(F434="",COUNT(AI434:AV434)&lt;2),"",LOOKUP(2,1/(AI434:AV434&lt;&gt;""),AI434:AV434)-MIN(AI434:AV434))</t>
        </is>
      </c>
      <c r="AF434" s="49" t="inlineStr">
        <is>
          <t>IF(OR(AD434="",AC434="Not started",AC434=""),"",IFERROR(AD434-IF(VLOOKUP(AC434,'06_Status_Pipeline'!$B$3:$E$20,4,FALSE)="",0,VLOOKUP(AC434,'06_Status_Pipeline'!$B$3:$E$20,4,FALSE)),""))</t>
        </is>
      </c>
      <c r="AG434" s="42" t="inlineStr">
        <is>
          <t>IF(F434="","",IF(OR(AA434="Cancelled",AC434="Cancelled"),"Cancelled",IF(OR(AC434="Completed / Handover",Y434&lt;&gt;"",Z434&gt;=100),"Completed — on track",IF(O434="Not awarded",IF(U434="",IF(X434="","No planned date",IF(TODAY()&gt;X434,"Behind — past planned date",IF(X434-TODAY()&lt;=30,"At risk — close to off track","On track"))),IF(TODAY()&gt;U434,"Behind — award date passed",IF(U434-TODAY()&lt;=30,"At risk — close to off track","On track"))),IF(X434="","No planned date",IF(AND(TODAY()&gt;X434,OR(Z434="",Z434&lt;100)),"Behind — past end date",IF(AND(T434&lt;&gt;"",X434&lt;&gt;"",Z434&lt;&gt;"",(Z434&lt;100),((TODAY()-T434)/MAX(X434-T434,1)*100)-Z434&gt;15),"Behind — progress lag",IF(AND(X434-TODAY()&lt;=30,X434-TODAY()&gt;=0,OR(Z434="",Z434&lt;90)),"At risk — close to off track","On track"))))))))</t>
        </is>
      </c>
      <c r="AH434" s="49" t="inlineStr">
        <is>
          <t>IF(OR(F434="",AC434="Completed / Handover",AC434="Cancelled"),"",IF(O434="Not awarded",IF(U434&lt;&gt;"",U434-TODAY(),IF(X434="","",X434-TODAY())),IF(X434="","",X434-TODAY())))</t>
        </is>
      </c>
      <c r="AI434" s="54" t="n"/>
      <c r="AJ434" s="54" t="n"/>
      <c r="AK434" s="54" t="n"/>
      <c r="AL434" s="54" t="n"/>
      <c r="AM434" s="54" t="n"/>
      <c r="AN434" s="54" t="n"/>
      <c r="AO434" s="54" t="n"/>
      <c r="AP434" s="54" t="n"/>
      <c r="AQ434" s="54" t="n"/>
      <c r="AR434" s="54" t="n"/>
      <c r="AS434" s="54" t="n"/>
      <c r="AT434" s="50" t="n"/>
      <c r="AU434" s="50" t="n"/>
      <c r="AV434" s="50" t="n"/>
      <c r="AW434" s="49" t="inlineStr">
        <is>
          <t>IF(OR(F434="",AJ434=""),"",IF(COUNT(AI434:AI434)=0,"",AJ434-LOOKUP(2,1/(AI434:AI434&lt;&gt;""),AI434:AI434)))</t>
        </is>
      </c>
      <c r="AX434" s="49" t="inlineStr">
        <is>
          <t>IF(OR(F434="",AK434=""),"",IF(COUNT(AI434:AJ434)=0,"",AK434-LOOKUP(2,1/(AI434:AJ434&lt;&gt;""),AI434:AJ434)))</t>
        </is>
      </c>
      <c r="AY434" s="49" t="inlineStr">
        <is>
          <t>IF(OR(F434="",AL434=""),"",IF(COUNT(AI434:AK434)=0,"",AL434-LOOKUP(2,1/(AI434:AK434&lt;&gt;""),AI434:AK434)))</t>
        </is>
      </c>
      <c r="AZ434" s="49" t="inlineStr">
        <is>
          <t>IF(OR(F434="",AM434=""),"",IF(COUNT(AI434:AL434)=0,"",AM434-LOOKUP(2,1/(AI434:AL434&lt;&gt;""),AI434:AL434)))</t>
        </is>
      </c>
      <c r="BA434" s="49" t="inlineStr">
        <is>
          <t>IF(OR(F434="",AN434=""),"",IF(COUNT(AI434:AM434)=0,"",AN434-LOOKUP(2,1/(AI434:AM434&lt;&gt;""),AI434:AM434)))</t>
        </is>
      </c>
      <c r="BB434" s="49" t="inlineStr">
        <is>
          <t>IF(OR(F434="",AO434=""),"",IF(COUNT(AI434:AN434)=0,"",AO434-LOOKUP(2,1/(AI434:AN434&lt;&gt;""),AI434:AN434)))</t>
        </is>
      </c>
      <c r="BC434" s="49" t="inlineStr">
        <is>
          <t>IF(OR(F434="",AP434=""),"",IF(COUNT(AI434:AO434)=0,"",AP434-LOOKUP(2,1/(AI434:AO434&lt;&gt;""),AI434:AO434)))</t>
        </is>
      </c>
      <c r="BD434" s="49" t="inlineStr">
        <is>
          <t>IF(OR(F434="",AQ434=""),"",IF(COUNT(AI434:AP434)=0,"",AQ434-LOOKUP(2,1/(AI434:AP434&lt;&gt;""),AI434:AP434)))</t>
        </is>
      </c>
      <c r="BE434" s="49" t="inlineStr">
        <is>
          <t>IF(OR(F434="",AR434=""),"",IF(COUNT(AI434:AQ434)=0,"",AR434-LOOKUP(2,1/(AI434:AQ434&lt;&gt;""),AI434:AQ434)))</t>
        </is>
      </c>
      <c r="BF434" s="49" t="inlineStr">
        <is>
          <t>IF(OR(F434="",AS434=""),"",IF(COUNT(AI434:AR434)=0,"",AS434-LOOKUP(2,1/(AI434:AR434&lt;&gt;""),AI434:AR434)))</t>
        </is>
      </c>
      <c r="BG434" s="49" t="inlineStr">
        <is>
          <t>IF(OR(F434="",AT434=""),"",IF(COUNT(AI434:AS434)=0,"",AT434-LOOKUP(2,1/(AI434:AS434&lt;&gt;""),AI434:AS434)))</t>
        </is>
      </c>
      <c r="BH434" s="49" t="inlineStr">
        <is>
          <t>IF(OR(F434="",AU434=""),"",IF(COUNT(AI434:AT434)=0,"",AU434-LOOKUP(2,1/(AI434:AT434&lt;&gt;""),AI434:AT434)))</t>
        </is>
      </c>
      <c r="BI434" s="49" t="inlineStr">
        <is>
          <t>IF(OR(F434="",AV434=""),"",IF(COUNT(AI434:AU434)=0,"",AV434-LOOKUP(2,1/(AI434:AU434&lt;&gt;""),AI434:AU434)))</t>
        </is>
      </c>
      <c r="BJ434" s="51" t="inlineStr">
        <is>
          <t>IF(J434="","All_Provinces",IFERROR(VLOOKUP(J434,'09_Lookups'!$A$4:$B$20,2,FALSE),"All_Provinces"))</t>
        </is>
      </c>
      <c r="BK434" s="51" t="inlineStr">
        <is>
          <t>IF(K434="","All_Districts",IFERROR(VLOOKUP(K434,'09_Lookups'!$E$4:$F$42,2,FALSE),"All_Districts"))</t>
        </is>
      </c>
    </row>
    <row r="435" ht="18" customHeight="1">
      <c r="A435" s="42" t="inlineStr">
        <is>
          <t>IF(F435="","",ROW()-3)</t>
        </is>
      </c>
      <c r="B435" s="44" t="n"/>
      <c r="C435" s="44" t="n"/>
      <c r="D435" s="44" t="n"/>
      <c r="E435" s="44" t="n"/>
      <c r="F435" s="44" t="n"/>
      <c r="G435" s="44" t="n"/>
      <c r="H435" s="44" t="n"/>
      <c r="I435" s="44" t="n"/>
      <c r="J435" s="44" t="n"/>
      <c r="K435" s="44" t="n"/>
      <c r="L435" s="44" t="n"/>
      <c r="M435" s="44" t="n"/>
      <c r="N435" s="44" t="n"/>
      <c r="O435" s="44" t="n"/>
      <c r="P435" s="44" t="n"/>
      <c r="Q435" s="44" t="n"/>
      <c r="R435" s="44" t="n"/>
      <c r="S435" s="45" t="n"/>
      <c r="T435" s="46" t="inlineStr">
        <is>
          <t>IF(AQ435="","",AQ435)</t>
        </is>
      </c>
      <c r="U435" s="47" t="n"/>
      <c r="V435" s="48" t="n"/>
      <c r="W435" s="47" t="n"/>
      <c r="X435" s="46" t="inlineStr">
        <is>
          <t>IF(W435&lt;&gt;"",W435,IF(OR(T435="",V435=""),"",EDATE(T435,V435)))</t>
        </is>
      </c>
      <c r="Y435" s="47" t="n"/>
      <c r="Z435" s="48" t="n"/>
      <c r="AA435" s="44" t="n"/>
      <c r="AB435" s="44" t="n"/>
      <c r="AC435" s="42" t="inlineStr">
        <is>
          <t>IF(F435="","",IF(COUNT(AI435:AV435)=0,IF(AA435="","Not started",AA435),SUBSTITUTE(LOOKUP(2,1/(AI435:AV435&lt;&gt;""),$AI$3:$AV$3),"Date: ","")))</t>
        </is>
      </c>
      <c r="AD435" s="49" t="inlineStr">
        <is>
          <t>IF(OR(F435="",COUNT(AI435:AV435)=0),"",TODAY()-LOOKUP(2,1/(AI435:AV435&lt;&gt;""),AI435:AV435))</t>
        </is>
      </c>
      <c r="AE435" s="49" t="inlineStr">
        <is>
          <t>IF(OR(F435="",COUNT(AI435:AV435)&lt;2),"",LOOKUP(2,1/(AI435:AV435&lt;&gt;""),AI435:AV435)-MIN(AI435:AV435))</t>
        </is>
      </c>
      <c r="AF435" s="49" t="inlineStr">
        <is>
          <t>IF(OR(AD435="",AC435="Not started",AC435=""),"",IFERROR(AD435-IF(VLOOKUP(AC435,'06_Status_Pipeline'!$B$3:$E$20,4,FALSE)="",0,VLOOKUP(AC435,'06_Status_Pipeline'!$B$3:$E$20,4,FALSE)),""))</t>
        </is>
      </c>
      <c r="AG435" s="42" t="inlineStr">
        <is>
          <t>IF(F435="","",IF(OR(AA435="Cancelled",AC435="Cancelled"),"Cancelled",IF(OR(AC435="Completed / Handover",Y435&lt;&gt;"",Z435&gt;=100),"Completed — on track",IF(O435="Not awarded",IF(U435="",IF(X435="","No planned date",IF(TODAY()&gt;X435,"Behind — past planned date",IF(X435-TODAY()&lt;=30,"At risk — close to off track","On track"))),IF(TODAY()&gt;U435,"Behind — award date passed",IF(U435-TODAY()&lt;=30,"At risk — close to off track","On track"))),IF(X435="","No planned date",IF(AND(TODAY()&gt;X435,OR(Z435="",Z435&lt;100)),"Behind — past end date",IF(AND(T435&lt;&gt;"",X435&lt;&gt;"",Z435&lt;&gt;"",(Z435&lt;100),((TODAY()-T435)/MAX(X435-T435,1)*100)-Z435&gt;15),"Behind — progress lag",IF(AND(X435-TODAY()&lt;=30,X435-TODAY()&gt;=0,OR(Z435="",Z435&lt;90)),"At risk — close to off track","On track"))))))))</t>
        </is>
      </c>
      <c r="AH435" s="49" t="inlineStr">
        <is>
          <t>IF(OR(F435="",AC435="Completed / Handover",AC435="Cancelled"),"",IF(O435="Not awarded",IF(U435&lt;&gt;"",U435-TODAY(),IF(X435="","",X435-TODAY())),IF(X435="","",X435-TODAY())))</t>
        </is>
      </c>
      <c r="AI435" s="47" t="n"/>
      <c r="AJ435" s="47" t="n"/>
      <c r="AK435" s="47" t="n"/>
      <c r="AL435" s="47" t="n"/>
      <c r="AM435" s="47" t="n"/>
      <c r="AN435" s="47" t="n"/>
      <c r="AO435" s="47" t="n"/>
      <c r="AP435" s="47" t="n"/>
      <c r="AQ435" s="47" t="n"/>
      <c r="AR435" s="47" t="n"/>
      <c r="AS435" s="47" t="n"/>
      <c r="AT435" s="50" t="n"/>
      <c r="AU435" s="50" t="n"/>
      <c r="AV435" s="50" t="n"/>
      <c r="AW435" s="49" t="inlineStr">
        <is>
          <t>IF(OR(F435="",AJ435=""),"",IF(COUNT(AI435:AI435)=0,"",AJ435-LOOKUP(2,1/(AI435:AI435&lt;&gt;""),AI435:AI435)))</t>
        </is>
      </c>
      <c r="AX435" s="49" t="inlineStr">
        <is>
          <t>IF(OR(F435="",AK435=""),"",IF(COUNT(AI435:AJ435)=0,"",AK435-LOOKUP(2,1/(AI435:AJ435&lt;&gt;""),AI435:AJ435)))</t>
        </is>
      </c>
      <c r="AY435" s="49" t="inlineStr">
        <is>
          <t>IF(OR(F435="",AL435=""),"",IF(COUNT(AI435:AK435)=0,"",AL435-LOOKUP(2,1/(AI435:AK435&lt;&gt;""),AI435:AK435)))</t>
        </is>
      </c>
      <c r="AZ435" s="49" t="inlineStr">
        <is>
          <t>IF(OR(F435="",AM435=""),"",IF(COUNT(AI435:AL435)=0,"",AM435-LOOKUP(2,1/(AI435:AL435&lt;&gt;""),AI435:AL435)))</t>
        </is>
      </c>
      <c r="BA435" s="49" t="inlineStr">
        <is>
          <t>IF(OR(F435="",AN435=""),"",IF(COUNT(AI435:AM435)=0,"",AN435-LOOKUP(2,1/(AI435:AM435&lt;&gt;""),AI435:AM435)))</t>
        </is>
      </c>
      <c r="BB435" s="49" t="inlineStr">
        <is>
          <t>IF(OR(F435="",AO435=""),"",IF(COUNT(AI435:AN435)=0,"",AO435-LOOKUP(2,1/(AI435:AN435&lt;&gt;""),AI435:AN435)))</t>
        </is>
      </c>
      <c r="BC435" s="49" t="inlineStr">
        <is>
          <t>IF(OR(F435="",AP435=""),"",IF(COUNT(AI435:AO435)=0,"",AP435-LOOKUP(2,1/(AI435:AO435&lt;&gt;""),AI435:AO435)))</t>
        </is>
      </c>
      <c r="BD435" s="49" t="inlineStr">
        <is>
          <t>IF(OR(F435="",AQ435=""),"",IF(COUNT(AI435:AP435)=0,"",AQ435-LOOKUP(2,1/(AI435:AP435&lt;&gt;""),AI435:AP435)))</t>
        </is>
      </c>
      <c r="BE435" s="49" t="inlineStr">
        <is>
          <t>IF(OR(F435="",AR435=""),"",IF(COUNT(AI435:AQ435)=0,"",AR435-LOOKUP(2,1/(AI435:AQ435&lt;&gt;""),AI435:AQ435)))</t>
        </is>
      </c>
      <c r="BF435" s="49" t="inlineStr">
        <is>
          <t>IF(OR(F435="",AS435=""),"",IF(COUNT(AI435:AR435)=0,"",AS435-LOOKUP(2,1/(AI435:AR435&lt;&gt;""),AI435:AR435)))</t>
        </is>
      </c>
      <c r="BG435" s="49" t="inlineStr">
        <is>
          <t>IF(OR(F435="",AT435=""),"",IF(COUNT(AI435:AS435)=0,"",AT435-LOOKUP(2,1/(AI435:AS435&lt;&gt;""),AI435:AS435)))</t>
        </is>
      </c>
      <c r="BH435" s="49" t="inlineStr">
        <is>
          <t>IF(OR(F435="",AU435=""),"",IF(COUNT(AI435:AT435)=0,"",AU435-LOOKUP(2,1/(AI435:AT435&lt;&gt;""),AI435:AT435)))</t>
        </is>
      </c>
      <c r="BI435" s="49" t="inlineStr">
        <is>
          <t>IF(OR(F435="",AV435=""),"",IF(COUNT(AI435:AU435)=0,"",AV435-LOOKUP(2,1/(AI435:AU435&lt;&gt;""),AI435:AU435)))</t>
        </is>
      </c>
      <c r="BJ435" s="51" t="inlineStr">
        <is>
          <t>IF(J435="","All_Provinces",IFERROR(VLOOKUP(J435,'09_Lookups'!$A$4:$B$20,2,FALSE),"All_Provinces"))</t>
        </is>
      </c>
      <c r="BK435" s="51" t="inlineStr">
        <is>
          <t>IF(K435="","All_Districts",IFERROR(VLOOKUP(K435,'09_Lookups'!$E$4:$F$42,2,FALSE),"All_Districts"))</t>
        </is>
      </c>
    </row>
    <row r="436" ht="18" customHeight="1">
      <c r="A436" s="42" t="inlineStr">
        <is>
          <t>IF(F436="","",ROW()-3)</t>
        </is>
      </c>
      <c r="B436" s="52" t="n"/>
      <c r="C436" s="52" t="n"/>
      <c r="D436" s="52" t="n"/>
      <c r="E436" s="52" t="n"/>
      <c r="F436" s="52" t="n"/>
      <c r="G436" s="52" t="n"/>
      <c r="H436" s="52" t="n"/>
      <c r="I436" s="52" t="n"/>
      <c r="J436" s="52" t="n"/>
      <c r="K436" s="52" t="n"/>
      <c r="L436" s="52" t="n"/>
      <c r="M436" s="52" t="n"/>
      <c r="N436" s="52" t="n"/>
      <c r="O436" s="52" t="n"/>
      <c r="P436" s="52" t="n"/>
      <c r="Q436" s="52" t="n"/>
      <c r="R436" s="52" t="n"/>
      <c r="S436" s="53" t="n"/>
      <c r="T436" s="46" t="inlineStr">
        <is>
          <t>IF(AQ436="","",AQ436)</t>
        </is>
      </c>
      <c r="U436" s="54" t="n"/>
      <c r="V436" s="55" t="n"/>
      <c r="W436" s="54" t="n"/>
      <c r="X436" s="46" t="inlineStr">
        <is>
          <t>IF(W436&lt;&gt;"",W436,IF(OR(T436="",V436=""),"",EDATE(T436,V436)))</t>
        </is>
      </c>
      <c r="Y436" s="54" t="n"/>
      <c r="Z436" s="55" t="n"/>
      <c r="AA436" s="52" t="n"/>
      <c r="AB436" s="52" t="n"/>
      <c r="AC436" s="42" t="inlineStr">
        <is>
          <t>IF(F436="","",IF(COUNT(AI436:AV436)=0,IF(AA436="","Not started",AA436),SUBSTITUTE(LOOKUP(2,1/(AI436:AV436&lt;&gt;""),$AI$3:$AV$3),"Date: ","")))</t>
        </is>
      </c>
      <c r="AD436" s="49" t="inlineStr">
        <is>
          <t>IF(OR(F436="",COUNT(AI436:AV436)=0),"",TODAY()-LOOKUP(2,1/(AI436:AV436&lt;&gt;""),AI436:AV436))</t>
        </is>
      </c>
      <c r="AE436" s="49" t="inlineStr">
        <is>
          <t>IF(OR(F436="",COUNT(AI436:AV436)&lt;2),"",LOOKUP(2,1/(AI436:AV436&lt;&gt;""),AI436:AV436)-MIN(AI436:AV436))</t>
        </is>
      </c>
      <c r="AF436" s="49" t="inlineStr">
        <is>
          <t>IF(OR(AD436="",AC436="Not started",AC436=""),"",IFERROR(AD436-IF(VLOOKUP(AC436,'06_Status_Pipeline'!$B$3:$E$20,4,FALSE)="",0,VLOOKUP(AC436,'06_Status_Pipeline'!$B$3:$E$20,4,FALSE)),""))</t>
        </is>
      </c>
      <c r="AG436" s="42" t="inlineStr">
        <is>
          <t>IF(F436="","",IF(OR(AA436="Cancelled",AC436="Cancelled"),"Cancelled",IF(OR(AC436="Completed / Handover",Y436&lt;&gt;"",Z436&gt;=100),"Completed — on track",IF(O436="Not awarded",IF(U436="",IF(X436="","No planned date",IF(TODAY()&gt;X436,"Behind — past planned date",IF(X436-TODAY()&lt;=30,"At risk — close to off track","On track"))),IF(TODAY()&gt;U436,"Behind — award date passed",IF(U436-TODAY()&lt;=30,"At risk — close to off track","On track"))),IF(X436="","No planned date",IF(AND(TODAY()&gt;X436,OR(Z436="",Z436&lt;100)),"Behind — past end date",IF(AND(T436&lt;&gt;"",X436&lt;&gt;"",Z436&lt;&gt;"",(Z436&lt;100),((TODAY()-T436)/MAX(X436-T436,1)*100)-Z436&gt;15),"Behind — progress lag",IF(AND(X436-TODAY()&lt;=30,X436-TODAY()&gt;=0,OR(Z436="",Z436&lt;90)),"At risk — close to off track","On track"))))))))</t>
        </is>
      </c>
      <c r="AH436" s="49" t="inlineStr">
        <is>
          <t>IF(OR(F436="",AC436="Completed / Handover",AC436="Cancelled"),"",IF(O436="Not awarded",IF(U436&lt;&gt;"",U436-TODAY(),IF(X436="","",X436-TODAY())),IF(X436="","",X436-TODAY())))</t>
        </is>
      </c>
      <c r="AI436" s="54" t="n"/>
      <c r="AJ436" s="54" t="n"/>
      <c r="AK436" s="54" t="n"/>
      <c r="AL436" s="54" t="n"/>
      <c r="AM436" s="54" t="n"/>
      <c r="AN436" s="54" t="n"/>
      <c r="AO436" s="54" t="n"/>
      <c r="AP436" s="54" t="n"/>
      <c r="AQ436" s="54" t="n"/>
      <c r="AR436" s="54" t="n"/>
      <c r="AS436" s="54" t="n"/>
      <c r="AT436" s="50" t="n"/>
      <c r="AU436" s="50" t="n"/>
      <c r="AV436" s="50" t="n"/>
      <c r="AW436" s="49" t="inlineStr">
        <is>
          <t>IF(OR(F436="",AJ436=""),"",IF(COUNT(AI436:AI436)=0,"",AJ436-LOOKUP(2,1/(AI436:AI436&lt;&gt;""),AI436:AI436)))</t>
        </is>
      </c>
      <c r="AX436" s="49" t="inlineStr">
        <is>
          <t>IF(OR(F436="",AK436=""),"",IF(COUNT(AI436:AJ436)=0,"",AK436-LOOKUP(2,1/(AI436:AJ436&lt;&gt;""),AI436:AJ436)))</t>
        </is>
      </c>
      <c r="AY436" s="49" t="inlineStr">
        <is>
          <t>IF(OR(F436="",AL436=""),"",IF(COUNT(AI436:AK436)=0,"",AL436-LOOKUP(2,1/(AI436:AK436&lt;&gt;""),AI436:AK436)))</t>
        </is>
      </c>
      <c r="AZ436" s="49" t="inlineStr">
        <is>
          <t>IF(OR(F436="",AM436=""),"",IF(COUNT(AI436:AL436)=0,"",AM436-LOOKUP(2,1/(AI436:AL436&lt;&gt;""),AI436:AL436)))</t>
        </is>
      </c>
      <c r="BA436" s="49" t="inlineStr">
        <is>
          <t>IF(OR(F436="",AN436=""),"",IF(COUNT(AI436:AM436)=0,"",AN436-LOOKUP(2,1/(AI436:AM436&lt;&gt;""),AI436:AM436)))</t>
        </is>
      </c>
      <c r="BB436" s="49" t="inlineStr">
        <is>
          <t>IF(OR(F436="",AO436=""),"",IF(COUNT(AI436:AN436)=0,"",AO436-LOOKUP(2,1/(AI436:AN436&lt;&gt;""),AI436:AN436)))</t>
        </is>
      </c>
      <c r="BC436" s="49" t="inlineStr">
        <is>
          <t>IF(OR(F436="",AP436=""),"",IF(COUNT(AI436:AO436)=0,"",AP436-LOOKUP(2,1/(AI436:AO436&lt;&gt;""),AI436:AO436)))</t>
        </is>
      </c>
      <c r="BD436" s="49" t="inlineStr">
        <is>
          <t>IF(OR(F436="",AQ436=""),"",IF(COUNT(AI436:AP436)=0,"",AQ436-LOOKUP(2,1/(AI436:AP436&lt;&gt;""),AI436:AP436)))</t>
        </is>
      </c>
      <c r="BE436" s="49" t="inlineStr">
        <is>
          <t>IF(OR(F436="",AR436=""),"",IF(COUNT(AI436:AQ436)=0,"",AR436-LOOKUP(2,1/(AI436:AQ436&lt;&gt;""),AI436:AQ436)))</t>
        </is>
      </c>
      <c r="BF436" s="49" t="inlineStr">
        <is>
          <t>IF(OR(F436="",AS436=""),"",IF(COUNT(AI436:AR436)=0,"",AS436-LOOKUP(2,1/(AI436:AR436&lt;&gt;""),AI436:AR436)))</t>
        </is>
      </c>
      <c r="BG436" s="49" t="inlineStr">
        <is>
          <t>IF(OR(F436="",AT436=""),"",IF(COUNT(AI436:AS436)=0,"",AT436-LOOKUP(2,1/(AI436:AS436&lt;&gt;""),AI436:AS436)))</t>
        </is>
      </c>
      <c r="BH436" s="49" t="inlineStr">
        <is>
          <t>IF(OR(F436="",AU436=""),"",IF(COUNT(AI436:AT436)=0,"",AU436-LOOKUP(2,1/(AI436:AT436&lt;&gt;""),AI436:AT436)))</t>
        </is>
      </c>
      <c r="BI436" s="49" t="inlineStr">
        <is>
          <t>IF(OR(F436="",AV436=""),"",IF(COUNT(AI436:AU436)=0,"",AV436-LOOKUP(2,1/(AI436:AU436&lt;&gt;""),AI436:AU436)))</t>
        </is>
      </c>
      <c r="BJ436" s="51" t="inlineStr">
        <is>
          <t>IF(J436="","All_Provinces",IFERROR(VLOOKUP(J436,'09_Lookups'!$A$4:$B$20,2,FALSE),"All_Provinces"))</t>
        </is>
      </c>
      <c r="BK436" s="51" t="inlineStr">
        <is>
          <t>IF(K436="","All_Districts",IFERROR(VLOOKUP(K436,'09_Lookups'!$E$4:$F$42,2,FALSE),"All_Districts"))</t>
        </is>
      </c>
    </row>
    <row r="437" ht="18" customHeight="1">
      <c r="A437" s="42" t="inlineStr">
        <is>
          <t>IF(F437="","",ROW()-3)</t>
        </is>
      </c>
      <c r="B437" s="44" t="n"/>
      <c r="C437" s="44" t="n"/>
      <c r="D437" s="44" t="n"/>
      <c r="E437" s="44" t="n"/>
      <c r="F437" s="44" t="n"/>
      <c r="G437" s="44" t="n"/>
      <c r="H437" s="44" t="n"/>
      <c r="I437" s="44" t="n"/>
      <c r="J437" s="44" t="n"/>
      <c r="K437" s="44" t="n"/>
      <c r="L437" s="44" t="n"/>
      <c r="M437" s="44" t="n"/>
      <c r="N437" s="44" t="n"/>
      <c r="O437" s="44" t="n"/>
      <c r="P437" s="44" t="n"/>
      <c r="Q437" s="44" t="n"/>
      <c r="R437" s="44" t="n"/>
      <c r="S437" s="45" t="n"/>
      <c r="T437" s="46" t="inlineStr">
        <is>
          <t>IF(AQ437="","",AQ437)</t>
        </is>
      </c>
      <c r="U437" s="47" t="n"/>
      <c r="V437" s="48" t="n"/>
      <c r="W437" s="47" t="n"/>
      <c r="X437" s="46" t="inlineStr">
        <is>
          <t>IF(W437&lt;&gt;"",W437,IF(OR(T437="",V437=""),"",EDATE(T437,V437)))</t>
        </is>
      </c>
      <c r="Y437" s="47" t="n"/>
      <c r="Z437" s="48" t="n"/>
      <c r="AA437" s="44" t="n"/>
      <c r="AB437" s="44" t="n"/>
      <c r="AC437" s="42" t="inlineStr">
        <is>
          <t>IF(F437="","",IF(COUNT(AI437:AV437)=0,IF(AA437="","Not started",AA437),SUBSTITUTE(LOOKUP(2,1/(AI437:AV437&lt;&gt;""),$AI$3:$AV$3),"Date: ","")))</t>
        </is>
      </c>
      <c r="AD437" s="49" t="inlineStr">
        <is>
          <t>IF(OR(F437="",COUNT(AI437:AV437)=0),"",TODAY()-LOOKUP(2,1/(AI437:AV437&lt;&gt;""),AI437:AV437))</t>
        </is>
      </c>
      <c r="AE437" s="49" t="inlineStr">
        <is>
          <t>IF(OR(F437="",COUNT(AI437:AV437)&lt;2),"",LOOKUP(2,1/(AI437:AV437&lt;&gt;""),AI437:AV437)-MIN(AI437:AV437))</t>
        </is>
      </c>
      <c r="AF437" s="49" t="inlineStr">
        <is>
          <t>IF(OR(AD437="",AC437="Not started",AC437=""),"",IFERROR(AD437-IF(VLOOKUP(AC437,'06_Status_Pipeline'!$B$3:$E$20,4,FALSE)="",0,VLOOKUP(AC437,'06_Status_Pipeline'!$B$3:$E$20,4,FALSE)),""))</t>
        </is>
      </c>
      <c r="AG437" s="42" t="inlineStr">
        <is>
          <t>IF(F437="","",IF(OR(AA437="Cancelled",AC437="Cancelled"),"Cancelled",IF(OR(AC437="Completed / Handover",Y437&lt;&gt;"",Z437&gt;=100),"Completed — on track",IF(O437="Not awarded",IF(U437="",IF(X437="","No planned date",IF(TODAY()&gt;X437,"Behind — past planned date",IF(X437-TODAY()&lt;=30,"At risk — close to off track","On track"))),IF(TODAY()&gt;U437,"Behind — award date passed",IF(U437-TODAY()&lt;=30,"At risk — close to off track","On track"))),IF(X437="","No planned date",IF(AND(TODAY()&gt;X437,OR(Z437="",Z437&lt;100)),"Behind — past end date",IF(AND(T437&lt;&gt;"",X437&lt;&gt;"",Z437&lt;&gt;"",(Z437&lt;100),((TODAY()-T437)/MAX(X437-T437,1)*100)-Z437&gt;15),"Behind — progress lag",IF(AND(X437-TODAY()&lt;=30,X437-TODAY()&gt;=0,OR(Z437="",Z437&lt;90)),"At risk — close to off track","On track"))))))))</t>
        </is>
      </c>
      <c r="AH437" s="49" t="inlineStr">
        <is>
          <t>IF(OR(F437="",AC437="Completed / Handover",AC437="Cancelled"),"",IF(O437="Not awarded",IF(U437&lt;&gt;"",U437-TODAY(),IF(X437="","",X437-TODAY())),IF(X437="","",X437-TODAY())))</t>
        </is>
      </c>
      <c r="AI437" s="47" t="n"/>
      <c r="AJ437" s="47" t="n"/>
      <c r="AK437" s="47" t="n"/>
      <c r="AL437" s="47" t="n"/>
      <c r="AM437" s="47" t="n"/>
      <c r="AN437" s="47" t="n"/>
      <c r="AO437" s="47" t="n"/>
      <c r="AP437" s="47" t="n"/>
      <c r="AQ437" s="47" t="n"/>
      <c r="AR437" s="47" t="n"/>
      <c r="AS437" s="47" t="n"/>
      <c r="AT437" s="50" t="n"/>
      <c r="AU437" s="50" t="n"/>
      <c r="AV437" s="50" t="n"/>
      <c r="AW437" s="49" t="inlineStr">
        <is>
          <t>IF(OR(F437="",AJ437=""),"",IF(COUNT(AI437:AI437)=0,"",AJ437-LOOKUP(2,1/(AI437:AI437&lt;&gt;""),AI437:AI437)))</t>
        </is>
      </c>
      <c r="AX437" s="49" t="inlineStr">
        <is>
          <t>IF(OR(F437="",AK437=""),"",IF(COUNT(AI437:AJ437)=0,"",AK437-LOOKUP(2,1/(AI437:AJ437&lt;&gt;""),AI437:AJ437)))</t>
        </is>
      </c>
      <c r="AY437" s="49" t="inlineStr">
        <is>
          <t>IF(OR(F437="",AL437=""),"",IF(COUNT(AI437:AK437)=0,"",AL437-LOOKUP(2,1/(AI437:AK437&lt;&gt;""),AI437:AK437)))</t>
        </is>
      </c>
      <c r="AZ437" s="49" t="inlineStr">
        <is>
          <t>IF(OR(F437="",AM437=""),"",IF(COUNT(AI437:AL437)=0,"",AM437-LOOKUP(2,1/(AI437:AL437&lt;&gt;""),AI437:AL437)))</t>
        </is>
      </c>
      <c r="BA437" s="49" t="inlineStr">
        <is>
          <t>IF(OR(F437="",AN437=""),"",IF(COUNT(AI437:AM437)=0,"",AN437-LOOKUP(2,1/(AI437:AM437&lt;&gt;""),AI437:AM437)))</t>
        </is>
      </c>
      <c r="BB437" s="49" t="inlineStr">
        <is>
          <t>IF(OR(F437="",AO437=""),"",IF(COUNT(AI437:AN437)=0,"",AO437-LOOKUP(2,1/(AI437:AN437&lt;&gt;""),AI437:AN437)))</t>
        </is>
      </c>
      <c r="BC437" s="49" t="inlineStr">
        <is>
          <t>IF(OR(F437="",AP437=""),"",IF(COUNT(AI437:AO437)=0,"",AP437-LOOKUP(2,1/(AI437:AO437&lt;&gt;""),AI437:AO437)))</t>
        </is>
      </c>
      <c r="BD437" s="49" t="inlineStr">
        <is>
          <t>IF(OR(F437="",AQ437=""),"",IF(COUNT(AI437:AP437)=0,"",AQ437-LOOKUP(2,1/(AI437:AP437&lt;&gt;""),AI437:AP437)))</t>
        </is>
      </c>
      <c r="BE437" s="49" t="inlineStr">
        <is>
          <t>IF(OR(F437="",AR437=""),"",IF(COUNT(AI437:AQ437)=0,"",AR437-LOOKUP(2,1/(AI437:AQ437&lt;&gt;""),AI437:AQ437)))</t>
        </is>
      </c>
      <c r="BF437" s="49" t="inlineStr">
        <is>
          <t>IF(OR(F437="",AS437=""),"",IF(COUNT(AI437:AR437)=0,"",AS437-LOOKUP(2,1/(AI437:AR437&lt;&gt;""),AI437:AR437)))</t>
        </is>
      </c>
      <c r="BG437" s="49" t="inlineStr">
        <is>
          <t>IF(OR(F437="",AT437=""),"",IF(COUNT(AI437:AS437)=0,"",AT437-LOOKUP(2,1/(AI437:AS437&lt;&gt;""),AI437:AS437)))</t>
        </is>
      </c>
      <c r="BH437" s="49" t="inlineStr">
        <is>
          <t>IF(OR(F437="",AU437=""),"",IF(COUNT(AI437:AT437)=0,"",AU437-LOOKUP(2,1/(AI437:AT437&lt;&gt;""),AI437:AT437)))</t>
        </is>
      </c>
      <c r="BI437" s="49" t="inlineStr">
        <is>
          <t>IF(OR(F437="",AV437=""),"",IF(COUNT(AI437:AU437)=0,"",AV437-LOOKUP(2,1/(AI437:AU437&lt;&gt;""),AI437:AU437)))</t>
        </is>
      </c>
      <c r="BJ437" s="51" t="inlineStr">
        <is>
          <t>IF(J437="","All_Provinces",IFERROR(VLOOKUP(J437,'09_Lookups'!$A$4:$B$20,2,FALSE),"All_Provinces"))</t>
        </is>
      </c>
      <c r="BK437" s="51" t="inlineStr">
        <is>
          <t>IF(K437="","All_Districts",IFERROR(VLOOKUP(K437,'09_Lookups'!$E$4:$F$42,2,FALSE),"All_Districts"))</t>
        </is>
      </c>
    </row>
    <row r="438" ht="18" customHeight="1">
      <c r="A438" s="42" t="inlineStr">
        <is>
          <t>IF(F438="","",ROW()-3)</t>
        </is>
      </c>
      <c r="B438" s="52" t="n"/>
      <c r="C438" s="52" t="n"/>
      <c r="D438" s="52" t="n"/>
      <c r="E438" s="52" t="n"/>
      <c r="F438" s="52" t="n"/>
      <c r="G438" s="52" t="n"/>
      <c r="H438" s="52" t="n"/>
      <c r="I438" s="52" t="n"/>
      <c r="J438" s="52" t="n"/>
      <c r="K438" s="52" t="n"/>
      <c r="L438" s="52" t="n"/>
      <c r="M438" s="52" t="n"/>
      <c r="N438" s="52" t="n"/>
      <c r="O438" s="52" t="n"/>
      <c r="P438" s="52" t="n"/>
      <c r="Q438" s="52" t="n"/>
      <c r="R438" s="52" t="n"/>
      <c r="S438" s="53" t="n"/>
      <c r="T438" s="46" t="inlineStr">
        <is>
          <t>IF(AQ438="","",AQ438)</t>
        </is>
      </c>
      <c r="U438" s="54" t="n"/>
      <c r="V438" s="55" t="n"/>
      <c r="W438" s="54" t="n"/>
      <c r="X438" s="46" t="inlineStr">
        <is>
          <t>IF(W438&lt;&gt;"",W438,IF(OR(T438="",V438=""),"",EDATE(T438,V438)))</t>
        </is>
      </c>
      <c r="Y438" s="54" t="n"/>
      <c r="Z438" s="55" t="n"/>
      <c r="AA438" s="52" t="n"/>
      <c r="AB438" s="52" t="n"/>
      <c r="AC438" s="42" t="inlineStr">
        <is>
          <t>IF(F438="","",IF(COUNT(AI438:AV438)=0,IF(AA438="","Not started",AA438),SUBSTITUTE(LOOKUP(2,1/(AI438:AV438&lt;&gt;""),$AI$3:$AV$3),"Date: ","")))</t>
        </is>
      </c>
      <c r="AD438" s="49" t="inlineStr">
        <is>
          <t>IF(OR(F438="",COUNT(AI438:AV438)=0),"",TODAY()-LOOKUP(2,1/(AI438:AV438&lt;&gt;""),AI438:AV438))</t>
        </is>
      </c>
      <c r="AE438" s="49" t="inlineStr">
        <is>
          <t>IF(OR(F438="",COUNT(AI438:AV438)&lt;2),"",LOOKUP(2,1/(AI438:AV438&lt;&gt;""),AI438:AV438)-MIN(AI438:AV438))</t>
        </is>
      </c>
      <c r="AF438" s="49" t="inlineStr">
        <is>
          <t>IF(OR(AD438="",AC438="Not started",AC438=""),"",IFERROR(AD438-IF(VLOOKUP(AC438,'06_Status_Pipeline'!$B$3:$E$20,4,FALSE)="",0,VLOOKUP(AC438,'06_Status_Pipeline'!$B$3:$E$20,4,FALSE)),""))</t>
        </is>
      </c>
      <c r="AG438" s="42" t="inlineStr">
        <is>
          <t>IF(F438="","",IF(OR(AA438="Cancelled",AC438="Cancelled"),"Cancelled",IF(OR(AC438="Completed / Handover",Y438&lt;&gt;"",Z438&gt;=100),"Completed — on track",IF(O438="Not awarded",IF(U438="",IF(X438="","No planned date",IF(TODAY()&gt;X438,"Behind — past planned date",IF(X438-TODAY()&lt;=30,"At risk — close to off track","On track"))),IF(TODAY()&gt;U438,"Behind — award date passed",IF(U438-TODAY()&lt;=30,"At risk — close to off track","On track"))),IF(X438="","No planned date",IF(AND(TODAY()&gt;X438,OR(Z438="",Z438&lt;100)),"Behind — past end date",IF(AND(T438&lt;&gt;"",X438&lt;&gt;"",Z438&lt;&gt;"",(Z438&lt;100),((TODAY()-T438)/MAX(X438-T438,1)*100)-Z438&gt;15),"Behind — progress lag",IF(AND(X438-TODAY()&lt;=30,X438-TODAY()&gt;=0,OR(Z438="",Z438&lt;90)),"At risk — close to off track","On track"))))))))</t>
        </is>
      </c>
      <c r="AH438" s="49" t="inlineStr">
        <is>
          <t>IF(OR(F438="",AC438="Completed / Handover",AC438="Cancelled"),"",IF(O438="Not awarded",IF(U438&lt;&gt;"",U438-TODAY(),IF(X438="","",X438-TODAY())),IF(X438="","",X438-TODAY())))</t>
        </is>
      </c>
      <c r="AI438" s="54" t="n"/>
      <c r="AJ438" s="54" t="n"/>
      <c r="AK438" s="54" t="n"/>
      <c r="AL438" s="54" t="n"/>
      <c r="AM438" s="54" t="n"/>
      <c r="AN438" s="54" t="n"/>
      <c r="AO438" s="54" t="n"/>
      <c r="AP438" s="54" t="n"/>
      <c r="AQ438" s="54" t="n"/>
      <c r="AR438" s="54" t="n"/>
      <c r="AS438" s="54" t="n"/>
      <c r="AT438" s="50" t="n"/>
      <c r="AU438" s="50" t="n"/>
      <c r="AV438" s="50" t="n"/>
      <c r="AW438" s="49" t="inlineStr">
        <is>
          <t>IF(OR(F438="",AJ438=""),"",IF(COUNT(AI438:AI438)=0,"",AJ438-LOOKUP(2,1/(AI438:AI438&lt;&gt;""),AI438:AI438)))</t>
        </is>
      </c>
      <c r="AX438" s="49" t="inlineStr">
        <is>
          <t>IF(OR(F438="",AK438=""),"",IF(COUNT(AI438:AJ438)=0,"",AK438-LOOKUP(2,1/(AI438:AJ438&lt;&gt;""),AI438:AJ438)))</t>
        </is>
      </c>
      <c r="AY438" s="49" t="inlineStr">
        <is>
          <t>IF(OR(F438="",AL438=""),"",IF(COUNT(AI438:AK438)=0,"",AL438-LOOKUP(2,1/(AI438:AK438&lt;&gt;""),AI438:AK438)))</t>
        </is>
      </c>
      <c r="AZ438" s="49" t="inlineStr">
        <is>
          <t>IF(OR(F438="",AM438=""),"",IF(COUNT(AI438:AL438)=0,"",AM438-LOOKUP(2,1/(AI438:AL438&lt;&gt;""),AI438:AL438)))</t>
        </is>
      </c>
      <c r="BA438" s="49" t="inlineStr">
        <is>
          <t>IF(OR(F438="",AN438=""),"",IF(COUNT(AI438:AM438)=0,"",AN438-LOOKUP(2,1/(AI438:AM438&lt;&gt;""),AI438:AM438)))</t>
        </is>
      </c>
      <c r="BB438" s="49" t="inlineStr">
        <is>
          <t>IF(OR(F438="",AO438=""),"",IF(COUNT(AI438:AN438)=0,"",AO438-LOOKUP(2,1/(AI438:AN438&lt;&gt;""),AI438:AN438)))</t>
        </is>
      </c>
      <c r="BC438" s="49" t="inlineStr">
        <is>
          <t>IF(OR(F438="",AP438=""),"",IF(COUNT(AI438:AO438)=0,"",AP438-LOOKUP(2,1/(AI438:AO438&lt;&gt;""),AI438:AO438)))</t>
        </is>
      </c>
      <c r="BD438" s="49" t="inlineStr">
        <is>
          <t>IF(OR(F438="",AQ438=""),"",IF(COUNT(AI438:AP438)=0,"",AQ438-LOOKUP(2,1/(AI438:AP438&lt;&gt;""),AI438:AP438)))</t>
        </is>
      </c>
      <c r="BE438" s="49" t="inlineStr">
        <is>
          <t>IF(OR(F438="",AR438=""),"",IF(COUNT(AI438:AQ438)=0,"",AR438-LOOKUP(2,1/(AI438:AQ438&lt;&gt;""),AI438:AQ438)))</t>
        </is>
      </c>
      <c r="BF438" s="49" t="inlineStr">
        <is>
          <t>IF(OR(F438="",AS438=""),"",IF(COUNT(AI438:AR438)=0,"",AS438-LOOKUP(2,1/(AI438:AR438&lt;&gt;""),AI438:AR438)))</t>
        </is>
      </c>
      <c r="BG438" s="49" t="inlineStr">
        <is>
          <t>IF(OR(F438="",AT438=""),"",IF(COUNT(AI438:AS438)=0,"",AT438-LOOKUP(2,1/(AI438:AS438&lt;&gt;""),AI438:AS438)))</t>
        </is>
      </c>
      <c r="BH438" s="49" t="inlineStr">
        <is>
          <t>IF(OR(F438="",AU438=""),"",IF(COUNT(AI438:AT438)=0,"",AU438-LOOKUP(2,1/(AI438:AT438&lt;&gt;""),AI438:AT438)))</t>
        </is>
      </c>
      <c r="BI438" s="49" t="inlineStr">
        <is>
          <t>IF(OR(F438="",AV438=""),"",IF(COUNT(AI438:AU438)=0,"",AV438-LOOKUP(2,1/(AI438:AU438&lt;&gt;""),AI438:AU438)))</t>
        </is>
      </c>
      <c r="BJ438" s="51" t="inlineStr">
        <is>
          <t>IF(J438="","All_Provinces",IFERROR(VLOOKUP(J438,'09_Lookups'!$A$4:$B$20,2,FALSE),"All_Provinces"))</t>
        </is>
      </c>
      <c r="BK438" s="51" t="inlineStr">
        <is>
          <t>IF(K438="","All_Districts",IFERROR(VLOOKUP(K438,'09_Lookups'!$E$4:$F$42,2,FALSE),"All_Districts"))</t>
        </is>
      </c>
    </row>
    <row r="439" ht="18" customHeight="1">
      <c r="A439" s="42" t="inlineStr">
        <is>
          <t>IF(F439="","",ROW()-3)</t>
        </is>
      </c>
      <c r="B439" s="44" t="n"/>
      <c r="C439" s="44" t="n"/>
      <c r="D439" s="44" t="n"/>
      <c r="E439" s="44" t="n"/>
      <c r="F439" s="44" t="n"/>
      <c r="G439" s="44" t="n"/>
      <c r="H439" s="44" t="n"/>
      <c r="I439" s="44" t="n"/>
      <c r="J439" s="44" t="n"/>
      <c r="K439" s="44" t="n"/>
      <c r="L439" s="44" t="n"/>
      <c r="M439" s="44" t="n"/>
      <c r="N439" s="44" t="n"/>
      <c r="O439" s="44" t="n"/>
      <c r="P439" s="44" t="n"/>
      <c r="Q439" s="44" t="n"/>
      <c r="R439" s="44" t="n"/>
      <c r="S439" s="45" t="n"/>
      <c r="T439" s="46" t="inlineStr">
        <is>
          <t>IF(AQ439="","",AQ439)</t>
        </is>
      </c>
      <c r="U439" s="47" t="n"/>
      <c r="V439" s="48" t="n"/>
      <c r="W439" s="47" t="n"/>
      <c r="X439" s="46" t="inlineStr">
        <is>
          <t>IF(W439&lt;&gt;"",W439,IF(OR(T439="",V439=""),"",EDATE(T439,V439)))</t>
        </is>
      </c>
      <c r="Y439" s="47" t="n"/>
      <c r="Z439" s="48" t="n"/>
      <c r="AA439" s="44" t="n"/>
      <c r="AB439" s="44" t="n"/>
      <c r="AC439" s="42" t="inlineStr">
        <is>
          <t>IF(F439="","",IF(COUNT(AI439:AV439)=0,IF(AA439="","Not started",AA439),SUBSTITUTE(LOOKUP(2,1/(AI439:AV439&lt;&gt;""),$AI$3:$AV$3),"Date: ","")))</t>
        </is>
      </c>
      <c r="AD439" s="49" t="inlineStr">
        <is>
          <t>IF(OR(F439="",COUNT(AI439:AV439)=0),"",TODAY()-LOOKUP(2,1/(AI439:AV439&lt;&gt;""),AI439:AV439))</t>
        </is>
      </c>
      <c r="AE439" s="49" t="inlineStr">
        <is>
          <t>IF(OR(F439="",COUNT(AI439:AV439)&lt;2),"",LOOKUP(2,1/(AI439:AV439&lt;&gt;""),AI439:AV439)-MIN(AI439:AV439))</t>
        </is>
      </c>
      <c r="AF439" s="49" t="inlineStr">
        <is>
          <t>IF(OR(AD439="",AC439="Not started",AC439=""),"",IFERROR(AD439-IF(VLOOKUP(AC439,'06_Status_Pipeline'!$B$3:$E$20,4,FALSE)="",0,VLOOKUP(AC439,'06_Status_Pipeline'!$B$3:$E$20,4,FALSE)),""))</t>
        </is>
      </c>
      <c r="AG439" s="42" t="inlineStr">
        <is>
          <t>IF(F439="","",IF(OR(AA439="Cancelled",AC439="Cancelled"),"Cancelled",IF(OR(AC439="Completed / Handover",Y439&lt;&gt;"",Z439&gt;=100),"Completed — on track",IF(O439="Not awarded",IF(U439="",IF(X439="","No planned date",IF(TODAY()&gt;X439,"Behind — past planned date",IF(X439-TODAY()&lt;=30,"At risk — close to off track","On track"))),IF(TODAY()&gt;U439,"Behind — award date passed",IF(U439-TODAY()&lt;=30,"At risk — close to off track","On track"))),IF(X439="","No planned date",IF(AND(TODAY()&gt;X439,OR(Z439="",Z439&lt;100)),"Behind — past end date",IF(AND(T439&lt;&gt;"",X439&lt;&gt;"",Z439&lt;&gt;"",(Z439&lt;100),((TODAY()-T439)/MAX(X439-T439,1)*100)-Z439&gt;15),"Behind — progress lag",IF(AND(X439-TODAY()&lt;=30,X439-TODAY()&gt;=0,OR(Z439="",Z439&lt;90)),"At risk — close to off track","On track"))))))))</t>
        </is>
      </c>
      <c r="AH439" s="49" t="inlineStr">
        <is>
          <t>IF(OR(F439="",AC439="Completed / Handover",AC439="Cancelled"),"",IF(O439="Not awarded",IF(U439&lt;&gt;"",U439-TODAY(),IF(X439="","",X439-TODAY())),IF(X439="","",X439-TODAY())))</t>
        </is>
      </c>
      <c r="AI439" s="47" t="n"/>
      <c r="AJ439" s="47" t="n"/>
      <c r="AK439" s="47" t="n"/>
      <c r="AL439" s="47" t="n"/>
      <c r="AM439" s="47" t="n"/>
      <c r="AN439" s="47" t="n"/>
      <c r="AO439" s="47" t="n"/>
      <c r="AP439" s="47" t="n"/>
      <c r="AQ439" s="47" t="n"/>
      <c r="AR439" s="47" t="n"/>
      <c r="AS439" s="47" t="n"/>
      <c r="AT439" s="50" t="n"/>
      <c r="AU439" s="50" t="n"/>
      <c r="AV439" s="50" t="n"/>
      <c r="AW439" s="49" t="inlineStr">
        <is>
          <t>IF(OR(F439="",AJ439=""),"",IF(COUNT(AI439:AI439)=0,"",AJ439-LOOKUP(2,1/(AI439:AI439&lt;&gt;""),AI439:AI439)))</t>
        </is>
      </c>
      <c r="AX439" s="49" t="inlineStr">
        <is>
          <t>IF(OR(F439="",AK439=""),"",IF(COUNT(AI439:AJ439)=0,"",AK439-LOOKUP(2,1/(AI439:AJ439&lt;&gt;""),AI439:AJ439)))</t>
        </is>
      </c>
      <c r="AY439" s="49" t="inlineStr">
        <is>
          <t>IF(OR(F439="",AL439=""),"",IF(COUNT(AI439:AK439)=0,"",AL439-LOOKUP(2,1/(AI439:AK439&lt;&gt;""),AI439:AK439)))</t>
        </is>
      </c>
      <c r="AZ439" s="49" t="inlineStr">
        <is>
          <t>IF(OR(F439="",AM439=""),"",IF(COUNT(AI439:AL439)=0,"",AM439-LOOKUP(2,1/(AI439:AL439&lt;&gt;""),AI439:AL439)))</t>
        </is>
      </c>
      <c r="BA439" s="49" t="inlineStr">
        <is>
          <t>IF(OR(F439="",AN439=""),"",IF(COUNT(AI439:AM439)=0,"",AN439-LOOKUP(2,1/(AI439:AM439&lt;&gt;""),AI439:AM439)))</t>
        </is>
      </c>
      <c r="BB439" s="49" t="inlineStr">
        <is>
          <t>IF(OR(F439="",AO439=""),"",IF(COUNT(AI439:AN439)=0,"",AO439-LOOKUP(2,1/(AI439:AN439&lt;&gt;""),AI439:AN439)))</t>
        </is>
      </c>
      <c r="BC439" s="49" t="inlineStr">
        <is>
          <t>IF(OR(F439="",AP439=""),"",IF(COUNT(AI439:AO439)=0,"",AP439-LOOKUP(2,1/(AI439:AO439&lt;&gt;""),AI439:AO439)))</t>
        </is>
      </c>
      <c r="BD439" s="49" t="inlineStr">
        <is>
          <t>IF(OR(F439="",AQ439=""),"",IF(COUNT(AI439:AP439)=0,"",AQ439-LOOKUP(2,1/(AI439:AP439&lt;&gt;""),AI439:AP439)))</t>
        </is>
      </c>
      <c r="BE439" s="49" t="inlineStr">
        <is>
          <t>IF(OR(F439="",AR439=""),"",IF(COUNT(AI439:AQ439)=0,"",AR439-LOOKUP(2,1/(AI439:AQ439&lt;&gt;""),AI439:AQ439)))</t>
        </is>
      </c>
      <c r="BF439" s="49" t="inlineStr">
        <is>
          <t>IF(OR(F439="",AS439=""),"",IF(COUNT(AI439:AR439)=0,"",AS439-LOOKUP(2,1/(AI439:AR439&lt;&gt;""),AI439:AR439)))</t>
        </is>
      </c>
      <c r="BG439" s="49" t="inlineStr">
        <is>
          <t>IF(OR(F439="",AT439=""),"",IF(COUNT(AI439:AS439)=0,"",AT439-LOOKUP(2,1/(AI439:AS439&lt;&gt;""),AI439:AS439)))</t>
        </is>
      </c>
      <c r="BH439" s="49" t="inlineStr">
        <is>
          <t>IF(OR(F439="",AU439=""),"",IF(COUNT(AI439:AT439)=0,"",AU439-LOOKUP(2,1/(AI439:AT439&lt;&gt;""),AI439:AT439)))</t>
        </is>
      </c>
      <c r="BI439" s="49" t="inlineStr">
        <is>
          <t>IF(OR(F439="",AV439=""),"",IF(COUNT(AI439:AU439)=0,"",AV439-LOOKUP(2,1/(AI439:AU439&lt;&gt;""),AI439:AU439)))</t>
        </is>
      </c>
      <c r="BJ439" s="51" t="inlineStr">
        <is>
          <t>IF(J439="","All_Provinces",IFERROR(VLOOKUP(J439,'09_Lookups'!$A$4:$B$20,2,FALSE),"All_Provinces"))</t>
        </is>
      </c>
      <c r="BK439" s="51" t="inlineStr">
        <is>
          <t>IF(K439="","All_Districts",IFERROR(VLOOKUP(K439,'09_Lookups'!$E$4:$F$42,2,FALSE),"All_Districts"))</t>
        </is>
      </c>
    </row>
    <row r="440" ht="18" customHeight="1">
      <c r="A440" s="42" t="inlineStr">
        <is>
          <t>IF(F440="","",ROW()-3)</t>
        </is>
      </c>
      <c r="B440" s="52" t="n"/>
      <c r="C440" s="52" t="n"/>
      <c r="D440" s="52" t="n"/>
      <c r="E440" s="52" t="n"/>
      <c r="F440" s="52" t="n"/>
      <c r="G440" s="52" t="n"/>
      <c r="H440" s="52" t="n"/>
      <c r="I440" s="52" t="n"/>
      <c r="J440" s="52" t="n"/>
      <c r="K440" s="52" t="n"/>
      <c r="L440" s="52" t="n"/>
      <c r="M440" s="52" t="n"/>
      <c r="N440" s="52" t="n"/>
      <c r="O440" s="52" t="n"/>
      <c r="P440" s="52" t="n"/>
      <c r="Q440" s="52" t="n"/>
      <c r="R440" s="52" t="n"/>
      <c r="S440" s="53" t="n"/>
      <c r="T440" s="46" t="inlineStr">
        <is>
          <t>IF(AQ440="","",AQ440)</t>
        </is>
      </c>
      <c r="U440" s="54" t="n"/>
      <c r="V440" s="55" t="n"/>
      <c r="W440" s="54" t="n"/>
      <c r="X440" s="46" t="inlineStr">
        <is>
          <t>IF(W440&lt;&gt;"",W440,IF(OR(T440="",V440=""),"",EDATE(T440,V440)))</t>
        </is>
      </c>
      <c r="Y440" s="54" t="n"/>
      <c r="Z440" s="55" t="n"/>
      <c r="AA440" s="52" t="n"/>
      <c r="AB440" s="52" t="n"/>
      <c r="AC440" s="42" t="inlineStr">
        <is>
          <t>IF(F440="","",IF(COUNT(AI440:AV440)=0,IF(AA440="","Not started",AA440),SUBSTITUTE(LOOKUP(2,1/(AI440:AV440&lt;&gt;""),$AI$3:$AV$3),"Date: ","")))</t>
        </is>
      </c>
      <c r="AD440" s="49" t="inlineStr">
        <is>
          <t>IF(OR(F440="",COUNT(AI440:AV440)=0),"",TODAY()-LOOKUP(2,1/(AI440:AV440&lt;&gt;""),AI440:AV440))</t>
        </is>
      </c>
      <c r="AE440" s="49" t="inlineStr">
        <is>
          <t>IF(OR(F440="",COUNT(AI440:AV440)&lt;2),"",LOOKUP(2,1/(AI440:AV440&lt;&gt;""),AI440:AV440)-MIN(AI440:AV440))</t>
        </is>
      </c>
      <c r="AF440" s="49" t="inlineStr">
        <is>
          <t>IF(OR(AD440="",AC440="Not started",AC440=""),"",IFERROR(AD440-IF(VLOOKUP(AC440,'06_Status_Pipeline'!$B$3:$E$20,4,FALSE)="",0,VLOOKUP(AC440,'06_Status_Pipeline'!$B$3:$E$20,4,FALSE)),""))</t>
        </is>
      </c>
      <c r="AG440" s="42" t="inlineStr">
        <is>
          <t>IF(F440="","",IF(OR(AA440="Cancelled",AC440="Cancelled"),"Cancelled",IF(OR(AC440="Completed / Handover",Y440&lt;&gt;"",Z440&gt;=100),"Completed — on track",IF(O440="Not awarded",IF(U440="",IF(X440="","No planned date",IF(TODAY()&gt;X440,"Behind — past planned date",IF(X440-TODAY()&lt;=30,"At risk — close to off track","On track"))),IF(TODAY()&gt;U440,"Behind — award date passed",IF(U440-TODAY()&lt;=30,"At risk — close to off track","On track"))),IF(X440="","No planned date",IF(AND(TODAY()&gt;X440,OR(Z440="",Z440&lt;100)),"Behind — past end date",IF(AND(T440&lt;&gt;"",X440&lt;&gt;"",Z440&lt;&gt;"",(Z440&lt;100),((TODAY()-T440)/MAX(X440-T440,1)*100)-Z440&gt;15),"Behind — progress lag",IF(AND(X440-TODAY()&lt;=30,X440-TODAY()&gt;=0,OR(Z440="",Z440&lt;90)),"At risk — close to off track","On track"))))))))</t>
        </is>
      </c>
      <c r="AH440" s="49" t="inlineStr">
        <is>
          <t>IF(OR(F440="",AC440="Completed / Handover",AC440="Cancelled"),"",IF(O440="Not awarded",IF(U440&lt;&gt;"",U440-TODAY(),IF(X440="","",X440-TODAY())),IF(X440="","",X440-TODAY())))</t>
        </is>
      </c>
      <c r="AI440" s="54" t="n"/>
      <c r="AJ440" s="54" t="n"/>
      <c r="AK440" s="54" t="n"/>
      <c r="AL440" s="54" t="n"/>
      <c r="AM440" s="54" t="n"/>
      <c r="AN440" s="54" t="n"/>
      <c r="AO440" s="54" t="n"/>
      <c r="AP440" s="54" t="n"/>
      <c r="AQ440" s="54" t="n"/>
      <c r="AR440" s="54" t="n"/>
      <c r="AS440" s="54" t="n"/>
      <c r="AT440" s="50" t="n"/>
      <c r="AU440" s="50" t="n"/>
      <c r="AV440" s="50" t="n"/>
      <c r="AW440" s="49" t="inlineStr">
        <is>
          <t>IF(OR(F440="",AJ440=""),"",IF(COUNT(AI440:AI440)=0,"",AJ440-LOOKUP(2,1/(AI440:AI440&lt;&gt;""),AI440:AI440)))</t>
        </is>
      </c>
      <c r="AX440" s="49" t="inlineStr">
        <is>
          <t>IF(OR(F440="",AK440=""),"",IF(COUNT(AI440:AJ440)=0,"",AK440-LOOKUP(2,1/(AI440:AJ440&lt;&gt;""),AI440:AJ440)))</t>
        </is>
      </c>
      <c r="AY440" s="49" t="inlineStr">
        <is>
          <t>IF(OR(F440="",AL440=""),"",IF(COUNT(AI440:AK440)=0,"",AL440-LOOKUP(2,1/(AI440:AK440&lt;&gt;""),AI440:AK440)))</t>
        </is>
      </c>
      <c r="AZ440" s="49" t="inlineStr">
        <is>
          <t>IF(OR(F440="",AM440=""),"",IF(COUNT(AI440:AL440)=0,"",AM440-LOOKUP(2,1/(AI440:AL440&lt;&gt;""),AI440:AL440)))</t>
        </is>
      </c>
      <c r="BA440" s="49" t="inlineStr">
        <is>
          <t>IF(OR(F440="",AN440=""),"",IF(COUNT(AI440:AM440)=0,"",AN440-LOOKUP(2,1/(AI440:AM440&lt;&gt;""),AI440:AM440)))</t>
        </is>
      </c>
      <c r="BB440" s="49" t="inlineStr">
        <is>
          <t>IF(OR(F440="",AO440=""),"",IF(COUNT(AI440:AN440)=0,"",AO440-LOOKUP(2,1/(AI440:AN440&lt;&gt;""),AI440:AN440)))</t>
        </is>
      </c>
      <c r="BC440" s="49" t="inlineStr">
        <is>
          <t>IF(OR(F440="",AP440=""),"",IF(COUNT(AI440:AO440)=0,"",AP440-LOOKUP(2,1/(AI440:AO440&lt;&gt;""),AI440:AO440)))</t>
        </is>
      </c>
      <c r="BD440" s="49" t="inlineStr">
        <is>
          <t>IF(OR(F440="",AQ440=""),"",IF(COUNT(AI440:AP440)=0,"",AQ440-LOOKUP(2,1/(AI440:AP440&lt;&gt;""),AI440:AP440)))</t>
        </is>
      </c>
      <c r="BE440" s="49" t="inlineStr">
        <is>
          <t>IF(OR(F440="",AR440=""),"",IF(COUNT(AI440:AQ440)=0,"",AR440-LOOKUP(2,1/(AI440:AQ440&lt;&gt;""),AI440:AQ440)))</t>
        </is>
      </c>
      <c r="BF440" s="49" t="inlineStr">
        <is>
          <t>IF(OR(F440="",AS440=""),"",IF(COUNT(AI440:AR440)=0,"",AS440-LOOKUP(2,1/(AI440:AR440&lt;&gt;""),AI440:AR440)))</t>
        </is>
      </c>
      <c r="BG440" s="49" t="inlineStr">
        <is>
          <t>IF(OR(F440="",AT440=""),"",IF(COUNT(AI440:AS440)=0,"",AT440-LOOKUP(2,1/(AI440:AS440&lt;&gt;""),AI440:AS440)))</t>
        </is>
      </c>
      <c r="BH440" s="49" t="inlineStr">
        <is>
          <t>IF(OR(F440="",AU440=""),"",IF(COUNT(AI440:AT440)=0,"",AU440-LOOKUP(2,1/(AI440:AT440&lt;&gt;""),AI440:AT440)))</t>
        </is>
      </c>
      <c r="BI440" s="49" t="inlineStr">
        <is>
          <t>IF(OR(F440="",AV440=""),"",IF(COUNT(AI440:AU440)=0,"",AV440-LOOKUP(2,1/(AI440:AU440&lt;&gt;""),AI440:AU440)))</t>
        </is>
      </c>
      <c r="BJ440" s="51" t="inlineStr">
        <is>
          <t>IF(J440="","All_Provinces",IFERROR(VLOOKUP(J440,'09_Lookups'!$A$4:$B$20,2,FALSE),"All_Provinces"))</t>
        </is>
      </c>
      <c r="BK440" s="51" t="inlineStr">
        <is>
          <t>IF(K440="","All_Districts",IFERROR(VLOOKUP(K440,'09_Lookups'!$E$4:$F$42,2,FALSE),"All_Districts"))</t>
        </is>
      </c>
    </row>
    <row r="441" ht="18" customHeight="1">
      <c r="A441" s="42" t="inlineStr">
        <is>
          <t>IF(F441="","",ROW()-3)</t>
        </is>
      </c>
      <c r="B441" s="44" t="n"/>
      <c r="C441" s="44" t="n"/>
      <c r="D441" s="44" t="n"/>
      <c r="E441" s="44" t="n"/>
      <c r="F441" s="44" t="n"/>
      <c r="G441" s="44" t="n"/>
      <c r="H441" s="44" t="n"/>
      <c r="I441" s="44" t="n"/>
      <c r="J441" s="44" t="n"/>
      <c r="K441" s="44" t="n"/>
      <c r="L441" s="44" t="n"/>
      <c r="M441" s="44" t="n"/>
      <c r="N441" s="44" t="n"/>
      <c r="O441" s="44" t="n"/>
      <c r="P441" s="44" t="n"/>
      <c r="Q441" s="44" t="n"/>
      <c r="R441" s="44" t="n"/>
      <c r="S441" s="45" t="n"/>
      <c r="T441" s="46" t="inlineStr">
        <is>
          <t>IF(AQ441="","",AQ441)</t>
        </is>
      </c>
      <c r="U441" s="47" t="n"/>
      <c r="V441" s="48" t="n"/>
      <c r="W441" s="47" t="n"/>
      <c r="X441" s="46" t="inlineStr">
        <is>
          <t>IF(W441&lt;&gt;"",W441,IF(OR(T441="",V441=""),"",EDATE(T441,V441)))</t>
        </is>
      </c>
      <c r="Y441" s="47" t="n"/>
      <c r="Z441" s="48" t="n"/>
      <c r="AA441" s="44" t="n"/>
      <c r="AB441" s="44" t="n"/>
      <c r="AC441" s="42" t="inlineStr">
        <is>
          <t>IF(F441="","",IF(COUNT(AI441:AV441)=0,IF(AA441="","Not started",AA441),SUBSTITUTE(LOOKUP(2,1/(AI441:AV441&lt;&gt;""),$AI$3:$AV$3),"Date: ","")))</t>
        </is>
      </c>
      <c r="AD441" s="49" t="inlineStr">
        <is>
          <t>IF(OR(F441="",COUNT(AI441:AV441)=0),"",TODAY()-LOOKUP(2,1/(AI441:AV441&lt;&gt;""),AI441:AV441))</t>
        </is>
      </c>
      <c r="AE441" s="49" t="inlineStr">
        <is>
          <t>IF(OR(F441="",COUNT(AI441:AV441)&lt;2),"",LOOKUP(2,1/(AI441:AV441&lt;&gt;""),AI441:AV441)-MIN(AI441:AV441))</t>
        </is>
      </c>
      <c r="AF441" s="49" t="inlineStr">
        <is>
          <t>IF(OR(AD441="",AC441="Not started",AC441=""),"",IFERROR(AD441-IF(VLOOKUP(AC441,'06_Status_Pipeline'!$B$3:$E$20,4,FALSE)="",0,VLOOKUP(AC441,'06_Status_Pipeline'!$B$3:$E$20,4,FALSE)),""))</t>
        </is>
      </c>
      <c r="AG441" s="42" t="inlineStr">
        <is>
          <t>IF(F441="","",IF(OR(AA441="Cancelled",AC441="Cancelled"),"Cancelled",IF(OR(AC441="Completed / Handover",Y441&lt;&gt;"",Z441&gt;=100),"Completed — on track",IF(O441="Not awarded",IF(U441="",IF(X441="","No planned date",IF(TODAY()&gt;X441,"Behind — past planned date",IF(X441-TODAY()&lt;=30,"At risk — close to off track","On track"))),IF(TODAY()&gt;U441,"Behind — award date passed",IF(U441-TODAY()&lt;=30,"At risk — close to off track","On track"))),IF(X441="","No planned date",IF(AND(TODAY()&gt;X441,OR(Z441="",Z441&lt;100)),"Behind — past end date",IF(AND(T441&lt;&gt;"",X441&lt;&gt;"",Z441&lt;&gt;"",(Z441&lt;100),((TODAY()-T441)/MAX(X441-T441,1)*100)-Z441&gt;15),"Behind — progress lag",IF(AND(X441-TODAY()&lt;=30,X441-TODAY()&gt;=0,OR(Z441="",Z441&lt;90)),"At risk — close to off track","On track"))))))))</t>
        </is>
      </c>
      <c r="AH441" s="49" t="inlineStr">
        <is>
          <t>IF(OR(F441="",AC441="Completed / Handover",AC441="Cancelled"),"",IF(O441="Not awarded",IF(U441&lt;&gt;"",U441-TODAY(),IF(X441="","",X441-TODAY())),IF(X441="","",X441-TODAY())))</t>
        </is>
      </c>
      <c r="AI441" s="47" t="n"/>
      <c r="AJ441" s="47" t="n"/>
      <c r="AK441" s="47" t="n"/>
      <c r="AL441" s="47" t="n"/>
      <c r="AM441" s="47" t="n"/>
      <c r="AN441" s="47" t="n"/>
      <c r="AO441" s="47" t="n"/>
      <c r="AP441" s="47" t="n"/>
      <c r="AQ441" s="47" t="n"/>
      <c r="AR441" s="47" t="n"/>
      <c r="AS441" s="47" t="n"/>
      <c r="AT441" s="50" t="n"/>
      <c r="AU441" s="50" t="n"/>
      <c r="AV441" s="50" t="n"/>
      <c r="AW441" s="49" t="inlineStr">
        <is>
          <t>IF(OR(F441="",AJ441=""),"",IF(COUNT(AI441:AI441)=0,"",AJ441-LOOKUP(2,1/(AI441:AI441&lt;&gt;""),AI441:AI441)))</t>
        </is>
      </c>
      <c r="AX441" s="49" t="inlineStr">
        <is>
          <t>IF(OR(F441="",AK441=""),"",IF(COUNT(AI441:AJ441)=0,"",AK441-LOOKUP(2,1/(AI441:AJ441&lt;&gt;""),AI441:AJ441)))</t>
        </is>
      </c>
      <c r="AY441" s="49" t="inlineStr">
        <is>
          <t>IF(OR(F441="",AL441=""),"",IF(COUNT(AI441:AK441)=0,"",AL441-LOOKUP(2,1/(AI441:AK441&lt;&gt;""),AI441:AK441)))</t>
        </is>
      </c>
      <c r="AZ441" s="49" t="inlineStr">
        <is>
          <t>IF(OR(F441="",AM441=""),"",IF(COUNT(AI441:AL441)=0,"",AM441-LOOKUP(2,1/(AI441:AL441&lt;&gt;""),AI441:AL441)))</t>
        </is>
      </c>
      <c r="BA441" s="49" t="inlineStr">
        <is>
          <t>IF(OR(F441="",AN441=""),"",IF(COUNT(AI441:AM441)=0,"",AN441-LOOKUP(2,1/(AI441:AM441&lt;&gt;""),AI441:AM441)))</t>
        </is>
      </c>
      <c r="BB441" s="49" t="inlineStr">
        <is>
          <t>IF(OR(F441="",AO441=""),"",IF(COUNT(AI441:AN441)=0,"",AO441-LOOKUP(2,1/(AI441:AN441&lt;&gt;""),AI441:AN441)))</t>
        </is>
      </c>
      <c r="BC441" s="49" t="inlineStr">
        <is>
          <t>IF(OR(F441="",AP441=""),"",IF(COUNT(AI441:AO441)=0,"",AP441-LOOKUP(2,1/(AI441:AO441&lt;&gt;""),AI441:AO441)))</t>
        </is>
      </c>
      <c r="BD441" s="49" t="inlineStr">
        <is>
          <t>IF(OR(F441="",AQ441=""),"",IF(COUNT(AI441:AP441)=0,"",AQ441-LOOKUP(2,1/(AI441:AP441&lt;&gt;""),AI441:AP441)))</t>
        </is>
      </c>
      <c r="BE441" s="49" t="inlineStr">
        <is>
          <t>IF(OR(F441="",AR441=""),"",IF(COUNT(AI441:AQ441)=0,"",AR441-LOOKUP(2,1/(AI441:AQ441&lt;&gt;""),AI441:AQ441)))</t>
        </is>
      </c>
      <c r="BF441" s="49" t="inlineStr">
        <is>
          <t>IF(OR(F441="",AS441=""),"",IF(COUNT(AI441:AR441)=0,"",AS441-LOOKUP(2,1/(AI441:AR441&lt;&gt;""),AI441:AR441)))</t>
        </is>
      </c>
      <c r="BG441" s="49" t="inlineStr">
        <is>
          <t>IF(OR(F441="",AT441=""),"",IF(COUNT(AI441:AS441)=0,"",AT441-LOOKUP(2,1/(AI441:AS441&lt;&gt;""),AI441:AS441)))</t>
        </is>
      </c>
      <c r="BH441" s="49" t="inlineStr">
        <is>
          <t>IF(OR(F441="",AU441=""),"",IF(COUNT(AI441:AT441)=0,"",AU441-LOOKUP(2,1/(AI441:AT441&lt;&gt;""),AI441:AT441)))</t>
        </is>
      </c>
      <c r="BI441" s="49" t="inlineStr">
        <is>
          <t>IF(OR(F441="",AV441=""),"",IF(COUNT(AI441:AU441)=0,"",AV441-LOOKUP(2,1/(AI441:AU441&lt;&gt;""),AI441:AU441)))</t>
        </is>
      </c>
      <c r="BJ441" s="51" t="inlineStr">
        <is>
          <t>IF(J441="","All_Provinces",IFERROR(VLOOKUP(J441,'09_Lookups'!$A$4:$B$20,2,FALSE),"All_Provinces"))</t>
        </is>
      </c>
      <c r="BK441" s="51" t="inlineStr">
        <is>
          <t>IF(K441="","All_Districts",IFERROR(VLOOKUP(K441,'09_Lookups'!$E$4:$F$42,2,FALSE),"All_Districts"))</t>
        </is>
      </c>
    </row>
    <row r="442" ht="18" customHeight="1">
      <c r="A442" s="42" t="inlineStr">
        <is>
          <t>IF(F442="","",ROW()-3)</t>
        </is>
      </c>
      <c r="B442" s="52" t="n"/>
      <c r="C442" s="52" t="n"/>
      <c r="D442" s="52" t="n"/>
      <c r="E442" s="52" t="n"/>
      <c r="F442" s="52" t="n"/>
      <c r="G442" s="52" t="n"/>
      <c r="H442" s="52" t="n"/>
      <c r="I442" s="52" t="n"/>
      <c r="J442" s="52" t="n"/>
      <c r="K442" s="52" t="n"/>
      <c r="L442" s="52" t="n"/>
      <c r="M442" s="52" t="n"/>
      <c r="N442" s="52" t="n"/>
      <c r="O442" s="52" t="n"/>
      <c r="P442" s="52" t="n"/>
      <c r="Q442" s="52" t="n"/>
      <c r="R442" s="52" t="n"/>
      <c r="S442" s="53" t="n"/>
      <c r="T442" s="46" t="inlineStr">
        <is>
          <t>IF(AQ442="","",AQ442)</t>
        </is>
      </c>
      <c r="U442" s="54" t="n"/>
      <c r="V442" s="55" t="n"/>
      <c r="W442" s="54" t="n"/>
      <c r="X442" s="46" t="inlineStr">
        <is>
          <t>IF(W442&lt;&gt;"",W442,IF(OR(T442="",V442=""),"",EDATE(T442,V442)))</t>
        </is>
      </c>
      <c r="Y442" s="54" t="n"/>
      <c r="Z442" s="55" t="n"/>
      <c r="AA442" s="52" t="n"/>
      <c r="AB442" s="52" t="n"/>
      <c r="AC442" s="42" t="inlineStr">
        <is>
          <t>IF(F442="","",IF(COUNT(AI442:AV442)=0,IF(AA442="","Not started",AA442),SUBSTITUTE(LOOKUP(2,1/(AI442:AV442&lt;&gt;""),$AI$3:$AV$3),"Date: ","")))</t>
        </is>
      </c>
      <c r="AD442" s="49" t="inlineStr">
        <is>
          <t>IF(OR(F442="",COUNT(AI442:AV442)=0),"",TODAY()-LOOKUP(2,1/(AI442:AV442&lt;&gt;""),AI442:AV442))</t>
        </is>
      </c>
      <c r="AE442" s="49" t="inlineStr">
        <is>
          <t>IF(OR(F442="",COUNT(AI442:AV442)&lt;2),"",LOOKUP(2,1/(AI442:AV442&lt;&gt;""),AI442:AV442)-MIN(AI442:AV442))</t>
        </is>
      </c>
      <c r="AF442" s="49" t="inlineStr">
        <is>
          <t>IF(OR(AD442="",AC442="Not started",AC442=""),"",IFERROR(AD442-IF(VLOOKUP(AC442,'06_Status_Pipeline'!$B$3:$E$20,4,FALSE)="",0,VLOOKUP(AC442,'06_Status_Pipeline'!$B$3:$E$20,4,FALSE)),""))</t>
        </is>
      </c>
      <c r="AG442" s="42" t="inlineStr">
        <is>
          <t>IF(F442="","",IF(OR(AA442="Cancelled",AC442="Cancelled"),"Cancelled",IF(OR(AC442="Completed / Handover",Y442&lt;&gt;"",Z442&gt;=100),"Completed — on track",IF(O442="Not awarded",IF(U442="",IF(X442="","No planned date",IF(TODAY()&gt;X442,"Behind — past planned date",IF(X442-TODAY()&lt;=30,"At risk — close to off track","On track"))),IF(TODAY()&gt;U442,"Behind — award date passed",IF(U442-TODAY()&lt;=30,"At risk — close to off track","On track"))),IF(X442="","No planned date",IF(AND(TODAY()&gt;X442,OR(Z442="",Z442&lt;100)),"Behind — past end date",IF(AND(T442&lt;&gt;"",X442&lt;&gt;"",Z442&lt;&gt;"",(Z442&lt;100),((TODAY()-T442)/MAX(X442-T442,1)*100)-Z442&gt;15),"Behind — progress lag",IF(AND(X442-TODAY()&lt;=30,X442-TODAY()&gt;=0,OR(Z442="",Z442&lt;90)),"At risk — close to off track","On track"))))))))</t>
        </is>
      </c>
      <c r="AH442" s="49" t="inlineStr">
        <is>
          <t>IF(OR(F442="",AC442="Completed / Handover",AC442="Cancelled"),"",IF(O442="Not awarded",IF(U442&lt;&gt;"",U442-TODAY(),IF(X442="","",X442-TODAY())),IF(X442="","",X442-TODAY())))</t>
        </is>
      </c>
      <c r="AI442" s="54" t="n"/>
      <c r="AJ442" s="54" t="n"/>
      <c r="AK442" s="54" t="n"/>
      <c r="AL442" s="54" t="n"/>
      <c r="AM442" s="54" t="n"/>
      <c r="AN442" s="54" t="n"/>
      <c r="AO442" s="54" t="n"/>
      <c r="AP442" s="54" t="n"/>
      <c r="AQ442" s="54" t="n"/>
      <c r="AR442" s="54" t="n"/>
      <c r="AS442" s="54" t="n"/>
      <c r="AT442" s="50" t="n"/>
      <c r="AU442" s="50" t="n"/>
      <c r="AV442" s="50" t="n"/>
      <c r="AW442" s="49" t="inlineStr">
        <is>
          <t>IF(OR(F442="",AJ442=""),"",IF(COUNT(AI442:AI442)=0,"",AJ442-LOOKUP(2,1/(AI442:AI442&lt;&gt;""),AI442:AI442)))</t>
        </is>
      </c>
      <c r="AX442" s="49" t="inlineStr">
        <is>
          <t>IF(OR(F442="",AK442=""),"",IF(COUNT(AI442:AJ442)=0,"",AK442-LOOKUP(2,1/(AI442:AJ442&lt;&gt;""),AI442:AJ442)))</t>
        </is>
      </c>
      <c r="AY442" s="49" t="inlineStr">
        <is>
          <t>IF(OR(F442="",AL442=""),"",IF(COUNT(AI442:AK442)=0,"",AL442-LOOKUP(2,1/(AI442:AK442&lt;&gt;""),AI442:AK442)))</t>
        </is>
      </c>
      <c r="AZ442" s="49" t="inlineStr">
        <is>
          <t>IF(OR(F442="",AM442=""),"",IF(COUNT(AI442:AL442)=0,"",AM442-LOOKUP(2,1/(AI442:AL442&lt;&gt;""),AI442:AL442)))</t>
        </is>
      </c>
      <c r="BA442" s="49" t="inlineStr">
        <is>
          <t>IF(OR(F442="",AN442=""),"",IF(COUNT(AI442:AM442)=0,"",AN442-LOOKUP(2,1/(AI442:AM442&lt;&gt;""),AI442:AM442)))</t>
        </is>
      </c>
      <c r="BB442" s="49" t="inlineStr">
        <is>
          <t>IF(OR(F442="",AO442=""),"",IF(COUNT(AI442:AN442)=0,"",AO442-LOOKUP(2,1/(AI442:AN442&lt;&gt;""),AI442:AN442)))</t>
        </is>
      </c>
      <c r="BC442" s="49" t="inlineStr">
        <is>
          <t>IF(OR(F442="",AP442=""),"",IF(COUNT(AI442:AO442)=0,"",AP442-LOOKUP(2,1/(AI442:AO442&lt;&gt;""),AI442:AO442)))</t>
        </is>
      </c>
      <c r="BD442" s="49" t="inlineStr">
        <is>
          <t>IF(OR(F442="",AQ442=""),"",IF(COUNT(AI442:AP442)=0,"",AQ442-LOOKUP(2,1/(AI442:AP442&lt;&gt;""),AI442:AP442)))</t>
        </is>
      </c>
      <c r="BE442" s="49" t="inlineStr">
        <is>
          <t>IF(OR(F442="",AR442=""),"",IF(COUNT(AI442:AQ442)=0,"",AR442-LOOKUP(2,1/(AI442:AQ442&lt;&gt;""),AI442:AQ442)))</t>
        </is>
      </c>
      <c r="BF442" s="49" t="inlineStr">
        <is>
          <t>IF(OR(F442="",AS442=""),"",IF(COUNT(AI442:AR442)=0,"",AS442-LOOKUP(2,1/(AI442:AR442&lt;&gt;""),AI442:AR442)))</t>
        </is>
      </c>
      <c r="BG442" s="49" t="inlineStr">
        <is>
          <t>IF(OR(F442="",AT442=""),"",IF(COUNT(AI442:AS442)=0,"",AT442-LOOKUP(2,1/(AI442:AS442&lt;&gt;""),AI442:AS442)))</t>
        </is>
      </c>
      <c r="BH442" s="49" t="inlineStr">
        <is>
          <t>IF(OR(F442="",AU442=""),"",IF(COUNT(AI442:AT442)=0,"",AU442-LOOKUP(2,1/(AI442:AT442&lt;&gt;""),AI442:AT442)))</t>
        </is>
      </c>
      <c r="BI442" s="49" t="inlineStr">
        <is>
          <t>IF(OR(F442="",AV442=""),"",IF(COUNT(AI442:AU442)=0,"",AV442-LOOKUP(2,1/(AI442:AU442&lt;&gt;""),AI442:AU442)))</t>
        </is>
      </c>
      <c r="BJ442" s="51" t="inlineStr">
        <is>
          <t>IF(J442="","All_Provinces",IFERROR(VLOOKUP(J442,'09_Lookups'!$A$4:$B$20,2,FALSE),"All_Provinces"))</t>
        </is>
      </c>
      <c r="BK442" s="51" t="inlineStr">
        <is>
          <t>IF(K442="","All_Districts",IFERROR(VLOOKUP(K442,'09_Lookups'!$E$4:$F$42,2,FALSE),"All_Districts"))</t>
        </is>
      </c>
    </row>
    <row r="443" ht="18" customHeight="1">
      <c r="A443" s="42" t="inlineStr">
        <is>
          <t>IF(F443="","",ROW()-3)</t>
        </is>
      </c>
      <c r="B443" s="44" t="n"/>
      <c r="C443" s="44" t="n"/>
      <c r="D443" s="44" t="n"/>
      <c r="E443" s="44" t="n"/>
      <c r="F443" s="44" t="n"/>
      <c r="G443" s="44" t="n"/>
      <c r="H443" s="44" t="n"/>
      <c r="I443" s="44" t="n"/>
      <c r="J443" s="44" t="n"/>
      <c r="K443" s="44" t="n"/>
      <c r="L443" s="44" t="n"/>
      <c r="M443" s="44" t="n"/>
      <c r="N443" s="44" t="n"/>
      <c r="O443" s="44" t="n"/>
      <c r="P443" s="44" t="n"/>
      <c r="Q443" s="44" t="n"/>
      <c r="R443" s="44" t="n"/>
      <c r="S443" s="45" t="n"/>
      <c r="T443" s="46" t="inlineStr">
        <is>
          <t>IF(AQ443="","",AQ443)</t>
        </is>
      </c>
      <c r="U443" s="47" t="n"/>
      <c r="V443" s="48" t="n"/>
      <c r="W443" s="47" t="n"/>
      <c r="X443" s="46" t="inlineStr">
        <is>
          <t>IF(W443&lt;&gt;"",W443,IF(OR(T443="",V443=""),"",EDATE(T443,V443)))</t>
        </is>
      </c>
      <c r="Y443" s="47" t="n"/>
      <c r="Z443" s="48" t="n"/>
      <c r="AA443" s="44" t="n"/>
      <c r="AB443" s="44" t="n"/>
      <c r="AC443" s="42" t="inlineStr">
        <is>
          <t>IF(F443="","",IF(COUNT(AI443:AV443)=0,IF(AA443="","Not started",AA443),SUBSTITUTE(LOOKUP(2,1/(AI443:AV443&lt;&gt;""),$AI$3:$AV$3),"Date: ","")))</t>
        </is>
      </c>
      <c r="AD443" s="49" t="inlineStr">
        <is>
          <t>IF(OR(F443="",COUNT(AI443:AV443)=0),"",TODAY()-LOOKUP(2,1/(AI443:AV443&lt;&gt;""),AI443:AV443))</t>
        </is>
      </c>
      <c r="AE443" s="49" t="inlineStr">
        <is>
          <t>IF(OR(F443="",COUNT(AI443:AV443)&lt;2),"",LOOKUP(2,1/(AI443:AV443&lt;&gt;""),AI443:AV443)-MIN(AI443:AV443))</t>
        </is>
      </c>
      <c r="AF443" s="49" t="inlineStr">
        <is>
          <t>IF(OR(AD443="",AC443="Not started",AC443=""),"",IFERROR(AD443-IF(VLOOKUP(AC443,'06_Status_Pipeline'!$B$3:$E$20,4,FALSE)="",0,VLOOKUP(AC443,'06_Status_Pipeline'!$B$3:$E$20,4,FALSE)),""))</t>
        </is>
      </c>
      <c r="AG443" s="42" t="inlineStr">
        <is>
          <t>IF(F443="","",IF(OR(AA443="Cancelled",AC443="Cancelled"),"Cancelled",IF(OR(AC443="Completed / Handover",Y443&lt;&gt;"",Z443&gt;=100),"Completed — on track",IF(O443="Not awarded",IF(U443="",IF(X443="","No planned date",IF(TODAY()&gt;X443,"Behind — past planned date",IF(X443-TODAY()&lt;=30,"At risk — close to off track","On track"))),IF(TODAY()&gt;U443,"Behind — award date passed",IF(U443-TODAY()&lt;=30,"At risk — close to off track","On track"))),IF(X443="","No planned date",IF(AND(TODAY()&gt;X443,OR(Z443="",Z443&lt;100)),"Behind — past end date",IF(AND(T443&lt;&gt;"",X443&lt;&gt;"",Z443&lt;&gt;"",(Z443&lt;100),((TODAY()-T443)/MAX(X443-T443,1)*100)-Z443&gt;15),"Behind — progress lag",IF(AND(X443-TODAY()&lt;=30,X443-TODAY()&gt;=0,OR(Z443="",Z443&lt;90)),"At risk — close to off track","On track"))))))))</t>
        </is>
      </c>
      <c r="AH443" s="49" t="inlineStr">
        <is>
          <t>IF(OR(F443="",AC443="Completed / Handover",AC443="Cancelled"),"",IF(O443="Not awarded",IF(U443&lt;&gt;"",U443-TODAY(),IF(X443="","",X443-TODAY())),IF(X443="","",X443-TODAY())))</t>
        </is>
      </c>
      <c r="AI443" s="47" t="n"/>
      <c r="AJ443" s="47" t="n"/>
      <c r="AK443" s="47" t="n"/>
      <c r="AL443" s="47" t="n"/>
      <c r="AM443" s="47" t="n"/>
      <c r="AN443" s="47" t="n"/>
      <c r="AO443" s="47" t="n"/>
      <c r="AP443" s="47" t="n"/>
      <c r="AQ443" s="47" t="n"/>
      <c r="AR443" s="47" t="n"/>
      <c r="AS443" s="47" t="n"/>
      <c r="AT443" s="50" t="n"/>
      <c r="AU443" s="50" t="n"/>
      <c r="AV443" s="50" t="n"/>
      <c r="AW443" s="49" t="inlineStr">
        <is>
          <t>IF(OR(F443="",AJ443=""),"",IF(COUNT(AI443:AI443)=0,"",AJ443-LOOKUP(2,1/(AI443:AI443&lt;&gt;""),AI443:AI443)))</t>
        </is>
      </c>
      <c r="AX443" s="49" t="inlineStr">
        <is>
          <t>IF(OR(F443="",AK443=""),"",IF(COUNT(AI443:AJ443)=0,"",AK443-LOOKUP(2,1/(AI443:AJ443&lt;&gt;""),AI443:AJ443)))</t>
        </is>
      </c>
      <c r="AY443" s="49" t="inlineStr">
        <is>
          <t>IF(OR(F443="",AL443=""),"",IF(COUNT(AI443:AK443)=0,"",AL443-LOOKUP(2,1/(AI443:AK443&lt;&gt;""),AI443:AK443)))</t>
        </is>
      </c>
      <c r="AZ443" s="49" t="inlineStr">
        <is>
          <t>IF(OR(F443="",AM443=""),"",IF(COUNT(AI443:AL443)=0,"",AM443-LOOKUP(2,1/(AI443:AL443&lt;&gt;""),AI443:AL443)))</t>
        </is>
      </c>
      <c r="BA443" s="49" t="inlineStr">
        <is>
          <t>IF(OR(F443="",AN443=""),"",IF(COUNT(AI443:AM443)=0,"",AN443-LOOKUP(2,1/(AI443:AM443&lt;&gt;""),AI443:AM443)))</t>
        </is>
      </c>
      <c r="BB443" s="49" t="inlineStr">
        <is>
          <t>IF(OR(F443="",AO443=""),"",IF(COUNT(AI443:AN443)=0,"",AO443-LOOKUP(2,1/(AI443:AN443&lt;&gt;""),AI443:AN443)))</t>
        </is>
      </c>
      <c r="BC443" s="49" t="inlineStr">
        <is>
          <t>IF(OR(F443="",AP443=""),"",IF(COUNT(AI443:AO443)=0,"",AP443-LOOKUP(2,1/(AI443:AO443&lt;&gt;""),AI443:AO443)))</t>
        </is>
      </c>
      <c r="BD443" s="49" t="inlineStr">
        <is>
          <t>IF(OR(F443="",AQ443=""),"",IF(COUNT(AI443:AP443)=0,"",AQ443-LOOKUP(2,1/(AI443:AP443&lt;&gt;""),AI443:AP443)))</t>
        </is>
      </c>
      <c r="BE443" s="49" t="inlineStr">
        <is>
          <t>IF(OR(F443="",AR443=""),"",IF(COUNT(AI443:AQ443)=0,"",AR443-LOOKUP(2,1/(AI443:AQ443&lt;&gt;""),AI443:AQ443)))</t>
        </is>
      </c>
      <c r="BF443" s="49" t="inlineStr">
        <is>
          <t>IF(OR(F443="",AS443=""),"",IF(COUNT(AI443:AR443)=0,"",AS443-LOOKUP(2,1/(AI443:AR443&lt;&gt;""),AI443:AR443)))</t>
        </is>
      </c>
      <c r="BG443" s="49" t="inlineStr">
        <is>
          <t>IF(OR(F443="",AT443=""),"",IF(COUNT(AI443:AS443)=0,"",AT443-LOOKUP(2,1/(AI443:AS443&lt;&gt;""),AI443:AS443)))</t>
        </is>
      </c>
      <c r="BH443" s="49" t="inlineStr">
        <is>
          <t>IF(OR(F443="",AU443=""),"",IF(COUNT(AI443:AT443)=0,"",AU443-LOOKUP(2,1/(AI443:AT443&lt;&gt;""),AI443:AT443)))</t>
        </is>
      </c>
      <c r="BI443" s="49" t="inlineStr">
        <is>
          <t>IF(OR(F443="",AV443=""),"",IF(COUNT(AI443:AU443)=0,"",AV443-LOOKUP(2,1/(AI443:AU443&lt;&gt;""),AI443:AU443)))</t>
        </is>
      </c>
      <c r="BJ443" s="51" t="inlineStr">
        <is>
          <t>IF(J443="","All_Provinces",IFERROR(VLOOKUP(J443,'09_Lookups'!$A$4:$B$20,2,FALSE),"All_Provinces"))</t>
        </is>
      </c>
      <c r="BK443" s="51" t="inlineStr">
        <is>
          <t>IF(K443="","All_Districts",IFERROR(VLOOKUP(K443,'09_Lookups'!$E$4:$F$42,2,FALSE),"All_Districts"))</t>
        </is>
      </c>
    </row>
    <row r="444" ht="18" customHeight="1">
      <c r="A444" s="42" t="inlineStr">
        <is>
          <t>IF(F444="","",ROW()-3)</t>
        </is>
      </c>
      <c r="B444" s="52" t="n"/>
      <c r="C444" s="52" t="n"/>
      <c r="D444" s="52" t="n"/>
      <c r="E444" s="52" t="n"/>
      <c r="F444" s="52" t="n"/>
      <c r="G444" s="52" t="n"/>
      <c r="H444" s="52" t="n"/>
      <c r="I444" s="52" t="n"/>
      <c r="J444" s="52" t="n"/>
      <c r="K444" s="52" t="n"/>
      <c r="L444" s="52" t="n"/>
      <c r="M444" s="52" t="n"/>
      <c r="N444" s="52" t="n"/>
      <c r="O444" s="52" t="n"/>
      <c r="P444" s="52" t="n"/>
      <c r="Q444" s="52" t="n"/>
      <c r="R444" s="52" t="n"/>
      <c r="S444" s="53" t="n"/>
      <c r="T444" s="46" t="inlineStr">
        <is>
          <t>IF(AQ444="","",AQ444)</t>
        </is>
      </c>
      <c r="U444" s="54" t="n"/>
      <c r="V444" s="55" t="n"/>
      <c r="W444" s="54" t="n"/>
      <c r="X444" s="46" t="inlineStr">
        <is>
          <t>IF(W444&lt;&gt;"",W444,IF(OR(T444="",V444=""),"",EDATE(T444,V444)))</t>
        </is>
      </c>
      <c r="Y444" s="54" t="n"/>
      <c r="Z444" s="55" t="n"/>
      <c r="AA444" s="52" t="n"/>
      <c r="AB444" s="52" t="n"/>
      <c r="AC444" s="42" t="inlineStr">
        <is>
          <t>IF(F444="","",IF(COUNT(AI444:AV444)=0,IF(AA444="","Not started",AA444),SUBSTITUTE(LOOKUP(2,1/(AI444:AV444&lt;&gt;""),$AI$3:$AV$3),"Date: ","")))</t>
        </is>
      </c>
      <c r="AD444" s="49" t="inlineStr">
        <is>
          <t>IF(OR(F444="",COUNT(AI444:AV444)=0),"",TODAY()-LOOKUP(2,1/(AI444:AV444&lt;&gt;""),AI444:AV444))</t>
        </is>
      </c>
      <c r="AE444" s="49" t="inlineStr">
        <is>
          <t>IF(OR(F444="",COUNT(AI444:AV444)&lt;2),"",LOOKUP(2,1/(AI444:AV444&lt;&gt;""),AI444:AV444)-MIN(AI444:AV444))</t>
        </is>
      </c>
      <c r="AF444" s="49" t="inlineStr">
        <is>
          <t>IF(OR(AD444="",AC444="Not started",AC444=""),"",IFERROR(AD444-IF(VLOOKUP(AC444,'06_Status_Pipeline'!$B$3:$E$20,4,FALSE)="",0,VLOOKUP(AC444,'06_Status_Pipeline'!$B$3:$E$20,4,FALSE)),""))</t>
        </is>
      </c>
      <c r="AG444" s="42" t="inlineStr">
        <is>
          <t>IF(F444="","",IF(OR(AA444="Cancelled",AC444="Cancelled"),"Cancelled",IF(OR(AC444="Completed / Handover",Y444&lt;&gt;"",Z444&gt;=100),"Completed — on track",IF(O444="Not awarded",IF(U444="",IF(X444="","No planned date",IF(TODAY()&gt;X444,"Behind — past planned date",IF(X444-TODAY()&lt;=30,"At risk — close to off track","On track"))),IF(TODAY()&gt;U444,"Behind — award date passed",IF(U444-TODAY()&lt;=30,"At risk — close to off track","On track"))),IF(X444="","No planned date",IF(AND(TODAY()&gt;X444,OR(Z444="",Z444&lt;100)),"Behind — past end date",IF(AND(T444&lt;&gt;"",X444&lt;&gt;"",Z444&lt;&gt;"",(Z444&lt;100),((TODAY()-T444)/MAX(X444-T444,1)*100)-Z444&gt;15),"Behind — progress lag",IF(AND(X444-TODAY()&lt;=30,X444-TODAY()&gt;=0,OR(Z444="",Z444&lt;90)),"At risk — close to off track","On track"))))))))</t>
        </is>
      </c>
      <c r="AH444" s="49" t="inlineStr">
        <is>
          <t>IF(OR(F444="",AC444="Completed / Handover",AC444="Cancelled"),"",IF(O444="Not awarded",IF(U444&lt;&gt;"",U444-TODAY(),IF(X444="","",X444-TODAY())),IF(X444="","",X444-TODAY())))</t>
        </is>
      </c>
      <c r="AI444" s="54" t="n"/>
      <c r="AJ444" s="54" t="n"/>
      <c r="AK444" s="54" t="n"/>
      <c r="AL444" s="54" t="n"/>
      <c r="AM444" s="54" t="n"/>
      <c r="AN444" s="54" t="n"/>
      <c r="AO444" s="54" t="n"/>
      <c r="AP444" s="54" t="n"/>
      <c r="AQ444" s="54" t="n"/>
      <c r="AR444" s="54" t="n"/>
      <c r="AS444" s="54" t="n"/>
      <c r="AT444" s="50" t="n"/>
      <c r="AU444" s="50" t="n"/>
      <c r="AV444" s="50" t="n"/>
      <c r="AW444" s="49" t="inlineStr">
        <is>
          <t>IF(OR(F444="",AJ444=""),"",IF(COUNT(AI444:AI444)=0,"",AJ444-LOOKUP(2,1/(AI444:AI444&lt;&gt;""),AI444:AI444)))</t>
        </is>
      </c>
      <c r="AX444" s="49" t="inlineStr">
        <is>
          <t>IF(OR(F444="",AK444=""),"",IF(COUNT(AI444:AJ444)=0,"",AK444-LOOKUP(2,1/(AI444:AJ444&lt;&gt;""),AI444:AJ444)))</t>
        </is>
      </c>
      <c r="AY444" s="49" t="inlineStr">
        <is>
          <t>IF(OR(F444="",AL444=""),"",IF(COUNT(AI444:AK444)=0,"",AL444-LOOKUP(2,1/(AI444:AK444&lt;&gt;""),AI444:AK444)))</t>
        </is>
      </c>
      <c r="AZ444" s="49" t="inlineStr">
        <is>
          <t>IF(OR(F444="",AM444=""),"",IF(COUNT(AI444:AL444)=0,"",AM444-LOOKUP(2,1/(AI444:AL444&lt;&gt;""),AI444:AL444)))</t>
        </is>
      </c>
      <c r="BA444" s="49" t="inlineStr">
        <is>
          <t>IF(OR(F444="",AN444=""),"",IF(COUNT(AI444:AM444)=0,"",AN444-LOOKUP(2,1/(AI444:AM444&lt;&gt;""),AI444:AM444)))</t>
        </is>
      </c>
      <c r="BB444" s="49" t="inlineStr">
        <is>
          <t>IF(OR(F444="",AO444=""),"",IF(COUNT(AI444:AN444)=0,"",AO444-LOOKUP(2,1/(AI444:AN444&lt;&gt;""),AI444:AN444)))</t>
        </is>
      </c>
      <c r="BC444" s="49" t="inlineStr">
        <is>
          <t>IF(OR(F444="",AP444=""),"",IF(COUNT(AI444:AO444)=0,"",AP444-LOOKUP(2,1/(AI444:AO444&lt;&gt;""),AI444:AO444)))</t>
        </is>
      </c>
      <c r="BD444" s="49" t="inlineStr">
        <is>
          <t>IF(OR(F444="",AQ444=""),"",IF(COUNT(AI444:AP444)=0,"",AQ444-LOOKUP(2,1/(AI444:AP444&lt;&gt;""),AI444:AP444)))</t>
        </is>
      </c>
      <c r="BE444" s="49" t="inlineStr">
        <is>
          <t>IF(OR(F444="",AR444=""),"",IF(COUNT(AI444:AQ444)=0,"",AR444-LOOKUP(2,1/(AI444:AQ444&lt;&gt;""),AI444:AQ444)))</t>
        </is>
      </c>
      <c r="BF444" s="49" t="inlineStr">
        <is>
          <t>IF(OR(F444="",AS444=""),"",IF(COUNT(AI444:AR444)=0,"",AS444-LOOKUP(2,1/(AI444:AR444&lt;&gt;""),AI444:AR444)))</t>
        </is>
      </c>
      <c r="BG444" s="49" t="inlineStr">
        <is>
          <t>IF(OR(F444="",AT444=""),"",IF(COUNT(AI444:AS444)=0,"",AT444-LOOKUP(2,1/(AI444:AS444&lt;&gt;""),AI444:AS444)))</t>
        </is>
      </c>
      <c r="BH444" s="49" t="inlineStr">
        <is>
          <t>IF(OR(F444="",AU444=""),"",IF(COUNT(AI444:AT444)=0,"",AU444-LOOKUP(2,1/(AI444:AT444&lt;&gt;""),AI444:AT444)))</t>
        </is>
      </c>
      <c r="BI444" s="49" t="inlineStr">
        <is>
          <t>IF(OR(F444="",AV444=""),"",IF(COUNT(AI444:AU444)=0,"",AV444-LOOKUP(2,1/(AI444:AU444&lt;&gt;""),AI444:AU444)))</t>
        </is>
      </c>
      <c r="BJ444" s="51" t="inlineStr">
        <is>
          <t>IF(J444="","All_Provinces",IFERROR(VLOOKUP(J444,'09_Lookups'!$A$4:$B$20,2,FALSE),"All_Provinces"))</t>
        </is>
      </c>
      <c r="BK444" s="51" t="inlineStr">
        <is>
          <t>IF(K444="","All_Districts",IFERROR(VLOOKUP(K444,'09_Lookups'!$E$4:$F$42,2,FALSE),"All_Districts"))</t>
        </is>
      </c>
    </row>
    <row r="445" ht="18" customHeight="1">
      <c r="A445" s="42" t="inlineStr">
        <is>
          <t>IF(F445="","",ROW()-3)</t>
        </is>
      </c>
      <c r="B445" s="44" t="n"/>
      <c r="C445" s="44" t="n"/>
      <c r="D445" s="44" t="n"/>
      <c r="E445" s="44" t="n"/>
      <c r="F445" s="44" t="n"/>
      <c r="G445" s="44" t="n"/>
      <c r="H445" s="44" t="n"/>
      <c r="I445" s="44" t="n"/>
      <c r="J445" s="44" t="n"/>
      <c r="K445" s="44" t="n"/>
      <c r="L445" s="44" t="n"/>
      <c r="M445" s="44" t="n"/>
      <c r="N445" s="44" t="n"/>
      <c r="O445" s="44" t="n"/>
      <c r="P445" s="44" t="n"/>
      <c r="Q445" s="44" t="n"/>
      <c r="R445" s="44" t="n"/>
      <c r="S445" s="45" t="n"/>
      <c r="T445" s="46" t="inlineStr">
        <is>
          <t>IF(AQ445="","",AQ445)</t>
        </is>
      </c>
      <c r="U445" s="47" t="n"/>
      <c r="V445" s="48" t="n"/>
      <c r="W445" s="47" t="n"/>
      <c r="X445" s="46" t="inlineStr">
        <is>
          <t>IF(W445&lt;&gt;"",W445,IF(OR(T445="",V445=""),"",EDATE(T445,V445)))</t>
        </is>
      </c>
      <c r="Y445" s="47" t="n"/>
      <c r="Z445" s="48" t="n"/>
      <c r="AA445" s="44" t="n"/>
      <c r="AB445" s="44" t="n"/>
      <c r="AC445" s="42" t="inlineStr">
        <is>
          <t>IF(F445="","",IF(COUNT(AI445:AV445)=0,IF(AA445="","Not started",AA445),SUBSTITUTE(LOOKUP(2,1/(AI445:AV445&lt;&gt;""),$AI$3:$AV$3),"Date: ","")))</t>
        </is>
      </c>
      <c r="AD445" s="49" t="inlineStr">
        <is>
          <t>IF(OR(F445="",COUNT(AI445:AV445)=0),"",TODAY()-LOOKUP(2,1/(AI445:AV445&lt;&gt;""),AI445:AV445))</t>
        </is>
      </c>
      <c r="AE445" s="49" t="inlineStr">
        <is>
          <t>IF(OR(F445="",COUNT(AI445:AV445)&lt;2),"",LOOKUP(2,1/(AI445:AV445&lt;&gt;""),AI445:AV445)-MIN(AI445:AV445))</t>
        </is>
      </c>
      <c r="AF445" s="49" t="inlineStr">
        <is>
          <t>IF(OR(AD445="",AC445="Not started",AC445=""),"",IFERROR(AD445-IF(VLOOKUP(AC445,'06_Status_Pipeline'!$B$3:$E$20,4,FALSE)="",0,VLOOKUP(AC445,'06_Status_Pipeline'!$B$3:$E$20,4,FALSE)),""))</t>
        </is>
      </c>
      <c r="AG445" s="42" t="inlineStr">
        <is>
          <t>IF(F445="","",IF(OR(AA445="Cancelled",AC445="Cancelled"),"Cancelled",IF(OR(AC445="Completed / Handover",Y445&lt;&gt;"",Z445&gt;=100),"Completed — on track",IF(O445="Not awarded",IF(U445="",IF(X445="","No planned date",IF(TODAY()&gt;X445,"Behind — past planned date",IF(X445-TODAY()&lt;=30,"At risk — close to off track","On track"))),IF(TODAY()&gt;U445,"Behind — award date passed",IF(U445-TODAY()&lt;=30,"At risk — close to off track","On track"))),IF(X445="","No planned date",IF(AND(TODAY()&gt;X445,OR(Z445="",Z445&lt;100)),"Behind — past end date",IF(AND(T445&lt;&gt;"",X445&lt;&gt;"",Z445&lt;&gt;"",(Z445&lt;100),((TODAY()-T445)/MAX(X445-T445,1)*100)-Z445&gt;15),"Behind — progress lag",IF(AND(X445-TODAY()&lt;=30,X445-TODAY()&gt;=0,OR(Z445="",Z445&lt;90)),"At risk — close to off track","On track"))))))))</t>
        </is>
      </c>
      <c r="AH445" s="49" t="inlineStr">
        <is>
          <t>IF(OR(F445="",AC445="Completed / Handover",AC445="Cancelled"),"",IF(O445="Not awarded",IF(U445&lt;&gt;"",U445-TODAY(),IF(X445="","",X445-TODAY())),IF(X445="","",X445-TODAY())))</t>
        </is>
      </c>
      <c r="AI445" s="47" t="n"/>
      <c r="AJ445" s="47" t="n"/>
      <c r="AK445" s="47" t="n"/>
      <c r="AL445" s="47" t="n"/>
      <c r="AM445" s="47" t="n"/>
      <c r="AN445" s="47" t="n"/>
      <c r="AO445" s="47" t="n"/>
      <c r="AP445" s="47" t="n"/>
      <c r="AQ445" s="47" t="n"/>
      <c r="AR445" s="47" t="n"/>
      <c r="AS445" s="47" t="n"/>
      <c r="AT445" s="50" t="n"/>
      <c r="AU445" s="50" t="n"/>
      <c r="AV445" s="50" t="n"/>
      <c r="AW445" s="49" t="inlineStr">
        <is>
          <t>IF(OR(F445="",AJ445=""),"",IF(COUNT(AI445:AI445)=0,"",AJ445-LOOKUP(2,1/(AI445:AI445&lt;&gt;""),AI445:AI445)))</t>
        </is>
      </c>
      <c r="AX445" s="49" t="inlineStr">
        <is>
          <t>IF(OR(F445="",AK445=""),"",IF(COUNT(AI445:AJ445)=0,"",AK445-LOOKUP(2,1/(AI445:AJ445&lt;&gt;""),AI445:AJ445)))</t>
        </is>
      </c>
      <c r="AY445" s="49" t="inlineStr">
        <is>
          <t>IF(OR(F445="",AL445=""),"",IF(COUNT(AI445:AK445)=0,"",AL445-LOOKUP(2,1/(AI445:AK445&lt;&gt;""),AI445:AK445)))</t>
        </is>
      </c>
      <c r="AZ445" s="49" t="inlineStr">
        <is>
          <t>IF(OR(F445="",AM445=""),"",IF(COUNT(AI445:AL445)=0,"",AM445-LOOKUP(2,1/(AI445:AL445&lt;&gt;""),AI445:AL445)))</t>
        </is>
      </c>
      <c r="BA445" s="49" t="inlineStr">
        <is>
          <t>IF(OR(F445="",AN445=""),"",IF(COUNT(AI445:AM445)=0,"",AN445-LOOKUP(2,1/(AI445:AM445&lt;&gt;""),AI445:AM445)))</t>
        </is>
      </c>
      <c r="BB445" s="49" t="inlineStr">
        <is>
          <t>IF(OR(F445="",AO445=""),"",IF(COUNT(AI445:AN445)=0,"",AO445-LOOKUP(2,1/(AI445:AN445&lt;&gt;""),AI445:AN445)))</t>
        </is>
      </c>
      <c r="BC445" s="49" t="inlineStr">
        <is>
          <t>IF(OR(F445="",AP445=""),"",IF(COUNT(AI445:AO445)=0,"",AP445-LOOKUP(2,1/(AI445:AO445&lt;&gt;""),AI445:AO445)))</t>
        </is>
      </c>
      <c r="BD445" s="49" t="inlineStr">
        <is>
          <t>IF(OR(F445="",AQ445=""),"",IF(COUNT(AI445:AP445)=0,"",AQ445-LOOKUP(2,1/(AI445:AP445&lt;&gt;""),AI445:AP445)))</t>
        </is>
      </c>
      <c r="BE445" s="49" t="inlineStr">
        <is>
          <t>IF(OR(F445="",AR445=""),"",IF(COUNT(AI445:AQ445)=0,"",AR445-LOOKUP(2,1/(AI445:AQ445&lt;&gt;""),AI445:AQ445)))</t>
        </is>
      </c>
      <c r="BF445" s="49" t="inlineStr">
        <is>
          <t>IF(OR(F445="",AS445=""),"",IF(COUNT(AI445:AR445)=0,"",AS445-LOOKUP(2,1/(AI445:AR445&lt;&gt;""),AI445:AR445)))</t>
        </is>
      </c>
      <c r="BG445" s="49" t="inlineStr">
        <is>
          <t>IF(OR(F445="",AT445=""),"",IF(COUNT(AI445:AS445)=0,"",AT445-LOOKUP(2,1/(AI445:AS445&lt;&gt;""),AI445:AS445)))</t>
        </is>
      </c>
      <c r="BH445" s="49" t="inlineStr">
        <is>
          <t>IF(OR(F445="",AU445=""),"",IF(COUNT(AI445:AT445)=0,"",AU445-LOOKUP(2,1/(AI445:AT445&lt;&gt;""),AI445:AT445)))</t>
        </is>
      </c>
      <c r="BI445" s="49" t="inlineStr">
        <is>
          <t>IF(OR(F445="",AV445=""),"",IF(COUNT(AI445:AU445)=0,"",AV445-LOOKUP(2,1/(AI445:AU445&lt;&gt;""),AI445:AU445)))</t>
        </is>
      </c>
      <c r="BJ445" s="51" t="inlineStr">
        <is>
          <t>IF(J445="","All_Provinces",IFERROR(VLOOKUP(J445,'09_Lookups'!$A$4:$B$20,2,FALSE),"All_Provinces"))</t>
        </is>
      </c>
      <c r="BK445" s="51" t="inlineStr">
        <is>
          <t>IF(K445="","All_Districts",IFERROR(VLOOKUP(K445,'09_Lookups'!$E$4:$F$42,2,FALSE),"All_Districts"))</t>
        </is>
      </c>
    </row>
    <row r="446" ht="18" customHeight="1">
      <c r="A446" s="42" t="inlineStr">
        <is>
          <t>IF(F446="","",ROW()-3)</t>
        </is>
      </c>
      <c r="B446" s="52" t="n"/>
      <c r="C446" s="52" t="n"/>
      <c r="D446" s="52" t="n"/>
      <c r="E446" s="52" t="n"/>
      <c r="F446" s="52" t="n"/>
      <c r="G446" s="52" t="n"/>
      <c r="H446" s="52" t="n"/>
      <c r="I446" s="52" t="n"/>
      <c r="J446" s="52" t="n"/>
      <c r="K446" s="52" t="n"/>
      <c r="L446" s="52" t="n"/>
      <c r="M446" s="52" t="n"/>
      <c r="N446" s="52" t="n"/>
      <c r="O446" s="52" t="n"/>
      <c r="P446" s="52" t="n"/>
      <c r="Q446" s="52" t="n"/>
      <c r="R446" s="52" t="n"/>
      <c r="S446" s="53" t="n"/>
      <c r="T446" s="46" t="inlineStr">
        <is>
          <t>IF(AQ446="","",AQ446)</t>
        </is>
      </c>
      <c r="U446" s="54" t="n"/>
      <c r="V446" s="55" t="n"/>
      <c r="W446" s="54" t="n"/>
      <c r="X446" s="46" t="inlineStr">
        <is>
          <t>IF(W446&lt;&gt;"",W446,IF(OR(T446="",V446=""),"",EDATE(T446,V446)))</t>
        </is>
      </c>
      <c r="Y446" s="54" t="n"/>
      <c r="Z446" s="55" t="n"/>
      <c r="AA446" s="52" t="n"/>
      <c r="AB446" s="52" t="n"/>
      <c r="AC446" s="42" t="inlineStr">
        <is>
          <t>IF(F446="","",IF(COUNT(AI446:AV446)=0,IF(AA446="","Not started",AA446),SUBSTITUTE(LOOKUP(2,1/(AI446:AV446&lt;&gt;""),$AI$3:$AV$3),"Date: ","")))</t>
        </is>
      </c>
      <c r="AD446" s="49" t="inlineStr">
        <is>
          <t>IF(OR(F446="",COUNT(AI446:AV446)=0),"",TODAY()-LOOKUP(2,1/(AI446:AV446&lt;&gt;""),AI446:AV446))</t>
        </is>
      </c>
      <c r="AE446" s="49" t="inlineStr">
        <is>
          <t>IF(OR(F446="",COUNT(AI446:AV446)&lt;2),"",LOOKUP(2,1/(AI446:AV446&lt;&gt;""),AI446:AV446)-MIN(AI446:AV446))</t>
        </is>
      </c>
      <c r="AF446" s="49" t="inlineStr">
        <is>
          <t>IF(OR(AD446="",AC446="Not started",AC446=""),"",IFERROR(AD446-IF(VLOOKUP(AC446,'06_Status_Pipeline'!$B$3:$E$20,4,FALSE)="",0,VLOOKUP(AC446,'06_Status_Pipeline'!$B$3:$E$20,4,FALSE)),""))</t>
        </is>
      </c>
      <c r="AG446" s="42" t="inlineStr">
        <is>
          <t>IF(F446="","",IF(OR(AA446="Cancelled",AC446="Cancelled"),"Cancelled",IF(OR(AC446="Completed / Handover",Y446&lt;&gt;"",Z446&gt;=100),"Completed — on track",IF(O446="Not awarded",IF(U446="",IF(X446="","No planned date",IF(TODAY()&gt;X446,"Behind — past planned date",IF(X446-TODAY()&lt;=30,"At risk — close to off track","On track"))),IF(TODAY()&gt;U446,"Behind — award date passed",IF(U446-TODAY()&lt;=30,"At risk — close to off track","On track"))),IF(X446="","No planned date",IF(AND(TODAY()&gt;X446,OR(Z446="",Z446&lt;100)),"Behind — past end date",IF(AND(T446&lt;&gt;"",X446&lt;&gt;"",Z446&lt;&gt;"",(Z446&lt;100),((TODAY()-T446)/MAX(X446-T446,1)*100)-Z446&gt;15),"Behind — progress lag",IF(AND(X446-TODAY()&lt;=30,X446-TODAY()&gt;=0,OR(Z446="",Z446&lt;90)),"At risk — close to off track","On track"))))))))</t>
        </is>
      </c>
      <c r="AH446" s="49" t="inlineStr">
        <is>
          <t>IF(OR(F446="",AC446="Completed / Handover",AC446="Cancelled"),"",IF(O446="Not awarded",IF(U446&lt;&gt;"",U446-TODAY(),IF(X446="","",X446-TODAY())),IF(X446="","",X446-TODAY())))</t>
        </is>
      </c>
      <c r="AI446" s="54" t="n"/>
      <c r="AJ446" s="54" t="n"/>
      <c r="AK446" s="54" t="n"/>
      <c r="AL446" s="54" t="n"/>
      <c r="AM446" s="54" t="n"/>
      <c r="AN446" s="54" t="n"/>
      <c r="AO446" s="54" t="n"/>
      <c r="AP446" s="54" t="n"/>
      <c r="AQ446" s="54" t="n"/>
      <c r="AR446" s="54" t="n"/>
      <c r="AS446" s="54" t="n"/>
      <c r="AT446" s="50" t="n"/>
      <c r="AU446" s="50" t="n"/>
      <c r="AV446" s="50" t="n"/>
      <c r="AW446" s="49" t="inlineStr">
        <is>
          <t>IF(OR(F446="",AJ446=""),"",IF(COUNT(AI446:AI446)=0,"",AJ446-LOOKUP(2,1/(AI446:AI446&lt;&gt;""),AI446:AI446)))</t>
        </is>
      </c>
      <c r="AX446" s="49" t="inlineStr">
        <is>
          <t>IF(OR(F446="",AK446=""),"",IF(COUNT(AI446:AJ446)=0,"",AK446-LOOKUP(2,1/(AI446:AJ446&lt;&gt;""),AI446:AJ446)))</t>
        </is>
      </c>
      <c r="AY446" s="49" t="inlineStr">
        <is>
          <t>IF(OR(F446="",AL446=""),"",IF(COUNT(AI446:AK446)=0,"",AL446-LOOKUP(2,1/(AI446:AK446&lt;&gt;""),AI446:AK446)))</t>
        </is>
      </c>
      <c r="AZ446" s="49" t="inlineStr">
        <is>
          <t>IF(OR(F446="",AM446=""),"",IF(COUNT(AI446:AL446)=0,"",AM446-LOOKUP(2,1/(AI446:AL446&lt;&gt;""),AI446:AL446)))</t>
        </is>
      </c>
      <c r="BA446" s="49" t="inlineStr">
        <is>
          <t>IF(OR(F446="",AN446=""),"",IF(COUNT(AI446:AM446)=0,"",AN446-LOOKUP(2,1/(AI446:AM446&lt;&gt;""),AI446:AM446)))</t>
        </is>
      </c>
      <c r="BB446" s="49" t="inlineStr">
        <is>
          <t>IF(OR(F446="",AO446=""),"",IF(COUNT(AI446:AN446)=0,"",AO446-LOOKUP(2,1/(AI446:AN446&lt;&gt;""),AI446:AN446)))</t>
        </is>
      </c>
      <c r="BC446" s="49" t="inlineStr">
        <is>
          <t>IF(OR(F446="",AP446=""),"",IF(COUNT(AI446:AO446)=0,"",AP446-LOOKUP(2,1/(AI446:AO446&lt;&gt;""),AI446:AO446)))</t>
        </is>
      </c>
      <c r="BD446" s="49" t="inlineStr">
        <is>
          <t>IF(OR(F446="",AQ446=""),"",IF(COUNT(AI446:AP446)=0,"",AQ446-LOOKUP(2,1/(AI446:AP446&lt;&gt;""),AI446:AP446)))</t>
        </is>
      </c>
      <c r="BE446" s="49" t="inlineStr">
        <is>
          <t>IF(OR(F446="",AR446=""),"",IF(COUNT(AI446:AQ446)=0,"",AR446-LOOKUP(2,1/(AI446:AQ446&lt;&gt;""),AI446:AQ446)))</t>
        </is>
      </c>
      <c r="BF446" s="49" t="inlineStr">
        <is>
          <t>IF(OR(F446="",AS446=""),"",IF(COUNT(AI446:AR446)=0,"",AS446-LOOKUP(2,1/(AI446:AR446&lt;&gt;""),AI446:AR446)))</t>
        </is>
      </c>
      <c r="BG446" s="49" t="inlineStr">
        <is>
          <t>IF(OR(F446="",AT446=""),"",IF(COUNT(AI446:AS446)=0,"",AT446-LOOKUP(2,1/(AI446:AS446&lt;&gt;""),AI446:AS446)))</t>
        </is>
      </c>
      <c r="BH446" s="49" t="inlineStr">
        <is>
          <t>IF(OR(F446="",AU446=""),"",IF(COUNT(AI446:AT446)=0,"",AU446-LOOKUP(2,1/(AI446:AT446&lt;&gt;""),AI446:AT446)))</t>
        </is>
      </c>
      <c r="BI446" s="49" t="inlineStr">
        <is>
          <t>IF(OR(F446="",AV446=""),"",IF(COUNT(AI446:AU446)=0,"",AV446-LOOKUP(2,1/(AI446:AU446&lt;&gt;""),AI446:AU446)))</t>
        </is>
      </c>
      <c r="BJ446" s="51" t="inlineStr">
        <is>
          <t>IF(J446="","All_Provinces",IFERROR(VLOOKUP(J446,'09_Lookups'!$A$4:$B$20,2,FALSE),"All_Provinces"))</t>
        </is>
      </c>
      <c r="BK446" s="51" t="inlineStr">
        <is>
          <t>IF(K446="","All_Districts",IFERROR(VLOOKUP(K446,'09_Lookups'!$E$4:$F$42,2,FALSE),"All_Districts"))</t>
        </is>
      </c>
    </row>
    <row r="447" ht="18" customHeight="1">
      <c r="A447" s="42" t="inlineStr">
        <is>
          <t>IF(F447="","",ROW()-3)</t>
        </is>
      </c>
      <c r="B447" s="44" t="n"/>
      <c r="C447" s="44" t="n"/>
      <c r="D447" s="44" t="n"/>
      <c r="E447" s="44" t="n"/>
      <c r="F447" s="44" t="n"/>
      <c r="G447" s="44" t="n"/>
      <c r="H447" s="44" t="n"/>
      <c r="I447" s="44" t="n"/>
      <c r="J447" s="44" t="n"/>
      <c r="K447" s="44" t="n"/>
      <c r="L447" s="44" t="n"/>
      <c r="M447" s="44" t="n"/>
      <c r="N447" s="44" t="n"/>
      <c r="O447" s="44" t="n"/>
      <c r="P447" s="44" t="n"/>
      <c r="Q447" s="44" t="n"/>
      <c r="R447" s="44" t="n"/>
      <c r="S447" s="45" t="n"/>
      <c r="T447" s="46" t="inlineStr">
        <is>
          <t>IF(AQ447="","",AQ447)</t>
        </is>
      </c>
      <c r="U447" s="47" t="n"/>
      <c r="V447" s="48" t="n"/>
      <c r="W447" s="47" t="n"/>
      <c r="X447" s="46" t="inlineStr">
        <is>
          <t>IF(W447&lt;&gt;"",W447,IF(OR(T447="",V447=""),"",EDATE(T447,V447)))</t>
        </is>
      </c>
      <c r="Y447" s="47" t="n"/>
      <c r="Z447" s="48" t="n"/>
      <c r="AA447" s="44" t="n"/>
      <c r="AB447" s="44" t="n"/>
      <c r="AC447" s="42" t="inlineStr">
        <is>
          <t>IF(F447="","",IF(COUNT(AI447:AV447)=0,IF(AA447="","Not started",AA447),SUBSTITUTE(LOOKUP(2,1/(AI447:AV447&lt;&gt;""),$AI$3:$AV$3),"Date: ","")))</t>
        </is>
      </c>
      <c r="AD447" s="49" t="inlineStr">
        <is>
          <t>IF(OR(F447="",COUNT(AI447:AV447)=0),"",TODAY()-LOOKUP(2,1/(AI447:AV447&lt;&gt;""),AI447:AV447))</t>
        </is>
      </c>
      <c r="AE447" s="49" t="inlineStr">
        <is>
          <t>IF(OR(F447="",COUNT(AI447:AV447)&lt;2),"",LOOKUP(2,1/(AI447:AV447&lt;&gt;""),AI447:AV447)-MIN(AI447:AV447))</t>
        </is>
      </c>
      <c r="AF447" s="49" t="inlineStr">
        <is>
          <t>IF(OR(AD447="",AC447="Not started",AC447=""),"",IFERROR(AD447-IF(VLOOKUP(AC447,'06_Status_Pipeline'!$B$3:$E$20,4,FALSE)="",0,VLOOKUP(AC447,'06_Status_Pipeline'!$B$3:$E$20,4,FALSE)),""))</t>
        </is>
      </c>
      <c r="AG447" s="42" t="inlineStr">
        <is>
          <t>IF(F447="","",IF(OR(AA447="Cancelled",AC447="Cancelled"),"Cancelled",IF(OR(AC447="Completed / Handover",Y447&lt;&gt;"",Z447&gt;=100),"Completed — on track",IF(O447="Not awarded",IF(U447="",IF(X447="","No planned date",IF(TODAY()&gt;X447,"Behind — past planned date",IF(X447-TODAY()&lt;=30,"At risk — close to off track","On track"))),IF(TODAY()&gt;U447,"Behind — award date passed",IF(U447-TODAY()&lt;=30,"At risk — close to off track","On track"))),IF(X447="","No planned date",IF(AND(TODAY()&gt;X447,OR(Z447="",Z447&lt;100)),"Behind — past end date",IF(AND(T447&lt;&gt;"",X447&lt;&gt;"",Z447&lt;&gt;"",(Z447&lt;100),((TODAY()-T447)/MAX(X447-T447,1)*100)-Z447&gt;15),"Behind — progress lag",IF(AND(X447-TODAY()&lt;=30,X447-TODAY()&gt;=0,OR(Z447="",Z447&lt;90)),"At risk — close to off track","On track"))))))))</t>
        </is>
      </c>
      <c r="AH447" s="49" t="inlineStr">
        <is>
          <t>IF(OR(F447="",AC447="Completed / Handover",AC447="Cancelled"),"",IF(O447="Not awarded",IF(U447&lt;&gt;"",U447-TODAY(),IF(X447="","",X447-TODAY())),IF(X447="","",X447-TODAY())))</t>
        </is>
      </c>
      <c r="AI447" s="47" t="n"/>
      <c r="AJ447" s="47" t="n"/>
      <c r="AK447" s="47" t="n"/>
      <c r="AL447" s="47" t="n"/>
      <c r="AM447" s="47" t="n"/>
      <c r="AN447" s="47" t="n"/>
      <c r="AO447" s="47" t="n"/>
      <c r="AP447" s="47" t="n"/>
      <c r="AQ447" s="47" t="n"/>
      <c r="AR447" s="47" t="n"/>
      <c r="AS447" s="47" t="n"/>
      <c r="AT447" s="50" t="n"/>
      <c r="AU447" s="50" t="n"/>
      <c r="AV447" s="50" t="n"/>
      <c r="AW447" s="49" t="inlineStr">
        <is>
          <t>IF(OR(F447="",AJ447=""),"",IF(COUNT(AI447:AI447)=0,"",AJ447-LOOKUP(2,1/(AI447:AI447&lt;&gt;""),AI447:AI447)))</t>
        </is>
      </c>
      <c r="AX447" s="49" t="inlineStr">
        <is>
          <t>IF(OR(F447="",AK447=""),"",IF(COUNT(AI447:AJ447)=0,"",AK447-LOOKUP(2,1/(AI447:AJ447&lt;&gt;""),AI447:AJ447)))</t>
        </is>
      </c>
      <c r="AY447" s="49" t="inlineStr">
        <is>
          <t>IF(OR(F447="",AL447=""),"",IF(COUNT(AI447:AK447)=0,"",AL447-LOOKUP(2,1/(AI447:AK447&lt;&gt;""),AI447:AK447)))</t>
        </is>
      </c>
      <c r="AZ447" s="49" t="inlineStr">
        <is>
          <t>IF(OR(F447="",AM447=""),"",IF(COUNT(AI447:AL447)=0,"",AM447-LOOKUP(2,1/(AI447:AL447&lt;&gt;""),AI447:AL447)))</t>
        </is>
      </c>
      <c r="BA447" s="49" t="inlineStr">
        <is>
          <t>IF(OR(F447="",AN447=""),"",IF(COUNT(AI447:AM447)=0,"",AN447-LOOKUP(2,1/(AI447:AM447&lt;&gt;""),AI447:AM447)))</t>
        </is>
      </c>
      <c r="BB447" s="49" t="inlineStr">
        <is>
          <t>IF(OR(F447="",AO447=""),"",IF(COUNT(AI447:AN447)=0,"",AO447-LOOKUP(2,1/(AI447:AN447&lt;&gt;""),AI447:AN447)))</t>
        </is>
      </c>
      <c r="BC447" s="49" t="inlineStr">
        <is>
          <t>IF(OR(F447="",AP447=""),"",IF(COUNT(AI447:AO447)=0,"",AP447-LOOKUP(2,1/(AI447:AO447&lt;&gt;""),AI447:AO447)))</t>
        </is>
      </c>
      <c r="BD447" s="49" t="inlineStr">
        <is>
          <t>IF(OR(F447="",AQ447=""),"",IF(COUNT(AI447:AP447)=0,"",AQ447-LOOKUP(2,1/(AI447:AP447&lt;&gt;""),AI447:AP447)))</t>
        </is>
      </c>
      <c r="BE447" s="49" t="inlineStr">
        <is>
          <t>IF(OR(F447="",AR447=""),"",IF(COUNT(AI447:AQ447)=0,"",AR447-LOOKUP(2,1/(AI447:AQ447&lt;&gt;""),AI447:AQ447)))</t>
        </is>
      </c>
      <c r="BF447" s="49" t="inlineStr">
        <is>
          <t>IF(OR(F447="",AS447=""),"",IF(COUNT(AI447:AR447)=0,"",AS447-LOOKUP(2,1/(AI447:AR447&lt;&gt;""),AI447:AR447)))</t>
        </is>
      </c>
      <c r="BG447" s="49" t="inlineStr">
        <is>
          <t>IF(OR(F447="",AT447=""),"",IF(COUNT(AI447:AS447)=0,"",AT447-LOOKUP(2,1/(AI447:AS447&lt;&gt;""),AI447:AS447)))</t>
        </is>
      </c>
      <c r="BH447" s="49" t="inlineStr">
        <is>
          <t>IF(OR(F447="",AU447=""),"",IF(COUNT(AI447:AT447)=0,"",AU447-LOOKUP(2,1/(AI447:AT447&lt;&gt;""),AI447:AT447)))</t>
        </is>
      </c>
      <c r="BI447" s="49" t="inlineStr">
        <is>
          <t>IF(OR(F447="",AV447=""),"",IF(COUNT(AI447:AU447)=0,"",AV447-LOOKUP(2,1/(AI447:AU447&lt;&gt;""),AI447:AU447)))</t>
        </is>
      </c>
      <c r="BJ447" s="51" t="inlineStr">
        <is>
          <t>IF(J447="","All_Provinces",IFERROR(VLOOKUP(J447,'09_Lookups'!$A$4:$B$20,2,FALSE),"All_Provinces"))</t>
        </is>
      </c>
      <c r="BK447" s="51" t="inlineStr">
        <is>
          <t>IF(K447="","All_Districts",IFERROR(VLOOKUP(K447,'09_Lookups'!$E$4:$F$42,2,FALSE),"All_Districts"))</t>
        </is>
      </c>
    </row>
    <row r="448" ht="18" customHeight="1">
      <c r="A448" s="42" t="inlineStr">
        <is>
          <t>IF(F448="","",ROW()-3)</t>
        </is>
      </c>
      <c r="B448" s="52" t="n"/>
      <c r="C448" s="52" t="n"/>
      <c r="D448" s="52" t="n"/>
      <c r="E448" s="52" t="n"/>
      <c r="F448" s="52" t="n"/>
      <c r="G448" s="52" t="n"/>
      <c r="H448" s="52" t="n"/>
      <c r="I448" s="52" t="n"/>
      <c r="J448" s="52" t="n"/>
      <c r="K448" s="52" t="n"/>
      <c r="L448" s="52" t="n"/>
      <c r="M448" s="52" t="n"/>
      <c r="N448" s="52" t="n"/>
      <c r="O448" s="52" t="n"/>
      <c r="P448" s="52" t="n"/>
      <c r="Q448" s="52" t="n"/>
      <c r="R448" s="52" t="n"/>
      <c r="S448" s="53" t="n"/>
      <c r="T448" s="46" t="inlineStr">
        <is>
          <t>IF(AQ448="","",AQ448)</t>
        </is>
      </c>
      <c r="U448" s="54" t="n"/>
      <c r="V448" s="55" t="n"/>
      <c r="W448" s="54" t="n"/>
      <c r="X448" s="46" t="inlineStr">
        <is>
          <t>IF(W448&lt;&gt;"",W448,IF(OR(T448="",V448=""),"",EDATE(T448,V448)))</t>
        </is>
      </c>
      <c r="Y448" s="54" t="n"/>
      <c r="Z448" s="55" t="n"/>
      <c r="AA448" s="52" t="n"/>
      <c r="AB448" s="52" t="n"/>
      <c r="AC448" s="42" t="inlineStr">
        <is>
          <t>IF(F448="","",IF(COUNT(AI448:AV448)=0,IF(AA448="","Not started",AA448),SUBSTITUTE(LOOKUP(2,1/(AI448:AV448&lt;&gt;""),$AI$3:$AV$3),"Date: ","")))</t>
        </is>
      </c>
      <c r="AD448" s="49" t="inlineStr">
        <is>
          <t>IF(OR(F448="",COUNT(AI448:AV448)=0),"",TODAY()-LOOKUP(2,1/(AI448:AV448&lt;&gt;""),AI448:AV448))</t>
        </is>
      </c>
      <c r="AE448" s="49" t="inlineStr">
        <is>
          <t>IF(OR(F448="",COUNT(AI448:AV448)&lt;2),"",LOOKUP(2,1/(AI448:AV448&lt;&gt;""),AI448:AV448)-MIN(AI448:AV448))</t>
        </is>
      </c>
      <c r="AF448" s="49" t="inlineStr">
        <is>
          <t>IF(OR(AD448="",AC448="Not started",AC448=""),"",IFERROR(AD448-IF(VLOOKUP(AC448,'06_Status_Pipeline'!$B$3:$E$20,4,FALSE)="",0,VLOOKUP(AC448,'06_Status_Pipeline'!$B$3:$E$20,4,FALSE)),""))</t>
        </is>
      </c>
      <c r="AG448" s="42" t="inlineStr">
        <is>
          <t>IF(F448="","",IF(OR(AA448="Cancelled",AC448="Cancelled"),"Cancelled",IF(OR(AC448="Completed / Handover",Y448&lt;&gt;"",Z448&gt;=100),"Completed — on track",IF(O448="Not awarded",IF(U448="",IF(X448="","No planned date",IF(TODAY()&gt;X448,"Behind — past planned date",IF(X448-TODAY()&lt;=30,"At risk — close to off track","On track"))),IF(TODAY()&gt;U448,"Behind — award date passed",IF(U448-TODAY()&lt;=30,"At risk — close to off track","On track"))),IF(X448="","No planned date",IF(AND(TODAY()&gt;X448,OR(Z448="",Z448&lt;100)),"Behind — past end date",IF(AND(T448&lt;&gt;"",X448&lt;&gt;"",Z448&lt;&gt;"",(Z448&lt;100),((TODAY()-T448)/MAX(X448-T448,1)*100)-Z448&gt;15),"Behind — progress lag",IF(AND(X448-TODAY()&lt;=30,X448-TODAY()&gt;=0,OR(Z448="",Z448&lt;90)),"At risk — close to off track","On track"))))))))</t>
        </is>
      </c>
      <c r="AH448" s="49" t="inlineStr">
        <is>
          <t>IF(OR(F448="",AC448="Completed / Handover",AC448="Cancelled"),"",IF(O448="Not awarded",IF(U448&lt;&gt;"",U448-TODAY(),IF(X448="","",X448-TODAY())),IF(X448="","",X448-TODAY())))</t>
        </is>
      </c>
      <c r="AI448" s="54" t="n"/>
      <c r="AJ448" s="54" t="n"/>
      <c r="AK448" s="54" t="n"/>
      <c r="AL448" s="54" t="n"/>
      <c r="AM448" s="54" t="n"/>
      <c r="AN448" s="54" t="n"/>
      <c r="AO448" s="54" t="n"/>
      <c r="AP448" s="54" t="n"/>
      <c r="AQ448" s="54" t="n"/>
      <c r="AR448" s="54" t="n"/>
      <c r="AS448" s="54" t="n"/>
      <c r="AT448" s="50" t="n"/>
      <c r="AU448" s="50" t="n"/>
      <c r="AV448" s="50" t="n"/>
      <c r="AW448" s="49" t="inlineStr">
        <is>
          <t>IF(OR(F448="",AJ448=""),"",IF(COUNT(AI448:AI448)=0,"",AJ448-LOOKUP(2,1/(AI448:AI448&lt;&gt;""),AI448:AI448)))</t>
        </is>
      </c>
      <c r="AX448" s="49" t="inlineStr">
        <is>
          <t>IF(OR(F448="",AK448=""),"",IF(COUNT(AI448:AJ448)=0,"",AK448-LOOKUP(2,1/(AI448:AJ448&lt;&gt;""),AI448:AJ448)))</t>
        </is>
      </c>
      <c r="AY448" s="49" t="inlineStr">
        <is>
          <t>IF(OR(F448="",AL448=""),"",IF(COUNT(AI448:AK448)=0,"",AL448-LOOKUP(2,1/(AI448:AK448&lt;&gt;""),AI448:AK448)))</t>
        </is>
      </c>
      <c r="AZ448" s="49" t="inlineStr">
        <is>
          <t>IF(OR(F448="",AM448=""),"",IF(COUNT(AI448:AL448)=0,"",AM448-LOOKUP(2,1/(AI448:AL448&lt;&gt;""),AI448:AL448)))</t>
        </is>
      </c>
      <c r="BA448" s="49" t="inlineStr">
        <is>
          <t>IF(OR(F448="",AN448=""),"",IF(COUNT(AI448:AM448)=0,"",AN448-LOOKUP(2,1/(AI448:AM448&lt;&gt;""),AI448:AM448)))</t>
        </is>
      </c>
      <c r="BB448" s="49" t="inlineStr">
        <is>
          <t>IF(OR(F448="",AO448=""),"",IF(COUNT(AI448:AN448)=0,"",AO448-LOOKUP(2,1/(AI448:AN448&lt;&gt;""),AI448:AN448)))</t>
        </is>
      </c>
      <c r="BC448" s="49" t="inlineStr">
        <is>
          <t>IF(OR(F448="",AP448=""),"",IF(COUNT(AI448:AO448)=0,"",AP448-LOOKUP(2,1/(AI448:AO448&lt;&gt;""),AI448:AO448)))</t>
        </is>
      </c>
      <c r="BD448" s="49" t="inlineStr">
        <is>
          <t>IF(OR(F448="",AQ448=""),"",IF(COUNT(AI448:AP448)=0,"",AQ448-LOOKUP(2,1/(AI448:AP448&lt;&gt;""),AI448:AP448)))</t>
        </is>
      </c>
      <c r="BE448" s="49" t="inlineStr">
        <is>
          <t>IF(OR(F448="",AR448=""),"",IF(COUNT(AI448:AQ448)=0,"",AR448-LOOKUP(2,1/(AI448:AQ448&lt;&gt;""),AI448:AQ448)))</t>
        </is>
      </c>
      <c r="BF448" s="49" t="inlineStr">
        <is>
          <t>IF(OR(F448="",AS448=""),"",IF(COUNT(AI448:AR448)=0,"",AS448-LOOKUP(2,1/(AI448:AR448&lt;&gt;""),AI448:AR448)))</t>
        </is>
      </c>
      <c r="BG448" s="49" t="inlineStr">
        <is>
          <t>IF(OR(F448="",AT448=""),"",IF(COUNT(AI448:AS448)=0,"",AT448-LOOKUP(2,1/(AI448:AS448&lt;&gt;""),AI448:AS448)))</t>
        </is>
      </c>
      <c r="BH448" s="49" t="inlineStr">
        <is>
          <t>IF(OR(F448="",AU448=""),"",IF(COUNT(AI448:AT448)=0,"",AU448-LOOKUP(2,1/(AI448:AT448&lt;&gt;""),AI448:AT448)))</t>
        </is>
      </c>
      <c r="BI448" s="49" t="inlineStr">
        <is>
          <t>IF(OR(F448="",AV448=""),"",IF(COUNT(AI448:AU448)=0,"",AV448-LOOKUP(2,1/(AI448:AU448&lt;&gt;""),AI448:AU448)))</t>
        </is>
      </c>
      <c r="BJ448" s="51" t="inlineStr">
        <is>
          <t>IF(J448="","All_Provinces",IFERROR(VLOOKUP(J448,'09_Lookups'!$A$4:$B$20,2,FALSE),"All_Provinces"))</t>
        </is>
      </c>
      <c r="BK448" s="51" t="inlineStr">
        <is>
          <t>IF(K448="","All_Districts",IFERROR(VLOOKUP(K448,'09_Lookups'!$E$4:$F$42,2,FALSE),"All_Districts"))</t>
        </is>
      </c>
    </row>
    <row r="449" ht="18" customHeight="1">
      <c r="A449" s="42" t="inlineStr">
        <is>
          <t>IF(F449="","",ROW()-3)</t>
        </is>
      </c>
      <c r="B449" s="44" t="n"/>
      <c r="C449" s="44" t="n"/>
      <c r="D449" s="44" t="n"/>
      <c r="E449" s="44" t="n"/>
      <c r="F449" s="44" t="n"/>
      <c r="G449" s="44" t="n"/>
      <c r="H449" s="44" t="n"/>
      <c r="I449" s="44" t="n"/>
      <c r="J449" s="44" t="n"/>
      <c r="K449" s="44" t="n"/>
      <c r="L449" s="44" t="n"/>
      <c r="M449" s="44" t="n"/>
      <c r="N449" s="44" t="n"/>
      <c r="O449" s="44" t="n"/>
      <c r="P449" s="44" t="n"/>
      <c r="Q449" s="44" t="n"/>
      <c r="R449" s="44" t="n"/>
      <c r="S449" s="45" t="n"/>
      <c r="T449" s="46" t="inlineStr">
        <is>
          <t>IF(AQ449="","",AQ449)</t>
        </is>
      </c>
      <c r="U449" s="47" t="n"/>
      <c r="V449" s="48" t="n"/>
      <c r="W449" s="47" t="n"/>
      <c r="X449" s="46" t="inlineStr">
        <is>
          <t>IF(W449&lt;&gt;"",W449,IF(OR(T449="",V449=""),"",EDATE(T449,V449)))</t>
        </is>
      </c>
      <c r="Y449" s="47" t="n"/>
      <c r="Z449" s="48" t="n"/>
      <c r="AA449" s="44" t="n"/>
      <c r="AB449" s="44" t="n"/>
      <c r="AC449" s="42" t="inlineStr">
        <is>
          <t>IF(F449="","",IF(COUNT(AI449:AV449)=0,IF(AA449="","Not started",AA449),SUBSTITUTE(LOOKUP(2,1/(AI449:AV449&lt;&gt;""),$AI$3:$AV$3),"Date: ","")))</t>
        </is>
      </c>
      <c r="AD449" s="49" t="inlineStr">
        <is>
          <t>IF(OR(F449="",COUNT(AI449:AV449)=0),"",TODAY()-LOOKUP(2,1/(AI449:AV449&lt;&gt;""),AI449:AV449))</t>
        </is>
      </c>
      <c r="AE449" s="49" t="inlineStr">
        <is>
          <t>IF(OR(F449="",COUNT(AI449:AV449)&lt;2),"",LOOKUP(2,1/(AI449:AV449&lt;&gt;""),AI449:AV449)-MIN(AI449:AV449))</t>
        </is>
      </c>
      <c r="AF449" s="49" t="inlineStr">
        <is>
          <t>IF(OR(AD449="",AC449="Not started",AC449=""),"",IFERROR(AD449-IF(VLOOKUP(AC449,'06_Status_Pipeline'!$B$3:$E$20,4,FALSE)="",0,VLOOKUP(AC449,'06_Status_Pipeline'!$B$3:$E$20,4,FALSE)),""))</t>
        </is>
      </c>
      <c r="AG449" s="42" t="inlineStr">
        <is>
          <t>IF(F449="","",IF(OR(AA449="Cancelled",AC449="Cancelled"),"Cancelled",IF(OR(AC449="Completed / Handover",Y449&lt;&gt;"",Z449&gt;=100),"Completed — on track",IF(O449="Not awarded",IF(U449="",IF(X449="","No planned date",IF(TODAY()&gt;X449,"Behind — past planned date",IF(X449-TODAY()&lt;=30,"At risk — close to off track","On track"))),IF(TODAY()&gt;U449,"Behind — award date passed",IF(U449-TODAY()&lt;=30,"At risk — close to off track","On track"))),IF(X449="","No planned date",IF(AND(TODAY()&gt;X449,OR(Z449="",Z449&lt;100)),"Behind — past end date",IF(AND(T449&lt;&gt;"",X449&lt;&gt;"",Z449&lt;&gt;"",(Z449&lt;100),((TODAY()-T449)/MAX(X449-T449,1)*100)-Z449&gt;15),"Behind — progress lag",IF(AND(X449-TODAY()&lt;=30,X449-TODAY()&gt;=0,OR(Z449="",Z449&lt;90)),"At risk — close to off track","On track"))))))))</t>
        </is>
      </c>
      <c r="AH449" s="49" t="inlineStr">
        <is>
          <t>IF(OR(F449="",AC449="Completed / Handover",AC449="Cancelled"),"",IF(O449="Not awarded",IF(U449&lt;&gt;"",U449-TODAY(),IF(X449="","",X449-TODAY())),IF(X449="","",X449-TODAY())))</t>
        </is>
      </c>
      <c r="AI449" s="47" t="n"/>
      <c r="AJ449" s="47" t="n"/>
      <c r="AK449" s="47" t="n"/>
      <c r="AL449" s="47" t="n"/>
      <c r="AM449" s="47" t="n"/>
      <c r="AN449" s="47" t="n"/>
      <c r="AO449" s="47" t="n"/>
      <c r="AP449" s="47" t="n"/>
      <c r="AQ449" s="47" t="n"/>
      <c r="AR449" s="47" t="n"/>
      <c r="AS449" s="47" t="n"/>
      <c r="AT449" s="50" t="n"/>
      <c r="AU449" s="50" t="n"/>
      <c r="AV449" s="50" t="n"/>
      <c r="AW449" s="49" t="inlineStr">
        <is>
          <t>IF(OR(F449="",AJ449=""),"",IF(COUNT(AI449:AI449)=0,"",AJ449-LOOKUP(2,1/(AI449:AI449&lt;&gt;""),AI449:AI449)))</t>
        </is>
      </c>
      <c r="AX449" s="49" t="inlineStr">
        <is>
          <t>IF(OR(F449="",AK449=""),"",IF(COUNT(AI449:AJ449)=0,"",AK449-LOOKUP(2,1/(AI449:AJ449&lt;&gt;""),AI449:AJ449)))</t>
        </is>
      </c>
      <c r="AY449" s="49" t="inlineStr">
        <is>
          <t>IF(OR(F449="",AL449=""),"",IF(COUNT(AI449:AK449)=0,"",AL449-LOOKUP(2,1/(AI449:AK449&lt;&gt;""),AI449:AK449)))</t>
        </is>
      </c>
      <c r="AZ449" s="49" t="inlineStr">
        <is>
          <t>IF(OR(F449="",AM449=""),"",IF(COUNT(AI449:AL449)=0,"",AM449-LOOKUP(2,1/(AI449:AL449&lt;&gt;""),AI449:AL449)))</t>
        </is>
      </c>
      <c r="BA449" s="49" t="inlineStr">
        <is>
          <t>IF(OR(F449="",AN449=""),"",IF(COUNT(AI449:AM449)=0,"",AN449-LOOKUP(2,1/(AI449:AM449&lt;&gt;""),AI449:AM449)))</t>
        </is>
      </c>
      <c r="BB449" s="49" t="inlineStr">
        <is>
          <t>IF(OR(F449="",AO449=""),"",IF(COUNT(AI449:AN449)=0,"",AO449-LOOKUP(2,1/(AI449:AN449&lt;&gt;""),AI449:AN449)))</t>
        </is>
      </c>
      <c r="BC449" s="49" t="inlineStr">
        <is>
          <t>IF(OR(F449="",AP449=""),"",IF(COUNT(AI449:AO449)=0,"",AP449-LOOKUP(2,1/(AI449:AO449&lt;&gt;""),AI449:AO449)))</t>
        </is>
      </c>
      <c r="BD449" s="49" t="inlineStr">
        <is>
          <t>IF(OR(F449="",AQ449=""),"",IF(COUNT(AI449:AP449)=0,"",AQ449-LOOKUP(2,1/(AI449:AP449&lt;&gt;""),AI449:AP449)))</t>
        </is>
      </c>
      <c r="BE449" s="49" t="inlineStr">
        <is>
          <t>IF(OR(F449="",AR449=""),"",IF(COUNT(AI449:AQ449)=0,"",AR449-LOOKUP(2,1/(AI449:AQ449&lt;&gt;""),AI449:AQ449)))</t>
        </is>
      </c>
      <c r="BF449" s="49" t="inlineStr">
        <is>
          <t>IF(OR(F449="",AS449=""),"",IF(COUNT(AI449:AR449)=0,"",AS449-LOOKUP(2,1/(AI449:AR449&lt;&gt;""),AI449:AR449)))</t>
        </is>
      </c>
      <c r="BG449" s="49" t="inlineStr">
        <is>
          <t>IF(OR(F449="",AT449=""),"",IF(COUNT(AI449:AS449)=0,"",AT449-LOOKUP(2,1/(AI449:AS449&lt;&gt;""),AI449:AS449)))</t>
        </is>
      </c>
      <c r="BH449" s="49" t="inlineStr">
        <is>
          <t>IF(OR(F449="",AU449=""),"",IF(COUNT(AI449:AT449)=0,"",AU449-LOOKUP(2,1/(AI449:AT449&lt;&gt;""),AI449:AT449)))</t>
        </is>
      </c>
      <c r="BI449" s="49" t="inlineStr">
        <is>
          <t>IF(OR(F449="",AV449=""),"",IF(COUNT(AI449:AU449)=0,"",AV449-LOOKUP(2,1/(AI449:AU449&lt;&gt;""),AI449:AU449)))</t>
        </is>
      </c>
      <c r="BJ449" s="51" t="inlineStr">
        <is>
          <t>IF(J449="","All_Provinces",IFERROR(VLOOKUP(J449,'09_Lookups'!$A$4:$B$20,2,FALSE),"All_Provinces"))</t>
        </is>
      </c>
      <c r="BK449" s="51" t="inlineStr">
        <is>
          <t>IF(K449="","All_Districts",IFERROR(VLOOKUP(K449,'09_Lookups'!$E$4:$F$42,2,FALSE),"All_Districts"))</t>
        </is>
      </c>
    </row>
    <row r="450" ht="18" customHeight="1">
      <c r="A450" s="42" t="inlineStr">
        <is>
          <t>IF(F450="","",ROW()-3)</t>
        </is>
      </c>
      <c r="B450" s="52" t="n"/>
      <c r="C450" s="52" t="n"/>
      <c r="D450" s="52" t="n"/>
      <c r="E450" s="52" t="n"/>
      <c r="F450" s="52" t="n"/>
      <c r="G450" s="52" t="n"/>
      <c r="H450" s="52" t="n"/>
      <c r="I450" s="52" t="n"/>
      <c r="J450" s="52" t="n"/>
      <c r="K450" s="52" t="n"/>
      <c r="L450" s="52" t="n"/>
      <c r="M450" s="52" t="n"/>
      <c r="N450" s="52" t="n"/>
      <c r="O450" s="52" t="n"/>
      <c r="P450" s="52" t="n"/>
      <c r="Q450" s="52" t="n"/>
      <c r="R450" s="52" t="n"/>
      <c r="S450" s="53" t="n"/>
      <c r="T450" s="46" t="inlineStr">
        <is>
          <t>IF(AQ450="","",AQ450)</t>
        </is>
      </c>
      <c r="U450" s="54" t="n"/>
      <c r="V450" s="55" t="n"/>
      <c r="W450" s="54" t="n"/>
      <c r="X450" s="46" t="inlineStr">
        <is>
          <t>IF(W450&lt;&gt;"",W450,IF(OR(T450="",V450=""),"",EDATE(T450,V450)))</t>
        </is>
      </c>
      <c r="Y450" s="54" t="n"/>
      <c r="Z450" s="55" t="n"/>
      <c r="AA450" s="52" t="n"/>
      <c r="AB450" s="52" t="n"/>
      <c r="AC450" s="42" t="inlineStr">
        <is>
          <t>IF(F450="","",IF(COUNT(AI450:AV450)=0,IF(AA450="","Not started",AA450),SUBSTITUTE(LOOKUP(2,1/(AI450:AV450&lt;&gt;""),$AI$3:$AV$3),"Date: ","")))</t>
        </is>
      </c>
      <c r="AD450" s="49" t="inlineStr">
        <is>
          <t>IF(OR(F450="",COUNT(AI450:AV450)=0),"",TODAY()-LOOKUP(2,1/(AI450:AV450&lt;&gt;""),AI450:AV450))</t>
        </is>
      </c>
      <c r="AE450" s="49" t="inlineStr">
        <is>
          <t>IF(OR(F450="",COUNT(AI450:AV450)&lt;2),"",LOOKUP(2,1/(AI450:AV450&lt;&gt;""),AI450:AV450)-MIN(AI450:AV450))</t>
        </is>
      </c>
      <c r="AF450" s="49" t="inlineStr">
        <is>
          <t>IF(OR(AD450="",AC450="Not started",AC450=""),"",IFERROR(AD450-IF(VLOOKUP(AC450,'06_Status_Pipeline'!$B$3:$E$20,4,FALSE)="",0,VLOOKUP(AC450,'06_Status_Pipeline'!$B$3:$E$20,4,FALSE)),""))</t>
        </is>
      </c>
      <c r="AG450" s="42" t="inlineStr">
        <is>
          <t>IF(F450="","",IF(OR(AA450="Cancelled",AC450="Cancelled"),"Cancelled",IF(OR(AC450="Completed / Handover",Y450&lt;&gt;"",Z450&gt;=100),"Completed — on track",IF(O450="Not awarded",IF(U450="",IF(X450="","No planned date",IF(TODAY()&gt;X450,"Behind — past planned date",IF(X450-TODAY()&lt;=30,"At risk — close to off track","On track"))),IF(TODAY()&gt;U450,"Behind — award date passed",IF(U450-TODAY()&lt;=30,"At risk — close to off track","On track"))),IF(X450="","No planned date",IF(AND(TODAY()&gt;X450,OR(Z450="",Z450&lt;100)),"Behind — past end date",IF(AND(T450&lt;&gt;"",X450&lt;&gt;"",Z450&lt;&gt;"",(Z450&lt;100),((TODAY()-T450)/MAX(X450-T450,1)*100)-Z450&gt;15),"Behind — progress lag",IF(AND(X450-TODAY()&lt;=30,X450-TODAY()&gt;=0,OR(Z450="",Z450&lt;90)),"At risk — close to off track","On track"))))))))</t>
        </is>
      </c>
      <c r="AH450" s="49" t="inlineStr">
        <is>
          <t>IF(OR(F450="",AC450="Completed / Handover",AC450="Cancelled"),"",IF(O450="Not awarded",IF(U450&lt;&gt;"",U450-TODAY(),IF(X450="","",X450-TODAY())),IF(X450="","",X450-TODAY())))</t>
        </is>
      </c>
      <c r="AI450" s="54" t="n"/>
      <c r="AJ450" s="54" t="n"/>
      <c r="AK450" s="54" t="n"/>
      <c r="AL450" s="54" t="n"/>
      <c r="AM450" s="54" t="n"/>
      <c r="AN450" s="54" t="n"/>
      <c r="AO450" s="54" t="n"/>
      <c r="AP450" s="54" t="n"/>
      <c r="AQ450" s="54" t="n"/>
      <c r="AR450" s="54" t="n"/>
      <c r="AS450" s="54" t="n"/>
      <c r="AT450" s="50" t="n"/>
      <c r="AU450" s="50" t="n"/>
      <c r="AV450" s="50" t="n"/>
      <c r="AW450" s="49" t="inlineStr">
        <is>
          <t>IF(OR(F450="",AJ450=""),"",IF(COUNT(AI450:AI450)=0,"",AJ450-LOOKUP(2,1/(AI450:AI450&lt;&gt;""),AI450:AI450)))</t>
        </is>
      </c>
      <c r="AX450" s="49" t="inlineStr">
        <is>
          <t>IF(OR(F450="",AK450=""),"",IF(COUNT(AI450:AJ450)=0,"",AK450-LOOKUP(2,1/(AI450:AJ450&lt;&gt;""),AI450:AJ450)))</t>
        </is>
      </c>
      <c r="AY450" s="49" t="inlineStr">
        <is>
          <t>IF(OR(F450="",AL450=""),"",IF(COUNT(AI450:AK450)=0,"",AL450-LOOKUP(2,1/(AI450:AK450&lt;&gt;""),AI450:AK450)))</t>
        </is>
      </c>
      <c r="AZ450" s="49" t="inlineStr">
        <is>
          <t>IF(OR(F450="",AM450=""),"",IF(COUNT(AI450:AL450)=0,"",AM450-LOOKUP(2,1/(AI450:AL450&lt;&gt;""),AI450:AL450)))</t>
        </is>
      </c>
      <c r="BA450" s="49" t="inlineStr">
        <is>
          <t>IF(OR(F450="",AN450=""),"",IF(COUNT(AI450:AM450)=0,"",AN450-LOOKUP(2,1/(AI450:AM450&lt;&gt;""),AI450:AM450)))</t>
        </is>
      </c>
      <c r="BB450" s="49" t="inlineStr">
        <is>
          <t>IF(OR(F450="",AO450=""),"",IF(COUNT(AI450:AN450)=0,"",AO450-LOOKUP(2,1/(AI450:AN450&lt;&gt;""),AI450:AN450)))</t>
        </is>
      </c>
      <c r="BC450" s="49" t="inlineStr">
        <is>
          <t>IF(OR(F450="",AP450=""),"",IF(COUNT(AI450:AO450)=0,"",AP450-LOOKUP(2,1/(AI450:AO450&lt;&gt;""),AI450:AO450)))</t>
        </is>
      </c>
      <c r="BD450" s="49" t="inlineStr">
        <is>
          <t>IF(OR(F450="",AQ450=""),"",IF(COUNT(AI450:AP450)=0,"",AQ450-LOOKUP(2,1/(AI450:AP450&lt;&gt;""),AI450:AP450)))</t>
        </is>
      </c>
      <c r="BE450" s="49" t="inlineStr">
        <is>
          <t>IF(OR(F450="",AR450=""),"",IF(COUNT(AI450:AQ450)=0,"",AR450-LOOKUP(2,1/(AI450:AQ450&lt;&gt;""),AI450:AQ450)))</t>
        </is>
      </c>
      <c r="BF450" s="49" t="inlineStr">
        <is>
          <t>IF(OR(F450="",AS450=""),"",IF(COUNT(AI450:AR450)=0,"",AS450-LOOKUP(2,1/(AI450:AR450&lt;&gt;""),AI450:AR450)))</t>
        </is>
      </c>
      <c r="BG450" s="49" t="inlineStr">
        <is>
          <t>IF(OR(F450="",AT450=""),"",IF(COUNT(AI450:AS450)=0,"",AT450-LOOKUP(2,1/(AI450:AS450&lt;&gt;""),AI450:AS450)))</t>
        </is>
      </c>
      <c r="BH450" s="49" t="inlineStr">
        <is>
          <t>IF(OR(F450="",AU450=""),"",IF(COUNT(AI450:AT450)=0,"",AU450-LOOKUP(2,1/(AI450:AT450&lt;&gt;""),AI450:AT450)))</t>
        </is>
      </c>
      <c r="BI450" s="49" t="inlineStr">
        <is>
          <t>IF(OR(F450="",AV450=""),"",IF(COUNT(AI450:AU450)=0,"",AV450-LOOKUP(2,1/(AI450:AU450&lt;&gt;""),AI450:AU450)))</t>
        </is>
      </c>
      <c r="BJ450" s="51" t="inlineStr">
        <is>
          <t>IF(J450="","All_Provinces",IFERROR(VLOOKUP(J450,'09_Lookups'!$A$4:$B$20,2,FALSE),"All_Provinces"))</t>
        </is>
      </c>
      <c r="BK450" s="51" t="inlineStr">
        <is>
          <t>IF(K450="","All_Districts",IFERROR(VLOOKUP(K450,'09_Lookups'!$E$4:$F$42,2,FALSE),"All_Districts"))</t>
        </is>
      </c>
    </row>
    <row r="451" ht="18" customHeight="1">
      <c r="A451" s="42" t="inlineStr">
        <is>
          <t>IF(F451="","",ROW()-3)</t>
        </is>
      </c>
      <c r="B451" s="44" t="n"/>
      <c r="C451" s="44" t="n"/>
      <c r="D451" s="44" t="n"/>
      <c r="E451" s="44" t="n"/>
      <c r="F451" s="44" t="n"/>
      <c r="G451" s="44" t="n"/>
      <c r="H451" s="44" t="n"/>
      <c r="I451" s="44" t="n"/>
      <c r="J451" s="44" t="n"/>
      <c r="K451" s="44" t="n"/>
      <c r="L451" s="44" t="n"/>
      <c r="M451" s="44" t="n"/>
      <c r="N451" s="44" t="n"/>
      <c r="O451" s="44" t="n"/>
      <c r="P451" s="44" t="n"/>
      <c r="Q451" s="44" t="n"/>
      <c r="R451" s="44" t="n"/>
      <c r="S451" s="45" t="n"/>
      <c r="T451" s="46" t="inlineStr">
        <is>
          <t>IF(AQ451="","",AQ451)</t>
        </is>
      </c>
      <c r="U451" s="47" t="n"/>
      <c r="V451" s="48" t="n"/>
      <c r="W451" s="47" t="n"/>
      <c r="X451" s="46" t="inlineStr">
        <is>
          <t>IF(W451&lt;&gt;"",W451,IF(OR(T451="",V451=""),"",EDATE(T451,V451)))</t>
        </is>
      </c>
      <c r="Y451" s="47" t="n"/>
      <c r="Z451" s="48" t="n"/>
      <c r="AA451" s="44" t="n"/>
      <c r="AB451" s="44" t="n"/>
      <c r="AC451" s="42" t="inlineStr">
        <is>
          <t>IF(F451="","",IF(COUNT(AI451:AV451)=0,IF(AA451="","Not started",AA451),SUBSTITUTE(LOOKUP(2,1/(AI451:AV451&lt;&gt;""),$AI$3:$AV$3),"Date: ","")))</t>
        </is>
      </c>
      <c r="AD451" s="49" t="inlineStr">
        <is>
          <t>IF(OR(F451="",COUNT(AI451:AV451)=0),"",TODAY()-LOOKUP(2,1/(AI451:AV451&lt;&gt;""),AI451:AV451))</t>
        </is>
      </c>
      <c r="AE451" s="49" t="inlineStr">
        <is>
          <t>IF(OR(F451="",COUNT(AI451:AV451)&lt;2),"",LOOKUP(2,1/(AI451:AV451&lt;&gt;""),AI451:AV451)-MIN(AI451:AV451))</t>
        </is>
      </c>
      <c r="AF451" s="49" t="inlineStr">
        <is>
          <t>IF(OR(AD451="",AC451="Not started",AC451=""),"",IFERROR(AD451-IF(VLOOKUP(AC451,'06_Status_Pipeline'!$B$3:$E$20,4,FALSE)="",0,VLOOKUP(AC451,'06_Status_Pipeline'!$B$3:$E$20,4,FALSE)),""))</t>
        </is>
      </c>
      <c r="AG451" s="42" t="inlineStr">
        <is>
          <t>IF(F451="","",IF(OR(AA451="Cancelled",AC451="Cancelled"),"Cancelled",IF(OR(AC451="Completed / Handover",Y451&lt;&gt;"",Z451&gt;=100),"Completed — on track",IF(O451="Not awarded",IF(U451="",IF(X451="","No planned date",IF(TODAY()&gt;X451,"Behind — past planned date",IF(X451-TODAY()&lt;=30,"At risk — close to off track","On track"))),IF(TODAY()&gt;U451,"Behind — award date passed",IF(U451-TODAY()&lt;=30,"At risk — close to off track","On track"))),IF(X451="","No planned date",IF(AND(TODAY()&gt;X451,OR(Z451="",Z451&lt;100)),"Behind — past end date",IF(AND(T451&lt;&gt;"",X451&lt;&gt;"",Z451&lt;&gt;"",(Z451&lt;100),((TODAY()-T451)/MAX(X451-T451,1)*100)-Z451&gt;15),"Behind — progress lag",IF(AND(X451-TODAY()&lt;=30,X451-TODAY()&gt;=0,OR(Z451="",Z451&lt;90)),"At risk — close to off track","On track"))))))))</t>
        </is>
      </c>
      <c r="AH451" s="49" t="inlineStr">
        <is>
          <t>IF(OR(F451="",AC451="Completed / Handover",AC451="Cancelled"),"",IF(O451="Not awarded",IF(U451&lt;&gt;"",U451-TODAY(),IF(X451="","",X451-TODAY())),IF(X451="","",X451-TODAY())))</t>
        </is>
      </c>
      <c r="AI451" s="47" t="n"/>
      <c r="AJ451" s="47" t="n"/>
      <c r="AK451" s="47" t="n"/>
      <c r="AL451" s="47" t="n"/>
      <c r="AM451" s="47" t="n"/>
      <c r="AN451" s="47" t="n"/>
      <c r="AO451" s="47" t="n"/>
      <c r="AP451" s="47" t="n"/>
      <c r="AQ451" s="47" t="n"/>
      <c r="AR451" s="47" t="n"/>
      <c r="AS451" s="47" t="n"/>
      <c r="AT451" s="50" t="n"/>
      <c r="AU451" s="50" t="n"/>
      <c r="AV451" s="50" t="n"/>
      <c r="AW451" s="49" t="inlineStr">
        <is>
          <t>IF(OR(F451="",AJ451=""),"",IF(COUNT(AI451:AI451)=0,"",AJ451-LOOKUP(2,1/(AI451:AI451&lt;&gt;""),AI451:AI451)))</t>
        </is>
      </c>
      <c r="AX451" s="49" t="inlineStr">
        <is>
          <t>IF(OR(F451="",AK451=""),"",IF(COUNT(AI451:AJ451)=0,"",AK451-LOOKUP(2,1/(AI451:AJ451&lt;&gt;""),AI451:AJ451)))</t>
        </is>
      </c>
      <c r="AY451" s="49" t="inlineStr">
        <is>
          <t>IF(OR(F451="",AL451=""),"",IF(COUNT(AI451:AK451)=0,"",AL451-LOOKUP(2,1/(AI451:AK451&lt;&gt;""),AI451:AK451)))</t>
        </is>
      </c>
      <c r="AZ451" s="49" t="inlineStr">
        <is>
          <t>IF(OR(F451="",AM451=""),"",IF(COUNT(AI451:AL451)=0,"",AM451-LOOKUP(2,1/(AI451:AL451&lt;&gt;""),AI451:AL451)))</t>
        </is>
      </c>
      <c r="BA451" s="49" t="inlineStr">
        <is>
          <t>IF(OR(F451="",AN451=""),"",IF(COUNT(AI451:AM451)=0,"",AN451-LOOKUP(2,1/(AI451:AM451&lt;&gt;""),AI451:AM451)))</t>
        </is>
      </c>
      <c r="BB451" s="49" t="inlineStr">
        <is>
          <t>IF(OR(F451="",AO451=""),"",IF(COUNT(AI451:AN451)=0,"",AO451-LOOKUP(2,1/(AI451:AN451&lt;&gt;""),AI451:AN451)))</t>
        </is>
      </c>
      <c r="BC451" s="49" t="inlineStr">
        <is>
          <t>IF(OR(F451="",AP451=""),"",IF(COUNT(AI451:AO451)=0,"",AP451-LOOKUP(2,1/(AI451:AO451&lt;&gt;""),AI451:AO451)))</t>
        </is>
      </c>
      <c r="BD451" s="49" t="inlineStr">
        <is>
          <t>IF(OR(F451="",AQ451=""),"",IF(COUNT(AI451:AP451)=0,"",AQ451-LOOKUP(2,1/(AI451:AP451&lt;&gt;""),AI451:AP451)))</t>
        </is>
      </c>
      <c r="BE451" s="49" t="inlineStr">
        <is>
          <t>IF(OR(F451="",AR451=""),"",IF(COUNT(AI451:AQ451)=0,"",AR451-LOOKUP(2,1/(AI451:AQ451&lt;&gt;""),AI451:AQ451)))</t>
        </is>
      </c>
      <c r="BF451" s="49" t="inlineStr">
        <is>
          <t>IF(OR(F451="",AS451=""),"",IF(COUNT(AI451:AR451)=0,"",AS451-LOOKUP(2,1/(AI451:AR451&lt;&gt;""),AI451:AR451)))</t>
        </is>
      </c>
      <c r="BG451" s="49" t="inlineStr">
        <is>
          <t>IF(OR(F451="",AT451=""),"",IF(COUNT(AI451:AS451)=0,"",AT451-LOOKUP(2,1/(AI451:AS451&lt;&gt;""),AI451:AS451)))</t>
        </is>
      </c>
      <c r="BH451" s="49" t="inlineStr">
        <is>
          <t>IF(OR(F451="",AU451=""),"",IF(COUNT(AI451:AT451)=0,"",AU451-LOOKUP(2,1/(AI451:AT451&lt;&gt;""),AI451:AT451)))</t>
        </is>
      </c>
      <c r="BI451" s="49" t="inlineStr">
        <is>
          <t>IF(OR(F451="",AV451=""),"",IF(COUNT(AI451:AU451)=0,"",AV451-LOOKUP(2,1/(AI451:AU451&lt;&gt;""),AI451:AU451)))</t>
        </is>
      </c>
      <c r="BJ451" s="51" t="inlineStr">
        <is>
          <t>IF(J451="","All_Provinces",IFERROR(VLOOKUP(J451,'09_Lookups'!$A$4:$B$20,2,FALSE),"All_Provinces"))</t>
        </is>
      </c>
      <c r="BK451" s="51" t="inlineStr">
        <is>
          <t>IF(K451="","All_Districts",IFERROR(VLOOKUP(K451,'09_Lookups'!$E$4:$F$42,2,FALSE),"All_Districts"))</t>
        </is>
      </c>
    </row>
    <row r="452" ht="18" customHeight="1">
      <c r="A452" s="42" t="inlineStr">
        <is>
          <t>IF(F452="","",ROW()-3)</t>
        </is>
      </c>
      <c r="B452" s="52" t="n"/>
      <c r="C452" s="52" t="n"/>
      <c r="D452" s="52" t="n"/>
      <c r="E452" s="52" t="n"/>
      <c r="F452" s="52" t="n"/>
      <c r="G452" s="52" t="n"/>
      <c r="H452" s="52" t="n"/>
      <c r="I452" s="52" t="n"/>
      <c r="J452" s="52" t="n"/>
      <c r="K452" s="52" t="n"/>
      <c r="L452" s="52" t="n"/>
      <c r="M452" s="52" t="n"/>
      <c r="N452" s="52" t="n"/>
      <c r="O452" s="52" t="n"/>
      <c r="P452" s="52" t="n"/>
      <c r="Q452" s="52" t="n"/>
      <c r="R452" s="52" t="n"/>
      <c r="S452" s="53" t="n"/>
      <c r="T452" s="46" t="inlineStr">
        <is>
          <t>IF(AQ452="","",AQ452)</t>
        </is>
      </c>
      <c r="U452" s="54" t="n"/>
      <c r="V452" s="55" t="n"/>
      <c r="W452" s="54" t="n"/>
      <c r="X452" s="46" t="inlineStr">
        <is>
          <t>IF(W452&lt;&gt;"",W452,IF(OR(T452="",V452=""),"",EDATE(T452,V452)))</t>
        </is>
      </c>
      <c r="Y452" s="54" t="n"/>
      <c r="Z452" s="55" t="n"/>
      <c r="AA452" s="52" t="n"/>
      <c r="AB452" s="52" t="n"/>
      <c r="AC452" s="42" t="inlineStr">
        <is>
          <t>IF(F452="","",IF(COUNT(AI452:AV452)=0,IF(AA452="","Not started",AA452),SUBSTITUTE(LOOKUP(2,1/(AI452:AV452&lt;&gt;""),$AI$3:$AV$3),"Date: ","")))</t>
        </is>
      </c>
      <c r="AD452" s="49" t="inlineStr">
        <is>
          <t>IF(OR(F452="",COUNT(AI452:AV452)=0),"",TODAY()-LOOKUP(2,1/(AI452:AV452&lt;&gt;""),AI452:AV452))</t>
        </is>
      </c>
      <c r="AE452" s="49" t="inlineStr">
        <is>
          <t>IF(OR(F452="",COUNT(AI452:AV452)&lt;2),"",LOOKUP(2,1/(AI452:AV452&lt;&gt;""),AI452:AV452)-MIN(AI452:AV452))</t>
        </is>
      </c>
      <c r="AF452" s="49" t="inlineStr">
        <is>
          <t>IF(OR(AD452="",AC452="Not started",AC452=""),"",IFERROR(AD452-IF(VLOOKUP(AC452,'06_Status_Pipeline'!$B$3:$E$20,4,FALSE)="",0,VLOOKUP(AC452,'06_Status_Pipeline'!$B$3:$E$20,4,FALSE)),""))</t>
        </is>
      </c>
      <c r="AG452" s="42" t="inlineStr">
        <is>
          <t>IF(F452="","",IF(OR(AA452="Cancelled",AC452="Cancelled"),"Cancelled",IF(OR(AC452="Completed / Handover",Y452&lt;&gt;"",Z452&gt;=100),"Completed — on track",IF(O452="Not awarded",IF(U452="",IF(X452="","No planned date",IF(TODAY()&gt;X452,"Behind — past planned date",IF(X452-TODAY()&lt;=30,"At risk — close to off track","On track"))),IF(TODAY()&gt;U452,"Behind — award date passed",IF(U452-TODAY()&lt;=30,"At risk — close to off track","On track"))),IF(X452="","No planned date",IF(AND(TODAY()&gt;X452,OR(Z452="",Z452&lt;100)),"Behind — past end date",IF(AND(T452&lt;&gt;"",X452&lt;&gt;"",Z452&lt;&gt;"",(Z452&lt;100),((TODAY()-T452)/MAX(X452-T452,1)*100)-Z452&gt;15),"Behind — progress lag",IF(AND(X452-TODAY()&lt;=30,X452-TODAY()&gt;=0,OR(Z452="",Z452&lt;90)),"At risk — close to off track","On track"))))))))</t>
        </is>
      </c>
      <c r="AH452" s="49" t="inlineStr">
        <is>
          <t>IF(OR(F452="",AC452="Completed / Handover",AC452="Cancelled"),"",IF(O452="Not awarded",IF(U452&lt;&gt;"",U452-TODAY(),IF(X452="","",X452-TODAY())),IF(X452="","",X452-TODAY())))</t>
        </is>
      </c>
      <c r="AI452" s="54" t="n"/>
      <c r="AJ452" s="54" t="n"/>
      <c r="AK452" s="54" t="n"/>
      <c r="AL452" s="54" t="n"/>
      <c r="AM452" s="54" t="n"/>
      <c r="AN452" s="54" t="n"/>
      <c r="AO452" s="54" t="n"/>
      <c r="AP452" s="54" t="n"/>
      <c r="AQ452" s="54" t="n"/>
      <c r="AR452" s="54" t="n"/>
      <c r="AS452" s="54" t="n"/>
      <c r="AT452" s="50" t="n"/>
      <c r="AU452" s="50" t="n"/>
      <c r="AV452" s="50" t="n"/>
      <c r="AW452" s="49" t="inlineStr">
        <is>
          <t>IF(OR(F452="",AJ452=""),"",IF(COUNT(AI452:AI452)=0,"",AJ452-LOOKUP(2,1/(AI452:AI452&lt;&gt;""),AI452:AI452)))</t>
        </is>
      </c>
      <c r="AX452" s="49" t="inlineStr">
        <is>
          <t>IF(OR(F452="",AK452=""),"",IF(COUNT(AI452:AJ452)=0,"",AK452-LOOKUP(2,1/(AI452:AJ452&lt;&gt;""),AI452:AJ452)))</t>
        </is>
      </c>
      <c r="AY452" s="49" t="inlineStr">
        <is>
          <t>IF(OR(F452="",AL452=""),"",IF(COUNT(AI452:AK452)=0,"",AL452-LOOKUP(2,1/(AI452:AK452&lt;&gt;""),AI452:AK452)))</t>
        </is>
      </c>
      <c r="AZ452" s="49" t="inlineStr">
        <is>
          <t>IF(OR(F452="",AM452=""),"",IF(COUNT(AI452:AL452)=0,"",AM452-LOOKUP(2,1/(AI452:AL452&lt;&gt;""),AI452:AL452)))</t>
        </is>
      </c>
      <c r="BA452" s="49" t="inlineStr">
        <is>
          <t>IF(OR(F452="",AN452=""),"",IF(COUNT(AI452:AM452)=0,"",AN452-LOOKUP(2,1/(AI452:AM452&lt;&gt;""),AI452:AM452)))</t>
        </is>
      </c>
      <c r="BB452" s="49" t="inlineStr">
        <is>
          <t>IF(OR(F452="",AO452=""),"",IF(COUNT(AI452:AN452)=0,"",AO452-LOOKUP(2,1/(AI452:AN452&lt;&gt;""),AI452:AN452)))</t>
        </is>
      </c>
      <c r="BC452" s="49" t="inlineStr">
        <is>
          <t>IF(OR(F452="",AP452=""),"",IF(COUNT(AI452:AO452)=0,"",AP452-LOOKUP(2,1/(AI452:AO452&lt;&gt;""),AI452:AO452)))</t>
        </is>
      </c>
      <c r="BD452" s="49" t="inlineStr">
        <is>
          <t>IF(OR(F452="",AQ452=""),"",IF(COUNT(AI452:AP452)=0,"",AQ452-LOOKUP(2,1/(AI452:AP452&lt;&gt;""),AI452:AP452)))</t>
        </is>
      </c>
      <c r="BE452" s="49" t="inlineStr">
        <is>
          <t>IF(OR(F452="",AR452=""),"",IF(COUNT(AI452:AQ452)=0,"",AR452-LOOKUP(2,1/(AI452:AQ452&lt;&gt;""),AI452:AQ452)))</t>
        </is>
      </c>
      <c r="BF452" s="49" t="inlineStr">
        <is>
          <t>IF(OR(F452="",AS452=""),"",IF(COUNT(AI452:AR452)=0,"",AS452-LOOKUP(2,1/(AI452:AR452&lt;&gt;""),AI452:AR452)))</t>
        </is>
      </c>
      <c r="BG452" s="49" t="inlineStr">
        <is>
          <t>IF(OR(F452="",AT452=""),"",IF(COUNT(AI452:AS452)=0,"",AT452-LOOKUP(2,1/(AI452:AS452&lt;&gt;""),AI452:AS452)))</t>
        </is>
      </c>
      <c r="BH452" s="49" t="inlineStr">
        <is>
          <t>IF(OR(F452="",AU452=""),"",IF(COUNT(AI452:AT452)=0,"",AU452-LOOKUP(2,1/(AI452:AT452&lt;&gt;""),AI452:AT452)))</t>
        </is>
      </c>
      <c r="BI452" s="49" t="inlineStr">
        <is>
          <t>IF(OR(F452="",AV452=""),"",IF(COUNT(AI452:AU452)=0,"",AV452-LOOKUP(2,1/(AI452:AU452&lt;&gt;""),AI452:AU452)))</t>
        </is>
      </c>
      <c r="BJ452" s="51" t="inlineStr">
        <is>
          <t>IF(J452="","All_Provinces",IFERROR(VLOOKUP(J452,'09_Lookups'!$A$4:$B$20,2,FALSE),"All_Provinces"))</t>
        </is>
      </c>
      <c r="BK452" s="51" t="inlineStr">
        <is>
          <t>IF(K452="","All_Districts",IFERROR(VLOOKUP(K452,'09_Lookups'!$E$4:$F$42,2,FALSE),"All_Districts"))</t>
        </is>
      </c>
    </row>
    <row r="453" ht="18" customHeight="1">
      <c r="A453" s="42" t="inlineStr">
        <is>
          <t>IF(F453="","",ROW()-3)</t>
        </is>
      </c>
      <c r="B453" s="44" t="n"/>
      <c r="C453" s="44" t="n"/>
      <c r="D453" s="44" t="n"/>
      <c r="E453" s="44" t="n"/>
      <c r="F453" s="44" t="n"/>
      <c r="G453" s="44" t="n"/>
      <c r="H453" s="44" t="n"/>
      <c r="I453" s="44" t="n"/>
      <c r="J453" s="44" t="n"/>
      <c r="K453" s="44" t="n"/>
      <c r="L453" s="44" t="n"/>
      <c r="M453" s="44" t="n"/>
      <c r="N453" s="44" t="n"/>
      <c r="O453" s="44" t="n"/>
      <c r="P453" s="44" t="n"/>
      <c r="Q453" s="44" t="n"/>
      <c r="R453" s="44" t="n"/>
      <c r="S453" s="45" t="n"/>
      <c r="T453" s="46" t="inlineStr">
        <is>
          <t>IF(AQ453="","",AQ453)</t>
        </is>
      </c>
      <c r="U453" s="47" t="n"/>
      <c r="V453" s="48" t="n"/>
      <c r="W453" s="47" t="n"/>
      <c r="X453" s="46" t="inlineStr">
        <is>
          <t>IF(W453&lt;&gt;"",W453,IF(OR(T453="",V453=""),"",EDATE(T453,V453)))</t>
        </is>
      </c>
      <c r="Y453" s="47" t="n"/>
      <c r="Z453" s="48" t="n"/>
      <c r="AA453" s="44" t="n"/>
      <c r="AB453" s="44" t="n"/>
      <c r="AC453" s="42" t="inlineStr">
        <is>
          <t>IF(F453="","",IF(COUNT(AI453:AV453)=0,IF(AA453="","Not started",AA453),SUBSTITUTE(LOOKUP(2,1/(AI453:AV453&lt;&gt;""),$AI$3:$AV$3),"Date: ","")))</t>
        </is>
      </c>
      <c r="AD453" s="49" t="inlineStr">
        <is>
          <t>IF(OR(F453="",COUNT(AI453:AV453)=0),"",TODAY()-LOOKUP(2,1/(AI453:AV453&lt;&gt;""),AI453:AV453))</t>
        </is>
      </c>
      <c r="AE453" s="49" t="inlineStr">
        <is>
          <t>IF(OR(F453="",COUNT(AI453:AV453)&lt;2),"",LOOKUP(2,1/(AI453:AV453&lt;&gt;""),AI453:AV453)-MIN(AI453:AV453))</t>
        </is>
      </c>
      <c r="AF453" s="49" t="inlineStr">
        <is>
          <t>IF(OR(AD453="",AC453="Not started",AC453=""),"",IFERROR(AD453-IF(VLOOKUP(AC453,'06_Status_Pipeline'!$B$3:$E$20,4,FALSE)="",0,VLOOKUP(AC453,'06_Status_Pipeline'!$B$3:$E$20,4,FALSE)),""))</t>
        </is>
      </c>
      <c r="AG453" s="42" t="inlineStr">
        <is>
          <t>IF(F453="","",IF(OR(AA453="Cancelled",AC453="Cancelled"),"Cancelled",IF(OR(AC453="Completed / Handover",Y453&lt;&gt;"",Z453&gt;=100),"Completed — on track",IF(O453="Not awarded",IF(U453="",IF(X453="","No planned date",IF(TODAY()&gt;X453,"Behind — past planned date",IF(X453-TODAY()&lt;=30,"At risk — close to off track","On track"))),IF(TODAY()&gt;U453,"Behind — award date passed",IF(U453-TODAY()&lt;=30,"At risk — close to off track","On track"))),IF(X453="","No planned date",IF(AND(TODAY()&gt;X453,OR(Z453="",Z453&lt;100)),"Behind — past end date",IF(AND(T453&lt;&gt;"",X453&lt;&gt;"",Z453&lt;&gt;"",(Z453&lt;100),((TODAY()-T453)/MAX(X453-T453,1)*100)-Z453&gt;15),"Behind — progress lag",IF(AND(X453-TODAY()&lt;=30,X453-TODAY()&gt;=0,OR(Z453="",Z453&lt;90)),"At risk — close to off track","On track"))))))))</t>
        </is>
      </c>
      <c r="AH453" s="49" t="inlineStr">
        <is>
          <t>IF(OR(F453="",AC453="Completed / Handover",AC453="Cancelled"),"",IF(O453="Not awarded",IF(U453&lt;&gt;"",U453-TODAY(),IF(X453="","",X453-TODAY())),IF(X453="","",X453-TODAY())))</t>
        </is>
      </c>
      <c r="AI453" s="47" t="n"/>
      <c r="AJ453" s="47" t="n"/>
      <c r="AK453" s="47" t="n"/>
      <c r="AL453" s="47" t="n"/>
      <c r="AM453" s="47" t="n"/>
      <c r="AN453" s="47" t="n"/>
      <c r="AO453" s="47" t="n"/>
      <c r="AP453" s="47" t="n"/>
      <c r="AQ453" s="47" t="n"/>
      <c r="AR453" s="47" t="n"/>
      <c r="AS453" s="47" t="n"/>
      <c r="AT453" s="50" t="n"/>
      <c r="AU453" s="50" t="n"/>
      <c r="AV453" s="50" t="n"/>
      <c r="AW453" s="49" t="inlineStr">
        <is>
          <t>IF(OR(F453="",AJ453=""),"",IF(COUNT(AI453:AI453)=0,"",AJ453-LOOKUP(2,1/(AI453:AI453&lt;&gt;""),AI453:AI453)))</t>
        </is>
      </c>
      <c r="AX453" s="49" t="inlineStr">
        <is>
          <t>IF(OR(F453="",AK453=""),"",IF(COUNT(AI453:AJ453)=0,"",AK453-LOOKUP(2,1/(AI453:AJ453&lt;&gt;""),AI453:AJ453)))</t>
        </is>
      </c>
      <c r="AY453" s="49" t="inlineStr">
        <is>
          <t>IF(OR(F453="",AL453=""),"",IF(COUNT(AI453:AK453)=0,"",AL453-LOOKUP(2,1/(AI453:AK453&lt;&gt;""),AI453:AK453)))</t>
        </is>
      </c>
      <c r="AZ453" s="49" t="inlineStr">
        <is>
          <t>IF(OR(F453="",AM453=""),"",IF(COUNT(AI453:AL453)=0,"",AM453-LOOKUP(2,1/(AI453:AL453&lt;&gt;""),AI453:AL453)))</t>
        </is>
      </c>
      <c r="BA453" s="49" t="inlineStr">
        <is>
          <t>IF(OR(F453="",AN453=""),"",IF(COUNT(AI453:AM453)=0,"",AN453-LOOKUP(2,1/(AI453:AM453&lt;&gt;""),AI453:AM453)))</t>
        </is>
      </c>
      <c r="BB453" s="49" t="inlineStr">
        <is>
          <t>IF(OR(F453="",AO453=""),"",IF(COUNT(AI453:AN453)=0,"",AO453-LOOKUP(2,1/(AI453:AN453&lt;&gt;""),AI453:AN453)))</t>
        </is>
      </c>
      <c r="BC453" s="49" t="inlineStr">
        <is>
          <t>IF(OR(F453="",AP453=""),"",IF(COUNT(AI453:AO453)=0,"",AP453-LOOKUP(2,1/(AI453:AO453&lt;&gt;""),AI453:AO453)))</t>
        </is>
      </c>
      <c r="BD453" s="49" t="inlineStr">
        <is>
          <t>IF(OR(F453="",AQ453=""),"",IF(COUNT(AI453:AP453)=0,"",AQ453-LOOKUP(2,1/(AI453:AP453&lt;&gt;""),AI453:AP453)))</t>
        </is>
      </c>
      <c r="BE453" s="49" t="inlineStr">
        <is>
          <t>IF(OR(F453="",AR453=""),"",IF(COUNT(AI453:AQ453)=0,"",AR453-LOOKUP(2,1/(AI453:AQ453&lt;&gt;""),AI453:AQ453)))</t>
        </is>
      </c>
      <c r="BF453" s="49" t="inlineStr">
        <is>
          <t>IF(OR(F453="",AS453=""),"",IF(COUNT(AI453:AR453)=0,"",AS453-LOOKUP(2,1/(AI453:AR453&lt;&gt;""),AI453:AR453)))</t>
        </is>
      </c>
      <c r="BG453" s="49" t="inlineStr">
        <is>
          <t>IF(OR(F453="",AT453=""),"",IF(COUNT(AI453:AS453)=0,"",AT453-LOOKUP(2,1/(AI453:AS453&lt;&gt;""),AI453:AS453)))</t>
        </is>
      </c>
      <c r="BH453" s="49" t="inlineStr">
        <is>
          <t>IF(OR(F453="",AU453=""),"",IF(COUNT(AI453:AT453)=0,"",AU453-LOOKUP(2,1/(AI453:AT453&lt;&gt;""),AI453:AT453)))</t>
        </is>
      </c>
      <c r="BI453" s="49" t="inlineStr">
        <is>
          <t>IF(OR(F453="",AV453=""),"",IF(COUNT(AI453:AU453)=0,"",AV453-LOOKUP(2,1/(AI453:AU453&lt;&gt;""),AI453:AU453)))</t>
        </is>
      </c>
      <c r="BJ453" s="51" t="inlineStr">
        <is>
          <t>IF(J453="","All_Provinces",IFERROR(VLOOKUP(J453,'09_Lookups'!$A$4:$B$20,2,FALSE),"All_Provinces"))</t>
        </is>
      </c>
      <c r="BK453" s="51" t="inlineStr">
        <is>
          <t>IF(K453="","All_Districts",IFERROR(VLOOKUP(K453,'09_Lookups'!$E$4:$F$42,2,FALSE),"All_Districts"))</t>
        </is>
      </c>
    </row>
  </sheetData>
  <autoFilter ref="A3:BI453"/>
  <mergeCells count="6">
    <mergeCell ref="Q2:AB2"/>
    <mergeCell ref="AC2:AH2"/>
    <mergeCell ref="A1:BK1"/>
    <mergeCell ref="AI2:AV2"/>
    <mergeCell ref="AW2:BI2"/>
    <mergeCell ref="A2:P2"/>
  </mergeCells>
  <conditionalFormatting sqref="AC4:AC453">
    <cfRule type="cellIs" priority="1" operator="equal" dxfId="0">
      <formula>"Under Design"</formula>
    </cfRule>
    <cfRule type="cellIs" priority="2" operator="equal" dxfId="1">
      <formula>"Under Review of WRI"</formula>
    </cfRule>
    <cfRule type="cellIs" priority="3" operator="equal" dxfId="2">
      <formula>"Under LTO Review"</formula>
    </cfRule>
    <cfRule type="cellIs" priority="4" operator="equal" dxfId="3">
      <formula>"PR to be Raised"</formula>
    </cfRule>
    <cfRule type="cellIs" priority="5" operator="equal" dxfId="4">
      <formula>"ITB Launched"</formula>
    </cfRule>
    <cfRule type="cellIs" priority="6" operator="equal" dxfId="4">
      <formula>"Retendered (Re-ITB)"</formula>
    </cfRule>
    <cfRule type="cellIs" priority="7" operator="equal" dxfId="5">
      <formula>"Under Technical Evaluation"</formula>
    </cfRule>
    <cfRule type="cellIs" priority="8" operator="equal" dxfId="6">
      <formula>"Under Awarding"</formula>
    </cfRule>
    <cfRule type="cellIs" priority="9" operator="equal" dxfId="7">
      <formula>"Awarded"</formula>
    </cfRule>
    <cfRule type="cellIs" priority="10" operator="equal" dxfId="8">
      <formula>"Under Construction"</formula>
    </cfRule>
    <cfRule type="cellIs" priority="11" operator="equal" dxfId="9">
      <formula>"Completed / Handover"</formula>
    </cfRule>
    <cfRule type="cellIs" priority="12" operator="equal" dxfId="10">
      <formula>"Cancelled"</formula>
    </cfRule>
    <cfRule type="cellIs" priority="13" operator="equal" dxfId="11">
      <formula>"Not started"</formula>
    </cfRule>
  </conditionalFormatting>
  <conditionalFormatting sqref="AD4:AD453">
    <cfRule type="cellIs" priority="14" operator="greaterThan" dxfId="12">
      <formula>30</formula>
    </cfRule>
  </conditionalFormatting>
  <conditionalFormatting sqref="AF4:AF453">
    <cfRule type="cellIs" priority="15" operator="greaterThan" dxfId="13">
      <formula>0</formula>
    </cfRule>
  </conditionalFormatting>
  <conditionalFormatting sqref="Z4:Z453">
    <cfRule type="dataBar" priority="16">
      <dataBar showValue="1">
        <cfvo type="num" val="0"/>
        <cfvo type="num" val="100"/>
        <color rgb="003D5A3D"/>
      </dataBar>
    </cfRule>
  </conditionalFormatting>
  <conditionalFormatting sqref="AG4:AG453">
    <cfRule type="cellIs" priority="17" operator="equal" dxfId="14">
      <formula>"On track"</formula>
    </cfRule>
    <cfRule type="cellIs" priority="18" operator="equal" dxfId="14">
      <formula>"Completed — on track"</formula>
    </cfRule>
    <cfRule type="cellIs" priority="19" operator="equal" dxfId="15">
      <formula>"At risk — close to off track"</formula>
    </cfRule>
    <cfRule type="cellIs" priority="20" operator="equal" dxfId="16">
      <formula>"Behind — past end date"</formula>
    </cfRule>
    <cfRule type="cellIs" priority="21" operator="equal" dxfId="16">
      <formula>"Behind — past planned date"</formula>
    </cfRule>
    <cfRule type="cellIs" priority="22" operator="equal" dxfId="16">
      <formula>"Behind — award date passed"</formula>
    </cfRule>
    <cfRule type="cellIs" priority="23" operator="equal" dxfId="16">
      <formula>"Behind — progress lag"</formula>
    </cfRule>
    <cfRule type="cellIs" priority="24" operator="equal" dxfId="10">
      <formula>"Cancelled"</formula>
    </cfRule>
  </conditionalFormatting>
  <conditionalFormatting sqref="AH4:AH453">
    <cfRule type="cellIs" priority="25" operator="lessThan" dxfId="16">
      <formula>0</formula>
    </cfRule>
    <cfRule type="cellIs" priority="26" operator="between" dxfId="15">
      <formula>0</formula>
      <formula>30</formula>
    </cfRule>
    <cfRule type="cellIs" priority="27" operator="greaterThan" dxfId="14">
      <formula>30</formula>
    </cfRule>
  </conditionalFormatting>
  <conditionalFormatting sqref="AW4:BI453">
    <cfRule type="cellIs" priority="28" operator="lessThan" dxfId="13">
      <formula>0</formula>
    </cfRule>
  </conditionalFormatting>
  <dataValidations count="13">
    <dataValidation sqref="I4:I453" showDropDown="0" showInputMessage="0" showErrorMessage="1" allowBlank="1" errorTitle="Not in list" error="Choose a value from the list, or add it on the Domains / Geography sheet first." type="list">
      <formula1>=Projects</formula1>
    </dataValidation>
    <dataValidation sqref="H4:H453" showDropDown="0" showInputMessage="0" showErrorMessage="1" allowBlank="1" errorTitle="Not in list" error="Choose a value from the list, or add it on the Domains / Geography sheet first." type="list">
      <formula1>=Interventions</formula1>
    </dataValidation>
    <dataValidation sqref="J4:J453" showDropDown="0" showInputMessage="0" showErrorMessage="1" allowBlank="1" errorTitle="Not in list" error="Choose a value from the list, or add it on the Domains / Geography sheet first." type="list">
      <formula1>=Regions</formula1>
    </dataValidation>
    <dataValidation sqref="N4:N453" showDropDown="0" showInputMessage="0" showErrorMessage="1" allowBlank="1" errorTitle="Not in list" error="Choose a value from the list, or add it on the Domains / Geography sheet first." type="list">
      <formula1>=Donors</formula1>
    </dataValidation>
    <dataValidation sqref="AA4:AA453" showDropDown="0" showInputMessage="0" showErrorMessage="1" allowBlank="1" errorTitle="Not in list" error="Choose a value from the list, or add it on the Domains / Geography sheet first." type="list">
      <formula1>=Statuses</formula1>
    </dataValidation>
    <dataValidation sqref="O4:O453" showDropDown="0" showInputMessage="0" showErrorMessage="1" allowBlank="1" errorTitle="Not in list" error="Choose a value from the list, or add it on the Domains / Geography sheet first." type="list">
      <formula1>=AwardGroups</formula1>
    </dataValidation>
    <dataValidation sqref="G4:G453" showDropDown="0" showInputMessage="0" showErrorMessage="1" allowBlank="1" errorTitle="Not in list" error="Choose a value from the list, or add it on the Domains / Geography sheet first." type="list">
      <formula1>=Families</formula1>
    </dataValidation>
    <dataValidation sqref="Q4:Q453" showDropDown="0" showInputMessage="0" showErrorMessage="1" allowBlank="1" errorTitle="Not in list" error="Choose a value from the list, or add it on the Domains / Geography sheet first." type="list">
      <formula1>=Contractors</formula1>
    </dataValidation>
    <dataValidation sqref="K4:K453" showDropDown="0" showInputMessage="0" showErrorMessage="1" allowBlank="1" errorTitle="Not in list" error="Choose a value from the list, or add it on the Domains / Geography sheet first." type="list">
      <formula1>=All_Provinces</formula1>
    </dataValidation>
    <dataValidation sqref="L4:L453" showDropDown="0" showInputMessage="0" showErrorMessage="1" allowBlank="1" errorTitle="Not in list" error="Choose a value from the list, or add it on the Domains / Geography sheet first." type="list">
      <formula1>=All_Districts</formula1>
    </dataValidation>
    <dataValidation sqref="T4:T453 U4:U453 W4:W453 Y4:Y453 AI4:AV453" showDropDown="0" showInputMessage="0" showErrorMessage="1" allowBlank="1" errorTitle="Date required" error="Enter a calendar date (for example 15-Mar-2026)." type="date" operator="greaterThanOrEqual">
      <formula1>=DATE(2018,1,1)</formula1>
    </dataValidation>
    <dataValidation sqref="Z4:Z453" showDropDown="0" showInputMessage="0" showErrorMessage="1" allowBlank="1" errorTitle="0-100" error="Physical progress must be between 0 and 100." type="decimal" operator="between">
      <formula1>0</formula1>
      <formula2>100</formula2>
    </dataValidation>
    <dataValidation sqref="V4:V453" showDropDown="0" showInputMessage="0" showErrorMessage="1" allowBlank="1" errorTitle="Months" error="Enter contract duration in months (for example 5)." type="decimal" operator="greaterThanOrEqual">
      <formula1>0</formula1>
    </dataValidation>
  </dataValidations>
  <pageMargins left="0.75" right="0.75" top="1" bottom="1" header="0.5" footer="0.5"/>
  <pageSetup orientation="landscape" paperSize="3" fitToHeight="0" fitToWidth="1"/>
  <headerFooter>
    <oddHeader/>
    <oddFooter>&amp;LConstruction Works Scheme Tracker  ·  live register — type dates in section 4&amp;RPage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8A6D3B"/>
    <outlinePr summaryBelow="1" summaryRight="1"/>
    <pageSetUpPr fitToPage="1"/>
  </sheetPr>
  <dimension ref="A1:L50"/>
  <sheetViews>
    <sheetView showGridLines="0" workbookViewId="0">
      <selection activeCell="A1" sqref="A1"/>
    </sheetView>
  </sheetViews>
  <sheetFormatPr baseColWidth="8" defaultRowHeight="15"/>
  <cols>
    <col width="28" customWidth="1" min="1" max="1"/>
    <col width="14" customWidth="1" min="2" max="2"/>
    <col width="14" customWidth="1" min="3" max="3"/>
    <col width="12" customWidth="1" min="4" max="4"/>
    <col width="28" customWidth="1" min="5" max="5"/>
    <col width="12" customWidth="1" min="6" max="6"/>
    <col width="12" customWidth="1" min="7" max="7"/>
    <col width="3" customWidth="1" min="8" max="8"/>
    <col width="42" customWidth="1" min="9" max="9"/>
    <col width="14" customWidth="1" min="10" max="10"/>
    <col width="16" customWidth="1" min="11" max="11"/>
    <col width="12" customWidth="1" min="12" max="12"/>
  </cols>
  <sheetData>
    <row r="1" ht="26" customHeight="1">
      <c r="A1" s="21" t="inlineStr">
        <is>
          <t>Dashboard — scheme counts and time spent in each step</t>
        </is>
      </c>
      <c r="B1" s="22" t="n"/>
      <c r="C1" s="22" t="n"/>
      <c r="D1" s="22" t="n"/>
      <c r="E1" s="22" t="n"/>
      <c r="F1" s="22" t="n"/>
      <c r="G1" s="22" t="n"/>
      <c r="H1" s="22" t="n"/>
      <c r="I1" s="22" t="n"/>
      <c r="J1" s="22" t="n"/>
      <c r="K1" s="22" t="n"/>
      <c r="L1" s="22" t="n"/>
    </row>
    <row r="2">
      <c r="A2" s="68" t="inlineStr">
        <is>
          <t>Counts use Current Status (auto). Average days ignore blanks. Schemes with no scheme name are ignored. Red threshold for 'stuck' is 30 days.</t>
        </is>
      </c>
      <c r="B2" s="8" t="n"/>
      <c r="C2" s="8" t="n"/>
      <c r="D2" s="8" t="n"/>
      <c r="E2" s="8" t="n"/>
      <c r="F2" s="8" t="n"/>
      <c r="G2" s="8" t="n"/>
      <c r="H2" s="8" t="n"/>
      <c r="I2" s="8" t="n"/>
      <c r="J2" s="8" t="n"/>
      <c r="K2" s="8" t="n"/>
      <c r="L2" s="8" t="n"/>
    </row>
    <row r="4" ht="16" customHeight="1">
      <c r="A4" s="9" t="inlineStr">
        <is>
          <t>Schemes registered</t>
        </is>
      </c>
      <c r="B4" s="69" t="n"/>
      <c r="C4" s="69" t="n"/>
      <c r="D4" s="9" t="inlineStr">
        <is>
          <t>On track / completed</t>
        </is>
      </c>
      <c r="E4" s="69" t="n"/>
      <c r="F4" s="69" t="n"/>
      <c r="G4" s="9" t="inlineStr">
        <is>
          <t>At risk — close to off track</t>
        </is>
      </c>
      <c r="H4" s="69" t="n"/>
      <c r="I4" s="69" t="n"/>
      <c r="J4" s="9" t="inlineStr">
        <is>
          <t>Behind planned date</t>
        </is>
      </c>
      <c r="K4" s="69" t="n"/>
      <c r="L4" s="69" t="n"/>
    </row>
    <row r="5" ht="28" customHeight="1">
      <c r="A5" s="70">
        <f>COUNTA('01_Scheme_Tracker'!$F$4:$F$453)</f>
        <v/>
      </c>
      <c r="B5" s="71" t="n"/>
      <c r="C5" s="71" t="n"/>
      <c r="D5" s="70">
        <f>COUNTIF('01_Scheme_Tracker'!$AG$4:$AG$453,"On track")+COUNTIF('01_Scheme_Tracker'!$AG$4:$AG$453,"Completed — on track")</f>
        <v/>
      </c>
      <c r="E5" s="71" t="n"/>
      <c r="F5" s="71" t="n"/>
      <c r="G5" s="70">
        <f>COUNTIF('01_Scheme_Tracker'!$AG$4:$AG$453,"At risk — close to off track")</f>
        <v/>
      </c>
      <c r="H5" s="71" t="n"/>
      <c r="I5" s="71" t="n"/>
      <c r="J5" s="70">
        <f>COUNTIF('01_Scheme_Tracker'!$AG$4:$AG$453,"Behind*")</f>
        <v/>
      </c>
      <c r="K5" s="71" t="n"/>
      <c r="L5" s="71" t="n"/>
    </row>
    <row r="7">
      <c r="A7" s="7" t="inlineStr">
        <is>
          <t>Schemes by current status  ·  Packages = unique contracts (see 11_Package_Status)</t>
        </is>
      </c>
      <c r="E7" s="72" t="inlineStr">
        <is>
          <t>Schemes by region</t>
        </is>
      </c>
      <c r="I7" s="73" t="inlineStr">
        <is>
          <t>Average days between steps</t>
        </is>
      </c>
    </row>
    <row r="8">
      <c r="A8" s="23" t="inlineStr">
        <is>
          <t>Status</t>
        </is>
      </c>
      <c r="B8" s="23" t="inlineStr">
        <is>
          <t>Sub-projects</t>
        </is>
      </c>
      <c r="C8" s="23" t="inlineStr">
        <is>
          <t>Share of rows</t>
        </is>
      </c>
      <c r="D8" s="23" t="inlineStr">
        <is>
          <t>Packages</t>
        </is>
      </c>
      <c r="E8" s="24" t="inlineStr">
        <is>
          <t>Region</t>
        </is>
      </c>
      <c r="F8" s="24" t="inlineStr">
        <is>
          <t>Count</t>
        </is>
      </c>
      <c r="G8" s="24" t="inlineStr">
        <is>
          <t>Share</t>
        </is>
      </c>
      <c r="I8" s="26" t="inlineStr">
        <is>
          <t>Step</t>
        </is>
      </c>
      <c r="J8" s="26" t="inlineStr">
        <is>
          <t>Average days</t>
        </is>
      </c>
      <c r="K8" s="26" t="inlineStr">
        <is>
          <t>Schemes with this step dated</t>
        </is>
      </c>
      <c r="L8" s="26" t="inlineStr">
        <is>
          <t>Target days</t>
        </is>
      </c>
    </row>
    <row r="9">
      <c r="A9" s="11" t="inlineStr">
        <is>
          <t>Under Design</t>
        </is>
      </c>
      <c r="B9" s="49">
        <f>COUNTIF('01_Scheme_Tracker'!$AC$4:$AC$453,A9)</f>
        <v/>
      </c>
      <c r="C9" s="74">
        <f>IF($A$5=0,"",B9/$A$5)</f>
        <v/>
      </c>
      <c r="D9" s="49">
        <f>COUNTIF('03_Package_Summary'!$E$4:$E$94,A9)</f>
        <v/>
      </c>
      <c r="E9" s="5" t="inlineStr">
        <is>
          <t>West / Herat</t>
        </is>
      </c>
      <c r="F9" s="49">
        <f>COUNTIF('01_Scheme_Tracker'!$J$4:$J$453,E9)</f>
        <v/>
      </c>
      <c r="G9" s="74">
        <f>IF($A$5=0,"",F9/$A$5)</f>
        <v/>
      </c>
      <c r="I9" s="5">
        <f>'01_Scheme_Tracker'!AW3</f>
        <v/>
      </c>
      <c r="J9" s="75">
        <f>IFERROR(AVERAGE('01_Scheme_Tracker'!$AW$4:$AW$453),"")</f>
        <v/>
      </c>
      <c r="K9" s="49">
        <f>COUNT('01_Scheme_Tracker'!$AJ$4:$AJ$453)</f>
        <v/>
      </c>
      <c r="L9" s="49">
        <f>IFERROR('06_Status_Pipeline'!E4,"")</f>
        <v/>
      </c>
    </row>
    <row r="10">
      <c r="A10" s="12" t="inlineStr">
        <is>
          <t>Under Review of WRI</t>
        </is>
      </c>
      <c r="B10" s="49">
        <f>COUNTIF('01_Scheme_Tracker'!$AC$4:$AC$453,A10)</f>
        <v/>
      </c>
      <c r="C10" s="74">
        <f>IF($A$5=0,"",B10/$A$5)</f>
        <v/>
      </c>
      <c r="D10" s="49">
        <f>COUNTIF('03_Package_Summary'!$E$4:$E$94,A10)</f>
        <v/>
      </c>
      <c r="E10" s="5" t="inlineStr">
        <is>
          <t>East / Jalalabad</t>
        </is>
      </c>
      <c r="F10" s="49">
        <f>COUNTIF('01_Scheme_Tracker'!$J$4:$J$453,E10)</f>
        <v/>
      </c>
      <c r="G10" s="74">
        <f>IF($A$5=0,"",F10/$A$5)</f>
        <v/>
      </c>
      <c r="I10" s="5">
        <f>'01_Scheme_Tracker'!AX3</f>
        <v/>
      </c>
      <c r="J10" s="75">
        <f>IFERROR(AVERAGE('01_Scheme_Tracker'!$AX$4:$AX$453),"")</f>
        <v/>
      </c>
      <c r="K10" s="49">
        <f>COUNT('01_Scheme_Tracker'!$AK$4:$AK$453)</f>
        <v/>
      </c>
      <c r="L10" s="49">
        <f>IFERROR('06_Status_Pipeline'!E5,"")</f>
        <v/>
      </c>
    </row>
    <row r="11">
      <c r="A11" s="13" t="inlineStr">
        <is>
          <t>Under LTO Review</t>
        </is>
      </c>
      <c r="B11" s="49">
        <f>COUNTIF('01_Scheme_Tracker'!$AC$4:$AC$453,A11)</f>
        <v/>
      </c>
      <c r="C11" s="74">
        <f>IF($A$5=0,"",B11/$A$5)</f>
        <v/>
      </c>
      <c r="D11" s="49">
        <f>COUNTIF('03_Package_Summary'!$E$4:$E$94,A11)</f>
        <v/>
      </c>
      <c r="E11" s="5" t="inlineStr">
        <is>
          <t>Central / Kabul</t>
        </is>
      </c>
      <c r="F11" s="49">
        <f>COUNTIF('01_Scheme_Tracker'!$J$4:$J$453,E11)</f>
        <v/>
      </c>
      <c r="G11" s="74">
        <f>IF($A$5=0,"",F11/$A$5)</f>
        <v/>
      </c>
      <c r="I11" s="5">
        <f>'01_Scheme_Tracker'!AY3</f>
        <v/>
      </c>
      <c r="J11" s="75">
        <f>IFERROR(AVERAGE('01_Scheme_Tracker'!$AY$4:$AY$453),"")</f>
        <v/>
      </c>
      <c r="K11" s="49">
        <f>COUNT('01_Scheme_Tracker'!$AL$4:$AL$453)</f>
        <v/>
      </c>
      <c r="L11" s="49">
        <f>IFERROR('06_Status_Pipeline'!E6,"")</f>
        <v/>
      </c>
    </row>
    <row r="12">
      <c r="A12" s="14" t="inlineStr">
        <is>
          <t>PR to be Raised</t>
        </is>
      </c>
      <c r="B12" s="49">
        <f>COUNTIF('01_Scheme_Tracker'!$AC$4:$AC$453,A12)</f>
        <v/>
      </c>
      <c r="C12" s="74">
        <f>IF($A$5=0,"",B12/$A$5)</f>
        <v/>
      </c>
      <c r="D12" s="49">
        <f>COUNTIF('03_Package_Summary'!$E$4:$E$94,A12)</f>
        <v/>
      </c>
      <c r="E12" s="5" t="inlineStr">
        <is>
          <t>Central Highland / Bamyan</t>
        </is>
      </c>
      <c r="F12" s="49">
        <f>COUNTIF('01_Scheme_Tracker'!$J$4:$J$453,E12)</f>
        <v/>
      </c>
      <c r="G12" s="74">
        <f>IF($A$5=0,"",F12/$A$5)</f>
        <v/>
      </c>
      <c r="I12" s="5">
        <f>'01_Scheme_Tracker'!AZ3</f>
        <v/>
      </c>
      <c r="J12" s="75">
        <f>IFERROR(AVERAGE('01_Scheme_Tracker'!$AZ$4:$AZ$453),"")</f>
        <v/>
      </c>
      <c r="K12" s="49">
        <f>COUNT('01_Scheme_Tracker'!$AM$4:$AM$453)</f>
        <v/>
      </c>
      <c r="L12" s="49">
        <f>IFERROR('06_Status_Pipeline'!E7,"")</f>
        <v/>
      </c>
    </row>
    <row r="13">
      <c r="A13" s="15" t="inlineStr">
        <is>
          <t>ITB Launched</t>
        </is>
      </c>
      <c r="B13" s="49">
        <f>COUNTIF('01_Scheme_Tracker'!$AC$4:$AC$453,A13)</f>
        <v/>
      </c>
      <c r="C13" s="74">
        <f>IF($A$5=0,"",B13/$A$5)</f>
        <v/>
      </c>
      <c r="D13" s="49">
        <f>COUNTIF('03_Package_Summary'!$E$4:$E$94,A13)</f>
        <v/>
      </c>
      <c r="E13" s="5" t="inlineStr">
        <is>
          <t>Southeast / Gardez</t>
        </is>
      </c>
      <c r="F13" s="49">
        <f>COUNTIF('01_Scheme_Tracker'!$J$4:$J$453,E13)</f>
        <v/>
      </c>
      <c r="G13" s="74">
        <f>IF($A$5=0,"",F13/$A$5)</f>
        <v/>
      </c>
      <c r="I13" s="5">
        <f>'01_Scheme_Tracker'!BA3</f>
        <v/>
      </c>
      <c r="J13" s="75">
        <f>IFERROR(AVERAGE('01_Scheme_Tracker'!$BA$4:$BA$453),"")</f>
        <v/>
      </c>
      <c r="K13" s="49">
        <f>COUNT('01_Scheme_Tracker'!$AN$4:$AN$453)</f>
        <v/>
      </c>
      <c r="L13" s="49">
        <f>IFERROR('06_Status_Pipeline'!E8,"")</f>
        <v/>
      </c>
    </row>
    <row r="14">
      <c r="A14" s="15" t="inlineStr">
        <is>
          <t>Retendered (Re-ITB)</t>
        </is>
      </c>
      <c r="B14" s="49">
        <f>COUNTIF('01_Scheme_Tracker'!$AC$4:$AC$453,A14)</f>
        <v/>
      </c>
      <c r="C14" s="74">
        <f>IF($A$5=0,"",B14/$A$5)</f>
        <v/>
      </c>
      <c r="D14" s="49">
        <f>COUNTIF('03_Package_Summary'!$E$4:$E$94,A14)</f>
        <v/>
      </c>
      <c r="E14" s="5" t="inlineStr">
        <is>
          <t>South / Kandahar</t>
        </is>
      </c>
      <c r="F14" s="49">
        <f>COUNTIF('01_Scheme_Tracker'!$J$4:$J$453,E14)</f>
        <v/>
      </c>
      <c r="G14" s="74">
        <f>IF($A$5=0,"",F14/$A$5)</f>
        <v/>
      </c>
      <c r="I14" s="5">
        <f>'01_Scheme_Tracker'!BB3</f>
        <v/>
      </c>
      <c r="J14" s="75">
        <f>IFERROR(AVERAGE('01_Scheme_Tracker'!$BB$4:$BB$453),"")</f>
        <v/>
      </c>
      <c r="K14" s="49">
        <f>COUNT('01_Scheme_Tracker'!$AO$4:$AO$453)</f>
        <v/>
      </c>
      <c r="L14" s="49">
        <f>IFERROR('06_Status_Pipeline'!E9,"")</f>
        <v/>
      </c>
    </row>
    <row r="15">
      <c r="A15" s="16" t="inlineStr">
        <is>
          <t>Under Technical Evaluation</t>
        </is>
      </c>
      <c r="B15" s="49">
        <f>COUNTIF('01_Scheme_Tracker'!$AC$4:$AC$453,A15)</f>
        <v/>
      </c>
      <c r="C15" s="74">
        <f>IF($A$5=0,"",B15/$A$5)</f>
        <v/>
      </c>
      <c r="D15" s="49">
        <f>COUNTIF('03_Package_Summary'!$E$4:$E$94,A15)</f>
        <v/>
      </c>
      <c r="E15" s="5" t="inlineStr">
        <is>
          <t>North / Mazar</t>
        </is>
      </c>
      <c r="F15" s="49">
        <f>COUNTIF('01_Scheme_Tracker'!$J$4:$J$453,E15)</f>
        <v/>
      </c>
      <c r="G15" s="74">
        <f>IF($A$5=0,"",F15/$A$5)</f>
        <v/>
      </c>
      <c r="I15" s="5">
        <f>'01_Scheme_Tracker'!BC3</f>
        <v/>
      </c>
      <c r="J15" s="75">
        <f>IFERROR(AVERAGE('01_Scheme_Tracker'!$BC$4:$BC$453),"")</f>
        <v/>
      </c>
      <c r="K15" s="49">
        <f>COUNT('01_Scheme_Tracker'!$AP$4:$AP$453)</f>
        <v/>
      </c>
      <c r="L15" s="49">
        <f>IFERROR('06_Status_Pipeline'!E10,"")</f>
        <v/>
      </c>
    </row>
    <row r="16">
      <c r="A16" s="17" t="inlineStr">
        <is>
          <t>Under Awarding</t>
        </is>
      </c>
      <c r="B16" s="49">
        <f>COUNTIF('01_Scheme_Tracker'!$AC$4:$AC$453,A16)</f>
        <v/>
      </c>
      <c r="C16" s="74">
        <f>IF($A$5=0,"",B16/$A$5)</f>
        <v/>
      </c>
      <c r="D16" s="49">
        <f>COUNTIF('03_Package_Summary'!$E$4:$E$94,A16)</f>
        <v/>
      </c>
      <c r="E16" s="5" t="inlineStr">
        <is>
          <t>Northeast / Kunduz</t>
        </is>
      </c>
      <c r="F16" s="49">
        <f>COUNTIF('01_Scheme_Tracker'!$J$4:$J$453,E16)</f>
        <v/>
      </c>
      <c r="G16" s="74">
        <f>IF($A$5=0,"",F16/$A$5)</f>
        <v/>
      </c>
      <c r="I16" s="5">
        <f>'01_Scheme_Tracker'!BD3</f>
        <v/>
      </c>
      <c r="J16" s="75">
        <f>IFERROR(AVERAGE('01_Scheme_Tracker'!$BD$4:$BD$453),"")</f>
        <v/>
      </c>
      <c r="K16" s="49">
        <f>COUNT('01_Scheme_Tracker'!$AQ$4:$AQ$453)</f>
        <v/>
      </c>
      <c r="L16" s="49">
        <f>IFERROR('06_Status_Pipeline'!E11,"")</f>
        <v/>
      </c>
    </row>
    <row r="17">
      <c r="A17" s="18" t="inlineStr">
        <is>
          <t>Awarded</t>
        </is>
      </c>
      <c r="B17" s="49">
        <f>COUNTIF('01_Scheme_Tracker'!$AC$4:$AC$453,A17)</f>
        <v/>
      </c>
      <c r="C17" s="74">
        <f>IF($A$5=0,"",B17/$A$5)</f>
        <v/>
      </c>
      <c r="D17" s="49">
        <f>COUNTIF('03_Package_Summary'!$E$4:$E$94,A17)</f>
        <v/>
      </c>
      <c r="I17" s="5">
        <f>'01_Scheme_Tracker'!BE3</f>
        <v/>
      </c>
      <c r="J17" s="75">
        <f>IFERROR(AVERAGE('01_Scheme_Tracker'!$BE$4:$BE$453),"")</f>
        <v/>
      </c>
      <c r="K17" s="49">
        <f>COUNT('01_Scheme_Tracker'!$AR$4:$AR$453)</f>
        <v/>
      </c>
      <c r="L17" s="49">
        <f>IFERROR('06_Status_Pipeline'!E12,"")</f>
        <v/>
      </c>
    </row>
    <row r="18">
      <c r="A18" s="19" t="inlineStr">
        <is>
          <t>Under Construction</t>
        </is>
      </c>
      <c r="B18" s="49">
        <f>COUNTIF('01_Scheme_Tracker'!$AC$4:$AC$453,A18)</f>
        <v/>
      </c>
      <c r="C18" s="74">
        <f>IF($A$5=0,"",B18/$A$5)</f>
        <v/>
      </c>
      <c r="D18" s="49">
        <f>COUNTIF('03_Package_Summary'!$E$4:$E$94,A18)</f>
        <v/>
      </c>
      <c r="I18" s="5">
        <f>'01_Scheme_Tracker'!BF3</f>
        <v/>
      </c>
      <c r="J18" s="75">
        <f>IFERROR(AVERAGE('01_Scheme_Tracker'!$BF$4:$BF$453),"")</f>
        <v/>
      </c>
      <c r="K18" s="49">
        <f>COUNT('01_Scheme_Tracker'!$AS$4:$AS$453)</f>
        <v/>
      </c>
      <c r="L18" s="49">
        <f>IFERROR('06_Status_Pipeline'!E13,"")</f>
        <v/>
      </c>
    </row>
    <row r="19">
      <c r="A19" s="20" t="inlineStr">
        <is>
          <t>Completed / Handover</t>
        </is>
      </c>
      <c r="B19" s="49">
        <f>COUNTIF('01_Scheme_Tracker'!$AC$4:$AC$453,A19)</f>
        <v/>
      </c>
      <c r="C19" s="74">
        <f>IF($A$5=0,"",B19/$A$5)</f>
        <v/>
      </c>
      <c r="D19" s="49">
        <f>COUNTIF('03_Package_Summary'!$E$4:$E$94,A19)</f>
        <v/>
      </c>
      <c r="I19" s="5">
        <f>'01_Scheme_Tracker'!BG3</f>
        <v/>
      </c>
      <c r="J19" s="75">
        <f>IFERROR(AVERAGE('01_Scheme_Tracker'!$BG$4:$BG$453),"")</f>
        <v/>
      </c>
      <c r="K19" s="49">
        <f>COUNT('01_Scheme_Tracker'!$AT$4:$AT$453)</f>
        <v/>
      </c>
      <c r="L19" s="49">
        <f>IFERROR('06_Status_Pipeline'!E14,"")</f>
        <v/>
      </c>
    </row>
    <row r="20">
      <c r="A20" s="52" t="inlineStr">
        <is>
          <t>Not started</t>
        </is>
      </c>
      <c r="B20" s="49">
        <f>COUNTIF('01_Scheme_Tracker'!$AC$4:$AC$453,A20)</f>
        <v/>
      </c>
      <c r="C20" s="74">
        <f>IF($A$5=0,"",B20/$A$5)</f>
        <v/>
      </c>
      <c r="D20" s="49">
        <f>COUNTIF('03_Package_Summary'!$E$4:$E$94,A20)</f>
        <v/>
      </c>
      <c r="I20" s="5">
        <f>'01_Scheme_Tracker'!BH3</f>
        <v/>
      </c>
      <c r="J20" s="75">
        <f>IFERROR(AVERAGE('01_Scheme_Tracker'!$BH$4:$BH$453),"")</f>
        <v/>
      </c>
      <c r="K20" s="49">
        <f>COUNT('01_Scheme_Tracker'!$AU$4:$AU$453)</f>
        <v/>
      </c>
      <c r="L20" s="49">
        <f>IFERROR('06_Status_Pipeline'!E15,"")</f>
        <v/>
      </c>
    </row>
    <row r="21">
      <c r="I21" s="5">
        <f>'01_Scheme_Tracker'!BI3</f>
        <v/>
      </c>
      <c r="J21" s="75">
        <f>IFERROR(AVERAGE('01_Scheme_Tracker'!$BI$4:$BI$453),"")</f>
        <v/>
      </c>
      <c r="K21" s="49">
        <f>COUNT('01_Scheme_Tracker'!$AV$4:$AV$453)</f>
        <v/>
      </c>
      <c r="L21" s="49">
        <f>IFERROR('06_Status_Pipeline'!E16,"")</f>
        <v/>
      </c>
    </row>
    <row r="22">
      <c r="A22" s="7" t="inlineStr">
        <is>
          <t>Schemes by major intervention</t>
        </is>
      </c>
      <c r="E22" s="76" t="inlineStr">
        <is>
          <t>Average total pipeline days (first → last dated step)</t>
        </is>
      </c>
    </row>
    <row r="23">
      <c r="A23" s="23" t="inlineStr">
        <is>
          <t>Major intervention</t>
        </is>
      </c>
      <c r="B23" s="23" t="inlineStr">
        <is>
          <t>Count</t>
        </is>
      </c>
      <c r="E23" s="77">
        <f>IFERROR(AVERAGE('01_Scheme_Tracker'!$AE$4:$AE$453),"")</f>
        <v/>
      </c>
      <c r="F23" s="78" t="n"/>
      <c r="G23" s="79" t="n"/>
    </row>
    <row r="24">
      <c r="A24" s="5" t="inlineStr">
        <is>
          <t>Irrigation Scheme</t>
        </is>
      </c>
      <c r="B24" s="49">
        <f>COUNTIF('01_Scheme_Tracker'!$G$4:$G$453,A24)</f>
        <v/>
      </c>
    </row>
    <row r="25">
      <c r="A25" s="5" t="inlineStr">
        <is>
          <t>Watershed Management</t>
        </is>
      </c>
      <c r="B25" s="49">
        <f>COUNTIF('01_Scheme_Tracker'!$G$4:$G$453,A25)</f>
        <v/>
      </c>
      <c r="E25" s="80" t="inlineStr">
        <is>
          <t>How to read this dashboard</t>
        </is>
      </c>
    </row>
    <row r="26">
      <c r="A26" s="5" t="inlineStr">
        <is>
          <t>Drip Irrigation</t>
        </is>
      </c>
      <c r="B26" s="49">
        <f>COUNTIF('01_Scheme_Tracker'!$G$4:$G$453,A26)</f>
        <v/>
      </c>
      <c r="E26" s="81" t="inlineStr">
        <is>
          <t>Current Status follows the latest date typed on 01_Scheme_Tracker. Until dates are entered, schemes sit under whatever you chose as Reported Status (or Not started). Average days between steps populate only after both ends of a step have dates — see 05_Example_Filled for a complete worked pipeline. Add or rename a status on 06_Status_Pipeline; this average-days table uses the tracker headers, so it follows. Awarded / Not awarded and major intervention counts are on this sheet; one row per contract is on 03_Package_Summary.</t>
        </is>
      </c>
    </row>
    <row r="27">
      <c r="A27" s="5" t="inlineStr">
        <is>
          <t>Laser Land Leveler (LLL)</t>
        </is>
      </c>
      <c r="B27" s="49">
        <f>COUNTIF('01_Scheme_Tracker'!$G$4:$G$453,A27)</f>
        <v/>
      </c>
    </row>
    <row r="28">
      <c r="A28" s="5" t="inlineStr">
        <is>
          <t>Agroforestry saplings / seeds</t>
        </is>
      </c>
      <c r="B28" s="49">
        <f>COUNTIF('01_Scheme_Tracker'!$G$4:$G$453,A28)</f>
        <v/>
      </c>
    </row>
    <row r="29"/>
    <row r="30">
      <c r="A30" s="73" t="inlineStr">
        <is>
          <t>Awarded / Not awarded</t>
        </is>
      </c>
    </row>
    <row r="31">
      <c r="A31" s="26" t="inlineStr">
        <is>
          <t>Group</t>
        </is>
      </c>
      <c r="B31" s="26" t="inlineStr">
        <is>
          <t>Count</t>
        </is>
      </c>
    </row>
    <row r="32">
      <c r="A32" s="5" t="inlineStr">
        <is>
          <t>Awarded</t>
        </is>
      </c>
      <c r="B32" s="49">
        <f>COUNTIF('01_Scheme_Tracker'!$O$4:$O$453,A32)</f>
        <v/>
      </c>
    </row>
    <row r="33">
      <c r="A33" s="5" t="inlineStr">
        <is>
          <t>Not awarded</t>
        </is>
      </c>
      <c r="B33" s="49">
        <f>COUNTIF('01_Scheme_Tracker'!$O$4:$O$453,A33)</f>
        <v/>
      </c>
    </row>
    <row r="35">
      <c r="A35" s="7" t="inlineStr">
        <is>
          <t>Schemes by intervention sub-type</t>
        </is>
      </c>
    </row>
    <row r="36">
      <c r="A36" s="23" t="inlineStr">
        <is>
          <t>Intervention sub-type</t>
        </is>
      </c>
      <c r="B36" s="23" t="inlineStr">
        <is>
          <t>Count</t>
        </is>
      </c>
    </row>
    <row r="37">
      <c r="A37" s="5" t="inlineStr">
        <is>
          <t>Irrigation Canal</t>
        </is>
      </c>
      <c r="B37" s="49">
        <f>COUNTIF('01_Scheme_Tracker'!$H$4:$H$453,A37)</f>
        <v/>
      </c>
    </row>
    <row r="38">
      <c r="A38" s="5" t="inlineStr">
        <is>
          <t>Protection Wall</t>
        </is>
      </c>
      <c r="B38" s="49">
        <f>COUNTIF('01_Scheme_Tracker'!$H$4:$H$453,A38)</f>
        <v/>
      </c>
    </row>
    <row r="39">
      <c r="A39" s="5" t="inlineStr">
        <is>
          <t>Karez Rehabilitation</t>
        </is>
      </c>
      <c r="B39" s="49">
        <f>COUNTIF('01_Scheme_Tracker'!$H$4:$H$453,A39)</f>
        <v/>
      </c>
    </row>
    <row r="40">
      <c r="A40" s="5" t="inlineStr">
        <is>
          <t>Intake / Diversion</t>
        </is>
      </c>
      <c r="B40" s="49">
        <f>COUNTIF('01_Scheme_Tracker'!$H$4:$H$453,A40)</f>
        <v/>
      </c>
    </row>
    <row r="41">
      <c r="A41" s="5" t="inlineStr">
        <is>
          <t>Check Dam</t>
        </is>
      </c>
      <c r="B41" s="49">
        <f>COUNTIF('01_Scheme_Tracker'!$H$4:$H$453,A41)</f>
        <v/>
      </c>
    </row>
    <row r="42">
      <c r="A42" s="5" t="inlineStr">
        <is>
          <t>Boulder Check Dam</t>
        </is>
      </c>
      <c r="B42" s="49">
        <f>COUNTIF('01_Scheme_Tracker'!$H$4:$H$453,A42)</f>
        <v/>
      </c>
    </row>
    <row r="43">
      <c r="A43" s="5" t="inlineStr">
        <is>
          <t>Check Dam and Water Pond</t>
        </is>
      </c>
      <c r="B43" s="49">
        <f>COUNTIF('01_Scheme_Tracker'!$H$4:$H$453,A43)</f>
        <v/>
      </c>
    </row>
    <row r="44">
      <c r="A44" s="5" t="inlineStr">
        <is>
          <t>Gabion Structure</t>
        </is>
      </c>
      <c r="B44" s="49">
        <f>COUNTIF('01_Scheme_Tracker'!$H$4:$H$453,A44)</f>
        <v/>
      </c>
    </row>
    <row r="45">
      <c r="A45" s="5" t="inlineStr">
        <is>
          <t>Flood Protection</t>
        </is>
      </c>
      <c r="B45" s="49">
        <f>COUNTIF('01_Scheme_Tracker'!$H$4:$H$453,A45)</f>
        <v/>
      </c>
    </row>
    <row r="46">
      <c r="A46" s="5" t="inlineStr">
        <is>
          <t>Drip Irrigation Plot</t>
        </is>
      </c>
      <c r="B46" s="49">
        <f>COUNTIF('01_Scheme_Tracker'!$H$4:$H$453,A46)</f>
        <v/>
      </c>
    </row>
    <row r="47">
      <c r="A47" s="5" t="inlineStr">
        <is>
          <t>LLL unit</t>
        </is>
      </c>
      <c r="B47" s="49">
        <f>COUNTIF('01_Scheme_Tracker'!$H$4:$H$453,A47)</f>
        <v/>
      </c>
    </row>
    <row r="48">
      <c r="A48" s="5" t="inlineStr">
        <is>
          <t>Saplings and seeds</t>
        </is>
      </c>
      <c r="B48" s="49">
        <f>COUNTIF('01_Scheme_Tracker'!$H$4:$H$453,A48)</f>
        <v/>
      </c>
    </row>
    <row r="49">
      <c r="A49" s="5" t="inlineStr">
        <is>
          <t>Water Supply Scheme</t>
        </is>
      </c>
      <c r="B49" s="49">
        <f>COUNTIF('01_Scheme_Tracker'!$H$4:$H$453,A49)</f>
        <v/>
      </c>
    </row>
    <row r="50">
      <c r="A50" s="5" t="inlineStr">
        <is>
          <t>Other</t>
        </is>
      </c>
      <c r="B50" s="49">
        <f>COUNTIF('01_Scheme_Tracker'!$H$4:$H$453,A50)</f>
        <v/>
      </c>
    </row>
  </sheetData>
  <mergeCells count="19">
    <mergeCell ref="J4:L4"/>
    <mergeCell ref="A2:L2"/>
    <mergeCell ref="A5:C5"/>
    <mergeCell ref="G5:I5"/>
    <mergeCell ref="D4:F4"/>
    <mergeCell ref="A22:C22"/>
    <mergeCell ref="G4:I4"/>
    <mergeCell ref="A35:C35"/>
    <mergeCell ref="A4:C4"/>
    <mergeCell ref="E26:L29"/>
    <mergeCell ref="E7:G7"/>
    <mergeCell ref="E22:G22"/>
    <mergeCell ref="D5:F5"/>
    <mergeCell ref="A7:D7"/>
    <mergeCell ref="A30:C30"/>
    <mergeCell ref="I7:L7"/>
    <mergeCell ref="J5:L5"/>
    <mergeCell ref="E23:G23"/>
    <mergeCell ref="A1:L1"/>
  </mergeCells>
  <pageMargins left="0.75" right="0.75" top="1" bottom="1" header="0.5" footer="0.5"/>
  <pageSetup orientation="landscape" fitToHeight="1" fitToWidth="1"/>
  <drawing xmlns:r="http://schemas.openxmlformats.org/officeDocument/2006/relationships" r:id="rId1"/>
</worksheet>
</file>

<file path=xl/worksheets/sheet4.xml><?xml version="1.0" encoding="utf-8"?>
<worksheet xmlns="http://schemas.openxmlformats.org/spreadsheetml/2006/main">
  <sheetPr>
    <tabColor rgb="003D5A3D"/>
    <outlinePr summaryBelow="1" summaryRight="1"/>
    <pageSetUpPr fitToPage="1"/>
  </sheetPr>
  <dimension ref="A1:P94"/>
  <sheetViews>
    <sheetView showGridLines="0" workbookViewId="0">
      <pane ySplit="3" topLeftCell="A4" activePane="bottomLeft" state="frozen"/>
      <selection pane="bottomLeft" activeCell="A1" sqref="A1"/>
    </sheetView>
  </sheetViews>
  <sheetFormatPr baseColWidth="8" defaultRowHeight="15"/>
  <cols>
    <col width="16" customWidth="1" min="1" max="1"/>
    <col width="56" customWidth="1" min="2" max="2"/>
    <col width="26" customWidth="1" min="3" max="3"/>
    <col width="18" customWidth="1" min="4" max="4"/>
    <col width="24" customWidth="1" min="5" max="5"/>
    <col width="12" customWidth="1" min="6" max="6"/>
    <col width="12" customWidth="1" min="7" max="7"/>
    <col width="16" customWidth="1" min="8" max="8"/>
    <col width="22" customWidth="1" min="9" max="9"/>
    <col width="28" customWidth="1" min="10" max="10"/>
    <col width="28" customWidth="1" min="11" max="11"/>
    <col width="18" customWidth="1" min="12" max="12"/>
    <col width="18" customWidth="1" min="13" max="13"/>
    <col width="36" customWidth="1" min="14" max="14"/>
    <col width="16" customWidth="1" min="15" max="15"/>
    <col width="28" customWidth="1" min="16" max="16"/>
  </cols>
  <sheetData>
    <row r="1" ht="26" customHeight="1">
      <c r="A1" s="21" t="inlineStr">
        <is>
          <t>Package summary — one row per contract. Filter Contractor Name to see unique contracts awarded to a company (Zahid Saeed / ZSCC is one package, not four).</t>
        </is>
      </c>
      <c r="B1" s="22" t="n"/>
      <c r="C1" s="22" t="n"/>
      <c r="D1" s="22" t="n"/>
      <c r="E1" s="22" t="n"/>
      <c r="F1" s="22" t="n"/>
      <c r="G1" s="22" t="n"/>
      <c r="H1" s="22" t="n"/>
      <c r="I1" s="22" t="n"/>
      <c r="J1" s="22" t="n"/>
      <c r="K1" s="22" t="n"/>
      <c r="L1" s="22" t="n"/>
      <c r="M1" s="22" t="n"/>
      <c r="N1" s="22" t="n"/>
      <c r="O1" s="22" t="n"/>
      <c r="P1" s="22" t="n"/>
    </row>
    <row r="2" ht="36" customHeight="1">
      <c r="A2" s="68" t="inlineStr">
        <is>
          <t>Example: Package #8-AF2 IS (Khas Kunar Lower canal + Bahrabad canal) is one package / two sub-projects. Package #10-AF2 IS (Baraki, Darbal, Nawikhar, Mangali) is one package / four sub-projects. Open 01_Scheme_Tracker and filter Package ID, or collapse the outline +/- on the left of that sheet. To list a company's contracts, filter this Contractor Name column or use 10_By_Contractor. Package status is the contract-level step (least-advanced unfinished site). Filter it, or use 11_Package_Status, to count packages under review / awarding / construction. Sub-project count and total cost are live formulas.</t>
        </is>
      </c>
      <c r="B2" s="8" t="n"/>
      <c r="C2" s="8" t="n"/>
      <c r="D2" s="8" t="n"/>
      <c r="E2" s="8" t="n"/>
      <c r="F2" s="8" t="n"/>
      <c r="G2" s="8" t="n"/>
      <c r="H2" s="8" t="n"/>
      <c r="I2" s="8" t="n"/>
      <c r="J2" s="8" t="n"/>
      <c r="K2" s="8" t="n"/>
      <c r="L2" s="8" t="n"/>
      <c r="M2" s="8" t="n"/>
      <c r="N2" s="8" t="n"/>
      <c r="O2" s="8" t="n"/>
      <c r="P2" s="8" t="n"/>
    </row>
    <row r="3">
      <c r="A3" s="24" t="inlineStr">
        <is>
          <t>Package ID</t>
        </is>
      </c>
      <c r="B3" s="24" t="inlineStr">
        <is>
          <t>Package / Contract Name</t>
        </is>
      </c>
      <c r="C3" s="24" t="inlineStr">
        <is>
          <t>Major intervention</t>
        </is>
      </c>
      <c r="D3" s="24" t="inlineStr">
        <is>
          <t>Awarded / Not awarded</t>
        </is>
      </c>
      <c r="E3" s="24" t="inlineStr">
        <is>
          <t>Package status</t>
        </is>
      </c>
      <c r="F3" s="24" t="inlineStr">
        <is>
          <t>Mixed sites?</t>
        </is>
      </c>
      <c r="G3" s="24" t="inlineStr">
        <is>
          <t>Sub-projects</t>
        </is>
      </c>
      <c r="H3" s="24" t="inlineStr">
        <is>
          <t>Total cost (USD)</t>
        </is>
      </c>
      <c r="I3" s="24" t="inlineStr">
        <is>
          <t>Provinces</t>
        </is>
      </c>
      <c r="J3" s="24" t="inlineStr">
        <is>
          <t>Districts</t>
        </is>
      </c>
      <c r="K3" s="24" t="inlineStr">
        <is>
          <t>Statuses on sites</t>
        </is>
      </c>
      <c r="L3" s="24" t="inlineStr">
        <is>
          <t>Awarded / expected award</t>
        </is>
      </c>
      <c r="M3" s="24" t="inlineStr">
        <is>
          <t>Contract / expected end</t>
        </is>
      </c>
      <c r="N3" s="24" t="inlineStr">
        <is>
          <t>Contractor Name</t>
        </is>
      </c>
      <c r="O3" s="24" t="inlineStr">
        <is>
          <t>Contract Number</t>
        </is>
      </c>
      <c r="P3" s="24" t="inlineStr">
        <is>
          <t>Source sheet</t>
        </is>
      </c>
    </row>
    <row r="4" ht="28" customHeight="1">
      <c r="A4" s="82" t="inlineStr">
        <is>
          <t>AF2-AGF-ALL</t>
        </is>
      </c>
      <c r="B4" s="52" t="inlineStr">
        <is>
          <t>Agroforestry saplings and seeds 2026/27</t>
        </is>
      </c>
      <c r="C4" s="52" t="inlineStr">
        <is>
          <t>Agroforestry saplings / seeds</t>
        </is>
      </c>
      <c r="D4" s="83" t="inlineStr">
        <is>
          <t>Not awarded</t>
        </is>
      </c>
      <c r="E4" s="84" t="inlineStr">
        <is>
          <t>Under Awarding</t>
        </is>
      </c>
      <c r="F4" s="83" t="inlineStr">
        <is>
          <t>No</t>
        </is>
      </c>
      <c r="G4" s="49">
        <f>COUNTIF('01_Scheme_Tracker'!$B$4:$B$453,A4)</f>
        <v/>
      </c>
      <c r="H4" s="85">
        <f>SUMIF('01_Scheme_Tracker'!$B$4:$B$453,A4,'01_Scheme_Tracker'!$S$4:$S$453)</f>
        <v/>
      </c>
      <c r="I4" s="52" t="inlineStr">
        <is>
          <t>Badakhshan, Badghis, Baghlan, Balkh, Daikundi, Faryab, Ghor, Helmand, Herat, Jawzgan, Kabul, Khost, Laghman, Logar, Nangarhar, Nuristan, Oruzgan, Paktia, Paktika, Panjsher, Samangan, Sari Pul, Takhar</t>
        </is>
      </c>
      <c r="J4" s="52" t="inlineStr">
        <is>
          <t>Wardoj, Sang Atish, Banu, Charkent, Dehdadi, Kishendeh, Marmul, Nahre Shahi, Khedir, Meramour, Sharistan, Almar, Khoja Sabz Posh, Allahyar, Shahrak, Nawzad, Koshk-e-kohna, Rabat Sangi, Sheberghan, Surubi, Musa Khil, Qalander, Alishing, Azra, Pachiragam, Kamdish, Tarinkot, Zazi Aryoub, Zurmat, Surobi, Khinj, Paryan, Unaba, Aybak, Hazrat-e-Sultan, Balkhab, Center, Kohistanat, Bangi</t>
        </is>
      </c>
      <c r="K4" s="52" t="inlineStr">
        <is>
          <t>Under Awarding</t>
        </is>
      </c>
      <c r="L4" s="54" t="n">
        <v>46142</v>
      </c>
      <c r="M4" s="54" t="n">
        <v>46478</v>
      </c>
      <c r="N4" s="52" t="inlineStr"/>
      <c r="O4" s="83" t="inlineStr"/>
      <c r="P4" s="86" t="inlineStr">
        <is>
          <t>7. Agroforestry Saplings-seeds</t>
        </is>
      </c>
    </row>
    <row r="5" ht="28" customHeight="1">
      <c r="A5" s="87" t="inlineStr">
        <is>
          <t>AF2-DIS-01</t>
        </is>
      </c>
      <c r="B5" s="44" t="inlineStr">
        <is>
          <t>Package #1.B-WBK/AF2 DIS: Demonstration 7 Drip irrigation schemes of 1. Doormishi, 2. Khodrawan, 3. Karez Naw, 4.Koklam Olia, 5. Koklam Sofla, 6 Joi Sultani and 7. Kushk Kohna in Kushk Rabat Sangi and Kushk e Kohna Districts of Herat Province.</t>
        </is>
      </c>
      <c r="C5" s="44" t="inlineStr">
        <is>
          <t>Drip Irrigation</t>
        </is>
      </c>
      <c r="D5" s="88" t="inlineStr">
        <is>
          <t>Not awarded</t>
        </is>
      </c>
      <c r="E5" s="89" t="inlineStr">
        <is>
          <t>Retendered (Re-ITB)</t>
        </is>
      </c>
      <c r="F5" s="88" t="inlineStr">
        <is>
          <t>No</t>
        </is>
      </c>
      <c r="G5" s="49">
        <f>COUNTIF('01_Scheme_Tracker'!$B$4:$B$453,A5)</f>
        <v/>
      </c>
      <c r="H5" s="85">
        <f>SUMIF('01_Scheme_Tracker'!$B$4:$B$453,A5,'01_Scheme_Tracker'!$S$4:$S$453)</f>
        <v/>
      </c>
      <c r="I5" s="44" t="inlineStr">
        <is>
          <t>Herat</t>
        </is>
      </c>
      <c r="J5" s="44" t="inlineStr">
        <is>
          <t>Kushk e Rabat Sangi, Kushk e Kohna</t>
        </is>
      </c>
      <c r="K5" s="44" t="inlineStr">
        <is>
          <t>Retendered (Re-ITB)</t>
        </is>
      </c>
      <c r="L5" s="47" t="n">
        <v>46371</v>
      </c>
      <c r="M5" s="47" t="n">
        <v>46506</v>
      </c>
      <c r="N5" s="44" t="inlineStr">
        <is>
          <t>Abdul Qayum, Habiburahman, Ghulam Mahboob, Sadullah, Fazl Ahmad, Nesar Ahmad, Koklam, Mohammad Ibrahim</t>
        </is>
      </c>
      <c r="O5" s="88" t="inlineStr"/>
      <c r="P5" s="90" t="inlineStr">
        <is>
          <t>5. Drip Irrigation systems</t>
        </is>
      </c>
    </row>
    <row r="6" ht="28" customHeight="1">
      <c r="A6" s="82" t="inlineStr">
        <is>
          <t>AF2-DIS-01A</t>
        </is>
      </c>
      <c r="B6" s="52" t="inlineStr">
        <is>
          <t>Package #1 A -WBK/AF2 DIS: Demonstration of 7 Drip Irrigation schemes at 5 district sites of 1.Jakana, 2.Kharistan in Moqor, 3.Baghak in Qala-e-Naw of Badghis; 4. Ahangaran in Firozkoh, 5. Hamaye Khan in Dawlatyar districts of Ghor ; 6.Shadeh Olia, and 7.Shadeh Sofla in Zinda Jan district of Herat provinces</t>
        </is>
      </c>
      <c r="C6" s="52" t="inlineStr">
        <is>
          <t>Drip Irrigation</t>
        </is>
      </c>
      <c r="D6" s="83" t="inlineStr">
        <is>
          <t>Not awarded</t>
        </is>
      </c>
      <c r="E6" s="89" t="inlineStr">
        <is>
          <t>Retendered (Re-ITB)</t>
        </is>
      </c>
      <c r="F6" s="83" t="inlineStr">
        <is>
          <t>No</t>
        </is>
      </c>
      <c r="G6" s="49">
        <f>COUNTIF('01_Scheme_Tracker'!$B$4:$B$453,A6)</f>
        <v/>
      </c>
      <c r="H6" s="85">
        <f>SUMIF('01_Scheme_Tracker'!$B$4:$B$453,A6,'01_Scheme_Tracker'!$S$4:$S$453)</f>
        <v/>
      </c>
      <c r="I6" s="52" t="inlineStr">
        <is>
          <t>Ghor, Badghis, Herat</t>
        </is>
      </c>
      <c r="J6" s="52" t="inlineStr">
        <is>
          <t>Firozkoh, Qala-e-Naw, Dawlatyar, Moqur, Zinda Jan</t>
        </is>
      </c>
      <c r="K6" s="52" t="inlineStr">
        <is>
          <t>Retendered (Re-ITB)</t>
        </is>
      </c>
      <c r="L6" s="54" t="n">
        <v>46361</v>
      </c>
      <c r="M6" s="54" t="n">
        <v>46537</v>
      </c>
      <c r="N6" s="52" t="inlineStr">
        <is>
          <t>Haji Yaqoub, Edi Mohammad, Haji Abdul Qaiyom, Sobhan, Saifuddin, Abdul Ghafour, Ahmad Zia</t>
        </is>
      </c>
      <c r="O6" s="83" t="inlineStr"/>
      <c r="P6" s="86" t="inlineStr">
        <is>
          <t>5. Drip Irrigation systems</t>
        </is>
      </c>
    </row>
    <row r="7" ht="28" customHeight="1">
      <c r="A7" s="87" t="inlineStr">
        <is>
          <t>AF2-DIS-02A</t>
        </is>
      </c>
      <c r="B7" s="44" t="inlineStr">
        <is>
          <t>Package #2 A&amp;B-WBK/AF2 DIS: Demonstration of 12 Drip irrigation schemes of 1. Abdul Qadir, 2.Abdul Raqib, 3.Nazar Khan, 4.Khas Kunar, 5.Asmar, 6.Manogai, 7.Kunar University, 8.Parun, 9.Mateeullah, 10..Habibullah, 11.Surkhrood, and 12.Khewa, located in Alishing,Pacheragam, Batikot,Khas Kunar, Asmar, Manogai, Asadabad, Parun, Barg-e-Matal, Sorkhrud and Khewa districts of Laghman, Nangarhar, Kunar and Nuristan provinces.</t>
        </is>
      </c>
      <c r="C7" s="44" t="inlineStr">
        <is>
          <t>Drip Irrigation</t>
        </is>
      </c>
      <c r="D7" s="88" t="inlineStr">
        <is>
          <t>Not awarded</t>
        </is>
      </c>
      <c r="E7" s="89" t="inlineStr">
        <is>
          <t>Retendered (Re-ITB)</t>
        </is>
      </c>
      <c r="F7" s="88" t="inlineStr">
        <is>
          <t>No</t>
        </is>
      </c>
      <c r="G7" s="49">
        <f>COUNTIF('01_Scheme_Tracker'!$B$4:$B$453,A7)</f>
        <v/>
      </c>
      <c r="H7" s="85">
        <f>SUMIF('01_Scheme_Tracker'!$B$4:$B$453,A7,'01_Scheme_Tracker'!$S$4:$S$453)</f>
        <v/>
      </c>
      <c r="I7" s="44" t="inlineStr">
        <is>
          <t>Laghman, Nuristan, Nangarhar, Kunar</t>
        </is>
      </c>
      <c r="J7" s="44" t="inlineStr">
        <is>
          <t>Alishing, Barg-e-Matal, Sorkhrud, Khewa, Pacheragam, Batikot, Khas Kunar, Asmar, Manogai, Asadabad, Parun</t>
        </is>
      </c>
      <c r="K7" s="44" t="inlineStr">
        <is>
          <t>Retendered (Re-ITB)</t>
        </is>
      </c>
      <c r="L7" s="47" t="n">
        <v>46380</v>
      </c>
      <c r="M7" s="47" t="n">
        <v>46530</v>
      </c>
      <c r="N7" s="44" t="inlineStr">
        <is>
          <t>Abdul Qadeer, Habibullah, Ehsanullah, Ramin, Abdur Raqeeb, Nazar Khan, M. Nabi, Malik Rostam, M. Afzal, Kunar University, Mateeullah</t>
        </is>
      </c>
      <c r="O7" s="88" t="inlineStr"/>
      <c r="P7" s="90" t="inlineStr">
        <is>
          <t>5. Drip Irrigation systems</t>
        </is>
      </c>
    </row>
    <row r="8" ht="28" customHeight="1">
      <c r="A8" s="82" t="inlineStr">
        <is>
          <t>AF2-DIS-03</t>
        </is>
      </c>
      <c r="B8" s="52" t="inlineStr">
        <is>
          <t>Package #3-WBK/AF2 DIS: Demonstration of 14 Drip irrigation schemes at 13 district sites of 1. Parwan, 2. Kabul, 3. Wardak and 4. Kapisa provinces.</t>
        </is>
      </c>
      <c r="C8" s="52" t="inlineStr">
        <is>
          <t>Drip Irrigation</t>
        </is>
      </c>
      <c r="D8" s="83" t="inlineStr">
        <is>
          <t>Not awarded</t>
        </is>
      </c>
      <c r="E8" s="89" t="inlineStr">
        <is>
          <t>Retendered (Re-ITB)</t>
        </is>
      </c>
      <c r="F8" s="83" t="inlineStr">
        <is>
          <t>No</t>
        </is>
      </c>
      <c r="G8" s="49">
        <f>COUNTIF('01_Scheme_Tracker'!$B$4:$B$453,A8)</f>
        <v/>
      </c>
      <c r="H8" s="85">
        <f>SUMIF('01_Scheme_Tracker'!$B$4:$B$453,A8,'01_Scheme_Tracker'!$S$4:$S$453)</f>
        <v/>
      </c>
      <c r="I8" s="52" t="inlineStr">
        <is>
          <t>Kapisa, Kabul, Parwan, Wardak</t>
        </is>
      </c>
      <c r="J8" s="52" t="inlineStr">
        <is>
          <t>Hesa-e- Awal Kohistan, Paghman, Shikh Ali, Saydabad, Nirkh, Sarobi, Jaghatu, Surkh Parsa, Chack, Tagab, Khak-e-Jabar, Bagram, Mahmood Raqi</t>
        </is>
      </c>
      <c r="K8" s="52" t="inlineStr">
        <is>
          <t>Retendered (Re-ITB)</t>
        </is>
      </c>
      <c r="L8" s="54" t="n">
        <v>46376</v>
      </c>
      <c r="M8" s="54" t="n">
        <v>46573</v>
      </c>
      <c r="N8" s="52" t="inlineStr">
        <is>
          <t>Alberoni University, Mohammad Yousaf, Abdullah, Wardak University, Fazel Rahman, Hayatullah, Mohammad Akbar, Ghulam Haider Shah, Mohammad Qasim, Najeebullah, Jalal, Mohammad Waseem, Reg-e-Rawa park, Khairullah Zia</t>
        </is>
      </c>
      <c r="O8" s="83" t="inlineStr"/>
      <c r="P8" s="86" t="inlineStr">
        <is>
          <t>5. Drip Irrigation systems</t>
        </is>
      </c>
    </row>
    <row r="9" ht="28" customHeight="1">
      <c r="A9" s="87" t="inlineStr">
        <is>
          <t>AF2-DIS-04</t>
        </is>
      </c>
      <c r="B9" s="44" t="inlineStr">
        <is>
          <t>Package #4-WBK/AF2 DIS: Demonstration of 12 Drip irrigation schemes at 4 district sites of 1. Miramor, 2. Shahristan, 3.Nilli, and 4.Sayghan in Daykundi and Bamyan provinces</t>
        </is>
      </c>
      <c r="C9" s="44" t="inlineStr">
        <is>
          <t>Drip Irrigation</t>
        </is>
      </c>
      <c r="D9" s="88" t="inlineStr">
        <is>
          <t>Not awarded</t>
        </is>
      </c>
      <c r="E9" s="89" t="inlineStr">
        <is>
          <t>Retendered (Re-ITB)</t>
        </is>
      </c>
      <c r="F9" s="88" t="inlineStr">
        <is>
          <t>No</t>
        </is>
      </c>
      <c r="G9" s="49">
        <f>COUNTIF('01_Scheme_Tracker'!$B$4:$B$453,A9)</f>
        <v/>
      </c>
      <c r="H9" s="85">
        <f>SUMIF('01_Scheme_Tracker'!$B$4:$B$453,A9,'01_Scheme_Tracker'!$S$4:$S$453)</f>
        <v/>
      </c>
      <c r="I9" s="44" t="inlineStr">
        <is>
          <t>Daykundi, Bamyan</t>
        </is>
      </c>
      <c r="J9" s="44" t="inlineStr">
        <is>
          <t>Miramor, Shahristan, Sayghan, Nilli</t>
        </is>
      </c>
      <c r="K9" s="44" t="inlineStr">
        <is>
          <t>Retendered (Re-ITB)</t>
        </is>
      </c>
      <c r="L9" s="47" t="n">
        <v>46376</v>
      </c>
      <c r="M9" s="47" t="n">
        <v>46566</v>
      </c>
      <c r="N9" s="44" t="inlineStr">
        <is>
          <t>Ghulam, Mohammad Arif, Mohammad Ibrahim, Ahmad, Mohammad Ali, Ali Dost, Mohammad Hashim, Abdul Rahman, Sayed Mohammad, Ghulam Hussain, Sayed Hassan, Reza</t>
        </is>
      </c>
      <c r="O9" s="88" t="inlineStr"/>
      <c r="P9" s="90" t="inlineStr">
        <is>
          <t>5. Drip Irrigation systems</t>
        </is>
      </c>
    </row>
    <row r="10" ht="28" customHeight="1">
      <c r="A10" s="82" t="inlineStr">
        <is>
          <t>AF2-DIS-05</t>
        </is>
      </c>
      <c r="B10" s="52" t="inlineStr">
        <is>
          <t>Package # 5 - AF2 DIS: Demonstration of 15 Drip irrigation schemes of 1.Hassan Khail-A, 2.Hasan Khail-B, , 3.Ghafoor Khail, 4.Paktia university, 5.Nughi, 6.Deya, 7.Basana, 8.Nawe patana, 9.Sultani, 10.Gir, 11.Milma Kot Bagh, 12.Sahra Bagh, 13.Agriculture Research, 14.Logar University, and 15.Dabar Allu, located in Ahmad Aba, Provincial Centers, Ander, Sharana, Sarhawz, Matoon, Pul-e-Alam and Charkh districts of Paktia, Ghazni, Pakteka, Khost and Logar provinces.</t>
        </is>
      </c>
      <c r="C10" s="52" t="inlineStr">
        <is>
          <t>Drip Irrigation</t>
        </is>
      </c>
      <c r="D10" s="83" t="inlineStr">
        <is>
          <t>Not awarded</t>
        </is>
      </c>
      <c r="E10" s="89" t="inlineStr">
        <is>
          <t>Retendered (Re-ITB)</t>
        </is>
      </c>
      <c r="F10" s="83" t="inlineStr">
        <is>
          <t>No</t>
        </is>
      </c>
      <c r="G10" s="49">
        <f>COUNTIF('01_Scheme_Tracker'!$B$4:$B$453,A10)</f>
        <v/>
      </c>
      <c r="H10" s="85">
        <f>SUMIF('01_Scheme_Tracker'!$B$4:$B$453,A10,'01_Scheme_Tracker'!$S$4:$S$453)</f>
        <v/>
      </c>
      <c r="I10" s="52" t="inlineStr">
        <is>
          <t>Khost, Ghazni, Logar, Paktya, Pakteka</t>
        </is>
      </c>
      <c r="J10" s="52" t="inlineStr">
        <is>
          <t>Matoon, Andar, Charkh, Deyak, Center, Sharana, Ahmad Aba, Pole Alam, Gardez_center, Sarhawza</t>
        </is>
      </c>
      <c r="K10" s="52" t="inlineStr">
        <is>
          <t>Retendered (Re-ITB)</t>
        </is>
      </c>
      <c r="L10" s="54" t="n">
        <v>46381</v>
      </c>
      <c r="M10" s="54" t="n">
        <v>46571</v>
      </c>
      <c r="N10" s="52" t="inlineStr">
        <is>
          <t>Hazrat Wali, Mohammad Naim, Mohammad Akbar, Naser Khan, Salam Jan, Fazal Din, Zabihullah, Hasan Khil, Islam Gul, Saifullah, Ghazi Khan, Hakim Khan, Mohammad Rasool Gharani, Gafoor Jan, Akhtar Mohammad</t>
        </is>
      </c>
      <c r="O10" s="83" t="inlineStr"/>
      <c r="P10" s="86" t="inlineStr">
        <is>
          <t>5. Drip Irrigation systems</t>
        </is>
      </c>
    </row>
    <row r="11" ht="28" customHeight="1">
      <c r="A11" s="87" t="inlineStr">
        <is>
          <t>AF2-DIS-06</t>
        </is>
      </c>
      <c r="B11" s="44" t="inlineStr">
        <is>
          <t>Package #6-WBK/AF2 DIS: Demonstration of 12 Drip irrigation schemes at 11 district sites of 1. Momand in Daman, 2.Garmaw Kali in Panjwai, and 3.Serdagh Kali in Naish districts of Kandahar province; 4.Rud Kali in Tarnak- Jaldak, 5.Omarzai and 6. Bahu Kali in Seyure districts of Zabul province; 7. Kona Kala in Chinarto and 8.Khair Abad in Terinkot districts of Urozgan province; 9. Badam Kali in Nawzad and 10.Takhtapool Kali in Musa Qala districts of Helmand province; 11. Loy Razi in Khashrod and Firozi in Delaram districts of Nemroz province.</t>
        </is>
      </c>
      <c r="C11" s="44" t="inlineStr">
        <is>
          <t>Drip Irrigation</t>
        </is>
      </c>
      <c r="D11" s="88" t="inlineStr">
        <is>
          <t>Not awarded</t>
        </is>
      </c>
      <c r="E11" s="91" t="inlineStr">
        <is>
          <t>Under Review of WRI</t>
        </is>
      </c>
      <c r="F11" s="88" t="inlineStr">
        <is>
          <t>No</t>
        </is>
      </c>
      <c r="G11" s="49">
        <f>COUNTIF('01_Scheme_Tracker'!$B$4:$B$453,A11)</f>
        <v/>
      </c>
      <c r="H11" s="85">
        <f>SUMIF('01_Scheme_Tracker'!$B$4:$B$453,A11,'01_Scheme_Tracker'!$S$4:$S$453)</f>
        <v/>
      </c>
      <c r="I11" s="44" t="inlineStr">
        <is>
          <t>Helmand, Zabul, Nemroz, Kandahar, Urozgan</t>
        </is>
      </c>
      <c r="J11" s="44" t="inlineStr">
        <is>
          <t>Nawzad, Seyure, Delaram, Panjwai, Shah Wali Kot, Terinkot, Khashrod, Daman, Tarnak- Jaldak, Naish</t>
        </is>
      </c>
      <c r="K11" s="44" t="inlineStr">
        <is>
          <t>Under Review of WRI</t>
        </is>
      </c>
      <c r="L11" s="47" t="n">
        <v>46412</v>
      </c>
      <c r="M11" s="47" t="n">
        <v>46562</v>
      </c>
      <c r="N11" s="44" t="inlineStr"/>
      <c r="O11" s="88" t="inlineStr"/>
      <c r="P11" s="90" t="inlineStr">
        <is>
          <t>5. Drip Irrigation systems</t>
        </is>
      </c>
    </row>
    <row r="12" ht="28" customHeight="1">
      <c r="A12" s="82" t="inlineStr">
        <is>
          <t>AF2-DIS-07</t>
        </is>
      </c>
      <c r="B12" s="52" t="inlineStr">
        <is>
          <t>Package #7-WBK/AF2 DIS: Demonstration of 9 Drip Irrigation Schemes at 9 district sites of 1. Khwaja bolak in Khan Abad and 2. Shamba Bazar in Dashte Archi 3. Haji Atta Khan &amp; 4. Masjid Dr. Shafiq Mamakhail in Chahar Dara districts of Kunudz province; 5. Tilajat in Rustaq and 6. Chaqul in Baharak districts of Takhar province; 7 Sara-e-Gharbi in Badakhshan province; 8. Khoja Alwan in Dahna-e-Ghori and 9. Qatar Fateh in Dand-e-Ghori district of Baghlan Province</t>
        </is>
      </c>
      <c r="C12" s="52" t="inlineStr">
        <is>
          <t>Drip Irrigation</t>
        </is>
      </c>
      <c r="D12" s="83" t="inlineStr">
        <is>
          <t>Not awarded</t>
        </is>
      </c>
      <c r="E12" s="91" t="inlineStr">
        <is>
          <t>Under Review of WRI</t>
        </is>
      </c>
      <c r="F12" s="83" t="inlineStr">
        <is>
          <t>No</t>
        </is>
      </c>
      <c r="G12" s="49">
        <f>COUNTIF('01_Scheme_Tracker'!$B$4:$B$453,A12)</f>
        <v/>
      </c>
      <c r="H12" s="85">
        <f>SUMIF('01_Scheme_Tracker'!$B$4:$B$453,A12,'01_Scheme_Tracker'!$S$4:$S$453)</f>
        <v/>
      </c>
      <c r="I12" s="52" t="inlineStr">
        <is>
          <t>Takhar, Kunduz, Baghlan, Kunudz, Badakhshan</t>
        </is>
      </c>
      <c r="J12" s="52" t="inlineStr">
        <is>
          <t>Baharak, Chahar Dara, Dand Ghori, Khan Abad, Dahna-e-Ghori, Kishem, Dashte Archi, Rustaq</t>
        </is>
      </c>
      <c r="K12" s="52" t="inlineStr">
        <is>
          <t>Under Review of WRI</t>
        </is>
      </c>
      <c r="L12" s="54" t="n">
        <v>46412</v>
      </c>
      <c r="M12" s="54" t="n">
        <v>46602</v>
      </c>
      <c r="N12" s="52" t="inlineStr">
        <is>
          <t>Nasratullah, Haji Hamayoon Salimi, Haji Amir Gul, Mohammad Qasim, Ziaurrahman Mohammadi, Haji Nazar Gul, Haji Jamal, Shamsurahman, Fida Mohammad</t>
        </is>
      </c>
      <c r="O12" s="83" t="inlineStr"/>
      <c r="P12" s="86" t="inlineStr">
        <is>
          <t>5. Drip Irrigation systems</t>
        </is>
      </c>
    </row>
    <row r="13" ht="28" customHeight="1">
      <c r="A13" s="87" t="inlineStr">
        <is>
          <t>AF2-DIS-08</t>
        </is>
      </c>
      <c r="B13" s="44" t="inlineStr">
        <is>
          <t>Package #8-WBK/AF2 DIS: Demonstration of 12 Drip irrigation schemes at 10 district sites of 1. Nasaji in Nahr-e-Shai, 2. Hesarak in Balkh, and 3. Tokhta in Dehdadi districts of Balkh province; 4.Hadbakhshy in Saidabad, 5. Olqani and 6. Adrin in Center, and 7.Lar Badamak in Sandcharak districts of Sar-e-Pul province; 8.Baba Qambar in Khuram Wa Sarbagh, 9.Tangi Asiabad and 10. Hasan Kahil in Aybak districts of Samangan province; 11.Tepa Qeshlaq in Khowja Sabz Posh district of Faryab province; and 12. Tonika in Center of Jawzjan province.</t>
        </is>
      </c>
      <c r="C13" s="44" t="inlineStr">
        <is>
          <t>Drip Irrigation</t>
        </is>
      </c>
      <c r="D13" s="88" t="inlineStr">
        <is>
          <t>Not awarded</t>
        </is>
      </c>
      <c r="E13" s="91" t="inlineStr">
        <is>
          <t>Under Review of WRI</t>
        </is>
      </c>
      <c r="F13" s="88" t="inlineStr">
        <is>
          <t>No</t>
        </is>
      </c>
      <c r="G13" s="49">
        <f>COUNTIF('01_Scheme_Tracker'!$B$4:$B$453,A13)</f>
        <v/>
      </c>
      <c r="H13" s="85">
        <f>SUMIF('01_Scheme_Tracker'!$B$4:$B$453,A13,'01_Scheme_Tracker'!$S$4:$S$453)</f>
        <v/>
      </c>
      <c r="I13" s="44" t="inlineStr">
        <is>
          <t>Samangan, Balkh, Sari Pul, Jawzjan, Faryab</t>
        </is>
      </c>
      <c r="J13" s="44" t="inlineStr">
        <is>
          <t>Aybak, Mazar-e-Sharif, Charkent, Dehdadi, Sayed Abad, Sheberghan, Hazrat-e-Sultan, Khwaja Sabz Posh, Center</t>
        </is>
      </c>
      <c r="K13" s="44" t="inlineStr">
        <is>
          <t>Under Review of WRI</t>
        </is>
      </c>
      <c r="L13" s="47" t="n">
        <v>46042</v>
      </c>
      <c r="M13" s="47" t="n">
        <v>46232</v>
      </c>
      <c r="N13" s="44" t="inlineStr"/>
      <c r="O13" s="88" t="inlineStr"/>
      <c r="P13" s="90" t="inlineStr">
        <is>
          <t>5. Drip Irrigation systems</t>
        </is>
      </c>
    </row>
    <row r="14" ht="28" customHeight="1">
      <c r="A14" s="82" t="inlineStr">
        <is>
          <t>AF2-IS-01</t>
        </is>
      </c>
      <c r="B14" s="52" t="inlineStr">
        <is>
          <t>Package #1-AF2 IS: Rehabilitation of Joy Bazar irrigation scheme located in Obe district of Herat province.</t>
        </is>
      </c>
      <c r="C14" s="52" t="inlineStr">
        <is>
          <t>Irrigation Scheme</t>
        </is>
      </c>
      <c r="D14" s="83" t="inlineStr">
        <is>
          <t>Awarded</t>
        </is>
      </c>
      <c r="E14" s="92" t="inlineStr">
        <is>
          <t>Completed / Handover</t>
        </is>
      </c>
      <c r="F14" s="83" t="inlineStr">
        <is>
          <t>No</t>
        </is>
      </c>
      <c r="G14" s="49">
        <f>COUNTIF('01_Scheme_Tracker'!$B$4:$B$453,A14)</f>
        <v/>
      </c>
      <c r="H14" s="85">
        <f>SUMIF('01_Scheme_Tracker'!$B$4:$B$453,A14,'01_Scheme_Tracker'!$S$4:$S$453)</f>
        <v/>
      </c>
      <c r="I14" s="52" t="inlineStr">
        <is>
          <t>Herat</t>
        </is>
      </c>
      <c r="J14" s="52" t="inlineStr">
        <is>
          <t>Obeh</t>
        </is>
      </c>
      <c r="K14" s="52" t="inlineStr">
        <is>
          <t>Completed / Handover</t>
        </is>
      </c>
      <c r="L14" s="54" t="n">
        <v>45916</v>
      </c>
      <c r="M14" s="54" t="n">
        <v>46280</v>
      </c>
      <c r="N14" s="52" t="inlineStr">
        <is>
          <t>Afghan Aakam Construction and Road Company C. JV with D-Amini Mashwani Construction Road Juroni and Construction Materials Production Company (AACRC&amp;JV DAMCC)</t>
        </is>
      </c>
      <c r="O14" s="83" t="inlineStr">
        <is>
          <t>050/2025</t>
        </is>
      </c>
      <c r="P14" s="86" t="inlineStr">
        <is>
          <t>1.Awarded contracts_On&amp;off-farm</t>
        </is>
      </c>
    </row>
    <row r="15" ht="28" customHeight="1">
      <c r="A15" s="87" t="inlineStr">
        <is>
          <t>AF2-IS-02</t>
        </is>
      </c>
      <c r="B15" s="44" t="inlineStr">
        <is>
          <t>Package # 2-AF2 IS: Rehabilitation of irrigation schemes of 1.Ali Mansoor Canal in Karukh district, 2.Joy Sork and 3.Sar Kari canals in Farsi districts of Herat province.</t>
        </is>
      </c>
      <c r="C15" s="44" t="inlineStr">
        <is>
          <t>Irrigation Scheme</t>
        </is>
      </c>
      <c r="D15" s="88" t="inlineStr">
        <is>
          <t>Awarded</t>
        </is>
      </c>
      <c r="E15" s="93" t="inlineStr">
        <is>
          <t>Under Construction</t>
        </is>
      </c>
      <c r="F15" s="88" t="inlineStr">
        <is>
          <t>No</t>
        </is>
      </c>
      <c r="G15" s="49">
        <f>COUNTIF('01_Scheme_Tracker'!$B$4:$B$453,A15)</f>
        <v/>
      </c>
      <c r="H15" s="85">
        <f>SUMIF('01_Scheme_Tracker'!$B$4:$B$453,A15,'01_Scheme_Tracker'!$S$4:$S$453)</f>
        <v/>
      </c>
      <c r="I15" s="44" t="inlineStr">
        <is>
          <t>Herat</t>
        </is>
      </c>
      <c r="J15" s="44" t="inlineStr">
        <is>
          <t>Karukh, Farsi</t>
        </is>
      </c>
      <c r="K15" s="44" t="inlineStr">
        <is>
          <t>Under Construction</t>
        </is>
      </c>
      <c r="L15" s="47" t="n">
        <v>46225</v>
      </c>
      <c r="M15" s="47" t="n">
        <v>46589</v>
      </c>
      <c r="N15" s="44" t="inlineStr">
        <is>
          <t>Arman Millad Construction Company (AMCC)</t>
        </is>
      </c>
      <c r="O15" s="88" t="inlineStr">
        <is>
          <t>046/2026</t>
        </is>
      </c>
      <c r="P15" s="90" t="inlineStr">
        <is>
          <t>1.Awarded contracts_On&amp;off-farm</t>
        </is>
      </c>
    </row>
    <row r="16" ht="28" customHeight="1">
      <c r="A16" s="82" t="inlineStr">
        <is>
          <t>AF2-IS-03</t>
        </is>
      </c>
      <c r="B16" s="52" t="inlineStr">
        <is>
          <t>Package #3-AF2 IS: Rehabilitation of Yazdi irrigation scheme, located in Center Districts of Farah province.</t>
        </is>
      </c>
      <c r="C16" s="52" t="inlineStr">
        <is>
          <t>Irrigation Scheme</t>
        </is>
      </c>
      <c r="D16" s="83" t="inlineStr">
        <is>
          <t>Not awarded</t>
        </is>
      </c>
      <c r="E16" s="91" t="inlineStr">
        <is>
          <t>Under Review of WRI</t>
        </is>
      </c>
      <c r="F16" s="83" t="inlineStr">
        <is>
          <t>No</t>
        </is>
      </c>
      <c r="G16" s="49">
        <f>COUNTIF('01_Scheme_Tracker'!$B$4:$B$453,A16)</f>
        <v/>
      </c>
      <c r="H16" s="85">
        <f>SUMIF('01_Scheme_Tracker'!$B$4:$B$453,A16,'01_Scheme_Tracker'!$S$4:$S$453)</f>
        <v/>
      </c>
      <c r="I16" s="52" t="inlineStr">
        <is>
          <t>Farah</t>
        </is>
      </c>
      <c r="J16" s="52" t="inlineStr">
        <is>
          <t>Center</t>
        </is>
      </c>
      <c r="K16" s="52" t="inlineStr">
        <is>
          <t>Under Review of WRI</t>
        </is>
      </c>
      <c r="L16" s="54" t="n">
        <v>46371</v>
      </c>
      <c r="M16" s="54" t="n">
        <v>46644</v>
      </c>
      <c r="N16" s="52" t="inlineStr"/>
      <c r="O16" s="83" t="inlineStr"/>
      <c r="P16" s="86" t="inlineStr">
        <is>
          <t>2.Remain contracts_On&amp;off-farm</t>
        </is>
      </c>
    </row>
    <row r="17" ht="28" customHeight="1">
      <c r="A17" s="87" t="inlineStr">
        <is>
          <t>AF2-IS-04</t>
        </is>
      </c>
      <c r="B17" s="44" t="inlineStr">
        <is>
          <t>Package #4-AF2 IS: Rehabilitation of Joi Gang irrigation scheme in Bala Murghab districts of Badghis provinec.</t>
        </is>
      </c>
      <c r="C17" s="44" t="inlineStr">
        <is>
          <t>Irrigation Scheme</t>
        </is>
      </c>
      <c r="D17" s="88" t="inlineStr">
        <is>
          <t>Not awarded</t>
        </is>
      </c>
      <c r="E17" s="94" t="inlineStr">
        <is>
          <t>PR to be Raised</t>
        </is>
      </c>
      <c r="F17" s="88" t="inlineStr">
        <is>
          <t>No</t>
        </is>
      </c>
      <c r="G17" s="49">
        <f>COUNTIF('01_Scheme_Tracker'!$B$4:$B$453,A17)</f>
        <v/>
      </c>
      <c r="H17" s="85">
        <f>SUMIF('01_Scheme_Tracker'!$B$4:$B$453,A17,'01_Scheme_Tracker'!$S$4:$S$453)</f>
        <v/>
      </c>
      <c r="I17" s="44" t="inlineStr">
        <is>
          <t>Badghis</t>
        </is>
      </c>
      <c r="J17" s="44" t="inlineStr">
        <is>
          <t>Bala Murghab</t>
        </is>
      </c>
      <c r="K17" s="44" t="inlineStr">
        <is>
          <t>PR to be Raised</t>
        </is>
      </c>
      <c r="L17" s="47" t="n">
        <v>46387</v>
      </c>
      <c r="M17" s="47" t="n">
        <v>46687</v>
      </c>
      <c r="N17" s="44" t="inlineStr"/>
      <c r="O17" s="88" t="inlineStr"/>
      <c r="P17" s="90" t="inlineStr">
        <is>
          <t>2.Remain contracts_On&amp;off-farm</t>
        </is>
      </c>
    </row>
    <row r="18" ht="28" customHeight="1">
      <c r="A18" s="82" t="inlineStr">
        <is>
          <t>AF2-IS-05</t>
        </is>
      </c>
      <c r="B18" s="52" t="inlineStr">
        <is>
          <t>Package #5-AF2 IS: Rehabilitation of Korakha irrigation scheme, located in Dawlatyar District of Ghor province.</t>
        </is>
      </c>
      <c r="C18" s="52" t="inlineStr">
        <is>
          <t>Irrigation Scheme</t>
        </is>
      </c>
      <c r="D18" s="83" t="inlineStr">
        <is>
          <t>Not awarded</t>
        </is>
      </c>
      <c r="E18" s="94" t="inlineStr">
        <is>
          <t>PR to be Raised</t>
        </is>
      </c>
      <c r="F18" s="83" t="inlineStr">
        <is>
          <t>No</t>
        </is>
      </c>
      <c r="G18" s="49">
        <f>COUNTIF('01_Scheme_Tracker'!$B$4:$B$453,A18)</f>
        <v/>
      </c>
      <c r="H18" s="85">
        <f>SUMIF('01_Scheme_Tracker'!$B$4:$B$453,A18,'01_Scheme_Tracker'!$S$4:$S$453)</f>
        <v/>
      </c>
      <c r="I18" s="52" t="inlineStr">
        <is>
          <t>Ghor</t>
        </is>
      </c>
      <c r="J18" s="52" t="inlineStr">
        <is>
          <t>Dawlatyar</t>
        </is>
      </c>
      <c r="K18" s="52" t="inlineStr">
        <is>
          <t>PR to be Raised</t>
        </is>
      </c>
      <c r="L18" s="54" t="n">
        <v>46381</v>
      </c>
      <c r="M18" s="54" t="n">
        <v>46611</v>
      </c>
      <c r="N18" s="52" t="inlineStr"/>
      <c r="O18" s="83" t="inlineStr"/>
      <c r="P18" s="86" t="inlineStr">
        <is>
          <t>2.Remain contracts_On&amp;off-farm</t>
        </is>
      </c>
    </row>
    <row r="19" ht="28" customHeight="1">
      <c r="A19" s="87" t="inlineStr">
        <is>
          <t>AF2-IS-06</t>
        </is>
      </c>
      <c r="B19" s="44" t="inlineStr">
        <is>
          <t>Package #6-AF2 IS: Rehabilitation of Kushtal Canal, Checknawar canal, and Patikhirrki canal irrigation schemes, located in Lalpora ,Spinghar and Khogyani districts of Nangarhar province.</t>
        </is>
      </c>
      <c r="C19" s="44" t="inlineStr">
        <is>
          <t>Irrigation Scheme</t>
        </is>
      </c>
      <c r="D19" s="88" t="inlineStr">
        <is>
          <t>Awarded</t>
        </is>
      </c>
      <c r="E19" s="93" t="inlineStr">
        <is>
          <t>Under Construction</t>
        </is>
      </c>
      <c r="F19" s="88" t="inlineStr">
        <is>
          <t>No</t>
        </is>
      </c>
      <c r="G19" s="49">
        <f>COUNTIF('01_Scheme_Tracker'!$B$4:$B$453,A19)</f>
        <v/>
      </c>
      <c r="H19" s="85">
        <f>SUMIF('01_Scheme_Tracker'!$B$4:$B$453,A19,'01_Scheme_Tracker'!$S$4:$S$453)</f>
        <v/>
      </c>
      <c r="I19" s="44" t="inlineStr">
        <is>
          <t>Nangarhar</t>
        </is>
      </c>
      <c r="J19" s="44" t="inlineStr">
        <is>
          <t>Spinghar, Lalpora, Khogyani</t>
        </is>
      </c>
      <c r="K19" s="44" t="inlineStr">
        <is>
          <t>Under Construction</t>
        </is>
      </c>
      <c r="L19" s="47" t="n">
        <v>45955</v>
      </c>
      <c r="M19" s="47" t="n">
        <v>46319</v>
      </c>
      <c r="N19" s="44" t="inlineStr">
        <is>
          <t>Shirali Khan Barakatzai Construction Company (SBCC)</t>
        </is>
      </c>
      <c r="O19" s="88" t="inlineStr">
        <is>
          <t>054/2025</t>
        </is>
      </c>
      <c r="P19" s="90" t="inlineStr">
        <is>
          <t>1.Awarded contracts_On&amp;off-farm</t>
        </is>
      </c>
    </row>
    <row r="20" ht="28" customHeight="1">
      <c r="A20" s="82" t="inlineStr">
        <is>
          <t>AF2-IS-07</t>
        </is>
      </c>
      <c r="B20" s="52" t="inlineStr">
        <is>
          <t>Package #7-AF2 IS: Rehabilitation of Kham Canal and Shandi Toot canal irrigation schemes, located in Dehbala and Sherzad districts of Nangarhar provinces.</t>
        </is>
      </c>
      <c r="C20" s="52" t="inlineStr">
        <is>
          <t>Irrigation Scheme</t>
        </is>
      </c>
      <c r="D20" s="83" t="inlineStr">
        <is>
          <t>Not awarded</t>
        </is>
      </c>
      <c r="E20" s="95" t="inlineStr">
        <is>
          <t>Under Technical Evaluation</t>
        </is>
      </c>
      <c r="F20" s="83" t="inlineStr">
        <is>
          <t>No</t>
        </is>
      </c>
      <c r="G20" s="49">
        <f>COUNTIF('01_Scheme_Tracker'!$B$4:$B$453,A20)</f>
        <v/>
      </c>
      <c r="H20" s="85">
        <f>SUMIF('01_Scheme_Tracker'!$B$4:$B$453,A20,'01_Scheme_Tracker'!$S$4:$S$453)</f>
        <v/>
      </c>
      <c r="I20" s="52" t="inlineStr">
        <is>
          <t>Nangarhar</t>
        </is>
      </c>
      <c r="J20" s="52" t="inlineStr">
        <is>
          <t>Dehbala, Sherzad</t>
        </is>
      </c>
      <c r="K20" s="52" t="inlineStr">
        <is>
          <t>Under Technical Evaluation</t>
        </is>
      </c>
      <c r="L20" s="54" t="n">
        <v>46325</v>
      </c>
      <c r="M20" s="54" t="n">
        <v>46535</v>
      </c>
      <c r="N20" s="52" t="inlineStr"/>
      <c r="O20" s="83" t="inlineStr"/>
      <c r="P20" s="86" t="inlineStr">
        <is>
          <t>2.Remain contracts_On&amp;off-farm</t>
        </is>
      </c>
    </row>
    <row r="21" ht="28" customHeight="1">
      <c r="A21" s="87" t="inlineStr">
        <is>
          <t>AF2-IS-08</t>
        </is>
      </c>
      <c r="B21" s="44" t="inlineStr">
        <is>
          <t>Package #8-AF2 IS: Rehabilitation of Khas Kunar Lower canal and Bahrabad canal irrigation schemes, located in Khas Kunar district of Kunar and Behsood district of Nangarhar provinces.</t>
        </is>
      </c>
      <c r="C21" s="44" t="inlineStr">
        <is>
          <t>Irrigation Scheme</t>
        </is>
      </c>
      <c r="D21" s="88" t="inlineStr">
        <is>
          <t>Awarded</t>
        </is>
      </c>
      <c r="E21" s="93" t="inlineStr">
        <is>
          <t>Under Construction</t>
        </is>
      </c>
      <c r="F21" s="88" t="inlineStr">
        <is>
          <t>No</t>
        </is>
      </c>
      <c r="G21" s="49">
        <f>COUNTIF('01_Scheme_Tracker'!$B$4:$B$453,A21)</f>
        <v/>
      </c>
      <c r="H21" s="85">
        <f>SUMIF('01_Scheme_Tracker'!$B$4:$B$453,A21,'01_Scheme_Tracker'!$S$4:$S$453)</f>
        <v/>
      </c>
      <c r="I21" s="44" t="inlineStr">
        <is>
          <t>Nangarhar, Kunar</t>
        </is>
      </c>
      <c r="J21" s="44" t="inlineStr">
        <is>
          <t>Behsood, Khas Kunar</t>
        </is>
      </c>
      <c r="K21" s="44" t="inlineStr">
        <is>
          <t>Under Construction</t>
        </is>
      </c>
      <c r="L21" s="47" t="n">
        <v>46254</v>
      </c>
      <c r="M21" s="47" t="n">
        <v>46618</v>
      </c>
      <c r="N21" s="44" t="inlineStr">
        <is>
          <t>Awrish builder construction company (ABCC)</t>
        </is>
      </c>
      <c r="O21" s="88" t="inlineStr">
        <is>
          <t>055/2026</t>
        </is>
      </c>
      <c r="P21" s="90" t="inlineStr">
        <is>
          <t>1.Awarded contracts_On&amp;off-farm</t>
        </is>
      </c>
    </row>
    <row r="22" ht="28" customHeight="1">
      <c r="A22" s="82" t="inlineStr">
        <is>
          <t>AF2-IS-09</t>
        </is>
      </c>
      <c r="B22" s="52" t="inlineStr">
        <is>
          <t>Package #9-AF2 IS: Rehabilitation of Akchori canal irrigation scheme, located in Waigal districts of Nuristan provinces.</t>
        </is>
      </c>
      <c r="C22" s="52" t="inlineStr">
        <is>
          <t>Irrigation Scheme</t>
        </is>
      </c>
      <c r="D22" s="83" t="inlineStr">
        <is>
          <t>Not awarded</t>
        </is>
      </c>
      <c r="E22" s="89" t="inlineStr">
        <is>
          <t>ITB Launched</t>
        </is>
      </c>
      <c r="F22" s="83" t="inlineStr">
        <is>
          <t>No</t>
        </is>
      </c>
      <c r="G22" s="49">
        <f>COUNTIF('01_Scheme_Tracker'!$B$4:$B$453,A22)</f>
        <v/>
      </c>
      <c r="H22" s="85">
        <f>SUMIF('01_Scheme_Tracker'!$B$4:$B$453,A22,'01_Scheme_Tracker'!$S$4:$S$453)</f>
        <v/>
      </c>
      <c r="I22" s="52" t="inlineStr">
        <is>
          <t>Nuristan</t>
        </is>
      </c>
      <c r="J22" s="52" t="inlineStr">
        <is>
          <t>Waigal</t>
        </is>
      </c>
      <c r="K22" s="52" t="inlineStr">
        <is>
          <t>ITB Launched</t>
        </is>
      </c>
      <c r="L22" s="54" t="n">
        <v>46353</v>
      </c>
      <c r="M22" s="54" t="n">
        <v>46656</v>
      </c>
      <c r="N22" s="52" t="inlineStr"/>
      <c r="O22" s="83" t="inlineStr"/>
      <c r="P22" s="86" t="inlineStr">
        <is>
          <t>2.Remain contracts_On&amp;off-farm</t>
        </is>
      </c>
    </row>
    <row r="23" ht="28" customHeight="1">
      <c r="A23" s="87" t="inlineStr">
        <is>
          <t>AF2-IS-10</t>
        </is>
      </c>
      <c r="B23" s="44" t="inlineStr">
        <is>
          <t>Package #10-AF2 IS: Rehabilitation of 1.Baraki canal, 2. Darbal canal, 3. Nawikhar canal and 4. Mangali canal irrigation schemes, located in Sayed Abad, Chak and Jaghato districts of Wardak province.</t>
        </is>
      </c>
      <c r="C23" s="44" t="inlineStr">
        <is>
          <t>Irrigation Scheme</t>
        </is>
      </c>
      <c r="D23" s="88" t="inlineStr">
        <is>
          <t>Awarded</t>
        </is>
      </c>
      <c r="E23" s="96" t="inlineStr">
        <is>
          <t>Awarded</t>
        </is>
      </c>
      <c r="F23" s="88" t="inlineStr">
        <is>
          <t>Yes</t>
        </is>
      </c>
      <c r="G23" s="49">
        <f>COUNTIF('01_Scheme_Tracker'!$B$4:$B$453,A23)</f>
        <v/>
      </c>
      <c r="H23" s="85">
        <f>SUMIF('01_Scheme_Tracker'!$B$4:$B$453,A23,'01_Scheme_Tracker'!$S$4:$S$453)</f>
        <v/>
      </c>
      <c r="I23" s="44" t="inlineStr">
        <is>
          <t>Wardak</t>
        </is>
      </c>
      <c r="J23" s="44" t="inlineStr">
        <is>
          <t>Sayed Abad, Chak, Jaghato</t>
        </is>
      </c>
      <c r="K23" s="44" t="inlineStr">
        <is>
          <t>Completed / Handover, Awarded, Under Construction</t>
        </is>
      </c>
      <c r="L23" s="47" t="n">
        <v>45979</v>
      </c>
      <c r="M23" s="47" t="n">
        <v>46343</v>
      </c>
      <c r="N23" s="44" t="inlineStr">
        <is>
          <t>Zahid Saeed Engineering and Construction Company (ZSCC)</t>
        </is>
      </c>
      <c r="O23" s="88" t="inlineStr">
        <is>
          <t>057/2025</t>
        </is>
      </c>
      <c r="P23" s="90" t="inlineStr">
        <is>
          <t>1.Awarded contracts_On&amp;off-farm</t>
        </is>
      </c>
    </row>
    <row r="24" ht="28" customHeight="1">
      <c r="A24" s="82" t="inlineStr">
        <is>
          <t>AF2-IS-11</t>
        </is>
      </c>
      <c r="B24" s="52" t="inlineStr">
        <is>
          <t>Package #11-AF2 IS: Rehabilitation of Musahi Sufla canal irrigation schemes, located in Musahi districts of Kabul province.</t>
        </is>
      </c>
      <c r="C24" s="52" t="inlineStr">
        <is>
          <t>Irrigation Scheme</t>
        </is>
      </c>
      <c r="D24" s="83" t="inlineStr">
        <is>
          <t>Awarded</t>
        </is>
      </c>
      <c r="E24" s="93" t="inlineStr">
        <is>
          <t>Under Construction</t>
        </is>
      </c>
      <c r="F24" s="83" t="inlineStr">
        <is>
          <t>No</t>
        </is>
      </c>
      <c r="G24" s="49">
        <f>COUNTIF('01_Scheme_Tracker'!$B$4:$B$453,A24)</f>
        <v/>
      </c>
      <c r="H24" s="85">
        <f>SUMIF('01_Scheme_Tracker'!$B$4:$B$453,A24,'01_Scheme_Tracker'!$S$4:$S$453)</f>
        <v/>
      </c>
      <c r="I24" s="52" t="inlineStr">
        <is>
          <t>Kabul</t>
        </is>
      </c>
      <c r="J24" s="52" t="inlineStr">
        <is>
          <t>Musahi</t>
        </is>
      </c>
      <c r="K24" s="52" t="inlineStr">
        <is>
          <t>Under Construction</t>
        </is>
      </c>
      <c r="L24" s="54" t="n">
        <v>45957</v>
      </c>
      <c r="M24" s="54" t="n">
        <v>46321</v>
      </c>
      <c r="N24" s="52" t="inlineStr">
        <is>
          <t>Seddiq Amini Construction and Logistic Services (SACC)</t>
        </is>
      </c>
      <c r="O24" s="83" t="inlineStr">
        <is>
          <t>056/2025</t>
        </is>
      </c>
      <c r="P24" s="86" t="inlineStr">
        <is>
          <t>1.Awarded contracts_On&amp;off-farm</t>
        </is>
      </c>
    </row>
    <row r="25" ht="28" customHeight="1">
      <c r="A25" s="87" t="inlineStr">
        <is>
          <t>AF2-IS-12</t>
        </is>
      </c>
      <c r="B25" s="44" t="inlineStr">
        <is>
          <t>Package #12-AF2 IS: Rehabilitation of Tapa-e-Ahmad Big canal and Shahre Beland canal irrigation schemes, located in Nijrab and Paryan districts of Kapisa and Panjsher provinces.</t>
        </is>
      </c>
      <c r="C25" s="44" t="inlineStr">
        <is>
          <t>Irrigation Scheme</t>
        </is>
      </c>
      <c r="D25" s="88" t="inlineStr">
        <is>
          <t>Not awarded</t>
        </is>
      </c>
      <c r="E25" s="95" t="inlineStr">
        <is>
          <t>Under Technical Evaluation</t>
        </is>
      </c>
      <c r="F25" s="88" t="inlineStr">
        <is>
          <t>No</t>
        </is>
      </c>
      <c r="G25" s="49">
        <f>COUNTIF('01_Scheme_Tracker'!$B$4:$B$453,A25)</f>
        <v/>
      </c>
      <c r="H25" s="85">
        <f>SUMIF('01_Scheme_Tracker'!$B$4:$B$453,A25,'01_Scheme_Tracker'!$S$4:$S$453)</f>
        <v/>
      </c>
      <c r="I25" s="44" t="inlineStr">
        <is>
          <t>Panjshir, Kapisa</t>
        </is>
      </c>
      <c r="J25" s="44" t="inlineStr">
        <is>
          <t>Paryan, Nijrab</t>
        </is>
      </c>
      <c r="K25" s="44" t="inlineStr">
        <is>
          <t>Under Technical Evaluation</t>
        </is>
      </c>
      <c r="L25" s="47" t="n">
        <v>46327</v>
      </c>
      <c r="M25" s="47" t="n">
        <v>46597</v>
      </c>
      <c r="N25" s="44" t="inlineStr"/>
      <c r="O25" s="88" t="inlineStr"/>
      <c r="P25" s="90" t="inlineStr">
        <is>
          <t>2.Remain contracts_On&amp;off-farm</t>
        </is>
      </c>
    </row>
    <row r="26" ht="28" customHeight="1">
      <c r="A26" s="82" t="inlineStr">
        <is>
          <t>AF2-IS-13</t>
        </is>
      </c>
      <c r="B26" s="52" t="inlineStr">
        <is>
          <t>Package #13-AF2 IS: Rehabilitation of Kamar China canal, Khenkot canal, and Zargara irrigation schemes, located in Sarobi, Chahar Asiab and Paghman districts of Kabul province.</t>
        </is>
      </c>
      <c r="C26" s="52" t="inlineStr">
        <is>
          <t>Irrigation Scheme</t>
        </is>
      </c>
      <c r="D26" s="83" t="inlineStr">
        <is>
          <t>Not awarded</t>
        </is>
      </c>
      <c r="E26" s="95" t="inlineStr">
        <is>
          <t>Under Technical Evaluation</t>
        </is>
      </c>
      <c r="F26" s="83" t="inlineStr">
        <is>
          <t>No</t>
        </is>
      </c>
      <c r="G26" s="49">
        <f>COUNTIF('01_Scheme_Tracker'!$B$4:$B$453,A26)</f>
        <v/>
      </c>
      <c r="H26" s="85">
        <f>SUMIF('01_Scheme_Tracker'!$B$4:$B$453,A26,'01_Scheme_Tracker'!$S$4:$S$453)</f>
        <v/>
      </c>
      <c r="I26" s="52" t="inlineStr">
        <is>
          <t>Kabul</t>
        </is>
      </c>
      <c r="J26" s="52" t="inlineStr">
        <is>
          <t>Sarobi, Chahar Asiab, Paghman</t>
        </is>
      </c>
      <c r="K26" s="52" t="inlineStr">
        <is>
          <t>Under Technical Evaluation</t>
        </is>
      </c>
      <c r="L26" s="54" t="n">
        <v>46336</v>
      </c>
      <c r="M26" s="54" t="n">
        <v>46576</v>
      </c>
      <c r="N26" s="52" t="inlineStr"/>
      <c r="O26" s="83" t="inlineStr"/>
      <c r="P26" s="86" t="inlineStr">
        <is>
          <t>2.Remain contracts_On&amp;off-farm</t>
        </is>
      </c>
    </row>
    <row r="27" ht="28" customHeight="1">
      <c r="A27" s="87" t="inlineStr">
        <is>
          <t>AF2-IS-14</t>
        </is>
      </c>
      <c r="B27" s="44" t="inlineStr">
        <is>
          <t>Package #14-AF2 IS: Rehabilitation of Zard Sang and Topchi Cluster Canal Irrigation scheme, located in Center district of Bamyan province.</t>
        </is>
      </c>
      <c r="C27" s="44" t="inlineStr">
        <is>
          <t>Irrigation Scheme</t>
        </is>
      </c>
      <c r="D27" s="88" t="inlineStr">
        <is>
          <t>Awarded</t>
        </is>
      </c>
      <c r="E27" s="93" t="inlineStr">
        <is>
          <t>Under Construction</t>
        </is>
      </c>
      <c r="F27" s="88" t="inlineStr">
        <is>
          <t>No</t>
        </is>
      </c>
      <c r="G27" s="49">
        <f>COUNTIF('01_Scheme_Tracker'!$B$4:$B$453,A27)</f>
        <v/>
      </c>
      <c r="H27" s="85">
        <f>SUMIF('01_Scheme_Tracker'!$B$4:$B$453,A27,'01_Scheme_Tracker'!$S$4:$S$453)</f>
        <v/>
      </c>
      <c r="I27" s="44" t="inlineStr">
        <is>
          <t>Bamyan</t>
        </is>
      </c>
      <c r="J27" s="44" t="inlineStr">
        <is>
          <t>Center</t>
        </is>
      </c>
      <c r="K27" s="44" t="inlineStr">
        <is>
          <t>Under Construction</t>
        </is>
      </c>
      <c r="L27" s="47" t="n">
        <v>46046</v>
      </c>
      <c r="M27" s="47" t="n">
        <v>46410</v>
      </c>
      <c r="N27" s="44" t="inlineStr">
        <is>
          <t>Nomae Shahr Construction Company (NSCC)</t>
        </is>
      </c>
      <c r="O27" s="88" t="inlineStr">
        <is>
          <t>002/2026</t>
        </is>
      </c>
      <c r="P27" s="90" t="inlineStr">
        <is>
          <t>1.Awarded contracts_On&amp;off-farm</t>
        </is>
      </c>
    </row>
    <row r="28" ht="28" customHeight="1">
      <c r="A28" s="82" t="inlineStr">
        <is>
          <t>AF2-IS-15</t>
        </is>
      </c>
      <c r="B28" s="52" t="inlineStr">
        <is>
          <t>Package #15-AF2 IS: Rehabilitation of Pitab joy and Sorkh Kawak Cluster Canal Irrigation scheme, located in Waras districts of Bamyan province.</t>
        </is>
      </c>
      <c r="C28" s="52" t="inlineStr">
        <is>
          <t>Irrigation Scheme</t>
        </is>
      </c>
      <c r="D28" s="83" t="inlineStr">
        <is>
          <t>Not awarded</t>
        </is>
      </c>
      <c r="E28" s="89" t="inlineStr">
        <is>
          <t>Retendered (Re-ITB)</t>
        </is>
      </c>
      <c r="F28" s="83" t="inlineStr">
        <is>
          <t>No</t>
        </is>
      </c>
      <c r="G28" s="49">
        <f>COUNTIF('01_Scheme_Tracker'!$B$4:$B$453,A28)</f>
        <v/>
      </c>
      <c r="H28" s="85">
        <f>SUMIF('01_Scheme_Tracker'!$B$4:$B$453,A28,'01_Scheme_Tracker'!$S$4:$S$453)</f>
        <v/>
      </c>
      <c r="I28" s="52" t="inlineStr">
        <is>
          <t>Bamyan</t>
        </is>
      </c>
      <c r="J28" s="52" t="inlineStr">
        <is>
          <t>Waras</t>
        </is>
      </c>
      <c r="K28" s="52" t="inlineStr">
        <is>
          <t>Retendered (Re-ITB)</t>
        </is>
      </c>
      <c r="L28" s="54" t="n">
        <v>46371</v>
      </c>
      <c r="M28" s="54" t="n">
        <v>46651</v>
      </c>
      <c r="N28" s="52" t="inlineStr"/>
      <c r="O28" s="83" t="inlineStr"/>
      <c r="P28" s="86" t="inlineStr">
        <is>
          <t>2.Remain contracts_On&amp;off-farm</t>
        </is>
      </c>
    </row>
    <row r="29" ht="28" customHeight="1">
      <c r="A29" s="87" t="inlineStr">
        <is>
          <t>AF2-IS-16</t>
        </is>
      </c>
      <c r="B29" s="44" t="inlineStr">
        <is>
          <t>Package #16-AF2 IS: Rehabilitation of Pato (Paye Raqul, Sangchal Takhomak and Kadalak) Cluster canal irrigation scheme in Pato district of Daykundi province</t>
        </is>
      </c>
      <c r="C29" s="44" t="inlineStr">
        <is>
          <t>Irrigation Scheme</t>
        </is>
      </c>
      <c r="D29" s="88" t="inlineStr">
        <is>
          <t>Awarded</t>
        </is>
      </c>
      <c r="E29" s="92" t="inlineStr">
        <is>
          <t>Completed / Handover</t>
        </is>
      </c>
      <c r="F29" s="88" t="inlineStr">
        <is>
          <t>No</t>
        </is>
      </c>
      <c r="G29" s="49">
        <f>COUNTIF('01_Scheme_Tracker'!$B$4:$B$453,A29)</f>
        <v/>
      </c>
      <c r="H29" s="85">
        <f>SUMIF('01_Scheme_Tracker'!$B$4:$B$453,A29,'01_Scheme_Tracker'!$S$4:$S$453)</f>
        <v/>
      </c>
      <c r="I29" s="44" t="inlineStr">
        <is>
          <t>Daykundi</t>
        </is>
      </c>
      <c r="J29" s="44" t="inlineStr">
        <is>
          <t>Pato</t>
        </is>
      </c>
      <c r="K29" s="44" t="inlineStr">
        <is>
          <t>Completed / Handover</t>
        </is>
      </c>
      <c r="L29" s="47" t="n">
        <v>46043</v>
      </c>
      <c r="M29" s="47" t="n">
        <v>46407</v>
      </c>
      <c r="N29" s="44" t="inlineStr">
        <is>
          <t>Estehkam Baba Construction Company JV Tamadon Bamik Construction Company (EBCC)</t>
        </is>
      </c>
      <c r="O29" s="88" t="inlineStr">
        <is>
          <t>007/2026</t>
        </is>
      </c>
      <c r="P29" s="90" t="inlineStr">
        <is>
          <t>1.Awarded contracts_On&amp;off-farm</t>
        </is>
      </c>
    </row>
    <row r="30" ht="28" customHeight="1">
      <c r="A30" s="82" t="inlineStr">
        <is>
          <t>AF2-IS-17</t>
        </is>
      </c>
      <c r="B30" s="52" t="inlineStr">
        <is>
          <t>Package #17-AF2 IS: Rehabilitation of Hezhdi- Nilli, Cluster Canal irrigation schemes, located in Nilli district of Daykundi province.</t>
        </is>
      </c>
      <c r="C30" s="52" t="inlineStr">
        <is>
          <t>Irrigation Scheme</t>
        </is>
      </c>
      <c r="D30" s="83" t="inlineStr">
        <is>
          <t>Not awarded</t>
        </is>
      </c>
      <c r="E30" s="89" t="inlineStr">
        <is>
          <t>Retendered (Re-ITB)</t>
        </is>
      </c>
      <c r="F30" s="83" t="inlineStr">
        <is>
          <t>No</t>
        </is>
      </c>
      <c r="G30" s="49">
        <f>COUNTIF('01_Scheme_Tracker'!$B$4:$B$453,A30)</f>
        <v/>
      </c>
      <c r="H30" s="85">
        <f>SUMIF('01_Scheme_Tracker'!$B$4:$B$453,A30,'01_Scheme_Tracker'!$S$4:$S$453)</f>
        <v/>
      </c>
      <c r="I30" s="52" t="inlineStr">
        <is>
          <t>Daykundi</t>
        </is>
      </c>
      <c r="J30" s="52" t="inlineStr">
        <is>
          <t>Nilli</t>
        </is>
      </c>
      <c r="K30" s="52" t="inlineStr">
        <is>
          <t>Retendered (Re-ITB)</t>
        </is>
      </c>
      <c r="L30" s="54" t="n">
        <v>46371</v>
      </c>
      <c r="M30" s="54" t="n">
        <v>46641</v>
      </c>
      <c r="N30" s="52" t="inlineStr"/>
      <c r="O30" s="83" t="inlineStr"/>
      <c r="P30" s="86" t="inlineStr">
        <is>
          <t>2.Remain contracts_On&amp;off-farm</t>
        </is>
      </c>
    </row>
    <row r="31" ht="28" customHeight="1">
      <c r="A31" s="87" t="inlineStr">
        <is>
          <t>AF2-IS-18</t>
        </is>
      </c>
      <c r="B31" s="44" t="inlineStr">
        <is>
          <t>Package #18-AF2 IS: Rehabilitation of Drang canal irrigation schemes, located in Zurmat district of Paktya province.</t>
        </is>
      </c>
      <c r="C31" s="44" t="inlineStr">
        <is>
          <t>Irrigation Scheme</t>
        </is>
      </c>
      <c r="D31" s="88" t="inlineStr">
        <is>
          <t>Not awarded</t>
        </is>
      </c>
      <c r="E31" s="89" t="inlineStr">
        <is>
          <t>ITB Launched</t>
        </is>
      </c>
      <c r="F31" s="88" t="inlineStr">
        <is>
          <t>No</t>
        </is>
      </c>
      <c r="G31" s="49">
        <f>COUNTIF('01_Scheme_Tracker'!$B$4:$B$453,A31)</f>
        <v/>
      </c>
      <c r="H31" s="85">
        <f>SUMIF('01_Scheme_Tracker'!$B$4:$B$453,A31,'01_Scheme_Tracker'!$S$4:$S$453)</f>
        <v/>
      </c>
      <c r="I31" s="44" t="inlineStr">
        <is>
          <t>Paktya</t>
        </is>
      </c>
      <c r="J31" s="44" t="inlineStr">
        <is>
          <t>Zurmat</t>
        </is>
      </c>
      <c r="K31" s="44" t="inlineStr">
        <is>
          <t>ITB Launched</t>
        </is>
      </c>
      <c r="L31" s="47" t="n">
        <v>46356</v>
      </c>
      <c r="M31" s="47" t="n">
        <v>46689</v>
      </c>
      <c r="N31" s="44" t="inlineStr"/>
      <c r="O31" s="88" t="inlineStr"/>
      <c r="P31" s="90" t="inlineStr">
        <is>
          <t>2.Remain contracts_On&amp;off-farm</t>
        </is>
      </c>
    </row>
    <row r="32" ht="28" customHeight="1">
      <c r="A32" s="82" t="inlineStr">
        <is>
          <t>AF2-IS-19</t>
        </is>
      </c>
      <c r="B32" s="52" t="inlineStr">
        <is>
          <t>Package #19-AF2 IS: Rehabilitation of Khwaja Angor canal and Qalai Wazir canal irrigation schemes located in Kharwar and Pol-i-Alam districts of Logar province.</t>
        </is>
      </c>
      <c r="C32" s="52" t="inlineStr">
        <is>
          <t>Irrigation Scheme</t>
        </is>
      </c>
      <c r="D32" s="83" t="inlineStr">
        <is>
          <t>Awarded</t>
        </is>
      </c>
      <c r="E32" s="93" t="inlineStr">
        <is>
          <t>Under Construction</t>
        </is>
      </c>
      <c r="F32" s="83" t="inlineStr">
        <is>
          <t>Yes</t>
        </is>
      </c>
      <c r="G32" s="49">
        <f>COUNTIF('01_Scheme_Tracker'!$B$4:$B$453,A32)</f>
        <v/>
      </c>
      <c r="H32" s="85">
        <f>SUMIF('01_Scheme_Tracker'!$B$4:$B$453,A32,'01_Scheme_Tracker'!$S$4:$S$453)</f>
        <v/>
      </c>
      <c r="I32" s="52" t="inlineStr">
        <is>
          <t>Logar</t>
        </is>
      </c>
      <c r="J32" s="52" t="inlineStr">
        <is>
          <t>Kharwar, Pol-i-Alam</t>
        </is>
      </c>
      <c r="K32" s="52" t="inlineStr">
        <is>
          <t>Under Construction, Completed / Handover</t>
        </is>
      </c>
      <c r="L32" s="54" t="n">
        <v>46022</v>
      </c>
      <c r="M32" s="54" t="n">
        <v>46386</v>
      </c>
      <c r="N32" s="52" t="inlineStr">
        <is>
          <t>Unique Wahaj Construction Company (UWCC)</t>
        </is>
      </c>
      <c r="O32" s="83" t="inlineStr">
        <is>
          <t>074/2026</t>
        </is>
      </c>
      <c r="P32" s="86" t="inlineStr">
        <is>
          <t>1.Awarded contracts_On&amp;off-farm</t>
        </is>
      </c>
    </row>
    <row r="33" ht="28" customHeight="1">
      <c r="A33" s="87" t="inlineStr">
        <is>
          <t>AF2-IS-20</t>
        </is>
      </c>
      <c r="B33" s="44" t="inlineStr">
        <is>
          <t>Package #20-AF2 IS: Rehabilitation of Welgai irrigation system, located in Matoon district of Khost province.</t>
        </is>
      </c>
      <c r="C33" s="44" t="inlineStr">
        <is>
          <t>Irrigation Scheme</t>
        </is>
      </c>
      <c r="D33" s="88" t="inlineStr">
        <is>
          <t>Awarded</t>
        </is>
      </c>
      <c r="E33" s="92" t="inlineStr">
        <is>
          <t>Completed / Handover</t>
        </is>
      </c>
      <c r="F33" s="88" t="inlineStr">
        <is>
          <t>No</t>
        </is>
      </c>
      <c r="G33" s="49">
        <f>COUNTIF('01_Scheme_Tracker'!$B$4:$B$453,A33)</f>
        <v/>
      </c>
      <c r="H33" s="85">
        <f>SUMIF('01_Scheme_Tracker'!$B$4:$B$453,A33,'01_Scheme_Tracker'!$S$4:$S$453)</f>
        <v/>
      </c>
      <c r="I33" s="44" t="inlineStr">
        <is>
          <t>Khost</t>
        </is>
      </c>
      <c r="J33" s="44" t="inlineStr">
        <is>
          <t>Matoon</t>
        </is>
      </c>
      <c r="K33" s="44" t="inlineStr">
        <is>
          <t>Completed / Handover</t>
        </is>
      </c>
      <c r="L33" s="47" t="n">
        <v>45942</v>
      </c>
      <c r="M33" s="47" t="n">
        <v>46306</v>
      </c>
      <c r="N33" s="44" t="inlineStr">
        <is>
          <t>Mahmood Raqi Nawin Construction &amp; Road Building Company (MRCC)</t>
        </is>
      </c>
      <c r="O33" s="88" t="inlineStr">
        <is>
          <t>053/2025</t>
        </is>
      </c>
      <c r="P33" s="90" t="inlineStr">
        <is>
          <t>1.Awarded contracts_On&amp;off-farm</t>
        </is>
      </c>
    </row>
    <row r="34" ht="28" customHeight="1">
      <c r="A34" s="82" t="inlineStr">
        <is>
          <t>AF2-IS-21</t>
        </is>
      </c>
      <c r="B34" s="52" t="inlineStr">
        <is>
          <t>Package # 21-AF2 IS: Rehabilitation of Markazi Ziruk and Mulakh canal irrigation schemes, located in Ziruk and Yousaf Khil districts of Pakteka province.</t>
        </is>
      </c>
      <c r="C34" s="52" t="inlineStr">
        <is>
          <t>Irrigation Scheme</t>
        </is>
      </c>
      <c r="D34" s="83" t="inlineStr">
        <is>
          <t>Awarded</t>
        </is>
      </c>
      <c r="E34" s="93" t="inlineStr">
        <is>
          <t>Under Construction</t>
        </is>
      </c>
      <c r="F34" s="83" t="inlineStr">
        <is>
          <t>No</t>
        </is>
      </c>
      <c r="G34" s="49">
        <f>COUNTIF('01_Scheme_Tracker'!$B$4:$B$453,A34)</f>
        <v/>
      </c>
      <c r="H34" s="85">
        <f>SUMIF('01_Scheme_Tracker'!$B$4:$B$453,A34,'01_Scheme_Tracker'!$S$4:$S$453)</f>
        <v/>
      </c>
      <c r="I34" s="52" t="inlineStr">
        <is>
          <t>Pakteka</t>
        </is>
      </c>
      <c r="J34" s="52" t="inlineStr">
        <is>
          <t>Ziruk, Yousaf Khil</t>
        </is>
      </c>
      <c r="K34" s="52" t="inlineStr">
        <is>
          <t>Under Construction</t>
        </is>
      </c>
      <c r="L34" s="54" t="n">
        <v>46179</v>
      </c>
      <c r="M34" s="54" t="n">
        <v>46543</v>
      </c>
      <c r="N34" s="52" t="inlineStr">
        <is>
          <t>Farhad Matoonyar Construction Company (FMCC)</t>
        </is>
      </c>
      <c r="O34" s="83" t="inlineStr">
        <is>
          <t>038/2026</t>
        </is>
      </c>
      <c r="P34" s="86" t="inlineStr">
        <is>
          <t>1.Awarded contracts_On&amp;off-farm</t>
        </is>
      </c>
    </row>
    <row r="35" ht="28" customHeight="1">
      <c r="A35" s="87" t="inlineStr">
        <is>
          <t>AF2-IS-22</t>
        </is>
      </c>
      <c r="B35" s="44" t="inlineStr">
        <is>
          <t>Package # 22-AF2 IS: Rehabilitation of Gero canal irrigation scheme, located in Center and Qarabagh districts of Ghazni province.</t>
        </is>
      </c>
      <c r="C35" s="44" t="inlineStr">
        <is>
          <t>Irrigation Scheme</t>
        </is>
      </c>
      <c r="D35" s="88" t="inlineStr">
        <is>
          <t>Not awarded</t>
        </is>
      </c>
      <c r="E35" s="97" t="inlineStr">
        <is>
          <t>Under LTO Review</t>
        </is>
      </c>
      <c r="F35" s="88" t="inlineStr">
        <is>
          <t>No</t>
        </is>
      </c>
      <c r="G35" s="49">
        <f>COUNTIF('01_Scheme_Tracker'!$B$4:$B$453,A35)</f>
        <v/>
      </c>
      <c r="H35" s="85">
        <f>SUMIF('01_Scheme_Tracker'!$B$4:$B$453,A35,'01_Scheme_Tracker'!$S$4:$S$453)</f>
        <v/>
      </c>
      <c r="I35" s="44" t="inlineStr">
        <is>
          <t>Ghazni</t>
        </is>
      </c>
      <c r="J35" s="44" t="inlineStr">
        <is>
          <t>Center</t>
        </is>
      </c>
      <c r="K35" s="44" t="inlineStr">
        <is>
          <t>Under LTO Review</t>
        </is>
      </c>
      <c r="L35" s="47" t="n">
        <v>46384</v>
      </c>
      <c r="M35" s="47" t="n">
        <v>46684</v>
      </c>
      <c r="N35" s="44" t="inlineStr"/>
      <c r="O35" s="88" t="inlineStr"/>
      <c r="P35" s="90" t="inlineStr">
        <is>
          <t>2.Remain contracts_On&amp;off-farm</t>
        </is>
      </c>
    </row>
    <row r="36" ht="28" customHeight="1">
      <c r="A36" s="82" t="inlineStr">
        <is>
          <t>AF2-IS-23</t>
        </is>
      </c>
      <c r="B36" s="52" t="inlineStr">
        <is>
          <t>Package #23-AF2 IS: Rehabilitation of Patab canal irrigation schemes, located in Khas Urozgan of Urozgan province.</t>
        </is>
      </c>
      <c r="C36" s="52" t="inlineStr">
        <is>
          <t>Irrigation Scheme</t>
        </is>
      </c>
      <c r="D36" s="83" t="inlineStr">
        <is>
          <t>Not awarded</t>
        </is>
      </c>
      <c r="E36" s="89" t="inlineStr">
        <is>
          <t>Retendered (Re-ITB)</t>
        </is>
      </c>
      <c r="F36" s="83" t="inlineStr">
        <is>
          <t>No</t>
        </is>
      </c>
      <c r="G36" s="49">
        <f>COUNTIF('01_Scheme_Tracker'!$B$4:$B$453,A36)</f>
        <v/>
      </c>
      <c r="H36" s="85">
        <f>SUMIF('01_Scheme_Tracker'!$B$4:$B$453,A36,'01_Scheme_Tracker'!$S$4:$S$453)</f>
        <v/>
      </c>
      <c r="I36" s="52" t="inlineStr">
        <is>
          <t>Urozgan</t>
        </is>
      </c>
      <c r="J36" s="52" t="inlineStr">
        <is>
          <t>Khas Urozgan</t>
        </is>
      </c>
      <c r="K36" s="52" t="inlineStr">
        <is>
          <t>Retendered (Re-ITB)</t>
        </is>
      </c>
      <c r="L36" s="54" t="n">
        <v>46371</v>
      </c>
      <c r="M36" s="54" t="n">
        <v>46641</v>
      </c>
      <c r="N36" s="52" t="inlineStr"/>
      <c r="O36" s="83" t="inlineStr"/>
      <c r="P36" s="86" t="inlineStr">
        <is>
          <t>2.Remain contracts_On&amp;off-farm</t>
        </is>
      </c>
    </row>
    <row r="37" ht="28" customHeight="1">
      <c r="A37" s="87" t="inlineStr">
        <is>
          <t>AF2-IS-24</t>
        </is>
      </c>
      <c r="B37" s="44" t="inlineStr">
        <is>
          <t>Package #24-AF2 IS: Rehabilitation of Shajoy canal irrigation scheme, located in Dayee Chopan districts of Zabul province.</t>
        </is>
      </c>
      <c r="C37" s="44" t="inlineStr">
        <is>
          <t>Irrigation Scheme</t>
        </is>
      </c>
      <c r="D37" s="88" t="inlineStr">
        <is>
          <t>Not awarded</t>
        </is>
      </c>
      <c r="E37" s="98" t="inlineStr">
        <is>
          <t>Under Design</t>
        </is>
      </c>
      <c r="F37" s="88" t="inlineStr">
        <is>
          <t>No</t>
        </is>
      </c>
      <c r="G37" s="49">
        <f>COUNTIF('01_Scheme_Tracker'!$B$4:$B$453,A37)</f>
        <v/>
      </c>
      <c r="H37" s="85">
        <f>SUMIF('01_Scheme_Tracker'!$B$4:$B$453,A37,'01_Scheme_Tracker'!$S$4:$S$453)</f>
        <v/>
      </c>
      <c r="I37" s="44" t="inlineStr">
        <is>
          <t>Zabul</t>
        </is>
      </c>
      <c r="J37" s="44" t="inlineStr">
        <is>
          <t>Dayee Chopan</t>
        </is>
      </c>
      <c r="K37" s="44" t="inlineStr">
        <is>
          <t>Under Design</t>
        </is>
      </c>
      <c r="L37" s="47" t="n">
        <v>46376</v>
      </c>
      <c r="M37" s="47" t="n">
        <v>46646</v>
      </c>
      <c r="N37" s="44" t="inlineStr"/>
      <c r="O37" s="88" t="inlineStr"/>
      <c r="P37" s="90" t="inlineStr">
        <is>
          <t>2.Remain contracts_On&amp;off-farm</t>
        </is>
      </c>
    </row>
    <row r="38" ht="28" customHeight="1">
      <c r="A38" s="82" t="inlineStr">
        <is>
          <t>AF2-IS-25</t>
        </is>
      </c>
      <c r="B38" s="52" t="inlineStr">
        <is>
          <t>Package #25-AF2 IS: Rehabilitation of Urdo Kas canal and Sarkay Lazhey canal irrigation schemes, located in Sha Wali Kot and Boldak districts of Kandahar province.</t>
        </is>
      </c>
      <c r="C38" s="52" t="inlineStr">
        <is>
          <t>Irrigation Scheme</t>
        </is>
      </c>
      <c r="D38" s="83" t="inlineStr">
        <is>
          <t>Awarded</t>
        </is>
      </c>
      <c r="E38" s="93" t="inlineStr">
        <is>
          <t>Under Construction</t>
        </is>
      </c>
      <c r="F38" s="83" t="inlineStr">
        <is>
          <t>No</t>
        </is>
      </c>
      <c r="G38" s="49">
        <f>COUNTIF('01_Scheme_Tracker'!$B$4:$B$453,A38)</f>
        <v/>
      </c>
      <c r="H38" s="85">
        <f>SUMIF('01_Scheme_Tracker'!$B$4:$B$453,A38,'01_Scheme_Tracker'!$S$4:$S$453)</f>
        <v/>
      </c>
      <c r="I38" s="52" t="inlineStr">
        <is>
          <t>Kandahar</t>
        </is>
      </c>
      <c r="J38" s="52" t="inlineStr">
        <is>
          <t>Boldak, Sha Wali Kot</t>
        </is>
      </c>
      <c r="K38" s="52" t="inlineStr">
        <is>
          <t>Under Construction</t>
        </is>
      </c>
      <c r="L38" s="54" t="n">
        <v>46062</v>
      </c>
      <c r="M38" s="54" t="n">
        <v>46364</v>
      </c>
      <c r="N38" s="52" t="inlineStr">
        <is>
          <t>Wasif Construction Company</t>
        </is>
      </c>
      <c r="O38" s="83" t="inlineStr">
        <is>
          <t>012/2026</t>
        </is>
      </c>
      <c r="P38" s="86" t="inlineStr">
        <is>
          <t>1.Awarded contracts_On&amp;off-farm</t>
        </is>
      </c>
    </row>
    <row r="39" ht="28" customHeight="1">
      <c r="A39" s="87" t="inlineStr">
        <is>
          <t>AF2-IS-26</t>
        </is>
      </c>
      <c r="B39" s="44" t="inlineStr">
        <is>
          <t>Package #26-AF2 IS: Rehabilitation of Sarwan Qala canal irrigation schemes, located in Sangin district of Kandahar province.</t>
        </is>
      </c>
      <c r="C39" s="44" t="inlineStr">
        <is>
          <t>Irrigation Scheme</t>
        </is>
      </c>
      <c r="D39" s="88" t="inlineStr">
        <is>
          <t>Awarded</t>
        </is>
      </c>
      <c r="E39" s="96" t="inlineStr">
        <is>
          <t>Awarded</t>
        </is>
      </c>
      <c r="F39" s="88" t="inlineStr">
        <is>
          <t>No</t>
        </is>
      </c>
      <c r="G39" s="49">
        <f>COUNTIF('01_Scheme_Tracker'!$B$4:$B$453,A39)</f>
        <v/>
      </c>
      <c r="H39" s="85">
        <f>SUMIF('01_Scheme_Tracker'!$B$4:$B$453,A39,'01_Scheme_Tracker'!$S$4:$S$453)</f>
        <v/>
      </c>
      <c r="I39" s="44" t="inlineStr">
        <is>
          <t>Helmand</t>
        </is>
      </c>
      <c r="J39" s="44" t="inlineStr">
        <is>
          <t>Sangin</t>
        </is>
      </c>
      <c r="K39" s="44" t="inlineStr">
        <is>
          <t>Awarded</t>
        </is>
      </c>
      <c r="L39" s="47" t="n">
        <v>46084</v>
      </c>
      <c r="M39" s="47" t="n">
        <v>46448</v>
      </c>
      <c r="N39" s="44" t="inlineStr">
        <is>
          <t>New Safi Zada Construction &amp; Road Building Company JV with Elyas Aryoubi Constructin Road building and Logistic Company (NSZ&amp;EACC)</t>
        </is>
      </c>
      <c r="O39" s="88" t="inlineStr">
        <is>
          <t>019/2026</t>
        </is>
      </c>
      <c r="P39" s="90" t="inlineStr">
        <is>
          <t>1.Awarded contracts_On&amp;off-farm</t>
        </is>
      </c>
    </row>
    <row r="40" ht="28" customHeight="1">
      <c r="A40" s="82" t="inlineStr">
        <is>
          <t>AF2-IS-27</t>
        </is>
      </c>
      <c r="B40" s="52" t="inlineStr">
        <is>
          <t>Package # 27-AF2 IS: Rehabilitation of Firozi canal irrigation scheme, located in Delaram districts of Nimroz province.</t>
        </is>
      </c>
      <c r="C40" s="52" t="inlineStr">
        <is>
          <t>Irrigation Scheme</t>
        </is>
      </c>
      <c r="D40" s="83" t="inlineStr">
        <is>
          <t>Not awarded</t>
        </is>
      </c>
      <c r="E40" s="91" t="inlineStr">
        <is>
          <t>Under Review of WRI</t>
        </is>
      </c>
      <c r="F40" s="83" t="inlineStr">
        <is>
          <t>No</t>
        </is>
      </c>
      <c r="G40" s="49">
        <f>COUNTIF('01_Scheme_Tracker'!$B$4:$B$453,A40)</f>
        <v/>
      </c>
      <c r="H40" s="85">
        <f>SUMIF('01_Scheme_Tracker'!$B$4:$B$453,A40,'01_Scheme_Tracker'!$S$4:$S$453)</f>
        <v/>
      </c>
      <c r="I40" s="52" t="inlineStr">
        <is>
          <t>Nimruz</t>
        </is>
      </c>
      <c r="J40" s="52" t="inlineStr">
        <is>
          <t>Delaram</t>
        </is>
      </c>
      <c r="K40" s="52" t="inlineStr">
        <is>
          <t>Under Review of WRI</t>
        </is>
      </c>
      <c r="L40" s="54" t="n">
        <v>46381</v>
      </c>
      <c r="M40" s="54" t="n">
        <v>46651</v>
      </c>
      <c r="N40" s="52" t="inlineStr"/>
      <c r="O40" s="83" t="inlineStr"/>
      <c r="P40" s="86" t="inlineStr">
        <is>
          <t>2.Remain contracts_On&amp;off-farm</t>
        </is>
      </c>
    </row>
    <row r="41" ht="28" customHeight="1">
      <c r="A41" s="87" t="inlineStr">
        <is>
          <t>AF2-IS-28</t>
        </is>
      </c>
      <c r="B41" s="44" t="inlineStr">
        <is>
          <t>Package # 28 – AF2 IS: Rehabilitation of Irrigation Schemes of 1. Abil Aroq (Qanjogha), 2. Shaitan Aroq Cluster Canals in Khwaja Ghar District and 3. Kalta Aroq, 4. Pacha Khail, and 5. Sayed Miran (Khar Kar) Cluster Canals in Eshkamish District of Takhar Province</t>
        </is>
      </c>
      <c r="C41" s="44" t="inlineStr">
        <is>
          <t>Irrigation Scheme</t>
        </is>
      </c>
      <c r="D41" s="88" t="inlineStr">
        <is>
          <t>Awarded</t>
        </is>
      </c>
      <c r="E41" s="96" t="inlineStr">
        <is>
          <t>Awarded</t>
        </is>
      </c>
      <c r="F41" s="88" t="inlineStr">
        <is>
          <t>Yes</t>
        </is>
      </c>
      <c r="G41" s="49">
        <f>COUNTIF('01_Scheme_Tracker'!$B$4:$B$453,A41)</f>
        <v/>
      </c>
      <c r="H41" s="85">
        <f>SUMIF('01_Scheme_Tracker'!$B$4:$B$453,A41,'01_Scheme_Tracker'!$S$4:$S$453)</f>
        <v/>
      </c>
      <c r="I41" s="44" t="inlineStr">
        <is>
          <t>Takhar</t>
        </is>
      </c>
      <c r="J41" s="44" t="inlineStr">
        <is>
          <t>Khwaja Ghar, Eshkamish</t>
        </is>
      </c>
      <c r="K41" s="44" t="inlineStr">
        <is>
          <t>Awarded, Under Construction</t>
        </is>
      </c>
      <c r="L41" s="47" t="n">
        <v>46013</v>
      </c>
      <c r="M41" s="47" t="n">
        <v>46377</v>
      </c>
      <c r="N41" s="44" t="inlineStr">
        <is>
          <t>SHAMAL KARDAN ROAD CONSTRUCTION AND LOGISTIC SERVICES COMPANY LTD (SKRCC)</t>
        </is>
      </c>
      <c r="O41" s="88" t="inlineStr">
        <is>
          <t>067/2025</t>
        </is>
      </c>
      <c r="P41" s="90" t="inlineStr">
        <is>
          <t>1.Awarded contracts_On&amp;off-farm</t>
        </is>
      </c>
    </row>
    <row r="42" ht="28" customHeight="1">
      <c r="A42" s="82" t="inlineStr">
        <is>
          <t>AF2-IS-29</t>
        </is>
      </c>
      <c r="B42" s="52" t="inlineStr">
        <is>
          <t>Package #29-AF2 IS: Rehabilitation of Dagh Aruq canal irrigation scheme, located in Chahar Dara district of Kunduz province.</t>
        </is>
      </c>
      <c r="C42" s="52" t="inlineStr">
        <is>
          <t>Irrigation Scheme</t>
        </is>
      </c>
      <c r="D42" s="83" t="inlineStr">
        <is>
          <t>Not awarded</t>
        </is>
      </c>
      <c r="E42" s="94" t="inlineStr">
        <is>
          <t>PR to be Raised</t>
        </is>
      </c>
      <c r="F42" s="83" t="inlineStr">
        <is>
          <t>No</t>
        </is>
      </c>
      <c r="G42" s="49">
        <f>COUNTIF('01_Scheme_Tracker'!$B$4:$B$453,A42)</f>
        <v/>
      </c>
      <c r="H42" s="85">
        <f>SUMIF('01_Scheme_Tracker'!$B$4:$B$453,A42,'01_Scheme_Tracker'!$S$4:$S$453)</f>
        <v/>
      </c>
      <c r="I42" s="52" t="inlineStr">
        <is>
          <t>Kunduz</t>
        </is>
      </c>
      <c r="J42" s="52" t="inlineStr">
        <is>
          <t>Chahar Dara</t>
        </is>
      </c>
      <c r="K42" s="52" t="inlineStr">
        <is>
          <t>PR to be Raised</t>
        </is>
      </c>
      <c r="L42" s="54" t="n">
        <v>46351</v>
      </c>
      <c r="M42" s="54" t="n">
        <v>46651</v>
      </c>
      <c r="N42" s="52" t="inlineStr"/>
      <c r="O42" s="83" t="inlineStr"/>
      <c r="P42" s="86" t="inlineStr">
        <is>
          <t>2.Remain contracts_On&amp;off-farm</t>
        </is>
      </c>
    </row>
    <row r="43" ht="28" customHeight="1">
      <c r="A43" s="87" t="inlineStr">
        <is>
          <t>AF2-IS-30</t>
        </is>
      </c>
      <c r="B43" s="44" t="inlineStr">
        <is>
          <t>Package # 30-AF2 IS: Rehabilitation of Teshkhan canal canals irrigation scheme, located in Ishkashim districts of Badakhshan province.</t>
        </is>
      </c>
      <c r="C43" s="44" t="inlineStr">
        <is>
          <t>Irrigation Scheme</t>
        </is>
      </c>
      <c r="D43" s="88" t="inlineStr">
        <is>
          <t>Not awarded</t>
        </is>
      </c>
      <c r="E43" s="94" t="inlineStr">
        <is>
          <t>PR to be Raised</t>
        </is>
      </c>
      <c r="F43" s="88" t="inlineStr">
        <is>
          <t>No</t>
        </is>
      </c>
      <c r="G43" s="49">
        <f>COUNTIF('01_Scheme_Tracker'!$B$4:$B$453,A43)</f>
        <v/>
      </c>
      <c r="H43" s="85">
        <f>SUMIF('01_Scheme_Tracker'!$B$4:$B$453,A43,'01_Scheme_Tracker'!$S$4:$S$453)</f>
        <v/>
      </c>
      <c r="I43" s="44" t="inlineStr">
        <is>
          <t>Badakhshan</t>
        </is>
      </c>
      <c r="J43" s="44" t="inlineStr">
        <is>
          <t>Ishkashim</t>
        </is>
      </c>
      <c r="K43" s="44" t="inlineStr">
        <is>
          <t>PR to be Raised</t>
        </is>
      </c>
      <c r="L43" s="47" t="n">
        <v>46399</v>
      </c>
      <c r="M43" s="47" t="n">
        <v>46669</v>
      </c>
      <c r="N43" s="44" t="inlineStr"/>
      <c r="O43" s="88" t="inlineStr"/>
      <c r="P43" s="90" t="inlineStr">
        <is>
          <t>2.Remain contracts_On&amp;off-farm</t>
        </is>
      </c>
    </row>
    <row r="44" ht="28" customHeight="1">
      <c r="A44" s="82" t="inlineStr">
        <is>
          <t>AF2-IS-31</t>
        </is>
      </c>
      <c r="B44" s="52" t="inlineStr">
        <is>
          <t>Package #31-AF2 IS: Rehabilitation of 1. Shahidan &amp;Dasht-e Lajam Canal schems in Tala wa barfak district, 2.Sardar Ha canal scheme in Deh Salah district, and 3. Kambilan cluster canal schemes in Fring districts of Baghlan province.</t>
        </is>
      </c>
      <c r="C44" s="52" t="inlineStr">
        <is>
          <t>Irrigation Scheme</t>
        </is>
      </c>
      <c r="D44" s="83" t="inlineStr">
        <is>
          <t>Awarded</t>
        </is>
      </c>
      <c r="E44" s="93" t="inlineStr">
        <is>
          <t>Under Construction</t>
        </is>
      </c>
      <c r="F44" s="83" t="inlineStr">
        <is>
          <t>Yes</t>
        </is>
      </c>
      <c r="G44" s="49">
        <f>COUNTIF('01_Scheme_Tracker'!$B$4:$B$453,A44)</f>
        <v/>
      </c>
      <c r="H44" s="85">
        <f>SUMIF('01_Scheme_Tracker'!$B$4:$B$453,A44,'01_Scheme_Tracker'!$S$4:$S$453)</f>
        <v/>
      </c>
      <c r="I44" s="52" t="inlineStr">
        <is>
          <t>Baghlan</t>
        </is>
      </c>
      <c r="J44" s="52" t="inlineStr">
        <is>
          <t>Fring, Deh Salah, Tala wa barfak</t>
        </is>
      </c>
      <c r="K44" s="52" t="inlineStr">
        <is>
          <t>Completed / Handover, Under Construction</t>
        </is>
      </c>
      <c r="L44" s="54" t="n">
        <v>46051</v>
      </c>
      <c r="M44" s="54" t="n">
        <v>46354</v>
      </c>
      <c r="N44" s="52" t="inlineStr">
        <is>
          <t>Afghan Eithad construction and Road Building company (AECC)</t>
        </is>
      </c>
      <c r="O44" s="83" t="inlineStr">
        <is>
          <t>009/2026</t>
        </is>
      </c>
      <c r="P44" s="86" t="inlineStr">
        <is>
          <t>1.Awarded contracts_On&amp;off-farm</t>
        </is>
      </c>
    </row>
    <row r="45" ht="28" customHeight="1">
      <c r="A45" s="87" t="inlineStr">
        <is>
          <t>AF2-IS-32</t>
        </is>
      </c>
      <c r="B45" s="44" t="inlineStr">
        <is>
          <t>Package #32-AF2 IS: Rehabilitation of Abdul Baqi canal and Mulla Oma canal irrigation schemes, located in Chemtal districts of Balkh province.</t>
        </is>
      </c>
      <c r="C45" s="44" t="inlineStr">
        <is>
          <t>Irrigation Scheme</t>
        </is>
      </c>
      <c r="D45" s="88" t="inlineStr">
        <is>
          <t>Awarded</t>
        </is>
      </c>
      <c r="E45" s="92" t="inlineStr">
        <is>
          <t>Completed / Handover</t>
        </is>
      </c>
      <c r="F45" s="88" t="inlineStr">
        <is>
          <t>No</t>
        </is>
      </c>
      <c r="G45" s="49">
        <f>COUNTIF('01_Scheme_Tracker'!$B$4:$B$453,A45)</f>
        <v/>
      </c>
      <c r="H45" s="85">
        <f>SUMIF('01_Scheme_Tracker'!$B$4:$B$453,A45,'01_Scheme_Tracker'!$S$4:$S$453)</f>
        <v/>
      </c>
      <c r="I45" s="44" t="inlineStr">
        <is>
          <t>Balkh</t>
        </is>
      </c>
      <c r="J45" s="44" t="inlineStr">
        <is>
          <t>Chemtal</t>
        </is>
      </c>
      <c r="K45" s="44" t="inlineStr">
        <is>
          <t>Completed / Handover</t>
        </is>
      </c>
      <c r="L45" s="47" t="n">
        <v>46022</v>
      </c>
      <c r="M45" s="47" t="n">
        <v>46355</v>
      </c>
      <c r="N45" s="44" t="inlineStr">
        <is>
          <t>Trust Grow Construction and Engineering Company (TGCC)</t>
        </is>
      </c>
      <c r="O45" s="88" t="inlineStr">
        <is>
          <t>075/2025</t>
        </is>
      </c>
      <c r="P45" s="90" t="inlineStr">
        <is>
          <t>1.Awarded contracts_On&amp;off-farm</t>
        </is>
      </c>
    </row>
    <row r="46" ht="28" customHeight="1">
      <c r="A46" s="82" t="inlineStr">
        <is>
          <t>AF2-IS-33</t>
        </is>
      </c>
      <c r="B46" s="52" t="inlineStr">
        <is>
          <t>Package #33-AF2 IS: Rehabilitation of Chela Mazar canal and Kushkak canal irrigation schemes, located in Dara-e- Suf-e-Bala and Dara-e-Suf-e-Payeen districts of Samangan province.</t>
        </is>
      </c>
      <c r="C46" s="52" t="inlineStr">
        <is>
          <t>Irrigation Scheme</t>
        </is>
      </c>
      <c r="D46" s="83" t="inlineStr">
        <is>
          <t>Awarded</t>
        </is>
      </c>
      <c r="E46" s="93" t="inlineStr">
        <is>
          <t>Under Construction</t>
        </is>
      </c>
      <c r="F46" s="83" t="inlineStr">
        <is>
          <t>No</t>
        </is>
      </c>
      <c r="G46" s="49">
        <f>COUNTIF('01_Scheme_Tracker'!$B$4:$B$453,A46)</f>
        <v/>
      </c>
      <c r="H46" s="85">
        <f>SUMIF('01_Scheme_Tracker'!$B$4:$B$453,A46,'01_Scheme_Tracker'!$S$4:$S$453)</f>
        <v/>
      </c>
      <c r="I46" s="52" t="inlineStr">
        <is>
          <t>Samangan</t>
        </is>
      </c>
      <c r="J46" s="52" t="inlineStr">
        <is>
          <t>Dara-e- Suf-e-Payeen, Dara-e- Suf-e-Bala</t>
        </is>
      </c>
      <c r="K46" s="52" t="inlineStr">
        <is>
          <t>Under Construction</t>
        </is>
      </c>
      <c r="L46" s="54" t="n">
        <v>46037</v>
      </c>
      <c r="M46" s="54" t="n">
        <v>46370</v>
      </c>
      <c r="N46" s="52" t="inlineStr">
        <is>
          <t>AFGHAN LUCKY CONSTRUCTION COMPANY (ALCC)</t>
        </is>
      </c>
      <c r="O46" s="83" t="inlineStr">
        <is>
          <t>003/2026</t>
        </is>
      </c>
      <c r="P46" s="86" t="inlineStr">
        <is>
          <t>1.Awarded contracts_On&amp;off-farm</t>
        </is>
      </c>
    </row>
    <row r="47" ht="28" customHeight="1">
      <c r="A47" s="87" t="inlineStr">
        <is>
          <t>AF2-IS-34</t>
        </is>
      </c>
      <c r="B47" s="44" t="inlineStr">
        <is>
          <t>Package #34-AF2 IS: Rehabilitation of Hashtman canal and Qashqasai canal irrigation schemes, located in Qaisar district of Faryab province.</t>
        </is>
      </c>
      <c r="C47" s="44" t="inlineStr">
        <is>
          <t>Irrigation Scheme</t>
        </is>
      </c>
      <c r="D47" s="88" t="inlineStr">
        <is>
          <t>Not awarded</t>
        </is>
      </c>
      <c r="E47" s="89" t="inlineStr">
        <is>
          <t>ITB Launched</t>
        </is>
      </c>
      <c r="F47" s="88" t="inlineStr">
        <is>
          <t>No</t>
        </is>
      </c>
      <c r="G47" s="49">
        <f>COUNTIF('01_Scheme_Tracker'!$B$4:$B$453,A47)</f>
        <v/>
      </c>
      <c r="H47" s="85">
        <f>SUMIF('01_Scheme_Tracker'!$B$4:$B$453,A47,'01_Scheme_Tracker'!$S$4:$S$453)</f>
        <v/>
      </c>
      <c r="I47" s="44" t="inlineStr">
        <is>
          <t>Faryab</t>
        </is>
      </c>
      <c r="J47" s="44" t="inlineStr">
        <is>
          <t>Qaisar</t>
        </is>
      </c>
      <c r="K47" s="44" t="inlineStr">
        <is>
          <t>ITB Launched</t>
        </is>
      </c>
      <c r="L47" s="47" t="n">
        <v>46386</v>
      </c>
      <c r="M47" s="47" t="n">
        <v>46666</v>
      </c>
      <c r="N47" s="44" t="inlineStr"/>
      <c r="O47" s="88" t="inlineStr"/>
      <c r="P47" s="90" t="inlineStr">
        <is>
          <t>2.Remain contracts_On&amp;off-farm</t>
        </is>
      </c>
    </row>
    <row r="48" ht="28" customHeight="1">
      <c r="A48" s="82" t="inlineStr">
        <is>
          <t>AF2-IS-35</t>
        </is>
      </c>
      <c r="B48" s="52" t="inlineStr">
        <is>
          <t>Package # 35-AF2 IS: Rehabilitation of Bahr-e Ameq canal irrigation scheme, located in Sozma Qala districts of Sar-e-Pul province.</t>
        </is>
      </c>
      <c r="C48" s="52" t="inlineStr">
        <is>
          <t>Irrigation Scheme</t>
        </is>
      </c>
      <c r="D48" s="83" t="inlineStr">
        <is>
          <t>Awarded</t>
        </is>
      </c>
      <c r="E48" s="93" t="inlineStr">
        <is>
          <t>Under Construction</t>
        </is>
      </c>
      <c r="F48" s="83" t="inlineStr">
        <is>
          <t>No</t>
        </is>
      </c>
      <c r="G48" s="49">
        <f>COUNTIF('01_Scheme_Tracker'!$B$4:$B$453,A48)</f>
        <v/>
      </c>
      <c r="H48" s="85">
        <f>SUMIF('01_Scheme_Tracker'!$B$4:$B$453,A48,'01_Scheme_Tracker'!$S$4:$S$453)</f>
        <v/>
      </c>
      <c r="I48" s="52" t="inlineStr">
        <is>
          <t>Sar-e- Pul</t>
        </is>
      </c>
      <c r="J48" s="52" t="inlineStr">
        <is>
          <t>Sozma Qala</t>
        </is>
      </c>
      <c r="K48" s="52" t="inlineStr">
        <is>
          <t>Under Construction</t>
        </is>
      </c>
      <c r="L48" s="54" t="n">
        <v>46070</v>
      </c>
      <c r="M48" s="54" t="n">
        <v>46403</v>
      </c>
      <c r="N48" s="52" t="inlineStr">
        <is>
          <t>Sakht shamal construction and road building company (SSCC)</t>
        </is>
      </c>
      <c r="O48" s="83" t="inlineStr">
        <is>
          <t>016/2026</t>
        </is>
      </c>
      <c r="P48" s="86" t="inlineStr">
        <is>
          <t>1.Awarded contracts_On&amp;off-farm</t>
        </is>
      </c>
    </row>
    <row r="49" ht="28" customHeight="1">
      <c r="A49" s="87" t="inlineStr">
        <is>
          <t>AF2-IS-36</t>
        </is>
      </c>
      <c r="B49" s="44" t="inlineStr">
        <is>
          <t>Package # 36-AF2 IS: Rehabilitation of Joy Shahr canal irrigation scheme, located in Aqcha district of Jawzjan province.</t>
        </is>
      </c>
      <c r="C49" s="44" t="inlineStr">
        <is>
          <t>Irrigation Scheme</t>
        </is>
      </c>
      <c r="D49" s="88" t="inlineStr">
        <is>
          <t>Not awarded</t>
        </is>
      </c>
      <c r="E49" s="97" t="inlineStr">
        <is>
          <t>Under LTO Review</t>
        </is>
      </c>
      <c r="F49" s="88" t="inlineStr">
        <is>
          <t>No</t>
        </is>
      </c>
      <c r="G49" s="49">
        <f>COUNTIF('01_Scheme_Tracker'!$B$4:$B$453,A49)</f>
        <v/>
      </c>
      <c r="H49" s="85">
        <f>SUMIF('01_Scheme_Tracker'!$B$4:$B$453,A49,'01_Scheme_Tracker'!$S$4:$S$453)</f>
        <v/>
      </c>
      <c r="I49" s="44" t="inlineStr">
        <is>
          <t>Jawzjan</t>
        </is>
      </c>
      <c r="J49" s="44" t="inlineStr">
        <is>
          <t>Aqcha</t>
        </is>
      </c>
      <c r="K49" s="44" t="inlineStr">
        <is>
          <t>Under LTO Review</t>
        </is>
      </c>
      <c r="L49" s="47" t="n">
        <v>46373</v>
      </c>
      <c r="M49" s="47" t="n">
        <v>46543</v>
      </c>
      <c r="N49" s="44" t="inlineStr"/>
      <c r="O49" s="88" t="inlineStr"/>
      <c r="P49" s="90" t="inlineStr">
        <is>
          <t>2.Remain contracts_On&amp;off-farm</t>
        </is>
      </c>
    </row>
    <row r="50" ht="28" customHeight="1">
      <c r="A50" s="82" t="inlineStr">
        <is>
          <t>AF2-IS-37</t>
        </is>
      </c>
      <c r="B50" s="52" t="inlineStr">
        <is>
          <t>Package #37-AF2 IS: Rehabilitation of Oshtorkhan/Ahangaran irrigation scheme, located in Firozkoh district of Ghor province.</t>
        </is>
      </c>
      <c r="C50" s="52" t="inlineStr">
        <is>
          <t>Irrigation Scheme</t>
        </is>
      </c>
      <c r="D50" s="83" t="inlineStr">
        <is>
          <t>Not awarded</t>
        </is>
      </c>
      <c r="E50" s="98" t="inlineStr">
        <is>
          <t>Under Design</t>
        </is>
      </c>
      <c r="F50" s="83" t="inlineStr">
        <is>
          <t>No</t>
        </is>
      </c>
      <c r="G50" s="49">
        <f>COUNTIF('01_Scheme_Tracker'!$B$4:$B$453,A50)</f>
        <v/>
      </c>
      <c r="H50" s="85">
        <f>SUMIF('01_Scheme_Tracker'!$B$4:$B$453,A50,'01_Scheme_Tracker'!$S$4:$S$453)</f>
        <v/>
      </c>
      <c r="I50" s="52" t="inlineStr">
        <is>
          <t>Ghor</t>
        </is>
      </c>
      <c r="J50" s="52" t="inlineStr">
        <is>
          <t>Firozkoh</t>
        </is>
      </c>
      <c r="K50" s="52" t="inlineStr">
        <is>
          <t>Under Design</t>
        </is>
      </c>
      <c r="L50" s="54" t="n">
        <v>46386</v>
      </c>
      <c r="M50" s="54" t="n">
        <v>46616</v>
      </c>
      <c r="N50" s="52" t="inlineStr"/>
      <c r="O50" s="83" t="inlineStr"/>
      <c r="P50" s="86" t="inlineStr">
        <is>
          <t>2.Remain contracts_On&amp;off-farm</t>
        </is>
      </c>
    </row>
    <row r="51" ht="28" customHeight="1">
      <c r="A51" s="87" t="inlineStr">
        <is>
          <t>AF2-IS-38</t>
        </is>
      </c>
      <c r="B51" s="44" t="inlineStr">
        <is>
          <t>Package #38-AF2 IS: Rehabilitation of Todanak Payen irrigation scheme, located in Farahrud Districts of Farah province.</t>
        </is>
      </c>
      <c r="C51" s="44" t="inlineStr">
        <is>
          <t>Irrigation Scheme</t>
        </is>
      </c>
      <c r="D51" s="88" t="inlineStr">
        <is>
          <t>Not awarded</t>
        </is>
      </c>
      <c r="E51" s="91" t="inlineStr">
        <is>
          <t>Under Review of WRI</t>
        </is>
      </c>
      <c r="F51" s="88" t="inlineStr">
        <is>
          <t>No</t>
        </is>
      </c>
      <c r="G51" s="49">
        <f>COUNTIF('01_Scheme_Tracker'!$B$4:$B$453,A51)</f>
        <v/>
      </c>
      <c r="H51" s="85">
        <f>SUMIF('01_Scheme_Tracker'!$B$4:$B$453,A51,'01_Scheme_Tracker'!$S$4:$S$453)</f>
        <v/>
      </c>
      <c r="I51" s="44" t="inlineStr">
        <is>
          <t>Farah</t>
        </is>
      </c>
      <c r="J51" s="44" t="inlineStr">
        <is>
          <t>Farahrud</t>
        </is>
      </c>
      <c r="K51" s="44" t="inlineStr">
        <is>
          <t>Under Review of WRI</t>
        </is>
      </c>
      <c r="L51" s="47" t="n">
        <v>46371</v>
      </c>
      <c r="M51" s="47" t="n">
        <v>46644</v>
      </c>
      <c r="N51" s="44" t="inlineStr"/>
      <c r="O51" s="88" t="inlineStr"/>
      <c r="P51" s="90" t="inlineStr">
        <is>
          <t>2.Remain contracts_On&amp;off-farm</t>
        </is>
      </c>
    </row>
    <row r="52" ht="28" customHeight="1">
      <c r="A52" s="82" t="inlineStr">
        <is>
          <t>AF2-IS-39</t>
        </is>
      </c>
      <c r="B52" s="52" t="inlineStr">
        <is>
          <t>Package #39-AF2 IS: Rehabilitation of Ludeenha and Joi Kar irrigation schemes in Bala Murghab districts of Badghis provinec.</t>
        </is>
      </c>
      <c r="C52" s="52" t="inlineStr">
        <is>
          <t>Irrigation Scheme</t>
        </is>
      </c>
      <c r="D52" s="83" t="inlineStr">
        <is>
          <t>Not awarded</t>
        </is>
      </c>
      <c r="E52" s="94" t="inlineStr">
        <is>
          <t>PR to be Raised</t>
        </is>
      </c>
      <c r="F52" s="83" t="inlineStr">
        <is>
          <t>No</t>
        </is>
      </c>
      <c r="G52" s="49">
        <f>COUNTIF('01_Scheme_Tracker'!$B$4:$B$453,A52)</f>
        <v/>
      </c>
      <c r="H52" s="85">
        <f>SUMIF('01_Scheme_Tracker'!$B$4:$B$453,A52,'01_Scheme_Tracker'!$S$4:$S$453)</f>
        <v/>
      </c>
      <c r="I52" s="52" t="inlineStr">
        <is>
          <t>Badghis</t>
        </is>
      </c>
      <c r="J52" s="52" t="inlineStr">
        <is>
          <t>Bala Murghab</t>
        </is>
      </c>
      <c r="K52" s="52" t="inlineStr">
        <is>
          <t>PR to be Raised</t>
        </is>
      </c>
      <c r="L52" s="54" t="n">
        <v>46386</v>
      </c>
      <c r="M52" s="54" t="n">
        <v>46626</v>
      </c>
      <c r="N52" s="52" t="inlineStr"/>
      <c r="O52" s="83" t="inlineStr"/>
      <c r="P52" s="86" t="inlineStr">
        <is>
          <t>2.Remain contracts_On&amp;off-farm</t>
        </is>
      </c>
    </row>
    <row r="53" ht="28" customHeight="1">
      <c r="A53" s="87" t="inlineStr">
        <is>
          <t>AF2-IS-40</t>
        </is>
      </c>
      <c r="B53" s="44" t="inlineStr">
        <is>
          <t>Package #40-AF2 IS: Rehabilitation of Loka Mazar irrigation schemes, located in Dawlatyar District of Ghor province.</t>
        </is>
      </c>
      <c r="C53" s="44" t="inlineStr">
        <is>
          <t>Irrigation Scheme</t>
        </is>
      </c>
      <c r="D53" s="88" t="inlineStr">
        <is>
          <t>Not awarded</t>
        </is>
      </c>
      <c r="E53" s="94" t="inlineStr">
        <is>
          <t>PR to be Raised</t>
        </is>
      </c>
      <c r="F53" s="88" t="inlineStr">
        <is>
          <t>No</t>
        </is>
      </c>
      <c r="G53" s="49">
        <f>COUNTIF('01_Scheme_Tracker'!$B$4:$B$453,A53)</f>
        <v/>
      </c>
      <c r="H53" s="85">
        <f>SUMIF('01_Scheme_Tracker'!$B$4:$B$453,A53,'01_Scheme_Tracker'!$S$4:$S$453)</f>
        <v/>
      </c>
      <c r="I53" s="44" t="inlineStr">
        <is>
          <t>Ghor</t>
        </is>
      </c>
      <c r="J53" s="44" t="inlineStr">
        <is>
          <t>Dawlatyar</t>
        </is>
      </c>
      <c r="K53" s="44" t="inlineStr">
        <is>
          <t>PR to be Raised</t>
        </is>
      </c>
      <c r="L53" s="47" t="n">
        <v>46387</v>
      </c>
      <c r="M53" s="47" t="n">
        <v>46627</v>
      </c>
      <c r="N53" s="44" t="inlineStr"/>
      <c r="O53" s="88" t="inlineStr"/>
      <c r="P53" s="90" t="inlineStr">
        <is>
          <t>2.Remain contracts_On&amp;off-farm</t>
        </is>
      </c>
    </row>
    <row r="54" ht="28" customHeight="1">
      <c r="A54" s="82" t="inlineStr">
        <is>
          <t>AF2-IS-41</t>
        </is>
      </c>
      <c r="B54" s="52" t="inlineStr">
        <is>
          <t>Package #41-AF2 IS: Rehabilitation of Madrasa irrigation schemes, located in Firozkoh district of Ghor province.</t>
        </is>
      </c>
      <c r="C54" s="52" t="inlineStr">
        <is>
          <t>Irrigation Scheme</t>
        </is>
      </c>
      <c r="D54" s="83" t="inlineStr">
        <is>
          <t>Not awarded</t>
        </is>
      </c>
      <c r="E54" s="98" t="inlineStr">
        <is>
          <t>Under Design</t>
        </is>
      </c>
      <c r="F54" s="83" t="inlineStr">
        <is>
          <t>No</t>
        </is>
      </c>
      <c r="G54" s="49">
        <f>COUNTIF('01_Scheme_Tracker'!$B$4:$B$453,A54)</f>
        <v/>
      </c>
      <c r="H54" s="85">
        <f>SUMIF('01_Scheme_Tracker'!$B$4:$B$453,A54,'01_Scheme_Tracker'!$S$4:$S$453)</f>
        <v/>
      </c>
      <c r="I54" s="52" t="inlineStr">
        <is>
          <t>Ghor</t>
        </is>
      </c>
      <c r="J54" s="52" t="inlineStr">
        <is>
          <t>Firozkoh</t>
        </is>
      </c>
      <c r="K54" s="52" t="inlineStr">
        <is>
          <t>Under Design</t>
        </is>
      </c>
      <c r="L54" s="54" t="n">
        <v>46376</v>
      </c>
      <c r="M54" s="54" t="n">
        <v>46616</v>
      </c>
      <c r="N54" s="52" t="inlineStr"/>
      <c r="O54" s="83" t="inlineStr"/>
      <c r="P54" s="86" t="inlineStr">
        <is>
          <t>2.Remain contracts_On&amp;off-farm</t>
        </is>
      </c>
    </row>
    <row r="55" ht="28" customHeight="1">
      <c r="A55" s="87" t="inlineStr">
        <is>
          <t>AF2-IS-42</t>
        </is>
      </c>
      <c r="B55" s="44" t="inlineStr">
        <is>
          <t>Package #42-AF2 IS: Rehabilitation of Zard Nai Charsapan Cluster Canal irrigation schemes, located in Sharrisatan district of Daykundi province.</t>
        </is>
      </c>
      <c r="C55" s="44" t="inlineStr">
        <is>
          <t>Irrigation Scheme</t>
        </is>
      </c>
      <c r="D55" s="88" t="inlineStr">
        <is>
          <t>Not awarded</t>
        </is>
      </c>
      <c r="E55" s="97" t="inlineStr">
        <is>
          <t>Under LTO Review</t>
        </is>
      </c>
      <c r="F55" s="88" t="inlineStr">
        <is>
          <t>No</t>
        </is>
      </c>
      <c r="G55" s="49">
        <f>COUNTIF('01_Scheme_Tracker'!$B$4:$B$453,A55)</f>
        <v/>
      </c>
      <c r="H55" s="85">
        <f>SUMIF('01_Scheme_Tracker'!$B$4:$B$453,A55,'01_Scheme_Tracker'!$S$4:$S$453)</f>
        <v/>
      </c>
      <c r="I55" s="44" t="inlineStr">
        <is>
          <t>Daykundi</t>
        </is>
      </c>
      <c r="J55" s="44" t="inlineStr">
        <is>
          <t>Shahristan</t>
        </is>
      </c>
      <c r="K55" s="44" t="inlineStr">
        <is>
          <t>Under LTO Review</t>
        </is>
      </c>
      <c r="L55" s="47" t="n">
        <v>46371</v>
      </c>
      <c r="M55" s="47" t="n">
        <v>46681</v>
      </c>
      <c r="N55" s="44" t="inlineStr"/>
      <c r="O55" s="88" t="inlineStr"/>
      <c r="P55" s="90" t="inlineStr">
        <is>
          <t>2.Remain contracts_On&amp;off-farm</t>
        </is>
      </c>
    </row>
    <row r="56" ht="28" customHeight="1">
      <c r="A56" s="82" t="inlineStr">
        <is>
          <t>AF2-IS-43</t>
        </is>
      </c>
      <c r="B56" s="52" t="inlineStr">
        <is>
          <t>Package #43-AF2 IS: Rehabilitation of Sar Nary canal irrigation scheme, located in Arghandab districts of Zabul province.</t>
        </is>
      </c>
      <c r="C56" s="52" t="inlineStr">
        <is>
          <t>Irrigation Scheme</t>
        </is>
      </c>
      <c r="D56" s="83" t="inlineStr">
        <is>
          <t>Not awarded</t>
        </is>
      </c>
      <c r="E56" s="98" t="inlineStr">
        <is>
          <t>Under Design</t>
        </is>
      </c>
      <c r="F56" s="83" t="inlineStr">
        <is>
          <t>No</t>
        </is>
      </c>
      <c r="G56" s="49">
        <f>COUNTIF('01_Scheme_Tracker'!$B$4:$B$453,A56)</f>
        <v/>
      </c>
      <c r="H56" s="85">
        <f>SUMIF('01_Scheme_Tracker'!$B$4:$B$453,A56,'01_Scheme_Tracker'!$S$4:$S$453)</f>
        <v/>
      </c>
      <c r="I56" s="52" t="inlineStr">
        <is>
          <t>Zabul</t>
        </is>
      </c>
      <c r="J56" s="52" t="inlineStr">
        <is>
          <t>Arghandab</t>
        </is>
      </c>
      <c r="K56" s="52" t="inlineStr">
        <is>
          <t>Under Design</t>
        </is>
      </c>
      <c r="L56" s="54" t="n">
        <v>46376</v>
      </c>
      <c r="M56" s="54" t="n">
        <v>46646</v>
      </c>
      <c r="N56" s="52" t="inlineStr"/>
      <c r="O56" s="83" t="inlineStr"/>
      <c r="P56" s="86" t="inlineStr">
        <is>
          <t>2.Remain contracts_On&amp;off-farm</t>
        </is>
      </c>
    </row>
    <row r="57" ht="28" customHeight="1">
      <c r="A57" s="87" t="inlineStr">
        <is>
          <t>AF2-IS-44</t>
        </is>
      </c>
      <c r="B57" s="44" t="inlineStr">
        <is>
          <t>Package #44-AF2 IS: Rehabilitation of Boghoz Qum canal irrigation schemes, located in Chahar Dara district of Kunduz province.</t>
        </is>
      </c>
      <c r="C57" s="44" t="inlineStr">
        <is>
          <t>Irrigation Scheme</t>
        </is>
      </c>
      <c r="D57" s="88" t="inlineStr">
        <is>
          <t>Not awarded</t>
        </is>
      </c>
      <c r="E57" s="94" t="inlineStr">
        <is>
          <t>PR to be Raised</t>
        </is>
      </c>
      <c r="F57" s="88" t="inlineStr">
        <is>
          <t>No</t>
        </is>
      </c>
      <c r="G57" s="49">
        <f>COUNTIF('01_Scheme_Tracker'!$B$4:$B$453,A57)</f>
        <v/>
      </c>
      <c r="H57" s="85">
        <f>SUMIF('01_Scheme_Tracker'!$B$4:$B$453,A57,'01_Scheme_Tracker'!$S$4:$S$453)</f>
        <v/>
      </c>
      <c r="I57" s="44" t="inlineStr">
        <is>
          <t>Kunduz</t>
        </is>
      </c>
      <c r="J57" s="44" t="inlineStr">
        <is>
          <t>Chahar Dara</t>
        </is>
      </c>
      <c r="K57" s="44" t="inlineStr">
        <is>
          <t>PR to be Raised</t>
        </is>
      </c>
      <c r="L57" s="47" t="n">
        <v>46351</v>
      </c>
      <c r="M57" s="47" t="n">
        <v>46651</v>
      </c>
      <c r="N57" s="44" t="inlineStr"/>
      <c r="O57" s="88" t="inlineStr"/>
      <c r="P57" s="90" t="inlineStr">
        <is>
          <t>2.Remain contracts_On&amp;off-farm</t>
        </is>
      </c>
    </row>
    <row r="58" ht="28" customHeight="1">
      <c r="A58" s="82" t="inlineStr">
        <is>
          <t>AF2-IS-45</t>
        </is>
      </c>
      <c r="B58" s="52" t="inlineStr">
        <is>
          <t>Package # 45-AF2 IS: Rehabilitation of Khushpak Markazi canals irrigation scheme, located in Ishkashim districts of Badakhshan province.</t>
        </is>
      </c>
      <c r="C58" s="52" t="inlineStr">
        <is>
          <t>Irrigation Scheme</t>
        </is>
      </c>
      <c r="D58" s="83" t="inlineStr">
        <is>
          <t>Not awarded</t>
        </is>
      </c>
      <c r="E58" s="94" t="inlineStr">
        <is>
          <t>PR to be Raised</t>
        </is>
      </c>
      <c r="F58" s="83" t="inlineStr">
        <is>
          <t>No</t>
        </is>
      </c>
      <c r="G58" s="49">
        <f>COUNTIF('01_Scheme_Tracker'!$B$4:$B$453,A58)</f>
        <v/>
      </c>
      <c r="H58" s="85">
        <f>SUMIF('01_Scheme_Tracker'!$B$4:$B$453,A58,'01_Scheme_Tracker'!$S$4:$S$453)</f>
        <v/>
      </c>
      <c r="I58" s="52" t="inlineStr">
        <is>
          <t>Badakhshan</t>
        </is>
      </c>
      <c r="J58" s="52" t="inlineStr">
        <is>
          <t>Ishkashim</t>
        </is>
      </c>
      <c r="K58" s="52" t="inlineStr">
        <is>
          <t>PR to be Raised</t>
        </is>
      </c>
      <c r="L58" s="54" t="n">
        <v>46400</v>
      </c>
      <c r="M58" s="54" t="n">
        <v>46610</v>
      </c>
      <c r="N58" s="52" t="inlineStr"/>
      <c r="O58" s="83" t="inlineStr"/>
      <c r="P58" s="86" t="inlineStr">
        <is>
          <t>2.Remain contracts_On&amp;off-farm</t>
        </is>
      </c>
    </row>
    <row r="59" ht="28" customHeight="1">
      <c r="A59" s="87" t="inlineStr">
        <is>
          <t>AF2-IS-46</t>
        </is>
      </c>
      <c r="B59" s="44" t="inlineStr">
        <is>
          <t>Package # 46-AF2 IS: Rehabilitation of Joy Shahr canal and Khanum Arabia canal irrigation schemes, located in Aqcha and Faizabad districts of Jawzjan province.</t>
        </is>
      </c>
      <c r="C59" s="44" t="inlineStr">
        <is>
          <t>Irrigation Scheme</t>
        </is>
      </c>
      <c r="D59" s="88" t="inlineStr">
        <is>
          <t>Not awarded</t>
        </is>
      </c>
      <c r="E59" s="97" t="inlineStr">
        <is>
          <t>Under LTO Review</t>
        </is>
      </c>
      <c r="F59" s="88" t="inlineStr">
        <is>
          <t>No</t>
        </is>
      </c>
      <c r="G59" s="49">
        <f>COUNTIF('01_Scheme_Tracker'!$B$4:$B$453,A59)</f>
        <v/>
      </c>
      <c r="H59" s="85">
        <f>SUMIF('01_Scheme_Tracker'!$B$4:$B$453,A59,'01_Scheme_Tracker'!$S$4:$S$453)</f>
        <v/>
      </c>
      <c r="I59" s="44" t="inlineStr">
        <is>
          <t>Jawzjan</t>
        </is>
      </c>
      <c r="J59" s="44" t="inlineStr">
        <is>
          <t>Faizabad</t>
        </is>
      </c>
      <c r="K59" s="44" t="inlineStr">
        <is>
          <t>Under LTO Review</t>
        </is>
      </c>
      <c r="L59" s="47" t="n">
        <v>46374</v>
      </c>
      <c r="M59" s="47" t="n">
        <v>46674</v>
      </c>
      <c r="N59" s="44" t="inlineStr"/>
      <c r="O59" s="88" t="inlineStr"/>
      <c r="P59" s="90" t="inlineStr">
        <is>
          <t>2.Remain contracts_On&amp;off-farm</t>
        </is>
      </c>
    </row>
    <row r="60" ht="28" customHeight="1">
      <c r="A60" s="82" t="inlineStr">
        <is>
          <t>AF2-LLL-ALL</t>
        </is>
      </c>
      <c r="B60" s="52" t="inlineStr">
        <is>
          <t>EFSP-AF2 LLL supply and delivery (50 units)</t>
        </is>
      </c>
      <c r="C60" s="52" t="inlineStr">
        <is>
          <t>Laser Land Leveler (LLL)</t>
        </is>
      </c>
      <c r="D60" s="83" t="inlineStr">
        <is>
          <t>Not awarded</t>
        </is>
      </c>
      <c r="E60" s="84" t="inlineStr">
        <is>
          <t>Under Awarding</t>
        </is>
      </c>
      <c r="F60" s="83" t="inlineStr">
        <is>
          <t>No</t>
        </is>
      </c>
      <c r="G60" s="49">
        <f>COUNTIF('01_Scheme_Tracker'!$B$4:$B$453,A60)</f>
        <v/>
      </c>
      <c r="H60" s="85">
        <f>SUMIF('01_Scheme_Tracker'!$B$4:$B$453,A60,'01_Scheme_Tracker'!$S$4:$S$453)</f>
        <v/>
      </c>
      <c r="I60" s="52" t="inlineStr">
        <is>
          <t>Balklh, Takhar, Herat, Laghman, Sar-E-Pul, Kunduz, Nangarhar, Samangan, Paktya, Parwan, Faryab, Ghor, Badghis, Jawzjan, Kabul, Baghlan, Kunar, Badakhshan, Logar, Midan Wardak, Paktika, Helamand, Farah, Ghazni, Urozgan, Kapisa, Kandahar, Zabul, Khost, Bamyan</t>
        </is>
      </c>
      <c r="J60" s="52" t="inlineStr">
        <is>
          <t>Chimtal, Khwaja Ghar, Karukh, Alingar, Sozma Qala, Char Dara, Lalpoora, Dara-e-Suf-e-Payeen, Zurmat, Jabul Saraj, Qaisar, Dawlatyar, Obe, Balamorghab, Aqcha, Qarabagh, Firing, Faizabad, Eshkamish, Khas kunar, Ishkashim, Kharwar, Dara-e-Suf-e-Bala, Hesa Awal Behsood, Yousif Khail, Nahri Siraj, Farah, Ghazni, Mehtherlam, Khas Urozgan, Khogiani, Qala-E-Wazir, Nijrab, Zinda Jan, Deh Sala, Spin Boldak, Pashton Zarghon, Tala Wa Barfak, Khak e Afghan, Shawalikot, Matoon, Bamiyan, Kalakan</t>
        </is>
      </c>
      <c r="K60" s="52" t="inlineStr">
        <is>
          <t>Under Awarding</t>
        </is>
      </c>
      <c r="L60" s="54" t="n">
        <v>46325</v>
      </c>
      <c r="M60" s="54" t="n">
        <v>46418</v>
      </c>
      <c r="N60" s="52" t="inlineStr"/>
      <c r="O60" s="83" t="inlineStr"/>
      <c r="P60" s="86" t="inlineStr">
        <is>
          <t>6. Supply and delivery of LLL</t>
        </is>
      </c>
    </row>
    <row r="61" ht="28" customHeight="1">
      <c r="A61" s="87" t="inlineStr">
        <is>
          <t>AF2-WSM-01</t>
        </is>
      </c>
      <c r="B61" s="44" t="inlineStr">
        <is>
          <t>Package #1-AF2 WSM: Construction of Dara Garmak Check dam, located in Qadis districts of Badghis province</t>
        </is>
      </c>
      <c r="C61" s="44" t="inlineStr">
        <is>
          <t>Watershed Management</t>
        </is>
      </c>
      <c r="D61" s="88" t="inlineStr">
        <is>
          <t>Not awarded</t>
        </is>
      </c>
      <c r="E61" s="94" t="inlineStr">
        <is>
          <t>PR to be Raised</t>
        </is>
      </c>
      <c r="F61" s="88" t="inlineStr">
        <is>
          <t>No</t>
        </is>
      </c>
      <c r="G61" s="49">
        <f>COUNTIF('01_Scheme_Tracker'!$B$4:$B$453,A61)</f>
        <v/>
      </c>
      <c r="H61" s="85">
        <f>SUMIF('01_Scheme_Tracker'!$B$4:$B$453,A61,'01_Scheme_Tracker'!$S$4:$S$453)</f>
        <v/>
      </c>
      <c r="I61" s="44" t="inlineStr">
        <is>
          <t>Badghis</t>
        </is>
      </c>
      <c r="J61" s="44" t="inlineStr">
        <is>
          <t>Qadis</t>
        </is>
      </c>
      <c r="K61" s="44" t="inlineStr">
        <is>
          <t>PR to be Raised</t>
        </is>
      </c>
      <c r="L61" s="47" t="n">
        <v>46361</v>
      </c>
      <c r="M61" s="47" t="n">
        <v>46631</v>
      </c>
      <c r="N61" s="44" t="inlineStr"/>
      <c r="O61" s="88" t="inlineStr"/>
      <c r="P61" s="90" t="inlineStr">
        <is>
          <t>4.WSM remaining contracts</t>
        </is>
      </c>
    </row>
    <row r="62" ht="28" customHeight="1">
      <c r="A62" s="82" t="inlineStr">
        <is>
          <t>AF2-WSM-02</t>
        </is>
      </c>
      <c r="B62" s="52" t="inlineStr">
        <is>
          <t>Package #2 -AF2 WSM: Construction of 1. Dareh Shah Toot-1, 2. Dareh ShahToot-2, and 3. Jar Sono check dams in Obe District of Herat Province</t>
        </is>
      </c>
      <c r="C62" s="52" t="inlineStr">
        <is>
          <t>Watershed Management</t>
        </is>
      </c>
      <c r="D62" s="83" t="inlineStr">
        <is>
          <t>Awarded</t>
        </is>
      </c>
      <c r="E62" s="93" t="inlineStr">
        <is>
          <t>Under Construction</t>
        </is>
      </c>
      <c r="F62" s="83" t="inlineStr">
        <is>
          <t>No</t>
        </is>
      </c>
      <c r="G62" s="49">
        <f>COUNTIF('01_Scheme_Tracker'!$B$4:$B$453,A62)</f>
        <v/>
      </c>
      <c r="H62" s="85">
        <f>SUMIF('01_Scheme_Tracker'!$B$4:$B$453,A62,'01_Scheme_Tracker'!$S$4:$S$453)</f>
        <v/>
      </c>
      <c r="I62" s="52" t="inlineStr">
        <is>
          <t>Herat</t>
        </is>
      </c>
      <c r="J62" s="52" t="inlineStr">
        <is>
          <t>Obe</t>
        </is>
      </c>
      <c r="K62" s="52" t="inlineStr">
        <is>
          <t>Under Construction</t>
        </is>
      </c>
      <c r="L62" s="54" t="n">
        <v>46062</v>
      </c>
      <c r="M62" s="54" t="n">
        <v>46364</v>
      </c>
      <c r="N62" s="52" t="inlineStr">
        <is>
          <t>Shams Afghan Vision Construction and Logistic Services (SAVCC)</t>
        </is>
      </c>
      <c r="O62" s="83" t="inlineStr">
        <is>
          <t>014/2026</t>
        </is>
      </c>
      <c r="P62" s="86" t="inlineStr">
        <is>
          <t>3.WSM awarded contracts</t>
        </is>
      </c>
    </row>
    <row r="63" ht="28" customHeight="1">
      <c r="A63" s="87" t="inlineStr">
        <is>
          <t>AF2-WSM-03</t>
        </is>
      </c>
      <c r="B63" s="44" t="inlineStr">
        <is>
          <t>Package #3 -AF2 WSM: Construction of Koklam three Check Dams (# 1, # 2 and # 3 ) in Kushk-e-Kohna District of Herat Province</t>
        </is>
      </c>
      <c r="C63" s="44" t="inlineStr">
        <is>
          <t>Watershed Management</t>
        </is>
      </c>
      <c r="D63" s="88" t="inlineStr">
        <is>
          <t>Awarded</t>
        </is>
      </c>
      <c r="E63" s="93" t="inlineStr">
        <is>
          <t>Under Construction</t>
        </is>
      </c>
      <c r="F63" s="88" t="inlineStr">
        <is>
          <t>No</t>
        </is>
      </c>
      <c r="G63" s="49">
        <f>COUNTIF('01_Scheme_Tracker'!$B$4:$B$453,A63)</f>
        <v/>
      </c>
      <c r="H63" s="85">
        <f>SUMIF('01_Scheme_Tracker'!$B$4:$B$453,A63,'01_Scheme_Tracker'!$S$4:$S$453)</f>
        <v/>
      </c>
      <c r="I63" s="44" t="inlineStr">
        <is>
          <t>Herat</t>
        </is>
      </c>
      <c r="J63" s="44" t="inlineStr">
        <is>
          <t>Koshk-e-Kohna</t>
        </is>
      </c>
      <c r="K63" s="44" t="inlineStr">
        <is>
          <t>Under Construction</t>
        </is>
      </c>
      <c r="L63" s="47" t="n">
        <v>46043</v>
      </c>
      <c r="M63" s="47" t="n">
        <v>46346</v>
      </c>
      <c r="N63" s="44" t="inlineStr">
        <is>
          <t>Afghan Aakam Construction and Road Company. JV with D- Amini Mashwani Construction Company (AACC)</t>
        </is>
      </c>
      <c r="O63" s="88" t="inlineStr">
        <is>
          <t>006/2026</t>
        </is>
      </c>
      <c r="P63" s="90" t="inlineStr">
        <is>
          <t>3.WSM awarded contracts</t>
        </is>
      </c>
    </row>
    <row r="64" ht="28" customHeight="1">
      <c r="A64" s="82" t="inlineStr">
        <is>
          <t>AF2-WSM-04</t>
        </is>
      </c>
      <c r="B64" s="52" t="inlineStr">
        <is>
          <t>Package #4-AF2 WSM: Construction of .Qalai Gerd check dam in Firozkoh dustrict of Ghor province.</t>
        </is>
      </c>
      <c r="C64" s="52" t="inlineStr">
        <is>
          <t>Watershed Management</t>
        </is>
      </c>
      <c r="D64" s="83" t="inlineStr">
        <is>
          <t>Not awarded</t>
        </is>
      </c>
      <c r="E64" s="94" t="inlineStr">
        <is>
          <t>PR to be Raised</t>
        </is>
      </c>
      <c r="F64" s="83" t="inlineStr">
        <is>
          <t>No</t>
        </is>
      </c>
      <c r="G64" s="49">
        <f>COUNTIF('01_Scheme_Tracker'!$B$4:$B$453,A64)</f>
        <v/>
      </c>
      <c r="H64" s="85">
        <f>SUMIF('01_Scheme_Tracker'!$B$4:$B$453,A64,'01_Scheme_Tracker'!$S$4:$S$453)</f>
        <v/>
      </c>
      <c r="I64" s="52" t="inlineStr">
        <is>
          <t>Ghor</t>
        </is>
      </c>
      <c r="J64" s="52" t="inlineStr">
        <is>
          <t>Firozkoh</t>
        </is>
      </c>
      <c r="K64" s="52" t="inlineStr">
        <is>
          <t>PR to be Raised</t>
        </is>
      </c>
      <c r="L64" s="54" t="n">
        <v>46366</v>
      </c>
      <c r="M64" s="54" t="n">
        <v>46666</v>
      </c>
      <c r="N64" s="52" t="inlineStr"/>
      <c r="O64" s="83" t="inlineStr"/>
      <c r="P64" s="86" t="inlineStr">
        <is>
          <t>4.WSM remaining contracts</t>
        </is>
      </c>
    </row>
    <row r="65" ht="28" customHeight="1">
      <c r="A65" s="87" t="inlineStr">
        <is>
          <t>AF2-WSM-05</t>
        </is>
      </c>
      <c r="B65" s="44" t="inlineStr">
        <is>
          <t>Package #5-AF2 WSM/Part-2: Construction of 4 Check dams of 1.Farman Khil and 2.Kharoti in Qarghaee district of Laghman province; 3. Lokhy Solozi and 4. Lala Kali in Chaparhar districts of Nangarhar province.</t>
        </is>
      </c>
      <c r="C65" s="44" t="inlineStr">
        <is>
          <t>Watershed Management</t>
        </is>
      </c>
      <c r="D65" s="88" t="inlineStr">
        <is>
          <t>Awarded</t>
        </is>
      </c>
      <c r="E65" s="96" t="inlineStr">
        <is>
          <t>Awarded</t>
        </is>
      </c>
      <c r="F65" s="88" t="inlineStr">
        <is>
          <t>Yes</t>
        </is>
      </c>
      <c r="G65" s="49">
        <f>COUNTIF('01_Scheme_Tracker'!$B$4:$B$453,A65)</f>
        <v/>
      </c>
      <c r="H65" s="85">
        <f>SUMIF('01_Scheme_Tracker'!$B$4:$B$453,A65,'01_Scheme_Tracker'!$S$4:$S$453)</f>
        <v/>
      </c>
      <c r="I65" s="44" t="inlineStr">
        <is>
          <t>Laghman, Nangarhar</t>
        </is>
      </c>
      <c r="J65" s="44" t="inlineStr">
        <is>
          <t>Qarghaee, Chaparhar</t>
        </is>
      </c>
      <c r="K65" s="44" t="inlineStr">
        <is>
          <t>Under Construction, Awarded</t>
        </is>
      </c>
      <c r="L65" s="47" t="n">
        <v>46172</v>
      </c>
      <c r="M65" s="47" t="n">
        <v>46324</v>
      </c>
      <c r="N65" s="44" t="inlineStr">
        <is>
          <t>Khaliqi Building &amp; Road Construction Company (KBRCC)</t>
        </is>
      </c>
      <c r="O65" s="88" t="inlineStr">
        <is>
          <t>040/2026</t>
        </is>
      </c>
      <c r="P65" s="90" t="inlineStr">
        <is>
          <t>3.WSM awarded contracts</t>
        </is>
      </c>
    </row>
    <row r="66" ht="28" customHeight="1">
      <c r="A66" s="82" t="inlineStr">
        <is>
          <t>AF2-WSM-06</t>
        </is>
      </c>
      <c r="B66" s="52" t="inlineStr">
        <is>
          <t>Package #6-AF2 WSM: Construction of Jarobi Tangi, Chaghari and Adore check dams, located in Shirzad, Rodat, and Khogyani, districts of Nangarhar province.</t>
        </is>
      </c>
      <c r="C66" s="52" t="inlineStr">
        <is>
          <t>Watershed Management</t>
        </is>
      </c>
      <c r="D66" s="83" t="inlineStr">
        <is>
          <t>Awarded</t>
        </is>
      </c>
      <c r="E66" s="92" t="inlineStr">
        <is>
          <t>Completed / Handover</t>
        </is>
      </c>
      <c r="F66" s="83" t="inlineStr">
        <is>
          <t>No</t>
        </is>
      </c>
      <c r="G66" s="49">
        <f>COUNTIF('01_Scheme_Tracker'!$B$4:$B$453,A66)</f>
        <v/>
      </c>
      <c r="H66" s="85">
        <f>SUMIF('01_Scheme_Tracker'!$B$4:$B$453,A66,'01_Scheme_Tracker'!$S$4:$S$453)</f>
        <v/>
      </c>
      <c r="I66" s="52" t="inlineStr">
        <is>
          <t>Nangarhar</t>
        </is>
      </c>
      <c r="J66" s="52" t="inlineStr">
        <is>
          <t>Sherzad, Rodat, Khogyani</t>
        </is>
      </c>
      <c r="K66" s="52" t="inlineStr">
        <is>
          <t>Completed / Handover</t>
        </is>
      </c>
      <c r="L66" s="54" t="n">
        <v>46014</v>
      </c>
      <c r="M66" s="54" t="n">
        <v>46225</v>
      </c>
      <c r="N66" s="52" t="inlineStr">
        <is>
          <t>Naeemi Safi Construction &amp; Construction Material Company (NSCC)</t>
        </is>
      </c>
      <c r="O66" s="83" t="inlineStr">
        <is>
          <t>065/2026</t>
        </is>
      </c>
      <c r="P66" s="86" t="inlineStr">
        <is>
          <t>3.WSM awarded contracts</t>
        </is>
      </c>
    </row>
    <row r="67" ht="28" customHeight="1">
      <c r="A67" s="87" t="inlineStr">
        <is>
          <t>AF2-WSM-07</t>
        </is>
      </c>
      <c r="B67" s="44" t="inlineStr">
        <is>
          <t>Package #7-AF2 WSM: Construction of 3 Check dams of 1.Dargrak, 2. Migano, and 3.Lachagali the Sawkai, Khas Kunar and Narang districts of Kunar province.</t>
        </is>
      </c>
      <c r="C67" s="44" t="inlineStr">
        <is>
          <t>Watershed Management</t>
        </is>
      </c>
      <c r="D67" s="88" t="inlineStr">
        <is>
          <t>Awarded</t>
        </is>
      </c>
      <c r="E67" s="96" t="inlineStr">
        <is>
          <t>Awarded</t>
        </is>
      </c>
      <c r="F67" s="88" t="inlineStr">
        <is>
          <t>No</t>
        </is>
      </c>
      <c r="G67" s="49">
        <f>COUNTIF('01_Scheme_Tracker'!$B$4:$B$453,A67)</f>
        <v/>
      </c>
      <c r="H67" s="85">
        <f>SUMIF('01_Scheme_Tracker'!$B$4:$B$453,A67,'01_Scheme_Tracker'!$S$4:$S$453)</f>
        <v/>
      </c>
      <c r="I67" s="44" t="inlineStr">
        <is>
          <t>Kunar</t>
        </is>
      </c>
      <c r="J67" s="44" t="inlineStr">
        <is>
          <t>Sawkai, Narang, Khas Kunar</t>
        </is>
      </c>
      <c r="K67" s="44" t="inlineStr">
        <is>
          <t>Awarded</t>
        </is>
      </c>
      <c r="L67" s="47" t="n">
        <v>46306</v>
      </c>
      <c r="M67" s="47" t="n">
        <v>46456</v>
      </c>
      <c r="N67" s="44" t="inlineStr">
        <is>
          <t>Green Bentley construction Company (GBCC)</t>
        </is>
      </c>
      <c r="O67" s="88" t="inlineStr">
        <is>
          <t>064/2026</t>
        </is>
      </c>
      <c r="P67" s="90" t="inlineStr">
        <is>
          <t>3.WSM awarded contracts</t>
        </is>
      </c>
    </row>
    <row r="68" ht="28" customHeight="1">
      <c r="A68" s="82" t="inlineStr">
        <is>
          <t>AF2-WSM-08</t>
        </is>
      </c>
      <c r="B68" s="52" t="inlineStr">
        <is>
          <t>Package #8-AF2 WSM: Construction of 1.Ghazgai Check dam in Khake Jabar districts, 2.Toop Dara Check dam and 3.Toot Dara Check dam in Center/ 13th City district Kabul province.</t>
        </is>
      </c>
      <c r="C68" s="52" t="inlineStr">
        <is>
          <t>Watershed Management</t>
        </is>
      </c>
      <c r="D68" s="83" t="inlineStr">
        <is>
          <t>Awarded</t>
        </is>
      </c>
      <c r="E68" s="92" t="inlineStr">
        <is>
          <t>Completed / Handover</t>
        </is>
      </c>
      <c r="F68" s="83" t="inlineStr">
        <is>
          <t>No</t>
        </is>
      </c>
      <c r="G68" s="49">
        <f>COUNTIF('01_Scheme_Tracker'!$B$4:$B$453,A68)</f>
        <v/>
      </c>
      <c r="H68" s="85">
        <f>SUMIF('01_Scheme_Tracker'!$B$4:$B$453,A68,'01_Scheme_Tracker'!$S$4:$S$453)</f>
        <v/>
      </c>
      <c r="I68" s="52" t="inlineStr">
        <is>
          <t>Kabul</t>
        </is>
      </c>
      <c r="J68" s="52" t="inlineStr">
        <is>
          <t>Center, Khake Jabar</t>
        </is>
      </c>
      <c r="K68" s="52" t="inlineStr">
        <is>
          <t>Completed / Handover</t>
        </is>
      </c>
      <c r="L68" s="54" t="n">
        <v>46042</v>
      </c>
      <c r="M68" s="54" t="n">
        <v>46253</v>
      </c>
      <c r="N68" s="52" t="inlineStr">
        <is>
          <t>ALTIN CONSTRUCTION AND ROAD BUILDING COMPANY (ACC)</t>
        </is>
      </c>
      <c r="O68" s="83" t="inlineStr">
        <is>
          <t>005/2026</t>
        </is>
      </c>
      <c r="P68" s="86" t="inlineStr">
        <is>
          <t>3.WSM awarded contracts</t>
        </is>
      </c>
    </row>
    <row r="69" ht="28" customHeight="1">
      <c r="A69" s="87" t="inlineStr">
        <is>
          <t>AF2-WSM-09</t>
        </is>
      </c>
      <c r="B69" s="44" t="inlineStr">
        <is>
          <t>Package #9-AF2 WSM: Construction of 1.Aka Khil Check dam and 2. Sra Qala Check dam in Sayed district, 3.Khar Check dam and 4.Mardala Check dam, located in Jaghatu districts of Wardak province.</t>
        </is>
      </c>
      <c r="C69" s="44" t="inlineStr">
        <is>
          <t>Watershed Management</t>
        </is>
      </c>
      <c r="D69" s="88" t="inlineStr">
        <is>
          <t>Awarded</t>
        </is>
      </c>
      <c r="E69" s="92" t="inlineStr">
        <is>
          <t>Completed / Handover</t>
        </is>
      </c>
      <c r="F69" s="88" t="inlineStr">
        <is>
          <t>No</t>
        </is>
      </c>
      <c r="G69" s="49">
        <f>COUNTIF('01_Scheme_Tracker'!$B$4:$B$453,A69)</f>
        <v/>
      </c>
      <c r="H69" s="85">
        <f>SUMIF('01_Scheme_Tracker'!$B$4:$B$453,A69,'01_Scheme_Tracker'!$S$4:$S$453)</f>
        <v/>
      </c>
      <c r="I69" s="44" t="inlineStr">
        <is>
          <t>Maidan Wardak</t>
        </is>
      </c>
      <c r="J69" s="44" t="inlineStr">
        <is>
          <t>Sayed Abad, Jaghatu</t>
        </is>
      </c>
      <c r="K69" s="44" t="inlineStr">
        <is>
          <t>Completed / Handover</t>
        </is>
      </c>
      <c r="L69" s="47" t="n">
        <v>46091</v>
      </c>
      <c r="M69" s="47" t="n">
        <v>46303</v>
      </c>
      <c r="N69" s="44" t="inlineStr">
        <is>
          <t>Sayed Abad Construction Company (SACC)</t>
        </is>
      </c>
      <c r="O69" s="88" t="inlineStr">
        <is>
          <t>021/2026</t>
        </is>
      </c>
      <c r="P69" s="90" t="inlineStr">
        <is>
          <t>3.WSM awarded contracts</t>
        </is>
      </c>
    </row>
    <row r="70" ht="28" customHeight="1">
      <c r="A70" s="82" t="inlineStr">
        <is>
          <t>AF2-WSM-10</t>
        </is>
      </c>
      <c r="B70" s="52" t="inlineStr">
        <is>
          <t>Package #10-AF2 WSM: Construction of Loy Shenkai Check dams # 1 and # 2 in Tagab district, and Shahr-e-Naw Check dam # 3 located in Nijrab districts of Kapisa province.</t>
        </is>
      </c>
      <c r="C70" s="52" t="inlineStr">
        <is>
          <t>Watershed Management</t>
        </is>
      </c>
      <c r="D70" s="83" t="inlineStr">
        <is>
          <t>Awarded</t>
        </is>
      </c>
      <c r="E70" s="92" t="inlineStr">
        <is>
          <t>Completed / Handover</t>
        </is>
      </c>
      <c r="F70" s="83" t="inlineStr">
        <is>
          <t>No</t>
        </is>
      </c>
      <c r="G70" s="49">
        <f>COUNTIF('01_Scheme_Tracker'!$B$4:$B$453,A70)</f>
        <v/>
      </c>
      <c r="H70" s="85">
        <f>SUMIF('01_Scheme_Tracker'!$B$4:$B$453,A70,'01_Scheme_Tracker'!$S$4:$S$453)</f>
        <v/>
      </c>
      <c r="I70" s="52" t="inlineStr">
        <is>
          <t>Kapisa</t>
        </is>
      </c>
      <c r="J70" s="52" t="inlineStr">
        <is>
          <t>Tagab, Nijrab</t>
        </is>
      </c>
      <c r="K70" s="52" t="inlineStr">
        <is>
          <t>Completed / Handover</t>
        </is>
      </c>
      <c r="L70" s="54" t="n">
        <v>46090</v>
      </c>
      <c r="M70" s="54" t="n">
        <v>46273</v>
      </c>
      <c r="N70" s="52" t="inlineStr">
        <is>
          <t>Kapisa Kohna Dah Construction Company (KKCC)</t>
        </is>
      </c>
      <c r="O70" s="83" t="inlineStr">
        <is>
          <t>020/2026</t>
        </is>
      </c>
      <c r="P70" s="86" t="inlineStr">
        <is>
          <t>3.WSM awarded contracts</t>
        </is>
      </c>
    </row>
    <row r="71" ht="28" customHeight="1">
      <c r="A71" s="87" t="inlineStr">
        <is>
          <t>AF2-WSM-11</t>
        </is>
      </c>
      <c r="B71" s="44" t="inlineStr">
        <is>
          <t>Package #11-AF2 WSM: Construction of 3 Check dams 1.Wolangak in Shikh Ali, 2.Sanzalai, and 3.Sharkai Olia in Koh-e-Safi district of Parwan province.</t>
        </is>
      </c>
      <c r="C71" s="44" t="inlineStr">
        <is>
          <t>Watershed Management</t>
        </is>
      </c>
      <c r="D71" s="88" t="inlineStr">
        <is>
          <t>Awarded</t>
        </is>
      </c>
      <c r="E71" s="96" t="inlineStr">
        <is>
          <t>Awarded</t>
        </is>
      </c>
      <c r="F71" s="88" t="inlineStr">
        <is>
          <t>Yes</t>
        </is>
      </c>
      <c r="G71" s="49">
        <f>COUNTIF('01_Scheme_Tracker'!$B$4:$B$453,A71)</f>
        <v/>
      </c>
      <c r="H71" s="85">
        <f>SUMIF('01_Scheme_Tracker'!$B$4:$B$453,A71,'01_Scheme_Tracker'!$S$4:$S$453)</f>
        <v/>
      </c>
      <c r="I71" s="44" t="inlineStr">
        <is>
          <t>Parwan</t>
        </is>
      </c>
      <c r="J71" s="44" t="inlineStr">
        <is>
          <t>Koh-e-Safi, Shikh Ali</t>
        </is>
      </c>
      <c r="K71" s="44" t="inlineStr">
        <is>
          <t>Under Construction, Awarded</t>
        </is>
      </c>
      <c r="L71" s="47" t="n">
        <v>46197</v>
      </c>
      <c r="M71" s="47" t="n">
        <v>46349</v>
      </c>
      <c r="N71" s="44" t="inlineStr">
        <is>
          <t>Hemat Ghorzang Construction &amp; Logistic Service Company (HGCC)</t>
        </is>
      </c>
      <c r="O71" s="88" t="inlineStr">
        <is>
          <t>043/2026</t>
        </is>
      </c>
      <c r="P71" s="90" t="inlineStr">
        <is>
          <t>3.WSM awarded contracts</t>
        </is>
      </c>
    </row>
    <row r="72" ht="28" customHeight="1">
      <c r="A72" s="82" t="inlineStr">
        <is>
          <t>AF2-WSM-12</t>
        </is>
      </c>
      <c r="B72" s="52" t="inlineStr">
        <is>
          <t>Package #12-AF2 WSM: Construction of 4 Check dams 1. Qoli Ghafoor, 2. Dara-e-Qala-e-Qazi in PD#13 Kabul city, 3.Gul Mohammad and 4.Qala-e-Shah Mahmood in Deh Sabz district of Kabul province.</t>
        </is>
      </c>
      <c r="C72" s="52" t="inlineStr">
        <is>
          <t>Watershed Management</t>
        </is>
      </c>
      <c r="D72" s="83" t="inlineStr">
        <is>
          <t>Not awarded</t>
        </is>
      </c>
      <c r="E72" s="94" t="inlineStr">
        <is>
          <t>PR to be Raised</t>
        </is>
      </c>
      <c r="F72" s="83" t="inlineStr">
        <is>
          <t>No</t>
        </is>
      </c>
      <c r="G72" s="49">
        <f>COUNTIF('01_Scheme_Tracker'!$B$4:$B$453,A72)</f>
        <v/>
      </c>
      <c r="H72" s="85">
        <f>SUMIF('01_Scheme_Tracker'!$B$4:$B$453,A72,'01_Scheme_Tracker'!$S$4:$S$453)</f>
        <v/>
      </c>
      <c r="I72" s="52" t="inlineStr">
        <is>
          <t>Kabul</t>
        </is>
      </c>
      <c r="J72" s="52" t="inlineStr">
        <is>
          <t>Deh Sabz, PD#13 Kabul</t>
        </is>
      </c>
      <c r="K72" s="52" t="inlineStr">
        <is>
          <t>PR to be Raised</t>
        </is>
      </c>
      <c r="L72" s="54" t="n">
        <v>46371</v>
      </c>
      <c r="M72" s="54" t="n">
        <v>46641</v>
      </c>
      <c r="N72" s="52" t="inlineStr"/>
      <c r="O72" s="83" t="inlineStr"/>
      <c r="P72" s="86" t="inlineStr">
        <is>
          <t>4.WSM remaining contracts</t>
        </is>
      </c>
    </row>
    <row r="73" ht="28" customHeight="1">
      <c r="A73" s="87" t="inlineStr">
        <is>
          <t>AF2-WSM-13</t>
        </is>
      </c>
      <c r="B73" s="44" t="inlineStr">
        <is>
          <t>Package #13-AF2 WSM: Construction of 4 Check Dams in 4 district sites of 1.Kata Khana in Yakawlang , 2. Nawora in Panjab, 3.Nahorak in Waras, and 4.Bayani in Sayghan districts of Bamyan province</t>
        </is>
      </c>
      <c r="C73" s="44" t="inlineStr">
        <is>
          <t>Watershed Management</t>
        </is>
      </c>
      <c r="D73" s="88" t="inlineStr">
        <is>
          <t>Awarded</t>
        </is>
      </c>
      <c r="E73" s="93" t="inlineStr">
        <is>
          <t>Under Construction</t>
        </is>
      </c>
      <c r="F73" s="88" t="inlineStr">
        <is>
          <t>No</t>
        </is>
      </c>
      <c r="G73" s="49">
        <f>COUNTIF('01_Scheme_Tracker'!$B$4:$B$453,A73)</f>
        <v/>
      </c>
      <c r="H73" s="85">
        <f>SUMIF('01_Scheme_Tracker'!$B$4:$B$453,A73,'01_Scheme_Tracker'!$S$4:$S$453)</f>
        <v/>
      </c>
      <c r="I73" s="44" t="inlineStr">
        <is>
          <t>Bamyan</t>
        </is>
      </c>
      <c r="J73" s="44" t="inlineStr">
        <is>
          <t>Yakawalang, Panjab, Waras, Sayghan</t>
        </is>
      </c>
      <c r="K73" s="44" t="inlineStr">
        <is>
          <t>Under Construction</t>
        </is>
      </c>
      <c r="L73" s="47" t="n">
        <v>46225</v>
      </c>
      <c r="M73" s="47" t="n">
        <v>46439</v>
      </c>
      <c r="N73" s="44" t="inlineStr">
        <is>
          <t>Estehkam Baba Construction and Road Construction Company (EBCC)</t>
        </is>
      </c>
      <c r="O73" s="88" t="inlineStr">
        <is>
          <t>051/2026</t>
        </is>
      </c>
      <c r="P73" s="90" t="inlineStr">
        <is>
          <t>3.WSM awarded contracts</t>
        </is>
      </c>
    </row>
    <row r="74" ht="28" customHeight="1">
      <c r="A74" s="82" t="inlineStr">
        <is>
          <t>AF2-WSM-14</t>
        </is>
      </c>
      <c r="B74" s="52" t="inlineStr">
        <is>
          <t>Package #14-AF2 WSM: Construction of 1.Shahristan Check dama in Shahristan district, 2.Miramor Check dam in Miramor district, and 3.Khidir Check dams in Khidir districts of Daykundi province.</t>
        </is>
      </c>
      <c r="C74" s="52" t="inlineStr">
        <is>
          <t>Watershed Management</t>
        </is>
      </c>
      <c r="D74" s="83" t="inlineStr">
        <is>
          <t>Awarded</t>
        </is>
      </c>
      <c r="E74" s="92" t="inlineStr">
        <is>
          <t>Completed / Handover</t>
        </is>
      </c>
      <c r="F74" s="83" t="inlineStr">
        <is>
          <t>No</t>
        </is>
      </c>
      <c r="G74" s="49">
        <f>COUNTIF('01_Scheme_Tracker'!$B$4:$B$453,A74)</f>
        <v/>
      </c>
      <c r="H74" s="85">
        <f>SUMIF('01_Scheme_Tracker'!$B$4:$B$453,A74,'01_Scheme_Tracker'!$S$4:$S$453)</f>
        <v/>
      </c>
      <c r="I74" s="52" t="inlineStr">
        <is>
          <t>Daykundi</t>
        </is>
      </c>
      <c r="J74" s="52" t="inlineStr">
        <is>
          <t>Shahristan, Miramor, Khidir</t>
        </is>
      </c>
      <c r="K74" s="52" t="inlineStr">
        <is>
          <t>Completed / Handover</t>
        </is>
      </c>
      <c r="L74" s="54" t="n">
        <v>46113</v>
      </c>
      <c r="M74" s="54" t="n">
        <v>46325</v>
      </c>
      <c r="N74" s="52" t="inlineStr">
        <is>
          <t>Da Maidan Zawahnono Construction Company (DMZCC)</t>
        </is>
      </c>
      <c r="O74" s="83" t="inlineStr">
        <is>
          <t>025/2026</t>
        </is>
      </c>
      <c r="P74" s="86" t="inlineStr">
        <is>
          <t>3.WSM awarded contracts</t>
        </is>
      </c>
    </row>
    <row r="75" ht="28" customHeight="1">
      <c r="A75" s="87" t="inlineStr">
        <is>
          <t>AF2-WSM-15</t>
        </is>
      </c>
      <c r="B75" s="44" t="inlineStr">
        <is>
          <t>Package #15-AF2 WSM: Construction of 3 Check dams of 1. Sangmom, 2. Shilan Korga, and 3.Khulbar in Nili, Ashtarlay, and Sang Takhta districts of Daykundi province.</t>
        </is>
      </c>
      <c r="C75" s="44" t="inlineStr">
        <is>
          <t>Watershed Management</t>
        </is>
      </c>
      <c r="D75" s="88" t="inlineStr">
        <is>
          <t>Awarded</t>
        </is>
      </c>
      <c r="E75" s="96" t="inlineStr">
        <is>
          <t>Awarded</t>
        </is>
      </c>
      <c r="F75" s="88" t="inlineStr">
        <is>
          <t>No</t>
        </is>
      </c>
      <c r="G75" s="49">
        <f>COUNTIF('01_Scheme_Tracker'!$B$4:$B$453,A75)</f>
        <v/>
      </c>
      <c r="H75" s="85">
        <f>SUMIF('01_Scheme_Tracker'!$B$4:$B$453,A75,'01_Scheme_Tracker'!$S$4:$S$453)</f>
        <v/>
      </c>
      <c r="I75" s="44" t="inlineStr">
        <is>
          <t>Daykundi</t>
        </is>
      </c>
      <c r="J75" s="44" t="inlineStr">
        <is>
          <t>Sang Takht wa Bandar, Nili, Ashtarlay</t>
        </is>
      </c>
      <c r="K75" s="44" t="inlineStr">
        <is>
          <t>Awarded</t>
        </is>
      </c>
      <c r="L75" s="47" t="n">
        <v>46303</v>
      </c>
      <c r="M75" s="47" t="n">
        <v>46453</v>
      </c>
      <c r="N75" s="44" t="inlineStr">
        <is>
          <t>Bahartamadun Construction Company (BCC)</t>
        </is>
      </c>
      <c r="O75" s="88" t="inlineStr">
        <is>
          <t>065/2026</t>
        </is>
      </c>
      <c r="P75" s="90" t="inlineStr">
        <is>
          <t>3.WSM awarded contracts</t>
        </is>
      </c>
    </row>
    <row r="76" ht="28" customHeight="1">
      <c r="A76" s="82" t="inlineStr">
        <is>
          <t>AF2-WSM-16</t>
        </is>
      </c>
      <c r="B76" s="52" t="inlineStr">
        <is>
          <t>Package #16-AF2 WSM: Construction of Panami Check dams, located in Mohammad Agha district of Logar province.</t>
        </is>
      </c>
      <c r="C76" s="52" t="inlineStr">
        <is>
          <t>Watershed Management</t>
        </is>
      </c>
      <c r="D76" s="83" t="inlineStr">
        <is>
          <t>Awarded</t>
        </is>
      </c>
      <c r="E76" s="93" t="inlineStr">
        <is>
          <t>Under Construction</t>
        </is>
      </c>
      <c r="F76" s="83" t="inlineStr">
        <is>
          <t>No</t>
        </is>
      </c>
      <c r="G76" s="49">
        <f>COUNTIF('01_Scheme_Tracker'!$B$4:$B$453,A76)</f>
        <v/>
      </c>
      <c r="H76" s="85">
        <f>SUMIF('01_Scheme_Tracker'!$B$4:$B$453,A76,'01_Scheme_Tracker'!$S$4:$S$453)</f>
        <v/>
      </c>
      <c r="I76" s="52" t="inlineStr">
        <is>
          <t>Logar</t>
        </is>
      </c>
      <c r="J76" s="52" t="inlineStr">
        <is>
          <t>M.Agha</t>
        </is>
      </c>
      <c r="K76" s="52" t="inlineStr">
        <is>
          <t>Under Construction</t>
        </is>
      </c>
      <c r="L76" s="54" t="n">
        <v>46130</v>
      </c>
      <c r="M76" s="54" t="n">
        <v>46343</v>
      </c>
      <c r="N76" s="52" t="inlineStr">
        <is>
          <t>Sayed Shirazi Construction and Road Building Company (SCRC)</t>
        </is>
      </c>
      <c r="O76" s="83" t="inlineStr">
        <is>
          <t>030/2026</t>
        </is>
      </c>
      <c r="P76" s="86" t="inlineStr">
        <is>
          <t>3.WSM awarded contracts</t>
        </is>
      </c>
    </row>
    <row r="77" ht="28" customHeight="1">
      <c r="A77" s="87" t="inlineStr">
        <is>
          <t>AF2-WSM-17</t>
        </is>
      </c>
      <c r="B77" s="44" t="inlineStr">
        <is>
          <t>Package #17-AF2 WSM: Construction of Ghoriza Check dams, located in Sayed Karam districts of Paktya province.</t>
        </is>
      </c>
      <c r="C77" s="44" t="inlineStr">
        <is>
          <t>Watershed Management</t>
        </is>
      </c>
      <c r="D77" s="88" t="inlineStr">
        <is>
          <t>Not awarded</t>
        </is>
      </c>
      <c r="E77" s="94" t="inlineStr">
        <is>
          <t>PR to be Raised</t>
        </is>
      </c>
      <c r="F77" s="88" t="inlineStr">
        <is>
          <t>No</t>
        </is>
      </c>
      <c r="G77" s="49">
        <f>COUNTIF('01_Scheme_Tracker'!$B$4:$B$453,A77)</f>
        <v/>
      </c>
      <c r="H77" s="85">
        <f>SUMIF('01_Scheme_Tracker'!$B$4:$B$453,A77,'01_Scheme_Tracker'!$S$4:$S$453)</f>
        <v/>
      </c>
      <c r="I77" s="44" t="inlineStr">
        <is>
          <t>Paktya</t>
        </is>
      </c>
      <c r="J77" s="44" t="inlineStr">
        <is>
          <t>Sayed Karam</t>
        </is>
      </c>
      <c r="K77" s="44" t="inlineStr">
        <is>
          <t>PR to be Raised</t>
        </is>
      </c>
      <c r="L77" s="47" t="n">
        <v>46346</v>
      </c>
      <c r="M77" s="47" t="n">
        <v>46566</v>
      </c>
      <c r="N77" s="44" t="inlineStr"/>
      <c r="O77" s="88" t="inlineStr"/>
      <c r="P77" s="90" t="inlineStr">
        <is>
          <t>4.WSM remaining contracts</t>
        </is>
      </c>
    </row>
    <row r="78" ht="28" customHeight="1">
      <c r="A78" s="82" t="inlineStr">
        <is>
          <t>AF2-WSM-18</t>
        </is>
      </c>
      <c r="B78" s="52" t="inlineStr">
        <is>
          <t>Package #18-AF2 WSM: Construction of Muqarab Check dams, located in Gelan districts of Ghazni province.</t>
        </is>
      </c>
      <c r="C78" s="52" t="inlineStr">
        <is>
          <t>Watershed Management</t>
        </is>
      </c>
      <c r="D78" s="83" t="inlineStr">
        <is>
          <t>Awarded</t>
        </is>
      </c>
      <c r="E78" s="93" t="inlineStr">
        <is>
          <t>Under Construction</t>
        </is>
      </c>
      <c r="F78" s="83" t="inlineStr">
        <is>
          <t>No</t>
        </is>
      </c>
      <c r="G78" s="49">
        <f>COUNTIF('01_Scheme_Tracker'!$B$4:$B$453,A78)</f>
        <v/>
      </c>
      <c r="H78" s="85">
        <f>SUMIF('01_Scheme_Tracker'!$B$4:$B$453,A78,'01_Scheme_Tracker'!$S$4:$S$453)</f>
        <v/>
      </c>
      <c r="I78" s="52" t="inlineStr">
        <is>
          <t>Ghazni</t>
        </is>
      </c>
      <c r="J78" s="52" t="inlineStr">
        <is>
          <t>Gelan</t>
        </is>
      </c>
      <c r="K78" s="52" t="inlineStr">
        <is>
          <t>Under Construction</t>
        </is>
      </c>
      <c r="L78" s="54" t="n">
        <v>46226</v>
      </c>
      <c r="M78" s="54" t="n">
        <v>46409</v>
      </c>
      <c r="N78" s="52" t="inlineStr">
        <is>
          <t>Hemat safi construction company (HSCC)</t>
        </is>
      </c>
      <c r="O78" s="83" t="inlineStr">
        <is>
          <t>047/2026</t>
        </is>
      </c>
      <c r="P78" s="86" t="inlineStr">
        <is>
          <t>3.WSM awarded contracts</t>
        </is>
      </c>
    </row>
    <row r="79" ht="28" customHeight="1">
      <c r="A79" s="87" t="inlineStr">
        <is>
          <t>AF2-WSM-19</t>
        </is>
      </c>
      <c r="B79" s="44" t="inlineStr">
        <is>
          <t>Package #19-AF2 WSM: Construction of two Check dams 1. Wazgarai and 2. Chenargai in Zazai Maidan districts of Khost province.</t>
        </is>
      </c>
      <c r="C79" s="44" t="inlineStr">
        <is>
          <t>Watershed Management</t>
        </is>
      </c>
      <c r="D79" s="88" t="inlineStr">
        <is>
          <t>Not awarded</t>
        </is>
      </c>
      <c r="E79" s="89" t="inlineStr">
        <is>
          <t>ITB Launched</t>
        </is>
      </c>
      <c r="F79" s="88" t="inlineStr">
        <is>
          <t>No</t>
        </is>
      </c>
      <c r="G79" s="49">
        <f>COUNTIF('01_Scheme_Tracker'!$B$4:$B$453,A79)</f>
        <v/>
      </c>
      <c r="H79" s="85">
        <f>SUMIF('01_Scheme_Tracker'!$B$4:$B$453,A79,'01_Scheme_Tracker'!$S$4:$S$453)</f>
        <v/>
      </c>
      <c r="I79" s="44" t="inlineStr">
        <is>
          <t>Khost</t>
        </is>
      </c>
      <c r="J79" s="44" t="inlineStr">
        <is>
          <t>Zazai Maidan</t>
        </is>
      </c>
      <c r="K79" s="44" t="inlineStr">
        <is>
          <t>ITB Launched</t>
        </is>
      </c>
      <c r="L79" s="47" t="n">
        <v>46356</v>
      </c>
      <c r="M79" s="47" t="n">
        <v>46566</v>
      </c>
      <c r="N79" s="44" t="inlineStr"/>
      <c r="O79" s="88" t="inlineStr"/>
      <c r="P79" s="90" t="inlineStr">
        <is>
          <t>4.WSM remaining contracts</t>
        </is>
      </c>
    </row>
    <row r="80" ht="28" customHeight="1">
      <c r="A80" s="82" t="inlineStr">
        <is>
          <t>AF2-WSM-20</t>
        </is>
      </c>
      <c r="B80" s="52" t="inlineStr">
        <is>
          <t>Package #20-AF2 WSM: Construction of Sapari Check dams, located in Sarubi districts of Paktika province.</t>
        </is>
      </c>
      <c r="C80" s="52" t="inlineStr">
        <is>
          <t>Watershed Management</t>
        </is>
      </c>
      <c r="D80" s="83" t="inlineStr">
        <is>
          <t>Not awarded</t>
        </is>
      </c>
      <c r="E80" s="94" t="inlineStr">
        <is>
          <t>PR to be Raised</t>
        </is>
      </c>
      <c r="F80" s="83" t="inlineStr">
        <is>
          <t>No</t>
        </is>
      </c>
      <c r="G80" s="49">
        <f>COUNTIF('01_Scheme_Tracker'!$B$4:$B$453,A80)</f>
        <v/>
      </c>
      <c r="H80" s="85">
        <f>SUMIF('01_Scheme_Tracker'!$B$4:$B$453,A80,'01_Scheme_Tracker'!$S$4:$S$453)</f>
        <v/>
      </c>
      <c r="I80" s="52" t="inlineStr">
        <is>
          <t>Paktika</t>
        </is>
      </c>
      <c r="J80" s="52" t="inlineStr">
        <is>
          <t>Sarubi</t>
        </is>
      </c>
      <c r="K80" s="52" t="inlineStr">
        <is>
          <t>PR to be Raised</t>
        </is>
      </c>
      <c r="L80" s="54" t="n">
        <v>46351</v>
      </c>
      <c r="M80" s="54" t="n">
        <v>46571</v>
      </c>
      <c r="N80" s="52" t="inlineStr"/>
      <c r="O80" s="83" t="inlineStr"/>
      <c r="P80" s="86" t="inlineStr">
        <is>
          <t>4.WSM remaining contracts</t>
        </is>
      </c>
    </row>
    <row r="81" ht="28" customHeight="1">
      <c r="A81" s="87" t="inlineStr">
        <is>
          <t>AF2-WSM-21</t>
        </is>
      </c>
      <c r="B81" s="44" t="inlineStr">
        <is>
          <t>Package #21-AF2 WSM: Construction of 4 Check Dams 1.Choghazey and 2.Sardarkey in Arghistan, 3. Loy Laher in Spin Boldak and 4.Ab Samad Aka in Takhta Pull districts of Kandahar province.</t>
        </is>
      </c>
      <c r="C81" s="44" t="inlineStr">
        <is>
          <t>Watershed Management</t>
        </is>
      </c>
      <c r="D81" s="88" t="inlineStr">
        <is>
          <t>Awarded</t>
        </is>
      </c>
      <c r="E81" s="93" t="inlineStr">
        <is>
          <t>Under Construction</t>
        </is>
      </c>
      <c r="F81" s="88" t="inlineStr">
        <is>
          <t>Yes</t>
        </is>
      </c>
      <c r="G81" s="49">
        <f>COUNTIF('01_Scheme_Tracker'!$B$4:$B$453,A81)</f>
        <v/>
      </c>
      <c r="H81" s="85">
        <f>SUMIF('01_Scheme_Tracker'!$B$4:$B$453,A81,'01_Scheme_Tracker'!$S$4:$S$453)</f>
        <v/>
      </c>
      <c r="I81" s="44" t="inlineStr">
        <is>
          <t>Kandahar</t>
        </is>
      </c>
      <c r="J81" s="44" t="inlineStr">
        <is>
          <t>Takhta Pul, Arghistan, Spin Boldak</t>
        </is>
      </c>
      <c r="K81" s="44" t="inlineStr">
        <is>
          <t>Under Construction, Completed / Handover</t>
        </is>
      </c>
      <c r="L81" s="47" t="n">
        <v>46140</v>
      </c>
      <c r="M81" s="47" t="n">
        <v>46292</v>
      </c>
      <c r="N81" s="44" t="inlineStr">
        <is>
          <t>Bakhter Pairoz Construction Company (BPCC)</t>
        </is>
      </c>
      <c r="O81" s="88" t="inlineStr">
        <is>
          <t>031/2026</t>
        </is>
      </c>
      <c r="P81" s="90" t="inlineStr">
        <is>
          <t>3.WSM awarded contracts</t>
        </is>
      </c>
    </row>
    <row r="82" ht="28" customHeight="1">
      <c r="A82" s="82" t="inlineStr">
        <is>
          <t>AF2-WSM-22</t>
        </is>
      </c>
      <c r="B82" s="52" t="inlineStr">
        <is>
          <t>Package #22-AF2 WSM: Construction of 5 Check dams 1.Kocni Karez , 2.By Khosh , 3. Ghul Khani, 4. Chy Dara in Ghorak district , and 5. Khanjak Mastan Aka in Nesh district of Kandahar province.</t>
        </is>
      </c>
      <c r="C82" s="52" t="inlineStr">
        <is>
          <t>Watershed Management</t>
        </is>
      </c>
      <c r="D82" s="83" t="inlineStr">
        <is>
          <t>Not awarded</t>
        </is>
      </c>
      <c r="E82" s="98" t="inlineStr">
        <is>
          <t>Under Design</t>
        </is>
      </c>
      <c r="F82" s="83" t="inlineStr">
        <is>
          <t>No</t>
        </is>
      </c>
      <c r="G82" s="49">
        <f>COUNTIF('01_Scheme_Tracker'!$B$4:$B$453,A82)</f>
        <v/>
      </c>
      <c r="H82" s="85">
        <f>SUMIF('01_Scheme_Tracker'!$B$4:$B$453,A82,'01_Scheme_Tracker'!$S$4:$S$453)</f>
        <v/>
      </c>
      <c r="I82" s="52" t="inlineStr">
        <is>
          <t>Kandahar</t>
        </is>
      </c>
      <c r="J82" s="52" t="inlineStr">
        <is>
          <t>Ghorak, Nesh</t>
        </is>
      </c>
      <c r="K82" s="52" t="inlineStr">
        <is>
          <t>Under Design</t>
        </is>
      </c>
      <c r="L82" s="54" t="n">
        <v>46356</v>
      </c>
      <c r="M82" s="54" t="n">
        <v>46536</v>
      </c>
      <c r="N82" s="52" t="inlineStr"/>
      <c r="O82" s="83" t="inlineStr"/>
      <c r="P82" s="86" t="inlineStr">
        <is>
          <t>4.WSM remaining contracts</t>
        </is>
      </c>
    </row>
    <row r="83" ht="28" customHeight="1">
      <c r="A83" s="87" t="inlineStr">
        <is>
          <t>AF2-WSM-23</t>
        </is>
      </c>
      <c r="B83" s="44" t="inlineStr">
        <is>
          <t>Package #23-AF2 WSM: Construction of 1,Payazak, 2.Sharak, 3.Khairtot, and 4. Mula Hanifiya Check Dams, located in Shawalikot district of Kandahar province.</t>
        </is>
      </c>
      <c r="C83" s="44" t="inlineStr">
        <is>
          <t>Watershed Management</t>
        </is>
      </c>
      <c r="D83" s="88" t="inlineStr">
        <is>
          <t>Awarded</t>
        </is>
      </c>
      <c r="E83" s="96" t="inlineStr">
        <is>
          <t>Awarded</t>
        </is>
      </c>
      <c r="F83" s="88" t="inlineStr">
        <is>
          <t>No</t>
        </is>
      </c>
      <c r="G83" s="49">
        <f>COUNTIF('01_Scheme_Tracker'!$B$4:$B$453,A83)</f>
        <v/>
      </c>
      <c r="H83" s="85">
        <f>SUMIF('01_Scheme_Tracker'!$B$4:$B$453,A83,'01_Scheme_Tracker'!$S$4:$S$453)</f>
        <v/>
      </c>
      <c r="I83" s="44" t="inlineStr">
        <is>
          <t>Kandahar</t>
        </is>
      </c>
      <c r="J83" s="44" t="inlineStr">
        <is>
          <t>Shawalikot</t>
        </is>
      </c>
      <c r="K83" s="44" t="inlineStr">
        <is>
          <t>Awarded</t>
        </is>
      </c>
      <c r="L83" s="47" t="n">
        <v>46261</v>
      </c>
      <c r="M83" s="47" t="n">
        <v>46079</v>
      </c>
      <c r="N83" s="44" t="inlineStr">
        <is>
          <t>Afghan Laser Engineering and Construction Company (ALCC)</t>
        </is>
      </c>
      <c r="O83" s="88" t="inlineStr">
        <is>
          <t>057/2026</t>
        </is>
      </c>
      <c r="P83" s="90" t="inlineStr">
        <is>
          <t>3.WSM awarded contracts</t>
        </is>
      </c>
    </row>
    <row r="84" ht="28" customHeight="1">
      <c r="A84" s="82" t="inlineStr">
        <is>
          <t>AF2-WSM-24</t>
        </is>
      </c>
      <c r="B84" s="52" t="inlineStr">
        <is>
          <t>Package #24-AF2 WSM: Construction of 5 Check dams 1. Kashata Tangi, 2. Forodi, 3. Valary in Nawzad district, 4.Band Khawanin, and 5.Tykhoghi in Washer district of Helmand province.</t>
        </is>
      </c>
      <c r="C84" s="52" t="inlineStr">
        <is>
          <t>Watershed Management</t>
        </is>
      </c>
      <c r="D84" s="83" t="inlineStr">
        <is>
          <t>Not awarded</t>
        </is>
      </c>
      <c r="E84" s="98" t="inlineStr">
        <is>
          <t>Under Design</t>
        </is>
      </c>
      <c r="F84" s="83" t="inlineStr">
        <is>
          <t>No</t>
        </is>
      </c>
      <c r="G84" s="49">
        <f>COUNTIF('01_Scheme_Tracker'!$B$4:$B$453,A84)</f>
        <v/>
      </c>
      <c r="H84" s="85">
        <f>SUMIF('01_Scheme_Tracker'!$B$4:$B$453,A84,'01_Scheme_Tracker'!$S$4:$S$453)</f>
        <v/>
      </c>
      <c r="I84" s="52" t="inlineStr">
        <is>
          <t>Helmand</t>
        </is>
      </c>
      <c r="J84" s="52" t="inlineStr">
        <is>
          <t>Washer, Nawzad</t>
        </is>
      </c>
      <c r="K84" s="52" t="inlineStr">
        <is>
          <t>Under Design</t>
        </is>
      </c>
      <c r="L84" s="54" t="n">
        <v>46359</v>
      </c>
      <c r="M84" s="54" t="n">
        <v>46539</v>
      </c>
      <c r="N84" s="52" t="inlineStr"/>
      <c r="O84" s="83" t="inlineStr"/>
      <c r="P84" s="86" t="inlineStr">
        <is>
          <t>4.WSM remaining contracts</t>
        </is>
      </c>
    </row>
    <row r="85" ht="28" customHeight="1">
      <c r="A85" s="87" t="inlineStr">
        <is>
          <t>AF2-WSM-25</t>
        </is>
      </c>
      <c r="B85" s="44" t="inlineStr">
        <is>
          <t>Package #25-AF2 WSM: Construction of Qali Gaz, Ghobana, and Nawi Kach Check dams, located in Mizana district of Zabul province.</t>
        </is>
      </c>
      <c r="C85" s="44" t="inlineStr">
        <is>
          <t>Watershed Management</t>
        </is>
      </c>
      <c r="D85" s="88" t="inlineStr">
        <is>
          <t>Not awarded</t>
        </is>
      </c>
      <c r="E85" s="94" t="inlineStr">
        <is>
          <t>PR to be Raised</t>
        </is>
      </c>
      <c r="F85" s="88" t="inlineStr">
        <is>
          <t>No</t>
        </is>
      </c>
      <c r="G85" s="49">
        <f>COUNTIF('01_Scheme_Tracker'!$B$4:$B$453,A85)</f>
        <v/>
      </c>
      <c r="H85" s="85">
        <f>SUMIF('01_Scheme_Tracker'!$B$4:$B$453,A85,'01_Scheme_Tracker'!$S$4:$S$453)</f>
        <v/>
      </c>
      <c r="I85" s="44" t="inlineStr">
        <is>
          <t>Zabul</t>
        </is>
      </c>
      <c r="J85" s="44" t="inlineStr">
        <is>
          <t>Mizana</t>
        </is>
      </c>
      <c r="K85" s="44" t="inlineStr">
        <is>
          <t>PR to be Raised</t>
        </is>
      </c>
      <c r="L85" s="47" t="n">
        <v>46351</v>
      </c>
      <c r="M85" s="47" t="n">
        <v>46561</v>
      </c>
      <c r="N85" s="44" t="inlineStr"/>
      <c r="O85" s="88" t="inlineStr"/>
      <c r="P85" s="90" t="inlineStr">
        <is>
          <t>4.WSM remaining contracts</t>
        </is>
      </c>
    </row>
    <row r="86" ht="28" customHeight="1">
      <c r="A86" s="82" t="inlineStr">
        <is>
          <t>AF2-WSM-26</t>
        </is>
      </c>
      <c r="B86" s="52" t="inlineStr">
        <is>
          <t>Package # 26 – AF2 WSM: Construction of 6 Check Dams in 6 sites of A. Yawol Ha site # 1 and # 2 in Teshkan District, B. Sewak Dara site # 3, Golaki site # 4 in Darayim District, C. Khanaqa site # 5, and Sum Dara site # 6 in Arghanj Khwah District of Badakhshan Province</t>
        </is>
      </c>
      <c r="C86" s="52" t="inlineStr">
        <is>
          <t>Watershed Management</t>
        </is>
      </c>
      <c r="D86" s="83" t="inlineStr">
        <is>
          <t>Awarded</t>
        </is>
      </c>
      <c r="E86" s="96" t="inlineStr">
        <is>
          <t>Awarded</t>
        </is>
      </c>
      <c r="F86" s="83" t="inlineStr">
        <is>
          <t>Yes</t>
        </is>
      </c>
      <c r="G86" s="49">
        <f>COUNTIF('01_Scheme_Tracker'!$B$4:$B$453,A86)</f>
        <v/>
      </c>
      <c r="H86" s="85">
        <f>SUMIF('01_Scheme_Tracker'!$B$4:$B$453,A86,'01_Scheme_Tracker'!$S$4:$S$453)</f>
        <v/>
      </c>
      <c r="I86" s="52" t="inlineStr">
        <is>
          <t>Badakhshan</t>
        </is>
      </c>
      <c r="J86" s="52" t="inlineStr">
        <is>
          <t>Teshkan, Darayim, Arghanj Khwah</t>
        </is>
      </c>
      <c r="K86" s="52" t="inlineStr">
        <is>
          <t>Under Construction, Awarded, Completed / Handover</t>
        </is>
      </c>
      <c r="L86" s="54" t="n">
        <v>46121</v>
      </c>
      <c r="M86" s="54" t="n">
        <v>46334</v>
      </c>
      <c r="N86" s="52" t="inlineStr">
        <is>
          <t>Faiz Qurbani Construction Company (FQCC)</t>
        </is>
      </c>
      <c r="O86" s="83" t="inlineStr">
        <is>
          <t>027/2026</t>
        </is>
      </c>
      <c r="P86" s="86" t="inlineStr">
        <is>
          <t>3.WSM awarded contracts</t>
        </is>
      </c>
    </row>
    <row r="87" ht="28" customHeight="1">
      <c r="A87" s="87" t="inlineStr">
        <is>
          <t>AF2-WSM-27</t>
        </is>
      </c>
      <c r="B87" s="44" t="inlineStr">
        <is>
          <t>Package #27-AF2 WSM: Construction of 5 Check Dams in 5 district sites of 1. Sholish Darra in Namak Ab, 2.Gaji Darra in Hazar Sumoch, 3.Silaba in Khwaja Ghar, 4.Shoor Toghai in Khwaja Bahawudd in and 5.Khalyazi in Yangi Qala districts of Takhar province.</t>
        </is>
      </c>
      <c r="C87" s="44" t="inlineStr">
        <is>
          <t>Watershed Management</t>
        </is>
      </c>
      <c r="D87" s="88" t="inlineStr">
        <is>
          <t>Awarded</t>
        </is>
      </c>
      <c r="E87" s="96" t="inlineStr">
        <is>
          <t>Awarded</t>
        </is>
      </c>
      <c r="F87" s="88" t="inlineStr">
        <is>
          <t>Yes</t>
        </is>
      </c>
      <c r="G87" s="49">
        <f>COUNTIF('01_Scheme_Tracker'!$B$4:$B$453,A87)</f>
        <v/>
      </c>
      <c r="H87" s="85">
        <f>SUMIF('01_Scheme_Tracker'!$B$4:$B$453,A87,'01_Scheme_Tracker'!$S$4:$S$453)</f>
        <v/>
      </c>
      <c r="I87" s="44" t="inlineStr">
        <is>
          <t>Takhar</t>
        </is>
      </c>
      <c r="J87" s="44" t="inlineStr">
        <is>
          <t>Namak Ab, Hazar Sumoch, Khwaja Ghar, Khwaja Bahawuddin, Yangi Qala</t>
        </is>
      </c>
      <c r="K87" s="44" t="inlineStr">
        <is>
          <t>Awarded, Completed / Handover, Under Construction</t>
        </is>
      </c>
      <c r="L87" s="47" t="n">
        <v>46163</v>
      </c>
      <c r="M87" s="47" t="n">
        <v>46346</v>
      </c>
      <c r="N87" s="44" t="inlineStr">
        <is>
          <t>Shafiqullah Wahidi Construction Company (SWCC)</t>
        </is>
      </c>
      <c r="O87" s="88" t="inlineStr">
        <is>
          <t>037/2026</t>
        </is>
      </c>
      <c r="P87" s="90" t="inlineStr">
        <is>
          <t>3.WSM awarded contracts</t>
        </is>
      </c>
    </row>
    <row r="88" ht="28" customHeight="1">
      <c r="A88" s="82" t="inlineStr">
        <is>
          <t>AF2-WSM-28</t>
        </is>
      </c>
      <c r="B88" s="52" t="inlineStr">
        <is>
          <t>Package #28-AF2 WSM: Construction of 2 Check dams of 1. Chatqa Sai in Dahna-e-Ghori and 2.Tahiryan in Baghlan Markazi districts of Baghlan province.</t>
        </is>
      </c>
      <c r="C88" s="52" t="inlineStr">
        <is>
          <t>Watershed Management</t>
        </is>
      </c>
      <c r="D88" s="83" t="inlineStr">
        <is>
          <t>Awarded</t>
        </is>
      </c>
      <c r="E88" s="93" t="inlineStr">
        <is>
          <t>Under Construction</t>
        </is>
      </c>
      <c r="F88" s="83" t="inlineStr">
        <is>
          <t>No</t>
        </is>
      </c>
      <c r="G88" s="49">
        <f>COUNTIF('01_Scheme_Tracker'!$B$4:$B$453,A88)</f>
        <v/>
      </c>
      <c r="H88" s="85">
        <f>SUMIF('01_Scheme_Tracker'!$B$4:$B$453,A88,'01_Scheme_Tracker'!$S$4:$S$453)</f>
        <v/>
      </c>
      <c r="I88" s="52" t="inlineStr">
        <is>
          <t>Baghlan</t>
        </is>
      </c>
      <c r="J88" s="52" t="inlineStr">
        <is>
          <t>Dahna-e-Ghori, Baghlan Markazi</t>
        </is>
      </c>
      <c r="K88" s="52" t="inlineStr">
        <is>
          <t>Under Construction</t>
        </is>
      </c>
      <c r="L88" s="54" t="n">
        <v>46242</v>
      </c>
      <c r="M88" s="54" t="n">
        <v>46363</v>
      </c>
      <c r="N88" s="52" t="inlineStr">
        <is>
          <t>Arman Sharq Construction Company ASCC)</t>
        </is>
      </c>
      <c r="O88" s="83" t="inlineStr">
        <is>
          <t>054/2026</t>
        </is>
      </c>
      <c r="P88" s="86" t="inlineStr">
        <is>
          <t>3.WSM awarded contracts</t>
        </is>
      </c>
    </row>
    <row r="89" ht="28" customHeight="1">
      <c r="A89" s="87" t="inlineStr">
        <is>
          <t>AF2-WSM-29</t>
        </is>
      </c>
      <c r="B89" s="44" t="inlineStr">
        <is>
          <t>Package # 29-AF2 WSM: Construction 1. Alburs and 2. Marmul Check dams, located in Marmul and Alburs districts of Balkh province</t>
        </is>
      </c>
      <c r="C89" s="44" t="inlineStr">
        <is>
          <t>Watershed Management</t>
        </is>
      </c>
      <c r="D89" s="88" t="inlineStr">
        <is>
          <t>Awarded</t>
        </is>
      </c>
      <c r="E89" s="93" t="inlineStr">
        <is>
          <t>Under Construction</t>
        </is>
      </c>
      <c r="F89" s="88" t="inlineStr">
        <is>
          <t>Yes</t>
        </is>
      </c>
      <c r="G89" s="49">
        <f>COUNTIF('01_Scheme_Tracker'!$B$4:$B$453,A89)</f>
        <v/>
      </c>
      <c r="H89" s="85">
        <f>SUMIF('01_Scheme_Tracker'!$B$4:$B$453,A89,'01_Scheme_Tracker'!$S$4:$S$453)</f>
        <v/>
      </c>
      <c r="I89" s="44" t="inlineStr">
        <is>
          <t>Balkh</t>
        </is>
      </c>
      <c r="J89" s="44" t="inlineStr">
        <is>
          <t>Alburz, Marmul</t>
        </is>
      </c>
      <c r="K89" s="44" t="inlineStr">
        <is>
          <t>Completed / Handover, Under Construction</t>
        </is>
      </c>
      <c r="L89" s="47" t="n">
        <v>46154</v>
      </c>
      <c r="M89" s="47" t="n">
        <v>46306</v>
      </c>
      <c r="N89" s="44" t="inlineStr">
        <is>
          <t>Omar Mortaza Construction &amp; Road Building JV Karwan Seraji Construction and Road Building Company (OMCC&amp;KSCC)</t>
        </is>
      </c>
      <c r="O89" s="88" t="inlineStr">
        <is>
          <t>034/2026</t>
        </is>
      </c>
      <c r="P89" s="90" t="inlineStr">
        <is>
          <t>3.WSM awarded contracts</t>
        </is>
      </c>
    </row>
    <row r="90" ht="28" customHeight="1">
      <c r="A90" s="82" t="inlineStr">
        <is>
          <t>AF2-WSM-30</t>
        </is>
      </c>
      <c r="B90" s="52" t="inlineStr">
        <is>
          <t>Package #30-AF2 WSM: Construction of 5 Check Damas of A. Majar site # 1 and site # 2; B.Elyasgar site # 3, site 4 and site # 5, located in Aljahad district of Sar-e-Pul province.</t>
        </is>
      </c>
      <c r="C90" s="52" t="inlineStr">
        <is>
          <t>Watershed Management</t>
        </is>
      </c>
      <c r="D90" s="83" t="inlineStr">
        <is>
          <t>Awarded</t>
        </is>
      </c>
      <c r="E90" s="93" t="inlineStr">
        <is>
          <t>Under Construction</t>
        </is>
      </c>
      <c r="F90" s="83" t="inlineStr">
        <is>
          <t>No</t>
        </is>
      </c>
      <c r="G90" s="49">
        <f>COUNTIF('01_Scheme_Tracker'!$B$4:$B$453,A90)</f>
        <v/>
      </c>
      <c r="H90" s="85">
        <f>SUMIF('01_Scheme_Tracker'!$B$4:$B$453,A90,'01_Scheme_Tracker'!$S$4:$S$453)</f>
        <v/>
      </c>
      <c r="I90" s="52" t="inlineStr">
        <is>
          <t>Sar-e-Pul</t>
        </is>
      </c>
      <c r="J90" s="52" t="inlineStr">
        <is>
          <t>Aljahad</t>
        </is>
      </c>
      <c r="K90" s="52" t="inlineStr">
        <is>
          <t>Under Construction</t>
        </is>
      </c>
      <c r="L90" s="54" t="n">
        <v>46226</v>
      </c>
      <c r="M90" s="54" t="n">
        <v>46348</v>
      </c>
      <c r="N90" s="52" t="inlineStr">
        <is>
          <t>Waheed Wahaj Construction Company (WWCC)</t>
        </is>
      </c>
      <c r="O90" s="83" t="inlineStr">
        <is>
          <t>050/2026</t>
        </is>
      </c>
      <c r="P90" s="86" t="inlineStr">
        <is>
          <t>3.WSM awarded contracts</t>
        </is>
      </c>
    </row>
    <row r="91" ht="28" customHeight="1">
      <c r="A91" s="87" t="inlineStr">
        <is>
          <t>AF2-WSM-31</t>
        </is>
      </c>
      <c r="B91" s="44" t="inlineStr">
        <is>
          <t>Package # 31-AF2 WSM: Construction of 1. Khaibar and 2. Chelgazi Check dams, located in Khaibar and Chelgazi districts of Faryab province.</t>
        </is>
      </c>
      <c r="C91" s="44" t="inlineStr">
        <is>
          <t>Watershed Management</t>
        </is>
      </c>
      <c r="D91" s="88" t="inlineStr">
        <is>
          <t>Awarded</t>
        </is>
      </c>
      <c r="E91" s="92" t="inlineStr">
        <is>
          <t>Completed / Handover</t>
        </is>
      </c>
      <c r="F91" s="88" t="inlineStr">
        <is>
          <t>No</t>
        </is>
      </c>
      <c r="G91" s="49">
        <f>COUNTIF('01_Scheme_Tracker'!$B$4:$B$453,A91)</f>
        <v/>
      </c>
      <c r="H91" s="85">
        <f>SUMIF('01_Scheme_Tracker'!$B$4:$B$453,A91,'01_Scheme_Tracker'!$S$4:$S$453)</f>
        <v/>
      </c>
      <c r="I91" s="44" t="inlineStr">
        <is>
          <t>Faryab</t>
        </is>
      </c>
      <c r="J91" s="44" t="inlineStr">
        <is>
          <t>Chelgazi, Khaibar</t>
        </is>
      </c>
      <c r="K91" s="44" t="inlineStr">
        <is>
          <t>Completed / Handover</t>
        </is>
      </c>
      <c r="L91" s="47" t="n">
        <v>46149</v>
      </c>
      <c r="M91" s="47" t="n">
        <v>46271</v>
      </c>
      <c r="N91" s="44" t="inlineStr">
        <is>
          <t>Malik Hajdar Construction and Road Company (MHCC)</t>
        </is>
      </c>
      <c r="O91" s="88" t="inlineStr">
        <is>
          <t>033/2026</t>
        </is>
      </c>
      <c r="P91" s="90" t="inlineStr">
        <is>
          <t>3.WSM awarded contracts</t>
        </is>
      </c>
    </row>
    <row r="92" ht="28" customHeight="1">
      <c r="A92" s="82" t="inlineStr">
        <is>
          <t>AF2-WSM-32</t>
        </is>
      </c>
      <c r="B92" s="52" t="inlineStr">
        <is>
          <t>Package #32-AF2 WSM: Construction of Tai Khunak 4 Check dams of A. Khoja Momin site # 1 and site # 2, B. Sari Shor site # 3 and site #4, located in Aybak district of Samangan province.</t>
        </is>
      </c>
      <c r="C92" s="52" t="inlineStr">
        <is>
          <t>Watershed Management</t>
        </is>
      </c>
      <c r="D92" s="83" t="inlineStr">
        <is>
          <t>Awarded</t>
        </is>
      </c>
      <c r="E92" s="93" t="inlineStr">
        <is>
          <t>Under Construction</t>
        </is>
      </c>
      <c r="F92" s="83" t="inlineStr">
        <is>
          <t>No</t>
        </is>
      </c>
      <c r="G92" s="49">
        <f>COUNTIF('01_Scheme_Tracker'!$B$4:$B$453,A92)</f>
        <v/>
      </c>
      <c r="H92" s="85">
        <f>SUMIF('01_Scheme_Tracker'!$B$4:$B$453,A92,'01_Scheme_Tracker'!$S$4:$S$453)</f>
        <v/>
      </c>
      <c r="I92" s="52" t="inlineStr">
        <is>
          <t>Samangan</t>
        </is>
      </c>
      <c r="J92" s="52" t="inlineStr">
        <is>
          <t>Aybak</t>
        </is>
      </c>
      <c r="K92" s="52" t="inlineStr">
        <is>
          <t>Under Construction</t>
        </is>
      </c>
      <c r="L92" s="54" t="n">
        <v>46225</v>
      </c>
      <c r="M92" s="54" t="n">
        <v>46347</v>
      </c>
      <c r="N92" s="52" t="inlineStr">
        <is>
          <t>Mudeser Bigmurad Construction Company (MBCC)</t>
        </is>
      </c>
      <c r="O92" s="83" t="inlineStr">
        <is>
          <t>045/2026</t>
        </is>
      </c>
      <c r="P92" s="86" t="inlineStr">
        <is>
          <t>3.WSM awarded contracts</t>
        </is>
      </c>
    </row>
    <row r="93" ht="28" customHeight="1">
      <c r="A93" s="87" t="inlineStr">
        <is>
          <t>AF2-WSM-33</t>
        </is>
      </c>
      <c r="B93" s="44" t="inlineStr">
        <is>
          <t>Package #33-AF2 WSM: Construction of 2 Check dams of Ala Taba-1 and Ala Taba-2 in Ablurz district of Balkh province.</t>
        </is>
      </c>
      <c r="C93" s="44" t="inlineStr">
        <is>
          <t>Watershed Management</t>
        </is>
      </c>
      <c r="D93" s="88" t="inlineStr">
        <is>
          <t>Not awarded</t>
        </is>
      </c>
      <c r="E93" s="94" t="inlineStr">
        <is>
          <t>PR to be Raised</t>
        </is>
      </c>
      <c r="F93" s="88" t="inlineStr">
        <is>
          <t>No</t>
        </is>
      </c>
      <c r="G93" s="49">
        <f>COUNTIF('01_Scheme_Tracker'!$B$4:$B$453,A93)</f>
        <v/>
      </c>
      <c r="H93" s="85">
        <f>SUMIF('01_Scheme_Tracker'!$B$4:$B$453,A93,'01_Scheme_Tracker'!$S$4:$S$453)</f>
        <v/>
      </c>
      <c r="I93" s="44" t="inlineStr">
        <is>
          <t>Balkh</t>
        </is>
      </c>
      <c r="J93" s="44" t="inlineStr">
        <is>
          <t>Alburz</t>
        </is>
      </c>
      <c r="K93" s="44" t="inlineStr">
        <is>
          <t>PR to be Raised</t>
        </is>
      </c>
      <c r="L93" s="47" t="n">
        <v>46351</v>
      </c>
      <c r="M93" s="47" t="n">
        <v>46531</v>
      </c>
      <c r="N93" s="44" t="inlineStr"/>
      <c r="O93" s="88" t="inlineStr"/>
      <c r="P93" s="90" t="inlineStr">
        <is>
          <t>4.WSM remaining contracts</t>
        </is>
      </c>
    </row>
    <row r="94" ht="28" customHeight="1">
      <c r="A94" s="82" t="inlineStr">
        <is>
          <t>AF2-WSM-34</t>
        </is>
      </c>
      <c r="B94" s="52" t="inlineStr">
        <is>
          <t>Package #34-AF2 WSM: Construction of two Check dams, 1.Tawqus Sangaw and 2. Khalkoma in Kalbad and Ali Abad district of Kunduz province.</t>
        </is>
      </c>
      <c r="C94" s="52" t="inlineStr">
        <is>
          <t>Watershed Management</t>
        </is>
      </c>
      <c r="D94" s="83" t="inlineStr">
        <is>
          <t>Not awarded</t>
        </is>
      </c>
      <c r="E94" s="89" t="inlineStr">
        <is>
          <t>ITB Launched</t>
        </is>
      </c>
      <c r="F94" s="83" t="inlineStr">
        <is>
          <t>No</t>
        </is>
      </c>
      <c r="G94" s="49">
        <f>COUNTIF('01_Scheme_Tracker'!$B$4:$B$453,A94)</f>
        <v/>
      </c>
      <c r="H94" s="85">
        <f>SUMIF('01_Scheme_Tracker'!$B$4:$B$453,A94,'01_Scheme_Tracker'!$S$4:$S$453)</f>
        <v/>
      </c>
      <c r="I94" s="52" t="inlineStr">
        <is>
          <t>Kunduz</t>
        </is>
      </c>
      <c r="J94" s="52" t="inlineStr">
        <is>
          <t>Ali Abad, Kalbad</t>
        </is>
      </c>
      <c r="K94" s="52" t="inlineStr">
        <is>
          <t>ITB Launched</t>
        </is>
      </c>
      <c r="L94" s="54" t="n">
        <v>46326</v>
      </c>
      <c r="M94" s="54" t="n">
        <v>46506</v>
      </c>
      <c r="N94" s="52" t="inlineStr"/>
      <c r="O94" s="83" t="inlineStr"/>
      <c r="P94" s="86" t="inlineStr">
        <is>
          <t>4.WSM remaining contracts</t>
        </is>
      </c>
    </row>
  </sheetData>
  <autoFilter ref="A3:P94"/>
  <mergeCells count="2">
    <mergeCell ref="A1:P1"/>
    <mergeCell ref="A2:P2"/>
  </mergeCells>
  <pageMargins left="0.75" right="0.75" top="1" bottom="1" header="0.5" footer="0.5"/>
  <pageSetup orientation="landscape" fitToHeight="0" fitToWidth="1"/>
  <headerFooter>
    <oddHeader/>
    <oddFooter>&amp;LPackage summary — one row per AF-2 contract&amp;RPage &amp;P of &amp;N</oddFooter>
    <evenHeader/>
    <evenFooter/>
    <firstHeader/>
    <firstFooter/>
  </headerFooter>
</worksheet>
</file>

<file path=xl/worksheets/sheet5.xml><?xml version="1.0" encoding="utf-8"?>
<worksheet xmlns="http://schemas.openxmlformats.org/spreadsheetml/2006/main">
  <sheetPr>
    <tabColor rgb="002E5984"/>
    <outlinePr summaryBelow="1" summaryRight="1"/>
    <pageSetUpPr fitToPage="1"/>
  </sheetPr>
  <dimension ref="A1:J44"/>
  <sheetViews>
    <sheetView showGridLines="0" workbookViewId="0">
      <pane ySplit="3" topLeftCell="A4" activePane="bottomLeft" state="frozen"/>
      <selection pane="bottomLeft" activeCell="A1" sqref="A1"/>
    </sheetView>
  </sheetViews>
  <sheetFormatPr baseColWidth="8" defaultRowHeight="15"/>
  <cols>
    <col width="48" customWidth="1" min="1" max="1"/>
    <col width="14" customWidth="1" min="2" max="2"/>
    <col width="14" customWidth="1" min="3" max="3"/>
    <col width="16" customWidth="1" min="4" max="4"/>
    <col width="22" customWidth="1" min="5" max="5"/>
    <col width="20" customWidth="1" min="6" max="6"/>
    <col width="56" customWidth="1" min="7" max="7"/>
    <col width="26" customWidth="1" min="8" max="8"/>
    <col width="28" customWidth="1" min="9" max="9"/>
    <col width="32" customWidth="1" min="10" max="10"/>
  </cols>
  <sheetData>
    <row r="1" ht="26" customHeight="1">
      <c r="A1" s="21" t="inlineStr">
        <is>
          <t>Contracts by contractor — one row per company. Count unique Package IDs / contract numbers, not tracker rows.</t>
        </is>
      </c>
      <c r="B1" s="22" t="n"/>
      <c r="C1" s="22" t="n"/>
      <c r="D1" s="22" t="n"/>
      <c r="E1" s="22" t="n"/>
      <c r="F1" s="22" t="n"/>
      <c r="G1" s="22" t="n"/>
      <c r="H1" s="22" t="n"/>
      <c r="I1" s="22" t="n"/>
      <c r="J1" s="22" t="n"/>
    </row>
    <row r="2" ht="44" customHeight="1">
      <c r="A2" s="68" t="inlineStr">
        <is>
          <t>Example: Zahid Saeed Engineering and Construction Company (ZSCC) is awarded one contract (Package #10-AF2 IS, contract 057/2025) covering four canals in Wardak. On 01_Scheme_Tracker the name appears four times because each canal is a sub-project. Filter this sheet or 03_Package_Summary by Contractor Name to list a company's contracts.</t>
        </is>
      </c>
      <c r="B2" s="8" t="n"/>
      <c r="C2" s="8" t="n"/>
      <c r="D2" s="8" t="n"/>
      <c r="E2" s="8" t="n"/>
      <c r="F2" s="8" t="n"/>
      <c r="G2" s="8" t="n"/>
      <c r="H2" s="8" t="n"/>
      <c r="I2" s="8" t="n"/>
      <c r="J2" s="8" t="n"/>
    </row>
    <row r="3">
      <c r="A3" s="9" t="inlineStr">
        <is>
          <t>Contractor Name</t>
        </is>
      </c>
      <c r="B3" s="9" t="inlineStr">
        <is>
          <t>Awarded contracts</t>
        </is>
      </c>
      <c r="C3" s="9" t="inlineStr">
        <is>
          <t>Awarded sub-projects</t>
        </is>
      </c>
      <c r="D3" s="9" t="inlineStr">
        <is>
          <t>Total cost (USD)</t>
        </is>
      </c>
      <c r="E3" s="9" t="inlineStr">
        <is>
          <t>Package IDs</t>
        </is>
      </c>
      <c r="F3" s="9" t="inlineStr">
        <is>
          <t>Contract number(s)</t>
        </is>
      </c>
      <c r="G3" s="9" t="inlineStr">
        <is>
          <t>Package / Contract Name</t>
        </is>
      </c>
      <c r="H3" s="9" t="inlineStr">
        <is>
          <t>Major intervention</t>
        </is>
      </c>
      <c r="I3" s="9" t="inlineStr">
        <is>
          <t>Provinces</t>
        </is>
      </c>
      <c r="J3" s="9" t="inlineStr">
        <is>
          <t>Districts</t>
        </is>
      </c>
    </row>
    <row r="4" ht="32" customHeight="1">
      <c r="A4" s="82" t="inlineStr">
        <is>
          <t>Faiz Qurbani Construction Company (FQCC)</t>
        </is>
      </c>
      <c r="B4" s="55" t="n">
        <v>1</v>
      </c>
      <c r="C4" s="49">
        <f>COUNTIF('01_Scheme_Tracker'!$Q$4:$Q$453,A4)</f>
        <v/>
      </c>
      <c r="D4" s="85">
        <f>SUMIF('01_Scheme_Tracker'!$Q$4:$Q$453,A4,'01_Scheme_Tracker'!$S$4:$S$453)</f>
        <v/>
      </c>
      <c r="E4" s="52" t="inlineStr">
        <is>
          <t>AF2-WSM-26</t>
        </is>
      </c>
      <c r="F4" s="52" t="inlineStr">
        <is>
          <t>027/2026</t>
        </is>
      </c>
      <c r="G4" s="52" t="inlineStr">
        <is>
          <t>Package # 26 – AF2 WSM: Construction of 6 Check Dams in 6 sites of A. Yawol Ha site # 1 and # 2 in Teshkan District, B. Sewak Dara site # 3, Golaki site # 4 in Darayim District, C. Khanaqa site # 5, and Sum Dara site # 6 in Arghanj Khwah District of Badakhshan Province</t>
        </is>
      </c>
      <c r="H4" s="52" t="inlineStr">
        <is>
          <t>Watershed Management</t>
        </is>
      </c>
      <c r="I4" s="52" t="inlineStr">
        <is>
          <t>Badakhshan</t>
        </is>
      </c>
      <c r="J4" s="52" t="inlineStr">
        <is>
          <t>Teshkan, Darayim, Arghanj Khwah</t>
        </is>
      </c>
    </row>
    <row r="5" ht="32" customHeight="1">
      <c r="A5" s="87" t="inlineStr">
        <is>
          <t>Shafiqullah Wahidi Construction Company (SWCC)</t>
        </is>
      </c>
      <c r="B5" s="48" t="n">
        <v>1</v>
      </c>
      <c r="C5" s="49">
        <f>COUNTIF('01_Scheme_Tracker'!$Q$4:$Q$453,A5)</f>
        <v/>
      </c>
      <c r="D5" s="85">
        <f>SUMIF('01_Scheme_Tracker'!$Q$4:$Q$453,A5,'01_Scheme_Tracker'!$S$4:$S$453)</f>
        <v/>
      </c>
      <c r="E5" s="44" t="inlineStr">
        <is>
          <t>AF2-WSM-27</t>
        </is>
      </c>
      <c r="F5" s="44" t="inlineStr">
        <is>
          <t>037/2026</t>
        </is>
      </c>
      <c r="G5" s="44" t="inlineStr">
        <is>
          <t>Package #27-AF2 WSM: Construction of 5 Check Dams in 5 district sites of 1. Sholish Darra in Namak Ab, 2.Gaji Darra in Hazar Sumoch, 3.Silaba in Khwaja Ghar, 4.Shoor Toghai in Khwaja Bahawudd in and 5.Khalyazi in Yangi Qala districts of Takhar province.</t>
        </is>
      </c>
      <c r="H5" s="44" t="inlineStr">
        <is>
          <t>Watershed Management</t>
        </is>
      </c>
      <c r="I5" s="44" t="inlineStr">
        <is>
          <t>Takhar</t>
        </is>
      </c>
      <c r="J5" s="44" t="inlineStr">
        <is>
          <t>Namak Ab, Hazar Sumoch, Khwaja Ghar, Khwaja Bahawuddin, Yangi Qala</t>
        </is>
      </c>
    </row>
    <row r="6" ht="32" customHeight="1">
      <c r="A6" s="82" t="inlineStr">
        <is>
          <t>Afghan Laser Engineering and Construction Company (ALCC)</t>
        </is>
      </c>
      <c r="B6" s="55" t="n">
        <v>1</v>
      </c>
      <c r="C6" s="49">
        <f>COUNTIF('01_Scheme_Tracker'!$Q$4:$Q$453,A6)</f>
        <v/>
      </c>
      <c r="D6" s="85">
        <f>SUMIF('01_Scheme_Tracker'!$Q$4:$Q$453,A6,'01_Scheme_Tracker'!$S$4:$S$453)</f>
        <v/>
      </c>
      <c r="E6" s="52" t="inlineStr">
        <is>
          <t>AF2-WSM-23</t>
        </is>
      </c>
      <c r="F6" s="52" t="inlineStr">
        <is>
          <t>057/2026</t>
        </is>
      </c>
      <c r="G6" s="52" t="inlineStr">
        <is>
          <t>Package #23-AF2 WSM: Construction of 1,Payazak, 2.Sharak, 3.Khairtot, and 4. Mula Hanifiya Check Dams, located in Shawalikot district of Kandahar province.</t>
        </is>
      </c>
      <c r="H6" s="52" t="inlineStr">
        <is>
          <t>Watershed Management</t>
        </is>
      </c>
      <c r="I6" s="52" t="inlineStr">
        <is>
          <t>Kandahar</t>
        </is>
      </c>
      <c r="J6" s="52" t="inlineStr">
        <is>
          <t>Shawalikot</t>
        </is>
      </c>
    </row>
    <row r="7" ht="32" customHeight="1">
      <c r="A7" s="87" t="inlineStr">
        <is>
          <t>Bakhter Pairoz Construction Company (BPCC)</t>
        </is>
      </c>
      <c r="B7" s="48" t="n">
        <v>1</v>
      </c>
      <c r="C7" s="49">
        <f>COUNTIF('01_Scheme_Tracker'!$Q$4:$Q$453,A7)</f>
        <v/>
      </c>
      <c r="D7" s="85">
        <f>SUMIF('01_Scheme_Tracker'!$Q$4:$Q$453,A7,'01_Scheme_Tracker'!$S$4:$S$453)</f>
        <v/>
      </c>
      <c r="E7" s="44" t="inlineStr">
        <is>
          <t>AF2-WSM-21</t>
        </is>
      </c>
      <c r="F7" s="44" t="inlineStr">
        <is>
          <t>031/2026</t>
        </is>
      </c>
      <c r="G7" s="44" t="inlineStr">
        <is>
          <t>Package #21-AF2 WSM: Construction of 4 Check Dams 1.Choghazey and 2.Sardarkey in Arghistan, 3. Loy Laher in Spin Boldak and 4.Ab Samad Aka in Takhta Pull districts of Kandahar province.</t>
        </is>
      </c>
      <c r="H7" s="44" t="inlineStr">
        <is>
          <t>Watershed Management</t>
        </is>
      </c>
      <c r="I7" s="44" t="inlineStr">
        <is>
          <t>Kandahar</t>
        </is>
      </c>
      <c r="J7" s="44" t="inlineStr">
        <is>
          <t>Takhta Pul, Arghistan, Spin Boldak</t>
        </is>
      </c>
    </row>
    <row r="8" ht="32" customHeight="1">
      <c r="A8" s="82" t="inlineStr">
        <is>
          <t>Estehkam Baba Construction and Road Construction Company (EBCC)</t>
        </is>
      </c>
      <c r="B8" s="55" t="n">
        <v>1</v>
      </c>
      <c r="C8" s="49">
        <f>COUNTIF('01_Scheme_Tracker'!$Q$4:$Q$453,A8)</f>
        <v/>
      </c>
      <c r="D8" s="85">
        <f>SUMIF('01_Scheme_Tracker'!$Q$4:$Q$453,A8,'01_Scheme_Tracker'!$S$4:$S$453)</f>
        <v/>
      </c>
      <c r="E8" s="52" t="inlineStr">
        <is>
          <t>AF2-WSM-13</t>
        </is>
      </c>
      <c r="F8" s="52" t="inlineStr">
        <is>
          <t>051/2026</t>
        </is>
      </c>
      <c r="G8" s="52" t="inlineStr">
        <is>
          <t>Package #13-AF2 WSM: Construction of 4 Check Dams in 4 district sites of 1.Kata Khana in Yakawlang , 2. Nawora in Panjab, 3.Nahorak in Waras, and 4.Bayani in Sayghan districts of Bamyan province</t>
        </is>
      </c>
      <c r="H8" s="52" t="inlineStr">
        <is>
          <t>Watershed Management</t>
        </is>
      </c>
      <c r="I8" s="52" t="inlineStr">
        <is>
          <t>Bamyan</t>
        </is>
      </c>
      <c r="J8" s="52" t="inlineStr">
        <is>
          <t>Yakawalang, Panjab, Waras, Sayghan</t>
        </is>
      </c>
    </row>
    <row r="9" ht="32" customHeight="1">
      <c r="A9" s="87" t="inlineStr">
        <is>
          <t>Khaliqi Building &amp; Road Construction Company (KBRCC)</t>
        </is>
      </c>
      <c r="B9" s="48" t="n">
        <v>1</v>
      </c>
      <c r="C9" s="49">
        <f>COUNTIF('01_Scheme_Tracker'!$Q$4:$Q$453,A9)</f>
        <v/>
      </c>
      <c r="D9" s="85">
        <f>SUMIF('01_Scheme_Tracker'!$Q$4:$Q$453,A9,'01_Scheme_Tracker'!$S$4:$S$453)</f>
        <v/>
      </c>
      <c r="E9" s="44" t="inlineStr">
        <is>
          <t>AF2-WSM-05</t>
        </is>
      </c>
      <c r="F9" s="44" t="inlineStr">
        <is>
          <t>040/2026</t>
        </is>
      </c>
      <c r="G9" s="44" t="inlineStr">
        <is>
          <t>Package #5-AF2 WSM/Part-2: Construction of 4 Check dams of 1.Farman Khil and 2.Kharoti in Qarghaee district of Laghman province; 3. Lokhy Solozi and 4. Lala Kali in Chaparhar districts of Nangarhar province.</t>
        </is>
      </c>
      <c r="H9" s="44" t="inlineStr">
        <is>
          <t>Watershed Management</t>
        </is>
      </c>
      <c r="I9" s="44" t="inlineStr">
        <is>
          <t>Laghman, Nangarhar</t>
        </is>
      </c>
      <c r="J9" s="44" t="inlineStr">
        <is>
          <t>Qarghaee, Chaparhar</t>
        </is>
      </c>
    </row>
    <row r="10" ht="32" customHeight="1">
      <c r="A10" s="82" t="inlineStr">
        <is>
          <t>Sayed Abad Construction Company (SACC)</t>
        </is>
      </c>
      <c r="B10" s="55" t="n">
        <v>1</v>
      </c>
      <c r="C10" s="49">
        <f>COUNTIF('01_Scheme_Tracker'!$Q$4:$Q$453,A10)</f>
        <v/>
      </c>
      <c r="D10" s="85">
        <f>SUMIF('01_Scheme_Tracker'!$Q$4:$Q$453,A10,'01_Scheme_Tracker'!$S$4:$S$453)</f>
        <v/>
      </c>
      <c r="E10" s="52" t="inlineStr">
        <is>
          <t>AF2-WSM-09</t>
        </is>
      </c>
      <c r="F10" s="52" t="inlineStr">
        <is>
          <t>021/2026</t>
        </is>
      </c>
      <c r="G10" s="52" t="inlineStr">
        <is>
          <t>Package #9-AF2 WSM: Construction of 1.Aka Khil Check dam and 2. Sra Qala Check dam in Sayed district, 3.Khar Check dam and 4.Mardala Check dam, located in Jaghatu districts of Wardak province.</t>
        </is>
      </c>
      <c r="H10" s="52" t="inlineStr">
        <is>
          <t>Watershed Management</t>
        </is>
      </c>
      <c r="I10" s="52" t="inlineStr">
        <is>
          <t>Maidan Wardak</t>
        </is>
      </c>
      <c r="J10" s="52" t="inlineStr">
        <is>
          <t>Sayed Abad, Jaghatu</t>
        </is>
      </c>
    </row>
    <row r="11" ht="32" customHeight="1">
      <c r="A11" s="87" t="inlineStr">
        <is>
          <t>Zahid Saeed Engineering and Construction Company (ZSCC)</t>
        </is>
      </c>
      <c r="B11" s="48" t="n">
        <v>1</v>
      </c>
      <c r="C11" s="49">
        <f>COUNTIF('01_Scheme_Tracker'!$Q$4:$Q$453,A11)</f>
        <v/>
      </c>
      <c r="D11" s="85">
        <f>SUMIF('01_Scheme_Tracker'!$Q$4:$Q$453,A11,'01_Scheme_Tracker'!$S$4:$S$453)</f>
        <v/>
      </c>
      <c r="E11" s="44" t="inlineStr">
        <is>
          <t>AF2-IS-10</t>
        </is>
      </c>
      <c r="F11" s="44" t="inlineStr">
        <is>
          <t>057/2025</t>
        </is>
      </c>
      <c r="G11" s="44" t="inlineStr">
        <is>
          <t>Package #10-AF2 IS: Rehabilitation of 1.Baraki canal, 2. Darbal canal, 3. Nawikhar canal and 4. Mangali canal irrigation schemes, located in Sayed Abad, Chak and Jaghato districts of Wardak province.</t>
        </is>
      </c>
      <c r="H11" s="44" t="inlineStr">
        <is>
          <t>Irrigation Scheme</t>
        </is>
      </c>
      <c r="I11" s="44" t="inlineStr">
        <is>
          <t>Wardak</t>
        </is>
      </c>
      <c r="J11" s="44" t="inlineStr">
        <is>
          <t>Sayed Abad, Chak, Jaghato</t>
        </is>
      </c>
    </row>
    <row r="12" ht="32" customHeight="1">
      <c r="A12" s="82" t="inlineStr">
        <is>
          <t>Afghan Aakam Construction and Road Company. JV with D- Amini Mashwani Construction Company (AACC)</t>
        </is>
      </c>
      <c r="B12" s="55" t="n">
        <v>1</v>
      </c>
      <c r="C12" s="49">
        <f>COUNTIF('01_Scheme_Tracker'!$Q$4:$Q$453,A12)</f>
        <v/>
      </c>
      <c r="D12" s="85">
        <f>SUMIF('01_Scheme_Tracker'!$Q$4:$Q$453,A12,'01_Scheme_Tracker'!$S$4:$S$453)</f>
        <v/>
      </c>
      <c r="E12" s="52" t="inlineStr">
        <is>
          <t>AF2-WSM-03</t>
        </is>
      </c>
      <c r="F12" s="52" t="inlineStr">
        <is>
          <t>006/2026</t>
        </is>
      </c>
      <c r="G12" s="52" t="inlineStr">
        <is>
          <t>Package #3 -AF2 WSM: Construction of Koklam three Check Dams (# 1, # 2 and # 3 ) in Kushk-e-Kohna District of Herat Province</t>
        </is>
      </c>
      <c r="H12" s="52" t="inlineStr">
        <is>
          <t>Watershed Management</t>
        </is>
      </c>
      <c r="I12" s="52" t="inlineStr">
        <is>
          <t>Herat</t>
        </is>
      </c>
      <c r="J12" s="52" t="inlineStr">
        <is>
          <t>Koshk-e-Kohna</t>
        </is>
      </c>
    </row>
    <row r="13" ht="32" customHeight="1">
      <c r="A13" s="87" t="inlineStr">
        <is>
          <t>Afghan Eithad construction and Road Building company (AECC)</t>
        </is>
      </c>
      <c r="B13" s="48" t="n">
        <v>1</v>
      </c>
      <c r="C13" s="49">
        <f>COUNTIF('01_Scheme_Tracker'!$Q$4:$Q$453,A13)</f>
        <v/>
      </c>
      <c r="D13" s="85">
        <f>SUMIF('01_Scheme_Tracker'!$Q$4:$Q$453,A13,'01_Scheme_Tracker'!$S$4:$S$453)</f>
        <v/>
      </c>
      <c r="E13" s="44" t="inlineStr">
        <is>
          <t>AF2-IS-31</t>
        </is>
      </c>
      <c r="F13" s="44" t="inlineStr">
        <is>
          <t>009/2026</t>
        </is>
      </c>
      <c r="G13" s="44" t="inlineStr">
        <is>
          <t>Package #31-AF2 IS: Rehabilitation of 1. Shahidan &amp;Dasht-e Lajam Canal schems in Tala wa barfak district, 2.Sardar Ha canal scheme in Deh Salah district, and 3. Kambilan cluster canal schemes in Fring districts of Baghlan province.</t>
        </is>
      </c>
      <c r="H13" s="44" t="inlineStr">
        <is>
          <t>Irrigation Scheme</t>
        </is>
      </c>
      <c r="I13" s="44" t="inlineStr">
        <is>
          <t>Baghlan</t>
        </is>
      </c>
      <c r="J13" s="44" t="inlineStr">
        <is>
          <t>Fring, Deh Salah, Tala wa barfak</t>
        </is>
      </c>
    </row>
    <row r="14" ht="32" customHeight="1">
      <c r="A14" s="82" t="inlineStr">
        <is>
          <t>ALTIN CONSTRUCTION AND ROAD BUILDING COMPANY (ACC)</t>
        </is>
      </c>
      <c r="B14" s="55" t="n">
        <v>1</v>
      </c>
      <c r="C14" s="49">
        <f>COUNTIF('01_Scheme_Tracker'!$Q$4:$Q$453,A14)</f>
        <v/>
      </c>
      <c r="D14" s="85">
        <f>SUMIF('01_Scheme_Tracker'!$Q$4:$Q$453,A14,'01_Scheme_Tracker'!$S$4:$S$453)</f>
        <v/>
      </c>
      <c r="E14" s="52" t="inlineStr">
        <is>
          <t>AF2-WSM-08</t>
        </is>
      </c>
      <c r="F14" s="52" t="inlineStr">
        <is>
          <t>005/2026</t>
        </is>
      </c>
      <c r="G14" s="52" t="inlineStr">
        <is>
          <t>Package #8-AF2 WSM: Construction of 1.Ghazgai Check dam in Khake Jabar districts, 2.Toop Dara Check dam and 3.Toot Dara Check dam in Center/ 13th City district Kabul province.</t>
        </is>
      </c>
      <c r="H14" s="52" t="inlineStr">
        <is>
          <t>Watershed Management</t>
        </is>
      </c>
      <c r="I14" s="52" t="inlineStr">
        <is>
          <t>Kabul</t>
        </is>
      </c>
      <c r="J14" s="52" t="inlineStr">
        <is>
          <t>Center, Khake Jabar</t>
        </is>
      </c>
    </row>
    <row r="15" ht="32" customHeight="1">
      <c r="A15" s="87" t="inlineStr">
        <is>
          <t>Arman Millad Construction Company (AMCC)</t>
        </is>
      </c>
      <c r="B15" s="48" t="n">
        <v>1</v>
      </c>
      <c r="C15" s="49">
        <f>COUNTIF('01_Scheme_Tracker'!$Q$4:$Q$453,A15)</f>
        <v/>
      </c>
      <c r="D15" s="85">
        <f>SUMIF('01_Scheme_Tracker'!$Q$4:$Q$453,A15,'01_Scheme_Tracker'!$S$4:$S$453)</f>
        <v/>
      </c>
      <c r="E15" s="44" t="inlineStr">
        <is>
          <t>AF2-IS-02</t>
        </is>
      </c>
      <c r="F15" s="44" t="inlineStr">
        <is>
          <t>046/2026</t>
        </is>
      </c>
      <c r="G15" s="44" t="inlineStr">
        <is>
          <t>Package # 2-AF2 IS: Rehabilitation of irrigation schemes of 1.Ali Mansoor Canal in Karukh district, 2.Joy Sork and 3.Sar Kari canals in Farsi districts of Herat province.</t>
        </is>
      </c>
      <c r="H15" s="44" t="inlineStr">
        <is>
          <t>Irrigation Scheme</t>
        </is>
      </c>
      <c r="I15" s="44" t="inlineStr">
        <is>
          <t>Herat</t>
        </is>
      </c>
      <c r="J15" s="44" t="inlineStr">
        <is>
          <t>Karukh, Farsi</t>
        </is>
      </c>
    </row>
    <row r="16" ht="32" customHeight="1">
      <c r="A16" s="82" t="inlineStr">
        <is>
          <t>Bahartamadun Construction Company (BCC)</t>
        </is>
      </c>
      <c r="B16" s="55" t="n">
        <v>1</v>
      </c>
      <c r="C16" s="49">
        <f>COUNTIF('01_Scheme_Tracker'!$Q$4:$Q$453,A16)</f>
        <v/>
      </c>
      <c r="D16" s="85">
        <f>SUMIF('01_Scheme_Tracker'!$Q$4:$Q$453,A16,'01_Scheme_Tracker'!$S$4:$S$453)</f>
        <v/>
      </c>
      <c r="E16" s="52" t="inlineStr">
        <is>
          <t>AF2-WSM-15</t>
        </is>
      </c>
      <c r="F16" s="52" t="inlineStr">
        <is>
          <t>065/2026</t>
        </is>
      </c>
      <c r="G16" s="52" t="inlineStr">
        <is>
          <t>Package #15-AF2 WSM: Construction of 3 Check dams of 1. Sangmom, 2. Shilan Korga, and 3.Khulbar in Nili, Ashtarlay, and Sang Takhta districts of Daykundi province.</t>
        </is>
      </c>
      <c r="H16" s="52" t="inlineStr">
        <is>
          <t>Watershed Management</t>
        </is>
      </c>
      <c r="I16" s="52" t="inlineStr">
        <is>
          <t>Daykundi</t>
        </is>
      </c>
      <c r="J16" s="52" t="inlineStr">
        <is>
          <t>Sang Takht wa Bandar, Nili, Ashtarlay</t>
        </is>
      </c>
    </row>
    <row r="17" ht="32" customHeight="1">
      <c r="A17" s="87" t="inlineStr">
        <is>
          <t>Da Maidan Zawahnono Construction Company (DMZCC)</t>
        </is>
      </c>
      <c r="B17" s="48" t="n">
        <v>1</v>
      </c>
      <c r="C17" s="49">
        <f>COUNTIF('01_Scheme_Tracker'!$Q$4:$Q$453,A17)</f>
        <v/>
      </c>
      <c r="D17" s="85">
        <f>SUMIF('01_Scheme_Tracker'!$Q$4:$Q$453,A17,'01_Scheme_Tracker'!$S$4:$S$453)</f>
        <v/>
      </c>
      <c r="E17" s="44" t="inlineStr">
        <is>
          <t>AF2-WSM-14</t>
        </is>
      </c>
      <c r="F17" s="44" t="inlineStr">
        <is>
          <t>025/2026</t>
        </is>
      </c>
      <c r="G17" s="44" t="inlineStr">
        <is>
          <t>Package #14-AF2 WSM: Construction of 1.Shahristan Check dama in Shahristan district, 2.Miramor Check dam in Miramor district, and 3.Khidir Check dams in Khidir districts of Daykundi province.</t>
        </is>
      </c>
      <c r="H17" s="44" t="inlineStr">
        <is>
          <t>Watershed Management</t>
        </is>
      </c>
      <c r="I17" s="44" t="inlineStr">
        <is>
          <t>Daykundi</t>
        </is>
      </c>
      <c r="J17" s="44" t="inlineStr">
        <is>
          <t>Shahristan, Miramor, Khidir</t>
        </is>
      </c>
    </row>
    <row r="18" ht="32" customHeight="1">
      <c r="A18" s="82" t="inlineStr">
        <is>
          <t>Green Bentley construction Company (GBCC)</t>
        </is>
      </c>
      <c r="B18" s="55" t="n">
        <v>1</v>
      </c>
      <c r="C18" s="49">
        <f>COUNTIF('01_Scheme_Tracker'!$Q$4:$Q$453,A18)</f>
        <v/>
      </c>
      <c r="D18" s="85">
        <f>SUMIF('01_Scheme_Tracker'!$Q$4:$Q$453,A18,'01_Scheme_Tracker'!$S$4:$S$453)</f>
        <v/>
      </c>
      <c r="E18" s="52" t="inlineStr">
        <is>
          <t>AF2-WSM-07</t>
        </is>
      </c>
      <c r="F18" s="52" t="inlineStr">
        <is>
          <t>064/2026</t>
        </is>
      </c>
      <c r="G18" s="52" t="inlineStr">
        <is>
          <t>Package #7-AF2 WSM: Construction of 3 Check dams of 1.Dargrak, 2. Migano, and 3.Lachagali the Sawkai, Khas Kunar and Narang districts of Kunar province.</t>
        </is>
      </c>
      <c r="H18" s="52" t="inlineStr">
        <is>
          <t>Watershed Management</t>
        </is>
      </c>
      <c r="I18" s="52" t="inlineStr">
        <is>
          <t>Kunar</t>
        </is>
      </c>
      <c r="J18" s="52" t="inlineStr">
        <is>
          <t>Sawkai, Narang, Khas Kunar</t>
        </is>
      </c>
    </row>
    <row r="19" ht="32" customHeight="1">
      <c r="A19" s="87" t="inlineStr">
        <is>
          <t>Hemat Ghorzang Construction &amp; Logistic Service Company (HGCC)</t>
        </is>
      </c>
      <c r="B19" s="48" t="n">
        <v>1</v>
      </c>
      <c r="C19" s="49">
        <f>COUNTIF('01_Scheme_Tracker'!$Q$4:$Q$453,A19)</f>
        <v/>
      </c>
      <c r="D19" s="85">
        <f>SUMIF('01_Scheme_Tracker'!$Q$4:$Q$453,A19,'01_Scheme_Tracker'!$S$4:$S$453)</f>
        <v/>
      </c>
      <c r="E19" s="44" t="inlineStr">
        <is>
          <t>AF2-WSM-11</t>
        </is>
      </c>
      <c r="F19" s="44" t="inlineStr">
        <is>
          <t>043/2026</t>
        </is>
      </c>
      <c r="G19" s="44" t="inlineStr">
        <is>
          <t>Package #11-AF2 WSM: Construction of 3 Check dams 1.Wolangak in Shikh Ali, 2.Sanzalai, and 3.Sharkai Olia in Koh-e-Safi district of Parwan province.</t>
        </is>
      </c>
      <c r="H19" s="44" t="inlineStr">
        <is>
          <t>Watershed Management</t>
        </is>
      </c>
      <c r="I19" s="44" t="inlineStr">
        <is>
          <t>Parwan</t>
        </is>
      </c>
      <c r="J19" s="44" t="inlineStr">
        <is>
          <t>Koh-e-Safi, Shikh Ali</t>
        </is>
      </c>
    </row>
    <row r="20" ht="32" customHeight="1">
      <c r="A20" s="82" t="inlineStr">
        <is>
          <t>Kapisa Kohna Dah Construction Company (KKCC)</t>
        </is>
      </c>
      <c r="B20" s="55" t="n">
        <v>1</v>
      </c>
      <c r="C20" s="49">
        <f>COUNTIF('01_Scheme_Tracker'!$Q$4:$Q$453,A20)</f>
        <v/>
      </c>
      <c r="D20" s="85">
        <f>SUMIF('01_Scheme_Tracker'!$Q$4:$Q$453,A20,'01_Scheme_Tracker'!$S$4:$S$453)</f>
        <v/>
      </c>
      <c r="E20" s="52" t="inlineStr">
        <is>
          <t>AF2-WSM-10</t>
        </is>
      </c>
      <c r="F20" s="52" t="inlineStr">
        <is>
          <t>020/2026</t>
        </is>
      </c>
      <c r="G20" s="52" t="inlineStr">
        <is>
          <t>Package #10-AF2 WSM: Construction of Loy Shenkai Check dams # 1 and # 2 in Tagab district, and Shahr-e-Naw Check dam # 3 located in Nijrab districts of Kapisa province.</t>
        </is>
      </c>
      <c r="H20" s="52" t="inlineStr">
        <is>
          <t>Watershed Management</t>
        </is>
      </c>
      <c r="I20" s="52" t="inlineStr">
        <is>
          <t>Kapisa</t>
        </is>
      </c>
      <c r="J20" s="52" t="inlineStr">
        <is>
          <t>Tagab, Nijrab</t>
        </is>
      </c>
    </row>
    <row r="21" ht="32" customHeight="1">
      <c r="A21" s="87" t="inlineStr">
        <is>
          <t>Naeemi Safi Construction &amp; Construction Material Company (NSCC)</t>
        </is>
      </c>
      <c r="B21" s="48" t="n">
        <v>1</v>
      </c>
      <c r="C21" s="49">
        <f>COUNTIF('01_Scheme_Tracker'!$Q$4:$Q$453,A21)</f>
        <v/>
      </c>
      <c r="D21" s="85">
        <f>SUMIF('01_Scheme_Tracker'!$Q$4:$Q$453,A21,'01_Scheme_Tracker'!$S$4:$S$453)</f>
        <v/>
      </c>
      <c r="E21" s="44" t="inlineStr">
        <is>
          <t>AF2-WSM-06</t>
        </is>
      </c>
      <c r="F21" s="44" t="inlineStr">
        <is>
          <t>065/2026</t>
        </is>
      </c>
      <c r="G21" s="44" t="inlineStr">
        <is>
          <t>Package #6-AF2 WSM: Construction of Jarobi Tangi, Chaghari and Adore check dams, located in Shirzad, Rodat, and Khogyani, districts of Nangarhar province.</t>
        </is>
      </c>
      <c r="H21" s="44" t="inlineStr">
        <is>
          <t>Watershed Management</t>
        </is>
      </c>
      <c r="I21" s="44" t="inlineStr">
        <is>
          <t>Nangarhar</t>
        </is>
      </c>
      <c r="J21" s="44" t="inlineStr">
        <is>
          <t>Sherzad, Rodat, Khogyani</t>
        </is>
      </c>
    </row>
    <row r="22" ht="32" customHeight="1">
      <c r="A22" s="82" t="inlineStr">
        <is>
          <t>Shams Afghan Vision Construction and Logistic Services (SAVCC)</t>
        </is>
      </c>
      <c r="B22" s="55" t="n">
        <v>1</v>
      </c>
      <c r="C22" s="49">
        <f>COUNTIF('01_Scheme_Tracker'!$Q$4:$Q$453,A22)</f>
        <v/>
      </c>
      <c r="D22" s="85">
        <f>SUMIF('01_Scheme_Tracker'!$Q$4:$Q$453,A22,'01_Scheme_Tracker'!$S$4:$S$453)</f>
        <v/>
      </c>
      <c r="E22" s="52" t="inlineStr">
        <is>
          <t>AF2-WSM-02</t>
        </is>
      </c>
      <c r="F22" s="52" t="inlineStr">
        <is>
          <t>014/2026</t>
        </is>
      </c>
      <c r="G22" s="52" t="inlineStr">
        <is>
          <t>Package #2 -AF2 WSM: Construction of 1. Dareh Shah Toot-1, 2. Dareh ShahToot-2, and 3. Jar Sono check dams in Obe District of Herat Province</t>
        </is>
      </c>
      <c r="H22" s="52" t="inlineStr">
        <is>
          <t>Watershed Management</t>
        </is>
      </c>
      <c r="I22" s="52" t="inlineStr">
        <is>
          <t>Herat</t>
        </is>
      </c>
      <c r="J22" s="52" t="inlineStr">
        <is>
          <t>Obe</t>
        </is>
      </c>
    </row>
    <row r="23" ht="32" customHeight="1">
      <c r="A23" s="87" t="inlineStr">
        <is>
          <t>Shirali Khan Barakatzai Construction Company (SBCC)</t>
        </is>
      </c>
      <c r="B23" s="48" t="n">
        <v>1</v>
      </c>
      <c r="C23" s="49">
        <f>COUNTIF('01_Scheme_Tracker'!$Q$4:$Q$453,A23)</f>
        <v/>
      </c>
      <c r="D23" s="85">
        <f>SUMIF('01_Scheme_Tracker'!$Q$4:$Q$453,A23,'01_Scheme_Tracker'!$S$4:$S$453)</f>
        <v/>
      </c>
      <c r="E23" s="44" t="inlineStr">
        <is>
          <t>AF2-IS-06</t>
        </is>
      </c>
      <c r="F23" s="44" t="inlineStr">
        <is>
          <t>054/2025</t>
        </is>
      </c>
      <c r="G23" s="44" t="inlineStr">
        <is>
          <t>Package #6-AF2 IS: Rehabilitation of Kushtal Canal, Checknawar canal, and Patikhirrki canal irrigation schemes, located in Lalpora ,Spinghar and Khogyani districts of Nangarhar province.</t>
        </is>
      </c>
      <c r="H23" s="44" t="inlineStr">
        <is>
          <t>Irrigation Scheme</t>
        </is>
      </c>
      <c r="I23" s="44" t="inlineStr">
        <is>
          <t>Nangarhar</t>
        </is>
      </c>
      <c r="J23" s="44" t="inlineStr">
        <is>
          <t>Spinghar, Lalpora, Khogyani</t>
        </is>
      </c>
    </row>
    <row r="24" ht="32" customHeight="1">
      <c r="A24" s="82" t="inlineStr">
        <is>
          <t>AFGHAN LUCKY CONSTRUCTION COMPANY (ALCC)</t>
        </is>
      </c>
      <c r="B24" s="55" t="n">
        <v>1</v>
      </c>
      <c r="C24" s="49">
        <f>COUNTIF('01_Scheme_Tracker'!$Q$4:$Q$453,A24)</f>
        <v/>
      </c>
      <c r="D24" s="85">
        <f>SUMIF('01_Scheme_Tracker'!$Q$4:$Q$453,A24,'01_Scheme_Tracker'!$S$4:$S$453)</f>
        <v/>
      </c>
      <c r="E24" s="52" t="inlineStr">
        <is>
          <t>AF2-IS-33</t>
        </is>
      </c>
      <c r="F24" s="52" t="inlineStr">
        <is>
          <t>003/2026</t>
        </is>
      </c>
      <c r="G24" s="52" t="inlineStr">
        <is>
          <t>Package #33-AF2 IS: Rehabilitation of Chela Mazar canal and Kushkak canal irrigation schemes, located in Dara-e- Suf-e-Bala and Dara-e-Suf-e-Payeen districts of Samangan province.</t>
        </is>
      </c>
      <c r="H24" s="52" t="inlineStr">
        <is>
          <t>Irrigation Scheme</t>
        </is>
      </c>
      <c r="I24" s="52" t="inlineStr">
        <is>
          <t>Samangan</t>
        </is>
      </c>
      <c r="J24" s="52" t="inlineStr">
        <is>
          <t>Dara-e- Suf-e-Payeen, Dara-e- Suf-e-Bala</t>
        </is>
      </c>
    </row>
    <row r="25" ht="32" customHeight="1">
      <c r="A25" s="87" t="inlineStr">
        <is>
          <t>Arman Sharq Construction Company ASCC)</t>
        </is>
      </c>
      <c r="B25" s="48" t="n">
        <v>1</v>
      </c>
      <c r="C25" s="49">
        <f>COUNTIF('01_Scheme_Tracker'!$Q$4:$Q$453,A25)</f>
        <v/>
      </c>
      <c r="D25" s="85">
        <f>SUMIF('01_Scheme_Tracker'!$Q$4:$Q$453,A25,'01_Scheme_Tracker'!$S$4:$S$453)</f>
        <v/>
      </c>
      <c r="E25" s="44" t="inlineStr">
        <is>
          <t>AF2-WSM-28</t>
        </is>
      </c>
      <c r="F25" s="44" t="inlineStr">
        <is>
          <t>054/2026</t>
        </is>
      </c>
      <c r="G25" s="44" t="inlineStr">
        <is>
          <t>Package #28-AF2 WSM: Construction of 2 Check dams of 1. Chatqa Sai in Dahna-e-Ghori and 2.Tahiryan in Baghlan Markazi districts of Baghlan province.</t>
        </is>
      </c>
      <c r="H25" s="44" t="inlineStr">
        <is>
          <t>Watershed Management</t>
        </is>
      </c>
      <c r="I25" s="44" t="inlineStr">
        <is>
          <t>Baghlan</t>
        </is>
      </c>
      <c r="J25" s="44" t="inlineStr">
        <is>
          <t>Dahna-e-Ghori, Baghlan Markazi</t>
        </is>
      </c>
    </row>
    <row r="26" ht="32" customHeight="1">
      <c r="A26" s="82" t="inlineStr">
        <is>
          <t>Awrish builder construction company (ABCC)</t>
        </is>
      </c>
      <c r="B26" s="55" t="n">
        <v>1</v>
      </c>
      <c r="C26" s="49">
        <f>COUNTIF('01_Scheme_Tracker'!$Q$4:$Q$453,A26)</f>
        <v/>
      </c>
      <c r="D26" s="85">
        <f>SUMIF('01_Scheme_Tracker'!$Q$4:$Q$453,A26,'01_Scheme_Tracker'!$S$4:$S$453)</f>
        <v/>
      </c>
      <c r="E26" s="52" t="inlineStr">
        <is>
          <t>AF2-IS-08</t>
        </is>
      </c>
      <c r="F26" s="52" t="inlineStr">
        <is>
          <t>055/2026</t>
        </is>
      </c>
      <c r="G26" s="52" t="inlineStr">
        <is>
          <t>Package #8-AF2 IS: Rehabilitation of Khas Kunar Lower canal and Bahrabad canal irrigation schemes, located in Khas Kunar district of Kunar and Behsood district of Nangarhar provinces.</t>
        </is>
      </c>
      <c r="H26" s="52" t="inlineStr">
        <is>
          <t>Irrigation Scheme</t>
        </is>
      </c>
      <c r="I26" s="52" t="inlineStr">
        <is>
          <t>Nangarhar, Kunar</t>
        </is>
      </c>
      <c r="J26" s="52" t="inlineStr">
        <is>
          <t>Behsood, Khas Kunar</t>
        </is>
      </c>
    </row>
    <row r="27" ht="32" customHeight="1">
      <c r="A27" s="87" t="inlineStr">
        <is>
          <t>Farhad Matoonyar Construction Company (FMCC)</t>
        </is>
      </c>
      <c r="B27" s="48" t="n">
        <v>1</v>
      </c>
      <c r="C27" s="49">
        <f>COUNTIF('01_Scheme_Tracker'!$Q$4:$Q$453,A27)</f>
        <v/>
      </c>
      <c r="D27" s="85">
        <f>SUMIF('01_Scheme_Tracker'!$Q$4:$Q$453,A27,'01_Scheme_Tracker'!$S$4:$S$453)</f>
        <v/>
      </c>
      <c r="E27" s="44" t="inlineStr">
        <is>
          <t>AF2-IS-21</t>
        </is>
      </c>
      <c r="F27" s="44" t="inlineStr">
        <is>
          <t>038/2026</t>
        </is>
      </c>
      <c r="G27" s="44" t="inlineStr">
        <is>
          <t>Package # 21-AF2 IS: Rehabilitation of Markazi Ziruk and Mulakh canal irrigation schemes, located in Ziruk and Yousaf Khil districts of Pakteka province.</t>
        </is>
      </c>
      <c r="H27" s="44" t="inlineStr">
        <is>
          <t>Irrigation Scheme</t>
        </is>
      </c>
      <c r="I27" s="44" t="inlineStr">
        <is>
          <t>Pakteka</t>
        </is>
      </c>
      <c r="J27" s="44" t="inlineStr">
        <is>
          <t>Ziruk, Yousaf Khil</t>
        </is>
      </c>
    </row>
    <row r="28" ht="32" customHeight="1">
      <c r="A28" s="82" t="inlineStr">
        <is>
          <t>Malik Hajdar Construction and Road Company (MHCC)</t>
        </is>
      </c>
      <c r="B28" s="55" t="n">
        <v>1</v>
      </c>
      <c r="C28" s="49">
        <f>COUNTIF('01_Scheme_Tracker'!$Q$4:$Q$453,A28)</f>
        <v/>
      </c>
      <c r="D28" s="85">
        <f>SUMIF('01_Scheme_Tracker'!$Q$4:$Q$453,A28,'01_Scheme_Tracker'!$S$4:$S$453)</f>
        <v/>
      </c>
      <c r="E28" s="52" t="inlineStr">
        <is>
          <t>AF2-WSM-31</t>
        </is>
      </c>
      <c r="F28" s="52" t="inlineStr">
        <is>
          <t>033/2026</t>
        </is>
      </c>
      <c r="G28" s="52" t="inlineStr">
        <is>
          <t>Package # 31-AF2 WSM: Construction of 1. Khaibar and 2. Chelgazi Check dams, located in Khaibar and Chelgazi districts of Faryab province.</t>
        </is>
      </c>
      <c r="H28" s="52" t="inlineStr">
        <is>
          <t>Watershed Management</t>
        </is>
      </c>
      <c r="I28" s="52" t="inlineStr">
        <is>
          <t>Faryab</t>
        </is>
      </c>
      <c r="J28" s="52" t="inlineStr">
        <is>
          <t>Chelgazi, Khaibar</t>
        </is>
      </c>
    </row>
    <row r="29" ht="32" customHeight="1">
      <c r="A29" s="87" t="inlineStr">
        <is>
          <t>Mudeser Bigmurad Construction Company (MBCC)</t>
        </is>
      </c>
      <c r="B29" s="48" t="n">
        <v>1</v>
      </c>
      <c r="C29" s="49">
        <f>COUNTIF('01_Scheme_Tracker'!$Q$4:$Q$453,A29)</f>
        <v/>
      </c>
      <c r="D29" s="85">
        <f>SUMIF('01_Scheme_Tracker'!$Q$4:$Q$453,A29,'01_Scheme_Tracker'!$S$4:$S$453)</f>
        <v/>
      </c>
      <c r="E29" s="44" t="inlineStr">
        <is>
          <t>AF2-WSM-32</t>
        </is>
      </c>
      <c r="F29" s="44" t="inlineStr">
        <is>
          <t>045/2026</t>
        </is>
      </c>
      <c r="G29" s="44" t="inlineStr">
        <is>
          <t>Package #32-AF2 WSM: Construction of Tai Khunak 4 Check dams of A. Khoja Momin site # 1 and site # 2, B. Sari Shor site # 3 and site #4, located in Aybak district of Samangan province.</t>
        </is>
      </c>
      <c r="H29" s="44" t="inlineStr">
        <is>
          <t>Watershed Management</t>
        </is>
      </c>
      <c r="I29" s="44" t="inlineStr">
        <is>
          <t>Samangan</t>
        </is>
      </c>
      <c r="J29" s="44" t="inlineStr">
        <is>
          <t>Aybak</t>
        </is>
      </c>
    </row>
    <row r="30" ht="32" customHeight="1">
      <c r="A30" s="82" t="inlineStr">
        <is>
          <t>Nomae Shahr Construction Company (NSCC)</t>
        </is>
      </c>
      <c r="B30" s="55" t="n">
        <v>1</v>
      </c>
      <c r="C30" s="49">
        <f>COUNTIF('01_Scheme_Tracker'!$Q$4:$Q$453,A30)</f>
        <v/>
      </c>
      <c r="D30" s="85">
        <f>SUMIF('01_Scheme_Tracker'!$Q$4:$Q$453,A30,'01_Scheme_Tracker'!$S$4:$S$453)</f>
        <v/>
      </c>
      <c r="E30" s="52" t="inlineStr">
        <is>
          <t>AF2-IS-14</t>
        </is>
      </c>
      <c r="F30" s="52" t="inlineStr">
        <is>
          <t>002/2026</t>
        </is>
      </c>
      <c r="G30" s="52" t="inlineStr">
        <is>
          <t>Package #14-AF2 IS: Rehabilitation of Zard Sang and Topchi Cluster Canal Irrigation scheme, located in Center district of Bamyan province.</t>
        </is>
      </c>
      <c r="H30" s="52" t="inlineStr">
        <is>
          <t>Irrigation Scheme</t>
        </is>
      </c>
      <c r="I30" s="52" t="inlineStr">
        <is>
          <t>Bamyan</t>
        </is>
      </c>
      <c r="J30" s="52" t="inlineStr">
        <is>
          <t>Center</t>
        </is>
      </c>
    </row>
    <row r="31" ht="32" customHeight="1">
      <c r="A31" s="87" t="inlineStr">
        <is>
          <t>Omar Mortaza Construction &amp; Road Building JV Karwan Seraji Construction and Road Building Company (OMCC&amp;KSCC)</t>
        </is>
      </c>
      <c r="B31" s="48" t="n">
        <v>1</v>
      </c>
      <c r="C31" s="49">
        <f>COUNTIF('01_Scheme_Tracker'!$Q$4:$Q$453,A31)</f>
        <v/>
      </c>
      <c r="D31" s="85">
        <f>SUMIF('01_Scheme_Tracker'!$Q$4:$Q$453,A31,'01_Scheme_Tracker'!$S$4:$S$453)</f>
        <v/>
      </c>
      <c r="E31" s="44" t="inlineStr">
        <is>
          <t>AF2-WSM-29</t>
        </is>
      </c>
      <c r="F31" s="44" t="inlineStr">
        <is>
          <t>034/2026</t>
        </is>
      </c>
      <c r="G31" s="44" t="inlineStr">
        <is>
          <t>Package # 29-AF2 WSM: Construction 1. Alburs and 2. Marmul Check dams, located in Marmul and Alburs districts of Balkh province</t>
        </is>
      </c>
      <c r="H31" s="44" t="inlineStr">
        <is>
          <t>Watershed Management</t>
        </is>
      </c>
      <c r="I31" s="44" t="inlineStr">
        <is>
          <t>Balkh</t>
        </is>
      </c>
      <c r="J31" s="44" t="inlineStr">
        <is>
          <t>Alburz, Marmul</t>
        </is>
      </c>
    </row>
    <row r="32" ht="32" customHeight="1">
      <c r="A32" s="82" t="inlineStr">
        <is>
          <t>SHAMAL KARDAN ROAD CONSTRUCTION AND LOGISTIC SERVICES COMPANY LTD (SKRCC)</t>
        </is>
      </c>
      <c r="B32" s="55" t="n">
        <v>1</v>
      </c>
      <c r="C32" s="49">
        <f>COUNTIF('01_Scheme_Tracker'!$Q$4:$Q$453,A32)</f>
        <v/>
      </c>
      <c r="D32" s="85">
        <f>SUMIF('01_Scheme_Tracker'!$Q$4:$Q$453,A32,'01_Scheme_Tracker'!$S$4:$S$453)</f>
        <v/>
      </c>
      <c r="E32" s="52" t="inlineStr">
        <is>
          <t>AF2-IS-28</t>
        </is>
      </c>
      <c r="F32" s="52" t="inlineStr">
        <is>
          <t>067/2025</t>
        </is>
      </c>
      <c r="G32" s="52" t="inlineStr">
        <is>
          <t>Package # 28 – AF2 IS: Rehabilitation of Irrigation Schemes of 1. Abil Aroq (Qanjogha), 2. Shaitan Aroq Cluster Canals in Khwaja Ghar District and 3. Kalta Aroq, 4. Pacha Khail, and 5. Sayed Miran (Khar Kar) Cluster Canals in Eshkamish District of Takhar Province</t>
        </is>
      </c>
      <c r="H32" s="52" t="inlineStr">
        <is>
          <t>Irrigation Scheme</t>
        </is>
      </c>
      <c r="I32" s="52" t="inlineStr">
        <is>
          <t>Takhar</t>
        </is>
      </c>
      <c r="J32" s="52" t="inlineStr">
        <is>
          <t>Khwaja Ghar, Eshkamish</t>
        </is>
      </c>
    </row>
    <row r="33" ht="32" customHeight="1">
      <c r="A33" s="87" t="inlineStr">
        <is>
          <t>Trust Grow Construction and Engineering Company (TGCC)</t>
        </is>
      </c>
      <c r="B33" s="48" t="n">
        <v>1</v>
      </c>
      <c r="C33" s="49">
        <f>COUNTIF('01_Scheme_Tracker'!$Q$4:$Q$453,A33)</f>
        <v/>
      </c>
      <c r="D33" s="85">
        <f>SUMIF('01_Scheme_Tracker'!$Q$4:$Q$453,A33,'01_Scheme_Tracker'!$S$4:$S$453)</f>
        <v/>
      </c>
      <c r="E33" s="44" t="inlineStr">
        <is>
          <t>AF2-IS-32</t>
        </is>
      </c>
      <c r="F33" s="44" t="inlineStr">
        <is>
          <t>075/2025</t>
        </is>
      </c>
      <c r="G33" s="44" t="inlineStr">
        <is>
          <t>Package #32-AF2 IS: Rehabilitation of Abdul Baqi canal and Mulla Oma canal irrigation schemes, located in Chemtal districts of Balkh province.</t>
        </is>
      </c>
      <c r="H33" s="44" t="inlineStr">
        <is>
          <t>Irrigation Scheme</t>
        </is>
      </c>
      <c r="I33" s="44" t="inlineStr">
        <is>
          <t>Balkh</t>
        </is>
      </c>
      <c r="J33" s="44" t="inlineStr">
        <is>
          <t>Chemtal</t>
        </is>
      </c>
    </row>
    <row r="34" ht="32" customHeight="1">
      <c r="A34" s="82" t="inlineStr">
        <is>
          <t>Unique Wahaj Construction Company (UWCC)</t>
        </is>
      </c>
      <c r="B34" s="55" t="n">
        <v>1</v>
      </c>
      <c r="C34" s="49">
        <f>COUNTIF('01_Scheme_Tracker'!$Q$4:$Q$453,A34)</f>
        <v/>
      </c>
      <c r="D34" s="85">
        <f>SUMIF('01_Scheme_Tracker'!$Q$4:$Q$453,A34,'01_Scheme_Tracker'!$S$4:$S$453)</f>
        <v/>
      </c>
      <c r="E34" s="52" t="inlineStr">
        <is>
          <t>AF2-IS-19</t>
        </is>
      </c>
      <c r="F34" s="52" t="inlineStr">
        <is>
          <t>074/2026</t>
        </is>
      </c>
      <c r="G34" s="52" t="inlineStr">
        <is>
          <t>Package #19-AF2 IS: Rehabilitation of Khwaja Angor canal and Qalai Wazir canal irrigation schemes located in Kharwar and Pol-i-Alam districts of Logar province.</t>
        </is>
      </c>
      <c r="H34" s="52" t="inlineStr">
        <is>
          <t>Irrigation Scheme</t>
        </is>
      </c>
      <c r="I34" s="52" t="inlineStr">
        <is>
          <t>Logar</t>
        </is>
      </c>
      <c r="J34" s="52" t="inlineStr">
        <is>
          <t>Kharwar, Pol-i-Alam</t>
        </is>
      </c>
    </row>
    <row r="35" ht="32" customHeight="1">
      <c r="A35" s="87" t="inlineStr">
        <is>
          <t>Waheed Wahaj Construction Company (WWCC)</t>
        </is>
      </c>
      <c r="B35" s="48" t="n">
        <v>1</v>
      </c>
      <c r="C35" s="49">
        <f>COUNTIF('01_Scheme_Tracker'!$Q$4:$Q$453,A35)</f>
        <v/>
      </c>
      <c r="D35" s="85">
        <f>SUMIF('01_Scheme_Tracker'!$Q$4:$Q$453,A35,'01_Scheme_Tracker'!$S$4:$S$453)</f>
        <v/>
      </c>
      <c r="E35" s="44" t="inlineStr">
        <is>
          <t>AF2-WSM-30</t>
        </is>
      </c>
      <c r="F35" s="44" t="inlineStr">
        <is>
          <t>050/2026</t>
        </is>
      </c>
      <c r="G35" s="44" t="inlineStr">
        <is>
          <t>Package #30-AF2 WSM: Construction of 5 Check Damas of A. Majar site # 1 and site # 2; B.Elyasgar site # 3, site 4 and site # 5, located in Aljahad district of Sar-e-Pul province.</t>
        </is>
      </c>
      <c r="H35" s="44" t="inlineStr">
        <is>
          <t>Watershed Management</t>
        </is>
      </c>
      <c r="I35" s="44" t="inlineStr">
        <is>
          <t>Sar-e-Pul</t>
        </is>
      </c>
      <c r="J35" s="44" t="inlineStr">
        <is>
          <t>Aljahad</t>
        </is>
      </c>
    </row>
    <row r="36" ht="32" customHeight="1">
      <c r="A36" s="82" t="inlineStr">
        <is>
          <t>Wasif Construction Company</t>
        </is>
      </c>
      <c r="B36" s="55" t="n">
        <v>1</v>
      </c>
      <c r="C36" s="49">
        <f>COUNTIF('01_Scheme_Tracker'!$Q$4:$Q$453,A36)</f>
        <v/>
      </c>
      <c r="D36" s="85">
        <f>SUMIF('01_Scheme_Tracker'!$Q$4:$Q$453,A36,'01_Scheme_Tracker'!$S$4:$S$453)</f>
        <v/>
      </c>
      <c r="E36" s="52" t="inlineStr">
        <is>
          <t>AF2-IS-25</t>
        </is>
      </c>
      <c r="F36" s="52" t="inlineStr">
        <is>
          <t>012/2026</t>
        </is>
      </c>
      <c r="G36" s="52" t="inlineStr">
        <is>
          <t>Package #25-AF2 IS: Rehabilitation of Urdo Kas canal and Sarkay Lazhey canal irrigation schemes, located in Sha Wali Kot and Boldak districts of Kandahar province.</t>
        </is>
      </c>
      <c r="H36" s="52" t="inlineStr">
        <is>
          <t>Irrigation Scheme</t>
        </is>
      </c>
      <c r="I36" s="52" t="inlineStr">
        <is>
          <t>Kandahar</t>
        </is>
      </c>
      <c r="J36" s="52" t="inlineStr">
        <is>
          <t>Boldak, Sha Wali Kot</t>
        </is>
      </c>
    </row>
    <row r="37" ht="32" customHeight="1">
      <c r="A37" s="87" t="inlineStr">
        <is>
          <t>Afghan Aakam Construction and Road Company C. JV with D-Amini Mashwani Construction Road Juroni and Construction Materials Production Company (AACRC&amp;JV DAMCC)</t>
        </is>
      </c>
      <c r="B37" s="48" t="n">
        <v>1</v>
      </c>
      <c r="C37" s="49">
        <f>COUNTIF('01_Scheme_Tracker'!$Q$4:$Q$453,A37)</f>
        <v/>
      </c>
      <c r="D37" s="85">
        <f>SUMIF('01_Scheme_Tracker'!$Q$4:$Q$453,A37,'01_Scheme_Tracker'!$S$4:$S$453)</f>
        <v/>
      </c>
      <c r="E37" s="44" t="inlineStr">
        <is>
          <t>AF2-IS-01</t>
        </is>
      </c>
      <c r="F37" s="44" t="inlineStr">
        <is>
          <t>050/2025</t>
        </is>
      </c>
      <c r="G37" s="44" t="inlineStr">
        <is>
          <t>Package #1-AF2 IS: Rehabilitation of Joy Bazar irrigation scheme located in Obe district of Herat province.</t>
        </is>
      </c>
      <c r="H37" s="44" t="inlineStr">
        <is>
          <t>Irrigation Scheme</t>
        </is>
      </c>
      <c r="I37" s="44" t="inlineStr">
        <is>
          <t>Herat</t>
        </is>
      </c>
      <c r="J37" s="44" t="inlineStr">
        <is>
          <t>Obeh</t>
        </is>
      </c>
    </row>
    <row r="38" ht="32" customHeight="1">
      <c r="A38" s="82" t="inlineStr">
        <is>
          <t>Estehkam Baba Construction Company JV Tamadon Bamik Construction Company (EBCC)</t>
        </is>
      </c>
      <c r="B38" s="55" t="n">
        <v>1</v>
      </c>
      <c r="C38" s="49">
        <f>COUNTIF('01_Scheme_Tracker'!$Q$4:$Q$453,A38)</f>
        <v/>
      </c>
      <c r="D38" s="85">
        <f>SUMIF('01_Scheme_Tracker'!$Q$4:$Q$453,A38,'01_Scheme_Tracker'!$S$4:$S$453)</f>
        <v/>
      </c>
      <c r="E38" s="52" t="inlineStr">
        <is>
          <t>AF2-IS-16</t>
        </is>
      </c>
      <c r="F38" s="52" t="inlineStr">
        <is>
          <t>007/2026</t>
        </is>
      </c>
      <c r="G38" s="52" t="inlineStr">
        <is>
          <t>Package #16-AF2 IS: Rehabilitation of Pato (Paye Raqul, Sangchal Takhomak and Kadalak) Cluster canal irrigation scheme in Pato district of Daykundi province</t>
        </is>
      </c>
      <c r="H38" s="52" t="inlineStr">
        <is>
          <t>Irrigation Scheme</t>
        </is>
      </c>
      <c r="I38" s="52" t="inlineStr">
        <is>
          <t>Daykundi</t>
        </is>
      </c>
      <c r="J38" s="52" t="inlineStr">
        <is>
          <t>Pato</t>
        </is>
      </c>
    </row>
    <row r="39" ht="32" customHeight="1">
      <c r="A39" s="87" t="inlineStr">
        <is>
          <t>Hemat safi construction company (HSCC)</t>
        </is>
      </c>
      <c r="B39" s="48" t="n">
        <v>1</v>
      </c>
      <c r="C39" s="49">
        <f>COUNTIF('01_Scheme_Tracker'!$Q$4:$Q$453,A39)</f>
        <v/>
      </c>
      <c r="D39" s="85">
        <f>SUMIF('01_Scheme_Tracker'!$Q$4:$Q$453,A39,'01_Scheme_Tracker'!$S$4:$S$453)</f>
        <v/>
      </c>
      <c r="E39" s="44" t="inlineStr">
        <is>
          <t>AF2-WSM-18</t>
        </is>
      </c>
      <c r="F39" s="44" t="inlineStr">
        <is>
          <t>047/2026</t>
        </is>
      </c>
      <c r="G39" s="44" t="inlineStr">
        <is>
          <t>Package #18-AF2 WSM: Construction of Muqarab Check dams, located in Gelan districts of Ghazni province.</t>
        </is>
      </c>
      <c r="H39" s="44" t="inlineStr">
        <is>
          <t>Watershed Management</t>
        </is>
      </c>
      <c r="I39" s="44" t="inlineStr">
        <is>
          <t>Ghazni</t>
        </is>
      </c>
      <c r="J39" s="44" t="inlineStr">
        <is>
          <t>Gelan</t>
        </is>
      </c>
    </row>
    <row r="40" ht="32" customHeight="1">
      <c r="A40" s="82" t="inlineStr">
        <is>
          <t>Mahmood Raqi Nawin Construction &amp; Road Building Company (MRCC)</t>
        </is>
      </c>
      <c r="B40" s="55" t="n">
        <v>1</v>
      </c>
      <c r="C40" s="49">
        <f>COUNTIF('01_Scheme_Tracker'!$Q$4:$Q$453,A40)</f>
        <v/>
      </c>
      <c r="D40" s="85">
        <f>SUMIF('01_Scheme_Tracker'!$Q$4:$Q$453,A40,'01_Scheme_Tracker'!$S$4:$S$453)</f>
        <v/>
      </c>
      <c r="E40" s="52" t="inlineStr">
        <is>
          <t>AF2-IS-20</t>
        </is>
      </c>
      <c r="F40" s="52" t="inlineStr">
        <is>
          <t>053/2025</t>
        </is>
      </c>
      <c r="G40" s="52" t="inlineStr">
        <is>
          <t>Package #20-AF2 IS: Rehabilitation of Welgai irrigation system, located in Matoon district of Khost province.</t>
        </is>
      </c>
      <c r="H40" s="52" t="inlineStr">
        <is>
          <t>Irrigation Scheme</t>
        </is>
      </c>
      <c r="I40" s="52" t="inlineStr">
        <is>
          <t>Khost</t>
        </is>
      </c>
      <c r="J40" s="52" t="inlineStr">
        <is>
          <t>Matoon</t>
        </is>
      </c>
    </row>
    <row r="41" ht="32" customHeight="1">
      <c r="A41" s="87" t="inlineStr">
        <is>
          <t>New Safi Zada Construction &amp; Road Building Company JV with Elyas Aryoubi Constructin Road building and Logistic Company (NSZ&amp;EACC)</t>
        </is>
      </c>
      <c r="B41" s="48" t="n">
        <v>1</v>
      </c>
      <c r="C41" s="49">
        <f>COUNTIF('01_Scheme_Tracker'!$Q$4:$Q$453,A41)</f>
        <v/>
      </c>
      <c r="D41" s="85">
        <f>SUMIF('01_Scheme_Tracker'!$Q$4:$Q$453,A41,'01_Scheme_Tracker'!$S$4:$S$453)</f>
        <v/>
      </c>
      <c r="E41" s="44" t="inlineStr">
        <is>
          <t>AF2-IS-26</t>
        </is>
      </c>
      <c r="F41" s="44" t="inlineStr">
        <is>
          <t>019/2026</t>
        </is>
      </c>
      <c r="G41" s="44" t="inlineStr">
        <is>
          <t>Package #26-AF2 IS: Rehabilitation of Sarwan Qala canal irrigation schemes, located in Sangin district of Kandahar province.</t>
        </is>
      </c>
      <c r="H41" s="44" t="inlineStr">
        <is>
          <t>Irrigation Scheme</t>
        </is>
      </c>
      <c r="I41" s="44" t="inlineStr">
        <is>
          <t>Helmand</t>
        </is>
      </c>
      <c r="J41" s="44" t="inlineStr">
        <is>
          <t>Sangin</t>
        </is>
      </c>
    </row>
    <row r="42" ht="32" customHeight="1">
      <c r="A42" s="82" t="inlineStr">
        <is>
          <t>Sakht shamal construction and road building company (SSCC)</t>
        </is>
      </c>
      <c r="B42" s="55" t="n">
        <v>1</v>
      </c>
      <c r="C42" s="49">
        <f>COUNTIF('01_Scheme_Tracker'!$Q$4:$Q$453,A42)</f>
        <v/>
      </c>
      <c r="D42" s="85">
        <f>SUMIF('01_Scheme_Tracker'!$Q$4:$Q$453,A42,'01_Scheme_Tracker'!$S$4:$S$453)</f>
        <v/>
      </c>
      <c r="E42" s="52" t="inlineStr">
        <is>
          <t>AF2-IS-35</t>
        </is>
      </c>
      <c r="F42" s="52" t="inlineStr">
        <is>
          <t>016/2026</t>
        </is>
      </c>
      <c r="G42" s="52" t="inlineStr">
        <is>
          <t>Package # 35-AF2 IS: Rehabilitation of Bahr-e Ameq canal irrigation scheme, located in Sozma Qala districts of Sar-e-Pul province.</t>
        </is>
      </c>
      <c r="H42" s="52" t="inlineStr">
        <is>
          <t>Irrigation Scheme</t>
        </is>
      </c>
      <c r="I42" s="52" t="inlineStr">
        <is>
          <t>Sar-e- Pul</t>
        </is>
      </c>
      <c r="J42" s="52" t="inlineStr">
        <is>
          <t>Sozma Qala</t>
        </is>
      </c>
    </row>
    <row r="43" ht="32" customHeight="1">
      <c r="A43" s="87" t="inlineStr">
        <is>
          <t>Sayed Shirazi Construction and Road Building Company (SCRC)</t>
        </is>
      </c>
      <c r="B43" s="48" t="n">
        <v>1</v>
      </c>
      <c r="C43" s="49">
        <f>COUNTIF('01_Scheme_Tracker'!$Q$4:$Q$453,A43)</f>
        <v/>
      </c>
      <c r="D43" s="85">
        <f>SUMIF('01_Scheme_Tracker'!$Q$4:$Q$453,A43,'01_Scheme_Tracker'!$S$4:$S$453)</f>
        <v/>
      </c>
      <c r="E43" s="44" t="inlineStr">
        <is>
          <t>AF2-WSM-16</t>
        </is>
      </c>
      <c r="F43" s="44" t="inlineStr">
        <is>
          <t>030/2026</t>
        </is>
      </c>
      <c r="G43" s="44" t="inlineStr">
        <is>
          <t>Package #16-AF2 WSM: Construction of Panami Check dams, located in Mohammad Agha district of Logar province.</t>
        </is>
      </c>
      <c r="H43" s="44" t="inlineStr">
        <is>
          <t>Watershed Management</t>
        </is>
      </c>
      <c r="I43" s="44" t="inlineStr">
        <is>
          <t>Logar</t>
        </is>
      </c>
      <c r="J43" s="44" t="inlineStr">
        <is>
          <t>M.Agha</t>
        </is>
      </c>
    </row>
    <row r="44" ht="32" customHeight="1">
      <c r="A44" s="82" t="inlineStr">
        <is>
          <t>Seddiq Amini Construction and Logistic Services (SACC)</t>
        </is>
      </c>
      <c r="B44" s="55" t="n">
        <v>1</v>
      </c>
      <c r="C44" s="49">
        <f>COUNTIF('01_Scheme_Tracker'!$Q$4:$Q$453,A44)</f>
        <v/>
      </c>
      <c r="D44" s="85">
        <f>SUMIF('01_Scheme_Tracker'!$Q$4:$Q$453,A44,'01_Scheme_Tracker'!$S$4:$S$453)</f>
        <v/>
      </c>
      <c r="E44" s="52" t="inlineStr">
        <is>
          <t>AF2-IS-11</t>
        </is>
      </c>
      <c r="F44" s="52" t="inlineStr">
        <is>
          <t>056/2025</t>
        </is>
      </c>
      <c r="G44" s="52" t="inlineStr">
        <is>
          <t>Package #11-AF2 IS: Rehabilitation of Musahi Sufla canal irrigation schemes, located in Musahi districts of Kabul province.</t>
        </is>
      </c>
      <c r="H44" s="52" t="inlineStr">
        <is>
          <t>Irrigation Scheme</t>
        </is>
      </c>
      <c r="I44" s="52" t="inlineStr">
        <is>
          <t>Kabul</t>
        </is>
      </c>
      <c r="J44" s="52" t="inlineStr">
        <is>
          <t>Musahi</t>
        </is>
      </c>
    </row>
  </sheetData>
  <autoFilter ref="A3:J44"/>
  <mergeCells count="2">
    <mergeCell ref="A1:J1"/>
    <mergeCell ref="A2:J2"/>
  </mergeCells>
  <pageMargins left="0.75" right="0.75" top="1" bottom="1" header="0.5" footer="0.5"/>
  <pageSetup orientation="landscape" fitToHeight="0" fitToWidth="1"/>
  <headerFooter>
    <oddHeader/>
    <oddFooter>&amp;LContracts by contractor — unique packages, not repeated sites&amp;RPage &amp;P of &amp;N</oddFooter>
    <evenHeader/>
    <evenFooter/>
    <firstHeader/>
    <firstFooter/>
  </headerFooter>
</worksheet>
</file>

<file path=xl/worksheets/sheet6.xml><?xml version="1.0" encoding="utf-8"?>
<worksheet xmlns="http://schemas.openxmlformats.org/spreadsheetml/2006/main">
  <sheetPr>
    <tabColor rgb="008A6D3B"/>
    <outlinePr summaryBelow="1" summaryRight="1"/>
    <pageSetUpPr fitToPage="1"/>
  </sheetPr>
  <dimension ref="A1:P51"/>
  <sheetViews>
    <sheetView showGridLines="0" workbookViewId="0">
      <pane xSplit="1" ySplit="17" topLeftCell="B18" activePane="bottomRight" state="frozen"/>
      <selection pane="topRight"/>
      <selection pane="bottomLeft"/>
      <selection pane="bottomRight" activeCell="A1" sqref="A1"/>
    </sheetView>
  </sheetViews>
  <sheetFormatPr baseColWidth="8" defaultRowHeight="15"/>
  <cols>
    <col width="28" customWidth="1" min="1" max="1"/>
    <col width="12" customWidth="1" min="2" max="2"/>
    <col width="14" customWidth="1" min="3" max="3"/>
    <col width="16" customWidth="1" min="4" max="4"/>
    <col width="14" customWidth="1" min="5" max="5"/>
    <col width="16" customWidth="1" min="6" max="6"/>
    <col width="22" customWidth="1" min="7" max="7"/>
    <col width="12" customWidth="1" min="8" max="8"/>
    <col width="22" customWidth="1" min="9" max="9"/>
    <col width="12" customWidth="1" min="10" max="10"/>
    <col width="22" customWidth="1" min="11" max="11"/>
    <col width="12" customWidth="1" min="12" max="12"/>
    <col width="22" customWidth="1" min="13" max="13"/>
    <col width="12" customWidth="1" min="14" max="14"/>
    <col width="22" customWidth="1" min="15" max="15"/>
    <col width="12" customWidth="1" min="16" max="16"/>
  </cols>
  <sheetData>
    <row r="1" ht="26" customHeight="1">
      <c r="A1" s="21" t="inlineStr">
        <is>
          <t>Package status — unique contracts by step, with the share of each major intervention</t>
        </is>
      </c>
      <c r="B1" s="22" t="n"/>
      <c r="C1" s="22" t="n"/>
      <c r="D1" s="22" t="n"/>
      <c r="E1" s="22" t="n"/>
      <c r="F1" s="22" t="n"/>
      <c r="G1" s="22" t="n"/>
      <c r="H1" s="22" t="n"/>
      <c r="I1" s="22" t="n"/>
      <c r="J1" s="22" t="n"/>
      <c r="K1" s="22" t="n"/>
      <c r="L1" s="22" t="n"/>
      <c r="M1" s="22" t="n"/>
      <c r="N1" s="22" t="n"/>
      <c r="O1" s="22" t="n"/>
      <c r="P1" s="22" t="n"/>
    </row>
    <row r="2" ht="40" customHeight="1">
      <c r="A2" s="68" t="inlineStr">
        <is>
          <t>Each package is counted once. Read a status row to see how it splits across Irrigation Scheme, Watershed Management, Drip Irrigation, LLL, and Agroforestry (count and share of that status). Completed only when every site of the package is completed. Filter Package status + Major intervention on 03_Package_Summary to list the contracts.</t>
        </is>
      </c>
      <c r="B2" s="8" t="n"/>
      <c r="C2" s="8" t="n"/>
      <c r="D2" s="8" t="n"/>
      <c r="E2" s="8" t="n"/>
      <c r="F2" s="8" t="n"/>
      <c r="G2" s="8" t="n"/>
      <c r="H2" s="8" t="n"/>
      <c r="I2" s="8" t="n"/>
      <c r="J2" s="8" t="n"/>
      <c r="K2" s="8" t="n"/>
      <c r="L2" s="8" t="n"/>
      <c r="M2" s="8" t="n"/>
      <c r="N2" s="8" t="n"/>
      <c r="O2" s="8" t="n"/>
      <c r="P2" s="8" t="n"/>
    </row>
    <row r="4">
      <c r="A4" s="9" t="inlineStr">
        <is>
          <t>Unique packages</t>
        </is>
      </c>
      <c r="B4" s="28" t="n"/>
      <c r="C4" s="24" t="inlineStr">
        <is>
          <t>Awarded packages</t>
        </is>
      </c>
      <c r="D4" s="25" t="n"/>
      <c r="E4" s="26" t="inlineStr">
        <is>
          <t>Not awarded packages</t>
        </is>
      </c>
      <c r="F4" s="27" t="n"/>
      <c r="G4" s="29" t="inlineStr">
        <is>
          <t>Mixed-site packages</t>
        </is>
      </c>
      <c r="H4" s="30" t="n"/>
      <c r="I4" s="23" t="inlineStr">
        <is>
          <t>Irrigation Scheme</t>
        </is>
      </c>
      <c r="J4" s="23" t="inlineStr">
        <is>
          <t>Watershed Management</t>
        </is>
      </c>
      <c r="K4" s="23" t="inlineStr">
        <is>
          <t>Drip Irrigation</t>
        </is>
      </c>
      <c r="L4" s="23" t="inlineStr">
        <is>
          <t>Laser Land Leveler (LLL)</t>
        </is>
      </c>
      <c r="M4" s="23" t="inlineStr">
        <is>
          <t>Agroforestry saplings / seeds</t>
        </is>
      </c>
    </row>
    <row r="5">
      <c r="A5" s="99">
        <f>COUNTA('03_Package_Summary'!$A$4:$A$94)</f>
        <v/>
      </c>
      <c r="B5" s="100" t="n"/>
      <c r="C5" s="101">
        <f>COUNTIF('03_Package_Summary'!$D$4:$D$94,"Awarded")</f>
        <v/>
      </c>
      <c r="D5" s="102" t="n"/>
      <c r="E5" s="103">
        <f>COUNTIF('03_Package_Summary'!$D$4:$D$94,"Not awarded")</f>
        <v/>
      </c>
      <c r="F5" s="104" t="n"/>
      <c r="G5" s="99">
        <f>COUNTIF('03_Package_Summary'!$F$4:$F$94,"Yes")</f>
        <v/>
      </c>
      <c r="H5" s="100" t="n"/>
      <c r="I5" s="105">
        <f>COUNTIF('03_Package_Summary'!$C$4:$C$94,I$4)</f>
        <v/>
      </c>
      <c r="J5" s="105">
        <f>COUNTIF('03_Package_Summary'!$C$4:$C$94,J$4)</f>
        <v/>
      </c>
      <c r="K5" s="105">
        <f>COUNTIF('03_Package_Summary'!$C$4:$C$94,K$4)</f>
        <v/>
      </c>
      <c r="L5" s="105">
        <f>COUNTIF('03_Package_Summary'!$C$4:$C$94,L$4)</f>
        <v/>
      </c>
      <c r="M5" s="105">
        <f>COUNTIF('03_Package_Summary'!$C$4:$C$94,M$4)</f>
        <v/>
      </c>
    </row>
    <row r="7">
      <c r="A7" s="73" t="inlineStr">
        <is>
          <t>Packages by major intervention — Awarded vs Not awarded (unique contracts)</t>
        </is>
      </c>
    </row>
    <row r="8" ht="28" customHeight="1">
      <c r="A8" s="26" t="inlineStr">
        <is>
          <t>Major intervention</t>
        </is>
      </c>
      <c r="B8" s="26" t="inlineStr">
        <is>
          <t>Packages</t>
        </is>
      </c>
      <c r="C8" s="26" t="inlineStr">
        <is>
          <t>Awarded</t>
        </is>
      </c>
      <c r="D8" s="26" t="inlineStr">
        <is>
          <t>Not awarded</t>
        </is>
      </c>
      <c r="E8" s="26" t="inlineStr">
        <is>
          <t>Share awarded</t>
        </is>
      </c>
      <c r="F8" s="26" t="inlineStr">
        <is>
          <t>Share not awarded</t>
        </is>
      </c>
      <c r="G8" s="26" t="inlineStr">
        <is>
          <t>Sub-projects (rows)</t>
        </is>
      </c>
    </row>
    <row r="9">
      <c r="A9" s="14" t="inlineStr">
        <is>
          <t>Irrigation Scheme</t>
        </is>
      </c>
      <c r="B9" s="49">
        <f>COUNTIF('03_Package_Summary'!$C$4:$C$94,A9)</f>
        <v/>
      </c>
      <c r="C9" s="106">
        <f>COUNTIFS('03_Package_Summary'!$C$4:$C$94,A9,'03_Package_Summary'!$D$4:$D$94,"Awarded")</f>
        <v/>
      </c>
      <c r="D9" s="107">
        <f>COUNTIFS('03_Package_Summary'!$C$4:$C$94,A9,'03_Package_Summary'!$D$4:$D$94,"Not awarded")</f>
        <v/>
      </c>
      <c r="E9" s="74">
        <f>IF(B9=0,"",C9/B9)</f>
        <v/>
      </c>
      <c r="F9" s="74">
        <f>IF(B9=0,"",D9/B9)</f>
        <v/>
      </c>
      <c r="G9" s="49">
        <f>COUNTIF('01_Scheme_Tracker'!$G$4:$G$453,A9)</f>
        <v/>
      </c>
    </row>
    <row r="10">
      <c r="A10" s="14" t="inlineStr">
        <is>
          <t>Watershed Management</t>
        </is>
      </c>
      <c r="B10" s="49">
        <f>COUNTIF('03_Package_Summary'!$C$4:$C$94,A10)</f>
        <v/>
      </c>
      <c r="C10" s="106">
        <f>COUNTIFS('03_Package_Summary'!$C$4:$C$94,A10,'03_Package_Summary'!$D$4:$D$94,"Awarded")</f>
        <v/>
      </c>
      <c r="D10" s="107">
        <f>COUNTIFS('03_Package_Summary'!$C$4:$C$94,A10,'03_Package_Summary'!$D$4:$D$94,"Not awarded")</f>
        <v/>
      </c>
      <c r="E10" s="74">
        <f>IF(B10=0,"",C10/B10)</f>
        <v/>
      </c>
      <c r="F10" s="74">
        <f>IF(B10=0,"",D10/B10)</f>
        <v/>
      </c>
      <c r="G10" s="49">
        <f>COUNTIF('01_Scheme_Tracker'!$G$4:$G$453,A10)</f>
        <v/>
      </c>
    </row>
    <row r="11">
      <c r="A11" s="14" t="inlineStr">
        <is>
          <t>Drip Irrigation</t>
        </is>
      </c>
      <c r="B11" s="49">
        <f>COUNTIF('03_Package_Summary'!$C$4:$C$94,A11)</f>
        <v/>
      </c>
      <c r="C11" s="106">
        <f>COUNTIFS('03_Package_Summary'!$C$4:$C$94,A11,'03_Package_Summary'!$D$4:$D$94,"Awarded")</f>
        <v/>
      </c>
      <c r="D11" s="107">
        <f>COUNTIFS('03_Package_Summary'!$C$4:$C$94,A11,'03_Package_Summary'!$D$4:$D$94,"Not awarded")</f>
        <v/>
      </c>
      <c r="E11" s="74">
        <f>IF(B11=0,"",C11/B11)</f>
        <v/>
      </c>
      <c r="F11" s="74">
        <f>IF(B11=0,"",D11/B11)</f>
        <v/>
      </c>
      <c r="G11" s="49">
        <f>COUNTIF('01_Scheme_Tracker'!$G$4:$G$453,A11)</f>
        <v/>
      </c>
    </row>
    <row r="12">
      <c r="A12" s="14" t="inlineStr">
        <is>
          <t>Laser Land Leveler (LLL)</t>
        </is>
      </c>
      <c r="B12" s="49">
        <f>COUNTIF('03_Package_Summary'!$C$4:$C$94,A12)</f>
        <v/>
      </c>
      <c r="C12" s="106">
        <f>COUNTIFS('03_Package_Summary'!$C$4:$C$94,A12,'03_Package_Summary'!$D$4:$D$94,"Awarded")</f>
        <v/>
      </c>
      <c r="D12" s="107">
        <f>COUNTIFS('03_Package_Summary'!$C$4:$C$94,A12,'03_Package_Summary'!$D$4:$D$94,"Not awarded")</f>
        <v/>
      </c>
      <c r="E12" s="74">
        <f>IF(B12=0,"",C12/B12)</f>
        <v/>
      </c>
      <c r="F12" s="74">
        <f>IF(B12=0,"",D12/B12)</f>
        <v/>
      </c>
      <c r="G12" s="49">
        <f>COUNTIF('01_Scheme_Tracker'!$G$4:$G$453,A12)</f>
        <v/>
      </c>
    </row>
    <row r="13">
      <c r="A13" s="14" t="inlineStr">
        <is>
          <t>Agroforestry saplings / seeds</t>
        </is>
      </c>
      <c r="B13" s="49">
        <f>COUNTIF('03_Package_Summary'!$C$4:$C$94,A13)</f>
        <v/>
      </c>
      <c r="C13" s="106">
        <f>COUNTIFS('03_Package_Summary'!$C$4:$C$94,A13,'03_Package_Summary'!$D$4:$D$94,"Awarded")</f>
        <v/>
      </c>
      <c r="D13" s="107">
        <f>COUNTIFS('03_Package_Summary'!$C$4:$C$94,A13,'03_Package_Summary'!$D$4:$D$94,"Not awarded")</f>
        <v/>
      </c>
      <c r="E13" s="74">
        <f>IF(B13=0,"",C13/B13)</f>
        <v/>
      </c>
      <c r="F13" s="74">
        <f>IF(B13=0,"",D13/B13)</f>
        <v/>
      </c>
      <c r="G13" s="49">
        <f>COUNTIF('01_Scheme_Tracker'!$G$4:$G$453,A13)</f>
        <v/>
      </c>
    </row>
    <row r="14">
      <c r="A14" s="108" t="inlineStr">
        <is>
          <t>Total</t>
        </is>
      </c>
      <c r="B14" s="49">
        <f>SUM(B9:B13)</f>
        <v/>
      </c>
      <c r="C14" s="49">
        <f>SUM(C9:C13)</f>
        <v/>
      </c>
      <c r="D14" s="49">
        <f>SUM(D9:D13)</f>
        <v/>
      </c>
      <c r="E14" s="74">
        <f>IF(B14=0,"",C14/B14)</f>
        <v/>
      </c>
      <c r="F14" s="74">
        <f>IF(B14=0,"",D14/B14)</f>
        <v/>
      </c>
      <c r="G14" s="49">
        <f>SUM(G9:G13)</f>
        <v/>
      </c>
    </row>
    <row r="16">
      <c r="A16" s="7" t="inlineStr">
        <is>
          <t>Packages by pipeline status — how each step is shared across major interventions</t>
        </is>
      </c>
    </row>
    <row r="17" ht="32" customHeight="1">
      <c r="A17" s="23" t="inlineStr">
        <is>
          <t>Status</t>
        </is>
      </c>
      <c r="B17" s="23" t="inlineStr">
        <is>
          <t>Packages</t>
        </is>
      </c>
      <c r="C17" s="23" t="inlineStr">
        <is>
          <t>Share of all packages</t>
        </is>
      </c>
      <c r="D17" s="23" t="inlineStr">
        <is>
          <t>Sub-projects (rows)</t>
        </is>
      </c>
      <c r="E17" s="23" t="inlineStr">
        <is>
          <t>Awarded packages</t>
        </is>
      </c>
      <c r="F17" s="23" t="inlineStr">
        <is>
          <t>Not awarded packages</t>
        </is>
      </c>
      <c r="G17" s="24" t="inlineStr">
        <is>
          <t>Irrigation Scheme</t>
        </is>
      </c>
      <c r="H17" s="24" t="inlineStr">
        <is>
          <t>Share of this status</t>
        </is>
      </c>
      <c r="I17" s="24" t="inlineStr">
        <is>
          <t>Watershed Management</t>
        </is>
      </c>
      <c r="J17" s="24" t="inlineStr">
        <is>
          <t>Share of this status</t>
        </is>
      </c>
      <c r="K17" s="24" t="inlineStr">
        <is>
          <t>Drip Irrigation</t>
        </is>
      </c>
      <c r="L17" s="24" t="inlineStr">
        <is>
          <t>Share of this status</t>
        </is>
      </c>
      <c r="M17" s="24" t="inlineStr">
        <is>
          <t>Laser Land Leveler (LLL)</t>
        </is>
      </c>
      <c r="N17" s="24" t="inlineStr">
        <is>
          <t>Share of this status</t>
        </is>
      </c>
      <c r="O17" s="24" t="inlineStr">
        <is>
          <t>Agroforestry saplings / seeds</t>
        </is>
      </c>
      <c r="P17" s="24" t="inlineStr">
        <is>
          <t>Share of this status</t>
        </is>
      </c>
    </row>
    <row r="18">
      <c r="A18" s="11" t="inlineStr">
        <is>
          <t>Under Design</t>
        </is>
      </c>
      <c r="B18" s="49">
        <f>COUNTIF('03_Package_Summary'!$E$4:$E$94,A18)</f>
        <v/>
      </c>
      <c r="C18" s="74">
        <f>IF($A$5=0,"",B18/$A$5)</f>
        <v/>
      </c>
      <c r="D18" s="49">
        <f>COUNTIF('01_Scheme_Tracker'!$AC$4:$AC$453,A18)</f>
        <v/>
      </c>
      <c r="E18" s="49">
        <f>COUNTIFS('03_Package_Summary'!$E$4:$E$94,A18,'03_Package_Summary'!$D$4:$D$94,"Awarded")</f>
        <v/>
      </c>
      <c r="F18" s="49">
        <f>COUNTIFS('03_Package_Summary'!$E$4:$E$94,A18,'03_Package_Summary'!$D$4:$D$94,"Not awarded")</f>
        <v/>
      </c>
      <c r="G18" s="49">
        <f>COUNTIFS('03_Package_Summary'!$E$4:$E$94,$A18,'03_Package_Summary'!$C$4:$C$94,G$17)</f>
        <v/>
      </c>
      <c r="H18" s="109">
        <f>IF($B18=0,"",G18/$B18)</f>
        <v/>
      </c>
      <c r="I18" s="49">
        <f>COUNTIFS('03_Package_Summary'!$E$4:$E$94,$A18,'03_Package_Summary'!$C$4:$C$94,I$17)</f>
        <v/>
      </c>
      <c r="J18" s="109">
        <f>IF($B18=0,"",I18/$B18)</f>
        <v/>
      </c>
      <c r="K18" s="49">
        <f>COUNTIFS('03_Package_Summary'!$E$4:$E$94,$A18,'03_Package_Summary'!$C$4:$C$94,K$17)</f>
        <v/>
      </c>
      <c r="L18" s="109">
        <f>IF($B18=0,"",K18/$B18)</f>
        <v/>
      </c>
      <c r="M18" s="49">
        <f>COUNTIFS('03_Package_Summary'!$E$4:$E$94,$A18,'03_Package_Summary'!$C$4:$C$94,M$17)</f>
        <v/>
      </c>
      <c r="N18" s="109">
        <f>IF($B18=0,"",M18/$B18)</f>
        <v/>
      </c>
      <c r="O18" s="49">
        <f>COUNTIFS('03_Package_Summary'!$E$4:$E$94,$A18,'03_Package_Summary'!$C$4:$C$94,O$17)</f>
        <v/>
      </c>
      <c r="P18" s="109">
        <f>IF($B18=0,"",O18/$B18)</f>
        <v/>
      </c>
    </row>
    <row r="19">
      <c r="A19" s="12" t="inlineStr">
        <is>
          <t>Under Review of WRI</t>
        </is>
      </c>
      <c r="B19" s="49">
        <f>COUNTIF('03_Package_Summary'!$E$4:$E$94,A19)</f>
        <v/>
      </c>
      <c r="C19" s="74">
        <f>IF($A$5=0,"",B19/$A$5)</f>
        <v/>
      </c>
      <c r="D19" s="49">
        <f>COUNTIF('01_Scheme_Tracker'!$AC$4:$AC$453,A19)</f>
        <v/>
      </c>
      <c r="E19" s="49">
        <f>COUNTIFS('03_Package_Summary'!$E$4:$E$94,A19,'03_Package_Summary'!$D$4:$D$94,"Awarded")</f>
        <v/>
      </c>
      <c r="F19" s="49">
        <f>COUNTIFS('03_Package_Summary'!$E$4:$E$94,A19,'03_Package_Summary'!$D$4:$D$94,"Not awarded")</f>
        <v/>
      </c>
      <c r="G19" s="49">
        <f>COUNTIFS('03_Package_Summary'!$E$4:$E$94,$A19,'03_Package_Summary'!$C$4:$C$94,G$17)</f>
        <v/>
      </c>
      <c r="H19" s="109">
        <f>IF($B19=0,"",G19/$B19)</f>
        <v/>
      </c>
      <c r="I19" s="49">
        <f>COUNTIFS('03_Package_Summary'!$E$4:$E$94,$A19,'03_Package_Summary'!$C$4:$C$94,I$17)</f>
        <v/>
      </c>
      <c r="J19" s="109">
        <f>IF($B19=0,"",I19/$B19)</f>
        <v/>
      </c>
      <c r="K19" s="49">
        <f>COUNTIFS('03_Package_Summary'!$E$4:$E$94,$A19,'03_Package_Summary'!$C$4:$C$94,K$17)</f>
        <v/>
      </c>
      <c r="L19" s="109">
        <f>IF($B19=0,"",K19/$B19)</f>
        <v/>
      </c>
      <c r="M19" s="49">
        <f>COUNTIFS('03_Package_Summary'!$E$4:$E$94,$A19,'03_Package_Summary'!$C$4:$C$94,M$17)</f>
        <v/>
      </c>
      <c r="N19" s="109">
        <f>IF($B19=0,"",M19/$B19)</f>
        <v/>
      </c>
      <c r="O19" s="49">
        <f>COUNTIFS('03_Package_Summary'!$E$4:$E$94,$A19,'03_Package_Summary'!$C$4:$C$94,O$17)</f>
        <v/>
      </c>
      <c r="P19" s="109">
        <f>IF($B19=0,"",O19/$B19)</f>
        <v/>
      </c>
    </row>
    <row r="20">
      <c r="A20" s="13" t="inlineStr">
        <is>
          <t>Under LTO Review</t>
        </is>
      </c>
      <c r="B20" s="49">
        <f>COUNTIF('03_Package_Summary'!$E$4:$E$94,A20)</f>
        <v/>
      </c>
      <c r="C20" s="74">
        <f>IF($A$5=0,"",B20/$A$5)</f>
        <v/>
      </c>
      <c r="D20" s="49">
        <f>COUNTIF('01_Scheme_Tracker'!$AC$4:$AC$453,A20)</f>
        <v/>
      </c>
      <c r="E20" s="49">
        <f>COUNTIFS('03_Package_Summary'!$E$4:$E$94,A20,'03_Package_Summary'!$D$4:$D$94,"Awarded")</f>
        <v/>
      </c>
      <c r="F20" s="49">
        <f>COUNTIFS('03_Package_Summary'!$E$4:$E$94,A20,'03_Package_Summary'!$D$4:$D$94,"Not awarded")</f>
        <v/>
      </c>
      <c r="G20" s="49">
        <f>COUNTIFS('03_Package_Summary'!$E$4:$E$94,$A20,'03_Package_Summary'!$C$4:$C$94,G$17)</f>
        <v/>
      </c>
      <c r="H20" s="109">
        <f>IF($B20=0,"",G20/$B20)</f>
        <v/>
      </c>
      <c r="I20" s="49">
        <f>COUNTIFS('03_Package_Summary'!$E$4:$E$94,$A20,'03_Package_Summary'!$C$4:$C$94,I$17)</f>
        <v/>
      </c>
      <c r="J20" s="109">
        <f>IF($B20=0,"",I20/$B20)</f>
        <v/>
      </c>
      <c r="K20" s="49">
        <f>COUNTIFS('03_Package_Summary'!$E$4:$E$94,$A20,'03_Package_Summary'!$C$4:$C$94,K$17)</f>
        <v/>
      </c>
      <c r="L20" s="109">
        <f>IF($B20=0,"",K20/$B20)</f>
        <v/>
      </c>
      <c r="M20" s="49">
        <f>COUNTIFS('03_Package_Summary'!$E$4:$E$94,$A20,'03_Package_Summary'!$C$4:$C$94,M$17)</f>
        <v/>
      </c>
      <c r="N20" s="109">
        <f>IF($B20=0,"",M20/$B20)</f>
        <v/>
      </c>
      <c r="O20" s="49">
        <f>COUNTIFS('03_Package_Summary'!$E$4:$E$94,$A20,'03_Package_Summary'!$C$4:$C$94,O$17)</f>
        <v/>
      </c>
      <c r="P20" s="109">
        <f>IF($B20=0,"",O20/$B20)</f>
        <v/>
      </c>
    </row>
    <row r="21">
      <c r="A21" s="14" t="inlineStr">
        <is>
          <t>PR to be Raised</t>
        </is>
      </c>
      <c r="B21" s="49">
        <f>COUNTIF('03_Package_Summary'!$E$4:$E$94,A21)</f>
        <v/>
      </c>
      <c r="C21" s="74">
        <f>IF($A$5=0,"",B21/$A$5)</f>
        <v/>
      </c>
      <c r="D21" s="49">
        <f>COUNTIF('01_Scheme_Tracker'!$AC$4:$AC$453,A21)</f>
        <v/>
      </c>
      <c r="E21" s="49">
        <f>COUNTIFS('03_Package_Summary'!$E$4:$E$94,A21,'03_Package_Summary'!$D$4:$D$94,"Awarded")</f>
        <v/>
      </c>
      <c r="F21" s="49">
        <f>COUNTIFS('03_Package_Summary'!$E$4:$E$94,A21,'03_Package_Summary'!$D$4:$D$94,"Not awarded")</f>
        <v/>
      </c>
      <c r="G21" s="49">
        <f>COUNTIFS('03_Package_Summary'!$E$4:$E$94,$A21,'03_Package_Summary'!$C$4:$C$94,G$17)</f>
        <v/>
      </c>
      <c r="H21" s="109">
        <f>IF($B21=0,"",G21/$B21)</f>
        <v/>
      </c>
      <c r="I21" s="49">
        <f>COUNTIFS('03_Package_Summary'!$E$4:$E$94,$A21,'03_Package_Summary'!$C$4:$C$94,I$17)</f>
        <v/>
      </c>
      <c r="J21" s="109">
        <f>IF($B21=0,"",I21/$B21)</f>
        <v/>
      </c>
      <c r="K21" s="49">
        <f>COUNTIFS('03_Package_Summary'!$E$4:$E$94,$A21,'03_Package_Summary'!$C$4:$C$94,K$17)</f>
        <v/>
      </c>
      <c r="L21" s="109">
        <f>IF($B21=0,"",K21/$B21)</f>
        <v/>
      </c>
      <c r="M21" s="49">
        <f>COUNTIFS('03_Package_Summary'!$E$4:$E$94,$A21,'03_Package_Summary'!$C$4:$C$94,M$17)</f>
        <v/>
      </c>
      <c r="N21" s="109">
        <f>IF($B21=0,"",M21/$B21)</f>
        <v/>
      </c>
      <c r="O21" s="49">
        <f>COUNTIFS('03_Package_Summary'!$E$4:$E$94,$A21,'03_Package_Summary'!$C$4:$C$94,O$17)</f>
        <v/>
      </c>
      <c r="P21" s="109">
        <f>IF($B21=0,"",O21/$B21)</f>
        <v/>
      </c>
    </row>
    <row r="22">
      <c r="A22" s="15" t="inlineStr">
        <is>
          <t>ITB Launched</t>
        </is>
      </c>
      <c r="B22" s="49">
        <f>COUNTIF('03_Package_Summary'!$E$4:$E$94,A22)</f>
        <v/>
      </c>
      <c r="C22" s="74">
        <f>IF($A$5=0,"",B22/$A$5)</f>
        <v/>
      </c>
      <c r="D22" s="49">
        <f>COUNTIF('01_Scheme_Tracker'!$AC$4:$AC$453,A22)</f>
        <v/>
      </c>
      <c r="E22" s="49">
        <f>COUNTIFS('03_Package_Summary'!$E$4:$E$94,A22,'03_Package_Summary'!$D$4:$D$94,"Awarded")</f>
        <v/>
      </c>
      <c r="F22" s="49">
        <f>COUNTIFS('03_Package_Summary'!$E$4:$E$94,A22,'03_Package_Summary'!$D$4:$D$94,"Not awarded")</f>
        <v/>
      </c>
      <c r="G22" s="49">
        <f>COUNTIFS('03_Package_Summary'!$E$4:$E$94,$A22,'03_Package_Summary'!$C$4:$C$94,G$17)</f>
        <v/>
      </c>
      <c r="H22" s="109">
        <f>IF($B22=0,"",G22/$B22)</f>
        <v/>
      </c>
      <c r="I22" s="49">
        <f>COUNTIFS('03_Package_Summary'!$E$4:$E$94,$A22,'03_Package_Summary'!$C$4:$C$94,I$17)</f>
        <v/>
      </c>
      <c r="J22" s="109">
        <f>IF($B22=0,"",I22/$B22)</f>
        <v/>
      </c>
      <c r="K22" s="49">
        <f>COUNTIFS('03_Package_Summary'!$E$4:$E$94,$A22,'03_Package_Summary'!$C$4:$C$94,K$17)</f>
        <v/>
      </c>
      <c r="L22" s="109">
        <f>IF($B22=0,"",K22/$B22)</f>
        <v/>
      </c>
      <c r="M22" s="49">
        <f>COUNTIFS('03_Package_Summary'!$E$4:$E$94,$A22,'03_Package_Summary'!$C$4:$C$94,M$17)</f>
        <v/>
      </c>
      <c r="N22" s="109">
        <f>IF($B22=0,"",M22/$B22)</f>
        <v/>
      </c>
      <c r="O22" s="49">
        <f>COUNTIFS('03_Package_Summary'!$E$4:$E$94,$A22,'03_Package_Summary'!$C$4:$C$94,O$17)</f>
        <v/>
      </c>
      <c r="P22" s="109">
        <f>IF($B22=0,"",O22/$B22)</f>
        <v/>
      </c>
    </row>
    <row r="23">
      <c r="A23" s="15" t="inlineStr">
        <is>
          <t>Retendered (Re-ITB)</t>
        </is>
      </c>
      <c r="B23" s="49">
        <f>COUNTIF('03_Package_Summary'!$E$4:$E$94,A23)</f>
        <v/>
      </c>
      <c r="C23" s="74">
        <f>IF($A$5=0,"",B23/$A$5)</f>
        <v/>
      </c>
      <c r="D23" s="49">
        <f>COUNTIF('01_Scheme_Tracker'!$AC$4:$AC$453,A23)</f>
        <v/>
      </c>
      <c r="E23" s="49">
        <f>COUNTIFS('03_Package_Summary'!$E$4:$E$94,A23,'03_Package_Summary'!$D$4:$D$94,"Awarded")</f>
        <v/>
      </c>
      <c r="F23" s="49">
        <f>COUNTIFS('03_Package_Summary'!$E$4:$E$94,A23,'03_Package_Summary'!$D$4:$D$94,"Not awarded")</f>
        <v/>
      </c>
      <c r="G23" s="49">
        <f>COUNTIFS('03_Package_Summary'!$E$4:$E$94,$A23,'03_Package_Summary'!$C$4:$C$94,G$17)</f>
        <v/>
      </c>
      <c r="H23" s="109">
        <f>IF($B23=0,"",G23/$B23)</f>
        <v/>
      </c>
      <c r="I23" s="49">
        <f>COUNTIFS('03_Package_Summary'!$E$4:$E$94,$A23,'03_Package_Summary'!$C$4:$C$94,I$17)</f>
        <v/>
      </c>
      <c r="J23" s="109">
        <f>IF($B23=0,"",I23/$B23)</f>
        <v/>
      </c>
      <c r="K23" s="49">
        <f>COUNTIFS('03_Package_Summary'!$E$4:$E$94,$A23,'03_Package_Summary'!$C$4:$C$94,K$17)</f>
        <v/>
      </c>
      <c r="L23" s="109">
        <f>IF($B23=0,"",K23/$B23)</f>
        <v/>
      </c>
      <c r="M23" s="49">
        <f>COUNTIFS('03_Package_Summary'!$E$4:$E$94,$A23,'03_Package_Summary'!$C$4:$C$94,M$17)</f>
        <v/>
      </c>
      <c r="N23" s="109">
        <f>IF($B23=0,"",M23/$B23)</f>
        <v/>
      </c>
      <c r="O23" s="49">
        <f>COUNTIFS('03_Package_Summary'!$E$4:$E$94,$A23,'03_Package_Summary'!$C$4:$C$94,O$17)</f>
        <v/>
      </c>
      <c r="P23" s="109">
        <f>IF($B23=0,"",O23/$B23)</f>
        <v/>
      </c>
    </row>
    <row r="24">
      <c r="A24" s="16" t="inlineStr">
        <is>
          <t>Under Technical Evaluation</t>
        </is>
      </c>
      <c r="B24" s="49">
        <f>COUNTIF('03_Package_Summary'!$E$4:$E$94,A24)</f>
        <v/>
      </c>
      <c r="C24" s="74">
        <f>IF($A$5=0,"",B24/$A$5)</f>
        <v/>
      </c>
      <c r="D24" s="49">
        <f>COUNTIF('01_Scheme_Tracker'!$AC$4:$AC$453,A24)</f>
        <v/>
      </c>
      <c r="E24" s="49">
        <f>COUNTIFS('03_Package_Summary'!$E$4:$E$94,A24,'03_Package_Summary'!$D$4:$D$94,"Awarded")</f>
        <v/>
      </c>
      <c r="F24" s="49">
        <f>COUNTIFS('03_Package_Summary'!$E$4:$E$94,A24,'03_Package_Summary'!$D$4:$D$94,"Not awarded")</f>
        <v/>
      </c>
      <c r="G24" s="49">
        <f>COUNTIFS('03_Package_Summary'!$E$4:$E$94,$A24,'03_Package_Summary'!$C$4:$C$94,G$17)</f>
        <v/>
      </c>
      <c r="H24" s="109">
        <f>IF($B24=0,"",G24/$B24)</f>
        <v/>
      </c>
      <c r="I24" s="49">
        <f>COUNTIFS('03_Package_Summary'!$E$4:$E$94,$A24,'03_Package_Summary'!$C$4:$C$94,I$17)</f>
        <v/>
      </c>
      <c r="J24" s="109">
        <f>IF($B24=0,"",I24/$B24)</f>
        <v/>
      </c>
      <c r="K24" s="49">
        <f>COUNTIFS('03_Package_Summary'!$E$4:$E$94,$A24,'03_Package_Summary'!$C$4:$C$94,K$17)</f>
        <v/>
      </c>
      <c r="L24" s="109">
        <f>IF($B24=0,"",K24/$B24)</f>
        <v/>
      </c>
      <c r="M24" s="49">
        <f>COUNTIFS('03_Package_Summary'!$E$4:$E$94,$A24,'03_Package_Summary'!$C$4:$C$94,M$17)</f>
        <v/>
      </c>
      <c r="N24" s="109">
        <f>IF($B24=0,"",M24/$B24)</f>
        <v/>
      </c>
      <c r="O24" s="49">
        <f>COUNTIFS('03_Package_Summary'!$E$4:$E$94,$A24,'03_Package_Summary'!$C$4:$C$94,O$17)</f>
        <v/>
      </c>
      <c r="P24" s="109">
        <f>IF($B24=0,"",O24/$B24)</f>
        <v/>
      </c>
    </row>
    <row r="25">
      <c r="A25" s="17" t="inlineStr">
        <is>
          <t>Under Awarding</t>
        </is>
      </c>
      <c r="B25" s="49">
        <f>COUNTIF('03_Package_Summary'!$E$4:$E$94,A25)</f>
        <v/>
      </c>
      <c r="C25" s="74">
        <f>IF($A$5=0,"",B25/$A$5)</f>
        <v/>
      </c>
      <c r="D25" s="49">
        <f>COUNTIF('01_Scheme_Tracker'!$AC$4:$AC$453,A25)</f>
        <v/>
      </c>
      <c r="E25" s="49">
        <f>COUNTIFS('03_Package_Summary'!$E$4:$E$94,A25,'03_Package_Summary'!$D$4:$D$94,"Awarded")</f>
        <v/>
      </c>
      <c r="F25" s="49">
        <f>COUNTIFS('03_Package_Summary'!$E$4:$E$94,A25,'03_Package_Summary'!$D$4:$D$94,"Not awarded")</f>
        <v/>
      </c>
      <c r="G25" s="49">
        <f>COUNTIFS('03_Package_Summary'!$E$4:$E$94,$A25,'03_Package_Summary'!$C$4:$C$94,G$17)</f>
        <v/>
      </c>
      <c r="H25" s="109">
        <f>IF($B25=0,"",G25/$B25)</f>
        <v/>
      </c>
      <c r="I25" s="49">
        <f>COUNTIFS('03_Package_Summary'!$E$4:$E$94,$A25,'03_Package_Summary'!$C$4:$C$94,I$17)</f>
        <v/>
      </c>
      <c r="J25" s="109">
        <f>IF($B25=0,"",I25/$B25)</f>
        <v/>
      </c>
      <c r="K25" s="49">
        <f>COUNTIFS('03_Package_Summary'!$E$4:$E$94,$A25,'03_Package_Summary'!$C$4:$C$94,K$17)</f>
        <v/>
      </c>
      <c r="L25" s="109">
        <f>IF($B25=0,"",K25/$B25)</f>
        <v/>
      </c>
      <c r="M25" s="49">
        <f>COUNTIFS('03_Package_Summary'!$E$4:$E$94,$A25,'03_Package_Summary'!$C$4:$C$94,M$17)</f>
        <v/>
      </c>
      <c r="N25" s="109">
        <f>IF($B25=0,"",M25/$B25)</f>
        <v/>
      </c>
      <c r="O25" s="49">
        <f>COUNTIFS('03_Package_Summary'!$E$4:$E$94,$A25,'03_Package_Summary'!$C$4:$C$94,O$17)</f>
        <v/>
      </c>
      <c r="P25" s="109">
        <f>IF($B25=0,"",O25/$B25)</f>
        <v/>
      </c>
    </row>
    <row r="26">
      <c r="A26" s="18" t="inlineStr">
        <is>
          <t>Awarded</t>
        </is>
      </c>
      <c r="B26" s="49">
        <f>COUNTIF('03_Package_Summary'!$E$4:$E$94,A26)</f>
        <v/>
      </c>
      <c r="C26" s="74">
        <f>IF($A$5=0,"",B26/$A$5)</f>
        <v/>
      </c>
      <c r="D26" s="49">
        <f>COUNTIF('01_Scheme_Tracker'!$AC$4:$AC$453,A26)</f>
        <v/>
      </c>
      <c r="E26" s="49">
        <f>COUNTIFS('03_Package_Summary'!$E$4:$E$94,A26,'03_Package_Summary'!$D$4:$D$94,"Awarded")</f>
        <v/>
      </c>
      <c r="F26" s="49">
        <f>COUNTIFS('03_Package_Summary'!$E$4:$E$94,A26,'03_Package_Summary'!$D$4:$D$94,"Not awarded")</f>
        <v/>
      </c>
      <c r="G26" s="49">
        <f>COUNTIFS('03_Package_Summary'!$E$4:$E$94,$A26,'03_Package_Summary'!$C$4:$C$94,G$17)</f>
        <v/>
      </c>
      <c r="H26" s="109">
        <f>IF($B26=0,"",G26/$B26)</f>
        <v/>
      </c>
      <c r="I26" s="49">
        <f>COUNTIFS('03_Package_Summary'!$E$4:$E$94,$A26,'03_Package_Summary'!$C$4:$C$94,I$17)</f>
        <v/>
      </c>
      <c r="J26" s="109">
        <f>IF($B26=0,"",I26/$B26)</f>
        <v/>
      </c>
      <c r="K26" s="49">
        <f>COUNTIFS('03_Package_Summary'!$E$4:$E$94,$A26,'03_Package_Summary'!$C$4:$C$94,K$17)</f>
        <v/>
      </c>
      <c r="L26" s="109">
        <f>IF($B26=0,"",K26/$B26)</f>
        <v/>
      </c>
      <c r="M26" s="49">
        <f>COUNTIFS('03_Package_Summary'!$E$4:$E$94,$A26,'03_Package_Summary'!$C$4:$C$94,M$17)</f>
        <v/>
      </c>
      <c r="N26" s="109">
        <f>IF($B26=0,"",M26/$B26)</f>
        <v/>
      </c>
      <c r="O26" s="49">
        <f>COUNTIFS('03_Package_Summary'!$E$4:$E$94,$A26,'03_Package_Summary'!$C$4:$C$94,O$17)</f>
        <v/>
      </c>
      <c r="P26" s="109">
        <f>IF($B26=0,"",O26/$B26)</f>
        <v/>
      </c>
    </row>
    <row r="27">
      <c r="A27" s="19" t="inlineStr">
        <is>
          <t>Under Construction</t>
        </is>
      </c>
      <c r="B27" s="49">
        <f>COUNTIF('03_Package_Summary'!$E$4:$E$94,A27)</f>
        <v/>
      </c>
      <c r="C27" s="74">
        <f>IF($A$5=0,"",B27/$A$5)</f>
        <v/>
      </c>
      <c r="D27" s="49">
        <f>COUNTIF('01_Scheme_Tracker'!$AC$4:$AC$453,A27)</f>
        <v/>
      </c>
      <c r="E27" s="49">
        <f>COUNTIFS('03_Package_Summary'!$E$4:$E$94,A27,'03_Package_Summary'!$D$4:$D$94,"Awarded")</f>
        <v/>
      </c>
      <c r="F27" s="49">
        <f>COUNTIFS('03_Package_Summary'!$E$4:$E$94,A27,'03_Package_Summary'!$D$4:$D$94,"Not awarded")</f>
        <v/>
      </c>
      <c r="G27" s="49">
        <f>COUNTIFS('03_Package_Summary'!$E$4:$E$94,$A27,'03_Package_Summary'!$C$4:$C$94,G$17)</f>
        <v/>
      </c>
      <c r="H27" s="109">
        <f>IF($B27=0,"",G27/$B27)</f>
        <v/>
      </c>
      <c r="I27" s="49">
        <f>COUNTIFS('03_Package_Summary'!$E$4:$E$94,$A27,'03_Package_Summary'!$C$4:$C$94,I$17)</f>
        <v/>
      </c>
      <c r="J27" s="109">
        <f>IF($B27=0,"",I27/$B27)</f>
        <v/>
      </c>
      <c r="K27" s="49">
        <f>COUNTIFS('03_Package_Summary'!$E$4:$E$94,$A27,'03_Package_Summary'!$C$4:$C$94,K$17)</f>
        <v/>
      </c>
      <c r="L27" s="109">
        <f>IF($B27=0,"",K27/$B27)</f>
        <v/>
      </c>
      <c r="M27" s="49">
        <f>COUNTIFS('03_Package_Summary'!$E$4:$E$94,$A27,'03_Package_Summary'!$C$4:$C$94,M$17)</f>
        <v/>
      </c>
      <c r="N27" s="109">
        <f>IF($B27=0,"",M27/$B27)</f>
        <v/>
      </c>
      <c r="O27" s="49">
        <f>COUNTIFS('03_Package_Summary'!$E$4:$E$94,$A27,'03_Package_Summary'!$C$4:$C$94,O$17)</f>
        <v/>
      </c>
      <c r="P27" s="109">
        <f>IF($B27=0,"",O27/$B27)</f>
        <v/>
      </c>
    </row>
    <row r="28">
      <c r="A28" s="20" t="inlineStr">
        <is>
          <t>Completed / Handover</t>
        </is>
      </c>
      <c r="B28" s="49">
        <f>COUNTIF('03_Package_Summary'!$E$4:$E$94,A28)</f>
        <v/>
      </c>
      <c r="C28" s="74">
        <f>IF($A$5=0,"",B28/$A$5)</f>
        <v/>
      </c>
      <c r="D28" s="49">
        <f>COUNTIF('01_Scheme_Tracker'!$AC$4:$AC$453,A28)</f>
        <v/>
      </c>
      <c r="E28" s="49">
        <f>COUNTIFS('03_Package_Summary'!$E$4:$E$94,A28,'03_Package_Summary'!$D$4:$D$94,"Awarded")</f>
        <v/>
      </c>
      <c r="F28" s="49">
        <f>COUNTIFS('03_Package_Summary'!$E$4:$E$94,A28,'03_Package_Summary'!$D$4:$D$94,"Not awarded")</f>
        <v/>
      </c>
      <c r="G28" s="49">
        <f>COUNTIFS('03_Package_Summary'!$E$4:$E$94,$A28,'03_Package_Summary'!$C$4:$C$94,G$17)</f>
        <v/>
      </c>
      <c r="H28" s="109">
        <f>IF($B28=0,"",G28/$B28)</f>
        <v/>
      </c>
      <c r="I28" s="49">
        <f>COUNTIFS('03_Package_Summary'!$E$4:$E$94,$A28,'03_Package_Summary'!$C$4:$C$94,I$17)</f>
        <v/>
      </c>
      <c r="J28" s="109">
        <f>IF($B28=0,"",I28/$B28)</f>
        <v/>
      </c>
      <c r="K28" s="49">
        <f>COUNTIFS('03_Package_Summary'!$E$4:$E$94,$A28,'03_Package_Summary'!$C$4:$C$94,K$17)</f>
        <v/>
      </c>
      <c r="L28" s="109">
        <f>IF($B28=0,"",K28/$B28)</f>
        <v/>
      </c>
      <c r="M28" s="49">
        <f>COUNTIFS('03_Package_Summary'!$E$4:$E$94,$A28,'03_Package_Summary'!$C$4:$C$94,M$17)</f>
        <v/>
      </c>
      <c r="N28" s="109">
        <f>IF($B28=0,"",M28/$B28)</f>
        <v/>
      </c>
      <c r="O28" s="49">
        <f>COUNTIFS('03_Package_Summary'!$E$4:$E$94,$A28,'03_Package_Summary'!$C$4:$C$94,O$17)</f>
        <v/>
      </c>
      <c r="P28" s="109">
        <f>IF($B28=0,"",O28/$B28)</f>
        <v/>
      </c>
    </row>
    <row r="29">
      <c r="A29" s="52" t="inlineStr">
        <is>
          <t>Not started</t>
        </is>
      </c>
      <c r="B29" s="49">
        <f>COUNTIF('03_Package_Summary'!$E$4:$E$94,A29)</f>
        <v/>
      </c>
      <c r="C29" s="74">
        <f>IF($A$5=0,"",B29/$A$5)</f>
        <v/>
      </c>
      <c r="D29" s="49">
        <f>COUNTIF('01_Scheme_Tracker'!$AC$4:$AC$453,A29)</f>
        <v/>
      </c>
      <c r="E29" s="49">
        <f>COUNTIFS('03_Package_Summary'!$E$4:$E$94,A29,'03_Package_Summary'!$D$4:$D$94,"Awarded")</f>
        <v/>
      </c>
      <c r="F29" s="49">
        <f>COUNTIFS('03_Package_Summary'!$E$4:$E$94,A29,'03_Package_Summary'!$D$4:$D$94,"Not awarded")</f>
        <v/>
      </c>
      <c r="G29" s="49">
        <f>COUNTIFS('03_Package_Summary'!$E$4:$E$94,$A29,'03_Package_Summary'!$C$4:$C$94,G$17)</f>
        <v/>
      </c>
      <c r="H29" s="109">
        <f>IF($B29=0,"",G29/$B29)</f>
        <v/>
      </c>
      <c r="I29" s="49">
        <f>COUNTIFS('03_Package_Summary'!$E$4:$E$94,$A29,'03_Package_Summary'!$C$4:$C$94,I$17)</f>
        <v/>
      </c>
      <c r="J29" s="109">
        <f>IF($B29=0,"",I29/$B29)</f>
        <v/>
      </c>
      <c r="K29" s="49">
        <f>COUNTIFS('03_Package_Summary'!$E$4:$E$94,$A29,'03_Package_Summary'!$C$4:$C$94,K$17)</f>
        <v/>
      </c>
      <c r="L29" s="109">
        <f>IF($B29=0,"",K29/$B29)</f>
        <v/>
      </c>
      <c r="M29" s="49">
        <f>COUNTIFS('03_Package_Summary'!$E$4:$E$94,$A29,'03_Package_Summary'!$C$4:$C$94,M$17)</f>
        <v/>
      </c>
      <c r="N29" s="109">
        <f>IF($B29=0,"",M29/$B29)</f>
        <v/>
      </c>
      <c r="O29" s="49">
        <f>COUNTIFS('03_Package_Summary'!$E$4:$E$94,$A29,'03_Package_Summary'!$C$4:$C$94,O$17)</f>
        <v/>
      </c>
      <c r="P29" s="109">
        <f>IF($B29=0,"",O29/$B29)</f>
        <v/>
      </c>
    </row>
    <row r="30">
      <c r="A30" s="110" t="inlineStr">
        <is>
          <t>Cancelled</t>
        </is>
      </c>
      <c r="B30" s="49">
        <f>COUNTIF('03_Package_Summary'!$E$4:$E$94,A30)</f>
        <v/>
      </c>
      <c r="C30" s="74">
        <f>IF($A$5=0,"",B30/$A$5)</f>
        <v/>
      </c>
      <c r="D30" s="49">
        <f>COUNTIF('01_Scheme_Tracker'!$AC$4:$AC$453,A30)</f>
        <v/>
      </c>
      <c r="E30" s="49">
        <f>COUNTIFS('03_Package_Summary'!$E$4:$E$94,A30,'03_Package_Summary'!$D$4:$D$94,"Awarded")</f>
        <v/>
      </c>
      <c r="F30" s="49">
        <f>COUNTIFS('03_Package_Summary'!$E$4:$E$94,A30,'03_Package_Summary'!$D$4:$D$94,"Not awarded")</f>
        <v/>
      </c>
      <c r="G30" s="49">
        <f>COUNTIFS('03_Package_Summary'!$E$4:$E$94,$A30,'03_Package_Summary'!$C$4:$C$94,G$17)</f>
        <v/>
      </c>
      <c r="H30" s="109">
        <f>IF($B30=0,"",G30/$B30)</f>
        <v/>
      </c>
      <c r="I30" s="49">
        <f>COUNTIFS('03_Package_Summary'!$E$4:$E$94,$A30,'03_Package_Summary'!$C$4:$C$94,I$17)</f>
        <v/>
      </c>
      <c r="J30" s="109">
        <f>IF($B30=0,"",I30/$B30)</f>
        <v/>
      </c>
      <c r="K30" s="49">
        <f>COUNTIFS('03_Package_Summary'!$E$4:$E$94,$A30,'03_Package_Summary'!$C$4:$C$94,K$17)</f>
        <v/>
      </c>
      <c r="L30" s="109">
        <f>IF($B30=0,"",K30/$B30)</f>
        <v/>
      </c>
      <c r="M30" s="49">
        <f>COUNTIFS('03_Package_Summary'!$E$4:$E$94,$A30,'03_Package_Summary'!$C$4:$C$94,M$17)</f>
        <v/>
      </c>
      <c r="N30" s="109">
        <f>IF($B30=0,"",M30/$B30)</f>
        <v/>
      </c>
      <c r="O30" s="49">
        <f>COUNTIFS('03_Package_Summary'!$E$4:$E$94,$A30,'03_Package_Summary'!$C$4:$C$94,O$17)</f>
        <v/>
      </c>
      <c r="P30" s="109">
        <f>IF($B30=0,"",O30/$B30)</f>
        <v/>
      </c>
    </row>
    <row r="31">
      <c r="A31" s="108" t="inlineStr">
        <is>
          <t>Total</t>
        </is>
      </c>
      <c r="B31" s="49">
        <f>SUM(B18:B30)</f>
        <v/>
      </c>
      <c r="C31" s="74">
        <f>IF($A$5=0,"",B31/$A$5)</f>
        <v/>
      </c>
      <c r="D31" s="49">
        <f>SUM(D18:D30)</f>
        <v/>
      </c>
      <c r="E31" s="49">
        <f>SUM(E18:E30)</f>
        <v/>
      </c>
      <c r="F31" s="49">
        <f>SUM(F18:F30)</f>
        <v/>
      </c>
      <c r="G31" s="49">
        <f>SUM(G18:G30)</f>
        <v/>
      </c>
      <c r="H31" s="74">
        <f>IF($B31=0,"",G31/$B31)</f>
        <v/>
      </c>
      <c r="I31" s="49">
        <f>SUM(I18:I30)</f>
        <v/>
      </c>
      <c r="J31" s="74">
        <f>IF($B31=0,"",I31/$B31)</f>
        <v/>
      </c>
      <c r="K31" s="49">
        <f>SUM(K18:K30)</f>
        <v/>
      </c>
      <c r="L31" s="74">
        <f>IF($B31=0,"",K31/$B31)</f>
        <v/>
      </c>
      <c r="M31" s="49">
        <f>SUM(M18:M30)</f>
        <v/>
      </c>
      <c r="N31" s="74">
        <f>IF($B31=0,"",M31/$B31)</f>
        <v/>
      </c>
      <c r="O31" s="49">
        <f>SUM(O18:O30)</f>
        <v/>
      </c>
      <c r="P31" s="74">
        <f>IF($B31=0,"",O31/$B31)</f>
        <v/>
      </c>
    </row>
    <row r="33">
      <c r="A33" s="72" t="inlineStr">
        <is>
          <t>Share of each major intervention across statuses (read down a column)</t>
        </is>
      </c>
    </row>
    <row r="34">
      <c r="A34" s="24" t="inlineStr">
        <is>
          <t>Status</t>
        </is>
      </c>
      <c r="B34" s="24" t="inlineStr">
        <is>
          <t>Irrigation Scheme</t>
        </is>
      </c>
      <c r="C34" s="24" t="inlineStr">
        <is>
          <t>Watershed Management</t>
        </is>
      </c>
      <c r="D34" s="24" t="inlineStr">
        <is>
          <t>Drip Irrigation</t>
        </is>
      </c>
      <c r="E34" s="24" t="inlineStr">
        <is>
          <t>Laser Land Leveler (LLL)</t>
        </is>
      </c>
      <c r="F34" s="24" t="inlineStr">
        <is>
          <t>Agroforestry saplings / seeds</t>
        </is>
      </c>
    </row>
    <row r="35">
      <c r="A35" s="11">
        <f>A18</f>
        <v/>
      </c>
      <c r="B35" s="74">
        <f>IF(G31=0,"",G18/G31)</f>
        <v/>
      </c>
      <c r="C35" s="74">
        <f>IF(I31=0,"",I18/I31)</f>
        <v/>
      </c>
      <c r="D35" s="74">
        <f>IF(K31=0,"",K18/K31)</f>
        <v/>
      </c>
      <c r="E35" s="74">
        <f>IF(M31=0,"",M18/M31)</f>
        <v/>
      </c>
      <c r="F35" s="74">
        <f>IF(O31=0,"",O18/O31)</f>
        <v/>
      </c>
    </row>
    <row r="36">
      <c r="A36" s="12">
        <f>A19</f>
        <v/>
      </c>
      <c r="B36" s="74">
        <f>IF(G31=0,"",G19/G31)</f>
        <v/>
      </c>
      <c r="C36" s="74">
        <f>IF(I31=0,"",I19/I31)</f>
        <v/>
      </c>
      <c r="D36" s="74">
        <f>IF(K31=0,"",K19/K31)</f>
        <v/>
      </c>
      <c r="E36" s="74">
        <f>IF(M31=0,"",M19/M31)</f>
        <v/>
      </c>
      <c r="F36" s="74">
        <f>IF(O31=0,"",O19/O31)</f>
        <v/>
      </c>
    </row>
    <row r="37">
      <c r="A37" s="13">
        <f>A20</f>
        <v/>
      </c>
      <c r="B37" s="74">
        <f>IF(G31=0,"",G20/G31)</f>
        <v/>
      </c>
      <c r="C37" s="74">
        <f>IF(I31=0,"",I20/I31)</f>
        <v/>
      </c>
      <c r="D37" s="74">
        <f>IF(K31=0,"",K20/K31)</f>
        <v/>
      </c>
      <c r="E37" s="74">
        <f>IF(M31=0,"",M20/M31)</f>
        <v/>
      </c>
      <c r="F37" s="74">
        <f>IF(O31=0,"",O20/O31)</f>
        <v/>
      </c>
    </row>
    <row r="38">
      <c r="A38" s="14">
        <f>A21</f>
        <v/>
      </c>
      <c r="B38" s="74">
        <f>IF(G31=0,"",G21/G31)</f>
        <v/>
      </c>
      <c r="C38" s="74">
        <f>IF(I31=0,"",I21/I31)</f>
        <v/>
      </c>
      <c r="D38" s="74">
        <f>IF(K31=0,"",K21/K31)</f>
        <v/>
      </c>
      <c r="E38" s="74">
        <f>IF(M31=0,"",M21/M31)</f>
        <v/>
      </c>
      <c r="F38" s="74">
        <f>IF(O31=0,"",O21/O31)</f>
        <v/>
      </c>
    </row>
    <row r="39">
      <c r="A39" s="15">
        <f>A22</f>
        <v/>
      </c>
      <c r="B39" s="74">
        <f>IF(G31=0,"",G22/G31)</f>
        <v/>
      </c>
      <c r="C39" s="74">
        <f>IF(I31=0,"",I22/I31)</f>
        <v/>
      </c>
      <c r="D39" s="74">
        <f>IF(K31=0,"",K22/K31)</f>
        <v/>
      </c>
      <c r="E39" s="74">
        <f>IF(M31=0,"",M22/M31)</f>
        <v/>
      </c>
      <c r="F39" s="74">
        <f>IF(O31=0,"",O22/O31)</f>
        <v/>
      </c>
    </row>
    <row r="40">
      <c r="A40" s="15">
        <f>A23</f>
        <v/>
      </c>
      <c r="B40" s="74">
        <f>IF(G31=0,"",G23/G31)</f>
        <v/>
      </c>
      <c r="C40" s="74">
        <f>IF(I31=0,"",I23/I31)</f>
        <v/>
      </c>
      <c r="D40" s="74">
        <f>IF(K31=0,"",K23/K31)</f>
        <v/>
      </c>
      <c r="E40" s="74">
        <f>IF(M31=0,"",M23/M31)</f>
        <v/>
      </c>
      <c r="F40" s="74">
        <f>IF(O31=0,"",O23/O31)</f>
        <v/>
      </c>
    </row>
    <row r="41">
      <c r="A41" s="16">
        <f>A24</f>
        <v/>
      </c>
      <c r="B41" s="74">
        <f>IF(G31=0,"",G24/G31)</f>
        <v/>
      </c>
      <c r="C41" s="74">
        <f>IF(I31=0,"",I24/I31)</f>
        <v/>
      </c>
      <c r="D41" s="74">
        <f>IF(K31=0,"",K24/K31)</f>
        <v/>
      </c>
      <c r="E41" s="74">
        <f>IF(M31=0,"",M24/M31)</f>
        <v/>
      </c>
      <c r="F41" s="74">
        <f>IF(O31=0,"",O24/O31)</f>
        <v/>
      </c>
    </row>
    <row r="42">
      <c r="A42" s="17">
        <f>A25</f>
        <v/>
      </c>
      <c r="B42" s="74">
        <f>IF(G31=0,"",G25/G31)</f>
        <v/>
      </c>
      <c r="C42" s="74">
        <f>IF(I31=0,"",I25/I31)</f>
        <v/>
      </c>
      <c r="D42" s="74">
        <f>IF(K31=0,"",K25/K31)</f>
        <v/>
      </c>
      <c r="E42" s="74">
        <f>IF(M31=0,"",M25/M31)</f>
        <v/>
      </c>
      <c r="F42" s="74">
        <f>IF(O31=0,"",O25/O31)</f>
        <v/>
      </c>
    </row>
    <row r="43">
      <c r="A43" s="18">
        <f>A26</f>
        <v/>
      </c>
      <c r="B43" s="74">
        <f>IF(G31=0,"",G26/G31)</f>
        <v/>
      </c>
      <c r="C43" s="74">
        <f>IF(I31=0,"",I26/I31)</f>
        <v/>
      </c>
      <c r="D43" s="74">
        <f>IF(K31=0,"",K26/K31)</f>
        <v/>
      </c>
      <c r="E43" s="74">
        <f>IF(M31=0,"",M26/M31)</f>
        <v/>
      </c>
      <c r="F43" s="74">
        <f>IF(O31=0,"",O26/O31)</f>
        <v/>
      </c>
    </row>
    <row r="44">
      <c r="A44" s="19">
        <f>A27</f>
        <v/>
      </c>
      <c r="B44" s="74">
        <f>IF(G31=0,"",G27/G31)</f>
        <v/>
      </c>
      <c r="C44" s="74">
        <f>IF(I31=0,"",I27/I31)</f>
        <v/>
      </c>
      <c r="D44" s="74">
        <f>IF(K31=0,"",K27/K31)</f>
        <v/>
      </c>
      <c r="E44" s="74">
        <f>IF(M31=0,"",M27/M31)</f>
        <v/>
      </c>
      <c r="F44" s="74">
        <f>IF(O31=0,"",O27/O31)</f>
        <v/>
      </c>
    </row>
    <row r="45">
      <c r="A45" s="20">
        <f>A28</f>
        <v/>
      </c>
      <c r="B45" s="74">
        <f>IF(G31=0,"",G28/G31)</f>
        <v/>
      </c>
      <c r="C45" s="74">
        <f>IF(I31=0,"",I28/I31)</f>
        <v/>
      </c>
      <c r="D45" s="74">
        <f>IF(K31=0,"",K28/K31)</f>
        <v/>
      </c>
      <c r="E45" s="74">
        <f>IF(M31=0,"",M28/M31)</f>
        <v/>
      </c>
      <c r="F45" s="74">
        <f>IF(O31=0,"",O28/O31)</f>
        <v/>
      </c>
    </row>
    <row r="46">
      <c r="A46" s="52">
        <f>A29</f>
        <v/>
      </c>
      <c r="B46" s="74">
        <f>IF(G31=0,"",G29/G31)</f>
        <v/>
      </c>
      <c r="C46" s="74">
        <f>IF(I31=0,"",I29/I31)</f>
        <v/>
      </c>
      <c r="D46" s="74">
        <f>IF(K31=0,"",K29/K31)</f>
        <v/>
      </c>
      <c r="E46" s="74">
        <f>IF(M31=0,"",M29/M31)</f>
        <v/>
      </c>
      <c r="F46" s="74">
        <f>IF(O31=0,"",O29/O31)</f>
        <v/>
      </c>
    </row>
    <row r="47">
      <c r="A47" s="110">
        <f>A30</f>
        <v/>
      </c>
      <c r="B47" s="74">
        <f>IF(G31=0,"",G30/G31)</f>
        <v/>
      </c>
      <c r="C47" s="74">
        <f>IF(I31=0,"",I30/I31)</f>
        <v/>
      </c>
      <c r="D47" s="74">
        <f>IF(K31=0,"",K30/K31)</f>
        <v/>
      </c>
      <c r="E47" s="74">
        <f>IF(M31=0,"",M30/M31)</f>
        <v/>
      </c>
      <c r="F47" s="74">
        <f>IF(O31=0,"",O30/O31)</f>
        <v/>
      </c>
    </row>
    <row r="49">
      <c r="A49" s="81" t="inlineStr">
        <is>
          <t>How to read: on the Awarded row, Irrigation Scheme / Watershed Management / … counts are unique packages, and Share of this status is that major’s slice of Awarded (they add to 100%). The lower table reads down a major: of all Irrigation Scheme packages, what share is Under Construction vs Awarded. Sub-projects is the old row count — do not use it for package totals. Filter 03_Package_Summary by Package status and Major intervention to list the contracts.</t>
        </is>
      </c>
    </row>
    <row r="50"/>
    <row r="51"/>
  </sheetData>
  <mergeCells count="14">
    <mergeCell ref="A4:B4"/>
    <mergeCell ref="G4:H4"/>
    <mergeCell ref="E4:F4"/>
    <mergeCell ref="A33:F33"/>
    <mergeCell ref="A49:F51"/>
    <mergeCell ref="A1:P1"/>
    <mergeCell ref="A2:P2"/>
    <mergeCell ref="C5:D5"/>
    <mergeCell ref="A5:B5"/>
    <mergeCell ref="G5:H5"/>
    <mergeCell ref="E5:F5"/>
    <mergeCell ref="A7:G7"/>
    <mergeCell ref="A16:P16"/>
    <mergeCell ref="C4:D4"/>
  </mergeCells>
  <pageMargins left="0.75" right="0.75" top="1" bottom="1" header="0.5" footer="0.5"/>
  <pageSetup orientation="landscape" fitToHeight="0" fitToWidth="1"/>
  <headerFooter>
    <oddHeader/>
    <oddFooter>&amp;LPackage status by major intervention — unique contracts&amp;RPage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8A6D3B"/>
    <outlinePr summaryBelow="1" summaryRight="1"/>
    <pageSetUpPr fitToPage="1"/>
  </sheetPr>
  <dimension ref="B1:D2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88" customWidth="1" min="3" max="3"/>
    <col width="28" customWidth="1" min="4" max="4"/>
  </cols>
  <sheetData>
    <row r="1" ht="26" customHeight="1">
      <c r="B1" s="21" t="inlineStr">
        <is>
          <t>Date conditions — what each date means and how schedule health is calculated</t>
        </is>
      </c>
      <c r="C1" s="2" t="n"/>
      <c r="D1" s="2" t="n"/>
    </row>
    <row r="2" ht="22" customHeight="1">
      <c r="B2" s="3" t="inlineStr">
        <is>
          <t>All health colours use Excel TODAY(), so they move as the calendar moves. Type the day a step was reached — not a forecast — unless the column says expected / planned.</t>
        </is>
      </c>
      <c r="C2" s="2" t="n"/>
      <c r="D2" s="2" t="n"/>
    </row>
    <row r="4" ht="22" customHeight="1">
      <c r="B4" s="7" t="inlineStr">
        <is>
          <t>What you type in a Date: column</t>
        </is>
      </c>
      <c r="C4" s="8" t="n"/>
      <c r="D4" s="8" t="n"/>
    </row>
    <row r="5" ht="68" customHeight="1">
      <c r="B5" s="4" t="inlineStr">
        <is>
          <t>Working date = day the step started</t>
        </is>
      </c>
      <c r="C5" s="5" t="inlineStr">
        <is>
          <t>In section 4 of 01_Scheme_Tracker, each 'Date: …' cell is the calendar day that step was reached (design started, WRI review started, ITB launched, contract signed, construction started, handover). Do not put the expected future date of a later step in that later column. Leave later dates blank until they happen. Current Status then becomes the latest dated step. If every Date: cell is empty, Current Status uses Reported Status.</t>
        </is>
      </c>
      <c r="D5" s="86" t="inlineStr">
        <is>
          <t>Section 4</t>
        </is>
      </c>
    </row>
    <row r="6" ht="68" customHeight="1">
      <c r="B6" s="4" t="inlineStr">
        <is>
          <t>Awarded Date</t>
        </is>
      </c>
      <c r="C6" s="5" t="inlineStr">
        <is>
          <t>This is a formula. It copies Date: Awarded. Type the signature / notice-of-award day in Date: Awarded, not in Awarded Date.</t>
        </is>
      </c>
      <c r="D6" s="86" t="inlineStr">
        <is>
          <t>Section 2 copies section 4</t>
        </is>
      </c>
    </row>
    <row r="7" ht="68" customHeight="1">
      <c r="B7" s="4" t="inlineStr">
        <is>
          <t>Expected award date (Not awarded rows)</t>
        </is>
      </c>
      <c r="C7" s="5" t="inlineStr">
        <is>
          <t>Forecast of when the contract should be awarded. This is the date schedule health watches for Not awarded packages. If TODAY() is after this date, the row is Behind — award date passed. If this date is within the next 30 days, the row is At risk — close to off track.</t>
        </is>
      </c>
      <c r="D7" s="86" t="inlineStr">
        <is>
          <t>Section 2</t>
        </is>
      </c>
    </row>
    <row r="8" ht="68" customHeight="1">
      <c r="B8" s="4" t="inlineStr">
        <is>
          <t>Contract / expected end date</t>
        </is>
      </c>
      <c r="C8" s="5" t="inlineStr">
        <is>
          <t>For Awarded rows this is the contractual completion date. For Not awarded rows it is the expected completion after award. Planned End Date uses this value when it is filled; otherwise it uses EDATE(Awarded Date, Contract Duration months).</t>
        </is>
      </c>
      <c r="D8" s="86" t="inlineStr">
        <is>
          <t>Section 2</t>
        </is>
      </c>
    </row>
    <row r="9" ht="68" customHeight="1">
      <c r="B9" s="4" t="inlineStr">
        <is>
          <t>Days between steps</t>
        </is>
      </c>
      <c r="C9" s="5" t="inlineStr">
        <is>
          <t>Days: A → B = Date of B minus the last previous filled date (a skipped step still measures from the last real date). Days in current status = TODAY() minus the latest filled Date:. This number changes every morning. Total days first → last = last filled Date: minus first filled Date:. Days over target = days in current status minus the target days on 06_Status_Pipeline. A negative day-count means a later step was dated earlier than a previous one — check the dates.</t>
        </is>
      </c>
      <c r="D9" s="86" t="inlineStr">
        <is>
          <t>Sections 3 and 5</t>
        </is>
      </c>
    </row>
    <row r="11" ht="22" customHeight="1">
      <c r="B11" s="7" t="inlineStr">
        <is>
          <t>Schedule health — conditions that use those dates</t>
        </is>
      </c>
      <c r="C11" s="8" t="n"/>
      <c r="D11" s="8" t="n"/>
    </row>
    <row r="12" ht="68" customHeight="1">
      <c r="B12" s="4" t="inlineStr">
        <is>
          <t>Cancelled</t>
        </is>
      </c>
      <c r="C12" s="5" t="inlineStr">
        <is>
          <t>If Reported Status or Current Status is Cancelled, health is Cancelled (grey). No date test is applied.</t>
        </is>
      </c>
      <c r="D12" s="111" t="inlineStr">
        <is>
          <t>Grey</t>
        </is>
      </c>
    </row>
    <row r="13" ht="68" customHeight="1">
      <c r="B13" s="4" t="inlineStr">
        <is>
          <t>Completed — on track</t>
        </is>
      </c>
      <c r="C13" s="5" t="inlineStr">
        <is>
          <t>If Current Status is Completed / Handover, or Actual completion date is filled, or Physical progress ≥ 100, health is Completed — on track (green). The planned end is not used once the work is finished.</t>
        </is>
      </c>
      <c r="D13" s="112" t="inlineStr">
        <is>
          <t>Green</t>
        </is>
      </c>
    </row>
    <row r="14" ht="68" customHeight="1">
      <c r="B14" s="4" t="inlineStr">
        <is>
          <t>Not awarded — Behind — award date passed</t>
        </is>
      </c>
      <c r="C14" s="5" t="inlineStr">
        <is>
          <t>Awarded / Not awarded = Not awarded, and Expected award date is filled, and TODAY() &gt; Expected award date. The package should already have been awarded.</t>
        </is>
      </c>
      <c r="D14" s="113" t="inlineStr">
        <is>
          <t>Red</t>
        </is>
      </c>
    </row>
    <row r="15" ht="68" customHeight="1">
      <c r="B15" s="4" t="inlineStr">
        <is>
          <t>Not awarded — At risk — close to off track</t>
        </is>
      </c>
      <c r="C15" s="5" t="inlineStr">
        <is>
          <t>Awarded / Not awarded = Not awarded, Expected award date is filled, and that date is today or within the next 30 days. Procurement needs attention now.</t>
        </is>
      </c>
      <c r="D15" s="114" t="inlineStr">
        <is>
          <t>Amber</t>
        </is>
      </c>
    </row>
    <row r="16" ht="68" customHeight="1">
      <c r="B16" s="4" t="inlineStr">
        <is>
          <t>Not awarded — On track</t>
        </is>
      </c>
      <c r="C16" s="5" t="inlineStr">
        <is>
          <t>Awarded / Not awarded = Not awarded, Expected award date is filled, and more than 30 days remain until that date.</t>
        </is>
      </c>
      <c r="D16" s="112" t="inlineStr">
        <is>
          <t>Green</t>
        </is>
      </c>
    </row>
    <row r="17" ht="68" customHeight="1">
      <c r="B17" s="4" t="inlineStr">
        <is>
          <t>Not awarded — no expected award date</t>
        </is>
      </c>
      <c r="C17" s="5" t="inlineStr">
        <is>
          <t>If Expected award date is blank, the same three tests (behind / at risk / on track) use Planned End Date (or Contract / expected end). If that is also blank, health is No planned date.</t>
        </is>
      </c>
      <c r="D17" s="86" t="inlineStr">
        <is>
          <t>Grey / date-based</t>
        </is>
      </c>
    </row>
    <row r="18" ht="68" customHeight="1">
      <c r="B18" s="4" t="inlineStr">
        <is>
          <t>Awarded — Behind — past end date</t>
        </is>
      </c>
      <c r="C18" s="5" t="inlineStr">
        <is>
          <t>Awarded / Not awarded = Awarded, Planned End Date is filled, TODAY() is after that date, and physical progress is blank or below 100. The contract period has expired and the work is not finished.</t>
        </is>
      </c>
      <c r="D18" s="113" t="inlineStr">
        <is>
          <t>Red</t>
        </is>
      </c>
    </row>
    <row r="19" ht="68" customHeight="1">
      <c r="B19" s="4" t="inlineStr">
        <is>
          <t>Awarded — Behind — progress lag</t>
        </is>
      </c>
      <c r="C19" s="5" t="inlineStr">
        <is>
          <t>Awarded, both Awarded Date and Planned End Date are filled, progress is below 100, and (elapsed days ÷ contract days × 100) − physical progress &gt; 15. Example: half the contract time has passed (50% elapsed) but progress is 20% → lag of 30 points → Behind.</t>
        </is>
      </c>
      <c r="D19" s="113" t="inlineStr">
        <is>
          <t>Red</t>
        </is>
      </c>
    </row>
    <row r="20" ht="68" customHeight="1">
      <c r="B20" s="4" t="inlineStr">
        <is>
          <t>Awarded — At risk — close to off track</t>
        </is>
      </c>
      <c r="C20" s="5" t="inlineStr">
        <is>
          <t>Awarded, Planned End Date is today or within the next 30 days, and progress is blank or below 90. The end date is close and the work is not nearly finished.</t>
        </is>
      </c>
      <c r="D20" s="114" t="inlineStr">
        <is>
          <t>Amber</t>
        </is>
      </c>
    </row>
    <row r="21" ht="68" customHeight="1">
      <c r="B21" s="4" t="inlineStr">
        <is>
          <t>Awarded — On track</t>
        </is>
      </c>
      <c r="C21" s="5" t="inlineStr">
        <is>
          <t>Awarded, Planned End Date is more than 30 days away, and there is no progress lag above 15 points (or the work is already complete — see Completed above).</t>
        </is>
      </c>
      <c r="D21" s="112" t="inlineStr">
        <is>
          <t>Green</t>
        </is>
      </c>
    </row>
    <row r="22" ht="68" customHeight="1">
      <c r="B22" s="4" t="inlineStr">
        <is>
          <t>Days vs planned date</t>
        </is>
      </c>
      <c r="C22" s="5" t="inlineStr">
        <is>
          <t>Not awarded: Expected award date − TODAY() (or Planned End Date − TODAY() if expected award is blank). Awarded: Planned End Date − TODAY(). Positive = days remaining (green if &gt; 30, amber if 0–30). Negative = days overdue (red). Blank when the row is Completed or Cancelled.</t>
        </is>
      </c>
      <c r="D22" s="86" t="inlineStr">
        <is>
          <t>Section 3</t>
        </is>
      </c>
    </row>
    <row r="24" ht="22" customHeight="1">
      <c r="B24" s="7" t="inlineStr">
        <is>
          <t>How this applies to AF-2 right now</t>
        </is>
      </c>
      <c r="C24" s="8" t="n"/>
      <c r="D24" s="8" t="n"/>
    </row>
    <row r="25" ht="68" customHeight="1">
      <c r="B25" s="4" t="inlineStr">
        <is>
          <t>Awarded packages from the master file</t>
        </is>
      </c>
      <c r="C25" s="5" t="inlineStr">
        <is>
          <t>Date: Awarded is filled from the signed-date column. Awarded Date copies it. Contract / expected end is the master-file end date. Planned End Date therefore equals that end date. If remarks started with 'Completed in …' or progress is 100, Reported Status is Completed / Handover. Otherwise progress &gt; 0 → Under Construction; progress 0 → Awarded. Phrases such as 'will be completed by …' do not mark the scheme complete.</t>
        </is>
      </c>
      <c r="D25" s="86" t="inlineStr">
        <is>
          <t>Master import</t>
        </is>
      </c>
    </row>
    <row r="26" ht="68" customHeight="1">
      <c r="B26" s="4" t="inlineStr">
        <is>
          <t>Not awarded packages from the master file</t>
        </is>
      </c>
      <c r="C26" s="5" t="inlineStr">
        <is>
          <t>Expected award date and expected end come from the remaining-contract sheets. There is usually no Date: Awarded yet, so Current Status follows Reported Status (Under Design, WRI Review, LTO, PR, ITB, Re-ITB, Technical Evaluation, Awarding). Health watches the expected award date against TODAY().</t>
        </is>
      </c>
      <c r="D26" s="86" t="inlineStr">
        <is>
          <t>Master import</t>
        </is>
      </c>
    </row>
    <row r="27" ht="68" customHeight="1">
      <c r="B27" s="4" t="inlineStr">
        <is>
          <t>Thresholds you can change</t>
        </is>
      </c>
      <c r="C27" s="5" t="inlineStr">
        <is>
          <t>Close-to-off-track window = 30 days. Progress-lag trigger = 15 percentage points. Days in current status turns red after 30 days. Edit NEAR_OFFTRACK_DAYS, PROGRESS_LAG_PCT, and STUCK_THRESHOLD_DAYS in tracker_config.py and regenerate.</t>
        </is>
      </c>
      <c r="D27" s="86" t="inlineStr">
        <is>
          <t>tracker_config.py</t>
        </is>
      </c>
    </row>
  </sheetData>
  <mergeCells count="5">
    <mergeCell ref="B11:D11"/>
    <mergeCell ref="B1:D1"/>
    <mergeCell ref="B4:D4"/>
    <mergeCell ref="B24:D24"/>
    <mergeCell ref="B2:D2"/>
  </mergeCells>
  <pageMargins left="0.75" right="0.75" top="1" bottom="1" header="0.5" footer="0.5"/>
  <pageSetup orientation="landscape" fitToHeight="0" fitToWidth="1"/>
  <headerFooter>
    <oddHeader/>
    <oddFooter>&amp;LDate conditions — WBK/AF-2 construction tracker&amp;RPage &amp;P of &amp;N</oddFooter>
    <evenHeader/>
    <evenFooter/>
    <firstHeader/>
    <firstFooter/>
  </headerFooter>
</worksheet>
</file>

<file path=xl/worksheets/sheet8.xml><?xml version="1.0" encoding="utf-8"?>
<worksheet xmlns="http://schemas.openxmlformats.org/spreadsheetml/2006/main">
  <sheetPr>
    <tabColor rgb="008A6D3B"/>
    <outlinePr summaryBelow="0" summaryRight="0"/>
    <pageSetUpPr fitToPage="1"/>
  </sheetPr>
  <dimension ref="A1:BK453"/>
  <sheetViews>
    <sheetView topLeftCell="A1" zoomScale="100" workbookViewId="0">
      <pane ySplit="3" topLeftCell="A4" activePane="bottomLeft" state="frozen"/>
      <selection pane="bottomLeft" activeCell="A1" sqref="A1"/>
    </sheetView>
  </sheetViews>
  <sheetFormatPr baseColWidth="8" defaultRowHeight="15"/>
  <cols>
    <col width="6" customWidth="1" min="1" max="1"/>
    <col width="14" customWidth="1" min="2" max="2"/>
    <col width="40" customWidth="1" min="3" max="3"/>
    <col width="12" customWidth="1" min="4" max="4"/>
    <col width="14" customWidth="1" min="5" max="5"/>
    <col width="32" customWidth="1" min="6" max="6"/>
    <col width="26" customWidth="1" min="7" max="7"/>
    <col width="22" customWidth="1" min="8" max="8"/>
    <col width="28" customWidth="1" min="9" max="9"/>
    <col width="22" customWidth="1" min="10" max="10"/>
    <col width="16" customWidth="1" min="11" max="11"/>
    <col width="22" customWidth="1" min="12" max="12"/>
    <col width="28" customWidth="1" min="13" max="13"/>
    <col width="22" customWidth="1" min="14" max="14"/>
    <col width="16" customWidth="1" min="15" max="15"/>
    <col width="28" customWidth="1" min="16" max="16"/>
    <col width="22" customWidth="1" min="17" max="17"/>
    <col width="16" customWidth="1" min="18" max="18"/>
    <col width="16"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24" customWidth="1" min="27" max="27"/>
    <col width="28" customWidth="1" min="28" max="28"/>
    <col width="24" customWidth="1" min="29" max="29"/>
    <col width="12" customWidth="1" min="30" max="30"/>
    <col width="12" customWidth="1" min="31" max="31"/>
    <col width="12" customWidth="1" min="32" max="32"/>
    <col width="26" customWidth="1" min="33" max="33"/>
    <col width="14"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hidden="1" width="14" customWidth="1" min="62" max="62"/>
    <col hidden="1" width="14" customWidth="1" min="63" max="63"/>
  </cols>
  <sheetData>
    <row r="1" ht="24" customHeight="1">
      <c r="A1" s="21" t="inlineStr">
        <is>
          <t>EXAMPLE ONLY — two worked schemes so you can see day counts. Do not use for reporting.</t>
        </is>
      </c>
      <c r="B1" s="22" t="n"/>
      <c r="C1" s="22" t="n"/>
      <c r="D1" s="22" t="n"/>
      <c r="E1" s="22" t="n"/>
      <c r="F1" s="22" t="n"/>
      <c r="G1" s="22" t="n"/>
      <c r="H1" s="22" t="n"/>
      <c r="I1" s="22" t="n"/>
      <c r="J1" s="22" t="n"/>
      <c r="K1" s="22" t="n"/>
      <c r="L1" s="22" t="n"/>
      <c r="M1" s="22" t="n"/>
      <c r="N1" s="22" t="n"/>
      <c r="O1" s="22" t="n"/>
      <c r="P1" s="22" t="n"/>
      <c r="Q1" s="22" t="n"/>
      <c r="R1" s="22" t="n"/>
      <c r="S1" s="22" t="n"/>
      <c r="T1" s="22" t="n"/>
      <c r="U1" s="22" t="n"/>
      <c r="V1" s="22" t="n"/>
      <c r="W1" s="22" t="n"/>
      <c r="X1" s="22" t="n"/>
      <c r="Y1" s="22" t="n"/>
      <c r="Z1" s="22" t="n"/>
      <c r="AA1" s="22" t="n"/>
      <c r="AB1" s="22" t="n"/>
      <c r="AC1" s="22" t="n"/>
      <c r="AD1" s="22" t="n"/>
      <c r="AE1" s="22" t="n"/>
      <c r="AF1" s="22" t="n"/>
      <c r="AG1" s="22" t="n"/>
      <c r="AH1" s="22" t="n"/>
      <c r="AI1" s="22" t="n"/>
      <c r="AJ1" s="22" t="n"/>
      <c r="AK1" s="22" t="n"/>
      <c r="AL1" s="22" t="n"/>
      <c r="AM1" s="22" t="n"/>
      <c r="AN1" s="22" t="n"/>
      <c r="AO1" s="22" t="n"/>
      <c r="AP1" s="22" t="n"/>
      <c r="AQ1" s="22" t="n"/>
      <c r="AR1" s="22" t="n"/>
      <c r="AS1" s="22" t="n"/>
      <c r="AT1" s="22" t="n"/>
      <c r="AU1" s="22" t="n"/>
      <c r="AV1" s="22" t="n"/>
      <c r="AW1" s="22" t="n"/>
      <c r="AX1" s="22" t="n"/>
      <c r="AY1" s="22" t="n"/>
      <c r="AZ1" s="22" t="n"/>
      <c r="BA1" s="22" t="n"/>
      <c r="BB1" s="22" t="n"/>
      <c r="BC1" s="22" t="n"/>
      <c r="BD1" s="22" t="n"/>
      <c r="BE1" s="22" t="n"/>
      <c r="BF1" s="22" t="n"/>
      <c r="BG1" s="22" t="n"/>
      <c r="BH1" s="22" t="n"/>
      <c r="BI1" s="22" t="n"/>
      <c r="BJ1" s="22" t="n"/>
      <c r="BK1" s="22" t="n"/>
    </row>
    <row r="2" ht="20" customHeight="1">
      <c r="A2" s="23" t="inlineStr">
        <is>
          <t>1. Scheme identity</t>
        </is>
      </c>
      <c r="B2" s="22" t="n"/>
      <c r="C2" s="22" t="n"/>
      <c r="D2" s="22" t="n"/>
      <c r="E2" s="22" t="n"/>
      <c r="F2" s="22" t="n"/>
      <c r="G2" s="22" t="n"/>
      <c r="H2" s="22" t="n"/>
      <c r="I2" s="22" t="n"/>
      <c r="J2" s="22" t="n"/>
      <c r="K2" s="22" t="n"/>
      <c r="L2" s="22" t="n"/>
      <c r="M2" s="22" t="n"/>
      <c r="N2" s="22" t="n"/>
      <c r="O2" s="22" t="n"/>
      <c r="P2" s="22" t="n"/>
      <c r="Q2" s="24" t="inlineStr">
        <is>
          <t>2. Contract and physical progress</t>
        </is>
      </c>
      <c r="R2" s="25" t="n"/>
      <c r="S2" s="25" t="n"/>
      <c r="T2" s="25" t="n"/>
      <c r="U2" s="25" t="n"/>
      <c r="V2" s="25" t="n"/>
      <c r="W2" s="25" t="n"/>
      <c r="X2" s="25" t="n"/>
      <c r="Y2" s="25" t="n"/>
      <c r="Z2" s="25" t="n"/>
      <c r="AA2" s="25" t="n"/>
      <c r="AB2" s="25" t="n"/>
      <c r="AC2" s="26" t="inlineStr">
        <is>
          <t>3. Live status and schedule health (calculated)</t>
        </is>
      </c>
      <c r="AD2" s="27" t="n"/>
      <c r="AE2" s="27" t="n"/>
      <c r="AF2" s="27" t="n"/>
      <c r="AG2" s="27" t="n"/>
      <c r="AH2" s="27" t="n"/>
      <c r="AI2" s="9" t="inlineStr">
        <is>
          <t>4. Status dates — enter the date each step was reached</t>
        </is>
      </c>
      <c r="AJ2" s="28" t="n"/>
      <c r="AK2" s="28" t="n"/>
      <c r="AL2" s="28" t="n"/>
      <c r="AM2" s="28" t="n"/>
      <c r="AN2" s="28" t="n"/>
      <c r="AO2" s="28" t="n"/>
      <c r="AP2" s="28" t="n"/>
      <c r="AQ2" s="28" t="n"/>
      <c r="AR2" s="28" t="n"/>
      <c r="AS2" s="28" t="n"/>
      <c r="AT2" s="28" t="n"/>
      <c r="AU2" s="28" t="n"/>
      <c r="AV2" s="28" t="n"/>
      <c r="AW2" s="29" t="inlineStr">
        <is>
          <t>5. Days between steps (calculated)</t>
        </is>
      </c>
      <c r="AX2" s="30" t="n"/>
      <c r="AY2" s="30" t="n"/>
      <c r="AZ2" s="30" t="n"/>
      <c r="BA2" s="30" t="n"/>
      <c r="BB2" s="30" t="n"/>
      <c r="BC2" s="30" t="n"/>
      <c r="BD2" s="30" t="n"/>
      <c r="BE2" s="30" t="n"/>
      <c r="BF2" s="30" t="n"/>
      <c r="BG2" s="30" t="n"/>
      <c r="BH2" s="30" t="n"/>
      <c r="BI2" s="30" t="n"/>
    </row>
    <row r="3" ht="36" customHeight="1">
      <c r="A3" s="23" t="inlineStr">
        <is>
          <t>SN</t>
        </is>
      </c>
      <c r="B3" s="23" t="inlineStr">
        <is>
          <t>Package ID</t>
        </is>
      </c>
      <c r="C3" s="23" t="inlineStr">
        <is>
          <t>Package / Contract Name</t>
        </is>
      </c>
      <c r="D3" s="23" t="inlineStr">
        <is>
          <t>Sub-project in package</t>
        </is>
      </c>
      <c r="E3" s="23" t="inlineStr">
        <is>
          <t>Scheme ID</t>
        </is>
      </c>
      <c r="F3" s="23" t="inlineStr">
        <is>
          <t>Sub-project / scheme name</t>
        </is>
      </c>
      <c r="G3" s="23" t="inlineStr">
        <is>
          <t>Major intervention</t>
        </is>
      </c>
      <c r="H3" s="23" t="inlineStr">
        <is>
          <t>Intervention sub-type</t>
        </is>
      </c>
      <c r="I3" s="23" t="inlineStr">
        <is>
          <t>Project Name</t>
        </is>
      </c>
      <c r="J3" s="23" t="inlineStr">
        <is>
          <t>Region</t>
        </is>
      </c>
      <c r="K3" s="23" t="inlineStr">
        <is>
          <t>Province</t>
        </is>
      </c>
      <c r="L3" s="23" t="inlineStr">
        <is>
          <t>District</t>
        </is>
      </c>
      <c r="M3" s="23" t="inlineStr">
        <is>
          <t>Village</t>
        </is>
      </c>
      <c r="N3" s="23" t="inlineStr">
        <is>
          <t>Donor</t>
        </is>
      </c>
      <c r="O3" s="23" t="inlineStr">
        <is>
          <t>Awarded / Not awarded</t>
        </is>
      </c>
      <c r="P3" s="23" t="inlineStr">
        <is>
          <t>Source sheet</t>
        </is>
      </c>
      <c r="Q3" s="24" t="inlineStr">
        <is>
          <t>Contractor Name</t>
        </is>
      </c>
      <c r="R3" s="24" t="inlineStr">
        <is>
          <t>Contract Number</t>
        </is>
      </c>
      <c r="S3" s="24" t="inlineStr">
        <is>
          <t>Contract Cost (USD)</t>
        </is>
      </c>
      <c r="T3" s="24" t="inlineStr">
        <is>
          <t>Awarded Date</t>
        </is>
      </c>
      <c r="U3" s="24" t="inlineStr">
        <is>
          <t>Expected award date</t>
        </is>
      </c>
      <c r="V3" s="24" t="inlineStr">
        <is>
          <t>Contract Duration (months)</t>
        </is>
      </c>
      <c r="W3" s="24" t="inlineStr">
        <is>
          <t>Contract / expected end date</t>
        </is>
      </c>
      <c r="X3" s="24" t="inlineStr">
        <is>
          <t>Planned End Date</t>
        </is>
      </c>
      <c r="Y3" s="24" t="inlineStr">
        <is>
          <t>Actual completion date</t>
        </is>
      </c>
      <c r="Z3" s="24" t="inlineStr">
        <is>
          <t>Physical Works Progress %</t>
        </is>
      </c>
      <c r="AA3" s="24" t="inlineStr">
        <is>
          <t>Reported Status</t>
        </is>
      </c>
      <c r="AB3" s="24" t="inlineStr">
        <is>
          <t>Remarks</t>
        </is>
      </c>
      <c r="AC3" s="26" t="inlineStr">
        <is>
          <t>Current Status (auto)</t>
        </is>
      </c>
      <c r="AD3" s="26" t="inlineStr">
        <is>
          <t>Days in current status</t>
        </is>
      </c>
      <c r="AE3" s="26" t="inlineStr">
        <is>
          <t>Total days first → last step</t>
        </is>
      </c>
      <c r="AF3" s="26" t="inlineStr">
        <is>
          <t>Days over target this step</t>
        </is>
      </c>
      <c r="AG3" s="26" t="inlineStr">
        <is>
          <t>Schedule health</t>
        </is>
      </c>
      <c r="AH3" s="26" t="inlineStr">
        <is>
          <t>Days vs planned date</t>
        </is>
      </c>
      <c r="AI3" s="9" t="inlineStr">
        <is>
          <t>IF('06_Status_Pipeline'!B3="","(spare slot 1)","Date: "&amp;'06_Status_Pipeline'!B3)</t>
        </is>
      </c>
      <c r="AJ3" s="9" t="inlineStr">
        <is>
          <t>IF('06_Status_Pipeline'!B4="","(spare slot 2)","Date: "&amp;'06_Status_Pipeline'!B4)</t>
        </is>
      </c>
      <c r="AK3" s="9" t="inlineStr">
        <is>
          <t>IF('06_Status_Pipeline'!B5="","(spare slot 3)","Date: "&amp;'06_Status_Pipeline'!B5)</t>
        </is>
      </c>
      <c r="AL3" s="9" t="inlineStr">
        <is>
          <t>IF('06_Status_Pipeline'!B6="","(spare slot 4)","Date: "&amp;'06_Status_Pipeline'!B6)</t>
        </is>
      </c>
      <c r="AM3" s="9" t="inlineStr">
        <is>
          <t>IF('06_Status_Pipeline'!B7="","(spare slot 5)","Date: "&amp;'06_Status_Pipeline'!B7)</t>
        </is>
      </c>
      <c r="AN3" s="9" t="inlineStr">
        <is>
          <t>IF('06_Status_Pipeline'!B8="","(spare slot 6)","Date: "&amp;'06_Status_Pipeline'!B8)</t>
        </is>
      </c>
      <c r="AO3" s="9" t="inlineStr">
        <is>
          <t>IF('06_Status_Pipeline'!B9="","(spare slot 7)","Date: "&amp;'06_Status_Pipeline'!B9)</t>
        </is>
      </c>
      <c r="AP3" s="9" t="inlineStr">
        <is>
          <t>IF('06_Status_Pipeline'!B10="","(spare slot 8)","Date: "&amp;'06_Status_Pipeline'!B10)</t>
        </is>
      </c>
      <c r="AQ3" s="9" t="inlineStr">
        <is>
          <t>IF('06_Status_Pipeline'!B11="","(spare slot 9)","Date: "&amp;'06_Status_Pipeline'!B11)</t>
        </is>
      </c>
      <c r="AR3" s="9" t="inlineStr">
        <is>
          <t>IF('06_Status_Pipeline'!B12="","(spare slot 10)","Date: "&amp;'06_Status_Pipeline'!B12)</t>
        </is>
      </c>
      <c r="AS3" s="9" t="inlineStr">
        <is>
          <t>IF('06_Status_Pipeline'!B13="","(spare slot 11)","Date: "&amp;'06_Status_Pipeline'!B13)</t>
        </is>
      </c>
      <c r="AT3" s="9" t="inlineStr">
        <is>
          <t>IF('06_Status_Pipeline'!B14="","(spare slot 12)","Date: "&amp;'06_Status_Pipeline'!B14)</t>
        </is>
      </c>
      <c r="AU3" s="9" t="inlineStr">
        <is>
          <t>IF('06_Status_Pipeline'!B15="","(spare slot 13)","Date: "&amp;'06_Status_Pipeline'!B15)</t>
        </is>
      </c>
      <c r="AV3" s="9" t="inlineStr">
        <is>
          <t>IF('06_Status_Pipeline'!B16="","(spare slot 14)","Date: "&amp;'06_Status_Pipeline'!B16)</t>
        </is>
      </c>
      <c r="AW3" s="29" t="inlineStr">
        <is>
          <t>IF(AND('06_Status_Pipeline'!B3="",'06_Status_Pipeline'!B4=""),"(spare)","Days: "&amp;IF('06_Status_Pipeline'!B3="","(prev)",'06_Status_Pipeline'!B3)&amp;" → "&amp;IF('06_Status_Pipeline'!B4="","(next)",'06_Status_Pipeline'!B4))</t>
        </is>
      </c>
      <c r="AX3" s="29" t="inlineStr">
        <is>
          <t>IF(AND('06_Status_Pipeline'!B4="",'06_Status_Pipeline'!B5=""),"(spare)","Days: "&amp;IF('06_Status_Pipeline'!B4="","(prev)",'06_Status_Pipeline'!B4)&amp;" → "&amp;IF('06_Status_Pipeline'!B5="","(next)",'06_Status_Pipeline'!B5))</t>
        </is>
      </c>
      <c r="AY3" s="29" t="inlineStr">
        <is>
          <t>IF(AND('06_Status_Pipeline'!B5="",'06_Status_Pipeline'!B6=""),"(spare)","Days: "&amp;IF('06_Status_Pipeline'!B5="","(prev)",'06_Status_Pipeline'!B5)&amp;" → "&amp;IF('06_Status_Pipeline'!B6="","(next)",'06_Status_Pipeline'!B6))</t>
        </is>
      </c>
      <c r="AZ3" s="29" t="inlineStr">
        <is>
          <t>IF(AND('06_Status_Pipeline'!B6="",'06_Status_Pipeline'!B7=""),"(spare)","Days: "&amp;IF('06_Status_Pipeline'!B6="","(prev)",'06_Status_Pipeline'!B6)&amp;" → "&amp;IF('06_Status_Pipeline'!B7="","(next)",'06_Status_Pipeline'!B7))</t>
        </is>
      </c>
      <c r="BA3" s="29" t="inlineStr">
        <is>
          <t>IF(AND('06_Status_Pipeline'!B7="",'06_Status_Pipeline'!B8=""),"(spare)","Days: "&amp;IF('06_Status_Pipeline'!B7="","(prev)",'06_Status_Pipeline'!B7)&amp;" → "&amp;IF('06_Status_Pipeline'!B8="","(next)",'06_Status_Pipeline'!B8))</t>
        </is>
      </c>
      <c r="BB3" s="29" t="inlineStr">
        <is>
          <t>IF(AND('06_Status_Pipeline'!B8="",'06_Status_Pipeline'!B9=""),"(spare)","Days: "&amp;IF('06_Status_Pipeline'!B8="","(prev)",'06_Status_Pipeline'!B8)&amp;" → "&amp;IF('06_Status_Pipeline'!B9="","(next)",'06_Status_Pipeline'!B9))</t>
        </is>
      </c>
      <c r="BC3" s="29" t="inlineStr">
        <is>
          <t>IF(AND('06_Status_Pipeline'!B9="",'06_Status_Pipeline'!B10=""),"(spare)","Days: "&amp;IF('06_Status_Pipeline'!B9="","(prev)",'06_Status_Pipeline'!B9)&amp;" → "&amp;IF('06_Status_Pipeline'!B10="","(next)",'06_Status_Pipeline'!B10))</t>
        </is>
      </c>
      <c r="BD3" s="29" t="inlineStr">
        <is>
          <t>IF(AND('06_Status_Pipeline'!B10="",'06_Status_Pipeline'!B11=""),"(spare)","Days: "&amp;IF('06_Status_Pipeline'!B10="","(prev)",'06_Status_Pipeline'!B10)&amp;" → "&amp;IF('06_Status_Pipeline'!B11="","(next)",'06_Status_Pipeline'!B11))</t>
        </is>
      </c>
      <c r="BE3" s="29" t="inlineStr">
        <is>
          <t>IF(AND('06_Status_Pipeline'!B11="",'06_Status_Pipeline'!B12=""),"(spare)","Days: "&amp;IF('06_Status_Pipeline'!B11="","(prev)",'06_Status_Pipeline'!B11)&amp;" → "&amp;IF('06_Status_Pipeline'!B12="","(next)",'06_Status_Pipeline'!B12))</t>
        </is>
      </c>
      <c r="BF3" s="29" t="inlineStr">
        <is>
          <t>IF(AND('06_Status_Pipeline'!B12="",'06_Status_Pipeline'!B13=""),"(spare)","Days: "&amp;IF('06_Status_Pipeline'!B12="","(prev)",'06_Status_Pipeline'!B12)&amp;" → "&amp;IF('06_Status_Pipeline'!B13="","(next)",'06_Status_Pipeline'!B13))</t>
        </is>
      </c>
      <c r="BG3" s="29" t="inlineStr">
        <is>
          <t>IF(AND('06_Status_Pipeline'!B13="",'06_Status_Pipeline'!B14=""),"(spare)","Days: "&amp;IF('06_Status_Pipeline'!B13="","(prev)",'06_Status_Pipeline'!B13)&amp;" → "&amp;IF('06_Status_Pipeline'!B14="","(next)",'06_Status_Pipeline'!B14))</t>
        </is>
      </c>
      <c r="BH3" s="29" t="inlineStr">
        <is>
          <t>IF(AND('06_Status_Pipeline'!B14="",'06_Status_Pipeline'!B15=""),"(spare)","Days: "&amp;IF('06_Status_Pipeline'!B14="","(prev)",'06_Status_Pipeline'!B14)&amp;" → "&amp;IF('06_Status_Pipeline'!B15="","(next)",'06_Status_Pipeline'!B15))</t>
        </is>
      </c>
      <c r="BI3" s="29" t="inlineStr">
        <is>
          <t>IF(AND('06_Status_Pipeline'!B15="",'06_Status_Pipeline'!B16=""),"(spare)","Days: "&amp;IF('06_Status_Pipeline'!B15="","(prev)",'06_Status_Pipeline'!B15)&amp;" → "&amp;IF('06_Status_Pipeline'!B16="","(next)",'06_Status_Pipeline'!B16))</t>
        </is>
      </c>
      <c r="BJ3" s="31" t="inlineStr">
        <is>
          <t>_ProvinceList</t>
        </is>
      </c>
      <c r="BK3" s="31" t="inlineStr">
        <is>
          <t>_DistrictList</t>
        </is>
      </c>
    </row>
    <row r="4" ht="18" customHeight="1">
      <c r="A4" s="32" t="inlineStr">
        <is>
          <t>IF(F4="","",ROW()-3)</t>
        </is>
      </c>
      <c r="B4" s="33" t="inlineStr">
        <is>
          <t>DEMO-A</t>
        </is>
      </c>
      <c r="C4" s="33" t="inlineStr">
        <is>
          <t>DEMO Package A — full pipeline (delete from reports)</t>
        </is>
      </c>
      <c r="D4" s="33" t="inlineStr">
        <is>
          <t>1 of 1</t>
        </is>
      </c>
      <c r="E4" s="34" t="inlineStr">
        <is>
          <t>DEMO-01</t>
        </is>
      </c>
      <c r="F4" s="34" t="inlineStr">
        <is>
          <t>Demo Scheme: completed handover</t>
        </is>
      </c>
      <c r="G4" s="34" t="inlineStr">
        <is>
          <t>Watershed Management</t>
        </is>
      </c>
      <c r="H4" s="34" t="inlineStr">
        <is>
          <t>Check Dam</t>
        </is>
      </c>
      <c r="I4" s="34" t="inlineStr">
        <is>
          <t>Emergency Food Security Project (EFSP) – WBK/AF-2</t>
        </is>
      </c>
      <c r="J4" s="34" t="inlineStr">
        <is>
          <t>West / Herat</t>
        </is>
      </c>
      <c r="K4" s="34" t="inlineStr">
        <is>
          <t>Badghis</t>
        </is>
      </c>
      <c r="L4" s="34" t="inlineStr">
        <is>
          <t>Qadis</t>
        </is>
      </c>
      <c r="M4" s="34" t="inlineStr">
        <is>
          <t>Demo Village A</t>
        </is>
      </c>
      <c r="N4" s="34" t="inlineStr">
        <is>
          <t>World Bank (WBK/AF-2)</t>
        </is>
      </c>
      <c r="O4" s="34" t="inlineStr">
        <is>
          <t>Awarded</t>
        </is>
      </c>
      <c r="P4" s="34" t="n"/>
      <c r="Q4" s="34" t="inlineStr">
        <is>
          <t>Demo Contractor Ltd</t>
        </is>
      </c>
      <c r="R4" s="34" t="inlineStr">
        <is>
          <t>DEMO-CNT-001</t>
        </is>
      </c>
      <c r="S4" s="35" t="n">
        <v>120000</v>
      </c>
      <c r="T4" s="36" t="inlineStr">
        <is>
          <t>IF(AQ4="","",AQ4)</t>
        </is>
      </c>
      <c r="U4" s="37" t="n"/>
      <c r="V4" s="38" t="n">
        <v>5</v>
      </c>
      <c r="W4" s="37" t="n"/>
      <c r="X4" s="36" t="inlineStr">
        <is>
          <t>IF(W4&lt;&gt;"",W4,IF(OR(T4="",V4=""),"",EDATE(T4,V4)))</t>
        </is>
      </c>
      <c r="Y4" s="37" t="n"/>
      <c r="Z4" s="38" t="n">
        <v>100</v>
      </c>
      <c r="AA4" s="34" t="inlineStr">
        <is>
          <t>Completed / Handover</t>
        </is>
      </c>
      <c r="AB4" s="34" t="inlineStr">
        <is>
          <t>EXAMPLE ONLY — shows days between every step.</t>
        </is>
      </c>
      <c r="AC4" s="32" t="inlineStr">
        <is>
          <t>IF(F4="","",IF(COUNT(AI4:AV4)=0,IF(AA4="","Not started",AA4),SUBSTITUTE(LOOKUP(2,1/(AI4:AV4&lt;&gt;""),$AI$3:$AV$3),"Date: ","")))</t>
        </is>
      </c>
      <c r="AD4" s="39" t="inlineStr">
        <is>
          <t>IF(OR(F4="",COUNT(AI4:AV4)=0),"",TODAY()-LOOKUP(2,1/(AI4:AV4&lt;&gt;""),AI4:AV4))</t>
        </is>
      </c>
      <c r="AE4" s="39" t="inlineStr">
        <is>
          <t>IF(OR(F4="",COUNT(AI4:AV4)&lt;2),"",LOOKUP(2,1/(AI4:AV4&lt;&gt;""),AI4:AV4)-MIN(AI4:AV4))</t>
        </is>
      </c>
      <c r="AF4" s="39" t="inlineStr">
        <is>
          <t>IF(OR(AD4="",AC4="Not started",AC4=""),"",IFERROR(AD4-IF(VLOOKUP(AC4,'06_Status_Pipeline'!$B$3:$E$20,4,FALSE)="",0,VLOOKUP(AC4,'06_Status_Pipeline'!$B$3:$E$20,4,FALSE)),""))</t>
        </is>
      </c>
      <c r="AG4" s="32" t="inlineStr">
        <is>
          <t>IF(F4="","",IF(OR(AA4="Cancelled",AC4="Cancelled"),"Cancelled",IF(OR(AC4="Completed / Handover",Y4&lt;&gt;"",Z4&gt;=100),"Completed — on track",IF(O4="Not awarded",IF(U4="",IF(X4="","No planned date",IF(TODAY()&gt;X4,"Behind — past planned date",IF(X4-TODAY()&lt;=30,"At risk — close to off track","On track"))),IF(TODAY()&gt;U4,"Behind — award date passed",IF(U4-TODAY()&lt;=30,"At risk — close to off track","On track"))),IF(X4="","No planned date",IF(AND(TODAY()&gt;X4,OR(Z4="",Z4&lt;100)),"Behind — past end date",IF(AND(T4&lt;&gt;"",X4&lt;&gt;"",Z4&lt;&gt;"",(Z4&lt;100),((TODAY()-T4)/MAX(X4-T4,1)*100)-Z4&gt;15),"Behind — progress lag",IF(AND(X4-TODAY()&lt;=30,X4-TODAY()&gt;=0,OR(Z4="",Z4&lt;90)),"At risk — close to off track","On track"))))))))</t>
        </is>
      </c>
      <c r="AH4" s="39" t="inlineStr">
        <is>
          <t>IF(OR(F4="",AC4="Completed / Handover",AC4="Cancelled"),"",IF(O4="Not awarded",IF(U4&lt;&gt;"",U4-TODAY(),IF(X4="","",X4-TODAY())),IF(X4="","",X4-TODAY())))</t>
        </is>
      </c>
      <c r="AI4" s="66" t="n">
        <v>45667</v>
      </c>
      <c r="AJ4" s="66" t="n">
        <v>45692</v>
      </c>
      <c r="AK4" s="66" t="n">
        <v>45706</v>
      </c>
      <c r="AL4" s="66" t="n"/>
      <c r="AM4" s="66" t="n">
        <v>45718</v>
      </c>
      <c r="AN4" s="66" t="n"/>
      <c r="AO4" s="66" t="n">
        <v>45740</v>
      </c>
      <c r="AP4" s="66" t="n">
        <v>45755</v>
      </c>
      <c r="AQ4" s="66" t="n">
        <v>45769</v>
      </c>
      <c r="AR4" s="66" t="n">
        <v>45787</v>
      </c>
      <c r="AS4" s="66" t="n">
        <v>45930</v>
      </c>
      <c r="AT4" s="40" t="n"/>
      <c r="AU4" s="40" t="n"/>
      <c r="AV4" s="40" t="n"/>
      <c r="AW4" s="39" t="inlineStr">
        <is>
          <t>IF(OR(F4="",AJ4=""),"",IF(COUNT(AI4:AI4)=0,"",AJ4-LOOKUP(2,1/(AI4:AI4&lt;&gt;""),AI4:AI4)))</t>
        </is>
      </c>
      <c r="AX4" s="39" t="inlineStr">
        <is>
          <t>IF(OR(F4="",AK4=""),"",IF(COUNT(AI4:AJ4)=0,"",AK4-LOOKUP(2,1/(AI4:AJ4&lt;&gt;""),AI4:AJ4)))</t>
        </is>
      </c>
      <c r="AY4" s="39" t="inlineStr">
        <is>
          <t>IF(OR(F4="",AL4=""),"",IF(COUNT(AI4:AK4)=0,"",AL4-LOOKUP(2,1/(AI4:AK4&lt;&gt;""),AI4:AK4)))</t>
        </is>
      </c>
      <c r="AZ4" s="39" t="inlineStr">
        <is>
          <t>IF(OR(F4="",AM4=""),"",IF(COUNT(AI4:AL4)=0,"",AM4-LOOKUP(2,1/(AI4:AL4&lt;&gt;""),AI4:AL4)))</t>
        </is>
      </c>
      <c r="BA4" s="39" t="inlineStr">
        <is>
          <t>IF(OR(F4="",AN4=""),"",IF(COUNT(AI4:AM4)=0,"",AN4-LOOKUP(2,1/(AI4:AM4&lt;&gt;""),AI4:AM4)))</t>
        </is>
      </c>
      <c r="BB4" s="39" t="inlineStr">
        <is>
          <t>IF(OR(F4="",AO4=""),"",IF(COUNT(AI4:AN4)=0,"",AO4-LOOKUP(2,1/(AI4:AN4&lt;&gt;""),AI4:AN4)))</t>
        </is>
      </c>
      <c r="BC4" s="39" t="inlineStr">
        <is>
          <t>IF(OR(F4="",AP4=""),"",IF(COUNT(AI4:AO4)=0,"",AP4-LOOKUP(2,1/(AI4:AO4&lt;&gt;""),AI4:AO4)))</t>
        </is>
      </c>
      <c r="BD4" s="39" t="inlineStr">
        <is>
          <t>IF(OR(F4="",AQ4=""),"",IF(COUNT(AI4:AP4)=0,"",AQ4-LOOKUP(2,1/(AI4:AP4&lt;&gt;""),AI4:AP4)))</t>
        </is>
      </c>
      <c r="BE4" s="39" t="inlineStr">
        <is>
          <t>IF(OR(F4="",AR4=""),"",IF(COUNT(AI4:AQ4)=0,"",AR4-LOOKUP(2,1/(AI4:AQ4&lt;&gt;""),AI4:AQ4)))</t>
        </is>
      </c>
      <c r="BF4" s="39" t="inlineStr">
        <is>
          <t>IF(OR(F4="",AS4=""),"",IF(COUNT(AI4:AR4)=0,"",AS4-LOOKUP(2,1/(AI4:AR4&lt;&gt;""),AI4:AR4)))</t>
        </is>
      </c>
      <c r="BG4" s="39" t="inlineStr">
        <is>
          <t>IF(OR(F4="",AT4=""),"",IF(COUNT(AI4:AS4)=0,"",AT4-LOOKUP(2,1/(AI4:AS4&lt;&gt;""),AI4:AS4)))</t>
        </is>
      </c>
      <c r="BH4" s="39" t="inlineStr">
        <is>
          <t>IF(OR(F4="",AU4=""),"",IF(COUNT(AI4:AT4)=0,"",AU4-LOOKUP(2,1/(AI4:AT4&lt;&gt;""),AI4:AT4)))</t>
        </is>
      </c>
      <c r="BI4" s="39" t="inlineStr">
        <is>
          <t>IF(OR(F4="",AV4=""),"",IF(COUNT(AI4:AU4)=0,"",AV4-LOOKUP(2,1/(AI4:AU4&lt;&gt;""),AI4:AU4)))</t>
        </is>
      </c>
      <c r="BJ4" s="41" t="inlineStr">
        <is>
          <t>IF(J4="","All_Provinces",IFERROR(VLOOKUP(J4,'09_Lookups'!$A$4:$B$20,2,FALSE),"All_Provinces"))</t>
        </is>
      </c>
      <c r="BK4" s="41" t="inlineStr">
        <is>
          <t>IF(K4="","All_Districts",IFERROR(VLOOKUP(K4,'09_Lookups'!$E$4:$F$42,2,FALSE),"All_Districts"))</t>
        </is>
      </c>
    </row>
    <row r="5" ht="18" customHeight="1">
      <c r="A5" s="32" t="inlineStr">
        <is>
          <t>IF(F5="","",ROW()-3)</t>
        </is>
      </c>
      <c r="B5" s="56" t="inlineStr">
        <is>
          <t>DEMO-B</t>
        </is>
      </c>
      <c r="C5" s="56" t="inlineStr">
        <is>
          <t>DEMO Package B — mid pipeline (delete from reports)</t>
        </is>
      </c>
      <c r="D5" s="56" t="inlineStr">
        <is>
          <t>1 of 1</t>
        </is>
      </c>
      <c r="E5" s="57" t="inlineStr">
        <is>
          <t>DEMO-02</t>
        </is>
      </c>
      <c r="F5" s="57" t="inlineStr">
        <is>
          <t>Demo Scheme: currently under technical evaluation</t>
        </is>
      </c>
      <c r="G5" s="57" t="inlineStr">
        <is>
          <t>Watershed Management</t>
        </is>
      </c>
      <c r="H5" s="57" t="inlineStr">
        <is>
          <t>Boulder Check Dam</t>
        </is>
      </c>
      <c r="I5" s="57" t="inlineStr">
        <is>
          <t>Emergency Food Security Project (EFSP) – WBK/AF-2</t>
        </is>
      </c>
      <c r="J5" s="57" t="inlineStr">
        <is>
          <t>East / Jalalabad</t>
        </is>
      </c>
      <c r="K5" s="57" t="inlineStr">
        <is>
          <t>Kunar</t>
        </is>
      </c>
      <c r="L5" s="57" t="inlineStr">
        <is>
          <t>Narang</t>
        </is>
      </c>
      <c r="M5" s="57" t="inlineStr">
        <is>
          <t>Demo Village B</t>
        </is>
      </c>
      <c r="N5" s="57" t="inlineStr">
        <is>
          <t>World Bank (WBK/AF-2)</t>
        </is>
      </c>
      <c r="O5" s="57" t="inlineStr">
        <is>
          <t>Not awarded</t>
        </is>
      </c>
      <c r="P5" s="57" t="n"/>
      <c r="Q5" s="57" t="n"/>
      <c r="R5" s="57" t="n"/>
      <c r="S5" s="58" t="n">
        <v>98000</v>
      </c>
      <c r="T5" s="36" t="inlineStr">
        <is>
          <t>IF(AQ5="","",AQ5)</t>
        </is>
      </c>
      <c r="U5" s="59" t="n"/>
      <c r="V5" s="60" t="n"/>
      <c r="W5" s="59" t="n"/>
      <c r="X5" s="36" t="inlineStr">
        <is>
          <t>IF(W5&lt;&gt;"",W5,IF(OR(T5="",V5=""),"",EDATE(T5,V5)))</t>
        </is>
      </c>
      <c r="Y5" s="59" t="n"/>
      <c r="Z5" s="60" t="n"/>
      <c r="AA5" s="57" t="inlineStr">
        <is>
          <t>Under Technical Evaluation</t>
        </is>
      </c>
      <c r="AB5" s="57" t="inlineStr">
        <is>
          <t>EXAMPLE ONLY — later dates are blank; days in current step uses TODAY().</t>
        </is>
      </c>
      <c r="AC5" s="32" t="inlineStr">
        <is>
          <t>IF(F5="","",IF(COUNT(AI5:AV5)=0,IF(AA5="","Not started",AA5),SUBSTITUTE(LOOKUP(2,1/(AI5:AV5&lt;&gt;""),$AI$3:$AV$3),"Date: ","")))</t>
        </is>
      </c>
      <c r="AD5" s="39" t="inlineStr">
        <is>
          <t>IF(OR(F5="",COUNT(AI5:AV5)=0),"",TODAY()-LOOKUP(2,1/(AI5:AV5&lt;&gt;""),AI5:AV5))</t>
        </is>
      </c>
      <c r="AE5" s="39" t="inlineStr">
        <is>
          <t>IF(OR(F5="",COUNT(AI5:AV5)&lt;2),"",LOOKUP(2,1/(AI5:AV5&lt;&gt;""),AI5:AV5)-MIN(AI5:AV5))</t>
        </is>
      </c>
      <c r="AF5" s="39" t="inlineStr">
        <is>
          <t>IF(OR(AD5="",AC5="Not started",AC5=""),"",IFERROR(AD5-IF(VLOOKUP(AC5,'06_Status_Pipeline'!$B$3:$E$20,4,FALSE)="",0,VLOOKUP(AC5,'06_Status_Pipeline'!$B$3:$E$20,4,FALSE)),""))</t>
        </is>
      </c>
      <c r="AG5" s="32" t="inlineStr">
        <is>
          <t>IF(F5="","",IF(OR(AA5="Cancelled",AC5="Cancelled"),"Cancelled",IF(OR(AC5="Completed / Handover",Y5&lt;&gt;"",Z5&gt;=100),"Completed — on track",IF(O5="Not awarded",IF(U5="",IF(X5="","No planned date",IF(TODAY()&gt;X5,"Behind — past planned date",IF(X5-TODAY()&lt;=30,"At risk — close to off track","On track"))),IF(TODAY()&gt;U5,"Behind — award date passed",IF(U5-TODAY()&lt;=30,"At risk — close to off track","On track"))),IF(X5="","No planned date",IF(AND(TODAY()&gt;X5,OR(Z5="",Z5&lt;100)),"Behind — past end date",IF(AND(T5&lt;&gt;"",X5&lt;&gt;"",Z5&lt;&gt;"",(Z5&lt;100),((TODAY()-T5)/MAX(X5-T5,1)*100)-Z5&gt;15),"Behind — progress lag",IF(AND(X5-TODAY()&lt;=30,X5-TODAY()&gt;=0,OR(Z5="",Z5&lt;90)),"At risk — close to off track","On track"))))))))</t>
        </is>
      </c>
      <c r="AH5" s="39" t="inlineStr">
        <is>
          <t>IF(OR(F5="",AC5="Completed / Handover",AC5="Cancelled"),"",IF(O5="Not awarded",IF(U5&lt;&gt;"",U5-TODAY(),IF(X5="","",X5-TODAY())),IF(X5="","",X5-TODAY())))</t>
        </is>
      </c>
      <c r="AI5" s="66" t="n">
        <v>45809</v>
      </c>
      <c r="AJ5" s="66" t="n">
        <v>45828</v>
      </c>
      <c r="AK5" s="66" t="n">
        <v>45843</v>
      </c>
      <c r="AL5" s="66" t="n"/>
      <c r="AM5" s="66" t="n">
        <v>45858</v>
      </c>
      <c r="AN5" s="66" t="n"/>
      <c r="AO5" s="66" t="n">
        <v>45884</v>
      </c>
      <c r="AP5" s="66" t="n"/>
      <c r="AQ5" s="66" t="n"/>
      <c r="AR5" s="66" t="n"/>
      <c r="AS5" s="66" t="n"/>
      <c r="AT5" s="40" t="n"/>
      <c r="AU5" s="40" t="n"/>
      <c r="AV5" s="40" t="n"/>
      <c r="AW5" s="39" t="inlineStr">
        <is>
          <t>IF(OR(F5="",AJ5=""),"",IF(COUNT(AI5:AI5)=0,"",AJ5-LOOKUP(2,1/(AI5:AI5&lt;&gt;""),AI5:AI5)))</t>
        </is>
      </c>
      <c r="AX5" s="39" t="inlineStr">
        <is>
          <t>IF(OR(F5="",AK5=""),"",IF(COUNT(AI5:AJ5)=0,"",AK5-LOOKUP(2,1/(AI5:AJ5&lt;&gt;""),AI5:AJ5)))</t>
        </is>
      </c>
      <c r="AY5" s="39" t="inlineStr">
        <is>
          <t>IF(OR(F5="",AL5=""),"",IF(COUNT(AI5:AK5)=0,"",AL5-LOOKUP(2,1/(AI5:AK5&lt;&gt;""),AI5:AK5)))</t>
        </is>
      </c>
      <c r="AZ5" s="39" t="inlineStr">
        <is>
          <t>IF(OR(F5="",AM5=""),"",IF(COUNT(AI5:AL5)=0,"",AM5-LOOKUP(2,1/(AI5:AL5&lt;&gt;""),AI5:AL5)))</t>
        </is>
      </c>
      <c r="BA5" s="39" t="inlineStr">
        <is>
          <t>IF(OR(F5="",AN5=""),"",IF(COUNT(AI5:AM5)=0,"",AN5-LOOKUP(2,1/(AI5:AM5&lt;&gt;""),AI5:AM5)))</t>
        </is>
      </c>
      <c r="BB5" s="39" t="inlineStr">
        <is>
          <t>IF(OR(F5="",AO5=""),"",IF(COUNT(AI5:AN5)=0,"",AO5-LOOKUP(2,1/(AI5:AN5&lt;&gt;""),AI5:AN5)))</t>
        </is>
      </c>
      <c r="BC5" s="39" t="inlineStr">
        <is>
          <t>IF(OR(F5="",AP5=""),"",IF(COUNT(AI5:AO5)=0,"",AP5-LOOKUP(2,1/(AI5:AO5&lt;&gt;""),AI5:AO5)))</t>
        </is>
      </c>
      <c r="BD5" s="39" t="inlineStr">
        <is>
          <t>IF(OR(F5="",AQ5=""),"",IF(COUNT(AI5:AP5)=0,"",AQ5-LOOKUP(2,1/(AI5:AP5&lt;&gt;""),AI5:AP5)))</t>
        </is>
      </c>
      <c r="BE5" s="39" t="inlineStr">
        <is>
          <t>IF(OR(F5="",AR5=""),"",IF(COUNT(AI5:AQ5)=0,"",AR5-LOOKUP(2,1/(AI5:AQ5&lt;&gt;""),AI5:AQ5)))</t>
        </is>
      </c>
      <c r="BF5" s="39" t="inlineStr">
        <is>
          <t>IF(OR(F5="",AS5=""),"",IF(COUNT(AI5:AR5)=0,"",AS5-LOOKUP(2,1/(AI5:AR5&lt;&gt;""),AI5:AR5)))</t>
        </is>
      </c>
      <c r="BG5" s="39" t="inlineStr">
        <is>
          <t>IF(OR(F5="",AT5=""),"",IF(COUNT(AI5:AS5)=0,"",AT5-LOOKUP(2,1/(AI5:AS5&lt;&gt;""),AI5:AS5)))</t>
        </is>
      </c>
      <c r="BH5" s="39" t="inlineStr">
        <is>
          <t>IF(OR(F5="",AU5=""),"",IF(COUNT(AI5:AT5)=0,"",AU5-LOOKUP(2,1/(AI5:AT5&lt;&gt;""),AI5:AT5)))</t>
        </is>
      </c>
      <c r="BI5" s="39" t="inlineStr">
        <is>
          <t>IF(OR(F5="",AV5=""),"",IF(COUNT(AI5:AU5)=0,"",AV5-LOOKUP(2,1/(AI5:AU5&lt;&gt;""),AI5:AU5)))</t>
        </is>
      </c>
      <c r="BJ5" s="41" t="inlineStr">
        <is>
          <t>IF(J5="","All_Provinces",IFERROR(VLOOKUP(J5,'09_Lookups'!$A$4:$B$20,2,FALSE),"All_Provinces"))</t>
        </is>
      </c>
      <c r="BK5" s="41" t="inlineStr">
        <is>
          <t>IF(K5="","All_Districts",IFERROR(VLOOKUP(K5,'09_Lookups'!$E$4:$F$42,2,FALSE),"All_Districts"))</t>
        </is>
      </c>
    </row>
    <row r="6" ht="18" customHeight="1">
      <c r="A6" s="42" t="inlineStr">
        <is>
          <t>IF(F6="","",ROW()-3)</t>
        </is>
      </c>
      <c r="B6" s="52" t="n"/>
      <c r="C6" s="52" t="n"/>
      <c r="D6" s="52" t="n"/>
      <c r="E6" s="52" t="n"/>
      <c r="F6" s="52" t="n"/>
      <c r="G6" s="52" t="n"/>
      <c r="H6" s="52" t="n"/>
      <c r="I6" s="52" t="n"/>
      <c r="J6" s="52" t="n"/>
      <c r="K6" s="52" t="n"/>
      <c r="L6" s="52" t="n"/>
      <c r="M6" s="52" t="n"/>
      <c r="N6" s="52" t="n"/>
      <c r="O6" s="52" t="n"/>
      <c r="P6" s="52" t="n"/>
      <c r="Q6" s="52" t="n"/>
      <c r="R6" s="52" t="n"/>
      <c r="S6" s="53" t="n"/>
      <c r="T6" s="46" t="inlineStr">
        <is>
          <t>IF(AQ6="","",AQ6)</t>
        </is>
      </c>
      <c r="U6" s="54" t="n"/>
      <c r="V6" s="55" t="n"/>
      <c r="W6" s="54" t="n"/>
      <c r="X6" s="46" t="inlineStr">
        <is>
          <t>IF(W6&lt;&gt;"",W6,IF(OR(T6="",V6=""),"",EDATE(T6,V6)))</t>
        </is>
      </c>
      <c r="Y6" s="54" t="n"/>
      <c r="Z6" s="55" t="n"/>
      <c r="AA6" s="52" t="n"/>
      <c r="AB6" s="52" t="n"/>
      <c r="AC6" s="42" t="inlineStr">
        <is>
          <t>IF(F6="","",IF(COUNT(AI6:AV6)=0,IF(AA6="","Not started",AA6),SUBSTITUTE(LOOKUP(2,1/(AI6:AV6&lt;&gt;""),$AI$3:$AV$3),"Date: ","")))</t>
        </is>
      </c>
      <c r="AD6" s="49" t="inlineStr">
        <is>
          <t>IF(OR(F6="",COUNT(AI6:AV6)=0),"",TODAY()-LOOKUP(2,1/(AI6:AV6&lt;&gt;""),AI6:AV6))</t>
        </is>
      </c>
      <c r="AE6" s="49" t="inlineStr">
        <is>
          <t>IF(OR(F6="",COUNT(AI6:AV6)&lt;2),"",LOOKUP(2,1/(AI6:AV6&lt;&gt;""),AI6:AV6)-MIN(AI6:AV6))</t>
        </is>
      </c>
      <c r="AF6" s="49" t="inlineStr">
        <is>
          <t>IF(OR(AD6="",AC6="Not started",AC6=""),"",IFERROR(AD6-IF(VLOOKUP(AC6,'06_Status_Pipeline'!$B$3:$E$20,4,FALSE)="",0,VLOOKUP(AC6,'06_Status_Pipeline'!$B$3:$E$20,4,FALSE)),""))</t>
        </is>
      </c>
      <c r="AG6" s="42" t="inlineStr">
        <is>
          <t>IF(F6="","",IF(OR(AA6="Cancelled",AC6="Cancelled"),"Cancelled",IF(OR(AC6="Completed / Handover",Y6&lt;&gt;"",Z6&gt;=100),"Completed — on track",IF(O6="Not awarded",IF(U6="",IF(X6="","No planned date",IF(TODAY()&gt;X6,"Behind — past planned date",IF(X6-TODAY()&lt;=30,"At risk — close to off track","On track"))),IF(TODAY()&gt;U6,"Behind — award date passed",IF(U6-TODAY()&lt;=30,"At risk — close to off track","On track"))),IF(X6="","No planned date",IF(AND(TODAY()&gt;X6,OR(Z6="",Z6&lt;100)),"Behind — past end date",IF(AND(T6&lt;&gt;"",X6&lt;&gt;"",Z6&lt;&gt;"",(Z6&lt;100),((TODAY()-T6)/MAX(X6-T6,1)*100)-Z6&gt;15),"Behind — progress lag",IF(AND(X6-TODAY()&lt;=30,X6-TODAY()&gt;=0,OR(Z6="",Z6&lt;90)),"At risk — close to off track","On track"))))))))</t>
        </is>
      </c>
      <c r="AH6" s="49" t="inlineStr">
        <is>
          <t>IF(OR(F6="",AC6="Completed / Handover",AC6="Cancelled"),"",IF(O6="Not awarded",IF(U6&lt;&gt;"",U6-TODAY(),IF(X6="","",X6-TODAY())),IF(X6="","",X6-TODAY())))</t>
        </is>
      </c>
      <c r="AI6" s="54" t="n"/>
      <c r="AJ6" s="54" t="n"/>
      <c r="AK6" s="54" t="n"/>
      <c r="AL6" s="54" t="n"/>
      <c r="AM6" s="54" t="n"/>
      <c r="AN6" s="54" t="n"/>
      <c r="AO6" s="54" t="n"/>
      <c r="AP6" s="54" t="n"/>
      <c r="AQ6" s="54" t="n"/>
      <c r="AR6" s="54" t="n"/>
      <c r="AS6" s="54" t="n"/>
      <c r="AT6" s="50" t="n"/>
      <c r="AU6" s="50" t="n"/>
      <c r="AV6" s="50" t="n"/>
      <c r="AW6" s="49" t="inlineStr">
        <is>
          <t>IF(OR(F6="",AJ6=""),"",IF(COUNT(AI6:AI6)=0,"",AJ6-LOOKUP(2,1/(AI6:AI6&lt;&gt;""),AI6:AI6)))</t>
        </is>
      </c>
      <c r="AX6" s="49" t="inlineStr">
        <is>
          <t>IF(OR(F6="",AK6=""),"",IF(COUNT(AI6:AJ6)=0,"",AK6-LOOKUP(2,1/(AI6:AJ6&lt;&gt;""),AI6:AJ6)))</t>
        </is>
      </c>
      <c r="AY6" s="49" t="inlineStr">
        <is>
          <t>IF(OR(F6="",AL6=""),"",IF(COUNT(AI6:AK6)=0,"",AL6-LOOKUP(2,1/(AI6:AK6&lt;&gt;""),AI6:AK6)))</t>
        </is>
      </c>
      <c r="AZ6" s="49" t="inlineStr">
        <is>
          <t>IF(OR(F6="",AM6=""),"",IF(COUNT(AI6:AL6)=0,"",AM6-LOOKUP(2,1/(AI6:AL6&lt;&gt;""),AI6:AL6)))</t>
        </is>
      </c>
      <c r="BA6" s="49" t="inlineStr">
        <is>
          <t>IF(OR(F6="",AN6=""),"",IF(COUNT(AI6:AM6)=0,"",AN6-LOOKUP(2,1/(AI6:AM6&lt;&gt;""),AI6:AM6)))</t>
        </is>
      </c>
      <c r="BB6" s="49" t="inlineStr">
        <is>
          <t>IF(OR(F6="",AO6=""),"",IF(COUNT(AI6:AN6)=0,"",AO6-LOOKUP(2,1/(AI6:AN6&lt;&gt;""),AI6:AN6)))</t>
        </is>
      </c>
      <c r="BC6" s="49" t="inlineStr">
        <is>
          <t>IF(OR(F6="",AP6=""),"",IF(COUNT(AI6:AO6)=0,"",AP6-LOOKUP(2,1/(AI6:AO6&lt;&gt;""),AI6:AO6)))</t>
        </is>
      </c>
      <c r="BD6" s="49" t="inlineStr">
        <is>
          <t>IF(OR(F6="",AQ6=""),"",IF(COUNT(AI6:AP6)=0,"",AQ6-LOOKUP(2,1/(AI6:AP6&lt;&gt;""),AI6:AP6)))</t>
        </is>
      </c>
      <c r="BE6" s="49" t="inlineStr">
        <is>
          <t>IF(OR(F6="",AR6=""),"",IF(COUNT(AI6:AQ6)=0,"",AR6-LOOKUP(2,1/(AI6:AQ6&lt;&gt;""),AI6:AQ6)))</t>
        </is>
      </c>
      <c r="BF6" s="49" t="inlineStr">
        <is>
          <t>IF(OR(F6="",AS6=""),"",IF(COUNT(AI6:AR6)=0,"",AS6-LOOKUP(2,1/(AI6:AR6&lt;&gt;""),AI6:AR6)))</t>
        </is>
      </c>
      <c r="BG6" s="49" t="inlineStr">
        <is>
          <t>IF(OR(F6="",AT6=""),"",IF(COUNT(AI6:AS6)=0,"",AT6-LOOKUP(2,1/(AI6:AS6&lt;&gt;""),AI6:AS6)))</t>
        </is>
      </c>
      <c r="BH6" s="49" t="inlineStr">
        <is>
          <t>IF(OR(F6="",AU6=""),"",IF(COUNT(AI6:AT6)=0,"",AU6-LOOKUP(2,1/(AI6:AT6&lt;&gt;""),AI6:AT6)))</t>
        </is>
      </c>
      <c r="BI6" s="49" t="inlineStr">
        <is>
          <t>IF(OR(F6="",AV6=""),"",IF(COUNT(AI6:AU6)=0,"",AV6-LOOKUP(2,1/(AI6:AU6&lt;&gt;""),AI6:AU6)))</t>
        </is>
      </c>
      <c r="BJ6" s="51" t="inlineStr">
        <is>
          <t>IF(J6="","All_Provinces",IFERROR(VLOOKUP(J6,'09_Lookups'!$A$4:$B$20,2,FALSE),"All_Provinces"))</t>
        </is>
      </c>
      <c r="BK6" s="51" t="inlineStr">
        <is>
          <t>IF(K6="","All_Districts",IFERROR(VLOOKUP(K6,'09_Lookups'!$E$4:$F$42,2,FALSE),"All_Districts"))</t>
        </is>
      </c>
    </row>
    <row r="7" ht="18" customHeight="1">
      <c r="A7" s="42" t="inlineStr">
        <is>
          <t>IF(F7="","",ROW()-3)</t>
        </is>
      </c>
      <c r="B7" s="44" t="n"/>
      <c r="C7" s="44" t="n"/>
      <c r="D7" s="44" t="n"/>
      <c r="E7" s="44" t="n"/>
      <c r="F7" s="44" t="n"/>
      <c r="G7" s="44" t="n"/>
      <c r="H7" s="44" t="n"/>
      <c r="I7" s="44" t="n"/>
      <c r="J7" s="44" t="n"/>
      <c r="K7" s="44" t="n"/>
      <c r="L7" s="44" t="n"/>
      <c r="M7" s="44" t="n"/>
      <c r="N7" s="44" t="n"/>
      <c r="O7" s="44" t="n"/>
      <c r="P7" s="44" t="n"/>
      <c r="Q7" s="44" t="n"/>
      <c r="R7" s="44" t="n"/>
      <c r="S7" s="45" t="n"/>
      <c r="T7" s="46" t="inlineStr">
        <is>
          <t>IF(AQ7="","",AQ7)</t>
        </is>
      </c>
      <c r="U7" s="47" t="n"/>
      <c r="V7" s="48" t="n"/>
      <c r="W7" s="47" t="n"/>
      <c r="X7" s="46" t="inlineStr">
        <is>
          <t>IF(W7&lt;&gt;"",W7,IF(OR(T7="",V7=""),"",EDATE(T7,V7)))</t>
        </is>
      </c>
      <c r="Y7" s="47" t="n"/>
      <c r="Z7" s="48" t="n"/>
      <c r="AA7" s="44" t="n"/>
      <c r="AB7" s="44" t="n"/>
      <c r="AC7" s="42" t="inlineStr">
        <is>
          <t>IF(F7="","",IF(COUNT(AI7:AV7)=0,IF(AA7="","Not started",AA7),SUBSTITUTE(LOOKUP(2,1/(AI7:AV7&lt;&gt;""),$AI$3:$AV$3),"Date: ","")))</t>
        </is>
      </c>
      <c r="AD7" s="49" t="inlineStr">
        <is>
          <t>IF(OR(F7="",COUNT(AI7:AV7)=0),"",TODAY()-LOOKUP(2,1/(AI7:AV7&lt;&gt;""),AI7:AV7))</t>
        </is>
      </c>
      <c r="AE7" s="49" t="inlineStr">
        <is>
          <t>IF(OR(F7="",COUNT(AI7:AV7)&lt;2),"",LOOKUP(2,1/(AI7:AV7&lt;&gt;""),AI7:AV7)-MIN(AI7:AV7))</t>
        </is>
      </c>
      <c r="AF7" s="49" t="inlineStr">
        <is>
          <t>IF(OR(AD7="",AC7="Not started",AC7=""),"",IFERROR(AD7-IF(VLOOKUP(AC7,'06_Status_Pipeline'!$B$3:$E$20,4,FALSE)="",0,VLOOKUP(AC7,'06_Status_Pipeline'!$B$3:$E$20,4,FALSE)),""))</t>
        </is>
      </c>
      <c r="AG7" s="42" t="inlineStr">
        <is>
          <t>IF(F7="","",IF(OR(AA7="Cancelled",AC7="Cancelled"),"Cancelled",IF(OR(AC7="Completed / Handover",Y7&lt;&gt;"",Z7&gt;=100),"Completed — on track",IF(O7="Not awarded",IF(U7="",IF(X7="","No planned date",IF(TODAY()&gt;X7,"Behind — past planned date",IF(X7-TODAY()&lt;=30,"At risk — close to off track","On track"))),IF(TODAY()&gt;U7,"Behind — award date passed",IF(U7-TODAY()&lt;=30,"At risk — close to off track","On track"))),IF(X7="","No planned date",IF(AND(TODAY()&gt;X7,OR(Z7="",Z7&lt;100)),"Behind — past end date",IF(AND(T7&lt;&gt;"",X7&lt;&gt;"",Z7&lt;&gt;"",(Z7&lt;100),((TODAY()-T7)/MAX(X7-T7,1)*100)-Z7&gt;15),"Behind — progress lag",IF(AND(X7-TODAY()&lt;=30,X7-TODAY()&gt;=0,OR(Z7="",Z7&lt;90)),"At risk — close to off track","On track"))))))))</t>
        </is>
      </c>
      <c r="AH7" s="49" t="inlineStr">
        <is>
          <t>IF(OR(F7="",AC7="Completed / Handover",AC7="Cancelled"),"",IF(O7="Not awarded",IF(U7&lt;&gt;"",U7-TODAY(),IF(X7="","",X7-TODAY())),IF(X7="","",X7-TODAY())))</t>
        </is>
      </c>
      <c r="AI7" s="47" t="n"/>
      <c r="AJ7" s="47" t="n"/>
      <c r="AK7" s="47" t="n"/>
      <c r="AL7" s="47" t="n"/>
      <c r="AM7" s="47" t="n"/>
      <c r="AN7" s="47" t="n"/>
      <c r="AO7" s="47" t="n"/>
      <c r="AP7" s="47" t="n"/>
      <c r="AQ7" s="47" t="n"/>
      <c r="AR7" s="47" t="n"/>
      <c r="AS7" s="47" t="n"/>
      <c r="AT7" s="50" t="n"/>
      <c r="AU7" s="50" t="n"/>
      <c r="AV7" s="50" t="n"/>
      <c r="AW7" s="49" t="inlineStr">
        <is>
          <t>IF(OR(F7="",AJ7=""),"",IF(COUNT(AI7:AI7)=0,"",AJ7-LOOKUP(2,1/(AI7:AI7&lt;&gt;""),AI7:AI7)))</t>
        </is>
      </c>
      <c r="AX7" s="49" t="inlineStr">
        <is>
          <t>IF(OR(F7="",AK7=""),"",IF(COUNT(AI7:AJ7)=0,"",AK7-LOOKUP(2,1/(AI7:AJ7&lt;&gt;""),AI7:AJ7)))</t>
        </is>
      </c>
      <c r="AY7" s="49" t="inlineStr">
        <is>
          <t>IF(OR(F7="",AL7=""),"",IF(COUNT(AI7:AK7)=0,"",AL7-LOOKUP(2,1/(AI7:AK7&lt;&gt;""),AI7:AK7)))</t>
        </is>
      </c>
      <c r="AZ7" s="49" t="inlineStr">
        <is>
          <t>IF(OR(F7="",AM7=""),"",IF(COUNT(AI7:AL7)=0,"",AM7-LOOKUP(2,1/(AI7:AL7&lt;&gt;""),AI7:AL7)))</t>
        </is>
      </c>
      <c r="BA7" s="49" t="inlineStr">
        <is>
          <t>IF(OR(F7="",AN7=""),"",IF(COUNT(AI7:AM7)=0,"",AN7-LOOKUP(2,1/(AI7:AM7&lt;&gt;""),AI7:AM7)))</t>
        </is>
      </c>
      <c r="BB7" s="49" t="inlineStr">
        <is>
          <t>IF(OR(F7="",AO7=""),"",IF(COUNT(AI7:AN7)=0,"",AO7-LOOKUP(2,1/(AI7:AN7&lt;&gt;""),AI7:AN7)))</t>
        </is>
      </c>
      <c r="BC7" s="49" t="inlineStr">
        <is>
          <t>IF(OR(F7="",AP7=""),"",IF(COUNT(AI7:AO7)=0,"",AP7-LOOKUP(2,1/(AI7:AO7&lt;&gt;""),AI7:AO7)))</t>
        </is>
      </c>
      <c r="BD7" s="49" t="inlineStr">
        <is>
          <t>IF(OR(F7="",AQ7=""),"",IF(COUNT(AI7:AP7)=0,"",AQ7-LOOKUP(2,1/(AI7:AP7&lt;&gt;""),AI7:AP7)))</t>
        </is>
      </c>
      <c r="BE7" s="49" t="inlineStr">
        <is>
          <t>IF(OR(F7="",AR7=""),"",IF(COUNT(AI7:AQ7)=0,"",AR7-LOOKUP(2,1/(AI7:AQ7&lt;&gt;""),AI7:AQ7)))</t>
        </is>
      </c>
      <c r="BF7" s="49" t="inlineStr">
        <is>
          <t>IF(OR(F7="",AS7=""),"",IF(COUNT(AI7:AR7)=0,"",AS7-LOOKUP(2,1/(AI7:AR7&lt;&gt;""),AI7:AR7)))</t>
        </is>
      </c>
      <c r="BG7" s="49" t="inlineStr">
        <is>
          <t>IF(OR(F7="",AT7=""),"",IF(COUNT(AI7:AS7)=0,"",AT7-LOOKUP(2,1/(AI7:AS7&lt;&gt;""),AI7:AS7)))</t>
        </is>
      </c>
      <c r="BH7" s="49" t="inlineStr">
        <is>
          <t>IF(OR(F7="",AU7=""),"",IF(COUNT(AI7:AT7)=0,"",AU7-LOOKUP(2,1/(AI7:AT7&lt;&gt;""),AI7:AT7)))</t>
        </is>
      </c>
      <c r="BI7" s="49" t="inlineStr">
        <is>
          <t>IF(OR(F7="",AV7=""),"",IF(COUNT(AI7:AU7)=0,"",AV7-LOOKUP(2,1/(AI7:AU7&lt;&gt;""),AI7:AU7)))</t>
        </is>
      </c>
      <c r="BJ7" s="51" t="inlineStr">
        <is>
          <t>IF(J7="","All_Provinces",IFERROR(VLOOKUP(J7,'09_Lookups'!$A$4:$B$20,2,FALSE),"All_Provinces"))</t>
        </is>
      </c>
      <c r="BK7" s="51" t="inlineStr">
        <is>
          <t>IF(K7="","All_Districts",IFERROR(VLOOKUP(K7,'09_Lookups'!$E$4:$F$42,2,FALSE),"All_Districts"))</t>
        </is>
      </c>
    </row>
    <row r="8" ht="18" customHeight="1">
      <c r="A8" s="42" t="inlineStr">
        <is>
          <t>IF(F8="","",ROW()-3)</t>
        </is>
      </c>
      <c r="B8" s="52" t="n"/>
      <c r="C8" s="52" t="n"/>
      <c r="D8" s="52" t="n"/>
      <c r="E8" s="52" t="n"/>
      <c r="F8" s="52" t="n"/>
      <c r="G8" s="52" t="n"/>
      <c r="H8" s="52" t="n"/>
      <c r="I8" s="52" t="n"/>
      <c r="J8" s="52" t="n"/>
      <c r="K8" s="52" t="n"/>
      <c r="L8" s="52" t="n"/>
      <c r="M8" s="52" t="n"/>
      <c r="N8" s="52" t="n"/>
      <c r="O8" s="52" t="n"/>
      <c r="P8" s="52" t="n"/>
      <c r="Q8" s="52" t="n"/>
      <c r="R8" s="52" t="n"/>
      <c r="S8" s="53" t="n"/>
      <c r="T8" s="46" t="inlineStr">
        <is>
          <t>IF(AQ8="","",AQ8)</t>
        </is>
      </c>
      <c r="U8" s="54" t="n"/>
      <c r="V8" s="55" t="n"/>
      <c r="W8" s="54" t="n"/>
      <c r="X8" s="46" t="inlineStr">
        <is>
          <t>IF(W8&lt;&gt;"",W8,IF(OR(T8="",V8=""),"",EDATE(T8,V8)))</t>
        </is>
      </c>
      <c r="Y8" s="54" t="n"/>
      <c r="Z8" s="55" t="n"/>
      <c r="AA8" s="52" t="n"/>
      <c r="AB8" s="52" t="n"/>
      <c r="AC8" s="42" t="inlineStr">
        <is>
          <t>IF(F8="","",IF(COUNT(AI8:AV8)=0,IF(AA8="","Not started",AA8),SUBSTITUTE(LOOKUP(2,1/(AI8:AV8&lt;&gt;""),$AI$3:$AV$3),"Date: ","")))</t>
        </is>
      </c>
      <c r="AD8" s="49" t="inlineStr">
        <is>
          <t>IF(OR(F8="",COUNT(AI8:AV8)=0),"",TODAY()-LOOKUP(2,1/(AI8:AV8&lt;&gt;""),AI8:AV8))</t>
        </is>
      </c>
      <c r="AE8" s="49" t="inlineStr">
        <is>
          <t>IF(OR(F8="",COUNT(AI8:AV8)&lt;2),"",LOOKUP(2,1/(AI8:AV8&lt;&gt;""),AI8:AV8)-MIN(AI8:AV8))</t>
        </is>
      </c>
      <c r="AF8" s="49" t="inlineStr">
        <is>
          <t>IF(OR(AD8="",AC8="Not started",AC8=""),"",IFERROR(AD8-IF(VLOOKUP(AC8,'06_Status_Pipeline'!$B$3:$E$20,4,FALSE)="",0,VLOOKUP(AC8,'06_Status_Pipeline'!$B$3:$E$20,4,FALSE)),""))</t>
        </is>
      </c>
      <c r="AG8" s="42" t="inlineStr">
        <is>
          <t>IF(F8="","",IF(OR(AA8="Cancelled",AC8="Cancelled"),"Cancelled",IF(OR(AC8="Completed / Handover",Y8&lt;&gt;"",Z8&gt;=100),"Completed — on track",IF(O8="Not awarded",IF(U8="",IF(X8="","No planned date",IF(TODAY()&gt;X8,"Behind — past planned date",IF(X8-TODAY()&lt;=30,"At risk — close to off track","On track"))),IF(TODAY()&gt;U8,"Behind — award date passed",IF(U8-TODAY()&lt;=30,"At risk — close to off track","On track"))),IF(X8="","No planned date",IF(AND(TODAY()&gt;X8,OR(Z8="",Z8&lt;100)),"Behind — past end date",IF(AND(T8&lt;&gt;"",X8&lt;&gt;"",Z8&lt;&gt;"",(Z8&lt;100),((TODAY()-T8)/MAX(X8-T8,1)*100)-Z8&gt;15),"Behind — progress lag",IF(AND(X8-TODAY()&lt;=30,X8-TODAY()&gt;=0,OR(Z8="",Z8&lt;90)),"At risk — close to off track","On track"))))))))</t>
        </is>
      </c>
      <c r="AH8" s="49" t="inlineStr">
        <is>
          <t>IF(OR(F8="",AC8="Completed / Handover",AC8="Cancelled"),"",IF(O8="Not awarded",IF(U8&lt;&gt;"",U8-TODAY(),IF(X8="","",X8-TODAY())),IF(X8="","",X8-TODAY())))</t>
        </is>
      </c>
      <c r="AI8" s="54" t="n"/>
      <c r="AJ8" s="54" t="n"/>
      <c r="AK8" s="54" t="n"/>
      <c r="AL8" s="54" t="n"/>
      <c r="AM8" s="54" t="n"/>
      <c r="AN8" s="54" t="n"/>
      <c r="AO8" s="54" t="n"/>
      <c r="AP8" s="54" t="n"/>
      <c r="AQ8" s="54" t="n"/>
      <c r="AR8" s="54" t="n"/>
      <c r="AS8" s="54" t="n"/>
      <c r="AT8" s="50" t="n"/>
      <c r="AU8" s="50" t="n"/>
      <c r="AV8" s="50" t="n"/>
      <c r="AW8" s="49" t="inlineStr">
        <is>
          <t>IF(OR(F8="",AJ8=""),"",IF(COUNT(AI8:AI8)=0,"",AJ8-LOOKUP(2,1/(AI8:AI8&lt;&gt;""),AI8:AI8)))</t>
        </is>
      </c>
      <c r="AX8" s="49" t="inlineStr">
        <is>
          <t>IF(OR(F8="",AK8=""),"",IF(COUNT(AI8:AJ8)=0,"",AK8-LOOKUP(2,1/(AI8:AJ8&lt;&gt;""),AI8:AJ8)))</t>
        </is>
      </c>
      <c r="AY8" s="49" t="inlineStr">
        <is>
          <t>IF(OR(F8="",AL8=""),"",IF(COUNT(AI8:AK8)=0,"",AL8-LOOKUP(2,1/(AI8:AK8&lt;&gt;""),AI8:AK8)))</t>
        </is>
      </c>
      <c r="AZ8" s="49" t="inlineStr">
        <is>
          <t>IF(OR(F8="",AM8=""),"",IF(COUNT(AI8:AL8)=0,"",AM8-LOOKUP(2,1/(AI8:AL8&lt;&gt;""),AI8:AL8)))</t>
        </is>
      </c>
      <c r="BA8" s="49" t="inlineStr">
        <is>
          <t>IF(OR(F8="",AN8=""),"",IF(COUNT(AI8:AM8)=0,"",AN8-LOOKUP(2,1/(AI8:AM8&lt;&gt;""),AI8:AM8)))</t>
        </is>
      </c>
      <c r="BB8" s="49" t="inlineStr">
        <is>
          <t>IF(OR(F8="",AO8=""),"",IF(COUNT(AI8:AN8)=0,"",AO8-LOOKUP(2,1/(AI8:AN8&lt;&gt;""),AI8:AN8)))</t>
        </is>
      </c>
      <c r="BC8" s="49" t="inlineStr">
        <is>
          <t>IF(OR(F8="",AP8=""),"",IF(COUNT(AI8:AO8)=0,"",AP8-LOOKUP(2,1/(AI8:AO8&lt;&gt;""),AI8:AO8)))</t>
        </is>
      </c>
      <c r="BD8" s="49" t="inlineStr">
        <is>
          <t>IF(OR(F8="",AQ8=""),"",IF(COUNT(AI8:AP8)=0,"",AQ8-LOOKUP(2,1/(AI8:AP8&lt;&gt;""),AI8:AP8)))</t>
        </is>
      </c>
      <c r="BE8" s="49" t="inlineStr">
        <is>
          <t>IF(OR(F8="",AR8=""),"",IF(COUNT(AI8:AQ8)=0,"",AR8-LOOKUP(2,1/(AI8:AQ8&lt;&gt;""),AI8:AQ8)))</t>
        </is>
      </c>
      <c r="BF8" s="49" t="inlineStr">
        <is>
          <t>IF(OR(F8="",AS8=""),"",IF(COUNT(AI8:AR8)=0,"",AS8-LOOKUP(2,1/(AI8:AR8&lt;&gt;""),AI8:AR8)))</t>
        </is>
      </c>
      <c r="BG8" s="49" t="inlineStr">
        <is>
          <t>IF(OR(F8="",AT8=""),"",IF(COUNT(AI8:AS8)=0,"",AT8-LOOKUP(2,1/(AI8:AS8&lt;&gt;""),AI8:AS8)))</t>
        </is>
      </c>
      <c r="BH8" s="49" t="inlineStr">
        <is>
          <t>IF(OR(F8="",AU8=""),"",IF(COUNT(AI8:AT8)=0,"",AU8-LOOKUP(2,1/(AI8:AT8&lt;&gt;""),AI8:AT8)))</t>
        </is>
      </c>
      <c r="BI8" s="49" t="inlineStr">
        <is>
          <t>IF(OR(F8="",AV8=""),"",IF(COUNT(AI8:AU8)=0,"",AV8-LOOKUP(2,1/(AI8:AU8&lt;&gt;""),AI8:AU8)))</t>
        </is>
      </c>
      <c r="BJ8" s="51" t="inlineStr">
        <is>
          <t>IF(J8="","All_Provinces",IFERROR(VLOOKUP(J8,'09_Lookups'!$A$4:$B$20,2,FALSE),"All_Provinces"))</t>
        </is>
      </c>
      <c r="BK8" s="51" t="inlineStr">
        <is>
          <t>IF(K8="","All_Districts",IFERROR(VLOOKUP(K8,'09_Lookups'!$E$4:$F$42,2,FALSE),"All_Districts"))</t>
        </is>
      </c>
    </row>
    <row r="9" ht="18" customHeight="1">
      <c r="A9" s="42" t="inlineStr">
        <is>
          <t>IF(F9="","",ROW()-3)</t>
        </is>
      </c>
      <c r="B9" s="44" t="n"/>
      <c r="C9" s="44" t="n"/>
      <c r="D9" s="44" t="n"/>
      <c r="E9" s="44" t="n"/>
      <c r="F9" s="44" t="n"/>
      <c r="G9" s="44" t="n"/>
      <c r="H9" s="44" t="n"/>
      <c r="I9" s="44" t="n"/>
      <c r="J9" s="44" t="n"/>
      <c r="K9" s="44" t="n"/>
      <c r="L9" s="44" t="n"/>
      <c r="M9" s="44" t="n"/>
      <c r="N9" s="44" t="n"/>
      <c r="O9" s="44" t="n"/>
      <c r="P9" s="44" t="n"/>
      <c r="Q9" s="44" t="n"/>
      <c r="R9" s="44" t="n"/>
      <c r="S9" s="45" t="n"/>
      <c r="T9" s="46" t="inlineStr">
        <is>
          <t>IF(AQ9="","",AQ9)</t>
        </is>
      </c>
      <c r="U9" s="47" t="n"/>
      <c r="V9" s="48" t="n"/>
      <c r="W9" s="47" t="n"/>
      <c r="X9" s="46" t="inlineStr">
        <is>
          <t>IF(W9&lt;&gt;"",W9,IF(OR(T9="",V9=""),"",EDATE(T9,V9)))</t>
        </is>
      </c>
      <c r="Y9" s="47" t="n"/>
      <c r="Z9" s="48" t="n"/>
      <c r="AA9" s="44" t="n"/>
      <c r="AB9" s="44" t="n"/>
      <c r="AC9" s="42" t="inlineStr">
        <is>
          <t>IF(F9="","",IF(COUNT(AI9:AV9)=0,IF(AA9="","Not started",AA9),SUBSTITUTE(LOOKUP(2,1/(AI9:AV9&lt;&gt;""),$AI$3:$AV$3),"Date: ","")))</t>
        </is>
      </c>
      <c r="AD9" s="49" t="inlineStr">
        <is>
          <t>IF(OR(F9="",COUNT(AI9:AV9)=0),"",TODAY()-LOOKUP(2,1/(AI9:AV9&lt;&gt;""),AI9:AV9))</t>
        </is>
      </c>
      <c r="AE9" s="49" t="inlineStr">
        <is>
          <t>IF(OR(F9="",COUNT(AI9:AV9)&lt;2),"",LOOKUP(2,1/(AI9:AV9&lt;&gt;""),AI9:AV9)-MIN(AI9:AV9))</t>
        </is>
      </c>
      <c r="AF9" s="49" t="inlineStr">
        <is>
          <t>IF(OR(AD9="",AC9="Not started",AC9=""),"",IFERROR(AD9-IF(VLOOKUP(AC9,'06_Status_Pipeline'!$B$3:$E$20,4,FALSE)="",0,VLOOKUP(AC9,'06_Status_Pipeline'!$B$3:$E$20,4,FALSE)),""))</t>
        </is>
      </c>
      <c r="AG9" s="42" t="inlineStr">
        <is>
          <t>IF(F9="","",IF(OR(AA9="Cancelled",AC9="Cancelled"),"Cancelled",IF(OR(AC9="Completed / Handover",Y9&lt;&gt;"",Z9&gt;=100),"Completed — on track",IF(O9="Not awarded",IF(U9="",IF(X9="","No planned date",IF(TODAY()&gt;X9,"Behind — past planned date",IF(X9-TODAY()&lt;=30,"At risk — close to off track","On track"))),IF(TODAY()&gt;U9,"Behind — award date passed",IF(U9-TODAY()&lt;=30,"At risk — close to off track","On track"))),IF(X9="","No planned date",IF(AND(TODAY()&gt;X9,OR(Z9="",Z9&lt;100)),"Behind — past end date",IF(AND(T9&lt;&gt;"",X9&lt;&gt;"",Z9&lt;&gt;"",(Z9&lt;100),((TODAY()-T9)/MAX(X9-T9,1)*100)-Z9&gt;15),"Behind — progress lag",IF(AND(X9-TODAY()&lt;=30,X9-TODAY()&gt;=0,OR(Z9="",Z9&lt;90)),"At risk — close to off track","On track"))))))))</t>
        </is>
      </c>
      <c r="AH9" s="49" t="inlineStr">
        <is>
          <t>IF(OR(F9="",AC9="Completed / Handover",AC9="Cancelled"),"",IF(O9="Not awarded",IF(U9&lt;&gt;"",U9-TODAY(),IF(X9="","",X9-TODAY())),IF(X9="","",X9-TODAY())))</t>
        </is>
      </c>
      <c r="AI9" s="47" t="n"/>
      <c r="AJ9" s="47" t="n"/>
      <c r="AK9" s="47" t="n"/>
      <c r="AL9" s="47" t="n"/>
      <c r="AM9" s="47" t="n"/>
      <c r="AN9" s="47" t="n"/>
      <c r="AO9" s="47" t="n"/>
      <c r="AP9" s="47" t="n"/>
      <c r="AQ9" s="47" t="n"/>
      <c r="AR9" s="47" t="n"/>
      <c r="AS9" s="47" t="n"/>
      <c r="AT9" s="50" t="n"/>
      <c r="AU9" s="50" t="n"/>
      <c r="AV9" s="50" t="n"/>
      <c r="AW9" s="49" t="inlineStr">
        <is>
          <t>IF(OR(F9="",AJ9=""),"",IF(COUNT(AI9:AI9)=0,"",AJ9-LOOKUP(2,1/(AI9:AI9&lt;&gt;""),AI9:AI9)))</t>
        </is>
      </c>
      <c r="AX9" s="49" t="inlineStr">
        <is>
          <t>IF(OR(F9="",AK9=""),"",IF(COUNT(AI9:AJ9)=0,"",AK9-LOOKUP(2,1/(AI9:AJ9&lt;&gt;""),AI9:AJ9)))</t>
        </is>
      </c>
      <c r="AY9" s="49" t="inlineStr">
        <is>
          <t>IF(OR(F9="",AL9=""),"",IF(COUNT(AI9:AK9)=0,"",AL9-LOOKUP(2,1/(AI9:AK9&lt;&gt;""),AI9:AK9)))</t>
        </is>
      </c>
      <c r="AZ9" s="49" t="inlineStr">
        <is>
          <t>IF(OR(F9="",AM9=""),"",IF(COUNT(AI9:AL9)=0,"",AM9-LOOKUP(2,1/(AI9:AL9&lt;&gt;""),AI9:AL9)))</t>
        </is>
      </c>
      <c r="BA9" s="49" t="inlineStr">
        <is>
          <t>IF(OR(F9="",AN9=""),"",IF(COUNT(AI9:AM9)=0,"",AN9-LOOKUP(2,1/(AI9:AM9&lt;&gt;""),AI9:AM9)))</t>
        </is>
      </c>
      <c r="BB9" s="49" t="inlineStr">
        <is>
          <t>IF(OR(F9="",AO9=""),"",IF(COUNT(AI9:AN9)=0,"",AO9-LOOKUP(2,1/(AI9:AN9&lt;&gt;""),AI9:AN9)))</t>
        </is>
      </c>
      <c r="BC9" s="49" t="inlineStr">
        <is>
          <t>IF(OR(F9="",AP9=""),"",IF(COUNT(AI9:AO9)=0,"",AP9-LOOKUP(2,1/(AI9:AO9&lt;&gt;""),AI9:AO9)))</t>
        </is>
      </c>
      <c r="BD9" s="49" t="inlineStr">
        <is>
          <t>IF(OR(F9="",AQ9=""),"",IF(COUNT(AI9:AP9)=0,"",AQ9-LOOKUP(2,1/(AI9:AP9&lt;&gt;""),AI9:AP9)))</t>
        </is>
      </c>
      <c r="BE9" s="49" t="inlineStr">
        <is>
          <t>IF(OR(F9="",AR9=""),"",IF(COUNT(AI9:AQ9)=0,"",AR9-LOOKUP(2,1/(AI9:AQ9&lt;&gt;""),AI9:AQ9)))</t>
        </is>
      </c>
      <c r="BF9" s="49" t="inlineStr">
        <is>
          <t>IF(OR(F9="",AS9=""),"",IF(COUNT(AI9:AR9)=0,"",AS9-LOOKUP(2,1/(AI9:AR9&lt;&gt;""),AI9:AR9)))</t>
        </is>
      </c>
      <c r="BG9" s="49" t="inlineStr">
        <is>
          <t>IF(OR(F9="",AT9=""),"",IF(COUNT(AI9:AS9)=0,"",AT9-LOOKUP(2,1/(AI9:AS9&lt;&gt;""),AI9:AS9)))</t>
        </is>
      </c>
      <c r="BH9" s="49" t="inlineStr">
        <is>
          <t>IF(OR(F9="",AU9=""),"",IF(COUNT(AI9:AT9)=0,"",AU9-LOOKUP(2,1/(AI9:AT9&lt;&gt;""),AI9:AT9)))</t>
        </is>
      </c>
      <c r="BI9" s="49" t="inlineStr">
        <is>
          <t>IF(OR(F9="",AV9=""),"",IF(COUNT(AI9:AU9)=0,"",AV9-LOOKUP(2,1/(AI9:AU9&lt;&gt;""),AI9:AU9)))</t>
        </is>
      </c>
      <c r="BJ9" s="51" t="inlineStr">
        <is>
          <t>IF(J9="","All_Provinces",IFERROR(VLOOKUP(J9,'09_Lookups'!$A$4:$B$20,2,FALSE),"All_Provinces"))</t>
        </is>
      </c>
      <c r="BK9" s="51" t="inlineStr">
        <is>
          <t>IF(K9="","All_Districts",IFERROR(VLOOKUP(K9,'09_Lookups'!$E$4:$F$42,2,FALSE),"All_Districts"))</t>
        </is>
      </c>
    </row>
    <row r="10" ht="18" customHeight="1">
      <c r="A10" s="42" t="inlineStr">
        <is>
          <t>IF(F10="","",ROW()-3)</t>
        </is>
      </c>
      <c r="B10" s="52" t="n"/>
      <c r="C10" s="52" t="n"/>
      <c r="D10" s="52" t="n"/>
      <c r="E10" s="52" t="n"/>
      <c r="F10" s="52" t="n"/>
      <c r="G10" s="52" t="n"/>
      <c r="H10" s="52" t="n"/>
      <c r="I10" s="52" t="n"/>
      <c r="J10" s="52" t="n"/>
      <c r="K10" s="52" t="n"/>
      <c r="L10" s="52" t="n"/>
      <c r="M10" s="52" t="n"/>
      <c r="N10" s="52" t="n"/>
      <c r="O10" s="52" t="n"/>
      <c r="P10" s="52" t="n"/>
      <c r="Q10" s="52" t="n"/>
      <c r="R10" s="52" t="n"/>
      <c r="S10" s="53" t="n"/>
      <c r="T10" s="46" t="inlineStr">
        <is>
          <t>IF(AQ10="","",AQ10)</t>
        </is>
      </c>
      <c r="U10" s="54" t="n"/>
      <c r="V10" s="55" t="n"/>
      <c r="W10" s="54" t="n"/>
      <c r="X10" s="46" t="inlineStr">
        <is>
          <t>IF(W10&lt;&gt;"",W10,IF(OR(T10="",V10=""),"",EDATE(T10,V10)))</t>
        </is>
      </c>
      <c r="Y10" s="54" t="n"/>
      <c r="Z10" s="55" t="n"/>
      <c r="AA10" s="52" t="n"/>
      <c r="AB10" s="52" t="n"/>
      <c r="AC10" s="42" t="inlineStr">
        <is>
          <t>IF(F10="","",IF(COUNT(AI10:AV10)=0,IF(AA10="","Not started",AA10),SUBSTITUTE(LOOKUP(2,1/(AI10:AV10&lt;&gt;""),$AI$3:$AV$3),"Date: ","")))</t>
        </is>
      </c>
      <c r="AD10" s="49" t="inlineStr">
        <is>
          <t>IF(OR(F10="",COUNT(AI10:AV10)=0),"",TODAY()-LOOKUP(2,1/(AI10:AV10&lt;&gt;""),AI10:AV10))</t>
        </is>
      </c>
      <c r="AE10" s="49" t="inlineStr">
        <is>
          <t>IF(OR(F10="",COUNT(AI10:AV10)&lt;2),"",LOOKUP(2,1/(AI10:AV10&lt;&gt;""),AI10:AV10)-MIN(AI10:AV10))</t>
        </is>
      </c>
      <c r="AF10" s="49" t="inlineStr">
        <is>
          <t>IF(OR(AD10="",AC10="Not started",AC10=""),"",IFERROR(AD10-IF(VLOOKUP(AC10,'06_Status_Pipeline'!$B$3:$E$20,4,FALSE)="",0,VLOOKUP(AC10,'06_Status_Pipeline'!$B$3:$E$20,4,FALSE)),""))</t>
        </is>
      </c>
      <c r="AG10" s="42" t="inlineStr">
        <is>
          <t>IF(F10="","",IF(OR(AA10="Cancelled",AC10="Cancelled"),"Cancelled",IF(OR(AC10="Completed / Handover",Y10&lt;&gt;"",Z10&gt;=100),"Completed — on track",IF(O10="Not awarded",IF(U10="",IF(X10="","No planned date",IF(TODAY()&gt;X10,"Behind — past planned date",IF(X10-TODAY()&lt;=30,"At risk — close to off track","On track"))),IF(TODAY()&gt;U10,"Behind — award date passed",IF(U10-TODAY()&lt;=30,"At risk — close to off track","On track"))),IF(X10="","No planned date",IF(AND(TODAY()&gt;X10,OR(Z10="",Z10&lt;100)),"Behind — past end date",IF(AND(T10&lt;&gt;"",X10&lt;&gt;"",Z10&lt;&gt;"",(Z10&lt;100),((TODAY()-T10)/MAX(X10-T10,1)*100)-Z10&gt;15),"Behind — progress lag",IF(AND(X10-TODAY()&lt;=30,X10-TODAY()&gt;=0,OR(Z10="",Z10&lt;90)),"At risk — close to off track","On track"))))))))</t>
        </is>
      </c>
      <c r="AH10" s="49" t="inlineStr">
        <is>
          <t>IF(OR(F10="",AC10="Completed / Handover",AC10="Cancelled"),"",IF(O10="Not awarded",IF(U10&lt;&gt;"",U10-TODAY(),IF(X10="","",X10-TODAY())),IF(X10="","",X10-TODAY())))</t>
        </is>
      </c>
      <c r="AI10" s="54" t="n"/>
      <c r="AJ10" s="54" t="n"/>
      <c r="AK10" s="54" t="n"/>
      <c r="AL10" s="54" t="n"/>
      <c r="AM10" s="54" t="n"/>
      <c r="AN10" s="54" t="n"/>
      <c r="AO10" s="54" t="n"/>
      <c r="AP10" s="54" t="n"/>
      <c r="AQ10" s="54" t="n"/>
      <c r="AR10" s="54" t="n"/>
      <c r="AS10" s="54" t="n"/>
      <c r="AT10" s="50" t="n"/>
      <c r="AU10" s="50" t="n"/>
      <c r="AV10" s="50" t="n"/>
      <c r="AW10" s="49" t="inlineStr">
        <is>
          <t>IF(OR(F10="",AJ10=""),"",IF(COUNT(AI10:AI10)=0,"",AJ10-LOOKUP(2,1/(AI10:AI10&lt;&gt;""),AI10:AI10)))</t>
        </is>
      </c>
      <c r="AX10" s="49" t="inlineStr">
        <is>
          <t>IF(OR(F10="",AK10=""),"",IF(COUNT(AI10:AJ10)=0,"",AK10-LOOKUP(2,1/(AI10:AJ10&lt;&gt;""),AI10:AJ10)))</t>
        </is>
      </c>
      <c r="AY10" s="49" t="inlineStr">
        <is>
          <t>IF(OR(F10="",AL10=""),"",IF(COUNT(AI10:AK10)=0,"",AL10-LOOKUP(2,1/(AI10:AK10&lt;&gt;""),AI10:AK10)))</t>
        </is>
      </c>
      <c r="AZ10" s="49" t="inlineStr">
        <is>
          <t>IF(OR(F10="",AM10=""),"",IF(COUNT(AI10:AL10)=0,"",AM10-LOOKUP(2,1/(AI10:AL10&lt;&gt;""),AI10:AL10)))</t>
        </is>
      </c>
      <c r="BA10" s="49" t="inlineStr">
        <is>
          <t>IF(OR(F10="",AN10=""),"",IF(COUNT(AI10:AM10)=0,"",AN10-LOOKUP(2,1/(AI10:AM10&lt;&gt;""),AI10:AM10)))</t>
        </is>
      </c>
      <c r="BB10" s="49" t="inlineStr">
        <is>
          <t>IF(OR(F10="",AO10=""),"",IF(COUNT(AI10:AN10)=0,"",AO10-LOOKUP(2,1/(AI10:AN10&lt;&gt;""),AI10:AN10)))</t>
        </is>
      </c>
      <c r="BC10" s="49" t="inlineStr">
        <is>
          <t>IF(OR(F10="",AP10=""),"",IF(COUNT(AI10:AO10)=0,"",AP10-LOOKUP(2,1/(AI10:AO10&lt;&gt;""),AI10:AO10)))</t>
        </is>
      </c>
      <c r="BD10" s="49" t="inlineStr">
        <is>
          <t>IF(OR(F10="",AQ10=""),"",IF(COUNT(AI10:AP10)=0,"",AQ10-LOOKUP(2,1/(AI10:AP10&lt;&gt;""),AI10:AP10)))</t>
        </is>
      </c>
      <c r="BE10" s="49" t="inlineStr">
        <is>
          <t>IF(OR(F10="",AR10=""),"",IF(COUNT(AI10:AQ10)=0,"",AR10-LOOKUP(2,1/(AI10:AQ10&lt;&gt;""),AI10:AQ10)))</t>
        </is>
      </c>
      <c r="BF10" s="49" t="inlineStr">
        <is>
          <t>IF(OR(F10="",AS10=""),"",IF(COUNT(AI10:AR10)=0,"",AS10-LOOKUP(2,1/(AI10:AR10&lt;&gt;""),AI10:AR10)))</t>
        </is>
      </c>
      <c r="BG10" s="49" t="inlineStr">
        <is>
          <t>IF(OR(F10="",AT10=""),"",IF(COUNT(AI10:AS10)=0,"",AT10-LOOKUP(2,1/(AI10:AS10&lt;&gt;""),AI10:AS10)))</t>
        </is>
      </c>
      <c r="BH10" s="49" t="inlineStr">
        <is>
          <t>IF(OR(F10="",AU10=""),"",IF(COUNT(AI10:AT10)=0,"",AU10-LOOKUP(2,1/(AI10:AT10&lt;&gt;""),AI10:AT10)))</t>
        </is>
      </c>
      <c r="BI10" s="49" t="inlineStr">
        <is>
          <t>IF(OR(F10="",AV10=""),"",IF(COUNT(AI10:AU10)=0,"",AV10-LOOKUP(2,1/(AI10:AU10&lt;&gt;""),AI10:AU10)))</t>
        </is>
      </c>
      <c r="BJ10" s="51" t="inlineStr">
        <is>
          <t>IF(J10="","All_Provinces",IFERROR(VLOOKUP(J10,'09_Lookups'!$A$4:$B$20,2,FALSE),"All_Provinces"))</t>
        </is>
      </c>
      <c r="BK10" s="51" t="inlineStr">
        <is>
          <t>IF(K10="","All_Districts",IFERROR(VLOOKUP(K10,'09_Lookups'!$E$4:$F$42,2,FALSE),"All_Districts"))</t>
        </is>
      </c>
    </row>
    <row r="11" ht="18" customHeight="1">
      <c r="A11" s="42" t="inlineStr">
        <is>
          <t>IF(F11="","",ROW()-3)</t>
        </is>
      </c>
      <c r="B11" s="44" t="n"/>
      <c r="C11" s="44" t="n"/>
      <c r="D11" s="44" t="n"/>
      <c r="E11" s="44" t="n"/>
      <c r="F11" s="44" t="n"/>
      <c r="G11" s="44" t="n"/>
      <c r="H11" s="44" t="n"/>
      <c r="I11" s="44" t="n"/>
      <c r="J11" s="44" t="n"/>
      <c r="K11" s="44" t="n"/>
      <c r="L11" s="44" t="n"/>
      <c r="M11" s="44" t="n"/>
      <c r="N11" s="44" t="n"/>
      <c r="O11" s="44" t="n"/>
      <c r="P11" s="44" t="n"/>
      <c r="Q11" s="44" t="n"/>
      <c r="R11" s="44" t="n"/>
      <c r="S11" s="45" t="n"/>
      <c r="T11" s="46" t="inlineStr">
        <is>
          <t>IF(AQ11="","",AQ11)</t>
        </is>
      </c>
      <c r="U11" s="47" t="n"/>
      <c r="V11" s="48" t="n"/>
      <c r="W11" s="47" t="n"/>
      <c r="X11" s="46" t="inlineStr">
        <is>
          <t>IF(W11&lt;&gt;"",W11,IF(OR(T11="",V11=""),"",EDATE(T11,V11)))</t>
        </is>
      </c>
      <c r="Y11" s="47" t="n"/>
      <c r="Z11" s="48" t="n"/>
      <c r="AA11" s="44" t="n"/>
      <c r="AB11" s="44" t="n"/>
      <c r="AC11" s="42" t="inlineStr">
        <is>
          <t>IF(F11="","",IF(COUNT(AI11:AV11)=0,IF(AA11="","Not started",AA11),SUBSTITUTE(LOOKUP(2,1/(AI11:AV11&lt;&gt;""),$AI$3:$AV$3),"Date: ","")))</t>
        </is>
      </c>
      <c r="AD11" s="49" t="inlineStr">
        <is>
          <t>IF(OR(F11="",COUNT(AI11:AV11)=0),"",TODAY()-LOOKUP(2,1/(AI11:AV11&lt;&gt;""),AI11:AV11))</t>
        </is>
      </c>
      <c r="AE11" s="49" t="inlineStr">
        <is>
          <t>IF(OR(F11="",COUNT(AI11:AV11)&lt;2),"",LOOKUP(2,1/(AI11:AV11&lt;&gt;""),AI11:AV11)-MIN(AI11:AV11))</t>
        </is>
      </c>
      <c r="AF11" s="49" t="inlineStr">
        <is>
          <t>IF(OR(AD11="",AC11="Not started",AC11=""),"",IFERROR(AD11-IF(VLOOKUP(AC11,'06_Status_Pipeline'!$B$3:$E$20,4,FALSE)="",0,VLOOKUP(AC11,'06_Status_Pipeline'!$B$3:$E$20,4,FALSE)),""))</t>
        </is>
      </c>
      <c r="AG11" s="42" t="inlineStr">
        <is>
          <t>IF(F11="","",IF(OR(AA11="Cancelled",AC11="Cancelled"),"Cancelled",IF(OR(AC11="Completed / Handover",Y11&lt;&gt;"",Z11&gt;=100),"Completed — on track",IF(O11="Not awarded",IF(U11="",IF(X11="","No planned date",IF(TODAY()&gt;X11,"Behind — past planned date",IF(X11-TODAY()&lt;=30,"At risk — close to off track","On track"))),IF(TODAY()&gt;U11,"Behind — award date passed",IF(U11-TODAY()&lt;=30,"At risk — close to off track","On track"))),IF(X11="","No planned date",IF(AND(TODAY()&gt;X11,OR(Z11="",Z11&lt;100)),"Behind — past end date",IF(AND(T11&lt;&gt;"",X11&lt;&gt;"",Z11&lt;&gt;"",(Z11&lt;100),((TODAY()-T11)/MAX(X11-T11,1)*100)-Z11&gt;15),"Behind — progress lag",IF(AND(X11-TODAY()&lt;=30,X11-TODAY()&gt;=0,OR(Z11="",Z11&lt;90)),"At risk — close to off track","On track"))))))))</t>
        </is>
      </c>
      <c r="AH11" s="49" t="inlineStr">
        <is>
          <t>IF(OR(F11="",AC11="Completed / Handover",AC11="Cancelled"),"",IF(O11="Not awarded",IF(U11&lt;&gt;"",U11-TODAY(),IF(X11="","",X11-TODAY())),IF(X11="","",X11-TODAY())))</t>
        </is>
      </c>
      <c r="AI11" s="47" t="n"/>
      <c r="AJ11" s="47" t="n"/>
      <c r="AK11" s="47" t="n"/>
      <c r="AL11" s="47" t="n"/>
      <c r="AM11" s="47" t="n"/>
      <c r="AN11" s="47" t="n"/>
      <c r="AO11" s="47" t="n"/>
      <c r="AP11" s="47" t="n"/>
      <c r="AQ11" s="47" t="n"/>
      <c r="AR11" s="47" t="n"/>
      <c r="AS11" s="47" t="n"/>
      <c r="AT11" s="50" t="n"/>
      <c r="AU11" s="50" t="n"/>
      <c r="AV11" s="50" t="n"/>
      <c r="AW11" s="49" t="inlineStr">
        <is>
          <t>IF(OR(F11="",AJ11=""),"",IF(COUNT(AI11:AI11)=0,"",AJ11-LOOKUP(2,1/(AI11:AI11&lt;&gt;""),AI11:AI11)))</t>
        </is>
      </c>
      <c r="AX11" s="49" t="inlineStr">
        <is>
          <t>IF(OR(F11="",AK11=""),"",IF(COUNT(AI11:AJ11)=0,"",AK11-LOOKUP(2,1/(AI11:AJ11&lt;&gt;""),AI11:AJ11)))</t>
        </is>
      </c>
      <c r="AY11" s="49" t="inlineStr">
        <is>
          <t>IF(OR(F11="",AL11=""),"",IF(COUNT(AI11:AK11)=0,"",AL11-LOOKUP(2,1/(AI11:AK11&lt;&gt;""),AI11:AK11)))</t>
        </is>
      </c>
      <c r="AZ11" s="49" t="inlineStr">
        <is>
          <t>IF(OR(F11="",AM11=""),"",IF(COUNT(AI11:AL11)=0,"",AM11-LOOKUP(2,1/(AI11:AL11&lt;&gt;""),AI11:AL11)))</t>
        </is>
      </c>
      <c r="BA11" s="49" t="inlineStr">
        <is>
          <t>IF(OR(F11="",AN11=""),"",IF(COUNT(AI11:AM11)=0,"",AN11-LOOKUP(2,1/(AI11:AM11&lt;&gt;""),AI11:AM11)))</t>
        </is>
      </c>
      <c r="BB11" s="49" t="inlineStr">
        <is>
          <t>IF(OR(F11="",AO11=""),"",IF(COUNT(AI11:AN11)=0,"",AO11-LOOKUP(2,1/(AI11:AN11&lt;&gt;""),AI11:AN11)))</t>
        </is>
      </c>
      <c r="BC11" s="49" t="inlineStr">
        <is>
          <t>IF(OR(F11="",AP11=""),"",IF(COUNT(AI11:AO11)=0,"",AP11-LOOKUP(2,1/(AI11:AO11&lt;&gt;""),AI11:AO11)))</t>
        </is>
      </c>
      <c r="BD11" s="49" t="inlineStr">
        <is>
          <t>IF(OR(F11="",AQ11=""),"",IF(COUNT(AI11:AP11)=0,"",AQ11-LOOKUP(2,1/(AI11:AP11&lt;&gt;""),AI11:AP11)))</t>
        </is>
      </c>
      <c r="BE11" s="49" t="inlineStr">
        <is>
          <t>IF(OR(F11="",AR11=""),"",IF(COUNT(AI11:AQ11)=0,"",AR11-LOOKUP(2,1/(AI11:AQ11&lt;&gt;""),AI11:AQ11)))</t>
        </is>
      </c>
      <c r="BF11" s="49" t="inlineStr">
        <is>
          <t>IF(OR(F11="",AS11=""),"",IF(COUNT(AI11:AR11)=0,"",AS11-LOOKUP(2,1/(AI11:AR11&lt;&gt;""),AI11:AR11)))</t>
        </is>
      </c>
      <c r="BG11" s="49" t="inlineStr">
        <is>
          <t>IF(OR(F11="",AT11=""),"",IF(COUNT(AI11:AS11)=0,"",AT11-LOOKUP(2,1/(AI11:AS11&lt;&gt;""),AI11:AS11)))</t>
        </is>
      </c>
      <c r="BH11" s="49" t="inlineStr">
        <is>
          <t>IF(OR(F11="",AU11=""),"",IF(COUNT(AI11:AT11)=0,"",AU11-LOOKUP(2,1/(AI11:AT11&lt;&gt;""),AI11:AT11)))</t>
        </is>
      </c>
      <c r="BI11" s="49" t="inlineStr">
        <is>
          <t>IF(OR(F11="",AV11=""),"",IF(COUNT(AI11:AU11)=0,"",AV11-LOOKUP(2,1/(AI11:AU11&lt;&gt;""),AI11:AU11)))</t>
        </is>
      </c>
      <c r="BJ11" s="51" t="inlineStr">
        <is>
          <t>IF(J11="","All_Provinces",IFERROR(VLOOKUP(J11,'09_Lookups'!$A$4:$B$20,2,FALSE),"All_Provinces"))</t>
        </is>
      </c>
      <c r="BK11" s="51" t="inlineStr">
        <is>
          <t>IF(K11="","All_Districts",IFERROR(VLOOKUP(K11,'09_Lookups'!$E$4:$F$42,2,FALSE),"All_Districts"))</t>
        </is>
      </c>
    </row>
    <row r="12" ht="18" customHeight="1">
      <c r="A12" s="42" t="inlineStr">
        <is>
          <t>IF(F12="","",ROW()-3)</t>
        </is>
      </c>
      <c r="B12" s="52" t="n"/>
      <c r="C12" s="52" t="n"/>
      <c r="D12" s="52" t="n"/>
      <c r="E12" s="52" t="n"/>
      <c r="F12" s="52" t="n"/>
      <c r="G12" s="52" t="n"/>
      <c r="H12" s="52" t="n"/>
      <c r="I12" s="52" t="n"/>
      <c r="J12" s="52" t="n"/>
      <c r="K12" s="52" t="n"/>
      <c r="L12" s="52" t="n"/>
      <c r="M12" s="52" t="n"/>
      <c r="N12" s="52" t="n"/>
      <c r="O12" s="52" t="n"/>
      <c r="P12" s="52" t="n"/>
      <c r="Q12" s="52" t="n"/>
      <c r="R12" s="52" t="n"/>
      <c r="S12" s="53" t="n"/>
      <c r="T12" s="46" t="inlineStr">
        <is>
          <t>IF(AQ12="","",AQ12)</t>
        </is>
      </c>
      <c r="U12" s="54" t="n"/>
      <c r="V12" s="55" t="n"/>
      <c r="W12" s="54" t="n"/>
      <c r="X12" s="46" t="inlineStr">
        <is>
          <t>IF(W12&lt;&gt;"",W12,IF(OR(T12="",V12=""),"",EDATE(T12,V12)))</t>
        </is>
      </c>
      <c r="Y12" s="54" t="n"/>
      <c r="Z12" s="55" t="n"/>
      <c r="AA12" s="52" t="n"/>
      <c r="AB12" s="52" t="n"/>
      <c r="AC12" s="42" t="inlineStr">
        <is>
          <t>IF(F12="","",IF(COUNT(AI12:AV12)=0,IF(AA12="","Not started",AA12),SUBSTITUTE(LOOKUP(2,1/(AI12:AV12&lt;&gt;""),$AI$3:$AV$3),"Date: ","")))</t>
        </is>
      </c>
      <c r="AD12" s="49" t="inlineStr">
        <is>
          <t>IF(OR(F12="",COUNT(AI12:AV12)=0),"",TODAY()-LOOKUP(2,1/(AI12:AV12&lt;&gt;""),AI12:AV12))</t>
        </is>
      </c>
      <c r="AE12" s="49" t="inlineStr">
        <is>
          <t>IF(OR(F12="",COUNT(AI12:AV12)&lt;2),"",LOOKUP(2,1/(AI12:AV12&lt;&gt;""),AI12:AV12)-MIN(AI12:AV12))</t>
        </is>
      </c>
      <c r="AF12" s="49" t="inlineStr">
        <is>
          <t>IF(OR(AD12="",AC12="Not started",AC12=""),"",IFERROR(AD12-IF(VLOOKUP(AC12,'06_Status_Pipeline'!$B$3:$E$20,4,FALSE)="",0,VLOOKUP(AC12,'06_Status_Pipeline'!$B$3:$E$20,4,FALSE)),""))</t>
        </is>
      </c>
      <c r="AG12" s="42" t="inlineStr">
        <is>
          <t>IF(F12="","",IF(OR(AA12="Cancelled",AC12="Cancelled"),"Cancelled",IF(OR(AC12="Completed / Handover",Y12&lt;&gt;"",Z12&gt;=100),"Completed — on track",IF(O12="Not awarded",IF(U12="",IF(X12="","No planned date",IF(TODAY()&gt;X12,"Behind — past planned date",IF(X12-TODAY()&lt;=30,"At risk — close to off track","On track"))),IF(TODAY()&gt;U12,"Behind — award date passed",IF(U12-TODAY()&lt;=30,"At risk — close to off track","On track"))),IF(X12="","No planned date",IF(AND(TODAY()&gt;X12,OR(Z12="",Z12&lt;100)),"Behind — past end date",IF(AND(T12&lt;&gt;"",X12&lt;&gt;"",Z12&lt;&gt;"",(Z12&lt;100),((TODAY()-T12)/MAX(X12-T12,1)*100)-Z12&gt;15),"Behind — progress lag",IF(AND(X12-TODAY()&lt;=30,X12-TODAY()&gt;=0,OR(Z12="",Z12&lt;90)),"At risk — close to off track","On track"))))))))</t>
        </is>
      </c>
      <c r="AH12" s="49" t="inlineStr">
        <is>
          <t>IF(OR(F12="",AC12="Completed / Handover",AC12="Cancelled"),"",IF(O12="Not awarded",IF(U12&lt;&gt;"",U12-TODAY(),IF(X12="","",X12-TODAY())),IF(X12="","",X12-TODAY())))</t>
        </is>
      </c>
      <c r="AI12" s="54" t="n"/>
      <c r="AJ12" s="54" t="n"/>
      <c r="AK12" s="54" t="n"/>
      <c r="AL12" s="54" t="n"/>
      <c r="AM12" s="54" t="n"/>
      <c r="AN12" s="54" t="n"/>
      <c r="AO12" s="54" t="n"/>
      <c r="AP12" s="54" t="n"/>
      <c r="AQ12" s="54" t="n"/>
      <c r="AR12" s="54" t="n"/>
      <c r="AS12" s="54" t="n"/>
      <c r="AT12" s="50" t="n"/>
      <c r="AU12" s="50" t="n"/>
      <c r="AV12" s="50" t="n"/>
      <c r="AW12" s="49" t="inlineStr">
        <is>
          <t>IF(OR(F12="",AJ12=""),"",IF(COUNT(AI12:AI12)=0,"",AJ12-LOOKUP(2,1/(AI12:AI12&lt;&gt;""),AI12:AI12)))</t>
        </is>
      </c>
      <c r="AX12" s="49" t="inlineStr">
        <is>
          <t>IF(OR(F12="",AK12=""),"",IF(COUNT(AI12:AJ12)=0,"",AK12-LOOKUP(2,1/(AI12:AJ12&lt;&gt;""),AI12:AJ12)))</t>
        </is>
      </c>
      <c r="AY12" s="49" t="inlineStr">
        <is>
          <t>IF(OR(F12="",AL12=""),"",IF(COUNT(AI12:AK12)=0,"",AL12-LOOKUP(2,1/(AI12:AK12&lt;&gt;""),AI12:AK12)))</t>
        </is>
      </c>
      <c r="AZ12" s="49" t="inlineStr">
        <is>
          <t>IF(OR(F12="",AM12=""),"",IF(COUNT(AI12:AL12)=0,"",AM12-LOOKUP(2,1/(AI12:AL12&lt;&gt;""),AI12:AL12)))</t>
        </is>
      </c>
      <c r="BA12" s="49" t="inlineStr">
        <is>
          <t>IF(OR(F12="",AN12=""),"",IF(COUNT(AI12:AM12)=0,"",AN12-LOOKUP(2,1/(AI12:AM12&lt;&gt;""),AI12:AM12)))</t>
        </is>
      </c>
      <c r="BB12" s="49" t="inlineStr">
        <is>
          <t>IF(OR(F12="",AO12=""),"",IF(COUNT(AI12:AN12)=0,"",AO12-LOOKUP(2,1/(AI12:AN12&lt;&gt;""),AI12:AN12)))</t>
        </is>
      </c>
      <c r="BC12" s="49" t="inlineStr">
        <is>
          <t>IF(OR(F12="",AP12=""),"",IF(COUNT(AI12:AO12)=0,"",AP12-LOOKUP(2,1/(AI12:AO12&lt;&gt;""),AI12:AO12)))</t>
        </is>
      </c>
      <c r="BD12" s="49" t="inlineStr">
        <is>
          <t>IF(OR(F12="",AQ12=""),"",IF(COUNT(AI12:AP12)=0,"",AQ12-LOOKUP(2,1/(AI12:AP12&lt;&gt;""),AI12:AP12)))</t>
        </is>
      </c>
      <c r="BE12" s="49" t="inlineStr">
        <is>
          <t>IF(OR(F12="",AR12=""),"",IF(COUNT(AI12:AQ12)=0,"",AR12-LOOKUP(2,1/(AI12:AQ12&lt;&gt;""),AI12:AQ12)))</t>
        </is>
      </c>
      <c r="BF12" s="49" t="inlineStr">
        <is>
          <t>IF(OR(F12="",AS12=""),"",IF(COUNT(AI12:AR12)=0,"",AS12-LOOKUP(2,1/(AI12:AR12&lt;&gt;""),AI12:AR12)))</t>
        </is>
      </c>
      <c r="BG12" s="49" t="inlineStr">
        <is>
          <t>IF(OR(F12="",AT12=""),"",IF(COUNT(AI12:AS12)=0,"",AT12-LOOKUP(2,1/(AI12:AS12&lt;&gt;""),AI12:AS12)))</t>
        </is>
      </c>
      <c r="BH12" s="49" t="inlineStr">
        <is>
          <t>IF(OR(F12="",AU12=""),"",IF(COUNT(AI12:AT12)=0,"",AU12-LOOKUP(2,1/(AI12:AT12&lt;&gt;""),AI12:AT12)))</t>
        </is>
      </c>
      <c r="BI12" s="49" t="inlineStr">
        <is>
          <t>IF(OR(F12="",AV12=""),"",IF(COUNT(AI12:AU12)=0,"",AV12-LOOKUP(2,1/(AI12:AU12&lt;&gt;""),AI12:AU12)))</t>
        </is>
      </c>
      <c r="BJ12" s="51" t="inlineStr">
        <is>
          <t>IF(J12="","All_Provinces",IFERROR(VLOOKUP(J12,'09_Lookups'!$A$4:$B$20,2,FALSE),"All_Provinces"))</t>
        </is>
      </c>
      <c r="BK12" s="51" t="inlineStr">
        <is>
          <t>IF(K12="","All_Districts",IFERROR(VLOOKUP(K12,'09_Lookups'!$E$4:$F$42,2,FALSE),"All_Districts"))</t>
        </is>
      </c>
    </row>
    <row r="13" ht="18" customHeight="1">
      <c r="A13" s="42" t="inlineStr">
        <is>
          <t>IF(F13="","",ROW()-3)</t>
        </is>
      </c>
      <c r="B13" s="44" t="n"/>
      <c r="C13" s="44" t="n"/>
      <c r="D13" s="44" t="n"/>
      <c r="E13" s="44" t="n"/>
      <c r="F13" s="44" t="n"/>
      <c r="G13" s="44" t="n"/>
      <c r="H13" s="44" t="n"/>
      <c r="I13" s="44" t="n"/>
      <c r="J13" s="44" t="n"/>
      <c r="K13" s="44" t="n"/>
      <c r="L13" s="44" t="n"/>
      <c r="M13" s="44" t="n"/>
      <c r="N13" s="44" t="n"/>
      <c r="O13" s="44" t="n"/>
      <c r="P13" s="44" t="n"/>
      <c r="Q13" s="44" t="n"/>
      <c r="R13" s="44" t="n"/>
      <c r="S13" s="45" t="n"/>
      <c r="T13" s="46" t="inlineStr">
        <is>
          <t>IF(AQ13="","",AQ13)</t>
        </is>
      </c>
      <c r="U13" s="47" t="n"/>
      <c r="V13" s="48" t="n"/>
      <c r="W13" s="47" t="n"/>
      <c r="X13" s="46" t="inlineStr">
        <is>
          <t>IF(W13&lt;&gt;"",W13,IF(OR(T13="",V13=""),"",EDATE(T13,V13)))</t>
        </is>
      </c>
      <c r="Y13" s="47" t="n"/>
      <c r="Z13" s="48" t="n"/>
      <c r="AA13" s="44" t="n"/>
      <c r="AB13" s="44" t="n"/>
      <c r="AC13" s="42" t="inlineStr">
        <is>
          <t>IF(F13="","",IF(COUNT(AI13:AV13)=0,IF(AA13="","Not started",AA13),SUBSTITUTE(LOOKUP(2,1/(AI13:AV13&lt;&gt;""),$AI$3:$AV$3),"Date: ","")))</t>
        </is>
      </c>
      <c r="AD13" s="49" t="inlineStr">
        <is>
          <t>IF(OR(F13="",COUNT(AI13:AV13)=0),"",TODAY()-LOOKUP(2,1/(AI13:AV13&lt;&gt;""),AI13:AV13))</t>
        </is>
      </c>
      <c r="AE13" s="49" t="inlineStr">
        <is>
          <t>IF(OR(F13="",COUNT(AI13:AV13)&lt;2),"",LOOKUP(2,1/(AI13:AV13&lt;&gt;""),AI13:AV13)-MIN(AI13:AV13))</t>
        </is>
      </c>
      <c r="AF13" s="49" t="inlineStr">
        <is>
          <t>IF(OR(AD13="",AC13="Not started",AC13=""),"",IFERROR(AD13-IF(VLOOKUP(AC13,'06_Status_Pipeline'!$B$3:$E$20,4,FALSE)="",0,VLOOKUP(AC13,'06_Status_Pipeline'!$B$3:$E$20,4,FALSE)),""))</t>
        </is>
      </c>
      <c r="AG13" s="42" t="inlineStr">
        <is>
          <t>IF(F13="","",IF(OR(AA13="Cancelled",AC13="Cancelled"),"Cancelled",IF(OR(AC13="Completed / Handover",Y13&lt;&gt;"",Z13&gt;=100),"Completed — on track",IF(O13="Not awarded",IF(U13="",IF(X13="","No planned date",IF(TODAY()&gt;X13,"Behind — past planned date",IF(X13-TODAY()&lt;=30,"At risk — close to off track","On track"))),IF(TODAY()&gt;U13,"Behind — award date passed",IF(U13-TODAY()&lt;=30,"At risk — close to off track","On track"))),IF(X13="","No planned date",IF(AND(TODAY()&gt;X13,OR(Z13="",Z13&lt;100)),"Behind — past end date",IF(AND(T13&lt;&gt;"",X13&lt;&gt;"",Z13&lt;&gt;"",(Z13&lt;100),((TODAY()-T13)/MAX(X13-T13,1)*100)-Z13&gt;15),"Behind — progress lag",IF(AND(X13-TODAY()&lt;=30,X13-TODAY()&gt;=0,OR(Z13="",Z13&lt;90)),"At risk — close to off track","On track"))))))))</t>
        </is>
      </c>
      <c r="AH13" s="49" t="inlineStr">
        <is>
          <t>IF(OR(F13="",AC13="Completed / Handover",AC13="Cancelled"),"",IF(O13="Not awarded",IF(U13&lt;&gt;"",U13-TODAY(),IF(X13="","",X13-TODAY())),IF(X13="","",X13-TODAY())))</t>
        </is>
      </c>
      <c r="AI13" s="47" t="n"/>
      <c r="AJ13" s="47" t="n"/>
      <c r="AK13" s="47" t="n"/>
      <c r="AL13" s="47" t="n"/>
      <c r="AM13" s="47" t="n"/>
      <c r="AN13" s="47" t="n"/>
      <c r="AO13" s="47" t="n"/>
      <c r="AP13" s="47" t="n"/>
      <c r="AQ13" s="47" t="n"/>
      <c r="AR13" s="47" t="n"/>
      <c r="AS13" s="47" t="n"/>
      <c r="AT13" s="50" t="n"/>
      <c r="AU13" s="50" t="n"/>
      <c r="AV13" s="50" t="n"/>
      <c r="AW13" s="49" t="inlineStr">
        <is>
          <t>IF(OR(F13="",AJ13=""),"",IF(COUNT(AI13:AI13)=0,"",AJ13-LOOKUP(2,1/(AI13:AI13&lt;&gt;""),AI13:AI13)))</t>
        </is>
      </c>
      <c r="AX13" s="49" t="inlineStr">
        <is>
          <t>IF(OR(F13="",AK13=""),"",IF(COUNT(AI13:AJ13)=0,"",AK13-LOOKUP(2,1/(AI13:AJ13&lt;&gt;""),AI13:AJ13)))</t>
        </is>
      </c>
      <c r="AY13" s="49" t="inlineStr">
        <is>
          <t>IF(OR(F13="",AL13=""),"",IF(COUNT(AI13:AK13)=0,"",AL13-LOOKUP(2,1/(AI13:AK13&lt;&gt;""),AI13:AK13)))</t>
        </is>
      </c>
      <c r="AZ13" s="49" t="inlineStr">
        <is>
          <t>IF(OR(F13="",AM13=""),"",IF(COUNT(AI13:AL13)=0,"",AM13-LOOKUP(2,1/(AI13:AL13&lt;&gt;""),AI13:AL13)))</t>
        </is>
      </c>
      <c r="BA13" s="49" t="inlineStr">
        <is>
          <t>IF(OR(F13="",AN13=""),"",IF(COUNT(AI13:AM13)=0,"",AN13-LOOKUP(2,1/(AI13:AM13&lt;&gt;""),AI13:AM13)))</t>
        </is>
      </c>
      <c r="BB13" s="49" t="inlineStr">
        <is>
          <t>IF(OR(F13="",AO13=""),"",IF(COUNT(AI13:AN13)=0,"",AO13-LOOKUP(2,1/(AI13:AN13&lt;&gt;""),AI13:AN13)))</t>
        </is>
      </c>
      <c r="BC13" s="49" t="inlineStr">
        <is>
          <t>IF(OR(F13="",AP13=""),"",IF(COUNT(AI13:AO13)=0,"",AP13-LOOKUP(2,1/(AI13:AO13&lt;&gt;""),AI13:AO13)))</t>
        </is>
      </c>
      <c r="BD13" s="49" t="inlineStr">
        <is>
          <t>IF(OR(F13="",AQ13=""),"",IF(COUNT(AI13:AP13)=0,"",AQ13-LOOKUP(2,1/(AI13:AP13&lt;&gt;""),AI13:AP13)))</t>
        </is>
      </c>
      <c r="BE13" s="49" t="inlineStr">
        <is>
          <t>IF(OR(F13="",AR13=""),"",IF(COUNT(AI13:AQ13)=0,"",AR13-LOOKUP(2,1/(AI13:AQ13&lt;&gt;""),AI13:AQ13)))</t>
        </is>
      </c>
      <c r="BF13" s="49" t="inlineStr">
        <is>
          <t>IF(OR(F13="",AS13=""),"",IF(COUNT(AI13:AR13)=0,"",AS13-LOOKUP(2,1/(AI13:AR13&lt;&gt;""),AI13:AR13)))</t>
        </is>
      </c>
      <c r="BG13" s="49" t="inlineStr">
        <is>
          <t>IF(OR(F13="",AT13=""),"",IF(COUNT(AI13:AS13)=0,"",AT13-LOOKUP(2,1/(AI13:AS13&lt;&gt;""),AI13:AS13)))</t>
        </is>
      </c>
      <c r="BH13" s="49" t="inlineStr">
        <is>
          <t>IF(OR(F13="",AU13=""),"",IF(COUNT(AI13:AT13)=0,"",AU13-LOOKUP(2,1/(AI13:AT13&lt;&gt;""),AI13:AT13)))</t>
        </is>
      </c>
      <c r="BI13" s="49" t="inlineStr">
        <is>
          <t>IF(OR(F13="",AV13=""),"",IF(COUNT(AI13:AU13)=0,"",AV13-LOOKUP(2,1/(AI13:AU13&lt;&gt;""),AI13:AU13)))</t>
        </is>
      </c>
      <c r="BJ13" s="51" t="inlineStr">
        <is>
          <t>IF(J13="","All_Provinces",IFERROR(VLOOKUP(J13,'09_Lookups'!$A$4:$B$20,2,FALSE),"All_Provinces"))</t>
        </is>
      </c>
      <c r="BK13" s="51" t="inlineStr">
        <is>
          <t>IF(K13="","All_Districts",IFERROR(VLOOKUP(K13,'09_Lookups'!$E$4:$F$42,2,FALSE),"All_Districts"))</t>
        </is>
      </c>
    </row>
    <row r="14" ht="18" customHeight="1">
      <c r="A14" s="42" t="inlineStr">
        <is>
          <t>IF(F14="","",ROW()-3)</t>
        </is>
      </c>
      <c r="B14" s="52" t="n"/>
      <c r="C14" s="52" t="n"/>
      <c r="D14" s="52" t="n"/>
      <c r="E14" s="52" t="n"/>
      <c r="F14" s="52" t="n"/>
      <c r="G14" s="52" t="n"/>
      <c r="H14" s="52" t="n"/>
      <c r="I14" s="52" t="n"/>
      <c r="J14" s="52" t="n"/>
      <c r="K14" s="52" t="n"/>
      <c r="L14" s="52" t="n"/>
      <c r="M14" s="52" t="n"/>
      <c r="N14" s="52" t="n"/>
      <c r="O14" s="52" t="n"/>
      <c r="P14" s="52" t="n"/>
      <c r="Q14" s="52" t="n"/>
      <c r="R14" s="52" t="n"/>
      <c r="S14" s="53" t="n"/>
      <c r="T14" s="46" t="inlineStr">
        <is>
          <t>IF(AQ14="","",AQ14)</t>
        </is>
      </c>
      <c r="U14" s="54" t="n"/>
      <c r="V14" s="55" t="n"/>
      <c r="W14" s="54" t="n"/>
      <c r="X14" s="46" t="inlineStr">
        <is>
          <t>IF(W14&lt;&gt;"",W14,IF(OR(T14="",V14=""),"",EDATE(T14,V14)))</t>
        </is>
      </c>
      <c r="Y14" s="54" t="n"/>
      <c r="Z14" s="55" t="n"/>
      <c r="AA14" s="52" t="n"/>
      <c r="AB14" s="52" t="n"/>
      <c r="AC14" s="42" t="inlineStr">
        <is>
          <t>IF(F14="","",IF(COUNT(AI14:AV14)=0,IF(AA14="","Not started",AA14),SUBSTITUTE(LOOKUP(2,1/(AI14:AV14&lt;&gt;""),$AI$3:$AV$3),"Date: ","")))</t>
        </is>
      </c>
      <c r="AD14" s="49" t="inlineStr">
        <is>
          <t>IF(OR(F14="",COUNT(AI14:AV14)=0),"",TODAY()-LOOKUP(2,1/(AI14:AV14&lt;&gt;""),AI14:AV14))</t>
        </is>
      </c>
      <c r="AE14" s="49" t="inlineStr">
        <is>
          <t>IF(OR(F14="",COUNT(AI14:AV14)&lt;2),"",LOOKUP(2,1/(AI14:AV14&lt;&gt;""),AI14:AV14)-MIN(AI14:AV14))</t>
        </is>
      </c>
      <c r="AF14" s="49" t="inlineStr">
        <is>
          <t>IF(OR(AD14="",AC14="Not started",AC14=""),"",IFERROR(AD14-IF(VLOOKUP(AC14,'06_Status_Pipeline'!$B$3:$E$20,4,FALSE)="",0,VLOOKUP(AC14,'06_Status_Pipeline'!$B$3:$E$20,4,FALSE)),""))</t>
        </is>
      </c>
      <c r="AG14" s="42" t="inlineStr">
        <is>
          <t>IF(F14="","",IF(OR(AA14="Cancelled",AC14="Cancelled"),"Cancelled",IF(OR(AC14="Completed / Handover",Y14&lt;&gt;"",Z14&gt;=100),"Completed — on track",IF(O14="Not awarded",IF(U14="",IF(X14="","No planned date",IF(TODAY()&gt;X14,"Behind — past planned date",IF(X14-TODAY()&lt;=30,"At risk — close to off track","On track"))),IF(TODAY()&gt;U14,"Behind — award date passed",IF(U14-TODAY()&lt;=30,"At risk — close to off track","On track"))),IF(X14="","No planned date",IF(AND(TODAY()&gt;X14,OR(Z14="",Z14&lt;100)),"Behind — past end date",IF(AND(T14&lt;&gt;"",X14&lt;&gt;"",Z14&lt;&gt;"",(Z14&lt;100),((TODAY()-T14)/MAX(X14-T14,1)*100)-Z14&gt;15),"Behind — progress lag",IF(AND(X14-TODAY()&lt;=30,X14-TODAY()&gt;=0,OR(Z14="",Z14&lt;90)),"At risk — close to off track","On track"))))))))</t>
        </is>
      </c>
      <c r="AH14" s="49" t="inlineStr">
        <is>
          <t>IF(OR(F14="",AC14="Completed / Handover",AC14="Cancelled"),"",IF(O14="Not awarded",IF(U14&lt;&gt;"",U14-TODAY(),IF(X14="","",X14-TODAY())),IF(X14="","",X14-TODAY())))</t>
        </is>
      </c>
      <c r="AI14" s="54" t="n"/>
      <c r="AJ14" s="54" t="n"/>
      <c r="AK14" s="54" t="n"/>
      <c r="AL14" s="54" t="n"/>
      <c r="AM14" s="54" t="n"/>
      <c r="AN14" s="54" t="n"/>
      <c r="AO14" s="54" t="n"/>
      <c r="AP14" s="54" t="n"/>
      <c r="AQ14" s="54" t="n"/>
      <c r="AR14" s="54" t="n"/>
      <c r="AS14" s="54" t="n"/>
      <c r="AT14" s="50" t="n"/>
      <c r="AU14" s="50" t="n"/>
      <c r="AV14" s="50" t="n"/>
      <c r="AW14" s="49" t="inlineStr">
        <is>
          <t>IF(OR(F14="",AJ14=""),"",IF(COUNT(AI14:AI14)=0,"",AJ14-LOOKUP(2,1/(AI14:AI14&lt;&gt;""),AI14:AI14)))</t>
        </is>
      </c>
      <c r="AX14" s="49" t="inlineStr">
        <is>
          <t>IF(OR(F14="",AK14=""),"",IF(COUNT(AI14:AJ14)=0,"",AK14-LOOKUP(2,1/(AI14:AJ14&lt;&gt;""),AI14:AJ14)))</t>
        </is>
      </c>
      <c r="AY14" s="49" t="inlineStr">
        <is>
          <t>IF(OR(F14="",AL14=""),"",IF(COUNT(AI14:AK14)=0,"",AL14-LOOKUP(2,1/(AI14:AK14&lt;&gt;""),AI14:AK14)))</t>
        </is>
      </c>
      <c r="AZ14" s="49" t="inlineStr">
        <is>
          <t>IF(OR(F14="",AM14=""),"",IF(COUNT(AI14:AL14)=0,"",AM14-LOOKUP(2,1/(AI14:AL14&lt;&gt;""),AI14:AL14)))</t>
        </is>
      </c>
      <c r="BA14" s="49" t="inlineStr">
        <is>
          <t>IF(OR(F14="",AN14=""),"",IF(COUNT(AI14:AM14)=0,"",AN14-LOOKUP(2,1/(AI14:AM14&lt;&gt;""),AI14:AM14)))</t>
        </is>
      </c>
      <c r="BB14" s="49" t="inlineStr">
        <is>
          <t>IF(OR(F14="",AO14=""),"",IF(COUNT(AI14:AN14)=0,"",AO14-LOOKUP(2,1/(AI14:AN14&lt;&gt;""),AI14:AN14)))</t>
        </is>
      </c>
      <c r="BC14" s="49" t="inlineStr">
        <is>
          <t>IF(OR(F14="",AP14=""),"",IF(COUNT(AI14:AO14)=0,"",AP14-LOOKUP(2,1/(AI14:AO14&lt;&gt;""),AI14:AO14)))</t>
        </is>
      </c>
      <c r="BD14" s="49" t="inlineStr">
        <is>
          <t>IF(OR(F14="",AQ14=""),"",IF(COUNT(AI14:AP14)=0,"",AQ14-LOOKUP(2,1/(AI14:AP14&lt;&gt;""),AI14:AP14)))</t>
        </is>
      </c>
      <c r="BE14" s="49" t="inlineStr">
        <is>
          <t>IF(OR(F14="",AR14=""),"",IF(COUNT(AI14:AQ14)=0,"",AR14-LOOKUP(2,1/(AI14:AQ14&lt;&gt;""),AI14:AQ14)))</t>
        </is>
      </c>
      <c r="BF14" s="49" t="inlineStr">
        <is>
          <t>IF(OR(F14="",AS14=""),"",IF(COUNT(AI14:AR14)=0,"",AS14-LOOKUP(2,1/(AI14:AR14&lt;&gt;""),AI14:AR14)))</t>
        </is>
      </c>
      <c r="BG14" s="49" t="inlineStr">
        <is>
          <t>IF(OR(F14="",AT14=""),"",IF(COUNT(AI14:AS14)=0,"",AT14-LOOKUP(2,1/(AI14:AS14&lt;&gt;""),AI14:AS14)))</t>
        </is>
      </c>
      <c r="BH14" s="49" t="inlineStr">
        <is>
          <t>IF(OR(F14="",AU14=""),"",IF(COUNT(AI14:AT14)=0,"",AU14-LOOKUP(2,1/(AI14:AT14&lt;&gt;""),AI14:AT14)))</t>
        </is>
      </c>
      <c r="BI14" s="49" t="inlineStr">
        <is>
          <t>IF(OR(F14="",AV14=""),"",IF(COUNT(AI14:AU14)=0,"",AV14-LOOKUP(2,1/(AI14:AU14&lt;&gt;""),AI14:AU14)))</t>
        </is>
      </c>
      <c r="BJ14" s="51" t="inlineStr">
        <is>
          <t>IF(J14="","All_Provinces",IFERROR(VLOOKUP(J14,'09_Lookups'!$A$4:$B$20,2,FALSE),"All_Provinces"))</t>
        </is>
      </c>
      <c r="BK14" s="51" t="inlineStr">
        <is>
          <t>IF(K14="","All_Districts",IFERROR(VLOOKUP(K14,'09_Lookups'!$E$4:$F$42,2,FALSE),"All_Districts"))</t>
        </is>
      </c>
    </row>
    <row r="15" ht="18" customHeight="1">
      <c r="A15" s="42" t="inlineStr">
        <is>
          <t>IF(F15="","",ROW()-3)</t>
        </is>
      </c>
      <c r="B15" s="44" t="n"/>
      <c r="C15" s="44" t="n"/>
      <c r="D15" s="44" t="n"/>
      <c r="E15" s="44" t="n"/>
      <c r="F15" s="44" t="n"/>
      <c r="G15" s="44" t="n"/>
      <c r="H15" s="44" t="n"/>
      <c r="I15" s="44" t="n"/>
      <c r="J15" s="44" t="n"/>
      <c r="K15" s="44" t="n"/>
      <c r="L15" s="44" t="n"/>
      <c r="M15" s="44" t="n"/>
      <c r="N15" s="44" t="n"/>
      <c r="O15" s="44" t="n"/>
      <c r="P15" s="44" t="n"/>
      <c r="Q15" s="44" t="n"/>
      <c r="R15" s="44" t="n"/>
      <c r="S15" s="45" t="n"/>
      <c r="T15" s="46" t="inlineStr">
        <is>
          <t>IF(AQ15="","",AQ15)</t>
        </is>
      </c>
      <c r="U15" s="47" t="n"/>
      <c r="V15" s="48" t="n"/>
      <c r="W15" s="47" t="n"/>
      <c r="X15" s="46" t="inlineStr">
        <is>
          <t>IF(W15&lt;&gt;"",W15,IF(OR(T15="",V15=""),"",EDATE(T15,V15)))</t>
        </is>
      </c>
      <c r="Y15" s="47" t="n"/>
      <c r="Z15" s="48" t="n"/>
      <c r="AA15" s="44" t="n"/>
      <c r="AB15" s="44" t="n"/>
      <c r="AC15" s="42" t="inlineStr">
        <is>
          <t>IF(F15="","",IF(COUNT(AI15:AV15)=0,IF(AA15="","Not started",AA15),SUBSTITUTE(LOOKUP(2,1/(AI15:AV15&lt;&gt;""),$AI$3:$AV$3),"Date: ","")))</t>
        </is>
      </c>
      <c r="AD15" s="49" t="inlineStr">
        <is>
          <t>IF(OR(F15="",COUNT(AI15:AV15)=0),"",TODAY()-LOOKUP(2,1/(AI15:AV15&lt;&gt;""),AI15:AV15))</t>
        </is>
      </c>
      <c r="AE15" s="49" t="inlineStr">
        <is>
          <t>IF(OR(F15="",COUNT(AI15:AV15)&lt;2),"",LOOKUP(2,1/(AI15:AV15&lt;&gt;""),AI15:AV15)-MIN(AI15:AV15))</t>
        </is>
      </c>
      <c r="AF15" s="49" t="inlineStr">
        <is>
          <t>IF(OR(AD15="",AC15="Not started",AC15=""),"",IFERROR(AD15-IF(VLOOKUP(AC15,'06_Status_Pipeline'!$B$3:$E$20,4,FALSE)="",0,VLOOKUP(AC15,'06_Status_Pipeline'!$B$3:$E$20,4,FALSE)),""))</t>
        </is>
      </c>
      <c r="AG15" s="42" t="inlineStr">
        <is>
          <t>IF(F15="","",IF(OR(AA15="Cancelled",AC15="Cancelled"),"Cancelled",IF(OR(AC15="Completed / Handover",Y15&lt;&gt;"",Z15&gt;=100),"Completed — on track",IF(O15="Not awarded",IF(U15="",IF(X15="","No planned date",IF(TODAY()&gt;X15,"Behind — past planned date",IF(X15-TODAY()&lt;=30,"At risk — close to off track","On track"))),IF(TODAY()&gt;U15,"Behind — award date passed",IF(U15-TODAY()&lt;=30,"At risk — close to off track","On track"))),IF(X15="","No planned date",IF(AND(TODAY()&gt;X15,OR(Z15="",Z15&lt;100)),"Behind — past end date",IF(AND(T15&lt;&gt;"",X15&lt;&gt;"",Z15&lt;&gt;"",(Z15&lt;100),((TODAY()-T15)/MAX(X15-T15,1)*100)-Z15&gt;15),"Behind — progress lag",IF(AND(X15-TODAY()&lt;=30,X15-TODAY()&gt;=0,OR(Z15="",Z15&lt;90)),"At risk — close to off track","On track"))))))))</t>
        </is>
      </c>
      <c r="AH15" s="49" t="inlineStr">
        <is>
          <t>IF(OR(F15="",AC15="Completed / Handover",AC15="Cancelled"),"",IF(O15="Not awarded",IF(U15&lt;&gt;"",U15-TODAY(),IF(X15="","",X15-TODAY())),IF(X15="","",X15-TODAY())))</t>
        </is>
      </c>
      <c r="AI15" s="47" t="n"/>
      <c r="AJ15" s="47" t="n"/>
      <c r="AK15" s="47" t="n"/>
      <c r="AL15" s="47" t="n"/>
      <c r="AM15" s="47" t="n"/>
      <c r="AN15" s="47" t="n"/>
      <c r="AO15" s="47" t="n"/>
      <c r="AP15" s="47" t="n"/>
      <c r="AQ15" s="47" t="n"/>
      <c r="AR15" s="47" t="n"/>
      <c r="AS15" s="47" t="n"/>
      <c r="AT15" s="50" t="n"/>
      <c r="AU15" s="50" t="n"/>
      <c r="AV15" s="50" t="n"/>
      <c r="AW15" s="49" t="inlineStr">
        <is>
          <t>IF(OR(F15="",AJ15=""),"",IF(COUNT(AI15:AI15)=0,"",AJ15-LOOKUP(2,1/(AI15:AI15&lt;&gt;""),AI15:AI15)))</t>
        </is>
      </c>
      <c r="AX15" s="49" t="inlineStr">
        <is>
          <t>IF(OR(F15="",AK15=""),"",IF(COUNT(AI15:AJ15)=0,"",AK15-LOOKUP(2,1/(AI15:AJ15&lt;&gt;""),AI15:AJ15)))</t>
        </is>
      </c>
      <c r="AY15" s="49" t="inlineStr">
        <is>
          <t>IF(OR(F15="",AL15=""),"",IF(COUNT(AI15:AK15)=0,"",AL15-LOOKUP(2,1/(AI15:AK15&lt;&gt;""),AI15:AK15)))</t>
        </is>
      </c>
      <c r="AZ15" s="49" t="inlineStr">
        <is>
          <t>IF(OR(F15="",AM15=""),"",IF(COUNT(AI15:AL15)=0,"",AM15-LOOKUP(2,1/(AI15:AL15&lt;&gt;""),AI15:AL15)))</t>
        </is>
      </c>
      <c r="BA15" s="49" t="inlineStr">
        <is>
          <t>IF(OR(F15="",AN15=""),"",IF(COUNT(AI15:AM15)=0,"",AN15-LOOKUP(2,1/(AI15:AM15&lt;&gt;""),AI15:AM15)))</t>
        </is>
      </c>
      <c r="BB15" s="49" t="inlineStr">
        <is>
          <t>IF(OR(F15="",AO15=""),"",IF(COUNT(AI15:AN15)=0,"",AO15-LOOKUP(2,1/(AI15:AN15&lt;&gt;""),AI15:AN15)))</t>
        </is>
      </c>
      <c r="BC15" s="49" t="inlineStr">
        <is>
          <t>IF(OR(F15="",AP15=""),"",IF(COUNT(AI15:AO15)=0,"",AP15-LOOKUP(2,1/(AI15:AO15&lt;&gt;""),AI15:AO15)))</t>
        </is>
      </c>
      <c r="BD15" s="49" t="inlineStr">
        <is>
          <t>IF(OR(F15="",AQ15=""),"",IF(COUNT(AI15:AP15)=0,"",AQ15-LOOKUP(2,1/(AI15:AP15&lt;&gt;""),AI15:AP15)))</t>
        </is>
      </c>
      <c r="BE15" s="49" t="inlineStr">
        <is>
          <t>IF(OR(F15="",AR15=""),"",IF(COUNT(AI15:AQ15)=0,"",AR15-LOOKUP(2,1/(AI15:AQ15&lt;&gt;""),AI15:AQ15)))</t>
        </is>
      </c>
      <c r="BF15" s="49" t="inlineStr">
        <is>
          <t>IF(OR(F15="",AS15=""),"",IF(COUNT(AI15:AR15)=0,"",AS15-LOOKUP(2,1/(AI15:AR15&lt;&gt;""),AI15:AR15)))</t>
        </is>
      </c>
      <c r="BG15" s="49" t="inlineStr">
        <is>
          <t>IF(OR(F15="",AT15=""),"",IF(COUNT(AI15:AS15)=0,"",AT15-LOOKUP(2,1/(AI15:AS15&lt;&gt;""),AI15:AS15)))</t>
        </is>
      </c>
      <c r="BH15" s="49" t="inlineStr">
        <is>
          <t>IF(OR(F15="",AU15=""),"",IF(COUNT(AI15:AT15)=0,"",AU15-LOOKUP(2,1/(AI15:AT15&lt;&gt;""),AI15:AT15)))</t>
        </is>
      </c>
      <c r="BI15" s="49" t="inlineStr">
        <is>
          <t>IF(OR(F15="",AV15=""),"",IF(COUNT(AI15:AU15)=0,"",AV15-LOOKUP(2,1/(AI15:AU15&lt;&gt;""),AI15:AU15)))</t>
        </is>
      </c>
      <c r="BJ15" s="51" t="inlineStr">
        <is>
          <t>IF(J15="","All_Provinces",IFERROR(VLOOKUP(J15,'09_Lookups'!$A$4:$B$20,2,FALSE),"All_Provinces"))</t>
        </is>
      </c>
      <c r="BK15" s="51" t="inlineStr">
        <is>
          <t>IF(K15="","All_Districts",IFERROR(VLOOKUP(K15,'09_Lookups'!$E$4:$F$42,2,FALSE),"All_Districts"))</t>
        </is>
      </c>
    </row>
    <row r="16" ht="18" customHeight="1">
      <c r="A16" s="42" t="inlineStr">
        <is>
          <t>IF(F16="","",ROW()-3)</t>
        </is>
      </c>
      <c r="B16" s="52" t="n"/>
      <c r="C16" s="52" t="n"/>
      <c r="D16" s="52" t="n"/>
      <c r="E16" s="52" t="n"/>
      <c r="F16" s="52" t="n"/>
      <c r="G16" s="52" t="n"/>
      <c r="H16" s="52" t="n"/>
      <c r="I16" s="52" t="n"/>
      <c r="J16" s="52" t="n"/>
      <c r="K16" s="52" t="n"/>
      <c r="L16" s="52" t="n"/>
      <c r="M16" s="52" t="n"/>
      <c r="N16" s="52" t="n"/>
      <c r="O16" s="52" t="n"/>
      <c r="P16" s="52" t="n"/>
      <c r="Q16" s="52" t="n"/>
      <c r="R16" s="52" t="n"/>
      <c r="S16" s="53" t="n"/>
      <c r="T16" s="46" t="inlineStr">
        <is>
          <t>IF(AQ16="","",AQ16)</t>
        </is>
      </c>
      <c r="U16" s="54" t="n"/>
      <c r="V16" s="55" t="n"/>
      <c r="W16" s="54" t="n"/>
      <c r="X16" s="46" t="inlineStr">
        <is>
          <t>IF(W16&lt;&gt;"",W16,IF(OR(T16="",V16=""),"",EDATE(T16,V16)))</t>
        </is>
      </c>
      <c r="Y16" s="54" t="n"/>
      <c r="Z16" s="55" t="n"/>
      <c r="AA16" s="52" t="n"/>
      <c r="AB16" s="52" t="n"/>
      <c r="AC16" s="42" t="inlineStr">
        <is>
          <t>IF(F16="","",IF(COUNT(AI16:AV16)=0,IF(AA16="","Not started",AA16),SUBSTITUTE(LOOKUP(2,1/(AI16:AV16&lt;&gt;""),$AI$3:$AV$3),"Date: ","")))</t>
        </is>
      </c>
      <c r="AD16" s="49" t="inlineStr">
        <is>
          <t>IF(OR(F16="",COUNT(AI16:AV16)=0),"",TODAY()-LOOKUP(2,1/(AI16:AV16&lt;&gt;""),AI16:AV16))</t>
        </is>
      </c>
      <c r="AE16" s="49" t="inlineStr">
        <is>
          <t>IF(OR(F16="",COUNT(AI16:AV16)&lt;2),"",LOOKUP(2,1/(AI16:AV16&lt;&gt;""),AI16:AV16)-MIN(AI16:AV16))</t>
        </is>
      </c>
      <c r="AF16" s="49" t="inlineStr">
        <is>
          <t>IF(OR(AD16="",AC16="Not started",AC16=""),"",IFERROR(AD16-IF(VLOOKUP(AC16,'06_Status_Pipeline'!$B$3:$E$20,4,FALSE)="",0,VLOOKUP(AC16,'06_Status_Pipeline'!$B$3:$E$20,4,FALSE)),""))</t>
        </is>
      </c>
      <c r="AG16" s="42" t="inlineStr">
        <is>
          <t>IF(F16="","",IF(OR(AA16="Cancelled",AC16="Cancelled"),"Cancelled",IF(OR(AC16="Completed / Handover",Y16&lt;&gt;"",Z16&gt;=100),"Completed — on track",IF(O16="Not awarded",IF(U16="",IF(X16="","No planned date",IF(TODAY()&gt;X16,"Behind — past planned date",IF(X16-TODAY()&lt;=30,"At risk — close to off track","On track"))),IF(TODAY()&gt;U16,"Behind — award date passed",IF(U16-TODAY()&lt;=30,"At risk — close to off track","On track"))),IF(X16="","No planned date",IF(AND(TODAY()&gt;X16,OR(Z16="",Z16&lt;100)),"Behind — past end date",IF(AND(T16&lt;&gt;"",X16&lt;&gt;"",Z16&lt;&gt;"",(Z16&lt;100),((TODAY()-T16)/MAX(X16-T16,1)*100)-Z16&gt;15),"Behind — progress lag",IF(AND(X16-TODAY()&lt;=30,X16-TODAY()&gt;=0,OR(Z16="",Z16&lt;90)),"At risk — close to off track","On track"))))))))</t>
        </is>
      </c>
      <c r="AH16" s="49" t="inlineStr">
        <is>
          <t>IF(OR(F16="",AC16="Completed / Handover",AC16="Cancelled"),"",IF(O16="Not awarded",IF(U16&lt;&gt;"",U16-TODAY(),IF(X16="","",X16-TODAY())),IF(X16="","",X16-TODAY())))</t>
        </is>
      </c>
      <c r="AI16" s="54" t="n"/>
      <c r="AJ16" s="54" t="n"/>
      <c r="AK16" s="54" t="n"/>
      <c r="AL16" s="54" t="n"/>
      <c r="AM16" s="54" t="n"/>
      <c r="AN16" s="54" t="n"/>
      <c r="AO16" s="54" t="n"/>
      <c r="AP16" s="54" t="n"/>
      <c r="AQ16" s="54" t="n"/>
      <c r="AR16" s="54" t="n"/>
      <c r="AS16" s="54" t="n"/>
      <c r="AT16" s="50" t="n"/>
      <c r="AU16" s="50" t="n"/>
      <c r="AV16" s="50" t="n"/>
      <c r="AW16" s="49" t="inlineStr">
        <is>
          <t>IF(OR(F16="",AJ16=""),"",IF(COUNT(AI16:AI16)=0,"",AJ16-LOOKUP(2,1/(AI16:AI16&lt;&gt;""),AI16:AI16)))</t>
        </is>
      </c>
      <c r="AX16" s="49" t="inlineStr">
        <is>
          <t>IF(OR(F16="",AK16=""),"",IF(COUNT(AI16:AJ16)=0,"",AK16-LOOKUP(2,1/(AI16:AJ16&lt;&gt;""),AI16:AJ16)))</t>
        </is>
      </c>
      <c r="AY16" s="49" t="inlineStr">
        <is>
          <t>IF(OR(F16="",AL16=""),"",IF(COUNT(AI16:AK16)=0,"",AL16-LOOKUP(2,1/(AI16:AK16&lt;&gt;""),AI16:AK16)))</t>
        </is>
      </c>
      <c r="AZ16" s="49" t="inlineStr">
        <is>
          <t>IF(OR(F16="",AM16=""),"",IF(COUNT(AI16:AL16)=0,"",AM16-LOOKUP(2,1/(AI16:AL16&lt;&gt;""),AI16:AL16)))</t>
        </is>
      </c>
      <c r="BA16" s="49" t="inlineStr">
        <is>
          <t>IF(OR(F16="",AN16=""),"",IF(COUNT(AI16:AM16)=0,"",AN16-LOOKUP(2,1/(AI16:AM16&lt;&gt;""),AI16:AM16)))</t>
        </is>
      </c>
      <c r="BB16" s="49" t="inlineStr">
        <is>
          <t>IF(OR(F16="",AO16=""),"",IF(COUNT(AI16:AN16)=0,"",AO16-LOOKUP(2,1/(AI16:AN16&lt;&gt;""),AI16:AN16)))</t>
        </is>
      </c>
      <c r="BC16" s="49" t="inlineStr">
        <is>
          <t>IF(OR(F16="",AP16=""),"",IF(COUNT(AI16:AO16)=0,"",AP16-LOOKUP(2,1/(AI16:AO16&lt;&gt;""),AI16:AO16)))</t>
        </is>
      </c>
      <c r="BD16" s="49" t="inlineStr">
        <is>
          <t>IF(OR(F16="",AQ16=""),"",IF(COUNT(AI16:AP16)=0,"",AQ16-LOOKUP(2,1/(AI16:AP16&lt;&gt;""),AI16:AP16)))</t>
        </is>
      </c>
      <c r="BE16" s="49" t="inlineStr">
        <is>
          <t>IF(OR(F16="",AR16=""),"",IF(COUNT(AI16:AQ16)=0,"",AR16-LOOKUP(2,1/(AI16:AQ16&lt;&gt;""),AI16:AQ16)))</t>
        </is>
      </c>
      <c r="BF16" s="49" t="inlineStr">
        <is>
          <t>IF(OR(F16="",AS16=""),"",IF(COUNT(AI16:AR16)=0,"",AS16-LOOKUP(2,1/(AI16:AR16&lt;&gt;""),AI16:AR16)))</t>
        </is>
      </c>
      <c r="BG16" s="49" t="inlineStr">
        <is>
          <t>IF(OR(F16="",AT16=""),"",IF(COUNT(AI16:AS16)=0,"",AT16-LOOKUP(2,1/(AI16:AS16&lt;&gt;""),AI16:AS16)))</t>
        </is>
      </c>
      <c r="BH16" s="49" t="inlineStr">
        <is>
          <t>IF(OR(F16="",AU16=""),"",IF(COUNT(AI16:AT16)=0,"",AU16-LOOKUP(2,1/(AI16:AT16&lt;&gt;""),AI16:AT16)))</t>
        </is>
      </c>
      <c r="BI16" s="49" t="inlineStr">
        <is>
          <t>IF(OR(F16="",AV16=""),"",IF(COUNT(AI16:AU16)=0,"",AV16-LOOKUP(2,1/(AI16:AU16&lt;&gt;""),AI16:AU16)))</t>
        </is>
      </c>
      <c r="BJ16" s="51" t="inlineStr">
        <is>
          <t>IF(J16="","All_Provinces",IFERROR(VLOOKUP(J16,'09_Lookups'!$A$4:$B$20,2,FALSE),"All_Provinces"))</t>
        </is>
      </c>
      <c r="BK16" s="51" t="inlineStr">
        <is>
          <t>IF(K16="","All_Districts",IFERROR(VLOOKUP(K16,'09_Lookups'!$E$4:$F$42,2,FALSE),"All_Districts"))</t>
        </is>
      </c>
    </row>
    <row r="17" ht="18" customHeight="1">
      <c r="A17" s="42" t="inlineStr">
        <is>
          <t>IF(F17="","",ROW()-3)</t>
        </is>
      </c>
      <c r="B17" s="44" t="n"/>
      <c r="C17" s="44" t="n"/>
      <c r="D17" s="44" t="n"/>
      <c r="E17" s="44" t="n"/>
      <c r="F17" s="44" t="n"/>
      <c r="G17" s="44" t="n"/>
      <c r="H17" s="44" t="n"/>
      <c r="I17" s="44" t="n"/>
      <c r="J17" s="44" t="n"/>
      <c r="K17" s="44" t="n"/>
      <c r="L17" s="44" t="n"/>
      <c r="M17" s="44" t="n"/>
      <c r="N17" s="44" t="n"/>
      <c r="O17" s="44" t="n"/>
      <c r="P17" s="44" t="n"/>
      <c r="Q17" s="44" t="n"/>
      <c r="R17" s="44" t="n"/>
      <c r="S17" s="45" t="n"/>
      <c r="T17" s="46" t="inlineStr">
        <is>
          <t>IF(AQ17="","",AQ17)</t>
        </is>
      </c>
      <c r="U17" s="47" t="n"/>
      <c r="V17" s="48" t="n"/>
      <c r="W17" s="47" t="n"/>
      <c r="X17" s="46" t="inlineStr">
        <is>
          <t>IF(W17&lt;&gt;"",W17,IF(OR(T17="",V17=""),"",EDATE(T17,V17)))</t>
        </is>
      </c>
      <c r="Y17" s="47" t="n"/>
      <c r="Z17" s="48" t="n"/>
      <c r="AA17" s="44" t="n"/>
      <c r="AB17" s="44" t="n"/>
      <c r="AC17" s="42" t="inlineStr">
        <is>
          <t>IF(F17="","",IF(COUNT(AI17:AV17)=0,IF(AA17="","Not started",AA17),SUBSTITUTE(LOOKUP(2,1/(AI17:AV17&lt;&gt;""),$AI$3:$AV$3),"Date: ","")))</t>
        </is>
      </c>
      <c r="AD17" s="49" t="inlineStr">
        <is>
          <t>IF(OR(F17="",COUNT(AI17:AV17)=0),"",TODAY()-LOOKUP(2,1/(AI17:AV17&lt;&gt;""),AI17:AV17))</t>
        </is>
      </c>
      <c r="AE17" s="49" t="inlineStr">
        <is>
          <t>IF(OR(F17="",COUNT(AI17:AV17)&lt;2),"",LOOKUP(2,1/(AI17:AV17&lt;&gt;""),AI17:AV17)-MIN(AI17:AV17))</t>
        </is>
      </c>
      <c r="AF17" s="49" t="inlineStr">
        <is>
          <t>IF(OR(AD17="",AC17="Not started",AC17=""),"",IFERROR(AD17-IF(VLOOKUP(AC17,'06_Status_Pipeline'!$B$3:$E$20,4,FALSE)="",0,VLOOKUP(AC17,'06_Status_Pipeline'!$B$3:$E$20,4,FALSE)),""))</t>
        </is>
      </c>
      <c r="AG17" s="42" t="inlineStr">
        <is>
          <t>IF(F17="","",IF(OR(AA17="Cancelled",AC17="Cancelled"),"Cancelled",IF(OR(AC17="Completed / Handover",Y17&lt;&gt;"",Z17&gt;=100),"Completed — on track",IF(O17="Not awarded",IF(U17="",IF(X17="","No planned date",IF(TODAY()&gt;X17,"Behind — past planned date",IF(X17-TODAY()&lt;=30,"At risk — close to off track","On track"))),IF(TODAY()&gt;U17,"Behind — award date passed",IF(U17-TODAY()&lt;=30,"At risk — close to off track","On track"))),IF(X17="","No planned date",IF(AND(TODAY()&gt;X17,OR(Z17="",Z17&lt;100)),"Behind — past end date",IF(AND(T17&lt;&gt;"",X17&lt;&gt;"",Z17&lt;&gt;"",(Z17&lt;100),((TODAY()-T17)/MAX(X17-T17,1)*100)-Z17&gt;15),"Behind — progress lag",IF(AND(X17-TODAY()&lt;=30,X17-TODAY()&gt;=0,OR(Z17="",Z17&lt;90)),"At risk — close to off track","On track"))))))))</t>
        </is>
      </c>
      <c r="AH17" s="49" t="inlineStr">
        <is>
          <t>IF(OR(F17="",AC17="Completed / Handover",AC17="Cancelled"),"",IF(O17="Not awarded",IF(U17&lt;&gt;"",U17-TODAY(),IF(X17="","",X17-TODAY())),IF(X17="","",X17-TODAY())))</t>
        </is>
      </c>
      <c r="AI17" s="47" t="n"/>
      <c r="AJ17" s="47" t="n"/>
      <c r="AK17" s="47" t="n"/>
      <c r="AL17" s="47" t="n"/>
      <c r="AM17" s="47" t="n"/>
      <c r="AN17" s="47" t="n"/>
      <c r="AO17" s="47" t="n"/>
      <c r="AP17" s="47" t="n"/>
      <c r="AQ17" s="47" t="n"/>
      <c r="AR17" s="47" t="n"/>
      <c r="AS17" s="47" t="n"/>
      <c r="AT17" s="50" t="n"/>
      <c r="AU17" s="50" t="n"/>
      <c r="AV17" s="50" t="n"/>
      <c r="AW17" s="49" t="inlineStr">
        <is>
          <t>IF(OR(F17="",AJ17=""),"",IF(COUNT(AI17:AI17)=0,"",AJ17-LOOKUP(2,1/(AI17:AI17&lt;&gt;""),AI17:AI17)))</t>
        </is>
      </c>
      <c r="AX17" s="49" t="inlineStr">
        <is>
          <t>IF(OR(F17="",AK17=""),"",IF(COUNT(AI17:AJ17)=0,"",AK17-LOOKUP(2,1/(AI17:AJ17&lt;&gt;""),AI17:AJ17)))</t>
        </is>
      </c>
      <c r="AY17" s="49" t="inlineStr">
        <is>
          <t>IF(OR(F17="",AL17=""),"",IF(COUNT(AI17:AK17)=0,"",AL17-LOOKUP(2,1/(AI17:AK17&lt;&gt;""),AI17:AK17)))</t>
        </is>
      </c>
      <c r="AZ17" s="49" t="inlineStr">
        <is>
          <t>IF(OR(F17="",AM17=""),"",IF(COUNT(AI17:AL17)=0,"",AM17-LOOKUP(2,1/(AI17:AL17&lt;&gt;""),AI17:AL17)))</t>
        </is>
      </c>
      <c r="BA17" s="49" t="inlineStr">
        <is>
          <t>IF(OR(F17="",AN17=""),"",IF(COUNT(AI17:AM17)=0,"",AN17-LOOKUP(2,1/(AI17:AM17&lt;&gt;""),AI17:AM17)))</t>
        </is>
      </c>
      <c r="BB17" s="49" t="inlineStr">
        <is>
          <t>IF(OR(F17="",AO17=""),"",IF(COUNT(AI17:AN17)=0,"",AO17-LOOKUP(2,1/(AI17:AN17&lt;&gt;""),AI17:AN17)))</t>
        </is>
      </c>
      <c r="BC17" s="49" t="inlineStr">
        <is>
          <t>IF(OR(F17="",AP17=""),"",IF(COUNT(AI17:AO17)=0,"",AP17-LOOKUP(2,1/(AI17:AO17&lt;&gt;""),AI17:AO17)))</t>
        </is>
      </c>
      <c r="BD17" s="49" t="inlineStr">
        <is>
          <t>IF(OR(F17="",AQ17=""),"",IF(COUNT(AI17:AP17)=0,"",AQ17-LOOKUP(2,1/(AI17:AP17&lt;&gt;""),AI17:AP17)))</t>
        </is>
      </c>
      <c r="BE17" s="49" t="inlineStr">
        <is>
          <t>IF(OR(F17="",AR17=""),"",IF(COUNT(AI17:AQ17)=0,"",AR17-LOOKUP(2,1/(AI17:AQ17&lt;&gt;""),AI17:AQ17)))</t>
        </is>
      </c>
      <c r="BF17" s="49" t="inlineStr">
        <is>
          <t>IF(OR(F17="",AS17=""),"",IF(COUNT(AI17:AR17)=0,"",AS17-LOOKUP(2,1/(AI17:AR17&lt;&gt;""),AI17:AR17)))</t>
        </is>
      </c>
      <c r="BG17" s="49" t="inlineStr">
        <is>
          <t>IF(OR(F17="",AT17=""),"",IF(COUNT(AI17:AS17)=0,"",AT17-LOOKUP(2,1/(AI17:AS17&lt;&gt;""),AI17:AS17)))</t>
        </is>
      </c>
      <c r="BH17" s="49" t="inlineStr">
        <is>
          <t>IF(OR(F17="",AU17=""),"",IF(COUNT(AI17:AT17)=0,"",AU17-LOOKUP(2,1/(AI17:AT17&lt;&gt;""),AI17:AT17)))</t>
        </is>
      </c>
      <c r="BI17" s="49" t="inlineStr">
        <is>
          <t>IF(OR(F17="",AV17=""),"",IF(COUNT(AI17:AU17)=0,"",AV17-LOOKUP(2,1/(AI17:AU17&lt;&gt;""),AI17:AU17)))</t>
        </is>
      </c>
      <c r="BJ17" s="51" t="inlineStr">
        <is>
          <t>IF(J17="","All_Provinces",IFERROR(VLOOKUP(J17,'09_Lookups'!$A$4:$B$20,2,FALSE),"All_Provinces"))</t>
        </is>
      </c>
      <c r="BK17" s="51" t="inlineStr">
        <is>
          <t>IF(K17="","All_Districts",IFERROR(VLOOKUP(K17,'09_Lookups'!$E$4:$F$42,2,FALSE),"All_Districts"))</t>
        </is>
      </c>
    </row>
    <row r="18" ht="18" customHeight="1">
      <c r="A18" s="42" t="inlineStr">
        <is>
          <t>IF(F18="","",ROW()-3)</t>
        </is>
      </c>
      <c r="B18" s="52" t="n"/>
      <c r="C18" s="52" t="n"/>
      <c r="D18" s="52" t="n"/>
      <c r="E18" s="52" t="n"/>
      <c r="F18" s="52" t="n"/>
      <c r="G18" s="52" t="n"/>
      <c r="H18" s="52" t="n"/>
      <c r="I18" s="52" t="n"/>
      <c r="J18" s="52" t="n"/>
      <c r="K18" s="52" t="n"/>
      <c r="L18" s="52" t="n"/>
      <c r="M18" s="52" t="n"/>
      <c r="N18" s="52" t="n"/>
      <c r="O18" s="52" t="n"/>
      <c r="P18" s="52" t="n"/>
      <c r="Q18" s="52" t="n"/>
      <c r="R18" s="52" t="n"/>
      <c r="S18" s="53" t="n"/>
      <c r="T18" s="46" t="inlineStr">
        <is>
          <t>IF(AQ18="","",AQ18)</t>
        </is>
      </c>
      <c r="U18" s="54" t="n"/>
      <c r="V18" s="55" t="n"/>
      <c r="W18" s="54" t="n"/>
      <c r="X18" s="46" t="inlineStr">
        <is>
          <t>IF(W18&lt;&gt;"",W18,IF(OR(T18="",V18=""),"",EDATE(T18,V18)))</t>
        </is>
      </c>
      <c r="Y18" s="54" t="n"/>
      <c r="Z18" s="55" t="n"/>
      <c r="AA18" s="52" t="n"/>
      <c r="AB18" s="52" t="n"/>
      <c r="AC18" s="42" t="inlineStr">
        <is>
          <t>IF(F18="","",IF(COUNT(AI18:AV18)=0,IF(AA18="","Not started",AA18),SUBSTITUTE(LOOKUP(2,1/(AI18:AV18&lt;&gt;""),$AI$3:$AV$3),"Date: ","")))</t>
        </is>
      </c>
      <c r="AD18" s="49" t="inlineStr">
        <is>
          <t>IF(OR(F18="",COUNT(AI18:AV18)=0),"",TODAY()-LOOKUP(2,1/(AI18:AV18&lt;&gt;""),AI18:AV18))</t>
        </is>
      </c>
      <c r="AE18" s="49" t="inlineStr">
        <is>
          <t>IF(OR(F18="",COUNT(AI18:AV18)&lt;2),"",LOOKUP(2,1/(AI18:AV18&lt;&gt;""),AI18:AV18)-MIN(AI18:AV18))</t>
        </is>
      </c>
      <c r="AF18" s="49" t="inlineStr">
        <is>
          <t>IF(OR(AD18="",AC18="Not started",AC18=""),"",IFERROR(AD18-IF(VLOOKUP(AC18,'06_Status_Pipeline'!$B$3:$E$20,4,FALSE)="",0,VLOOKUP(AC18,'06_Status_Pipeline'!$B$3:$E$20,4,FALSE)),""))</t>
        </is>
      </c>
      <c r="AG18" s="42" t="inlineStr">
        <is>
          <t>IF(F18="","",IF(OR(AA18="Cancelled",AC18="Cancelled"),"Cancelled",IF(OR(AC18="Completed / Handover",Y18&lt;&gt;"",Z18&gt;=100),"Completed — on track",IF(O18="Not awarded",IF(U18="",IF(X18="","No planned date",IF(TODAY()&gt;X18,"Behind — past planned date",IF(X18-TODAY()&lt;=30,"At risk — close to off track","On track"))),IF(TODAY()&gt;U18,"Behind — award date passed",IF(U18-TODAY()&lt;=30,"At risk — close to off track","On track"))),IF(X18="","No planned date",IF(AND(TODAY()&gt;X18,OR(Z18="",Z18&lt;100)),"Behind — past end date",IF(AND(T18&lt;&gt;"",X18&lt;&gt;"",Z18&lt;&gt;"",(Z18&lt;100),((TODAY()-T18)/MAX(X18-T18,1)*100)-Z18&gt;15),"Behind — progress lag",IF(AND(X18-TODAY()&lt;=30,X18-TODAY()&gt;=0,OR(Z18="",Z18&lt;90)),"At risk — close to off track","On track"))))))))</t>
        </is>
      </c>
      <c r="AH18" s="49" t="inlineStr">
        <is>
          <t>IF(OR(F18="",AC18="Completed / Handover",AC18="Cancelled"),"",IF(O18="Not awarded",IF(U18&lt;&gt;"",U18-TODAY(),IF(X18="","",X18-TODAY())),IF(X18="","",X18-TODAY())))</t>
        </is>
      </c>
      <c r="AI18" s="54" t="n"/>
      <c r="AJ18" s="54" t="n"/>
      <c r="AK18" s="54" t="n"/>
      <c r="AL18" s="54" t="n"/>
      <c r="AM18" s="54" t="n"/>
      <c r="AN18" s="54" t="n"/>
      <c r="AO18" s="54" t="n"/>
      <c r="AP18" s="54" t="n"/>
      <c r="AQ18" s="54" t="n"/>
      <c r="AR18" s="54" t="n"/>
      <c r="AS18" s="54" t="n"/>
      <c r="AT18" s="50" t="n"/>
      <c r="AU18" s="50" t="n"/>
      <c r="AV18" s="50" t="n"/>
      <c r="AW18" s="49" t="inlineStr">
        <is>
          <t>IF(OR(F18="",AJ18=""),"",IF(COUNT(AI18:AI18)=0,"",AJ18-LOOKUP(2,1/(AI18:AI18&lt;&gt;""),AI18:AI18)))</t>
        </is>
      </c>
      <c r="AX18" s="49" t="inlineStr">
        <is>
          <t>IF(OR(F18="",AK18=""),"",IF(COUNT(AI18:AJ18)=0,"",AK18-LOOKUP(2,1/(AI18:AJ18&lt;&gt;""),AI18:AJ18)))</t>
        </is>
      </c>
      <c r="AY18" s="49" t="inlineStr">
        <is>
          <t>IF(OR(F18="",AL18=""),"",IF(COUNT(AI18:AK18)=0,"",AL18-LOOKUP(2,1/(AI18:AK18&lt;&gt;""),AI18:AK18)))</t>
        </is>
      </c>
      <c r="AZ18" s="49" t="inlineStr">
        <is>
          <t>IF(OR(F18="",AM18=""),"",IF(COUNT(AI18:AL18)=0,"",AM18-LOOKUP(2,1/(AI18:AL18&lt;&gt;""),AI18:AL18)))</t>
        </is>
      </c>
      <c r="BA18" s="49" t="inlineStr">
        <is>
          <t>IF(OR(F18="",AN18=""),"",IF(COUNT(AI18:AM18)=0,"",AN18-LOOKUP(2,1/(AI18:AM18&lt;&gt;""),AI18:AM18)))</t>
        </is>
      </c>
      <c r="BB18" s="49" t="inlineStr">
        <is>
          <t>IF(OR(F18="",AO18=""),"",IF(COUNT(AI18:AN18)=0,"",AO18-LOOKUP(2,1/(AI18:AN18&lt;&gt;""),AI18:AN18)))</t>
        </is>
      </c>
      <c r="BC18" s="49" t="inlineStr">
        <is>
          <t>IF(OR(F18="",AP18=""),"",IF(COUNT(AI18:AO18)=0,"",AP18-LOOKUP(2,1/(AI18:AO18&lt;&gt;""),AI18:AO18)))</t>
        </is>
      </c>
      <c r="BD18" s="49" t="inlineStr">
        <is>
          <t>IF(OR(F18="",AQ18=""),"",IF(COUNT(AI18:AP18)=0,"",AQ18-LOOKUP(2,1/(AI18:AP18&lt;&gt;""),AI18:AP18)))</t>
        </is>
      </c>
      <c r="BE18" s="49" t="inlineStr">
        <is>
          <t>IF(OR(F18="",AR18=""),"",IF(COUNT(AI18:AQ18)=0,"",AR18-LOOKUP(2,1/(AI18:AQ18&lt;&gt;""),AI18:AQ18)))</t>
        </is>
      </c>
      <c r="BF18" s="49" t="inlineStr">
        <is>
          <t>IF(OR(F18="",AS18=""),"",IF(COUNT(AI18:AR18)=0,"",AS18-LOOKUP(2,1/(AI18:AR18&lt;&gt;""),AI18:AR18)))</t>
        </is>
      </c>
      <c r="BG18" s="49" t="inlineStr">
        <is>
          <t>IF(OR(F18="",AT18=""),"",IF(COUNT(AI18:AS18)=0,"",AT18-LOOKUP(2,1/(AI18:AS18&lt;&gt;""),AI18:AS18)))</t>
        </is>
      </c>
      <c r="BH18" s="49" t="inlineStr">
        <is>
          <t>IF(OR(F18="",AU18=""),"",IF(COUNT(AI18:AT18)=0,"",AU18-LOOKUP(2,1/(AI18:AT18&lt;&gt;""),AI18:AT18)))</t>
        </is>
      </c>
      <c r="BI18" s="49" t="inlineStr">
        <is>
          <t>IF(OR(F18="",AV18=""),"",IF(COUNT(AI18:AU18)=0,"",AV18-LOOKUP(2,1/(AI18:AU18&lt;&gt;""),AI18:AU18)))</t>
        </is>
      </c>
      <c r="BJ18" s="51" t="inlineStr">
        <is>
          <t>IF(J18="","All_Provinces",IFERROR(VLOOKUP(J18,'09_Lookups'!$A$4:$B$20,2,FALSE),"All_Provinces"))</t>
        </is>
      </c>
      <c r="BK18" s="51" t="inlineStr">
        <is>
          <t>IF(K18="","All_Districts",IFERROR(VLOOKUP(K18,'09_Lookups'!$E$4:$F$42,2,FALSE),"All_Districts"))</t>
        </is>
      </c>
    </row>
    <row r="19" ht="18" customHeight="1">
      <c r="A19" s="42" t="inlineStr">
        <is>
          <t>IF(F19="","",ROW()-3)</t>
        </is>
      </c>
      <c r="B19" s="44" t="n"/>
      <c r="C19" s="44" t="n"/>
      <c r="D19" s="44" t="n"/>
      <c r="E19" s="44" t="n"/>
      <c r="F19" s="44" t="n"/>
      <c r="G19" s="44" t="n"/>
      <c r="H19" s="44" t="n"/>
      <c r="I19" s="44" t="n"/>
      <c r="J19" s="44" t="n"/>
      <c r="K19" s="44" t="n"/>
      <c r="L19" s="44" t="n"/>
      <c r="M19" s="44" t="n"/>
      <c r="N19" s="44" t="n"/>
      <c r="O19" s="44" t="n"/>
      <c r="P19" s="44" t="n"/>
      <c r="Q19" s="44" t="n"/>
      <c r="R19" s="44" t="n"/>
      <c r="S19" s="45" t="n"/>
      <c r="T19" s="46" t="inlineStr">
        <is>
          <t>IF(AQ19="","",AQ19)</t>
        </is>
      </c>
      <c r="U19" s="47" t="n"/>
      <c r="V19" s="48" t="n"/>
      <c r="W19" s="47" t="n"/>
      <c r="X19" s="46" t="inlineStr">
        <is>
          <t>IF(W19&lt;&gt;"",W19,IF(OR(T19="",V19=""),"",EDATE(T19,V19)))</t>
        </is>
      </c>
      <c r="Y19" s="47" t="n"/>
      <c r="Z19" s="48" t="n"/>
      <c r="AA19" s="44" t="n"/>
      <c r="AB19" s="44" t="n"/>
      <c r="AC19" s="42" t="inlineStr">
        <is>
          <t>IF(F19="","",IF(COUNT(AI19:AV19)=0,IF(AA19="","Not started",AA19),SUBSTITUTE(LOOKUP(2,1/(AI19:AV19&lt;&gt;""),$AI$3:$AV$3),"Date: ","")))</t>
        </is>
      </c>
      <c r="AD19" s="49" t="inlineStr">
        <is>
          <t>IF(OR(F19="",COUNT(AI19:AV19)=0),"",TODAY()-LOOKUP(2,1/(AI19:AV19&lt;&gt;""),AI19:AV19))</t>
        </is>
      </c>
      <c r="AE19" s="49" t="inlineStr">
        <is>
          <t>IF(OR(F19="",COUNT(AI19:AV19)&lt;2),"",LOOKUP(2,1/(AI19:AV19&lt;&gt;""),AI19:AV19)-MIN(AI19:AV19))</t>
        </is>
      </c>
      <c r="AF19" s="49" t="inlineStr">
        <is>
          <t>IF(OR(AD19="",AC19="Not started",AC19=""),"",IFERROR(AD19-IF(VLOOKUP(AC19,'06_Status_Pipeline'!$B$3:$E$20,4,FALSE)="",0,VLOOKUP(AC19,'06_Status_Pipeline'!$B$3:$E$20,4,FALSE)),""))</t>
        </is>
      </c>
      <c r="AG19" s="42" t="inlineStr">
        <is>
          <t>IF(F19="","",IF(OR(AA19="Cancelled",AC19="Cancelled"),"Cancelled",IF(OR(AC19="Completed / Handover",Y19&lt;&gt;"",Z19&gt;=100),"Completed — on track",IF(O19="Not awarded",IF(U19="",IF(X19="","No planned date",IF(TODAY()&gt;X19,"Behind — past planned date",IF(X19-TODAY()&lt;=30,"At risk — close to off track","On track"))),IF(TODAY()&gt;U19,"Behind — award date passed",IF(U19-TODAY()&lt;=30,"At risk — close to off track","On track"))),IF(X19="","No planned date",IF(AND(TODAY()&gt;X19,OR(Z19="",Z19&lt;100)),"Behind — past end date",IF(AND(T19&lt;&gt;"",X19&lt;&gt;"",Z19&lt;&gt;"",(Z19&lt;100),((TODAY()-T19)/MAX(X19-T19,1)*100)-Z19&gt;15),"Behind — progress lag",IF(AND(X19-TODAY()&lt;=30,X19-TODAY()&gt;=0,OR(Z19="",Z19&lt;90)),"At risk — close to off track","On track"))))))))</t>
        </is>
      </c>
      <c r="AH19" s="49" t="inlineStr">
        <is>
          <t>IF(OR(F19="",AC19="Completed / Handover",AC19="Cancelled"),"",IF(O19="Not awarded",IF(U19&lt;&gt;"",U19-TODAY(),IF(X19="","",X19-TODAY())),IF(X19="","",X19-TODAY())))</t>
        </is>
      </c>
      <c r="AI19" s="47" t="n"/>
      <c r="AJ19" s="47" t="n"/>
      <c r="AK19" s="47" t="n"/>
      <c r="AL19" s="47" t="n"/>
      <c r="AM19" s="47" t="n"/>
      <c r="AN19" s="47" t="n"/>
      <c r="AO19" s="47" t="n"/>
      <c r="AP19" s="47" t="n"/>
      <c r="AQ19" s="47" t="n"/>
      <c r="AR19" s="47" t="n"/>
      <c r="AS19" s="47" t="n"/>
      <c r="AT19" s="50" t="n"/>
      <c r="AU19" s="50" t="n"/>
      <c r="AV19" s="50" t="n"/>
      <c r="AW19" s="49" t="inlineStr">
        <is>
          <t>IF(OR(F19="",AJ19=""),"",IF(COUNT(AI19:AI19)=0,"",AJ19-LOOKUP(2,1/(AI19:AI19&lt;&gt;""),AI19:AI19)))</t>
        </is>
      </c>
      <c r="AX19" s="49" t="inlineStr">
        <is>
          <t>IF(OR(F19="",AK19=""),"",IF(COUNT(AI19:AJ19)=0,"",AK19-LOOKUP(2,1/(AI19:AJ19&lt;&gt;""),AI19:AJ19)))</t>
        </is>
      </c>
      <c r="AY19" s="49" t="inlineStr">
        <is>
          <t>IF(OR(F19="",AL19=""),"",IF(COUNT(AI19:AK19)=0,"",AL19-LOOKUP(2,1/(AI19:AK19&lt;&gt;""),AI19:AK19)))</t>
        </is>
      </c>
      <c r="AZ19" s="49" t="inlineStr">
        <is>
          <t>IF(OR(F19="",AM19=""),"",IF(COUNT(AI19:AL19)=0,"",AM19-LOOKUP(2,1/(AI19:AL19&lt;&gt;""),AI19:AL19)))</t>
        </is>
      </c>
      <c r="BA19" s="49" t="inlineStr">
        <is>
          <t>IF(OR(F19="",AN19=""),"",IF(COUNT(AI19:AM19)=0,"",AN19-LOOKUP(2,1/(AI19:AM19&lt;&gt;""),AI19:AM19)))</t>
        </is>
      </c>
      <c r="BB19" s="49" t="inlineStr">
        <is>
          <t>IF(OR(F19="",AO19=""),"",IF(COUNT(AI19:AN19)=0,"",AO19-LOOKUP(2,1/(AI19:AN19&lt;&gt;""),AI19:AN19)))</t>
        </is>
      </c>
      <c r="BC19" s="49" t="inlineStr">
        <is>
          <t>IF(OR(F19="",AP19=""),"",IF(COUNT(AI19:AO19)=0,"",AP19-LOOKUP(2,1/(AI19:AO19&lt;&gt;""),AI19:AO19)))</t>
        </is>
      </c>
      <c r="BD19" s="49" t="inlineStr">
        <is>
          <t>IF(OR(F19="",AQ19=""),"",IF(COUNT(AI19:AP19)=0,"",AQ19-LOOKUP(2,1/(AI19:AP19&lt;&gt;""),AI19:AP19)))</t>
        </is>
      </c>
      <c r="BE19" s="49" t="inlineStr">
        <is>
          <t>IF(OR(F19="",AR19=""),"",IF(COUNT(AI19:AQ19)=0,"",AR19-LOOKUP(2,1/(AI19:AQ19&lt;&gt;""),AI19:AQ19)))</t>
        </is>
      </c>
      <c r="BF19" s="49" t="inlineStr">
        <is>
          <t>IF(OR(F19="",AS19=""),"",IF(COUNT(AI19:AR19)=0,"",AS19-LOOKUP(2,1/(AI19:AR19&lt;&gt;""),AI19:AR19)))</t>
        </is>
      </c>
      <c r="BG19" s="49" t="inlineStr">
        <is>
          <t>IF(OR(F19="",AT19=""),"",IF(COUNT(AI19:AS19)=0,"",AT19-LOOKUP(2,1/(AI19:AS19&lt;&gt;""),AI19:AS19)))</t>
        </is>
      </c>
      <c r="BH19" s="49" t="inlineStr">
        <is>
          <t>IF(OR(F19="",AU19=""),"",IF(COUNT(AI19:AT19)=0,"",AU19-LOOKUP(2,1/(AI19:AT19&lt;&gt;""),AI19:AT19)))</t>
        </is>
      </c>
      <c r="BI19" s="49" t="inlineStr">
        <is>
          <t>IF(OR(F19="",AV19=""),"",IF(COUNT(AI19:AU19)=0,"",AV19-LOOKUP(2,1/(AI19:AU19&lt;&gt;""),AI19:AU19)))</t>
        </is>
      </c>
      <c r="BJ19" s="51" t="inlineStr">
        <is>
          <t>IF(J19="","All_Provinces",IFERROR(VLOOKUP(J19,'09_Lookups'!$A$4:$B$20,2,FALSE),"All_Provinces"))</t>
        </is>
      </c>
      <c r="BK19" s="51" t="inlineStr">
        <is>
          <t>IF(K19="","All_Districts",IFERROR(VLOOKUP(K19,'09_Lookups'!$E$4:$F$42,2,FALSE),"All_Districts"))</t>
        </is>
      </c>
    </row>
    <row r="20" ht="18" customHeight="1">
      <c r="A20" s="42" t="inlineStr">
        <is>
          <t>IF(F20="","",ROW()-3)</t>
        </is>
      </c>
      <c r="B20" s="52" t="n"/>
      <c r="C20" s="52" t="n"/>
      <c r="D20" s="52" t="n"/>
      <c r="E20" s="52" t="n"/>
      <c r="F20" s="52" t="n"/>
      <c r="G20" s="52" t="n"/>
      <c r="H20" s="52" t="n"/>
      <c r="I20" s="52" t="n"/>
      <c r="J20" s="52" t="n"/>
      <c r="K20" s="52" t="n"/>
      <c r="L20" s="52" t="n"/>
      <c r="M20" s="52" t="n"/>
      <c r="N20" s="52" t="n"/>
      <c r="O20" s="52" t="n"/>
      <c r="P20" s="52" t="n"/>
      <c r="Q20" s="52" t="n"/>
      <c r="R20" s="52" t="n"/>
      <c r="S20" s="53" t="n"/>
      <c r="T20" s="46" t="inlineStr">
        <is>
          <t>IF(AQ20="","",AQ20)</t>
        </is>
      </c>
      <c r="U20" s="54" t="n"/>
      <c r="V20" s="55" t="n"/>
      <c r="W20" s="54" t="n"/>
      <c r="X20" s="46" t="inlineStr">
        <is>
          <t>IF(W20&lt;&gt;"",W20,IF(OR(T20="",V20=""),"",EDATE(T20,V20)))</t>
        </is>
      </c>
      <c r="Y20" s="54" t="n"/>
      <c r="Z20" s="55" t="n"/>
      <c r="AA20" s="52" t="n"/>
      <c r="AB20" s="52" t="n"/>
      <c r="AC20" s="42" t="inlineStr">
        <is>
          <t>IF(F20="","",IF(COUNT(AI20:AV20)=0,IF(AA20="","Not started",AA20),SUBSTITUTE(LOOKUP(2,1/(AI20:AV20&lt;&gt;""),$AI$3:$AV$3),"Date: ","")))</t>
        </is>
      </c>
      <c r="AD20" s="49" t="inlineStr">
        <is>
          <t>IF(OR(F20="",COUNT(AI20:AV20)=0),"",TODAY()-LOOKUP(2,1/(AI20:AV20&lt;&gt;""),AI20:AV20))</t>
        </is>
      </c>
      <c r="AE20" s="49" t="inlineStr">
        <is>
          <t>IF(OR(F20="",COUNT(AI20:AV20)&lt;2),"",LOOKUP(2,1/(AI20:AV20&lt;&gt;""),AI20:AV20)-MIN(AI20:AV20))</t>
        </is>
      </c>
      <c r="AF20" s="49" t="inlineStr">
        <is>
          <t>IF(OR(AD20="",AC20="Not started",AC20=""),"",IFERROR(AD20-IF(VLOOKUP(AC20,'06_Status_Pipeline'!$B$3:$E$20,4,FALSE)="",0,VLOOKUP(AC20,'06_Status_Pipeline'!$B$3:$E$20,4,FALSE)),""))</t>
        </is>
      </c>
      <c r="AG20" s="42" t="inlineStr">
        <is>
          <t>IF(F20="","",IF(OR(AA20="Cancelled",AC20="Cancelled"),"Cancelled",IF(OR(AC20="Completed / Handover",Y20&lt;&gt;"",Z20&gt;=100),"Completed — on track",IF(O20="Not awarded",IF(U20="",IF(X20="","No planned date",IF(TODAY()&gt;X20,"Behind — past planned date",IF(X20-TODAY()&lt;=30,"At risk — close to off track","On track"))),IF(TODAY()&gt;U20,"Behind — award date passed",IF(U20-TODAY()&lt;=30,"At risk — close to off track","On track"))),IF(X20="","No planned date",IF(AND(TODAY()&gt;X20,OR(Z20="",Z20&lt;100)),"Behind — past end date",IF(AND(T20&lt;&gt;"",X20&lt;&gt;"",Z20&lt;&gt;"",(Z20&lt;100),((TODAY()-T20)/MAX(X20-T20,1)*100)-Z20&gt;15),"Behind — progress lag",IF(AND(X20-TODAY()&lt;=30,X20-TODAY()&gt;=0,OR(Z20="",Z20&lt;90)),"At risk — close to off track","On track"))))))))</t>
        </is>
      </c>
      <c r="AH20" s="49" t="inlineStr">
        <is>
          <t>IF(OR(F20="",AC20="Completed / Handover",AC20="Cancelled"),"",IF(O20="Not awarded",IF(U20&lt;&gt;"",U20-TODAY(),IF(X20="","",X20-TODAY())),IF(X20="","",X20-TODAY())))</t>
        </is>
      </c>
      <c r="AI20" s="54" t="n"/>
      <c r="AJ20" s="54" t="n"/>
      <c r="AK20" s="54" t="n"/>
      <c r="AL20" s="54" t="n"/>
      <c r="AM20" s="54" t="n"/>
      <c r="AN20" s="54" t="n"/>
      <c r="AO20" s="54" t="n"/>
      <c r="AP20" s="54" t="n"/>
      <c r="AQ20" s="54" t="n"/>
      <c r="AR20" s="54" t="n"/>
      <c r="AS20" s="54" t="n"/>
      <c r="AT20" s="50" t="n"/>
      <c r="AU20" s="50" t="n"/>
      <c r="AV20" s="50" t="n"/>
      <c r="AW20" s="49" t="inlineStr">
        <is>
          <t>IF(OR(F20="",AJ20=""),"",IF(COUNT(AI20:AI20)=0,"",AJ20-LOOKUP(2,1/(AI20:AI20&lt;&gt;""),AI20:AI20)))</t>
        </is>
      </c>
      <c r="AX20" s="49" t="inlineStr">
        <is>
          <t>IF(OR(F20="",AK20=""),"",IF(COUNT(AI20:AJ20)=0,"",AK20-LOOKUP(2,1/(AI20:AJ20&lt;&gt;""),AI20:AJ20)))</t>
        </is>
      </c>
      <c r="AY20" s="49" t="inlineStr">
        <is>
          <t>IF(OR(F20="",AL20=""),"",IF(COUNT(AI20:AK20)=0,"",AL20-LOOKUP(2,1/(AI20:AK20&lt;&gt;""),AI20:AK20)))</t>
        </is>
      </c>
      <c r="AZ20" s="49" t="inlineStr">
        <is>
          <t>IF(OR(F20="",AM20=""),"",IF(COUNT(AI20:AL20)=0,"",AM20-LOOKUP(2,1/(AI20:AL20&lt;&gt;""),AI20:AL20)))</t>
        </is>
      </c>
      <c r="BA20" s="49" t="inlineStr">
        <is>
          <t>IF(OR(F20="",AN20=""),"",IF(COUNT(AI20:AM20)=0,"",AN20-LOOKUP(2,1/(AI20:AM20&lt;&gt;""),AI20:AM20)))</t>
        </is>
      </c>
      <c r="BB20" s="49" t="inlineStr">
        <is>
          <t>IF(OR(F20="",AO20=""),"",IF(COUNT(AI20:AN20)=0,"",AO20-LOOKUP(2,1/(AI20:AN20&lt;&gt;""),AI20:AN20)))</t>
        </is>
      </c>
      <c r="BC20" s="49" t="inlineStr">
        <is>
          <t>IF(OR(F20="",AP20=""),"",IF(COUNT(AI20:AO20)=0,"",AP20-LOOKUP(2,1/(AI20:AO20&lt;&gt;""),AI20:AO20)))</t>
        </is>
      </c>
      <c r="BD20" s="49" t="inlineStr">
        <is>
          <t>IF(OR(F20="",AQ20=""),"",IF(COUNT(AI20:AP20)=0,"",AQ20-LOOKUP(2,1/(AI20:AP20&lt;&gt;""),AI20:AP20)))</t>
        </is>
      </c>
      <c r="BE20" s="49" t="inlineStr">
        <is>
          <t>IF(OR(F20="",AR20=""),"",IF(COUNT(AI20:AQ20)=0,"",AR20-LOOKUP(2,1/(AI20:AQ20&lt;&gt;""),AI20:AQ20)))</t>
        </is>
      </c>
      <c r="BF20" s="49" t="inlineStr">
        <is>
          <t>IF(OR(F20="",AS20=""),"",IF(COUNT(AI20:AR20)=0,"",AS20-LOOKUP(2,1/(AI20:AR20&lt;&gt;""),AI20:AR20)))</t>
        </is>
      </c>
      <c r="BG20" s="49" t="inlineStr">
        <is>
          <t>IF(OR(F20="",AT20=""),"",IF(COUNT(AI20:AS20)=0,"",AT20-LOOKUP(2,1/(AI20:AS20&lt;&gt;""),AI20:AS20)))</t>
        </is>
      </c>
      <c r="BH20" s="49" t="inlineStr">
        <is>
          <t>IF(OR(F20="",AU20=""),"",IF(COUNT(AI20:AT20)=0,"",AU20-LOOKUP(2,1/(AI20:AT20&lt;&gt;""),AI20:AT20)))</t>
        </is>
      </c>
      <c r="BI20" s="49" t="inlineStr">
        <is>
          <t>IF(OR(F20="",AV20=""),"",IF(COUNT(AI20:AU20)=0,"",AV20-LOOKUP(2,1/(AI20:AU20&lt;&gt;""),AI20:AU20)))</t>
        </is>
      </c>
      <c r="BJ20" s="51" t="inlineStr">
        <is>
          <t>IF(J20="","All_Provinces",IFERROR(VLOOKUP(J20,'09_Lookups'!$A$4:$B$20,2,FALSE),"All_Provinces"))</t>
        </is>
      </c>
      <c r="BK20" s="51" t="inlineStr">
        <is>
          <t>IF(K20="","All_Districts",IFERROR(VLOOKUP(K20,'09_Lookups'!$E$4:$F$42,2,FALSE),"All_Districts"))</t>
        </is>
      </c>
    </row>
    <row r="21" ht="18" customHeight="1">
      <c r="A21" s="42" t="inlineStr">
        <is>
          <t>IF(F21="","",ROW()-3)</t>
        </is>
      </c>
      <c r="B21" s="44" t="n"/>
      <c r="C21" s="44" t="n"/>
      <c r="D21" s="44" t="n"/>
      <c r="E21" s="44" t="n"/>
      <c r="F21" s="44" t="n"/>
      <c r="G21" s="44" t="n"/>
      <c r="H21" s="44" t="n"/>
      <c r="I21" s="44" t="n"/>
      <c r="J21" s="44" t="n"/>
      <c r="K21" s="44" t="n"/>
      <c r="L21" s="44" t="n"/>
      <c r="M21" s="44" t="n"/>
      <c r="N21" s="44" t="n"/>
      <c r="O21" s="44" t="n"/>
      <c r="P21" s="44" t="n"/>
      <c r="Q21" s="44" t="n"/>
      <c r="R21" s="44" t="n"/>
      <c r="S21" s="45" t="n"/>
      <c r="T21" s="46" t="inlineStr">
        <is>
          <t>IF(AQ21="","",AQ21)</t>
        </is>
      </c>
      <c r="U21" s="47" t="n"/>
      <c r="V21" s="48" t="n"/>
      <c r="W21" s="47" t="n"/>
      <c r="X21" s="46" t="inlineStr">
        <is>
          <t>IF(W21&lt;&gt;"",W21,IF(OR(T21="",V21=""),"",EDATE(T21,V21)))</t>
        </is>
      </c>
      <c r="Y21" s="47" t="n"/>
      <c r="Z21" s="48" t="n"/>
      <c r="AA21" s="44" t="n"/>
      <c r="AB21" s="44" t="n"/>
      <c r="AC21" s="42" t="inlineStr">
        <is>
          <t>IF(F21="","",IF(COUNT(AI21:AV21)=0,IF(AA21="","Not started",AA21),SUBSTITUTE(LOOKUP(2,1/(AI21:AV21&lt;&gt;""),$AI$3:$AV$3),"Date: ","")))</t>
        </is>
      </c>
      <c r="AD21" s="49" t="inlineStr">
        <is>
          <t>IF(OR(F21="",COUNT(AI21:AV21)=0),"",TODAY()-LOOKUP(2,1/(AI21:AV21&lt;&gt;""),AI21:AV21))</t>
        </is>
      </c>
      <c r="AE21" s="49" t="inlineStr">
        <is>
          <t>IF(OR(F21="",COUNT(AI21:AV21)&lt;2),"",LOOKUP(2,1/(AI21:AV21&lt;&gt;""),AI21:AV21)-MIN(AI21:AV21))</t>
        </is>
      </c>
      <c r="AF21" s="49" t="inlineStr">
        <is>
          <t>IF(OR(AD21="",AC21="Not started",AC21=""),"",IFERROR(AD21-IF(VLOOKUP(AC21,'06_Status_Pipeline'!$B$3:$E$20,4,FALSE)="",0,VLOOKUP(AC21,'06_Status_Pipeline'!$B$3:$E$20,4,FALSE)),""))</t>
        </is>
      </c>
      <c r="AG21" s="42" t="inlineStr">
        <is>
          <t>IF(F21="","",IF(OR(AA21="Cancelled",AC21="Cancelled"),"Cancelled",IF(OR(AC21="Completed / Handover",Y21&lt;&gt;"",Z21&gt;=100),"Completed — on track",IF(O21="Not awarded",IF(U21="",IF(X21="","No planned date",IF(TODAY()&gt;X21,"Behind — past planned date",IF(X21-TODAY()&lt;=30,"At risk — close to off track","On track"))),IF(TODAY()&gt;U21,"Behind — award date passed",IF(U21-TODAY()&lt;=30,"At risk — close to off track","On track"))),IF(X21="","No planned date",IF(AND(TODAY()&gt;X21,OR(Z21="",Z21&lt;100)),"Behind — past end date",IF(AND(T21&lt;&gt;"",X21&lt;&gt;"",Z21&lt;&gt;"",(Z21&lt;100),((TODAY()-T21)/MAX(X21-T21,1)*100)-Z21&gt;15),"Behind — progress lag",IF(AND(X21-TODAY()&lt;=30,X21-TODAY()&gt;=0,OR(Z21="",Z21&lt;90)),"At risk — close to off track","On track"))))))))</t>
        </is>
      </c>
      <c r="AH21" s="49" t="inlineStr">
        <is>
          <t>IF(OR(F21="",AC21="Completed / Handover",AC21="Cancelled"),"",IF(O21="Not awarded",IF(U21&lt;&gt;"",U21-TODAY(),IF(X21="","",X21-TODAY())),IF(X21="","",X21-TODAY())))</t>
        </is>
      </c>
      <c r="AI21" s="47" t="n"/>
      <c r="AJ21" s="47" t="n"/>
      <c r="AK21" s="47" t="n"/>
      <c r="AL21" s="47" t="n"/>
      <c r="AM21" s="47" t="n"/>
      <c r="AN21" s="47" t="n"/>
      <c r="AO21" s="47" t="n"/>
      <c r="AP21" s="47" t="n"/>
      <c r="AQ21" s="47" t="n"/>
      <c r="AR21" s="47" t="n"/>
      <c r="AS21" s="47" t="n"/>
      <c r="AT21" s="50" t="n"/>
      <c r="AU21" s="50" t="n"/>
      <c r="AV21" s="50" t="n"/>
      <c r="AW21" s="49" t="inlineStr">
        <is>
          <t>IF(OR(F21="",AJ21=""),"",IF(COUNT(AI21:AI21)=0,"",AJ21-LOOKUP(2,1/(AI21:AI21&lt;&gt;""),AI21:AI21)))</t>
        </is>
      </c>
      <c r="AX21" s="49" t="inlineStr">
        <is>
          <t>IF(OR(F21="",AK21=""),"",IF(COUNT(AI21:AJ21)=0,"",AK21-LOOKUP(2,1/(AI21:AJ21&lt;&gt;""),AI21:AJ21)))</t>
        </is>
      </c>
      <c r="AY21" s="49" t="inlineStr">
        <is>
          <t>IF(OR(F21="",AL21=""),"",IF(COUNT(AI21:AK21)=0,"",AL21-LOOKUP(2,1/(AI21:AK21&lt;&gt;""),AI21:AK21)))</t>
        </is>
      </c>
      <c r="AZ21" s="49" t="inlineStr">
        <is>
          <t>IF(OR(F21="",AM21=""),"",IF(COUNT(AI21:AL21)=0,"",AM21-LOOKUP(2,1/(AI21:AL21&lt;&gt;""),AI21:AL21)))</t>
        </is>
      </c>
      <c r="BA21" s="49" t="inlineStr">
        <is>
          <t>IF(OR(F21="",AN21=""),"",IF(COUNT(AI21:AM21)=0,"",AN21-LOOKUP(2,1/(AI21:AM21&lt;&gt;""),AI21:AM21)))</t>
        </is>
      </c>
      <c r="BB21" s="49" t="inlineStr">
        <is>
          <t>IF(OR(F21="",AO21=""),"",IF(COUNT(AI21:AN21)=0,"",AO21-LOOKUP(2,1/(AI21:AN21&lt;&gt;""),AI21:AN21)))</t>
        </is>
      </c>
      <c r="BC21" s="49" t="inlineStr">
        <is>
          <t>IF(OR(F21="",AP21=""),"",IF(COUNT(AI21:AO21)=0,"",AP21-LOOKUP(2,1/(AI21:AO21&lt;&gt;""),AI21:AO21)))</t>
        </is>
      </c>
      <c r="BD21" s="49" t="inlineStr">
        <is>
          <t>IF(OR(F21="",AQ21=""),"",IF(COUNT(AI21:AP21)=0,"",AQ21-LOOKUP(2,1/(AI21:AP21&lt;&gt;""),AI21:AP21)))</t>
        </is>
      </c>
      <c r="BE21" s="49" t="inlineStr">
        <is>
          <t>IF(OR(F21="",AR21=""),"",IF(COUNT(AI21:AQ21)=0,"",AR21-LOOKUP(2,1/(AI21:AQ21&lt;&gt;""),AI21:AQ21)))</t>
        </is>
      </c>
      <c r="BF21" s="49" t="inlineStr">
        <is>
          <t>IF(OR(F21="",AS21=""),"",IF(COUNT(AI21:AR21)=0,"",AS21-LOOKUP(2,1/(AI21:AR21&lt;&gt;""),AI21:AR21)))</t>
        </is>
      </c>
      <c r="BG21" s="49" t="inlineStr">
        <is>
          <t>IF(OR(F21="",AT21=""),"",IF(COUNT(AI21:AS21)=0,"",AT21-LOOKUP(2,1/(AI21:AS21&lt;&gt;""),AI21:AS21)))</t>
        </is>
      </c>
      <c r="BH21" s="49" t="inlineStr">
        <is>
          <t>IF(OR(F21="",AU21=""),"",IF(COUNT(AI21:AT21)=0,"",AU21-LOOKUP(2,1/(AI21:AT21&lt;&gt;""),AI21:AT21)))</t>
        </is>
      </c>
      <c r="BI21" s="49" t="inlineStr">
        <is>
          <t>IF(OR(F21="",AV21=""),"",IF(COUNT(AI21:AU21)=0,"",AV21-LOOKUP(2,1/(AI21:AU21&lt;&gt;""),AI21:AU21)))</t>
        </is>
      </c>
      <c r="BJ21" s="51" t="inlineStr">
        <is>
          <t>IF(J21="","All_Provinces",IFERROR(VLOOKUP(J21,'09_Lookups'!$A$4:$B$20,2,FALSE),"All_Provinces"))</t>
        </is>
      </c>
      <c r="BK21" s="51" t="inlineStr">
        <is>
          <t>IF(K21="","All_Districts",IFERROR(VLOOKUP(K21,'09_Lookups'!$E$4:$F$42,2,FALSE),"All_Districts"))</t>
        </is>
      </c>
    </row>
    <row r="22" ht="18" customHeight="1">
      <c r="A22" s="42" t="inlineStr">
        <is>
          <t>IF(F22="","",ROW()-3)</t>
        </is>
      </c>
      <c r="B22" s="52" t="n"/>
      <c r="C22" s="52" t="n"/>
      <c r="D22" s="52" t="n"/>
      <c r="E22" s="52" t="n"/>
      <c r="F22" s="52" t="n"/>
      <c r="G22" s="52" t="n"/>
      <c r="H22" s="52" t="n"/>
      <c r="I22" s="52" t="n"/>
      <c r="J22" s="52" t="n"/>
      <c r="K22" s="52" t="n"/>
      <c r="L22" s="52" t="n"/>
      <c r="M22" s="52" t="n"/>
      <c r="N22" s="52" t="n"/>
      <c r="O22" s="52" t="n"/>
      <c r="P22" s="52" t="n"/>
      <c r="Q22" s="52" t="n"/>
      <c r="R22" s="52" t="n"/>
      <c r="S22" s="53" t="n"/>
      <c r="T22" s="46" t="inlineStr">
        <is>
          <t>IF(AQ22="","",AQ22)</t>
        </is>
      </c>
      <c r="U22" s="54" t="n"/>
      <c r="V22" s="55" t="n"/>
      <c r="W22" s="54" t="n"/>
      <c r="X22" s="46" t="inlineStr">
        <is>
          <t>IF(W22&lt;&gt;"",W22,IF(OR(T22="",V22=""),"",EDATE(T22,V22)))</t>
        </is>
      </c>
      <c r="Y22" s="54" t="n"/>
      <c r="Z22" s="55" t="n"/>
      <c r="AA22" s="52" t="n"/>
      <c r="AB22" s="52" t="n"/>
      <c r="AC22" s="42" t="inlineStr">
        <is>
          <t>IF(F22="","",IF(COUNT(AI22:AV22)=0,IF(AA22="","Not started",AA22),SUBSTITUTE(LOOKUP(2,1/(AI22:AV22&lt;&gt;""),$AI$3:$AV$3),"Date: ","")))</t>
        </is>
      </c>
      <c r="AD22" s="49" t="inlineStr">
        <is>
          <t>IF(OR(F22="",COUNT(AI22:AV22)=0),"",TODAY()-LOOKUP(2,1/(AI22:AV22&lt;&gt;""),AI22:AV22))</t>
        </is>
      </c>
      <c r="AE22" s="49" t="inlineStr">
        <is>
          <t>IF(OR(F22="",COUNT(AI22:AV22)&lt;2),"",LOOKUP(2,1/(AI22:AV22&lt;&gt;""),AI22:AV22)-MIN(AI22:AV22))</t>
        </is>
      </c>
      <c r="AF22" s="49" t="inlineStr">
        <is>
          <t>IF(OR(AD22="",AC22="Not started",AC22=""),"",IFERROR(AD22-IF(VLOOKUP(AC22,'06_Status_Pipeline'!$B$3:$E$20,4,FALSE)="",0,VLOOKUP(AC22,'06_Status_Pipeline'!$B$3:$E$20,4,FALSE)),""))</t>
        </is>
      </c>
      <c r="AG22" s="42" t="inlineStr">
        <is>
          <t>IF(F22="","",IF(OR(AA22="Cancelled",AC22="Cancelled"),"Cancelled",IF(OR(AC22="Completed / Handover",Y22&lt;&gt;"",Z22&gt;=100),"Completed — on track",IF(O22="Not awarded",IF(U22="",IF(X22="","No planned date",IF(TODAY()&gt;X22,"Behind — past planned date",IF(X22-TODAY()&lt;=30,"At risk — close to off track","On track"))),IF(TODAY()&gt;U22,"Behind — award date passed",IF(U22-TODAY()&lt;=30,"At risk — close to off track","On track"))),IF(X22="","No planned date",IF(AND(TODAY()&gt;X22,OR(Z22="",Z22&lt;100)),"Behind — past end date",IF(AND(T22&lt;&gt;"",X22&lt;&gt;"",Z22&lt;&gt;"",(Z22&lt;100),((TODAY()-T22)/MAX(X22-T22,1)*100)-Z22&gt;15),"Behind — progress lag",IF(AND(X22-TODAY()&lt;=30,X22-TODAY()&gt;=0,OR(Z22="",Z22&lt;90)),"At risk — close to off track","On track"))))))))</t>
        </is>
      </c>
      <c r="AH22" s="49" t="inlineStr">
        <is>
          <t>IF(OR(F22="",AC22="Completed / Handover",AC22="Cancelled"),"",IF(O22="Not awarded",IF(U22&lt;&gt;"",U22-TODAY(),IF(X22="","",X22-TODAY())),IF(X22="","",X22-TODAY())))</t>
        </is>
      </c>
      <c r="AI22" s="54" t="n"/>
      <c r="AJ22" s="54" t="n"/>
      <c r="AK22" s="54" t="n"/>
      <c r="AL22" s="54" t="n"/>
      <c r="AM22" s="54" t="n"/>
      <c r="AN22" s="54" t="n"/>
      <c r="AO22" s="54" t="n"/>
      <c r="AP22" s="54" t="n"/>
      <c r="AQ22" s="54" t="n"/>
      <c r="AR22" s="54" t="n"/>
      <c r="AS22" s="54" t="n"/>
      <c r="AT22" s="50" t="n"/>
      <c r="AU22" s="50" t="n"/>
      <c r="AV22" s="50" t="n"/>
      <c r="AW22" s="49" t="inlineStr">
        <is>
          <t>IF(OR(F22="",AJ22=""),"",IF(COUNT(AI22:AI22)=0,"",AJ22-LOOKUP(2,1/(AI22:AI22&lt;&gt;""),AI22:AI22)))</t>
        </is>
      </c>
      <c r="AX22" s="49" t="inlineStr">
        <is>
          <t>IF(OR(F22="",AK22=""),"",IF(COUNT(AI22:AJ22)=0,"",AK22-LOOKUP(2,1/(AI22:AJ22&lt;&gt;""),AI22:AJ22)))</t>
        </is>
      </c>
      <c r="AY22" s="49" t="inlineStr">
        <is>
          <t>IF(OR(F22="",AL22=""),"",IF(COUNT(AI22:AK22)=0,"",AL22-LOOKUP(2,1/(AI22:AK22&lt;&gt;""),AI22:AK22)))</t>
        </is>
      </c>
      <c r="AZ22" s="49" t="inlineStr">
        <is>
          <t>IF(OR(F22="",AM22=""),"",IF(COUNT(AI22:AL22)=0,"",AM22-LOOKUP(2,1/(AI22:AL22&lt;&gt;""),AI22:AL22)))</t>
        </is>
      </c>
      <c r="BA22" s="49" t="inlineStr">
        <is>
          <t>IF(OR(F22="",AN22=""),"",IF(COUNT(AI22:AM22)=0,"",AN22-LOOKUP(2,1/(AI22:AM22&lt;&gt;""),AI22:AM22)))</t>
        </is>
      </c>
      <c r="BB22" s="49" t="inlineStr">
        <is>
          <t>IF(OR(F22="",AO22=""),"",IF(COUNT(AI22:AN22)=0,"",AO22-LOOKUP(2,1/(AI22:AN22&lt;&gt;""),AI22:AN22)))</t>
        </is>
      </c>
      <c r="BC22" s="49" t="inlineStr">
        <is>
          <t>IF(OR(F22="",AP22=""),"",IF(COUNT(AI22:AO22)=0,"",AP22-LOOKUP(2,1/(AI22:AO22&lt;&gt;""),AI22:AO22)))</t>
        </is>
      </c>
      <c r="BD22" s="49" t="inlineStr">
        <is>
          <t>IF(OR(F22="",AQ22=""),"",IF(COUNT(AI22:AP22)=0,"",AQ22-LOOKUP(2,1/(AI22:AP22&lt;&gt;""),AI22:AP22)))</t>
        </is>
      </c>
      <c r="BE22" s="49" t="inlineStr">
        <is>
          <t>IF(OR(F22="",AR22=""),"",IF(COUNT(AI22:AQ22)=0,"",AR22-LOOKUP(2,1/(AI22:AQ22&lt;&gt;""),AI22:AQ22)))</t>
        </is>
      </c>
      <c r="BF22" s="49" t="inlineStr">
        <is>
          <t>IF(OR(F22="",AS22=""),"",IF(COUNT(AI22:AR22)=0,"",AS22-LOOKUP(2,1/(AI22:AR22&lt;&gt;""),AI22:AR22)))</t>
        </is>
      </c>
      <c r="BG22" s="49" t="inlineStr">
        <is>
          <t>IF(OR(F22="",AT22=""),"",IF(COUNT(AI22:AS22)=0,"",AT22-LOOKUP(2,1/(AI22:AS22&lt;&gt;""),AI22:AS22)))</t>
        </is>
      </c>
      <c r="BH22" s="49" t="inlineStr">
        <is>
          <t>IF(OR(F22="",AU22=""),"",IF(COUNT(AI22:AT22)=0,"",AU22-LOOKUP(2,1/(AI22:AT22&lt;&gt;""),AI22:AT22)))</t>
        </is>
      </c>
      <c r="BI22" s="49" t="inlineStr">
        <is>
          <t>IF(OR(F22="",AV22=""),"",IF(COUNT(AI22:AU22)=0,"",AV22-LOOKUP(2,1/(AI22:AU22&lt;&gt;""),AI22:AU22)))</t>
        </is>
      </c>
      <c r="BJ22" s="51" t="inlineStr">
        <is>
          <t>IF(J22="","All_Provinces",IFERROR(VLOOKUP(J22,'09_Lookups'!$A$4:$B$20,2,FALSE),"All_Provinces"))</t>
        </is>
      </c>
      <c r="BK22" s="51" t="inlineStr">
        <is>
          <t>IF(K22="","All_Districts",IFERROR(VLOOKUP(K22,'09_Lookups'!$E$4:$F$42,2,FALSE),"All_Districts"))</t>
        </is>
      </c>
    </row>
    <row r="23" ht="18" customHeight="1">
      <c r="A23" s="42" t="inlineStr">
        <is>
          <t>IF(F23="","",ROW()-3)</t>
        </is>
      </c>
      <c r="B23" s="44" t="n"/>
      <c r="C23" s="44" t="n"/>
      <c r="D23" s="44" t="n"/>
      <c r="E23" s="44" t="n"/>
      <c r="F23" s="44" t="n"/>
      <c r="G23" s="44" t="n"/>
      <c r="H23" s="44" t="n"/>
      <c r="I23" s="44" t="n"/>
      <c r="J23" s="44" t="n"/>
      <c r="K23" s="44" t="n"/>
      <c r="L23" s="44" t="n"/>
      <c r="M23" s="44" t="n"/>
      <c r="N23" s="44" t="n"/>
      <c r="O23" s="44" t="n"/>
      <c r="P23" s="44" t="n"/>
      <c r="Q23" s="44" t="n"/>
      <c r="R23" s="44" t="n"/>
      <c r="S23" s="45" t="n"/>
      <c r="T23" s="46" t="inlineStr">
        <is>
          <t>IF(AQ23="","",AQ23)</t>
        </is>
      </c>
      <c r="U23" s="47" t="n"/>
      <c r="V23" s="48" t="n"/>
      <c r="W23" s="47" t="n"/>
      <c r="X23" s="46" t="inlineStr">
        <is>
          <t>IF(W23&lt;&gt;"",W23,IF(OR(T23="",V23=""),"",EDATE(T23,V23)))</t>
        </is>
      </c>
      <c r="Y23" s="47" t="n"/>
      <c r="Z23" s="48" t="n"/>
      <c r="AA23" s="44" t="n"/>
      <c r="AB23" s="44" t="n"/>
      <c r="AC23" s="42" t="inlineStr">
        <is>
          <t>IF(F23="","",IF(COUNT(AI23:AV23)=0,IF(AA23="","Not started",AA23),SUBSTITUTE(LOOKUP(2,1/(AI23:AV23&lt;&gt;""),$AI$3:$AV$3),"Date: ","")))</t>
        </is>
      </c>
      <c r="AD23" s="49" t="inlineStr">
        <is>
          <t>IF(OR(F23="",COUNT(AI23:AV23)=0),"",TODAY()-LOOKUP(2,1/(AI23:AV23&lt;&gt;""),AI23:AV23))</t>
        </is>
      </c>
      <c r="AE23" s="49" t="inlineStr">
        <is>
          <t>IF(OR(F23="",COUNT(AI23:AV23)&lt;2),"",LOOKUP(2,1/(AI23:AV23&lt;&gt;""),AI23:AV23)-MIN(AI23:AV23))</t>
        </is>
      </c>
      <c r="AF23" s="49" t="inlineStr">
        <is>
          <t>IF(OR(AD23="",AC23="Not started",AC23=""),"",IFERROR(AD23-IF(VLOOKUP(AC23,'06_Status_Pipeline'!$B$3:$E$20,4,FALSE)="",0,VLOOKUP(AC23,'06_Status_Pipeline'!$B$3:$E$20,4,FALSE)),""))</t>
        </is>
      </c>
      <c r="AG23" s="42" t="inlineStr">
        <is>
          <t>IF(F23="","",IF(OR(AA23="Cancelled",AC23="Cancelled"),"Cancelled",IF(OR(AC23="Completed / Handover",Y23&lt;&gt;"",Z23&gt;=100),"Completed — on track",IF(O23="Not awarded",IF(U23="",IF(X23="","No planned date",IF(TODAY()&gt;X23,"Behind — past planned date",IF(X23-TODAY()&lt;=30,"At risk — close to off track","On track"))),IF(TODAY()&gt;U23,"Behind — award date passed",IF(U23-TODAY()&lt;=30,"At risk — close to off track","On track"))),IF(X23="","No planned date",IF(AND(TODAY()&gt;X23,OR(Z23="",Z23&lt;100)),"Behind — past end date",IF(AND(T23&lt;&gt;"",X23&lt;&gt;"",Z23&lt;&gt;"",(Z23&lt;100),((TODAY()-T23)/MAX(X23-T23,1)*100)-Z23&gt;15),"Behind — progress lag",IF(AND(X23-TODAY()&lt;=30,X23-TODAY()&gt;=0,OR(Z23="",Z23&lt;90)),"At risk — close to off track","On track"))))))))</t>
        </is>
      </c>
      <c r="AH23" s="49" t="inlineStr">
        <is>
          <t>IF(OR(F23="",AC23="Completed / Handover",AC23="Cancelled"),"",IF(O23="Not awarded",IF(U23&lt;&gt;"",U23-TODAY(),IF(X23="","",X23-TODAY())),IF(X23="","",X23-TODAY())))</t>
        </is>
      </c>
      <c r="AI23" s="47" t="n"/>
      <c r="AJ23" s="47" t="n"/>
      <c r="AK23" s="47" t="n"/>
      <c r="AL23" s="47" t="n"/>
      <c r="AM23" s="47" t="n"/>
      <c r="AN23" s="47" t="n"/>
      <c r="AO23" s="47" t="n"/>
      <c r="AP23" s="47" t="n"/>
      <c r="AQ23" s="47" t="n"/>
      <c r="AR23" s="47" t="n"/>
      <c r="AS23" s="47" t="n"/>
      <c r="AT23" s="50" t="n"/>
      <c r="AU23" s="50" t="n"/>
      <c r="AV23" s="50" t="n"/>
      <c r="AW23" s="49" t="inlineStr">
        <is>
          <t>IF(OR(F23="",AJ23=""),"",IF(COUNT(AI23:AI23)=0,"",AJ23-LOOKUP(2,1/(AI23:AI23&lt;&gt;""),AI23:AI23)))</t>
        </is>
      </c>
      <c r="AX23" s="49" t="inlineStr">
        <is>
          <t>IF(OR(F23="",AK23=""),"",IF(COUNT(AI23:AJ23)=0,"",AK23-LOOKUP(2,1/(AI23:AJ23&lt;&gt;""),AI23:AJ23)))</t>
        </is>
      </c>
      <c r="AY23" s="49" t="inlineStr">
        <is>
          <t>IF(OR(F23="",AL23=""),"",IF(COUNT(AI23:AK23)=0,"",AL23-LOOKUP(2,1/(AI23:AK23&lt;&gt;""),AI23:AK23)))</t>
        </is>
      </c>
      <c r="AZ23" s="49" t="inlineStr">
        <is>
          <t>IF(OR(F23="",AM23=""),"",IF(COUNT(AI23:AL23)=0,"",AM23-LOOKUP(2,1/(AI23:AL23&lt;&gt;""),AI23:AL23)))</t>
        </is>
      </c>
      <c r="BA23" s="49" t="inlineStr">
        <is>
          <t>IF(OR(F23="",AN23=""),"",IF(COUNT(AI23:AM23)=0,"",AN23-LOOKUP(2,1/(AI23:AM23&lt;&gt;""),AI23:AM23)))</t>
        </is>
      </c>
      <c r="BB23" s="49" t="inlineStr">
        <is>
          <t>IF(OR(F23="",AO23=""),"",IF(COUNT(AI23:AN23)=0,"",AO23-LOOKUP(2,1/(AI23:AN23&lt;&gt;""),AI23:AN23)))</t>
        </is>
      </c>
      <c r="BC23" s="49" t="inlineStr">
        <is>
          <t>IF(OR(F23="",AP23=""),"",IF(COUNT(AI23:AO23)=0,"",AP23-LOOKUP(2,1/(AI23:AO23&lt;&gt;""),AI23:AO23)))</t>
        </is>
      </c>
      <c r="BD23" s="49" t="inlineStr">
        <is>
          <t>IF(OR(F23="",AQ23=""),"",IF(COUNT(AI23:AP23)=0,"",AQ23-LOOKUP(2,1/(AI23:AP23&lt;&gt;""),AI23:AP23)))</t>
        </is>
      </c>
      <c r="BE23" s="49" t="inlineStr">
        <is>
          <t>IF(OR(F23="",AR23=""),"",IF(COUNT(AI23:AQ23)=0,"",AR23-LOOKUP(2,1/(AI23:AQ23&lt;&gt;""),AI23:AQ23)))</t>
        </is>
      </c>
      <c r="BF23" s="49" t="inlineStr">
        <is>
          <t>IF(OR(F23="",AS23=""),"",IF(COUNT(AI23:AR23)=0,"",AS23-LOOKUP(2,1/(AI23:AR23&lt;&gt;""),AI23:AR23)))</t>
        </is>
      </c>
      <c r="BG23" s="49" t="inlineStr">
        <is>
          <t>IF(OR(F23="",AT23=""),"",IF(COUNT(AI23:AS23)=0,"",AT23-LOOKUP(2,1/(AI23:AS23&lt;&gt;""),AI23:AS23)))</t>
        </is>
      </c>
      <c r="BH23" s="49" t="inlineStr">
        <is>
          <t>IF(OR(F23="",AU23=""),"",IF(COUNT(AI23:AT23)=0,"",AU23-LOOKUP(2,1/(AI23:AT23&lt;&gt;""),AI23:AT23)))</t>
        </is>
      </c>
      <c r="BI23" s="49" t="inlineStr">
        <is>
          <t>IF(OR(F23="",AV23=""),"",IF(COUNT(AI23:AU23)=0,"",AV23-LOOKUP(2,1/(AI23:AU23&lt;&gt;""),AI23:AU23)))</t>
        </is>
      </c>
      <c r="BJ23" s="51" t="inlineStr">
        <is>
          <t>IF(J23="","All_Provinces",IFERROR(VLOOKUP(J23,'09_Lookups'!$A$4:$B$20,2,FALSE),"All_Provinces"))</t>
        </is>
      </c>
      <c r="BK23" s="51" t="inlineStr">
        <is>
          <t>IF(K23="","All_Districts",IFERROR(VLOOKUP(K23,'09_Lookups'!$E$4:$F$42,2,FALSE),"All_Districts"))</t>
        </is>
      </c>
    </row>
    <row r="24" ht="18" customHeight="1">
      <c r="A24" s="42" t="inlineStr">
        <is>
          <t>IF(F24="","",ROW()-3)</t>
        </is>
      </c>
      <c r="B24" s="52" t="n"/>
      <c r="C24" s="52" t="n"/>
      <c r="D24" s="52" t="n"/>
      <c r="E24" s="52" t="n"/>
      <c r="F24" s="52" t="n"/>
      <c r="G24" s="52" t="n"/>
      <c r="H24" s="52" t="n"/>
      <c r="I24" s="52" t="n"/>
      <c r="J24" s="52" t="n"/>
      <c r="K24" s="52" t="n"/>
      <c r="L24" s="52" t="n"/>
      <c r="M24" s="52" t="n"/>
      <c r="N24" s="52" t="n"/>
      <c r="O24" s="52" t="n"/>
      <c r="P24" s="52" t="n"/>
      <c r="Q24" s="52" t="n"/>
      <c r="R24" s="52" t="n"/>
      <c r="S24" s="53" t="n"/>
      <c r="T24" s="46" t="inlineStr">
        <is>
          <t>IF(AQ24="","",AQ24)</t>
        </is>
      </c>
      <c r="U24" s="54" t="n"/>
      <c r="V24" s="55" t="n"/>
      <c r="W24" s="54" t="n"/>
      <c r="X24" s="46" t="inlineStr">
        <is>
          <t>IF(W24&lt;&gt;"",W24,IF(OR(T24="",V24=""),"",EDATE(T24,V24)))</t>
        </is>
      </c>
      <c r="Y24" s="54" t="n"/>
      <c r="Z24" s="55" t="n"/>
      <c r="AA24" s="52" t="n"/>
      <c r="AB24" s="52" t="n"/>
      <c r="AC24" s="42" t="inlineStr">
        <is>
          <t>IF(F24="","",IF(COUNT(AI24:AV24)=0,IF(AA24="","Not started",AA24),SUBSTITUTE(LOOKUP(2,1/(AI24:AV24&lt;&gt;""),$AI$3:$AV$3),"Date: ","")))</t>
        </is>
      </c>
      <c r="AD24" s="49" t="inlineStr">
        <is>
          <t>IF(OR(F24="",COUNT(AI24:AV24)=0),"",TODAY()-LOOKUP(2,1/(AI24:AV24&lt;&gt;""),AI24:AV24))</t>
        </is>
      </c>
      <c r="AE24" s="49" t="inlineStr">
        <is>
          <t>IF(OR(F24="",COUNT(AI24:AV24)&lt;2),"",LOOKUP(2,1/(AI24:AV24&lt;&gt;""),AI24:AV24)-MIN(AI24:AV24))</t>
        </is>
      </c>
      <c r="AF24" s="49" t="inlineStr">
        <is>
          <t>IF(OR(AD24="",AC24="Not started",AC24=""),"",IFERROR(AD24-IF(VLOOKUP(AC24,'06_Status_Pipeline'!$B$3:$E$20,4,FALSE)="",0,VLOOKUP(AC24,'06_Status_Pipeline'!$B$3:$E$20,4,FALSE)),""))</t>
        </is>
      </c>
      <c r="AG24" s="42" t="inlineStr">
        <is>
          <t>IF(F24="","",IF(OR(AA24="Cancelled",AC24="Cancelled"),"Cancelled",IF(OR(AC24="Completed / Handover",Y24&lt;&gt;"",Z24&gt;=100),"Completed — on track",IF(O24="Not awarded",IF(U24="",IF(X24="","No planned date",IF(TODAY()&gt;X24,"Behind — past planned date",IF(X24-TODAY()&lt;=30,"At risk — close to off track","On track"))),IF(TODAY()&gt;U24,"Behind — award date passed",IF(U24-TODAY()&lt;=30,"At risk — close to off track","On track"))),IF(X24="","No planned date",IF(AND(TODAY()&gt;X24,OR(Z24="",Z24&lt;100)),"Behind — past end date",IF(AND(T24&lt;&gt;"",X24&lt;&gt;"",Z24&lt;&gt;"",(Z24&lt;100),((TODAY()-T24)/MAX(X24-T24,1)*100)-Z24&gt;15),"Behind — progress lag",IF(AND(X24-TODAY()&lt;=30,X24-TODAY()&gt;=0,OR(Z24="",Z24&lt;90)),"At risk — close to off track","On track"))))))))</t>
        </is>
      </c>
      <c r="AH24" s="49" t="inlineStr">
        <is>
          <t>IF(OR(F24="",AC24="Completed / Handover",AC24="Cancelled"),"",IF(O24="Not awarded",IF(U24&lt;&gt;"",U24-TODAY(),IF(X24="","",X24-TODAY())),IF(X24="","",X24-TODAY())))</t>
        </is>
      </c>
      <c r="AI24" s="54" t="n"/>
      <c r="AJ24" s="54" t="n"/>
      <c r="AK24" s="54" t="n"/>
      <c r="AL24" s="54" t="n"/>
      <c r="AM24" s="54" t="n"/>
      <c r="AN24" s="54" t="n"/>
      <c r="AO24" s="54" t="n"/>
      <c r="AP24" s="54" t="n"/>
      <c r="AQ24" s="54" t="n"/>
      <c r="AR24" s="54" t="n"/>
      <c r="AS24" s="54" t="n"/>
      <c r="AT24" s="50" t="n"/>
      <c r="AU24" s="50" t="n"/>
      <c r="AV24" s="50" t="n"/>
      <c r="AW24" s="49" t="inlineStr">
        <is>
          <t>IF(OR(F24="",AJ24=""),"",IF(COUNT(AI24:AI24)=0,"",AJ24-LOOKUP(2,1/(AI24:AI24&lt;&gt;""),AI24:AI24)))</t>
        </is>
      </c>
      <c r="AX24" s="49" t="inlineStr">
        <is>
          <t>IF(OR(F24="",AK24=""),"",IF(COUNT(AI24:AJ24)=0,"",AK24-LOOKUP(2,1/(AI24:AJ24&lt;&gt;""),AI24:AJ24)))</t>
        </is>
      </c>
      <c r="AY24" s="49" t="inlineStr">
        <is>
          <t>IF(OR(F24="",AL24=""),"",IF(COUNT(AI24:AK24)=0,"",AL24-LOOKUP(2,1/(AI24:AK24&lt;&gt;""),AI24:AK24)))</t>
        </is>
      </c>
      <c r="AZ24" s="49" t="inlineStr">
        <is>
          <t>IF(OR(F24="",AM24=""),"",IF(COUNT(AI24:AL24)=0,"",AM24-LOOKUP(2,1/(AI24:AL24&lt;&gt;""),AI24:AL24)))</t>
        </is>
      </c>
      <c r="BA24" s="49" t="inlineStr">
        <is>
          <t>IF(OR(F24="",AN24=""),"",IF(COUNT(AI24:AM24)=0,"",AN24-LOOKUP(2,1/(AI24:AM24&lt;&gt;""),AI24:AM24)))</t>
        </is>
      </c>
      <c r="BB24" s="49" t="inlineStr">
        <is>
          <t>IF(OR(F24="",AO24=""),"",IF(COUNT(AI24:AN24)=0,"",AO24-LOOKUP(2,1/(AI24:AN24&lt;&gt;""),AI24:AN24)))</t>
        </is>
      </c>
      <c r="BC24" s="49" t="inlineStr">
        <is>
          <t>IF(OR(F24="",AP24=""),"",IF(COUNT(AI24:AO24)=0,"",AP24-LOOKUP(2,1/(AI24:AO24&lt;&gt;""),AI24:AO24)))</t>
        </is>
      </c>
      <c r="BD24" s="49" t="inlineStr">
        <is>
          <t>IF(OR(F24="",AQ24=""),"",IF(COUNT(AI24:AP24)=0,"",AQ24-LOOKUP(2,1/(AI24:AP24&lt;&gt;""),AI24:AP24)))</t>
        </is>
      </c>
      <c r="BE24" s="49" t="inlineStr">
        <is>
          <t>IF(OR(F24="",AR24=""),"",IF(COUNT(AI24:AQ24)=0,"",AR24-LOOKUP(2,1/(AI24:AQ24&lt;&gt;""),AI24:AQ24)))</t>
        </is>
      </c>
      <c r="BF24" s="49" t="inlineStr">
        <is>
          <t>IF(OR(F24="",AS24=""),"",IF(COUNT(AI24:AR24)=0,"",AS24-LOOKUP(2,1/(AI24:AR24&lt;&gt;""),AI24:AR24)))</t>
        </is>
      </c>
      <c r="BG24" s="49" t="inlineStr">
        <is>
          <t>IF(OR(F24="",AT24=""),"",IF(COUNT(AI24:AS24)=0,"",AT24-LOOKUP(2,1/(AI24:AS24&lt;&gt;""),AI24:AS24)))</t>
        </is>
      </c>
      <c r="BH24" s="49" t="inlineStr">
        <is>
          <t>IF(OR(F24="",AU24=""),"",IF(COUNT(AI24:AT24)=0,"",AU24-LOOKUP(2,1/(AI24:AT24&lt;&gt;""),AI24:AT24)))</t>
        </is>
      </c>
      <c r="BI24" s="49" t="inlineStr">
        <is>
          <t>IF(OR(F24="",AV24=""),"",IF(COUNT(AI24:AU24)=0,"",AV24-LOOKUP(2,1/(AI24:AU24&lt;&gt;""),AI24:AU24)))</t>
        </is>
      </c>
      <c r="BJ24" s="51" t="inlineStr">
        <is>
          <t>IF(J24="","All_Provinces",IFERROR(VLOOKUP(J24,'09_Lookups'!$A$4:$B$20,2,FALSE),"All_Provinces"))</t>
        </is>
      </c>
      <c r="BK24" s="51" t="inlineStr">
        <is>
          <t>IF(K24="","All_Districts",IFERROR(VLOOKUP(K24,'09_Lookups'!$E$4:$F$42,2,FALSE),"All_Districts"))</t>
        </is>
      </c>
    </row>
    <row r="25" ht="18" customHeight="1">
      <c r="A25" s="42" t="inlineStr">
        <is>
          <t>IF(F25="","",ROW()-3)</t>
        </is>
      </c>
      <c r="B25" s="44" t="n"/>
      <c r="C25" s="44" t="n"/>
      <c r="D25" s="44" t="n"/>
      <c r="E25" s="44" t="n"/>
      <c r="F25" s="44" t="n"/>
      <c r="G25" s="44" t="n"/>
      <c r="H25" s="44" t="n"/>
      <c r="I25" s="44" t="n"/>
      <c r="J25" s="44" t="n"/>
      <c r="K25" s="44" t="n"/>
      <c r="L25" s="44" t="n"/>
      <c r="M25" s="44" t="n"/>
      <c r="N25" s="44" t="n"/>
      <c r="O25" s="44" t="n"/>
      <c r="P25" s="44" t="n"/>
      <c r="Q25" s="44" t="n"/>
      <c r="R25" s="44" t="n"/>
      <c r="S25" s="45" t="n"/>
      <c r="T25" s="46" t="inlineStr">
        <is>
          <t>IF(AQ25="","",AQ25)</t>
        </is>
      </c>
      <c r="U25" s="47" t="n"/>
      <c r="V25" s="48" t="n"/>
      <c r="W25" s="47" t="n"/>
      <c r="X25" s="46" t="inlineStr">
        <is>
          <t>IF(W25&lt;&gt;"",W25,IF(OR(T25="",V25=""),"",EDATE(T25,V25)))</t>
        </is>
      </c>
      <c r="Y25" s="47" t="n"/>
      <c r="Z25" s="48" t="n"/>
      <c r="AA25" s="44" t="n"/>
      <c r="AB25" s="44" t="n"/>
      <c r="AC25" s="42" t="inlineStr">
        <is>
          <t>IF(F25="","",IF(COUNT(AI25:AV25)=0,IF(AA25="","Not started",AA25),SUBSTITUTE(LOOKUP(2,1/(AI25:AV25&lt;&gt;""),$AI$3:$AV$3),"Date: ","")))</t>
        </is>
      </c>
      <c r="AD25" s="49" t="inlineStr">
        <is>
          <t>IF(OR(F25="",COUNT(AI25:AV25)=0),"",TODAY()-LOOKUP(2,1/(AI25:AV25&lt;&gt;""),AI25:AV25))</t>
        </is>
      </c>
      <c r="AE25" s="49" t="inlineStr">
        <is>
          <t>IF(OR(F25="",COUNT(AI25:AV25)&lt;2),"",LOOKUP(2,1/(AI25:AV25&lt;&gt;""),AI25:AV25)-MIN(AI25:AV25))</t>
        </is>
      </c>
      <c r="AF25" s="49" t="inlineStr">
        <is>
          <t>IF(OR(AD25="",AC25="Not started",AC25=""),"",IFERROR(AD25-IF(VLOOKUP(AC25,'06_Status_Pipeline'!$B$3:$E$20,4,FALSE)="",0,VLOOKUP(AC25,'06_Status_Pipeline'!$B$3:$E$20,4,FALSE)),""))</t>
        </is>
      </c>
      <c r="AG25" s="42" t="inlineStr">
        <is>
          <t>IF(F25="","",IF(OR(AA25="Cancelled",AC25="Cancelled"),"Cancelled",IF(OR(AC25="Completed / Handover",Y25&lt;&gt;"",Z25&gt;=100),"Completed — on track",IF(O25="Not awarded",IF(U25="",IF(X25="","No planned date",IF(TODAY()&gt;X25,"Behind — past planned date",IF(X25-TODAY()&lt;=30,"At risk — close to off track","On track"))),IF(TODAY()&gt;U25,"Behind — award date passed",IF(U25-TODAY()&lt;=30,"At risk — close to off track","On track"))),IF(X25="","No planned date",IF(AND(TODAY()&gt;X25,OR(Z25="",Z25&lt;100)),"Behind — past end date",IF(AND(T25&lt;&gt;"",X25&lt;&gt;"",Z25&lt;&gt;"",(Z25&lt;100),((TODAY()-T25)/MAX(X25-T25,1)*100)-Z25&gt;15),"Behind — progress lag",IF(AND(X25-TODAY()&lt;=30,X25-TODAY()&gt;=0,OR(Z25="",Z25&lt;90)),"At risk — close to off track","On track"))))))))</t>
        </is>
      </c>
      <c r="AH25" s="49" t="inlineStr">
        <is>
          <t>IF(OR(F25="",AC25="Completed / Handover",AC25="Cancelled"),"",IF(O25="Not awarded",IF(U25&lt;&gt;"",U25-TODAY(),IF(X25="","",X25-TODAY())),IF(X25="","",X25-TODAY())))</t>
        </is>
      </c>
      <c r="AI25" s="47" t="n"/>
      <c r="AJ25" s="47" t="n"/>
      <c r="AK25" s="47" t="n"/>
      <c r="AL25" s="47" t="n"/>
      <c r="AM25" s="47" t="n"/>
      <c r="AN25" s="47" t="n"/>
      <c r="AO25" s="47" t="n"/>
      <c r="AP25" s="47" t="n"/>
      <c r="AQ25" s="47" t="n"/>
      <c r="AR25" s="47" t="n"/>
      <c r="AS25" s="47" t="n"/>
      <c r="AT25" s="50" t="n"/>
      <c r="AU25" s="50" t="n"/>
      <c r="AV25" s="50" t="n"/>
      <c r="AW25" s="49" t="inlineStr">
        <is>
          <t>IF(OR(F25="",AJ25=""),"",IF(COUNT(AI25:AI25)=0,"",AJ25-LOOKUP(2,1/(AI25:AI25&lt;&gt;""),AI25:AI25)))</t>
        </is>
      </c>
      <c r="AX25" s="49" t="inlineStr">
        <is>
          <t>IF(OR(F25="",AK25=""),"",IF(COUNT(AI25:AJ25)=0,"",AK25-LOOKUP(2,1/(AI25:AJ25&lt;&gt;""),AI25:AJ25)))</t>
        </is>
      </c>
      <c r="AY25" s="49" t="inlineStr">
        <is>
          <t>IF(OR(F25="",AL25=""),"",IF(COUNT(AI25:AK25)=0,"",AL25-LOOKUP(2,1/(AI25:AK25&lt;&gt;""),AI25:AK25)))</t>
        </is>
      </c>
      <c r="AZ25" s="49" t="inlineStr">
        <is>
          <t>IF(OR(F25="",AM25=""),"",IF(COUNT(AI25:AL25)=0,"",AM25-LOOKUP(2,1/(AI25:AL25&lt;&gt;""),AI25:AL25)))</t>
        </is>
      </c>
      <c r="BA25" s="49" t="inlineStr">
        <is>
          <t>IF(OR(F25="",AN25=""),"",IF(COUNT(AI25:AM25)=0,"",AN25-LOOKUP(2,1/(AI25:AM25&lt;&gt;""),AI25:AM25)))</t>
        </is>
      </c>
      <c r="BB25" s="49" t="inlineStr">
        <is>
          <t>IF(OR(F25="",AO25=""),"",IF(COUNT(AI25:AN25)=0,"",AO25-LOOKUP(2,1/(AI25:AN25&lt;&gt;""),AI25:AN25)))</t>
        </is>
      </c>
      <c r="BC25" s="49" t="inlineStr">
        <is>
          <t>IF(OR(F25="",AP25=""),"",IF(COUNT(AI25:AO25)=0,"",AP25-LOOKUP(2,1/(AI25:AO25&lt;&gt;""),AI25:AO25)))</t>
        </is>
      </c>
      <c r="BD25" s="49" t="inlineStr">
        <is>
          <t>IF(OR(F25="",AQ25=""),"",IF(COUNT(AI25:AP25)=0,"",AQ25-LOOKUP(2,1/(AI25:AP25&lt;&gt;""),AI25:AP25)))</t>
        </is>
      </c>
      <c r="BE25" s="49" t="inlineStr">
        <is>
          <t>IF(OR(F25="",AR25=""),"",IF(COUNT(AI25:AQ25)=0,"",AR25-LOOKUP(2,1/(AI25:AQ25&lt;&gt;""),AI25:AQ25)))</t>
        </is>
      </c>
      <c r="BF25" s="49" t="inlineStr">
        <is>
          <t>IF(OR(F25="",AS25=""),"",IF(COUNT(AI25:AR25)=0,"",AS25-LOOKUP(2,1/(AI25:AR25&lt;&gt;""),AI25:AR25)))</t>
        </is>
      </c>
      <c r="BG25" s="49" t="inlineStr">
        <is>
          <t>IF(OR(F25="",AT25=""),"",IF(COUNT(AI25:AS25)=0,"",AT25-LOOKUP(2,1/(AI25:AS25&lt;&gt;""),AI25:AS25)))</t>
        </is>
      </c>
      <c r="BH25" s="49" t="inlineStr">
        <is>
          <t>IF(OR(F25="",AU25=""),"",IF(COUNT(AI25:AT25)=0,"",AU25-LOOKUP(2,1/(AI25:AT25&lt;&gt;""),AI25:AT25)))</t>
        </is>
      </c>
      <c r="BI25" s="49" t="inlineStr">
        <is>
          <t>IF(OR(F25="",AV25=""),"",IF(COUNT(AI25:AU25)=0,"",AV25-LOOKUP(2,1/(AI25:AU25&lt;&gt;""),AI25:AU25)))</t>
        </is>
      </c>
      <c r="BJ25" s="51" t="inlineStr">
        <is>
          <t>IF(J25="","All_Provinces",IFERROR(VLOOKUP(J25,'09_Lookups'!$A$4:$B$20,2,FALSE),"All_Provinces"))</t>
        </is>
      </c>
      <c r="BK25" s="51" t="inlineStr">
        <is>
          <t>IF(K25="","All_Districts",IFERROR(VLOOKUP(K25,'09_Lookups'!$E$4:$F$42,2,FALSE),"All_Districts"))</t>
        </is>
      </c>
    </row>
    <row r="26" ht="18" customHeight="1">
      <c r="A26" s="42" t="inlineStr">
        <is>
          <t>IF(F26="","",ROW()-3)</t>
        </is>
      </c>
      <c r="B26" s="52" t="n"/>
      <c r="C26" s="52" t="n"/>
      <c r="D26" s="52" t="n"/>
      <c r="E26" s="52" t="n"/>
      <c r="F26" s="52" t="n"/>
      <c r="G26" s="52" t="n"/>
      <c r="H26" s="52" t="n"/>
      <c r="I26" s="52" t="n"/>
      <c r="J26" s="52" t="n"/>
      <c r="K26" s="52" t="n"/>
      <c r="L26" s="52" t="n"/>
      <c r="M26" s="52" t="n"/>
      <c r="N26" s="52" t="n"/>
      <c r="O26" s="52" t="n"/>
      <c r="P26" s="52" t="n"/>
      <c r="Q26" s="52" t="n"/>
      <c r="R26" s="52" t="n"/>
      <c r="S26" s="53" t="n"/>
      <c r="T26" s="46" t="inlineStr">
        <is>
          <t>IF(AQ26="","",AQ26)</t>
        </is>
      </c>
      <c r="U26" s="54" t="n"/>
      <c r="V26" s="55" t="n"/>
      <c r="W26" s="54" t="n"/>
      <c r="X26" s="46" t="inlineStr">
        <is>
          <t>IF(W26&lt;&gt;"",W26,IF(OR(T26="",V26=""),"",EDATE(T26,V26)))</t>
        </is>
      </c>
      <c r="Y26" s="54" t="n"/>
      <c r="Z26" s="55" t="n"/>
      <c r="AA26" s="52" t="n"/>
      <c r="AB26" s="52" t="n"/>
      <c r="AC26" s="42" t="inlineStr">
        <is>
          <t>IF(F26="","",IF(COUNT(AI26:AV26)=0,IF(AA26="","Not started",AA26),SUBSTITUTE(LOOKUP(2,1/(AI26:AV26&lt;&gt;""),$AI$3:$AV$3),"Date: ","")))</t>
        </is>
      </c>
      <c r="AD26" s="49" t="inlineStr">
        <is>
          <t>IF(OR(F26="",COUNT(AI26:AV26)=0),"",TODAY()-LOOKUP(2,1/(AI26:AV26&lt;&gt;""),AI26:AV26))</t>
        </is>
      </c>
      <c r="AE26" s="49" t="inlineStr">
        <is>
          <t>IF(OR(F26="",COUNT(AI26:AV26)&lt;2),"",LOOKUP(2,1/(AI26:AV26&lt;&gt;""),AI26:AV26)-MIN(AI26:AV26))</t>
        </is>
      </c>
      <c r="AF26" s="49" t="inlineStr">
        <is>
          <t>IF(OR(AD26="",AC26="Not started",AC26=""),"",IFERROR(AD26-IF(VLOOKUP(AC26,'06_Status_Pipeline'!$B$3:$E$20,4,FALSE)="",0,VLOOKUP(AC26,'06_Status_Pipeline'!$B$3:$E$20,4,FALSE)),""))</t>
        </is>
      </c>
      <c r="AG26" s="42" t="inlineStr">
        <is>
          <t>IF(F26="","",IF(OR(AA26="Cancelled",AC26="Cancelled"),"Cancelled",IF(OR(AC26="Completed / Handover",Y26&lt;&gt;"",Z26&gt;=100),"Completed — on track",IF(O26="Not awarded",IF(U26="",IF(X26="","No planned date",IF(TODAY()&gt;X26,"Behind — past planned date",IF(X26-TODAY()&lt;=30,"At risk — close to off track","On track"))),IF(TODAY()&gt;U26,"Behind — award date passed",IF(U26-TODAY()&lt;=30,"At risk — close to off track","On track"))),IF(X26="","No planned date",IF(AND(TODAY()&gt;X26,OR(Z26="",Z26&lt;100)),"Behind — past end date",IF(AND(T26&lt;&gt;"",X26&lt;&gt;"",Z26&lt;&gt;"",(Z26&lt;100),((TODAY()-T26)/MAX(X26-T26,1)*100)-Z26&gt;15),"Behind — progress lag",IF(AND(X26-TODAY()&lt;=30,X26-TODAY()&gt;=0,OR(Z26="",Z26&lt;90)),"At risk — close to off track","On track"))))))))</t>
        </is>
      </c>
      <c r="AH26" s="49" t="inlineStr">
        <is>
          <t>IF(OR(F26="",AC26="Completed / Handover",AC26="Cancelled"),"",IF(O26="Not awarded",IF(U26&lt;&gt;"",U26-TODAY(),IF(X26="","",X26-TODAY())),IF(X26="","",X26-TODAY())))</t>
        </is>
      </c>
      <c r="AI26" s="54" t="n"/>
      <c r="AJ26" s="54" t="n"/>
      <c r="AK26" s="54" t="n"/>
      <c r="AL26" s="54" t="n"/>
      <c r="AM26" s="54" t="n"/>
      <c r="AN26" s="54" t="n"/>
      <c r="AO26" s="54" t="n"/>
      <c r="AP26" s="54" t="n"/>
      <c r="AQ26" s="54" t="n"/>
      <c r="AR26" s="54" t="n"/>
      <c r="AS26" s="54" t="n"/>
      <c r="AT26" s="50" t="n"/>
      <c r="AU26" s="50" t="n"/>
      <c r="AV26" s="50" t="n"/>
      <c r="AW26" s="49" t="inlineStr">
        <is>
          <t>IF(OR(F26="",AJ26=""),"",IF(COUNT(AI26:AI26)=0,"",AJ26-LOOKUP(2,1/(AI26:AI26&lt;&gt;""),AI26:AI26)))</t>
        </is>
      </c>
      <c r="AX26" s="49" t="inlineStr">
        <is>
          <t>IF(OR(F26="",AK26=""),"",IF(COUNT(AI26:AJ26)=0,"",AK26-LOOKUP(2,1/(AI26:AJ26&lt;&gt;""),AI26:AJ26)))</t>
        </is>
      </c>
      <c r="AY26" s="49" t="inlineStr">
        <is>
          <t>IF(OR(F26="",AL26=""),"",IF(COUNT(AI26:AK26)=0,"",AL26-LOOKUP(2,1/(AI26:AK26&lt;&gt;""),AI26:AK26)))</t>
        </is>
      </c>
      <c r="AZ26" s="49" t="inlineStr">
        <is>
          <t>IF(OR(F26="",AM26=""),"",IF(COUNT(AI26:AL26)=0,"",AM26-LOOKUP(2,1/(AI26:AL26&lt;&gt;""),AI26:AL26)))</t>
        </is>
      </c>
      <c r="BA26" s="49" t="inlineStr">
        <is>
          <t>IF(OR(F26="",AN26=""),"",IF(COUNT(AI26:AM26)=0,"",AN26-LOOKUP(2,1/(AI26:AM26&lt;&gt;""),AI26:AM26)))</t>
        </is>
      </c>
      <c r="BB26" s="49" t="inlineStr">
        <is>
          <t>IF(OR(F26="",AO26=""),"",IF(COUNT(AI26:AN26)=0,"",AO26-LOOKUP(2,1/(AI26:AN26&lt;&gt;""),AI26:AN26)))</t>
        </is>
      </c>
      <c r="BC26" s="49" t="inlineStr">
        <is>
          <t>IF(OR(F26="",AP26=""),"",IF(COUNT(AI26:AO26)=0,"",AP26-LOOKUP(2,1/(AI26:AO26&lt;&gt;""),AI26:AO26)))</t>
        </is>
      </c>
      <c r="BD26" s="49" t="inlineStr">
        <is>
          <t>IF(OR(F26="",AQ26=""),"",IF(COUNT(AI26:AP26)=0,"",AQ26-LOOKUP(2,1/(AI26:AP26&lt;&gt;""),AI26:AP26)))</t>
        </is>
      </c>
      <c r="BE26" s="49" t="inlineStr">
        <is>
          <t>IF(OR(F26="",AR26=""),"",IF(COUNT(AI26:AQ26)=0,"",AR26-LOOKUP(2,1/(AI26:AQ26&lt;&gt;""),AI26:AQ26)))</t>
        </is>
      </c>
      <c r="BF26" s="49" t="inlineStr">
        <is>
          <t>IF(OR(F26="",AS26=""),"",IF(COUNT(AI26:AR26)=0,"",AS26-LOOKUP(2,1/(AI26:AR26&lt;&gt;""),AI26:AR26)))</t>
        </is>
      </c>
      <c r="BG26" s="49" t="inlineStr">
        <is>
          <t>IF(OR(F26="",AT26=""),"",IF(COUNT(AI26:AS26)=0,"",AT26-LOOKUP(2,1/(AI26:AS26&lt;&gt;""),AI26:AS26)))</t>
        </is>
      </c>
      <c r="BH26" s="49" t="inlineStr">
        <is>
          <t>IF(OR(F26="",AU26=""),"",IF(COUNT(AI26:AT26)=0,"",AU26-LOOKUP(2,1/(AI26:AT26&lt;&gt;""),AI26:AT26)))</t>
        </is>
      </c>
      <c r="BI26" s="49" t="inlineStr">
        <is>
          <t>IF(OR(F26="",AV26=""),"",IF(COUNT(AI26:AU26)=0,"",AV26-LOOKUP(2,1/(AI26:AU26&lt;&gt;""),AI26:AU26)))</t>
        </is>
      </c>
      <c r="BJ26" s="51" t="inlineStr">
        <is>
          <t>IF(J26="","All_Provinces",IFERROR(VLOOKUP(J26,'09_Lookups'!$A$4:$B$20,2,FALSE),"All_Provinces"))</t>
        </is>
      </c>
      <c r="BK26" s="51" t="inlineStr">
        <is>
          <t>IF(K26="","All_Districts",IFERROR(VLOOKUP(K26,'09_Lookups'!$E$4:$F$42,2,FALSE),"All_Districts"))</t>
        </is>
      </c>
    </row>
    <row r="27" ht="18" customHeight="1">
      <c r="A27" s="42" t="inlineStr">
        <is>
          <t>IF(F27="","",ROW()-3)</t>
        </is>
      </c>
      <c r="B27" s="44" t="n"/>
      <c r="C27" s="44" t="n"/>
      <c r="D27" s="44" t="n"/>
      <c r="E27" s="44" t="n"/>
      <c r="F27" s="44" t="n"/>
      <c r="G27" s="44" t="n"/>
      <c r="H27" s="44" t="n"/>
      <c r="I27" s="44" t="n"/>
      <c r="J27" s="44" t="n"/>
      <c r="K27" s="44" t="n"/>
      <c r="L27" s="44" t="n"/>
      <c r="M27" s="44" t="n"/>
      <c r="N27" s="44" t="n"/>
      <c r="O27" s="44" t="n"/>
      <c r="P27" s="44" t="n"/>
      <c r="Q27" s="44" t="n"/>
      <c r="R27" s="44" t="n"/>
      <c r="S27" s="45" t="n"/>
      <c r="T27" s="46" t="inlineStr">
        <is>
          <t>IF(AQ27="","",AQ27)</t>
        </is>
      </c>
      <c r="U27" s="47" t="n"/>
      <c r="V27" s="48" t="n"/>
      <c r="W27" s="47" t="n"/>
      <c r="X27" s="46" t="inlineStr">
        <is>
          <t>IF(W27&lt;&gt;"",W27,IF(OR(T27="",V27=""),"",EDATE(T27,V27)))</t>
        </is>
      </c>
      <c r="Y27" s="47" t="n"/>
      <c r="Z27" s="48" t="n"/>
      <c r="AA27" s="44" t="n"/>
      <c r="AB27" s="44" t="n"/>
      <c r="AC27" s="42" t="inlineStr">
        <is>
          <t>IF(F27="","",IF(COUNT(AI27:AV27)=0,IF(AA27="","Not started",AA27),SUBSTITUTE(LOOKUP(2,1/(AI27:AV27&lt;&gt;""),$AI$3:$AV$3),"Date: ","")))</t>
        </is>
      </c>
      <c r="AD27" s="49" t="inlineStr">
        <is>
          <t>IF(OR(F27="",COUNT(AI27:AV27)=0),"",TODAY()-LOOKUP(2,1/(AI27:AV27&lt;&gt;""),AI27:AV27))</t>
        </is>
      </c>
      <c r="AE27" s="49" t="inlineStr">
        <is>
          <t>IF(OR(F27="",COUNT(AI27:AV27)&lt;2),"",LOOKUP(2,1/(AI27:AV27&lt;&gt;""),AI27:AV27)-MIN(AI27:AV27))</t>
        </is>
      </c>
      <c r="AF27" s="49" t="inlineStr">
        <is>
          <t>IF(OR(AD27="",AC27="Not started",AC27=""),"",IFERROR(AD27-IF(VLOOKUP(AC27,'06_Status_Pipeline'!$B$3:$E$20,4,FALSE)="",0,VLOOKUP(AC27,'06_Status_Pipeline'!$B$3:$E$20,4,FALSE)),""))</t>
        </is>
      </c>
      <c r="AG27" s="42" t="inlineStr">
        <is>
          <t>IF(F27="","",IF(OR(AA27="Cancelled",AC27="Cancelled"),"Cancelled",IF(OR(AC27="Completed / Handover",Y27&lt;&gt;"",Z27&gt;=100),"Completed — on track",IF(O27="Not awarded",IF(U27="",IF(X27="","No planned date",IF(TODAY()&gt;X27,"Behind — past planned date",IF(X27-TODAY()&lt;=30,"At risk — close to off track","On track"))),IF(TODAY()&gt;U27,"Behind — award date passed",IF(U27-TODAY()&lt;=30,"At risk — close to off track","On track"))),IF(X27="","No planned date",IF(AND(TODAY()&gt;X27,OR(Z27="",Z27&lt;100)),"Behind — past end date",IF(AND(T27&lt;&gt;"",X27&lt;&gt;"",Z27&lt;&gt;"",(Z27&lt;100),((TODAY()-T27)/MAX(X27-T27,1)*100)-Z27&gt;15),"Behind — progress lag",IF(AND(X27-TODAY()&lt;=30,X27-TODAY()&gt;=0,OR(Z27="",Z27&lt;90)),"At risk — close to off track","On track"))))))))</t>
        </is>
      </c>
      <c r="AH27" s="49" t="inlineStr">
        <is>
          <t>IF(OR(F27="",AC27="Completed / Handover",AC27="Cancelled"),"",IF(O27="Not awarded",IF(U27&lt;&gt;"",U27-TODAY(),IF(X27="","",X27-TODAY())),IF(X27="","",X27-TODAY())))</t>
        </is>
      </c>
      <c r="AI27" s="47" t="n"/>
      <c r="AJ27" s="47" t="n"/>
      <c r="AK27" s="47" t="n"/>
      <c r="AL27" s="47" t="n"/>
      <c r="AM27" s="47" t="n"/>
      <c r="AN27" s="47" t="n"/>
      <c r="AO27" s="47" t="n"/>
      <c r="AP27" s="47" t="n"/>
      <c r="AQ27" s="47" t="n"/>
      <c r="AR27" s="47" t="n"/>
      <c r="AS27" s="47" t="n"/>
      <c r="AT27" s="50" t="n"/>
      <c r="AU27" s="50" t="n"/>
      <c r="AV27" s="50" t="n"/>
      <c r="AW27" s="49" t="inlineStr">
        <is>
          <t>IF(OR(F27="",AJ27=""),"",IF(COUNT(AI27:AI27)=0,"",AJ27-LOOKUP(2,1/(AI27:AI27&lt;&gt;""),AI27:AI27)))</t>
        </is>
      </c>
      <c r="AX27" s="49" t="inlineStr">
        <is>
          <t>IF(OR(F27="",AK27=""),"",IF(COUNT(AI27:AJ27)=0,"",AK27-LOOKUP(2,1/(AI27:AJ27&lt;&gt;""),AI27:AJ27)))</t>
        </is>
      </c>
      <c r="AY27" s="49" t="inlineStr">
        <is>
          <t>IF(OR(F27="",AL27=""),"",IF(COUNT(AI27:AK27)=0,"",AL27-LOOKUP(2,1/(AI27:AK27&lt;&gt;""),AI27:AK27)))</t>
        </is>
      </c>
      <c r="AZ27" s="49" t="inlineStr">
        <is>
          <t>IF(OR(F27="",AM27=""),"",IF(COUNT(AI27:AL27)=0,"",AM27-LOOKUP(2,1/(AI27:AL27&lt;&gt;""),AI27:AL27)))</t>
        </is>
      </c>
      <c r="BA27" s="49" t="inlineStr">
        <is>
          <t>IF(OR(F27="",AN27=""),"",IF(COUNT(AI27:AM27)=0,"",AN27-LOOKUP(2,1/(AI27:AM27&lt;&gt;""),AI27:AM27)))</t>
        </is>
      </c>
      <c r="BB27" s="49" t="inlineStr">
        <is>
          <t>IF(OR(F27="",AO27=""),"",IF(COUNT(AI27:AN27)=0,"",AO27-LOOKUP(2,1/(AI27:AN27&lt;&gt;""),AI27:AN27)))</t>
        </is>
      </c>
      <c r="BC27" s="49" t="inlineStr">
        <is>
          <t>IF(OR(F27="",AP27=""),"",IF(COUNT(AI27:AO27)=0,"",AP27-LOOKUP(2,1/(AI27:AO27&lt;&gt;""),AI27:AO27)))</t>
        </is>
      </c>
      <c r="BD27" s="49" t="inlineStr">
        <is>
          <t>IF(OR(F27="",AQ27=""),"",IF(COUNT(AI27:AP27)=0,"",AQ27-LOOKUP(2,1/(AI27:AP27&lt;&gt;""),AI27:AP27)))</t>
        </is>
      </c>
      <c r="BE27" s="49" t="inlineStr">
        <is>
          <t>IF(OR(F27="",AR27=""),"",IF(COUNT(AI27:AQ27)=0,"",AR27-LOOKUP(2,1/(AI27:AQ27&lt;&gt;""),AI27:AQ27)))</t>
        </is>
      </c>
      <c r="BF27" s="49" t="inlineStr">
        <is>
          <t>IF(OR(F27="",AS27=""),"",IF(COUNT(AI27:AR27)=0,"",AS27-LOOKUP(2,1/(AI27:AR27&lt;&gt;""),AI27:AR27)))</t>
        </is>
      </c>
      <c r="BG27" s="49" t="inlineStr">
        <is>
          <t>IF(OR(F27="",AT27=""),"",IF(COUNT(AI27:AS27)=0,"",AT27-LOOKUP(2,1/(AI27:AS27&lt;&gt;""),AI27:AS27)))</t>
        </is>
      </c>
      <c r="BH27" s="49" t="inlineStr">
        <is>
          <t>IF(OR(F27="",AU27=""),"",IF(COUNT(AI27:AT27)=0,"",AU27-LOOKUP(2,1/(AI27:AT27&lt;&gt;""),AI27:AT27)))</t>
        </is>
      </c>
      <c r="BI27" s="49" t="inlineStr">
        <is>
          <t>IF(OR(F27="",AV27=""),"",IF(COUNT(AI27:AU27)=0,"",AV27-LOOKUP(2,1/(AI27:AU27&lt;&gt;""),AI27:AU27)))</t>
        </is>
      </c>
      <c r="BJ27" s="51" t="inlineStr">
        <is>
          <t>IF(J27="","All_Provinces",IFERROR(VLOOKUP(J27,'09_Lookups'!$A$4:$B$20,2,FALSE),"All_Provinces"))</t>
        </is>
      </c>
      <c r="BK27" s="51" t="inlineStr">
        <is>
          <t>IF(K27="","All_Districts",IFERROR(VLOOKUP(K27,'09_Lookups'!$E$4:$F$42,2,FALSE),"All_Districts"))</t>
        </is>
      </c>
    </row>
    <row r="28" ht="18" customHeight="1">
      <c r="A28" s="42" t="inlineStr">
        <is>
          <t>IF(F28="","",ROW()-3)</t>
        </is>
      </c>
      <c r="B28" s="52" t="n"/>
      <c r="C28" s="52" t="n"/>
      <c r="D28" s="52" t="n"/>
      <c r="E28" s="52" t="n"/>
      <c r="F28" s="52" t="n"/>
      <c r="G28" s="52" t="n"/>
      <c r="H28" s="52" t="n"/>
      <c r="I28" s="52" t="n"/>
      <c r="J28" s="52" t="n"/>
      <c r="K28" s="52" t="n"/>
      <c r="L28" s="52" t="n"/>
      <c r="M28" s="52" t="n"/>
      <c r="N28" s="52" t="n"/>
      <c r="O28" s="52" t="n"/>
      <c r="P28" s="52" t="n"/>
      <c r="Q28" s="52" t="n"/>
      <c r="R28" s="52" t="n"/>
      <c r="S28" s="53" t="n"/>
      <c r="T28" s="46" t="inlineStr">
        <is>
          <t>IF(AQ28="","",AQ28)</t>
        </is>
      </c>
      <c r="U28" s="54" t="n"/>
      <c r="V28" s="55" t="n"/>
      <c r="W28" s="54" t="n"/>
      <c r="X28" s="46" t="inlineStr">
        <is>
          <t>IF(W28&lt;&gt;"",W28,IF(OR(T28="",V28=""),"",EDATE(T28,V28)))</t>
        </is>
      </c>
      <c r="Y28" s="54" t="n"/>
      <c r="Z28" s="55" t="n"/>
      <c r="AA28" s="52" t="n"/>
      <c r="AB28" s="52" t="n"/>
      <c r="AC28" s="42" t="inlineStr">
        <is>
          <t>IF(F28="","",IF(COUNT(AI28:AV28)=0,IF(AA28="","Not started",AA28),SUBSTITUTE(LOOKUP(2,1/(AI28:AV28&lt;&gt;""),$AI$3:$AV$3),"Date: ","")))</t>
        </is>
      </c>
      <c r="AD28" s="49" t="inlineStr">
        <is>
          <t>IF(OR(F28="",COUNT(AI28:AV28)=0),"",TODAY()-LOOKUP(2,1/(AI28:AV28&lt;&gt;""),AI28:AV28))</t>
        </is>
      </c>
      <c r="AE28" s="49" t="inlineStr">
        <is>
          <t>IF(OR(F28="",COUNT(AI28:AV28)&lt;2),"",LOOKUP(2,1/(AI28:AV28&lt;&gt;""),AI28:AV28)-MIN(AI28:AV28))</t>
        </is>
      </c>
      <c r="AF28" s="49" t="inlineStr">
        <is>
          <t>IF(OR(AD28="",AC28="Not started",AC28=""),"",IFERROR(AD28-IF(VLOOKUP(AC28,'06_Status_Pipeline'!$B$3:$E$20,4,FALSE)="",0,VLOOKUP(AC28,'06_Status_Pipeline'!$B$3:$E$20,4,FALSE)),""))</t>
        </is>
      </c>
      <c r="AG28" s="42" t="inlineStr">
        <is>
          <t>IF(F28="","",IF(OR(AA28="Cancelled",AC28="Cancelled"),"Cancelled",IF(OR(AC28="Completed / Handover",Y28&lt;&gt;"",Z28&gt;=100),"Completed — on track",IF(O28="Not awarded",IF(U28="",IF(X28="","No planned date",IF(TODAY()&gt;X28,"Behind — past planned date",IF(X28-TODAY()&lt;=30,"At risk — close to off track","On track"))),IF(TODAY()&gt;U28,"Behind — award date passed",IF(U28-TODAY()&lt;=30,"At risk — close to off track","On track"))),IF(X28="","No planned date",IF(AND(TODAY()&gt;X28,OR(Z28="",Z28&lt;100)),"Behind — past end date",IF(AND(T28&lt;&gt;"",X28&lt;&gt;"",Z28&lt;&gt;"",(Z28&lt;100),((TODAY()-T28)/MAX(X28-T28,1)*100)-Z28&gt;15),"Behind — progress lag",IF(AND(X28-TODAY()&lt;=30,X28-TODAY()&gt;=0,OR(Z28="",Z28&lt;90)),"At risk — close to off track","On track"))))))))</t>
        </is>
      </c>
      <c r="AH28" s="49" t="inlineStr">
        <is>
          <t>IF(OR(F28="",AC28="Completed / Handover",AC28="Cancelled"),"",IF(O28="Not awarded",IF(U28&lt;&gt;"",U28-TODAY(),IF(X28="","",X28-TODAY())),IF(X28="","",X28-TODAY())))</t>
        </is>
      </c>
      <c r="AI28" s="54" t="n"/>
      <c r="AJ28" s="54" t="n"/>
      <c r="AK28" s="54" t="n"/>
      <c r="AL28" s="54" t="n"/>
      <c r="AM28" s="54" t="n"/>
      <c r="AN28" s="54" t="n"/>
      <c r="AO28" s="54" t="n"/>
      <c r="AP28" s="54" t="n"/>
      <c r="AQ28" s="54" t="n"/>
      <c r="AR28" s="54" t="n"/>
      <c r="AS28" s="54" t="n"/>
      <c r="AT28" s="50" t="n"/>
      <c r="AU28" s="50" t="n"/>
      <c r="AV28" s="50" t="n"/>
      <c r="AW28" s="49" t="inlineStr">
        <is>
          <t>IF(OR(F28="",AJ28=""),"",IF(COUNT(AI28:AI28)=0,"",AJ28-LOOKUP(2,1/(AI28:AI28&lt;&gt;""),AI28:AI28)))</t>
        </is>
      </c>
      <c r="AX28" s="49" t="inlineStr">
        <is>
          <t>IF(OR(F28="",AK28=""),"",IF(COUNT(AI28:AJ28)=0,"",AK28-LOOKUP(2,1/(AI28:AJ28&lt;&gt;""),AI28:AJ28)))</t>
        </is>
      </c>
      <c r="AY28" s="49" t="inlineStr">
        <is>
          <t>IF(OR(F28="",AL28=""),"",IF(COUNT(AI28:AK28)=0,"",AL28-LOOKUP(2,1/(AI28:AK28&lt;&gt;""),AI28:AK28)))</t>
        </is>
      </c>
      <c r="AZ28" s="49" t="inlineStr">
        <is>
          <t>IF(OR(F28="",AM28=""),"",IF(COUNT(AI28:AL28)=0,"",AM28-LOOKUP(2,1/(AI28:AL28&lt;&gt;""),AI28:AL28)))</t>
        </is>
      </c>
      <c r="BA28" s="49" t="inlineStr">
        <is>
          <t>IF(OR(F28="",AN28=""),"",IF(COUNT(AI28:AM28)=0,"",AN28-LOOKUP(2,1/(AI28:AM28&lt;&gt;""),AI28:AM28)))</t>
        </is>
      </c>
      <c r="BB28" s="49" t="inlineStr">
        <is>
          <t>IF(OR(F28="",AO28=""),"",IF(COUNT(AI28:AN28)=0,"",AO28-LOOKUP(2,1/(AI28:AN28&lt;&gt;""),AI28:AN28)))</t>
        </is>
      </c>
      <c r="BC28" s="49" t="inlineStr">
        <is>
          <t>IF(OR(F28="",AP28=""),"",IF(COUNT(AI28:AO28)=0,"",AP28-LOOKUP(2,1/(AI28:AO28&lt;&gt;""),AI28:AO28)))</t>
        </is>
      </c>
      <c r="BD28" s="49" t="inlineStr">
        <is>
          <t>IF(OR(F28="",AQ28=""),"",IF(COUNT(AI28:AP28)=0,"",AQ28-LOOKUP(2,1/(AI28:AP28&lt;&gt;""),AI28:AP28)))</t>
        </is>
      </c>
      <c r="BE28" s="49" t="inlineStr">
        <is>
          <t>IF(OR(F28="",AR28=""),"",IF(COUNT(AI28:AQ28)=0,"",AR28-LOOKUP(2,1/(AI28:AQ28&lt;&gt;""),AI28:AQ28)))</t>
        </is>
      </c>
      <c r="BF28" s="49" t="inlineStr">
        <is>
          <t>IF(OR(F28="",AS28=""),"",IF(COUNT(AI28:AR28)=0,"",AS28-LOOKUP(2,1/(AI28:AR28&lt;&gt;""),AI28:AR28)))</t>
        </is>
      </c>
      <c r="BG28" s="49" t="inlineStr">
        <is>
          <t>IF(OR(F28="",AT28=""),"",IF(COUNT(AI28:AS28)=0,"",AT28-LOOKUP(2,1/(AI28:AS28&lt;&gt;""),AI28:AS28)))</t>
        </is>
      </c>
      <c r="BH28" s="49" t="inlineStr">
        <is>
          <t>IF(OR(F28="",AU28=""),"",IF(COUNT(AI28:AT28)=0,"",AU28-LOOKUP(2,1/(AI28:AT28&lt;&gt;""),AI28:AT28)))</t>
        </is>
      </c>
      <c r="BI28" s="49" t="inlineStr">
        <is>
          <t>IF(OR(F28="",AV28=""),"",IF(COUNT(AI28:AU28)=0,"",AV28-LOOKUP(2,1/(AI28:AU28&lt;&gt;""),AI28:AU28)))</t>
        </is>
      </c>
      <c r="BJ28" s="51" t="inlineStr">
        <is>
          <t>IF(J28="","All_Provinces",IFERROR(VLOOKUP(J28,'09_Lookups'!$A$4:$B$20,2,FALSE),"All_Provinces"))</t>
        </is>
      </c>
      <c r="BK28" s="51" t="inlineStr">
        <is>
          <t>IF(K28="","All_Districts",IFERROR(VLOOKUP(K28,'09_Lookups'!$E$4:$F$42,2,FALSE),"All_Districts"))</t>
        </is>
      </c>
    </row>
    <row r="29" ht="18" customHeight="1">
      <c r="A29" s="42" t="inlineStr">
        <is>
          <t>IF(F29="","",ROW()-3)</t>
        </is>
      </c>
      <c r="B29" s="44" t="n"/>
      <c r="C29" s="44" t="n"/>
      <c r="D29" s="44" t="n"/>
      <c r="E29" s="44" t="n"/>
      <c r="F29" s="44" t="n"/>
      <c r="G29" s="44" t="n"/>
      <c r="H29" s="44" t="n"/>
      <c r="I29" s="44" t="n"/>
      <c r="J29" s="44" t="n"/>
      <c r="K29" s="44" t="n"/>
      <c r="L29" s="44" t="n"/>
      <c r="M29" s="44" t="n"/>
      <c r="N29" s="44" t="n"/>
      <c r="O29" s="44" t="n"/>
      <c r="P29" s="44" t="n"/>
      <c r="Q29" s="44" t="n"/>
      <c r="R29" s="44" t="n"/>
      <c r="S29" s="45" t="n"/>
      <c r="T29" s="46" t="inlineStr">
        <is>
          <t>IF(AQ29="","",AQ29)</t>
        </is>
      </c>
      <c r="U29" s="47" t="n"/>
      <c r="V29" s="48" t="n"/>
      <c r="W29" s="47" t="n"/>
      <c r="X29" s="46" t="inlineStr">
        <is>
          <t>IF(W29&lt;&gt;"",W29,IF(OR(T29="",V29=""),"",EDATE(T29,V29)))</t>
        </is>
      </c>
      <c r="Y29" s="47" t="n"/>
      <c r="Z29" s="48" t="n"/>
      <c r="AA29" s="44" t="n"/>
      <c r="AB29" s="44" t="n"/>
      <c r="AC29" s="42" t="inlineStr">
        <is>
          <t>IF(F29="","",IF(COUNT(AI29:AV29)=0,IF(AA29="","Not started",AA29),SUBSTITUTE(LOOKUP(2,1/(AI29:AV29&lt;&gt;""),$AI$3:$AV$3),"Date: ","")))</t>
        </is>
      </c>
      <c r="AD29" s="49" t="inlineStr">
        <is>
          <t>IF(OR(F29="",COUNT(AI29:AV29)=0),"",TODAY()-LOOKUP(2,1/(AI29:AV29&lt;&gt;""),AI29:AV29))</t>
        </is>
      </c>
      <c r="AE29" s="49" t="inlineStr">
        <is>
          <t>IF(OR(F29="",COUNT(AI29:AV29)&lt;2),"",LOOKUP(2,1/(AI29:AV29&lt;&gt;""),AI29:AV29)-MIN(AI29:AV29))</t>
        </is>
      </c>
      <c r="AF29" s="49" t="inlineStr">
        <is>
          <t>IF(OR(AD29="",AC29="Not started",AC29=""),"",IFERROR(AD29-IF(VLOOKUP(AC29,'06_Status_Pipeline'!$B$3:$E$20,4,FALSE)="",0,VLOOKUP(AC29,'06_Status_Pipeline'!$B$3:$E$20,4,FALSE)),""))</t>
        </is>
      </c>
      <c r="AG29" s="42" t="inlineStr">
        <is>
          <t>IF(F29="","",IF(OR(AA29="Cancelled",AC29="Cancelled"),"Cancelled",IF(OR(AC29="Completed / Handover",Y29&lt;&gt;"",Z29&gt;=100),"Completed — on track",IF(O29="Not awarded",IF(U29="",IF(X29="","No planned date",IF(TODAY()&gt;X29,"Behind — past planned date",IF(X29-TODAY()&lt;=30,"At risk — close to off track","On track"))),IF(TODAY()&gt;U29,"Behind — award date passed",IF(U29-TODAY()&lt;=30,"At risk — close to off track","On track"))),IF(X29="","No planned date",IF(AND(TODAY()&gt;X29,OR(Z29="",Z29&lt;100)),"Behind — past end date",IF(AND(T29&lt;&gt;"",X29&lt;&gt;"",Z29&lt;&gt;"",(Z29&lt;100),((TODAY()-T29)/MAX(X29-T29,1)*100)-Z29&gt;15),"Behind — progress lag",IF(AND(X29-TODAY()&lt;=30,X29-TODAY()&gt;=0,OR(Z29="",Z29&lt;90)),"At risk — close to off track","On track"))))))))</t>
        </is>
      </c>
      <c r="AH29" s="49" t="inlineStr">
        <is>
          <t>IF(OR(F29="",AC29="Completed / Handover",AC29="Cancelled"),"",IF(O29="Not awarded",IF(U29&lt;&gt;"",U29-TODAY(),IF(X29="","",X29-TODAY())),IF(X29="","",X29-TODAY())))</t>
        </is>
      </c>
      <c r="AI29" s="47" t="n"/>
      <c r="AJ29" s="47" t="n"/>
      <c r="AK29" s="47" t="n"/>
      <c r="AL29" s="47" t="n"/>
      <c r="AM29" s="47" t="n"/>
      <c r="AN29" s="47" t="n"/>
      <c r="AO29" s="47" t="n"/>
      <c r="AP29" s="47" t="n"/>
      <c r="AQ29" s="47" t="n"/>
      <c r="AR29" s="47" t="n"/>
      <c r="AS29" s="47" t="n"/>
      <c r="AT29" s="50" t="n"/>
      <c r="AU29" s="50" t="n"/>
      <c r="AV29" s="50" t="n"/>
      <c r="AW29" s="49" t="inlineStr">
        <is>
          <t>IF(OR(F29="",AJ29=""),"",IF(COUNT(AI29:AI29)=0,"",AJ29-LOOKUP(2,1/(AI29:AI29&lt;&gt;""),AI29:AI29)))</t>
        </is>
      </c>
      <c r="AX29" s="49" t="inlineStr">
        <is>
          <t>IF(OR(F29="",AK29=""),"",IF(COUNT(AI29:AJ29)=0,"",AK29-LOOKUP(2,1/(AI29:AJ29&lt;&gt;""),AI29:AJ29)))</t>
        </is>
      </c>
      <c r="AY29" s="49" t="inlineStr">
        <is>
          <t>IF(OR(F29="",AL29=""),"",IF(COUNT(AI29:AK29)=0,"",AL29-LOOKUP(2,1/(AI29:AK29&lt;&gt;""),AI29:AK29)))</t>
        </is>
      </c>
      <c r="AZ29" s="49" t="inlineStr">
        <is>
          <t>IF(OR(F29="",AM29=""),"",IF(COUNT(AI29:AL29)=0,"",AM29-LOOKUP(2,1/(AI29:AL29&lt;&gt;""),AI29:AL29)))</t>
        </is>
      </c>
      <c r="BA29" s="49" t="inlineStr">
        <is>
          <t>IF(OR(F29="",AN29=""),"",IF(COUNT(AI29:AM29)=0,"",AN29-LOOKUP(2,1/(AI29:AM29&lt;&gt;""),AI29:AM29)))</t>
        </is>
      </c>
      <c r="BB29" s="49" t="inlineStr">
        <is>
          <t>IF(OR(F29="",AO29=""),"",IF(COUNT(AI29:AN29)=0,"",AO29-LOOKUP(2,1/(AI29:AN29&lt;&gt;""),AI29:AN29)))</t>
        </is>
      </c>
      <c r="BC29" s="49" t="inlineStr">
        <is>
          <t>IF(OR(F29="",AP29=""),"",IF(COUNT(AI29:AO29)=0,"",AP29-LOOKUP(2,1/(AI29:AO29&lt;&gt;""),AI29:AO29)))</t>
        </is>
      </c>
      <c r="BD29" s="49" t="inlineStr">
        <is>
          <t>IF(OR(F29="",AQ29=""),"",IF(COUNT(AI29:AP29)=0,"",AQ29-LOOKUP(2,1/(AI29:AP29&lt;&gt;""),AI29:AP29)))</t>
        </is>
      </c>
      <c r="BE29" s="49" t="inlineStr">
        <is>
          <t>IF(OR(F29="",AR29=""),"",IF(COUNT(AI29:AQ29)=0,"",AR29-LOOKUP(2,1/(AI29:AQ29&lt;&gt;""),AI29:AQ29)))</t>
        </is>
      </c>
      <c r="BF29" s="49" t="inlineStr">
        <is>
          <t>IF(OR(F29="",AS29=""),"",IF(COUNT(AI29:AR29)=0,"",AS29-LOOKUP(2,1/(AI29:AR29&lt;&gt;""),AI29:AR29)))</t>
        </is>
      </c>
      <c r="BG29" s="49" t="inlineStr">
        <is>
          <t>IF(OR(F29="",AT29=""),"",IF(COUNT(AI29:AS29)=0,"",AT29-LOOKUP(2,1/(AI29:AS29&lt;&gt;""),AI29:AS29)))</t>
        </is>
      </c>
      <c r="BH29" s="49" t="inlineStr">
        <is>
          <t>IF(OR(F29="",AU29=""),"",IF(COUNT(AI29:AT29)=0,"",AU29-LOOKUP(2,1/(AI29:AT29&lt;&gt;""),AI29:AT29)))</t>
        </is>
      </c>
      <c r="BI29" s="49" t="inlineStr">
        <is>
          <t>IF(OR(F29="",AV29=""),"",IF(COUNT(AI29:AU29)=0,"",AV29-LOOKUP(2,1/(AI29:AU29&lt;&gt;""),AI29:AU29)))</t>
        </is>
      </c>
      <c r="BJ29" s="51" t="inlineStr">
        <is>
          <t>IF(J29="","All_Provinces",IFERROR(VLOOKUP(J29,'09_Lookups'!$A$4:$B$20,2,FALSE),"All_Provinces"))</t>
        </is>
      </c>
      <c r="BK29" s="51" t="inlineStr">
        <is>
          <t>IF(K29="","All_Districts",IFERROR(VLOOKUP(K29,'09_Lookups'!$E$4:$F$42,2,FALSE),"All_Districts"))</t>
        </is>
      </c>
    </row>
    <row r="30" ht="18" customHeight="1">
      <c r="A30" s="42" t="inlineStr">
        <is>
          <t>IF(F30="","",ROW()-3)</t>
        </is>
      </c>
      <c r="B30" s="52" t="n"/>
      <c r="C30" s="52" t="n"/>
      <c r="D30" s="52" t="n"/>
      <c r="E30" s="52" t="n"/>
      <c r="F30" s="52" t="n"/>
      <c r="G30" s="52" t="n"/>
      <c r="H30" s="52" t="n"/>
      <c r="I30" s="52" t="n"/>
      <c r="J30" s="52" t="n"/>
      <c r="K30" s="52" t="n"/>
      <c r="L30" s="52" t="n"/>
      <c r="M30" s="52" t="n"/>
      <c r="N30" s="52" t="n"/>
      <c r="O30" s="52" t="n"/>
      <c r="P30" s="52" t="n"/>
      <c r="Q30" s="52" t="n"/>
      <c r="R30" s="52" t="n"/>
      <c r="S30" s="53" t="n"/>
      <c r="T30" s="46" t="inlineStr">
        <is>
          <t>IF(AQ30="","",AQ30)</t>
        </is>
      </c>
      <c r="U30" s="54" t="n"/>
      <c r="V30" s="55" t="n"/>
      <c r="W30" s="54" t="n"/>
      <c r="X30" s="46" t="inlineStr">
        <is>
          <t>IF(W30&lt;&gt;"",W30,IF(OR(T30="",V30=""),"",EDATE(T30,V30)))</t>
        </is>
      </c>
      <c r="Y30" s="54" t="n"/>
      <c r="Z30" s="55" t="n"/>
      <c r="AA30" s="52" t="n"/>
      <c r="AB30" s="52" t="n"/>
      <c r="AC30" s="42" t="inlineStr">
        <is>
          <t>IF(F30="","",IF(COUNT(AI30:AV30)=0,IF(AA30="","Not started",AA30),SUBSTITUTE(LOOKUP(2,1/(AI30:AV30&lt;&gt;""),$AI$3:$AV$3),"Date: ","")))</t>
        </is>
      </c>
      <c r="AD30" s="49" t="inlineStr">
        <is>
          <t>IF(OR(F30="",COUNT(AI30:AV30)=0),"",TODAY()-LOOKUP(2,1/(AI30:AV30&lt;&gt;""),AI30:AV30))</t>
        </is>
      </c>
      <c r="AE30" s="49" t="inlineStr">
        <is>
          <t>IF(OR(F30="",COUNT(AI30:AV30)&lt;2),"",LOOKUP(2,1/(AI30:AV30&lt;&gt;""),AI30:AV30)-MIN(AI30:AV30))</t>
        </is>
      </c>
      <c r="AF30" s="49" t="inlineStr">
        <is>
          <t>IF(OR(AD30="",AC30="Not started",AC30=""),"",IFERROR(AD30-IF(VLOOKUP(AC30,'06_Status_Pipeline'!$B$3:$E$20,4,FALSE)="",0,VLOOKUP(AC30,'06_Status_Pipeline'!$B$3:$E$20,4,FALSE)),""))</t>
        </is>
      </c>
      <c r="AG30" s="42" t="inlineStr">
        <is>
          <t>IF(F30="","",IF(OR(AA30="Cancelled",AC30="Cancelled"),"Cancelled",IF(OR(AC30="Completed / Handover",Y30&lt;&gt;"",Z30&gt;=100),"Completed — on track",IF(O30="Not awarded",IF(U30="",IF(X30="","No planned date",IF(TODAY()&gt;X30,"Behind — past planned date",IF(X30-TODAY()&lt;=30,"At risk — close to off track","On track"))),IF(TODAY()&gt;U30,"Behind — award date passed",IF(U30-TODAY()&lt;=30,"At risk — close to off track","On track"))),IF(X30="","No planned date",IF(AND(TODAY()&gt;X30,OR(Z30="",Z30&lt;100)),"Behind — past end date",IF(AND(T30&lt;&gt;"",X30&lt;&gt;"",Z30&lt;&gt;"",(Z30&lt;100),((TODAY()-T30)/MAX(X30-T30,1)*100)-Z30&gt;15),"Behind — progress lag",IF(AND(X30-TODAY()&lt;=30,X30-TODAY()&gt;=0,OR(Z30="",Z30&lt;90)),"At risk — close to off track","On track"))))))))</t>
        </is>
      </c>
      <c r="AH30" s="49" t="inlineStr">
        <is>
          <t>IF(OR(F30="",AC30="Completed / Handover",AC30="Cancelled"),"",IF(O30="Not awarded",IF(U30&lt;&gt;"",U30-TODAY(),IF(X30="","",X30-TODAY())),IF(X30="","",X30-TODAY())))</t>
        </is>
      </c>
      <c r="AI30" s="54" t="n"/>
      <c r="AJ30" s="54" t="n"/>
      <c r="AK30" s="54" t="n"/>
      <c r="AL30" s="54" t="n"/>
      <c r="AM30" s="54" t="n"/>
      <c r="AN30" s="54" t="n"/>
      <c r="AO30" s="54" t="n"/>
      <c r="AP30" s="54" t="n"/>
      <c r="AQ30" s="54" t="n"/>
      <c r="AR30" s="54" t="n"/>
      <c r="AS30" s="54" t="n"/>
      <c r="AT30" s="50" t="n"/>
      <c r="AU30" s="50" t="n"/>
      <c r="AV30" s="50" t="n"/>
      <c r="AW30" s="49" t="inlineStr">
        <is>
          <t>IF(OR(F30="",AJ30=""),"",IF(COUNT(AI30:AI30)=0,"",AJ30-LOOKUP(2,1/(AI30:AI30&lt;&gt;""),AI30:AI30)))</t>
        </is>
      </c>
      <c r="AX30" s="49" t="inlineStr">
        <is>
          <t>IF(OR(F30="",AK30=""),"",IF(COUNT(AI30:AJ30)=0,"",AK30-LOOKUP(2,1/(AI30:AJ30&lt;&gt;""),AI30:AJ30)))</t>
        </is>
      </c>
      <c r="AY30" s="49" t="inlineStr">
        <is>
          <t>IF(OR(F30="",AL30=""),"",IF(COUNT(AI30:AK30)=0,"",AL30-LOOKUP(2,1/(AI30:AK30&lt;&gt;""),AI30:AK30)))</t>
        </is>
      </c>
      <c r="AZ30" s="49" t="inlineStr">
        <is>
          <t>IF(OR(F30="",AM30=""),"",IF(COUNT(AI30:AL30)=0,"",AM30-LOOKUP(2,1/(AI30:AL30&lt;&gt;""),AI30:AL30)))</t>
        </is>
      </c>
      <c r="BA30" s="49" t="inlineStr">
        <is>
          <t>IF(OR(F30="",AN30=""),"",IF(COUNT(AI30:AM30)=0,"",AN30-LOOKUP(2,1/(AI30:AM30&lt;&gt;""),AI30:AM30)))</t>
        </is>
      </c>
      <c r="BB30" s="49" t="inlineStr">
        <is>
          <t>IF(OR(F30="",AO30=""),"",IF(COUNT(AI30:AN30)=0,"",AO30-LOOKUP(2,1/(AI30:AN30&lt;&gt;""),AI30:AN30)))</t>
        </is>
      </c>
      <c r="BC30" s="49" t="inlineStr">
        <is>
          <t>IF(OR(F30="",AP30=""),"",IF(COUNT(AI30:AO30)=0,"",AP30-LOOKUP(2,1/(AI30:AO30&lt;&gt;""),AI30:AO30)))</t>
        </is>
      </c>
      <c r="BD30" s="49" t="inlineStr">
        <is>
          <t>IF(OR(F30="",AQ30=""),"",IF(COUNT(AI30:AP30)=0,"",AQ30-LOOKUP(2,1/(AI30:AP30&lt;&gt;""),AI30:AP30)))</t>
        </is>
      </c>
      <c r="BE30" s="49" t="inlineStr">
        <is>
          <t>IF(OR(F30="",AR30=""),"",IF(COUNT(AI30:AQ30)=0,"",AR30-LOOKUP(2,1/(AI30:AQ30&lt;&gt;""),AI30:AQ30)))</t>
        </is>
      </c>
      <c r="BF30" s="49" t="inlineStr">
        <is>
          <t>IF(OR(F30="",AS30=""),"",IF(COUNT(AI30:AR30)=0,"",AS30-LOOKUP(2,1/(AI30:AR30&lt;&gt;""),AI30:AR30)))</t>
        </is>
      </c>
      <c r="BG30" s="49" t="inlineStr">
        <is>
          <t>IF(OR(F30="",AT30=""),"",IF(COUNT(AI30:AS30)=0,"",AT30-LOOKUP(2,1/(AI30:AS30&lt;&gt;""),AI30:AS30)))</t>
        </is>
      </c>
      <c r="BH30" s="49" t="inlineStr">
        <is>
          <t>IF(OR(F30="",AU30=""),"",IF(COUNT(AI30:AT30)=0,"",AU30-LOOKUP(2,1/(AI30:AT30&lt;&gt;""),AI30:AT30)))</t>
        </is>
      </c>
      <c r="BI30" s="49" t="inlineStr">
        <is>
          <t>IF(OR(F30="",AV30=""),"",IF(COUNT(AI30:AU30)=0,"",AV30-LOOKUP(2,1/(AI30:AU30&lt;&gt;""),AI30:AU30)))</t>
        </is>
      </c>
      <c r="BJ30" s="51" t="inlineStr">
        <is>
          <t>IF(J30="","All_Provinces",IFERROR(VLOOKUP(J30,'09_Lookups'!$A$4:$B$20,2,FALSE),"All_Provinces"))</t>
        </is>
      </c>
      <c r="BK30" s="51" t="inlineStr">
        <is>
          <t>IF(K30="","All_Districts",IFERROR(VLOOKUP(K30,'09_Lookups'!$E$4:$F$42,2,FALSE),"All_Districts"))</t>
        </is>
      </c>
    </row>
    <row r="31" ht="18" customHeight="1">
      <c r="A31" s="42" t="inlineStr">
        <is>
          <t>IF(F31="","",ROW()-3)</t>
        </is>
      </c>
      <c r="B31" s="44" t="n"/>
      <c r="C31" s="44" t="n"/>
      <c r="D31" s="44" t="n"/>
      <c r="E31" s="44" t="n"/>
      <c r="F31" s="44" t="n"/>
      <c r="G31" s="44" t="n"/>
      <c r="H31" s="44" t="n"/>
      <c r="I31" s="44" t="n"/>
      <c r="J31" s="44" t="n"/>
      <c r="K31" s="44" t="n"/>
      <c r="L31" s="44" t="n"/>
      <c r="M31" s="44" t="n"/>
      <c r="N31" s="44" t="n"/>
      <c r="O31" s="44" t="n"/>
      <c r="P31" s="44" t="n"/>
      <c r="Q31" s="44" t="n"/>
      <c r="R31" s="44" t="n"/>
      <c r="S31" s="45" t="n"/>
      <c r="T31" s="46" t="inlineStr">
        <is>
          <t>IF(AQ31="","",AQ31)</t>
        </is>
      </c>
      <c r="U31" s="47" t="n"/>
      <c r="V31" s="48" t="n"/>
      <c r="W31" s="47" t="n"/>
      <c r="X31" s="46" t="inlineStr">
        <is>
          <t>IF(W31&lt;&gt;"",W31,IF(OR(T31="",V31=""),"",EDATE(T31,V31)))</t>
        </is>
      </c>
      <c r="Y31" s="47" t="n"/>
      <c r="Z31" s="48" t="n"/>
      <c r="AA31" s="44" t="n"/>
      <c r="AB31" s="44" t="n"/>
      <c r="AC31" s="42" t="inlineStr">
        <is>
          <t>IF(F31="","",IF(COUNT(AI31:AV31)=0,IF(AA31="","Not started",AA31),SUBSTITUTE(LOOKUP(2,1/(AI31:AV31&lt;&gt;""),$AI$3:$AV$3),"Date: ","")))</t>
        </is>
      </c>
      <c r="AD31" s="49" t="inlineStr">
        <is>
          <t>IF(OR(F31="",COUNT(AI31:AV31)=0),"",TODAY()-LOOKUP(2,1/(AI31:AV31&lt;&gt;""),AI31:AV31))</t>
        </is>
      </c>
      <c r="AE31" s="49" t="inlineStr">
        <is>
          <t>IF(OR(F31="",COUNT(AI31:AV31)&lt;2),"",LOOKUP(2,1/(AI31:AV31&lt;&gt;""),AI31:AV31)-MIN(AI31:AV31))</t>
        </is>
      </c>
      <c r="AF31" s="49" t="inlineStr">
        <is>
          <t>IF(OR(AD31="",AC31="Not started",AC31=""),"",IFERROR(AD31-IF(VLOOKUP(AC31,'06_Status_Pipeline'!$B$3:$E$20,4,FALSE)="",0,VLOOKUP(AC31,'06_Status_Pipeline'!$B$3:$E$20,4,FALSE)),""))</t>
        </is>
      </c>
      <c r="AG31" s="42" t="inlineStr">
        <is>
          <t>IF(F31="","",IF(OR(AA31="Cancelled",AC31="Cancelled"),"Cancelled",IF(OR(AC31="Completed / Handover",Y31&lt;&gt;"",Z31&gt;=100),"Completed — on track",IF(O31="Not awarded",IF(U31="",IF(X31="","No planned date",IF(TODAY()&gt;X31,"Behind — past planned date",IF(X31-TODAY()&lt;=30,"At risk — close to off track","On track"))),IF(TODAY()&gt;U31,"Behind — award date passed",IF(U31-TODAY()&lt;=30,"At risk — close to off track","On track"))),IF(X31="","No planned date",IF(AND(TODAY()&gt;X31,OR(Z31="",Z31&lt;100)),"Behind — past end date",IF(AND(T31&lt;&gt;"",X31&lt;&gt;"",Z31&lt;&gt;"",(Z31&lt;100),((TODAY()-T31)/MAX(X31-T31,1)*100)-Z31&gt;15),"Behind — progress lag",IF(AND(X31-TODAY()&lt;=30,X31-TODAY()&gt;=0,OR(Z31="",Z31&lt;90)),"At risk — close to off track","On track"))))))))</t>
        </is>
      </c>
      <c r="AH31" s="49" t="inlineStr">
        <is>
          <t>IF(OR(F31="",AC31="Completed / Handover",AC31="Cancelled"),"",IF(O31="Not awarded",IF(U31&lt;&gt;"",U31-TODAY(),IF(X31="","",X31-TODAY())),IF(X31="","",X31-TODAY())))</t>
        </is>
      </c>
      <c r="AI31" s="47" t="n"/>
      <c r="AJ31" s="47" t="n"/>
      <c r="AK31" s="47" t="n"/>
      <c r="AL31" s="47" t="n"/>
      <c r="AM31" s="47" t="n"/>
      <c r="AN31" s="47" t="n"/>
      <c r="AO31" s="47" t="n"/>
      <c r="AP31" s="47" t="n"/>
      <c r="AQ31" s="47" t="n"/>
      <c r="AR31" s="47" t="n"/>
      <c r="AS31" s="47" t="n"/>
      <c r="AT31" s="50" t="n"/>
      <c r="AU31" s="50" t="n"/>
      <c r="AV31" s="50" t="n"/>
      <c r="AW31" s="49" t="inlineStr">
        <is>
          <t>IF(OR(F31="",AJ31=""),"",IF(COUNT(AI31:AI31)=0,"",AJ31-LOOKUP(2,1/(AI31:AI31&lt;&gt;""),AI31:AI31)))</t>
        </is>
      </c>
      <c r="AX31" s="49" t="inlineStr">
        <is>
          <t>IF(OR(F31="",AK31=""),"",IF(COUNT(AI31:AJ31)=0,"",AK31-LOOKUP(2,1/(AI31:AJ31&lt;&gt;""),AI31:AJ31)))</t>
        </is>
      </c>
      <c r="AY31" s="49" t="inlineStr">
        <is>
          <t>IF(OR(F31="",AL31=""),"",IF(COUNT(AI31:AK31)=0,"",AL31-LOOKUP(2,1/(AI31:AK31&lt;&gt;""),AI31:AK31)))</t>
        </is>
      </c>
      <c r="AZ31" s="49" t="inlineStr">
        <is>
          <t>IF(OR(F31="",AM31=""),"",IF(COUNT(AI31:AL31)=0,"",AM31-LOOKUP(2,1/(AI31:AL31&lt;&gt;""),AI31:AL31)))</t>
        </is>
      </c>
      <c r="BA31" s="49" t="inlineStr">
        <is>
          <t>IF(OR(F31="",AN31=""),"",IF(COUNT(AI31:AM31)=0,"",AN31-LOOKUP(2,1/(AI31:AM31&lt;&gt;""),AI31:AM31)))</t>
        </is>
      </c>
      <c r="BB31" s="49" t="inlineStr">
        <is>
          <t>IF(OR(F31="",AO31=""),"",IF(COUNT(AI31:AN31)=0,"",AO31-LOOKUP(2,1/(AI31:AN31&lt;&gt;""),AI31:AN31)))</t>
        </is>
      </c>
      <c r="BC31" s="49" t="inlineStr">
        <is>
          <t>IF(OR(F31="",AP31=""),"",IF(COUNT(AI31:AO31)=0,"",AP31-LOOKUP(2,1/(AI31:AO31&lt;&gt;""),AI31:AO31)))</t>
        </is>
      </c>
      <c r="BD31" s="49" t="inlineStr">
        <is>
          <t>IF(OR(F31="",AQ31=""),"",IF(COUNT(AI31:AP31)=0,"",AQ31-LOOKUP(2,1/(AI31:AP31&lt;&gt;""),AI31:AP31)))</t>
        </is>
      </c>
      <c r="BE31" s="49" t="inlineStr">
        <is>
          <t>IF(OR(F31="",AR31=""),"",IF(COUNT(AI31:AQ31)=0,"",AR31-LOOKUP(2,1/(AI31:AQ31&lt;&gt;""),AI31:AQ31)))</t>
        </is>
      </c>
      <c r="BF31" s="49" t="inlineStr">
        <is>
          <t>IF(OR(F31="",AS31=""),"",IF(COUNT(AI31:AR31)=0,"",AS31-LOOKUP(2,1/(AI31:AR31&lt;&gt;""),AI31:AR31)))</t>
        </is>
      </c>
      <c r="BG31" s="49" t="inlineStr">
        <is>
          <t>IF(OR(F31="",AT31=""),"",IF(COUNT(AI31:AS31)=0,"",AT31-LOOKUP(2,1/(AI31:AS31&lt;&gt;""),AI31:AS31)))</t>
        </is>
      </c>
      <c r="BH31" s="49" t="inlineStr">
        <is>
          <t>IF(OR(F31="",AU31=""),"",IF(COUNT(AI31:AT31)=0,"",AU31-LOOKUP(2,1/(AI31:AT31&lt;&gt;""),AI31:AT31)))</t>
        </is>
      </c>
      <c r="BI31" s="49" t="inlineStr">
        <is>
          <t>IF(OR(F31="",AV31=""),"",IF(COUNT(AI31:AU31)=0,"",AV31-LOOKUP(2,1/(AI31:AU31&lt;&gt;""),AI31:AU31)))</t>
        </is>
      </c>
      <c r="BJ31" s="51" t="inlineStr">
        <is>
          <t>IF(J31="","All_Provinces",IFERROR(VLOOKUP(J31,'09_Lookups'!$A$4:$B$20,2,FALSE),"All_Provinces"))</t>
        </is>
      </c>
      <c r="BK31" s="51" t="inlineStr">
        <is>
          <t>IF(K31="","All_Districts",IFERROR(VLOOKUP(K31,'09_Lookups'!$E$4:$F$42,2,FALSE),"All_Districts"))</t>
        </is>
      </c>
    </row>
    <row r="32" ht="18" customHeight="1">
      <c r="A32" s="42" t="inlineStr">
        <is>
          <t>IF(F32="","",ROW()-3)</t>
        </is>
      </c>
      <c r="B32" s="52" t="n"/>
      <c r="C32" s="52" t="n"/>
      <c r="D32" s="52" t="n"/>
      <c r="E32" s="52" t="n"/>
      <c r="F32" s="52" t="n"/>
      <c r="G32" s="52" t="n"/>
      <c r="H32" s="52" t="n"/>
      <c r="I32" s="52" t="n"/>
      <c r="J32" s="52" t="n"/>
      <c r="K32" s="52" t="n"/>
      <c r="L32" s="52" t="n"/>
      <c r="M32" s="52" t="n"/>
      <c r="N32" s="52" t="n"/>
      <c r="O32" s="52" t="n"/>
      <c r="P32" s="52" t="n"/>
      <c r="Q32" s="52" t="n"/>
      <c r="R32" s="52" t="n"/>
      <c r="S32" s="53" t="n"/>
      <c r="T32" s="46" t="inlineStr">
        <is>
          <t>IF(AQ32="","",AQ32)</t>
        </is>
      </c>
      <c r="U32" s="54" t="n"/>
      <c r="V32" s="55" t="n"/>
      <c r="W32" s="54" t="n"/>
      <c r="X32" s="46" t="inlineStr">
        <is>
          <t>IF(W32&lt;&gt;"",W32,IF(OR(T32="",V32=""),"",EDATE(T32,V32)))</t>
        </is>
      </c>
      <c r="Y32" s="54" t="n"/>
      <c r="Z32" s="55" t="n"/>
      <c r="AA32" s="52" t="n"/>
      <c r="AB32" s="52" t="n"/>
      <c r="AC32" s="42" t="inlineStr">
        <is>
          <t>IF(F32="","",IF(COUNT(AI32:AV32)=0,IF(AA32="","Not started",AA32),SUBSTITUTE(LOOKUP(2,1/(AI32:AV32&lt;&gt;""),$AI$3:$AV$3),"Date: ","")))</t>
        </is>
      </c>
      <c r="AD32" s="49" t="inlineStr">
        <is>
          <t>IF(OR(F32="",COUNT(AI32:AV32)=0),"",TODAY()-LOOKUP(2,1/(AI32:AV32&lt;&gt;""),AI32:AV32))</t>
        </is>
      </c>
      <c r="AE32" s="49" t="inlineStr">
        <is>
          <t>IF(OR(F32="",COUNT(AI32:AV32)&lt;2),"",LOOKUP(2,1/(AI32:AV32&lt;&gt;""),AI32:AV32)-MIN(AI32:AV32))</t>
        </is>
      </c>
      <c r="AF32" s="49" t="inlineStr">
        <is>
          <t>IF(OR(AD32="",AC32="Not started",AC32=""),"",IFERROR(AD32-IF(VLOOKUP(AC32,'06_Status_Pipeline'!$B$3:$E$20,4,FALSE)="",0,VLOOKUP(AC32,'06_Status_Pipeline'!$B$3:$E$20,4,FALSE)),""))</t>
        </is>
      </c>
      <c r="AG32" s="42" t="inlineStr">
        <is>
          <t>IF(F32="","",IF(OR(AA32="Cancelled",AC32="Cancelled"),"Cancelled",IF(OR(AC32="Completed / Handover",Y32&lt;&gt;"",Z32&gt;=100),"Completed — on track",IF(O32="Not awarded",IF(U32="",IF(X32="","No planned date",IF(TODAY()&gt;X32,"Behind — past planned date",IF(X32-TODAY()&lt;=30,"At risk — close to off track","On track"))),IF(TODAY()&gt;U32,"Behind — award date passed",IF(U32-TODAY()&lt;=30,"At risk — close to off track","On track"))),IF(X32="","No planned date",IF(AND(TODAY()&gt;X32,OR(Z32="",Z32&lt;100)),"Behind — past end date",IF(AND(T32&lt;&gt;"",X32&lt;&gt;"",Z32&lt;&gt;"",(Z32&lt;100),((TODAY()-T32)/MAX(X32-T32,1)*100)-Z32&gt;15),"Behind — progress lag",IF(AND(X32-TODAY()&lt;=30,X32-TODAY()&gt;=0,OR(Z32="",Z32&lt;90)),"At risk — close to off track","On track"))))))))</t>
        </is>
      </c>
      <c r="AH32" s="49" t="inlineStr">
        <is>
          <t>IF(OR(F32="",AC32="Completed / Handover",AC32="Cancelled"),"",IF(O32="Not awarded",IF(U32&lt;&gt;"",U32-TODAY(),IF(X32="","",X32-TODAY())),IF(X32="","",X32-TODAY())))</t>
        </is>
      </c>
      <c r="AI32" s="54" t="n"/>
      <c r="AJ32" s="54" t="n"/>
      <c r="AK32" s="54" t="n"/>
      <c r="AL32" s="54" t="n"/>
      <c r="AM32" s="54" t="n"/>
      <c r="AN32" s="54" t="n"/>
      <c r="AO32" s="54" t="n"/>
      <c r="AP32" s="54" t="n"/>
      <c r="AQ32" s="54" t="n"/>
      <c r="AR32" s="54" t="n"/>
      <c r="AS32" s="54" t="n"/>
      <c r="AT32" s="50" t="n"/>
      <c r="AU32" s="50" t="n"/>
      <c r="AV32" s="50" t="n"/>
      <c r="AW32" s="49" t="inlineStr">
        <is>
          <t>IF(OR(F32="",AJ32=""),"",IF(COUNT(AI32:AI32)=0,"",AJ32-LOOKUP(2,1/(AI32:AI32&lt;&gt;""),AI32:AI32)))</t>
        </is>
      </c>
      <c r="AX32" s="49" t="inlineStr">
        <is>
          <t>IF(OR(F32="",AK32=""),"",IF(COUNT(AI32:AJ32)=0,"",AK32-LOOKUP(2,1/(AI32:AJ32&lt;&gt;""),AI32:AJ32)))</t>
        </is>
      </c>
      <c r="AY32" s="49" t="inlineStr">
        <is>
          <t>IF(OR(F32="",AL32=""),"",IF(COUNT(AI32:AK32)=0,"",AL32-LOOKUP(2,1/(AI32:AK32&lt;&gt;""),AI32:AK32)))</t>
        </is>
      </c>
      <c r="AZ32" s="49" t="inlineStr">
        <is>
          <t>IF(OR(F32="",AM32=""),"",IF(COUNT(AI32:AL32)=0,"",AM32-LOOKUP(2,1/(AI32:AL32&lt;&gt;""),AI32:AL32)))</t>
        </is>
      </c>
      <c r="BA32" s="49" t="inlineStr">
        <is>
          <t>IF(OR(F32="",AN32=""),"",IF(COUNT(AI32:AM32)=0,"",AN32-LOOKUP(2,1/(AI32:AM32&lt;&gt;""),AI32:AM32)))</t>
        </is>
      </c>
      <c r="BB32" s="49" t="inlineStr">
        <is>
          <t>IF(OR(F32="",AO32=""),"",IF(COUNT(AI32:AN32)=0,"",AO32-LOOKUP(2,1/(AI32:AN32&lt;&gt;""),AI32:AN32)))</t>
        </is>
      </c>
      <c r="BC32" s="49" t="inlineStr">
        <is>
          <t>IF(OR(F32="",AP32=""),"",IF(COUNT(AI32:AO32)=0,"",AP32-LOOKUP(2,1/(AI32:AO32&lt;&gt;""),AI32:AO32)))</t>
        </is>
      </c>
      <c r="BD32" s="49" t="inlineStr">
        <is>
          <t>IF(OR(F32="",AQ32=""),"",IF(COUNT(AI32:AP32)=0,"",AQ32-LOOKUP(2,1/(AI32:AP32&lt;&gt;""),AI32:AP32)))</t>
        </is>
      </c>
      <c r="BE32" s="49" t="inlineStr">
        <is>
          <t>IF(OR(F32="",AR32=""),"",IF(COUNT(AI32:AQ32)=0,"",AR32-LOOKUP(2,1/(AI32:AQ32&lt;&gt;""),AI32:AQ32)))</t>
        </is>
      </c>
      <c r="BF32" s="49" t="inlineStr">
        <is>
          <t>IF(OR(F32="",AS32=""),"",IF(COUNT(AI32:AR32)=0,"",AS32-LOOKUP(2,1/(AI32:AR32&lt;&gt;""),AI32:AR32)))</t>
        </is>
      </c>
      <c r="BG32" s="49" t="inlineStr">
        <is>
          <t>IF(OR(F32="",AT32=""),"",IF(COUNT(AI32:AS32)=0,"",AT32-LOOKUP(2,1/(AI32:AS32&lt;&gt;""),AI32:AS32)))</t>
        </is>
      </c>
      <c r="BH32" s="49" t="inlineStr">
        <is>
          <t>IF(OR(F32="",AU32=""),"",IF(COUNT(AI32:AT32)=0,"",AU32-LOOKUP(2,1/(AI32:AT32&lt;&gt;""),AI32:AT32)))</t>
        </is>
      </c>
      <c r="BI32" s="49" t="inlineStr">
        <is>
          <t>IF(OR(F32="",AV32=""),"",IF(COUNT(AI32:AU32)=0,"",AV32-LOOKUP(2,1/(AI32:AU32&lt;&gt;""),AI32:AU32)))</t>
        </is>
      </c>
      <c r="BJ32" s="51" t="inlineStr">
        <is>
          <t>IF(J32="","All_Provinces",IFERROR(VLOOKUP(J32,'09_Lookups'!$A$4:$B$20,2,FALSE),"All_Provinces"))</t>
        </is>
      </c>
      <c r="BK32" s="51" t="inlineStr">
        <is>
          <t>IF(K32="","All_Districts",IFERROR(VLOOKUP(K32,'09_Lookups'!$E$4:$F$42,2,FALSE),"All_Districts"))</t>
        </is>
      </c>
    </row>
    <row r="33" ht="18" customHeight="1">
      <c r="A33" s="42" t="inlineStr">
        <is>
          <t>IF(F33="","",ROW()-3)</t>
        </is>
      </c>
      <c r="B33" s="44" t="n"/>
      <c r="C33" s="44" t="n"/>
      <c r="D33" s="44" t="n"/>
      <c r="E33" s="44" t="n"/>
      <c r="F33" s="44" t="n"/>
      <c r="G33" s="44" t="n"/>
      <c r="H33" s="44" t="n"/>
      <c r="I33" s="44" t="n"/>
      <c r="J33" s="44" t="n"/>
      <c r="K33" s="44" t="n"/>
      <c r="L33" s="44" t="n"/>
      <c r="M33" s="44" t="n"/>
      <c r="N33" s="44" t="n"/>
      <c r="O33" s="44" t="n"/>
      <c r="P33" s="44" t="n"/>
      <c r="Q33" s="44" t="n"/>
      <c r="R33" s="44" t="n"/>
      <c r="S33" s="45" t="n"/>
      <c r="T33" s="46" t="inlineStr">
        <is>
          <t>IF(AQ33="","",AQ33)</t>
        </is>
      </c>
      <c r="U33" s="47" t="n"/>
      <c r="V33" s="48" t="n"/>
      <c r="W33" s="47" t="n"/>
      <c r="X33" s="46" t="inlineStr">
        <is>
          <t>IF(W33&lt;&gt;"",W33,IF(OR(T33="",V33=""),"",EDATE(T33,V33)))</t>
        </is>
      </c>
      <c r="Y33" s="47" t="n"/>
      <c r="Z33" s="48" t="n"/>
      <c r="AA33" s="44" t="n"/>
      <c r="AB33" s="44" t="n"/>
      <c r="AC33" s="42" t="inlineStr">
        <is>
          <t>IF(F33="","",IF(COUNT(AI33:AV33)=0,IF(AA33="","Not started",AA33),SUBSTITUTE(LOOKUP(2,1/(AI33:AV33&lt;&gt;""),$AI$3:$AV$3),"Date: ","")))</t>
        </is>
      </c>
      <c r="AD33" s="49" t="inlineStr">
        <is>
          <t>IF(OR(F33="",COUNT(AI33:AV33)=0),"",TODAY()-LOOKUP(2,1/(AI33:AV33&lt;&gt;""),AI33:AV33))</t>
        </is>
      </c>
      <c r="AE33" s="49" t="inlineStr">
        <is>
          <t>IF(OR(F33="",COUNT(AI33:AV33)&lt;2),"",LOOKUP(2,1/(AI33:AV33&lt;&gt;""),AI33:AV33)-MIN(AI33:AV33))</t>
        </is>
      </c>
      <c r="AF33" s="49" t="inlineStr">
        <is>
          <t>IF(OR(AD33="",AC33="Not started",AC33=""),"",IFERROR(AD33-IF(VLOOKUP(AC33,'06_Status_Pipeline'!$B$3:$E$20,4,FALSE)="",0,VLOOKUP(AC33,'06_Status_Pipeline'!$B$3:$E$20,4,FALSE)),""))</t>
        </is>
      </c>
      <c r="AG33" s="42" t="inlineStr">
        <is>
          <t>IF(F33="","",IF(OR(AA33="Cancelled",AC33="Cancelled"),"Cancelled",IF(OR(AC33="Completed / Handover",Y33&lt;&gt;"",Z33&gt;=100),"Completed — on track",IF(O33="Not awarded",IF(U33="",IF(X33="","No planned date",IF(TODAY()&gt;X33,"Behind — past planned date",IF(X33-TODAY()&lt;=30,"At risk — close to off track","On track"))),IF(TODAY()&gt;U33,"Behind — award date passed",IF(U33-TODAY()&lt;=30,"At risk — close to off track","On track"))),IF(X33="","No planned date",IF(AND(TODAY()&gt;X33,OR(Z33="",Z33&lt;100)),"Behind — past end date",IF(AND(T33&lt;&gt;"",X33&lt;&gt;"",Z33&lt;&gt;"",(Z33&lt;100),((TODAY()-T33)/MAX(X33-T33,1)*100)-Z33&gt;15),"Behind — progress lag",IF(AND(X33-TODAY()&lt;=30,X33-TODAY()&gt;=0,OR(Z33="",Z33&lt;90)),"At risk — close to off track","On track"))))))))</t>
        </is>
      </c>
      <c r="AH33" s="49" t="inlineStr">
        <is>
          <t>IF(OR(F33="",AC33="Completed / Handover",AC33="Cancelled"),"",IF(O33="Not awarded",IF(U33&lt;&gt;"",U33-TODAY(),IF(X33="","",X33-TODAY())),IF(X33="","",X33-TODAY())))</t>
        </is>
      </c>
      <c r="AI33" s="47" t="n"/>
      <c r="AJ33" s="47" t="n"/>
      <c r="AK33" s="47" t="n"/>
      <c r="AL33" s="47" t="n"/>
      <c r="AM33" s="47" t="n"/>
      <c r="AN33" s="47" t="n"/>
      <c r="AO33" s="47" t="n"/>
      <c r="AP33" s="47" t="n"/>
      <c r="AQ33" s="47" t="n"/>
      <c r="AR33" s="47" t="n"/>
      <c r="AS33" s="47" t="n"/>
      <c r="AT33" s="50" t="n"/>
      <c r="AU33" s="50" t="n"/>
      <c r="AV33" s="50" t="n"/>
      <c r="AW33" s="49" t="inlineStr">
        <is>
          <t>IF(OR(F33="",AJ33=""),"",IF(COUNT(AI33:AI33)=0,"",AJ33-LOOKUP(2,1/(AI33:AI33&lt;&gt;""),AI33:AI33)))</t>
        </is>
      </c>
      <c r="AX33" s="49" t="inlineStr">
        <is>
          <t>IF(OR(F33="",AK33=""),"",IF(COUNT(AI33:AJ33)=0,"",AK33-LOOKUP(2,1/(AI33:AJ33&lt;&gt;""),AI33:AJ33)))</t>
        </is>
      </c>
      <c r="AY33" s="49" t="inlineStr">
        <is>
          <t>IF(OR(F33="",AL33=""),"",IF(COUNT(AI33:AK33)=0,"",AL33-LOOKUP(2,1/(AI33:AK33&lt;&gt;""),AI33:AK33)))</t>
        </is>
      </c>
      <c r="AZ33" s="49" t="inlineStr">
        <is>
          <t>IF(OR(F33="",AM33=""),"",IF(COUNT(AI33:AL33)=0,"",AM33-LOOKUP(2,1/(AI33:AL33&lt;&gt;""),AI33:AL33)))</t>
        </is>
      </c>
      <c r="BA33" s="49" t="inlineStr">
        <is>
          <t>IF(OR(F33="",AN33=""),"",IF(COUNT(AI33:AM33)=0,"",AN33-LOOKUP(2,1/(AI33:AM33&lt;&gt;""),AI33:AM33)))</t>
        </is>
      </c>
      <c r="BB33" s="49" t="inlineStr">
        <is>
          <t>IF(OR(F33="",AO33=""),"",IF(COUNT(AI33:AN33)=0,"",AO33-LOOKUP(2,1/(AI33:AN33&lt;&gt;""),AI33:AN33)))</t>
        </is>
      </c>
      <c r="BC33" s="49" t="inlineStr">
        <is>
          <t>IF(OR(F33="",AP33=""),"",IF(COUNT(AI33:AO33)=0,"",AP33-LOOKUP(2,1/(AI33:AO33&lt;&gt;""),AI33:AO33)))</t>
        </is>
      </c>
      <c r="BD33" s="49" t="inlineStr">
        <is>
          <t>IF(OR(F33="",AQ33=""),"",IF(COUNT(AI33:AP33)=0,"",AQ33-LOOKUP(2,1/(AI33:AP33&lt;&gt;""),AI33:AP33)))</t>
        </is>
      </c>
      <c r="BE33" s="49" t="inlineStr">
        <is>
          <t>IF(OR(F33="",AR33=""),"",IF(COUNT(AI33:AQ33)=0,"",AR33-LOOKUP(2,1/(AI33:AQ33&lt;&gt;""),AI33:AQ33)))</t>
        </is>
      </c>
      <c r="BF33" s="49" t="inlineStr">
        <is>
          <t>IF(OR(F33="",AS33=""),"",IF(COUNT(AI33:AR33)=0,"",AS33-LOOKUP(2,1/(AI33:AR33&lt;&gt;""),AI33:AR33)))</t>
        </is>
      </c>
      <c r="BG33" s="49" t="inlineStr">
        <is>
          <t>IF(OR(F33="",AT33=""),"",IF(COUNT(AI33:AS33)=0,"",AT33-LOOKUP(2,1/(AI33:AS33&lt;&gt;""),AI33:AS33)))</t>
        </is>
      </c>
      <c r="BH33" s="49" t="inlineStr">
        <is>
          <t>IF(OR(F33="",AU33=""),"",IF(COUNT(AI33:AT33)=0,"",AU33-LOOKUP(2,1/(AI33:AT33&lt;&gt;""),AI33:AT33)))</t>
        </is>
      </c>
      <c r="BI33" s="49" t="inlineStr">
        <is>
          <t>IF(OR(F33="",AV33=""),"",IF(COUNT(AI33:AU33)=0,"",AV33-LOOKUP(2,1/(AI33:AU33&lt;&gt;""),AI33:AU33)))</t>
        </is>
      </c>
      <c r="BJ33" s="51" t="inlineStr">
        <is>
          <t>IF(J33="","All_Provinces",IFERROR(VLOOKUP(J33,'09_Lookups'!$A$4:$B$20,2,FALSE),"All_Provinces"))</t>
        </is>
      </c>
      <c r="BK33" s="51" t="inlineStr">
        <is>
          <t>IF(K33="","All_Districts",IFERROR(VLOOKUP(K33,'09_Lookups'!$E$4:$F$42,2,FALSE),"All_Districts"))</t>
        </is>
      </c>
    </row>
    <row r="34" ht="18" customHeight="1">
      <c r="A34" s="42" t="inlineStr">
        <is>
          <t>IF(F34="","",ROW()-3)</t>
        </is>
      </c>
      <c r="B34" s="52" t="n"/>
      <c r="C34" s="52" t="n"/>
      <c r="D34" s="52" t="n"/>
      <c r="E34" s="52" t="n"/>
      <c r="F34" s="52" t="n"/>
      <c r="G34" s="52" t="n"/>
      <c r="H34" s="52" t="n"/>
      <c r="I34" s="52" t="n"/>
      <c r="J34" s="52" t="n"/>
      <c r="K34" s="52" t="n"/>
      <c r="L34" s="52" t="n"/>
      <c r="M34" s="52" t="n"/>
      <c r="N34" s="52" t="n"/>
      <c r="O34" s="52" t="n"/>
      <c r="P34" s="52" t="n"/>
      <c r="Q34" s="52" t="n"/>
      <c r="R34" s="52" t="n"/>
      <c r="S34" s="53" t="n"/>
      <c r="T34" s="46" t="inlineStr">
        <is>
          <t>IF(AQ34="","",AQ34)</t>
        </is>
      </c>
      <c r="U34" s="54" t="n"/>
      <c r="V34" s="55" t="n"/>
      <c r="W34" s="54" t="n"/>
      <c r="X34" s="46" t="inlineStr">
        <is>
          <t>IF(W34&lt;&gt;"",W34,IF(OR(T34="",V34=""),"",EDATE(T34,V34)))</t>
        </is>
      </c>
      <c r="Y34" s="54" t="n"/>
      <c r="Z34" s="55" t="n"/>
      <c r="AA34" s="52" t="n"/>
      <c r="AB34" s="52" t="n"/>
      <c r="AC34" s="42" t="inlineStr">
        <is>
          <t>IF(F34="","",IF(COUNT(AI34:AV34)=0,IF(AA34="","Not started",AA34),SUBSTITUTE(LOOKUP(2,1/(AI34:AV34&lt;&gt;""),$AI$3:$AV$3),"Date: ","")))</t>
        </is>
      </c>
      <c r="AD34" s="49" t="inlineStr">
        <is>
          <t>IF(OR(F34="",COUNT(AI34:AV34)=0),"",TODAY()-LOOKUP(2,1/(AI34:AV34&lt;&gt;""),AI34:AV34))</t>
        </is>
      </c>
      <c r="AE34" s="49" t="inlineStr">
        <is>
          <t>IF(OR(F34="",COUNT(AI34:AV34)&lt;2),"",LOOKUP(2,1/(AI34:AV34&lt;&gt;""),AI34:AV34)-MIN(AI34:AV34))</t>
        </is>
      </c>
      <c r="AF34" s="49" t="inlineStr">
        <is>
          <t>IF(OR(AD34="",AC34="Not started",AC34=""),"",IFERROR(AD34-IF(VLOOKUP(AC34,'06_Status_Pipeline'!$B$3:$E$20,4,FALSE)="",0,VLOOKUP(AC34,'06_Status_Pipeline'!$B$3:$E$20,4,FALSE)),""))</t>
        </is>
      </c>
      <c r="AG34" s="42" t="inlineStr">
        <is>
          <t>IF(F34="","",IF(OR(AA34="Cancelled",AC34="Cancelled"),"Cancelled",IF(OR(AC34="Completed / Handover",Y34&lt;&gt;"",Z34&gt;=100),"Completed — on track",IF(O34="Not awarded",IF(U34="",IF(X34="","No planned date",IF(TODAY()&gt;X34,"Behind — past planned date",IF(X34-TODAY()&lt;=30,"At risk — close to off track","On track"))),IF(TODAY()&gt;U34,"Behind — award date passed",IF(U34-TODAY()&lt;=30,"At risk — close to off track","On track"))),IF(X34="","No planned date",IF(AND(TODAY()&gt;X34,OR(Z34="",Z34&lt;100)),"Behind — past end date",IF(AND(T34&lt;&gt;"",X34&lt;&gt;"",Z34&lt;&gt;"",(Z34&lt;100),((TODAY()-T34)/MAX(X34-T34,1)*100)-Z34&gt;15),"Behind — progress lag",IF(AND(X34-TODAY()&lt;=30,X34-TODAY()&gt;=0,OR(Z34="",Z34&lt;90)),"At risk — close to off track","On track"))))))))</t>
        </is>
      </c>
      <c r="AH34" s="49" t="inlineStr">
        <is>
          <t>IF(OR(F34="",AC34="Completed / Handover",AC34="Cancelled"),"",IF(O34="Not awarded",IF(U34&lt;&gt;"",U34-TODAY(),IF(X34="","",X34-TODAY())),IF(X34="","",X34-TODAY())))</t>
        </is>
      </c>
      <c r="AI34" s="54" t="n"/>
      <c r="AJ34" s="54" t="n"/>
      <c r="AK34" s="54" t="n"/>
      <c r="AL34" s="54" t="n"/>
      <c r="AM34" s="54" t="n"/>
      <c r="AN34" s="54" t="n"/>
      <c r="AO34" s="54" t="n"/>
      <c r="AP34" s="54" t="n"/>
      <c r="AQ34" s="54" t="n"/>
      <c r="AR34" s="54" t="n"/>
      <c r="AS34" s="54" t="n"/>
      <c r="AT34" s="50" t="n"/>
      <c r="AU34" s="50" t="n"/>
      <c r="AV34" s="50" t="n"/>
      <c r="AW34" s="49" t="inlineStr">
        <is>
          <t>IF(OR(F34="",AJ34=""),"",IF(COUNT(AI34:AI34)=0,"",AJ34-LOOKUP(2,1/(AI34:AI34&lt;&gt;""),AI34:AI34)))</t>
        </is>
      </c>
      <c r="AX34" s="49" t="inlineStr">
        <is>
          <t>IF(OR(F34="",AK34=""),"",IF(COUNT(AI34:AJ34)=0,"",AK34-LOOKUP(2,1/(AI34:AJ34&lt;&gt;""),AI34:AJ34)))</t>
        </is>
      </c>
      <c r="AY34" s="49" t="inlineStr">
        <is>
          <t>IF(OR(F34="",AL34=""),"",IF(COUNT(AI34:AK34)=0,"",AL34-LOOKUP(2,1/(AI34:AK34&lt;&gt;""),AI34:AK34)))</t>
        </is>
      </c>
      <c r="AZ34" s="49" t="inlineStr">
        <is>
          <t>IF(OR(F34="",AM34=""),"",IF(COUNT(AI34:AL34)=0,"",AM34-LOOKUP(2,1/(AI34:AL34&lt;&gt;""),AI34:AL34)))</t>
        </is>
      </c>
      <c r="BA34" s="49" t="inlineStr">
        <is>
          <t>IF(OR(F34="",AN34=""),"",IF(COUNT(AI34:AM34)=0,"",AN34-LOOKUP(2,1/(AI34:AM34&lt;&gt;""),AI34:AM34)))</t>
        </is>
      </c>
      <c r="BB34" s="49" t="inlineStr">
        <is>
          <t>IF(OR(F34="",AO34=""),"",IF(COUNT(AI34:AN34)=0,"",AO34-LOOKUP(2,1/(AI34:AN34&lt;&gt;""),AI34:AN34)))</t>
        </is>
      </c>
      <c r="BC34" s="49" t="inlineStr">
        <is>
          <t>IF(OR(F34="",AP34=""),"",IF(COUNT(AI34:AO34)=0,"",AP34-LOOKUP(2,1/(AI34:AO34&lt;&gt;""),AI34:AO34)))</t>
        </is>
      </c>
      <c r="BD34" s="49" t="inlineStr">
        <is>
          <t>IF(OR(F34="",AQ34=""),"",IF(COUNT(AI34:AP34)=0,"",AQ34-LOOKUP(2,1/(AI34:AP34&lt;&gt;""),AI34:AP34)))</t>
        </is>
      </c>
      <c r="BE34" s="49" t="inlineStr">
        <is>
          <t>IF(OR(F34="",AR34=""),"",IF(COUNT(AI34:AQ34)=0,"",AR34-LOOKUP(2,1/(AI34:AQ34&lt;&gt;""),AI34:AQ34)))</t>
        </is>
      </c>
      <c r="BF34" s="49" t="inlineStr">
        <is>
          <t>IF(OR(F34="",AS34=""),"",IF(COUNT(AI34:AR34)=0,"",AS34-LOOKUP(2,1/(AI34:AR34&lt;&gt;""),AI34:AR34)))</t>
        </is>
      </c>
      <c r="BG34" s="49" t="inlineStr">
        <is>
          <t>IF(OR(F34="",AT34=""),"",IF(COUNT(AI34:AS34)=0,"",AT34-LOOKUP(2,1/(AI34:AS34&lt;&gt;""),AI34:AS34)))</t>
        </is>
      </c>
      <c r="BH34" s="49" t="inlineStr">
        <is>
          <t>IF(OR(F34="",AU34=""),"",IF(COUNT(AI34:AT34)=0,"",AU34-LOOKUP(2,1/(AI34:AT34&lt;&gt;""),AI34:AT34)))</t>
        </is>
      </c>
      <c r="BI34" s="49" t="inlineStr">
        <is>
          <t>IF(OR(F34="",AV34=""),"",IF(COUNT(AI34:AU34)=0,"",AV34-LOOKUP(2,1/(AI34:AU34&lt;&gt;""),AI34:AU34)))</t>
        </is>
      </c>
      <c r="BJ34" s="51" t="inlineStr">
        <is>
          <t>IF(J34="","All_Provinces",IFERROR(VLOOKUP(J34,'09_Lookups'!$A$4:$B$20,2,FALSE),"All_Provinces"))</t>
        </is>
      </c>
      <c r="BK34" s="51" t="inlineStr">
        <is>
          <t>IF(K34="","All_Districts",IFERROR(VLOOKUP(K34,'09_Lookups'!$E$4:$F$42,2,FALSE),"All_Districts"))</t>
        </is>
      </c>
    </row>
    <row r="35" ht="18" customHeight="1">
      <c r="A35" s="42" t="inlineStr">
        <is>
          <t>IF(F35="","",ROW()-3)</t>
        </is>
      </c>
      <c r="B35" s="44" t="n"/>
      <c r="C35" s="44" t="n"/>
      <c r="D35" s="44" t="n"/>
      <c r="E35" s="44" t="n"/>
      <c r="F35" s="44" t="n"/>
      <c r="G35" s="44" t="n"/>
      <c r="H35" s="44" t="n"/>
      <c r="I35" s="44" t="n"/>
      <c r="J35" s="44" t="n"/>
      <c r="K35" s="44" t="n"/>
      <c r="L35" s="44" t="n"/>
      <c r="M35" s="44" t="n"/>
      <c r="N35" s="44" t="n"/>
      <c r="O35" s="44" t="n"/>
      <c r="P35" s="44" t="n"/>
      <c r="Q35" s="44" t="n"/>
      <c r="R35" s="44" t="n"/>
      <c r="S35" s="45" t="n"/>
      <c r="T35" s="46" t="inlineStr">
        <is>
          <t>IF(AQ35="","",AQ35)</t>
        </is>
      </c>
      <c r="U35" s="47" t="n"/>
      <c r="V35" s="48" t="n"/>
      <c r="W35" s="47" t="n"/>
      <c r="X35" s="46" t="inlineStr">
        <is>
          <t>IF(W35&lt;&gt;"",W35,IF(OR(T35="",V35=""),"",EDATE(T35,V35)))</t>
        </is>
      </c>
      <c r="Y35" s="47" t="n"/>
      <c r="Z35" s="48" t="n"/>
      <c r="AA35" s="44" t="n"/>
      <c r="AB35" s="44" t="n"/>
      <c r="AC35" s="42" t="inlineStr">
        <is>
          <t>IF(F35="","",IF(COUNT(AI35:AV35)=0,IF(AA35="","Not started",AA35),SUBSTITUTE(LOOKUP(2,1/(AI35:AV35&lt;&gt;""),$AI$3:$AV$3),"Date: ","")))</t>
        </is>
      </c>
      <c r="AD35" s="49" t="inlineStr">
        <is>
          <t>IF(OR(F35="",COUNT(AI35:AV35)=0),"",TODAY()-LOOKUP(2,1/(AI35:AV35&lt;&gt;""),AI35:AV35))</t>
        </is>
      </c>
      <c r="AE35" s="49" t="inlineStr">
        <is>
          <t>IF(OR(F35="",COUNT(AI35:AV35)&lt;2),"",LOOKUP(2,1/(AI35:AV35&lt;&gt;""),AI35:AV35)-MIN(AI35:AV35))</t>
        </is>
      </c>
      <c r="AF35" s="49" t="inlineStr">
        <is>
          <t>IF(OR(AD35="",AC35="Not started",AC35=""),"",IFERROR(AD35-IF(VLOOKUP(AC35,'06_Status_Pipeline'!$B$3:$E$20,4,FALSE)="",0,VLOOKUP(AC35,'06_Status_Pipeline'!$B$3:$E$20,4,FALSE)),""))</t>
        </is>
      </c>
      <c r="AG35" s="42" t="inlineStr">
        <is>
          <t>IF(F35="","",IF(OR(AA35="Cancelled",AC35="Cancelled"),"Cancelled",IF(OR(AC35="Completed / Handover",Y35&lt;&gt;"",Z35&gt;=100),"Completed — on track",IF(O35="Not awarded",IF(U35="",IF(X35="","No planned date",IF(TODAY()&gt;X35,"Behind — past planned date",IF(X35-TODAY()&lt;=30,"At risk — close to off track","On track"))),IF(TODAY()&gt;U35,"Behind — award date passed",IF(U35-TODAY()&lt;=30,"At risk — close to off track","On track"))),IF(X35="","No planned date",IF(AND(TODAY()&gt;X35,OR(Z35="",Z35&lt;100)),"Behind — past end date",IF(AND(T35&lt;&gt;"",X35&lt;&gt;"",Z35&lt;&gt;"",(Z35&lt;100),((TODAY()-T35)/MAX(X35-T35,1)*100)-Z35&gt;15),"Behind — progress lag",IF(AND(X35-TODAY()&lt;=30,X35-TODAY()&gt;=0,OR(Z35="",Z35&lt;90)),"At risk — close to off track","On track"))))))))</t>
        </is>
      </c>
      <c r="AH35" s="49" t="inlineStr">
        <is>
          <t>IF(OR(F35="",AC35="Completed / Handover",AC35="Cancelled"),"",IF(O35="Not awarded",IF(U35&lt;&gt;"",U35-TODAY(),IF(X35="","",X35-TODAY())),IF(X35="","",X35-TODAY())))</t>
        </is>
      </c>
      <c r="AI35" s="47" t="n"/>
      <c r="AJ35" s="47" t="n"/>
      <c r="AK35" s="47" t="n"/>
      <c r="AL35" s="47" t="n"/>
      <c r="AM35" s="47" t="n"/>
      <c r="AN35" s="47" t="n"/>
      <c r="AO35" s="47" t="n"/>
      <c r="AP35" s="47" t="n"/>
      <c r="AQ35" s="47" t="n"/>
      <c r="AR35" s="47" t="n"/>
      <c r="AS35" s="47" t="n"/>
      <c r="AT35" s="50" t="n"/>
      <c r="AU35" s="50" t="n"/>
      <c r="AV35" s="50" t="n"/>
      <c r="AW35" s="49" t="inlineStr">
        <is>
          <t>IF(OR(F35="",AJ35=""),"",IF(COUNT(AI35:AI35)=0,"",AJ35-LOOKUP(2,1/(AI35:AI35&lt;&gt;""),AI35:AI35)))</t>
        </is>
      </c>
      <c r="AX35" s="49" t="inlineStr">
        <is>
          <t>IF(OR(F35="",AK35=""),"",IF(COUNT(AI35:AJ35)=0,"",AK35-LOOKUP(2,1/(AI35:AJ35&lt;&gt;""),AI35:AJ35)))</t>
        </is>
      </c>
      <c r="AY35" s="49" t="inlineStr">
        <is>
          <t>IF(OR(F35="",AL35=""),"",IF(COUNT(AI35:AK35)=0,"",AL35-LOOKUP(2,1/(AI35:AK35&lt;&gt;""),AI35:AK35)))</t>
        </is>
      </c>
      <c r="AZ35" s="49" t="inlineStr">
        <is>
          <t>IF(OR(F35="",AM35=""),"",IF(COUNT(AI35:AL35)=0,"",AM35-LOOKUP(2,1/(AI35:AL35&lt;&gt;""),AI35:AL35)))</t>
        </is>
      </c>
      <c r="BA35" s="49" t="inlineStr">
        <is>
          <t>IF(OR(F35="",AN35=""),"",IF(COUNT(AI35:AM35)=0,"",AN35-LOOKUP(2,1/(AI35:AM35&lt;&gt;""),AI35:AM35)))</t>
        </is>
      </c>
      <c r="BB35" s="49" t="inlineStr">
        <is>
          <t>IF(OR(F35="",AO35=""),"",IF(COUNT(AI35:AN35)=0,"",AO35-LOOKUP(2,1/(AI35:AN35&lt;&gt;""),AI35:AN35)))</t>
        </is>
      </c>
      <c r="BC35" s="49" t="inlineStr">
        <is>
          <t>IF(OR(F35="",AP35=""),"",IF(COUNT(AI35:AO35)=0,"",AP35-LOOKUP(2,1/(AI35:AO35&lt;&gt;""),AI35:AO35)))</t>
        </is>
      </c>
      <c r="BD35" s="49" t="inlineStr">
        <is>
          <t>IF(OR(F35="",AQ35=""),"",IF(COUNT(AI35:AP35)=0,"",AQ35-LOOKUP(2,1/(AI35:AP35&lt;&gt;""),AI35:AP35)))</t>
        </is>
      </c>
      <c r="BE35" s="49" t="inlineStr">
        <is>
          <t>IF(OR(F35="",AR35=""),"",IF(COUNT(AI35:AQ35)=0,"",AR35-LOOKUP(2,1/(AI35:AQ35&lt;&gt;""),AI35:AQ35)))</t>
        </is>
      </c>
      <c r="BF35" s="49" t="inlineStr">
        <is>
          <t>IF(OR(F35="",AS35=""),"",IF(COUNT(AI35:AR35)=0,"",AS35-LOOKUP(2,1/(AI35:AR35&lt;&gt;""),AI35:AR35)))</t>
        </is>
      </c>
      <c r="BG35" s="49" t="inlineStr">
        <is>
          <t>IF(OR(F35="",AT35=""),"",IF(COUNT(AI35:AS35)=0,"",AT35-LOOKUP(2,1/(AI35:AS35&lt;&gt;""),AI35:AS35)))</t>
        </is>
      </c>
      <c r="BH35" s="49" t="inlineStr">
        <is>
          <t>IF(OR(F35="",AU35=""),"",IF(COUNT(AI35:AT35)=0,"",AU35-LOOKUP(2,1/(AI35:AT35&lt;&gt;""),AI35:AT35)))</t>
        </is>
      </c>
      <c r="BI35" s="49" t="inlineStr">
        <is>
          <t>IF(OR(F35="",AV35=""),"",IF(COUNT(AI35:AU35)=0,"",AV35-LOOKUP(2,1/(AI35:AU35&lt;&gt;""),AI35:AU35)))</t>
        </is>
      </c>
      <c r="BJ35" s="51" t="inlineStr">
        <is>
          <t>IF(J35="","All_Provinces",IFERROR(VLOOKUP(J35,'09_Lookups'!$A$4:$B$20,2,FALSE),"All_Provinces"))</t>
        </is>
      </c>
      <c r="BK35" s="51" t="inlineStr">
        <is>
          <t>IF(K35="","All_Districts",IFERROR(VLOOKUP(K35,'09_Lookups'!$E$4:$F$42,2,FALSE),"All_Districts"))</t>
        </is>
      </c>
    </row>
    <row r="36" ht="18" customHeight="1">
      <c r="A36" s="42" t="inlineStr">
        <is>
          <t>IF(F36="","",ROW()-3)</t>
        </is>
      </c>
      <c r="B36" s="52" t="n"/>
      <c r="C36" s="52" t="n"/>
      <c r="D36" s="52" t="n"/>
      <c r="E36" s="52" t="n"/>
      <c r="F36" s="52" t="n"/>
      <c r="G36" s="52" t="n"/>
      <c r="H36" s="52" t="n"/>
      <c r="I36" s="52" t="n"/>
      <c r="J36" s="52" t="n"/>
      <c r="K36" s="52" t="n"/>
      <c r="L36" s="52" t="n"/>
      <c r="M36" s="52" t="n"/>
      <c r="N36" s="52" t="n"/>
      <c r="O36" s="52" t="n"/>
      <c r="P36" s="52" t="n"/>
      <c r="Q36" s="52" t="n"/>
      <c r="R36" s="52" t="n"/>
      <c r="S36" s="53" t="n"/>
      <c r="T36" s="46" t="inlineStr">
        <is>
          <t>IF(AQ36="","",AQ36)</t>
        </is>
      </c>
      <c r="U36" s="54" t="n"/>
      <c r="V36" s="55" t="n"/>
      <c r="W36" s="54" t="n"/>
      <c r="X36" s="46" t="inlineStr">
        <is>
          <t>IF(W36&lt;&gt;"",W36,IF(OR(T36="",V36=""),"",EDATE(T36,V36)))</t>
        </is>
      </c>
      <c r="Y36" s="54" t="n"/>
      <c r="Z36" s="55" t="n"/>
      <c r="AA36" s="52" t="n"/>
      <c r="AB36" s="52" t="n"/>
      <c r="AC36" s="42" t="inlineStr">
        <is>
          <t>IF(F36="","",IF(COUNT(AI36:AV36)=0,IF(AA36="","Not started",AA36),SUBSTITUTE(LOOKUP(2,1/(AI36:AV36&lt;&gt;""),$AI$3:$AV$3),"Date: ","")))</t>
        </is>
      </c>
      <c r="AD36" s="49" t="inlineStr">
        <is>
          <t>IF(OR(F36="",COUNT(AI36:AV36)=0),"",TODAY()-LOOKUP(2,1/(AI36:AV36&lt;&gt;""),AI36:AV36))</t>
        </is>
      </c>
      <c r="AE36" s="49" t="inlineStr">
        <is>
          <t>IF(OR(F36="",COUNT(AI36:AV36)&lt;2),"",LOOKUP(2,1/(AI36:AV36&lt;&gt;""),AI36:AV36)-MIN(AI36:AV36))</t>
        </is>
      </c>
      <c r="AF36" s="49" t="inlineStr">
        <is>
          <t>IF(OR(AD36="",AC36="Not started",AC36=""),"",IFERROR(AD36-IF(VLOOKUP(AC36,'06_Status_Pipeline'!$B$3:$E$20,4,FALSE)="",0,VLOOKUP(AC36,'06_Status_Pipeline'!$B$3:$E$20,4,FALSE)),""))</t>
        </is>
      </c>
      <c r="AG36" s="42" t="inlineStr">
        <is>
          <t>IF(F36="","",IF(OR(AA36="Cancelled",AC36="Cancelled"),"Cancelled",IF(OR(AC36="Completed / Handover",Y36&lt;&gt;"",Z36&gt;=100),"Completed — on track",IF(O36="Not awarded",IF(U36="",IF(X36="","No planned date",IF(TODAY()&gt;X36,"Behind — past planned date",IF(X36-TODAY()&lt;=30,"At risk — close to off track","On track"))),IF(TODAY()&gt;U36,"Behind — award date passed",IF(U36-TODAY()&lt;=30,"At risk — close to off track","On track"))),IF(X36="","No planned date",IF(AND(TODAY()&gt;X36,OR(Z36="",Z36&lt;100)),"Behind — past end date",IF(AND(T36&lt;&gt;"",X36&lt;&gt;"",Z36&lt;&gt;"",(Z36&lt;100),((TODAY()-T36)/MAX(X36-T36,1)*100)-Z36&gt;15),"Behind — progress lag",IF(AND(X36-TODAY()&lt;=30,X36-TODAY()&gt;=0,OR(Z36="",Z36&lt;90)),"At risk — close to off track","On track"))))))))</t>
        </is>
      </c>
      <c r="AH36" s="49" t="inlineStr">
        <is>
          <t>IF(OR(F36="",AC36="Completed / Handover",AC36="Cancelled"),"",IF(O36="Not awarded",IF(U36&lt;&gt;"",U36-TODAY(),IF(X36="","",X36-TODAY())),IF(X36="","",X36-TODAY())))</t>
        </is>
      </c>
      <c r="AI36" s="54" t="n"/>
      <c r="AJ36" s="54" t="n"/>
      <c r="AK36" s="54" t="n"/>
      <c r="AL36" s="54" t="n"/>
      <c r="AM36" s="54" t="n"/>
      <c r="AN36" s="54" t="n"/>
      <c r="AO36" s="54" t="n"/>
      <c r="AP36" s="54" t="n"/>
      <c r="AQ36" s="54" t="n"/>
      <c r="AR36" s="54" t="n"/>
      <c r="AS36" s="54" t="n"/>
      <c r="AT36" s="50" t="n"/>
      <c r="AU36" s="50" t="n"/>
      <c r="AV36" s="50" t="n"/>
      <c r="AW36" s="49" t="inlineStr">
        <is>
          <t>IF(OR(F36="",AJ36=""),"",IF(COUNT(AI36:AI36)=0,"",AJ36-LOOKUP(2,1/(AI36:AI36&lt;&gt;""),AI36:AI36)))</t>
        </is>
      </c>
      <c r="AX36" s="49" t="inlineStr">
        <is>
          <t>IF(OR(F36="",AK36=""),"",IF(COUNT(AI36:AJ36)=0,"",AK36-LOOKUP(2,1/(AI36:AJ36&lt;&gt;""),AI36:AJ36)))</t>
        </is>
      </c>
      <c r="AY36" s="49" t="inlineStr">
        <is>
          <t>IF(OR(F36="",AL36=""),"",IF(COUNT(AI36:AK36)=0,"",AL36-LOOKUP(2,1/(AI36:AK36&lt;&gt;""),AI36:AK36)))</t>
        </is>
      </c>
      <c r="AZ36" s="49" t="inlineStr">
        <is>
          <t>IF(OR(F36="",AM36=""),"",IF(COUNT(AI36:AL36)=0,"",AM36-LOOKUP(2,1/(AI36:AL36&lt;&gt;""),AI36:AL36)))</t>
        </is>
      </c>
      <c r="BA36" s="49" t="inlineStr">
        <is>
          <t>IF(OR(F36="",AN36=""),"",IF(COUNT(AI36:AM36)=0,"",AN36-LOOKUP(2,1/(AI36:AM36&lt;&gt;""),AI36:AM36)))</t>
        </is>
      </c>
      <c r="BB36" s="49" t="inlineStr">
        <is>
          <t>IF(OR(F36="",AO36=""),"",IF(COUNT(AI36:AN36)=0,"",AO36-LOOKUP(2,1/(AI36:AN36&lt;&gt;""),AI36:AN36)))</t>
        </is>
      </c>
      <c r="BC36" s="49" t="inlineStr">
        <is>
          <t>IF(OR(F36="",AP36=""),"",IF(COUNT(AI36:AO36)=0,"",AP36-LOOKUP(2,1/(AI36:AO36&lt;&gt;""),AI36:AO36)))</t>
        </is>
      </c>
      <c r="BD36" s="49" t="inlineStr">
        <is>
          <t>IF(OR(F36="",AQ36=""),"",IF(COUNT(AI36:AP36)=0,"",AQ36-LOOKUP(2,1/(AI36:AP36&lt;&gt;""),AI36:AP36)))</t>
        </is>
      </c>
      <c r="BE36" s="49" t="inlineStr">
        <is>
          <t>IF(OR(F36="",AR36=""),"",IF(COUNT(AI36:AQ36)=0,"",AR36-LOOKUP(2,1/(AI36:AQ36&lt;&gt;""),AI36:AQ36)))</t>
        </is>
      </c>
      <c r="BF36" s="49" t="inlineStr">
        <is>
          <t>IF(OR(F36="",AS36=""),"",IF(COUNT(AI36:AR36)=0,"",AS36-LOOKUP(2,1/(AI36:AR36&lt;&gt;""),AI36:AR36)))</t>
        </is>
      </c>
      <c r="BG36" s="49" t="inlineStr">
        <is>
          <t>IF(OR(F36="",AT36=""),"",IF(COUNT(AI36:AS36)=0,"",AT36-LOOKUP(2,1/(AI36:AS36&lt;&gt;""),AI36:AS36)))</t>
        </is>
      </c>
      <c r="BH36" s="49" t="inlineStr">
        <is>
          <t>IF(OR(F36="",AU36=""),"",IF(COUNT(AI36:AT36)=0,"",AU36-LOOKUP(2,1/(AI36:AT36&lt;&gt;""),AI36:AT36)))</t>
        </is>
      </c>
      <c r="BI36" s="49" t="inlineStr">
        <is>
          <t>IF(OR(F36="",AV36=""),"",IF(COUNT(AI36:AU36)=0,"",AV36-LOOKUP(2,1/(AI36:AU36&lt;&gt;""),AI36:AU36)))</t>
        </is>
      </c>
      <c r="BJ36" s="51" t="inlineStr">
        <is>
          <t>IF(J36="","All_Provinces",IFERROR(VLOOKUP(J36,'09_Lookups'!$A$4:$B$20,2,FALSE),"All_Provinces"))</t>
        </is>
      </c>
      <c r="BK36" s="51" t="inlineStr">
        <is>
          <t>IF(K36="","All_Districts",IFERROR(VLOOKUP(K36,'09_Lookups'!$E$4:$F$42,2,FALSE),"All_Districts"))</t>
        </is>
      </c>
    </row>
    <row r="37" ht="18" customHeight="1">
      <c r="A37" s="42" t="inlineStr">
        <is>
          <t>IF(F37="","",ROW()-3)</t>
        </is>
      </c>
      <c r="B37" s="44" t="n"/>
      <c r="C37" s="44" t="n"/>
      <c r="D37" s="44" t="n"/>
      <c r="E37" s="44" t="n"/>
      <c r="F37" s="44" t="n"/>
      <c r="G37" s="44" t="n"/>
      <c r="H37" s="44" t="n"/>
      <c r="I37" s="44" t="n"/>
      <c r="J37" s="44" t="n"/>
      <c r="K37" s="44" t="n"/>
      <c r="L37" s="44" t="n"/>
      <c r="M37" s="44" t="n"/>
      <c r="N37" s="44" t="n"/>
      <c r="O37" s="44" t="n"/>
      <c r="P37" s="44" t="n"/>
      <c r="Q37" s="44" t="n"/>
      <c r="R37" s="44" t="n"/>
      <c r="S37" s="45" t="n"/>
      <c r="T37" s="46" t="inlineStr">
        <is>
          <t>IF(AQ37="","",AQ37)</t>
        </is>
      </c>
      <c r="U37" s="47" t="n"/>
      <c r="V37" s="48" t="n"/>
      <c r="W37" s="47" t="n"/>
      <c r="X37" s="46" t="inlineStr">
        <is>
          <t>IF(W37&lt;&gt;"",W37,IF(OR(T37="",V37=""),"",EDATE(T37,V37)))</t>
        </is>
      </c>
      <c r="Y37" s="47" t="n"/>
      <c r="Z37" s="48" t="n"/>
      <c r="AA37" s="44" t="n"/>
      <c r="AB37" s="44" t="n"/>
      <c r="AC37" s="42" t="inlineStr">
        <is>
          <t>IF(F37="","",IF(COUNT(AI37:AV37)=0,IF(AA37="","Not started",AA37),SUBSTITUTE(LOOKUP(2,1/(AI37:AV37&lt;&gt;""),$AI$3:$AV$3),"Date: ","")))</t>
        </is>
      </c>
      <c r="AD37" s="49" t="inlineStr">
        <is>
          <t>IF(OR(F37="",COUNT(AI37:AV37)=0),"",TODAY()-LOOKUP(2,1/(AI37:AV37&lt;&gt;""),AI37:AV37))</t>
        </is>
      </c>
      <c r="AE37" s="49" t="inlineStr">
        <is>
          <t>IF(OR(F37="",COUNT(AI37:AV37)&lt;2),"",LOOKUP(2,1/(AI37:AV37&lt;&gt;""),AI37:AV37)-MIN(AI37:AV37))</t>
        </is>
      </c>
      <c r="AF37" s="49" t="inlineStr">
        <is>
          <t>IF(OR(AD37="",AC37="Not started",AC37=""),"",IFERROR(AD37-IF(VLOOKUP(AC37,'06_Status_Pipeline'!$B$3:$E$20,4,FALSE)="",0,VLOOKUP(AC37,'06_Status_Pipeline'!$B$3:$E$20,4,FALSE)),""))</t>
        </is>
      </c>
      <c r="AG37" s="42" t="inlineStr">
        <is>
          <t>IF(F37="","",IF(OR(AA37="Cancelled",AC37="Cancelled"),"Cancelled",IF(OR(AC37="Completed / Handover",Y37&lt;&gt;"",Z37&gt;=100),"Completed — on track",IF(O37="Not awarded",IF(U37="",IF(X37="","No planned date",IF(TODAY()&gt;X37,"Behind — past planned date",IF(X37-TODAY()&lt;=30,"At risk — close to off track","On track"))),IF(TODAY()&gt;U37,"Behind — award date passed",IF(U37-TODAY()&lt;=30,"At risk — close to off track","On track"))),IF(X37="","No planned date",IF(AND(TODAY()&gt;X37,OR(Z37="",Z37&lt;100)),"Behind — past end date",IF(AND(T37&lt;&gt;"",X37&lt;&gt;"",Z37&lt;&gt;"",(Z37&lt;100),((TODAY()-T37)/MAX(X37-T37,1)*100)-Z37&gt;15),"Behind — progress lag",IF(AND(X37-TODAY()&lt;=30,X37-TODAY()&gt;=0,OR(Z37="",Z37&lt;90)),"At risk — close to off track","On track"))))))))</t>
        </is>
      </c>
      <c r="AH37" s="49" t="inlineStr">
        <is>
          <t>IF(OR(F37="",AC37="Completed / Handover",AC37="Cancelled"),"",IF(O37="Not awarded",IF(U37&lt;&gt;"",U37-TODAY(),IF(X37="","",X37-TODAY())),IF(X37="","",X37-TODAY())))</t>
        </is>
      </c>
      <c r="AI37" s="47" t="n"/>
      <c r="AJ37" s="47" t="n"/>
      <c r="AK37" s="47" t="n"/>
      <c r="AL37" s="47" t="n"/>
      <c r="AM37" s="47" t="n"/>
      <c r="AN37" s="47" t="n"/>
      <c r="AO37" s="47" t="n"/>
      <c r="AP37" s="47" t="n"/>
      <c r="AQ37" s="47" t="n"/>
      <c r="AR37" s="47" t="n"/>
      <c r="AS37" s="47" t="n"/>
      <c r="AT37" s="50" t="n"/>
      <c r="AU37" s="50" t="n"/>
      <c r="AV37" s="50" t="n"/>
      <c r="AW37" s="49" t="inlineStr">
        <is>
          <t>IF(OR(F37="",AJ37=""),"",IF(COUNT(AI37:AI37)=0,"",AJ37-LOOKUP(2,1/(AI37:AI37&lt;&gt;""),AI37:AI37)))</t>
        </is>
      </c>
      <c r="AX37" s="49" t="inlineStr">
        <is>
          <t>IF(OR(F37="",AK37=""),"",IF(COUNT(AI37:AJ37)=0,"",AK37-LOOKUP(2,1/(AI37:AJ37&lt;&gt;""),AI37:AJ37)))</t>
        </is>
      </c>
      <c r="AY37" s="49" t="inlineStr">
        <is>
          <t>IF(OR(F37="",AL37=""),"",IF(COUNT(AI37:AK37)=0,"",AL37-LOOKUP(2,1/(AI37:AK37&lt;&gt;""),AI37:AK37)))</t>
        </is>
      </c>
      <c r="AZ37" s="49" t="inlineStr">
        <is>
          <t>IF(OR(F37="",AM37=""),"",IF(COUNT(AI37:AL37)=0,"",AM37-LOOKUP(2,1/(AI37:AL37&lt;&gt;""),AI37:AL37)))</t>
        </is>
      </c>
      <c r="BA37" s="49" t="inlineStr">
        <is>
          <t>IF(OR(F37="",AN37=""),"",IF(COUNT(AI37:AM37)=0,"",AN37-LOOKUP(2,1/(AI37:AM37&lt;&gt;""),AI37:AM37)))</t>
        </is>
      </c>
      <c r="BB37" s="49" t="inlineStr">
        <is>
          <t>IF(OR(F37="",AO37=""),"",IF(COUNT(AI37:AN37)=0,"",AO37-LOOKUP(2,1/(AI37:AN37&lt;&gt;""),AI37:AN37)))</t>
        </is>
      </c>
      <c r="BC37" s="49" t="inlineStr">
        <is>
          <t>IF(OR(F37="",AP37=""),"",IF(COUNT(AI37:AO37)=0,"",AP37-LOOKUP(2,1/(AI37:AO37&lt;&gt;""),AI37:AO37)))</t>
        </is>
      </c>
      <c r="BD37" s="49" t="inlineStr">
        <is>
          <t>IF(OR(F37="",AQ37=""),"",IF(COUNT(AI37:AP37)=0,"",AQ37-LOOKUP(2,1/(AI37:AP37&lt;&gt;""),AI37:AP37)))</t>
        </is>
      </c>
      <c r="BE37" s="49" t="inlineStr">
        <is>
          <t>IF(OR(F37="",AR37=""),"",IF(COUNT(AI37:AQ37)=0,"",AR37-LOOKUP(2,1/(AI37:AQ37&lt;&gt;""),AI37:AQ37)))</t>
        </is>
      </c>
      <c r="BF37" s="49" t="inlineStr">
        <is>
          <t>IF(OR(F37="",AS37=""),"",IF(COUNT(AI37:AR37)=0,"",AS37-LOOKUP(2,1/(AI37:AR37&lt;&gt;""),AI37:AR37)))</t>
        </is>
      </c>
      <c r="BG37" s="49" t="inlineStr">
        <is>
          <t>IF(OR(F37="",AT37=""),"",IF(COUNT(AI37:AS37)=0,"",AT37-LOOKUP(2,1/(AI37:AS37&lt;&gt;""),AI37:AS37)))</t>
        </is>
      </c>
      <c r="BH37" s="49" t="inlineStr">
        <is>
          <t>IF(OR(F37="",AU37=""),"",IF(COUNT(AI37:AT37)=0,"",AU37-LOOKUP(2,1/(AI37:AT37&lt;&gt;""),AI37:AT37)))</t>
        </is>
      </c>
      <c r="BI37" s="49" t="inlineStr">
        <is>
          <t>IF(OR(F37="",AV37=""),"",IF(COUNT(AI37:AU37)=0,"",AV37-LOOKUP(2,1/(AI37:AU37&lt;&gt;""),AI37:AU37)))</t>
        </is>
      </c>
      <c r="BJ37" s="51" t="inlineStr">
        <is>
          <t>IF(J37="","All_Provinces",IFERROR(VLOOKUP(J37,'09_Lookups'!$A$4:$B$20,2,FALSE),"All_Provinces"))</t>
        </is>
      </c>
      <c r="BK37" s="51" t="inlineStr">
        <is>
          <t>IF(K37="","All_Districts",IFERROR(VLOOKUP(K37,'09_Lookups'!$E$4:$F$42,2,FALSE),"All_Districts"))</t>
        </is>
      </c>
    </row>
    <row r="38" ht="18" customHeight="1">
      <c r="A38" s="42" t="inlineStr">
        <is>
          <t>IF(F38="","",ROW()-3)</t>
        </is>
      </c>
      <c r="B38" s="52" t="n"/>
      <c r="C38" s="52" t="n"/>
      <c r="D38" s="52" t="n"/>
      <c r="E38" s="52" t="n"/>
      <c r="F38" s="52" t="n"/>
      <c r="G38" s="52" t="n"/>
      <c r="H38" s="52" t="n"/>
      <c r="I38" s="52" t="n"/>
      <c r="J38" s="52" t="n"/>
      <c r="K38" s="52" t="n"/>
      <c r="L38" s="52" t="n"/>
      <c r="M38" s="52" t="n"/>
      <c r="N38" s="52" t="n"/>
      <c r="O38" s="52" t="n"/>
      <c r="P38" s="52" t="n"/>
      <c r="Q38" s="52" t="n"/>
      <c r="R38" s="52" t="n"/>
      <c r="S38" s="53" t="n"/>
      <c r="T38" s="46" t="inlineStr">
        <is>
          <t>IF(AQ38="","",AQ38)</t>
        </is>
      </c>
      <c r="U38" s="54" t="n"/>
      <c r="V38" s="55" t="n"/>
      <c r="W38" s="54" t="n"/>
      <c r="X38" s="46" t="inlineStr">
        <is>
          <t>IF(W38&lt;&gt;"",W38,IF(OR(T38="",V38=""),"",EDATE(T38,V38)))</t>
        </is>
      </c>
      <c r="Y38" s="54" t="n"/>
      <c r="Z38" s="55" t="n"/>
      <c r="AA38" s="52" t="n"/>
      <c r="AB38" s="52" t="n"/>
      <c r="AC38" s="42" t="inlineStr">
        <is>
          <t>IF(F38="","",IF(COUNT(AI38:AV38)=0,IF(AA38="","Not started",AA38),SUBSTITUTE(LOOKUP(2,1/(AI38:AV38&lt;&gt;""),$AI$3:$AV$3),"Date: ","")))</t>
        </is>
      </c>
      <c r="AD38" s="49" t="inlineStr">
        <is>
          <t>IF(OR(F38="",COUNT(AI38:AV38)=0),"",TODAY()-LOOKUP(2,1/(AI38:AV38&lt;&gt;""),AI38:AV38))</t>
        </is>
      </c>
      <c r="AE38" s="49" t="inlineStr">
        <is>
          <t>IF(OR(F38="",COUNT(AI38:AV38)&lt;2),"",LOOKUP(2,1/(AI38:AV38&lt;&gt;""),AI38:AV38)-MIN(AI38:AV38))</t>
        </is>
      </c>
      <c r="AF38" s="49" t="inlineStr">
        <is>
          <t>IF(OR(AD38="",AC38="Not started",AC38=""),"",IFERROR(AD38-IF(VLOOKUP(AC38,'06_Status_Pipeline'!$B$3:$E$20,4,FALSE)="",0,VLOOKUP(AC38,'06_Status_Pipeline'!$B$3:$E$20,4,FALSE)),""))</t>
        </is>
      </c>
      <c r="AG38" s="42" t="inlineStr">
        <is>
          <t>IF(F38="","",IF(OR(AA38="Cancelled",AC38="Cancelled"),"Cancelled",IF(OR(AC38="Completed / Handover",Y38&lt;&gt;"",Z38&gt;=100),"Completed — on track",IF(O38="Not awarded",IF(U38="",IF(X38="","No planned date",IF(TODAY()&gt;X38,"Behind — past planned date",IF(X38-TODAY()&lt;=30,"At risk — close to off track","On track"))),IF(TODAY()&gt;U38,"Behind — award date passed",IF(U38-TODAY()&lt;=30,"At risk — close to off track","On track"))),IF(X38="","No planned date",IF(AND(TODAY()&gt;X38,OR(Z38="",Z38&lt;100)),"Behind — past end date",IF(AND(T38&lt;&gt;"",X38&lt;&gt;"",Z38&lt;&gt;"",(Z38&lt;100),((TODAY()-T38)/MAX(X38-T38,1)*100)-Z38&gt;15),"Behind — progress lag",IF(AND(X38-TODAY()&lt;=30,X38-TODAY()&gt;=0,OR(Z38="",Z38&lt;90)),"At risk — close to off track","On track"))))))))</t>
        </is>
      </c>
      <c r="AH38" s="49" t="inlineStr">
        <is>
          <t>IF(OR(F38="",AC38="Completed / Handover",AC38="Cancelled"),"",IF(O38="Not awarded",IF(U38&lt;&gt;"",U38-TODAY(),IF(X38="","",X38-TODAY())),IF(X38="","",X38-TODAY())))</t>
        </is>
      </c>
      <c r="AI38" s="54" t="n"/>
      <c r="AJ38" s="54" t="n"/>
      <c r="AK38" s="54" t="n"/>
      <c r="AL38" s="54" t="n"/>
      <c r="AM38" s="54" t="n"/>
      <c r="AN38" s="54" t="n"/>
      <c r="AO38" s="54" t="n"/>
      <c r="AP38" s="54" t="n"/>
      <c r="AQ38" s="54" t="n"/>
      <c r="AR38" s="54" t="n"/>
      <c r="AS38" s="54" t="n"/>
      <c r="AT38" s="50" t="n"/>
      <c r="AU38" s="50" t="n"/>
      <c r="AV38" s="50" t="n"/>
      <c r="AW38" s="49" t="inlineStr">
        <is>
          <t>IF(OR(F38="",AJ38=""),"",IF(COUNT(AI38:AI38)=0,"",AJ38-LOOKUP(2,1/(AI38:AI38&lt;&gt;""),AI38:AI38)))</t>
        </is>
      </c>
      <c r="AX38" s="49" t="inlineStr">
        <is>
          <t>IF(OR(F38="",AK38=""),"",IF(COUNT(AI38:AJ38)=0,"",AK38-LOOKUP(2,1/(AI38:AJ38&lt;&gt;""),AI38:AJ38)))</t>
        </is>
      </c>
      <c r="AY38" s="49" t="inlineStr">
        <is>
          <t>IF(OR(F38="",AL38=""),"",IF(COUNT(AI38:AK38)=0,"",AL38-LOOKUP(2,1/(AI38:AK38&lt;&gt;""),AI38:AK38)))</t>
        </is>
      </c>
      <c r="AZ38" s="49" t="inlineStr">
        <is>
          <t>IF(OR(F38="",AM38=""),"",IF(COUNT(AI38:AL38)=0,"",AM38-LOOKUP(2,1/(AI38:AL38&lt;&gt;""),AI38:AL38)))</t>
        </is>
      </c>
      <c r="BA38" s="49" t="inlineStr">
        <is>
          <t>IF(OR(F38="",AN38=""),"",IF(COUNT(AI38:AM38)=0,"",AN38-LOOKUP(2,1/(AI38:AM38&lt;&gt;""),AI38:AM38)))</t>
        </is>
      </c>
      <c r="BB38" s="49" t="inlineStr">
        <is>
          <t>IF(OR(F38="",AO38=""),"",IF(COUNT(AI38:AN38)=0,"",AO38-LOOKUP(2,1/(AI38:AN38&lt;&gt;""),AI38:AN38)))</t>
        </is>
      </c>
      <c r="BC38" s="49" t="inlineStr">
        <is>
          <t>IF(OR(F38="",AP38=""),"",IF(COUNT(AI38:AO38)=0,"",AP38-LOOKUP(2,1/(AI38:AO38&lt;&gt;""),AI38:AO38)))</t>
        </is>
      </c>
      <c r="BD38" s="49" t="inlineStr">
        <is>
          <t>IF(OR(F38="",AQ38=""),"",IF(COUNT(AI38:AP38)=0,"",AQ38-LOOKUP(2,1/(AI38:AP38&lt;&gt;""),AI38:AP38)))</t>
        </is>
      </c>
      <c r="BE38" s="49" t="inlineStr">
        <is>
          <t>IF(OR(F38="",AR38=""),"",IF(COUNT(AI38:AQ38)=0,"",AR38-LOOKUP(2,1/(AI38:AQ38&lt;&gt;""),AI38:AQ38)))</t>
        </is>
      </c>
      <c r="BF38" s="49" t="inlineStr">
        <is>
          <t>IF(OR(F38="",AS38=""),"",IF(COUNT(AI38:AR38)=0,"",AS38-LOOKUP(2,1/(AI38:AR38&lt;&gt;""),AI38:AR38)))</t>
        </is>
      </c>
      <c r="BG38" s="49" t="inlineStr">
        <is>
          <t>IF(OR(F38="",AT38=""),"",IF(COUNT(AI38:AS38)=0,"",AT38-LOOKUP(2,1/(AI38:AS38&lt;&gt;""),AI38:AS38)))</t>
        </is>
      </c>
      <c r="BH38" s="49" t="inlineStr">
        <is>
          <t>IF(OR(F38="",AU38=""),"",IF(COUNT(AI38:AT38)=0,"",AU38-LOOKUP(2,1/(AI38:AT38&lt;&gt;""),AI38:AT38)))</t>
        </is>
      </c>
      <c r="BI38" s="49" t="inlineStr">
        <is>
          <t>IF(OR(F38="",AV38=""),"",IF(COUNT(AI38:AU38)=0,"",AV38-LOOKUP(2,1/(AI38:AU38&lt;&gt;""),AI38:AU38)))</t>
        </is>
      </c>
      <c r="BJ38" s="51" t="inlineStr">
        <is>
          <t>IF(J38="","All_Provinces",IFERROR(VLOOKUP(J38,'09_Lookups'!$A$4:$B$20,2,FALSE),"All_Provinces"))</t>
        </is>
      </c>
      <c r="BK38" s="51" t="inlineStr">
        <is>
          <t>IF(K38="","All_Districts",IFERROR(VLOOKUP(K38,'09_Lookups'!$E$4:$F$42,2,FALSE),"All_Districts"))</t>
        </is>
      </c>
    </row>
    <row r="39" ht="18" customHeight="1">
      <c r="A39" s="42" t="inlineStr">
        <is>
          <t>IF(F39="","",ROW()-3)</t>
        </is>
      </c>
      <c r="B39" s="44" t="n"/>
      <c r="C39" s="44" t="n"/>
      <c r="D39" s="44" t="n"/>
      <c r="E39" s="44" t="n"/>
      <c r="F39" s="44" t="n"/>
      <c r="G39" s="44" t="n"/>
      <c r="H39" s="44" t="n"/>
      <c r="I39" s="44" t="n"/>
      <c r="J39" s="44" t="n"/>
      <c r="K39" s="44" t="n"/>
      <c r="L39" s="44" t="n"/>
      <c r="M39" s="44" t="n"/>
      <c r="N39" s="44" t="n"/>
      <c r="O39" s="44" t="n"/>
      <c r="P39" s="44" t="n"/>
      <c r="Q39" s="44" t="n"/>
      <c r="R39" s="44" t="n"/>
      <c r="S39" s="45" t="n"/>
      <c r="T39" s="46" t="inlineStr">
        <is>
          <t>IF(AQ39="","",AQ39)</t>
        </is>
      </c>
      <c r="U39" s="47" t="n"/>
      <c r="V39" s="48" t="n"/>
      <c r="W39" s="47" t="n"/>
      <c r="X39" s="46" t="inlineStr">
        <is>
          <t>IF(W39&lt;&gt;"",W39,IF(OR(T39="",V39=""),"",EDATE(T39,V39)))</t>
        </is>
      </c>
      <c r="Y39" s="47" t="n"/>
      <c r="Z39" s="48" t="n"/>
      <c r="AA39" s="44" t="n"/>
      <c r="AB39" s="44" t="n"/>
      <c r="AC39" s="42" t="inlineStr">
        <is>
          <t>IF(F39="","",IF(COUNT(AI39:AV39)=0,IF(AA39="","Not started",AA39),SUBSTITUTE(LOOKUP(2,1/(AI39:AV39&lt;&gt;""),$AI$3:$AV$3),"Date: ","")))</t>
        </is>
      </c>
      <c r="AD39" s="49" t="inlineStr">
        <is>
          <t>IF(OR(F39="",COUNT(AI39:AV39)=0),"",TODAY()-LOOKUP(2,1/(AI39:AV39&lt;&gt;""),AI39:AV39))</t>
        </is>
      </c>
      <c r="AE39" s="49" t="inlineStr">
        <is>
          <t>IF(OR(F39="",COUNT(AI39:AV39)&lt;2),"",LOOKUP(2,1/(AI39:AV39&lt;&gt;""),AI39:AV39)-MIN(AI39:AV39))</t>
        </is>
      </c>
      <c r="AF39" s="49" t="inlineStr">
        <is>
          <t>IF(OR(AD39="",AC39="Not started",AC39=""),"",IFERROR(AD39-IF(VLOOKUP(AC39,'06_Status_Pipeline'!$B$3:$E$20,4,FALSE)="",0,VLOOKUP(AC39,'06_Status_Pipeline'!$B$3:$E$20,4,FALSE)),""))</t>
        </is>
      </c>
      <c r="AG39" s="42" t="inlineStr">
        <is>
          <t>IF(F39="","",IF(OR(AA39="Cancelled",AC39="Cancelled"),"Cancelled",IF(OR(AC39="Completed / Handover",Y39&lt;&gt;"",Z39&gt;=100),"Completed — on track",IF(O39="Not awarded",IF(U39="",IF(X39="","No planned date",IF(TODAY()&gt;X39,"Behind — past planned date",IF(X39-TODAY()&lt;=30,"At risk — close to off track","On track"))),IF(TODAY()&gt;U39,"Behind — award date passed",IF(U39-TODAY()&lt;=30,"At risk — close to off track","On track"))),IF(X39="","No planned date",IF(AND(TODAY()&gt;X39,OR(Z39="",Z39&lt;100)),"Behind — past end date",IF(AND(T39&lt;&gt;"",X39&lt;&gt;"",Z39&lt;&gt;"",(Z39&lt;100),((TODAY()-T39)/MAX(X39-T39,1)*100)-Z39&gt;15),"Behind — progress lag",IF(AND(X39-TODAY()&lt;=30,X39-TODAY()&gt;=0,OR(Z39="",Z39&lt;90)),"At risk — close to off track","On track"))))))))</t>
        </is>
      </c>
      <c r="AH39" s="49" t="inlineStr">
        <is>
          <t>IF(OR(F39="",AC39="Completed / Handover",AC39="Cancelled"),"",IF(O39="Not awarded",IF(U39&lt;&gt;"",U39-TODAY(),IF(X39="","",X39-TODAY())),IF(X39="","",X39-TODAY())))</t>
        </is>
      </c>
      <c r="AI39" s="47" t="n"/>
      <c r="AJ39" s="47" t="n"/>
      <c r="AK39" s="47" t="n"/>
      <c r="AL39" s="47" t="n"/>
      <c r="AM39" s="47" t="n"/>
      <c r="AN39" s="47" t="n"/>
      <c r="AO39" s="47" t="n"/>
      <c r="AP39" s="47" t="n"/>
      <c r="AQ39" s="47" t="n"/>
      <c r="AR39" s="47" t="n"/>
      <c r="AS39" s="47" t="n"/>
      <c r="AT39" s="50" t="n"/>
      <c r="AU39" s="50" t="n"/>
      <c r="AV39" s="50" t="n"/>
      <c r="AW39" s="49" t="inlineStr">
        <is>
          <t>IF(OR(F39="",AJ39=""),"",IF(COUNT(AI39:AI39)=0,"",AJ39-LOOKUP(2,1/(AI39:AI39&lt;&gt;""),AI39:AI39)))</t>
        </is>
      </c>
      <c r="AX39" s="49" t="inlineStr">
        <is>
          <t>IF(OR(F39="",AK39=""),"",IF(COUNT(AI39:AJ39)=0,"",AK39-LOOKUP(2,1/(AI39:AJ39&lt;&gt;""),AI39:AJ39)))</t>
        </is>
      </c>
      <c r="AY39" s="49" t="inlineStr">
        <is>
          <t>IF(OR(F39="",AL39=""),"",IF(COUNT(AI39:AK39)=0,"",AL39-LOOKUP(2,1/(AI39:AK39&lt;&gt;""),AI39:AK39)))</t>
        </is>
      </c>
      <c r="AZ39" s="49" t="inlineStr">
        <is>
          <t>IF(OR(F39="",AM39=""),"",IF(COUNT(AI39:AL39)=0,"",AM39-LOOKUP(2,1/(AI39:AL39&lt;&gt;""),AI39:AL39)))</t>
        </is>
      </c>
      <c r="BA39" s="49" t="inlineStr">
        <is>
          <t>IF(OR(F39="",AN39=""),"",IF(COUNT(AI39:AM39)=0,"",AN39-LOOKUP(2,1/(AI39:AM39&lt;&gt;""),AI39:AM39)))</t>
        </is>
      </c>
      <c r="BB39" s="49" t="inlineStr">
        <is>
          <t>IF(OR(F39="",AO39=""),"",IF(COUNT(AI39:AN39)=0,"",AO39-LOOKUP(2,1/(AI39:AN39&lt;&gt;""),AI39:AN39)))</t>
        </is>
      </c>
      <c r="BC39" s="49" t="inlineStr">
        <is>
          <t>IF(OR(F39="",AP39=""),"",IF(COUNT(AI39:AO39)=0,"",AP39-LOOKUP(2,1/(AI39:AO39&lt;&gt;""),AI39:AO39)))</t>
        </is>
      </c>
      <c r="BD39" s="49" t="inlineStr">
        <is>
          <t>IF(OR(F39="",AQ39=""),"",IF(COUNT(AI39:AP39)=0,"",AQ39-LOOKUP(2,1/(AI39:AP39&lt;&gt;""),AI39:AP39)))</t>
        </is>
      </c>
      <c r="BE39" s="49" t="inlineStr">
        <is>
          <t>IF(OR(F39="",AR39=""),"",IF(COUNT(AI39:AQ39)=0,"",AR39-LOOKUP(2,1/(AI39:AQ39&lt;&gt;""),AI39:AQ39)))</t>
        </is>
      </c>
      <c r="BF39" s="49" t="inlineStr">
        <is>
          <t>IF(OR(F39="",AS39=""),"",IF(COUNT(AI39:AR39)=0,"",AS39-LOOKUP(2,1/(AI39:AR39&lt;&gt;""),AI39:AR39)))</t>
        </is>
      </c>
      <c r="BG39" s="49" t="inlineStr">
        <is>
          <t>IF(OR(F39="",AT39=""),"",IF(COUNT(AI39:AS39)=0,"",AT39-LOOKUP(2,1/(AI39:AS39&lt;&gt;""),AI39:AS39)))</t>
        </is>
      </c>
      <c r="BH39" s="49" t="inlineStr">
        <is>
          <t>IF(OR(F39="",AU39=""),"",IF(COUNT(AI39:AT39)=0,"",AU39-LOOKUP(2,1/(AI39:AT39&lt;&gt;""),AI39:AT39)))</t>
        </is>
      </c>
      <c r="BI39" s="49" t="inlineStr">
        <is>
          <t>IF(OR(F39="",AV39=""),"",IF(COUNT(AI39:AU39)=0,"",AV39-LOOKUP(2,1/(AI39:AU39&lt;&gt;""),AI39:AU39)))</t>
        </is>
      </c>
      <c r="BJ39" s="51" t="inlineStr">
        <is>
          <t>IF(J39="","All_Provinces",IFERROR(VLOOKUP(J39,'09_Lookups'!$A$4:$B$20,2,FALSE),"All_Provinces"))</t>
        </is>
      </c>
      <c r="BK39" s="51" t="inlineStr">
        <is>
          <t>IF(K39="","All_Districts",IFERROR(VLOOKUP(K39,'09_Lookups'!$E$4:$F$42,2,FALSE),"All_Districts"))</t>
        </is>
      </c>
    </row>
    <row r="40" ht="18" customHeight="1">
      <c r="A40" s="42" t="inlineStr">
        <is>
          <t>IF(F40="","",ROW()-3)</t>
        </is>
      </c>
      <c r="B40" s="52" t="n"/>
      <c r="C40" s="52" t="n"/>
      <c r="D40" s="52" t="n"/>
      <c r="E40" s="52" t="n"/>
      <c r="F40" s="52" t="n"/>
      <c r="G40" s="52" t="n"/>
      <c r="H40" s="52" t="n"/>
      <c r="I40" s="52" t="n"/>
      <c r="J40" s="52" t="n"/>
      <c r="K40" s="52" t="n"/>
      <c r="L40" s="52" t="n"/>
      <c r="M40" s="52" t="n"/>
      <c r="N40" s="52" t="n"/>
      <c r="O40" s="52" t="n"/>
      <c r="P40" s="52" t="n"/>
      <c r="Q40" s="52" t="n"/>
      <c r="R40" s="52" t="n"/>
      <c r="S40" s="53" t="n"/>
      <c r="T40" s="46" t="inlineStr">
        <is>
          <t>IF(AQ40="","",AQ40)</t>
        </is>
      </c>
      <c r="U40" s="54" t="n"/>
      <c r="V40" s="55" t="n"/>
      <c r="W40" s="54" t="n"/>
      <c r="X40" s="46" t="inlineStr">
        <is>
          <t>IF(W40&lt;&gt;"",W40,IF(OR(T40="",V40=""),"",EDATE(T40,V40)))</t>
        </is>
      </c>
      <c r="Y40" s="54" t="n"/>
      <c r="Z40" s="55" t="n"/>
      <c r="AA40" s="52" t="n"/>
      <c r="AB40" s="52" t="n"/>
      <c r="AC40" s="42" t="inlineStr">
        <is>
          <t>IF(F40="","",IF(COUNT(AI40:AV40)=0,IF(AA40="","Not started",AA40),SUBSTITUTE(LOOKUP(2,1/(AI40:AV40&lt;&gt;""),$AI$3:$AV$3),"Date: ","")))</t>
        </is>
      </c>
      <c r="AD40" s="49" t="inlineStr">
        <is>
          <t>IF(OR(F40="",COUNT(AI40:AV40)=0),"",TODAY()-LOOKUP(2,1/(AI40:AV40&lt;&gt;""),AI40:AV40))</t>
        </is>
      </c>
      <c r="AE40" s="49" t="inlineStr">
        <is>
          <t>IF(OR(F40="",COUNT(AI40:AV40)&lt;2),"",LOOKUP(2,1/(AI40:AV40&lt;&gt;""),AI40:AV40)-MIN(AI40:AV40))</t>
        </is>
      </c>
      <c r="AF40" s="49" t="inlineStr">
        <is>
          <t>IF(OR(AD40="",AC40="Not started",AC40=""),"",IFERROR(AD40-IF(VLOOKUP(AC40,'06_Status_Pipeline'!$B$3:$E$20,4,FALSE)="",0,VLOOKUP(AC40,'06_Status_Pipeline'!$B$3:$E$20,4,FALSE)),""))</t>
        </is>
      </c>
      <c r="AG40" s="42" t="inlineStr">
        <is>
          <t>IF(F40="","",IF(OR(AA40="Cancelled",AC40="Cancelled"),"Cancelled",IF(OR(AC40="Completed / Handover",Y40&lt;&gt;"",Z40&gt;=100),"Completed — on track",IF(O40="Not awarded",IF(U40="",IF(X40="","No planned date",IF(TODAY()&gt;X40,"Behind — past planned date",IF(X40-TODAY()&lt;=30,"At risk — close to off track","On track"))),IF(TODAY()&gt;U40,"Behind — award date passed",IF(U40-TODAY()&lt;=30,"At risk — close to off track","On track"))),IF(X40="","No planned date",IF(AND(TODAY()&gt;X40,OR(Z40="",Z40&lt;100)),"Behind — past end date",IF(AND(T40&lt;&gt;"",X40&lt;&gt;"",Z40&lt;&gt;"",(Z40&lt;100),((TODAY()-T40)/MAX(X40-T40,1)*100)-Z40&gt;15),"Behind — progress lag",IF(AND(X40-TODAY()&lt;=30,X40-TODAY()&gt;=0,OR(Z40="",Z40&lt;90)),"At risk — close to off track","On track"))))))))</t>
        </is>
      </c>
      <c r="AH40" s="49" t="inlineStr">
        <is>
          <t>IF(OR(F40="",AC40="Completed / Handover",AC40="Cancelled"),"",IF(O40="Not awarded",IF(U40&lt;&gt;"",U40-TODAY(),IF(X40="","",X40-TODAY())),IF(X40="","",X40-TODAY())))</t>
        </is>
      </c>
      <c r="AI40" s="54" t="n"/>
      <c r="AJ40" s="54" t="n"/>
      <c r="AK40" s="54" t="n"/>
      <c r="AL40" s="54" t="n"/>
      <c r="AM40" s="54" t="n"/>
      <c r="AN40" s="54" t="n"/>
      <c r="AO40" s="54" t="n"/>
      <c r="AP40" s="54" t="n"/>
      <c r="AQ40" s="54" t="n"/>
      <c r="AR40" s="54" t="n"/>
      <c r="AS40" s="54" t="n"/>
      <c r="AT40" s="50" t="n"/>
      <c r="AU40" s="50" t="n"/>
      <c r="AV40" s="50" t="n"/>
      <c r="AW40" s="49" t="inlineStr">
        <is>
          <t>IF(OR(F40="",AJ40=""),"",IF(COUNT(AI40:AI40)=0,"",AJ40-LOOKUP(2,1/(AI40:AI40&lt;&gt;""),AI40:AI40)))</t>
        </is>
      </c>
      <c r="AX40" s="49" t="inlineStr">
        <is>
          <t>IF(OR(F40="",AK40=""),"",IF(COUNT(AI40:AJ40)=0,"",AK40-LOOKUP(2,1/(AI40:AJ40&lt;&gt;""),AI40:AJ40)))</t>
        </is>
      </c>
      <c r="AY40" s="49" t="inlineStr">
        <is>
          <t>IF(OR(F40="",AL40=""),"",IF(COUNT(AI40:AK40)=0,"",AL40-LOOKUP(2,1/(AI40:AK40&lt;&gt;""),AI40:AK40)))</t>
        </is>
      </c>
      <c r="AZ40" s="49" t="inlineStr">
        <is>
          <t>IF(OR(F40="",AM40=""),"",IF(COUNT(AI40:AL40)=0,"",AM40-LOOKUP(2,1/(AI40:AL40&lt;&gt;""),AI40:AL40)))</t>
        </is>
      </c>
      <c r="BA40" s="49" t="inlineStr">
        <is>
          <t>IF(OR(F40="",AN40=""),"",IF(COUNT(AI40:AM40)=0,"",AN40-LOOKUP(2,1/(AI40:AM40&lt;&gt;""),AI40:AM40)))</t>
        </is>
      </c>
      <c r="BB40" s="49" t="inlineStr">
        <is>
          <t>IF(OR(F40="",AO40=""),"",IF(COUNT(AI40:AN40)=0,"",AO40-LOOKUP(2,1/(AI40:AN40&lt;&gt;""),AI40:AN40)))</t>
        </is>
      </c>
      <c r="BC40" s="49" t="inlineStr">
        <is>
          <t>IF(OR(F40="",AP40=""),"",IF(COUNT(AI40:AO40)=0,"",AP40-LOOKUP(2,1/(AI40:AO40&lt;&gt;""),AI40:AO40)))</t>
        </is>
      </c>
      <c r="BD40" s="49" t="inlineStr">
        <is>
          <t>IF(OR(F40="",AQ40=""),"",IF(COUNT(AI40:AP40)=0,"",AQ40-LOOKUP(2,1/(AI40:AP40&lt;&gt;""),AI40:AP40)))</t>
        </is>
      </c>
      <c r="BE40" s="49" t="inlineStr">
        <is>
          <t>IF(OR(F40="",AR40=""),"",IF(COUNT(AI40:AQ40)=0,"",AR40-LOOKUP(2,1/(AI40:AQ40&lt;&gt;""),AI40:AQ40)))</t>
        </is>
      </c>
      <c r="BF40" s="49" t="inlineStr">
        <is>
          <t>IF(OR(F40="",AS40=""),"",IF(COUNT(AI40:AR40)=0,"",AS40-LOOKUP(2,1/(AI40:AR40&lt;&gt;""),AI40:AR40)))</t>
        </is>
      </c>
      <c r="BG40" s="49" t="inlineStr">
        <is>
          <t>IF(OR(F40="",AT40=""),"",IF(COUNT(AI40:AS40)=0,"",AT40-LOOKUP(2,1/(AI40:AS40&lt;&gt;""),AI40:AS40)))</t>
        </is>
      </c>
      <c r="BH40" s="49" t="inlineStr">
        <is>
          <t>IF(OR(F40="",AU40=""),"",IF(COUNT(AI40:AT40)=0,"",AU40-LOOKUP(2,1/(AI40:AT40&lt;&gt;""),AI40:AT40)))</t>
        </is>
      </c>
      <c r="BI40" s="49" t="inlineStr">
        <is>
          <t>IF(OR(F40="",AV40=""),"",IF(COUNT(AI40:AU40)=0,"",AV40-LOOKUP(2,1/(AI40:AU40&lt;&gt;""),AI40:AU40)))</t>
        </is>
      </c>
      <c r="BJ40" s="51" t="inlineStr">
        <is>
          <t>IF(J40="","All_Provinces",IFERROR(VLOOKUP(J40,'09_Lookups'!$A$4:$B$20,2,FALSE),"All_Provinces"))</t>
        </is>
      </c>
      <c r="BK40" s="51" t="inlineStr">
        <is>
          <t>IF(K40="","All_Districts",IFERROR(VLOOKUP(K40,'09_Lookups'!$E$4:$F$42,2,FALSE),"All_Districts"))</t>
        </is>
      </c>
    </row>
    <row r="41" ht="18" customHeight="1">
      <c r="A41" s="42" t="inlineStr">
        <is>
          <t>IF(F41="","",ROW()-3)</t>
        </is>
      </c>
      <c r="B41" s="44" t="n"/>
      <c r="C41" s="44" t="n"/>
      <c r="D41" s="44" t="n"/>
      <c r="E41" s="44" t="n"/>
      <c r="F41" s="44" t="n"/>
      <c r="G41" s="44" t="n"/>
      <c r="H41" s="44" t="n"/>
      <c r="I41" s="44" t="n"/>
      <c r="J41" s="44" t="n"/>
      <c r="K41" s="44" t="n"/>
      <c r="L41" s="44" t="n"/>
      <c r="M41" s="44" t="n"/>
      <c r="N41" s="44" t="n"/>
      <c r="O41" s="44" t="n"/>
      <c r="P41" s="44" t="n"/>
      <c r="Q41" s="44" t="n"/>
      <c r="R41" s="44" t="n"/>
      <c r="S41" s="45" t="n"/>
      <c r="T41" s="46" t="inlineStr">
        <is>
          <t>IF(AQ41="","",AQ41)</t>
        </is>
      </c>
      <c r="U41" s="47" t="n"/>
      <c r="V41" s="48" t="n"/>
      <c r="W41" s="47" t="n"/>
      <c r="X41" s="46" t="inlineStr">
        <is>
          <t>IF(W41&lt;&gt;"",W41,IF(OR(T41="",V41=""),"",EDATE(T41,V41)))</t>
        </is>
      </c>
      <c r="Y41" s="47" t="n"/>
      <c r="Z41" s="48" t="n"/>
      <c r="AA41" s="44" t="n"/>
      <c r="AB41" s="44" t="n"/>
      <c r="AC41" s="42" t="inlineStr">
        <is>
          <t>IF(F41="","",IF(COUNT(AI41:AV41)=0,IF(AA41="","Not started",AA41),SUBSTITUTE(LOOKUP(2,1/(AI41:AV41&lt;&gt;""),$AI$3:$AV$3),"Date: ","")))</t>
        </is>
      </c>
      <c r="AD41" s="49" t="inlineStr">
        <is>
          <t>IF(OR(F41="",COUNT(AI41:AV41)=0),"",TODAY()-LOOKUP(2,1/(AI41:AV41&lt;&gt;""),AI41:AV41))</t>
        </is>
      </c>
      <c r="AE41" s="49" t="inlineStr">
        <is>
          <t>IF(OR(F41="",COUNT(AI41:AV41)&lt;2),"",LOOKUP(2,1/(AI41:AV41&lt;&gt;""),AI41:AV41)-MIN(AI41:AV41))</t>
        </is>
      </c>
      <c r="AF41" s="49" t="inlineStr">
        <is>
          <t>IF(OR(AD41="",AC41="Not started",AC41=""),"",IFERROR(AD41-IF(VLOOKUP(AC41,'06_Status_Pipeline'!$B$3:$E$20,4,FALSE)="",0,VLOOKUP(AC41,'06_Status_Pipeline'!$B$3:$E$20,4,FALSE)),""))</t>
        </is>
      </c>
      <c r="AG41" s="42" t="inlineStr">
        <is>
          <t>IF(F41="","",IF(OR(AA41="Cancelled",AC41="Cancelled"),"Cancelled",IF(OR(AC41="Completed / Handover",Y41&lt;&gt;"",Z41&gt;=100),"Completed — on track",IF(O41="Not awarded",IF(U41="",IF(X41="","No planned date",IF(TODAY()&gt;X41,"Behind — past planned date",IF(X41-TODAY()&lt;=30,"At risk — close to off track","On track"))),IF(TODAY()&gt;U41,"Behind — award date passed",IF(U41-TODAY()&lt;=30,"At risk — close to off track","On track"))),IF(X41="","No planned date",IF(AND(TODAY()&gt;X41,OR(Z41="",Z41&lt;100)),"Behind — past end date",IF(AND(T41&lt;&gt;"",X41&lt;&gt;"",Z41&lt;&gt;"",(Z41&lt;100),((TODAY()-T41)/MAX(X41-T41,1)*100)-Z41&gt;15),"Behind — progress lag",IF(AND(X41-TODAY()&lt;=30,X41-TODAY()&gt;=0,OR(Z41="",Z41&lt;90)),"At risk — close to off track","On track"))))))))</t>
        </is>
      </c>
      <c r="AH41" s="49" t="inlineStr">
        <is>
          <t>IF(OR(F41="",AC41="Completed / Handover",AC41="Cancelled"),"",IF(O41="Not awarded",IF(U41&lt;&gt;"",U41-TODAY(),IF(X41="","",X41-TODAY())),IF(X41="","",X41-TODAY())))</t>
        </is>
      </c>
      <c r="AI41" s="47" t="n"/>
      <c r="AJ41" s="47" t="n"/>
      <c r="AK41" s="47" t="n"/>
      <c r="AL41" s="47" t="n"/>
      <c r="AM41" s="47" t="n"/>
      <c r="AN41" s="47" t="n"/>
      <c r="AO41" s="47" t="n"/>
      <c r="AP41" s="47" t="n"/>
      <c r="AQ41" s="47" t="n"/>
      <c r="AR41" s="47" t="n"/>
      <c r="AS41" s="47" t="n"/>
      <c r="AT41" s="50" t="n"/>
      <c r="AU41" s="50" t="n"/>
      <c r="AV41" s="50" t="n"/>
      <c r="AW41" s="49" t="inlineStr">
        <is>
          <t>IF(OR(F41="",AJ41=""),"",IF(COUNT(AI41:AI41)=0,"",AJ41-LOOKUP(2,1/(AI41:AI41&lt;&gt;""),AI41:AI41)))</t>
        </is>
      </c>
      <c r="AX41" s="49" t="inlineStr">
        <is>
          <t>IF(OR(F41="",AK41=""),"",IF(COUNT(AI41:AJ41)=0,"",AK41-LOOKUP(2,1/(AI41:AJ41&lt;&gt;""),AI41:AJ41)))</t>
        </is>
      </c>
      <c r="AY41" s="49" t="inlineStr">
        <is>
          <t>IF(OR(F41="",AL41=""),"",IF(COUNT(AI41:AK41)=0,"",AL41-LOOKUP(2,1/(AI41:AK41&lt;&gt;""),AI41:AK41)))</t>
        </is>
      </c>
      <c r="AZ41" s="49" t="inlineStr">
        <is>
          <t>IF(OR(F41="",AM41=""),"",IF(COUNT(AI41:AL41)=0,"",AM41-LOOKUP(2,1/(AI41:AL41&lt;&gt;""),AI41:AL41)))</t>
        </is>
      </c>
      <c r="BA41" s="49" t="inlineStr">
        <is>
          <t>IF(OR(F41="",AN41=""),"",IF(COUNT(AI41:AM41)=0,"",AN41-LOOKUP(2,1/(AI41:AM41&lt;&gt;""),AI41:AM41)))</t>
        </is>
      </c>
      <c r="BB41" s="49" t="inlineStr">
        <is>
          <t>IF(OR(F41="",AO41=""),"",IF(COUNT(AI41:AN41)=0,"",AO41-LOOKUP(2,1/(AI41:AN41&lt;&gt;""),AI41:AN41)))</t>
        </is>
      </c>
      <c r="BC41" s="49" t="inlineStr">
        <is>
          <t>IF(OR(F41="",AP41=""),"",IF(COUNT(AI41:AO41)=0,"",AP41-LOOKUP(2,1/(AI41:AO41&lt;&gt;""),AI41:AO41)))</t>
        </is>
      </c>
      <c r="BD41" s="49" t="inlineStr">
        <is>
          <t>IF(OR(F41="",AQ41=""),"",IF(COUNT(AI41:AP41)=0,"",AQ41-LOOKUP(2,1/(AI41:AP41&lt;&gt;""),AI41:AP41)))</t>
        </is>
      </c>
      <c r="BE41" s="49" t="inlineStr">
        <is>
          <t>IF(OR(F41="",AR41=""),"",IF(COUNT(AI41:AQ41)=0,"",AR41-LOOKUP(2,1/(AI41:AQ41&lt;&gt;""),AI41:AQ41)))</t>
        </is>
      </c>
      <c r="BF41" s="49" t="inlineStr">
        <is>
          <t>IF(OR(F41="",AS41=""),"",IF(COUNT(AI41:AR41)=0,"",AS41-LOOKUP(2,1/(AI41:AR41&lt;&gt;""),AI41:AR41)))</t>
        </is>
      </c>
      <c r="BG41" s="49" t="inlineStr">
        <is>
          <t>IF(OR(F41="",AT41=""),"",IF(COUNT(AI41:AS41)=0,"",AT41-LOOKUP(2,1/(AI41:AS41&lt;&gt;""),AI41:AS41)))</t>
        </is>
      </c>
      <c r="BH41" s="49" t="inlineStr">
        <is>
          <t>IF(OR(F41="",AU41=""),"",IF(COUNT(AI41:AT41)=0,"",AU41-LOOKUP(2,1/(AI41:AT41&lt;&gt;""),AI41:AT41)))</t>
        </is>
      </c>
      <c r="BI41" s="49" t="inlineStr">
        <is>
          <t>IF(OR(F41="",AV41=""),"",IF(COUNT(AI41:AU41)=0,"",AV41-LOOKUP(2,1/(AI41:AU41&lt;&gt;""),AI41:AU41)))</t>
        </is>
      </c>
      <c r="BJ41" s="51" t="inlineStr">
        <is>
          <t>IF(J41="","All_Provinces",IFERROR(VLOOKUP(J41,'09_Lookups'!$A$4:$B$20,2,FALSE),"All_Provinces"))</t>
        </is>
      </c>
      <c r="BK41" s="51" t="inlineStr">
        <is>
          <t>IF(K41="","All_Districts",IFERROR(VLOOKUP(K41,'09_Lookups'!$E$4:$F$42,2,FALSE),"All_Districts"))</t>
        </is>
      </c>
    </row>
    <row r="42" ht="18" customHeight="1">
      <c r="A42" s="42" t="inlineStr">
        <is>
          <t>IF(F42="","",ROW()-3)</t>
        </is>
      </c>
      <c r="B42" s="52" t="n"/>
      <c r="C42" s="52" t="n"/>
      <c r="D42" s="52" t="n"/>
      <c r="E42" s="52" t="n"/>
      <c r="F42" s="52" t="n"/>
      <c r="G42" s="52" t="n"/>
      <c r="H42" s="52" t="n"/>
      <c r="I42" s="52" t="n"/>
      <c r="J42" s="52" t="n"/>
      <c r="K42" s="52" t="n"/>
      <c r="L42" s="52" t="n"/>
      <c r="M42" s="52" t="n"/>
      <c r="N42" s="52" t="n"/>
      <c r="O42" s="52" t="n"/>
      <c r="P42" s="52" t="n"/>
      <c r="Q42" s="52" t="n"/>
      <c r="R42" s="52" t="n"/>
      <c r="S42" s="53" t="n"/>
      <c r="T42" s="46" t="inlineStr">
        <is>
          <t>IF(AQ42="","",AQ42)</t>
        </is>
      </c>
      <c r="U42" s="54" t="n"/>
      <c r="V42" s="55" t="n"/>
      <c r="W42" s="54" t="n"/>
      <c r="X42" s="46" t="inlineStr">
        <is>
          <t>IF(W42&lt;&gt;"",W42,IF(OR(T42="",V42=""),"",EDATE(T42,V42)))</t>
        </is>
      </c>
      <c r="Y42" s="54" t="n"/>
      <c r="Z42" s="55" t="n"/>
      <c r="AA42" s="52" t="n"/>
      <c r="AB42" s="52" t="n"/>
      <c r="AC42" s="42" t="inlineStr">
        <is>
          <t>IF(F42="","",IF(COUNT(AI42:AV42)=0,IF(AA42="","Not started",AA42),SUBSTITUTE(LOOKUP(2,1/(AI42:AV42&lt;&gt;""),$AI$3:$AV$3),"Date: ","")))</t>
        </is>
      </c>
      <c r="AD42" s="49" t="inlineStr">
        <is>
          <t>IF(OR(F42="",COUNT(AI42:AV42)=0),"",TODAY()-LOOKUP(2,1/(AI42:AV42&lt;&gt;""),AI42:AV42))</t>
        </is>
      </c>
      <c r="AE42" s="49" t="inlineStr">
        <is>
          <t>IF(OR(F42="",COUNT(AI42:AV42)&lt;2),"",LOOKUP(2,1/(AI42:AV42&lt;&gt;""),AI42:AV42)-MIN(AI42:AV42))</t>
        </is>
      </c>
      <c r="AF42" s="49" t="inlineStr">
        <is>
          <t>IF(OR(AD42="",AC42="Not started",AC42=""),"",IFERROR(AD42-IF(VLOOKUP(AC42,'06_Status_Pipeline'!$B$3:$E$20,4,FALSE)="",0,VLOOKUP(AC42,'06_Status_Pipeline'!$B$3:$E$20,4,FALSE)),""))</t>
        </is>
      </c>
      <c r="AG42" s="42" t="inlineStr">
        <is>
          <t>IF(F42="","",IF(OR(AA42="Cancelled",AC42="Cancelled"),"Cancelled",IF(OR(AC42="Completed / Handover",Y42&lt;&gt;"",Z42&gt;=100),"Completed — on track",IF(O42="Not awarded",IF(U42="",IF(X42="","No planned date",IF(TODAY()&gt;X42,"Behind — past planned date",IF(X42-TODAY()&lt;=30,"At risk — close to off track","On track"))),IF(TODAY()&gt;U42,"Behind — award date passed",IF(U42-TODAY()&lt;=30,"At risk — close to off track","On track"))),IF(X42="","No planned date",IF(AND(TODAY()&gt;X42,OR(Z42="",Z42&lt;100)),"Behind — past end date",IF(AND(T42&lt;&gt;"",X42&lt;&gt;"",Z42&lt;&gt;"",(Z42&lt;100),((TODAY()-T42)/MAX(X42-T42,1)*100)-Z42&gt;15),"Behind — progress lag",IF(AND(X42-TODAY()&lt;=30,X42-TODAY()&gt;=0,OR(Z42="",Z42&lt;90)),"At risk — close to off track","On track"))))))))</t>
        </is>
      </c>
      <c r="AH42" s="49" t="inlineStr">
        <is>
          <t>IF(OR(F42="",AC42="Completed / Handover",AC42="Cancelled"),"",IF(O42="Not awarded",IF(U42&lt;&gt;"",U42-TODAY(),IF(X42="","",X42-TODAY())),IF(X42="","",X42-TODAY())))</t>
        </is>
      </c>
      <c r="AI42" s="54" t="n"/>
      <c r="AJ42" s="54" t="n"/>
      <c r="AK42" s="54" t="n"/>
      <c r="AL42" s="54" t="n"/>
      <c r="AM42" s="54" t="n"/>
      <c r="AN42" s="54" t="n"/>
      <c r="AO42" s="54" t="n"/>
      <c r="AP42" s="54" t="n"/>
      <c r="AQ42" s="54" t="n"/>
      <c r="AR42" s="54" t="n"/>
      <c r="AS42" s="54" t="n"/>
      <c r="AT42" s="50" t="n"/>
      <c r="AU42" s="50" t="n"/>
      <c r="AV42" s="50" t="n"/>
      <c r="AW42" s="49" t="inlineStr">
        <is>
          <t>IF(OR(F42="",AJ42=""),"",IF(COUNT(AI42:AI42)=0,"",AJ42-LOOKUP(2,1/(AI42:AI42&lt;&gt;""),AI42:AI42)))</t>
        </is>
      </c>
      <c r="AX42" s="49" t="inlineStr">
        <is>
          <t>IF(OR(F42="",AK42=""),"",IF(COUNT(AI42:AJ42)=0,"",AK42-LOOKUP(2,1/(AI42:AJ42&lt;&gt;""),AI42:AJ42)))</t>
        </is>
      </c>
      <c r="AY42" s="49" t="inlineStr">
        <is>
          <t>IF(OR(F42="",AL42=""),"",IF(COUNT(AI42:AK42)=0,"",AL42-LOOKUP(2,1/(AI42:AK42&lt;&gt;""),AI42:AK42)))</t>
        </is>
      </c>
      <c r="AZ42" s="49" t="inlineStr">
        <is>
          <t>IF(OR(F42="",AM42=""),"",IF(COUNT(AI42:AL42)=0,"",AM42-LOOKUP(2,1/(AI42:AL42&lt;&gt;""),AI42:AL42)))</t>
        </is>
      </c>
      <c r="BA42" s="49" t="inlineStr">
        <is>
          <t>IF(OR(F42="",AN42=""),"",IF(COUNT(AI42:AM42)=0,"",AN42-LOOKUP(2,1/(AI42:AM42&lt;&gt;""),AI42:AM42)))</t>
        </is>
      </c>
      <c r="BB42" s="49" t="inlineStr">
        <is>
          <t>IF(OR(F42="",AO42=""),"",IF(COUNT(AI42:AN42)=0,"",AO42-LOOKUP(2,1/(AI42:AN42&lt;&gt;""),AI42:AN42)))</t>
        </is>
      </c>
      <c r="BC42" s="49" t="inlineStr">
        <is>
          <t>IF(OR(F42="",AP42=""),"",IF(COUNT(AI42:AO42)=0,"",AP42-LOOKUP(2,1/(AI42:AO42&lt;&gt;""),AI42:AO42)))</t>
        </is>
      </c>
      <c r="BD42" s="49" t="inlineStr">
        <is>
          <t>IF(OR(F42="",AQ42=""),"",IF(COUNT(AI42:AP42)=0,"",AQ42-LOOKUP(2,1/(AI42:AP42&lt;&gt;""),AI42:AP42)))</t>
        </is>
      </c>
      <c r="BE42" s="49" t="inlineStr">
        <is>
          <t>IF(OR(F42="",AR42=""),"",IF(COUNT(AI42:AQ42)=0,"",AR42-LOOKUP(2,1/(AI42:AQ42&lt;&gt;""),AI42:AQ42)))</t>
        </is>
      </c>
      <c r="BF42" s="49" t="inlineStr">
        <is>
          <t>IF(OR(F42="",AS42=""),"",IF(COUNT(AI42:AR42)=0,"",AS42-LOOKUP(2,1/(AI42:AR42&lt;&gt;""),AI42:AR42)))</t>
        </is>
      </c>
      <c r="BG42" s="49" t="inlineStr">
        <is>
          <t>IF(OR(F42="",AT42=""),"",IF(COUNT(AI42:AS42)=0,"",AT42-LOOKUP(2,1/(AI42:AS42&lt;&gt;""),AI42:AS42)))</t>
        </is>
      </c>
      <c r="BH42" s="49" t="inlineStr">
        <is>
          <t>IF(OR(F42="",AU42=""),"",IF(COUNT(AI42:AT42)=0,"",AU42-LOOKUP(2,1/(AI42:AT42&lt;&gt;""),AI42:AT42)))</t>
        </is>
      </c>
      <c r="BI42" s="49" t="inlineStr">
        <is>
          <t>IF(OR(F42="",AV42=""),"",IF(COUNT(AI42:AU42)=0,"",AV42-LOOKUP(2,1/(AI42:AU42&lt;&gt;""),AI42:AU42)))</t>
        </is>
      </c>
      <c r="BJ42" s="51" t="inlineStr">
        <is>
          <t>IF(J42="","All_Provinces",IFERROR(VLOOKUP(J42,'09_Lookups'!$A$4:$B$20,2,FALSE),"All_Provinces"))</t>
        </is>
      </c>
      <c r="BK42" s="51" t="inlineStr">
        <is>
          <t>IF(K42="","All_Districts",IFERROR(VLOOKUP(K42,'09_Lookups'!$E$4:$F$42,2,FALSE),"All_Districts"))</t>
        </is>
      </c>
    </row>
    <row r="43" ht="18" customHeight="1">
      <c r="A43" s="42" t="inlineStr">
        <is>
          <t>IF(F43="","",ROW()-3)</t>
        </is>
      </c>
      <c r="B43" s="44" t="n"/>
      <c r="C43" s="44" t="n"/>
      <c r="D43" s="44" t="n"/>
      <c r="E43" s="44" t="n"/>
      <c r="F43" s="44" t="n"/>
      <c r="G43" s="44" t="n"/>
      <c r="H43" s="44" t="n"/>
      <c r="I43" s="44" t="n"/>
      <c r="J43" s="44" t="n"/>
      <c r="K43" s="44" t="n"/>
      <c r="L43" s="44" t="n"/>
      <c r="M43" s="44" t="n"/>
      <c r="N43" s="44" t="n"/>
      <c r="O43" s="44" t="n"/>
      <c r="P43" s="44" t="n"/>
      <c r="Q43" s="44" t="n"/>
      <c r="R43" s="44" t="n"/>
      <c r="S43" s="45" t="n"/>
      <c r="T43" s="46" t="inlineStr">
        <is>
          <t>IF(AQ43="","",AQ43)</t>
        </is>
      </c>
      <c r="U43" s="47" t="n"/>
      <c r="V43" s="48" t="n"/>
      <c r="W43" s="47" t="n"/>
      <c r="X43" s="46" t="inlineStr">
        <is>
          <t>IF(W43&lt;&gt;"",W43,IF(OR(T43="",V43=""),"",EDATE(T43,V43)))</t>
        </is>
      </c>
      <c r="Y43" s="47" t="n"/>
      <c r="Z43" s="48" t="n"/>
      <c r="AA43" s="44" t="n"/>
      <c r="AB43" s="44" t="n"/>
      <c r="AC43" s="42" t="inlineStr">
        <is>
          <t>IF(F43="","",IF(COUNT(AI43:AV43)=0,IF(AA43="","Not started",AA43),SUBSTITUTE(LOOKUP(2,1/(AI43:AV43&lt;&gt;""),$AI$3:$AV$3),"Date: ","")))</t>
        </is>
      </c>
      <c r="AD43" s="49" t="inlineStr">
        <is>
          <t>IF(OR(F43="",COUNT(AI43:AV43)=0),"",TODAY()-LOOKUP(2,1/(AI43:AV43&lt;&gt;""),AI43:AV43))</t>
        </is>
      </c>
      <c r="AE43" s="49" t="inlineStr">
        <is>
          <t>IF(OR(F43="",COUNT(AI43:AV43)&lt;2),"",LOOKUP(2,1/(AI43:AV43&lt;&gt;""),AI43:AV43)-MIN(AI43:AV43))</t>
        </is>
      </c>
      <c r="AF43" s="49" t="inlineStr">
        <is>
          <t>IF(OR(AD43="",AC43="Not started",AC43=""),"",IFERROR(AD43-IF(VLOOKUP(AC43,'06_Status_Pipeline'!$B$3:$E$20,4,FALSE)="",0,VLOOKUP(AC43,'06_Status_Pipeline'!$B$3:$E$20,4,FALSE)),""))</t>
        </is>
      </c>
      <c r="AG43" s="42" t="inlineStr">
        <is>
          <t>IF(F43="","",IF(OR(AA43="Cancelled",AC43="Cancelled"),"Cancelled",IF(OR(AC43="Completed / Handover",Y43&lt;&gt;"",Z43&gt;=100),"Completed — on track",IF(O43="Not awarded",IF(U43="",IF(X43="","No planned date",IF(TODAY()&gt;X43,"Behind — past planned date",IF(X43-TODAY()&lt;=30,"At risk — close to off track","On track"))),IF(TODAY()&gt;U43,"Behind — award date passed",IF(U43-TODAY()&lt;=30,"At risk — close to off track","On track"))),IF(X43="","No planned date",IF(AND(TODAY()&gt;X43,OR(Z43="",Z43&lt;100)),"Behind — past end date",IF(AND(T43&lt;&gt;"",X43&lt;&gt;"",Z43&lt;&gt;"",(Z43&lt;100),((TODAY()-T43)/MAX(X43-T43,1)*100)-Z43&gt;15),"Behind — progress lag",IF(AND(X43-TODAY()&lt;=30,X43-TODAY()&gt;=0,OR(Z43="",Z43&lt;90)),"At risk — close to off track","On track"))))))))</t>
        </is>
      </c>
      <c r="AH43" s="49" t="inlineStr">
        <is>
          <t>IF(OR(F43="",AC43="Completed / Handover",AC43="Cancelled"),"",IF(O43="Not awarded",IF(U43&lt;&gt;"",U43-TODAY(),IF(X43="","",X43-TODAY())),IF(X43="","",X43-TODAY())))</t>
        </is>
      </c>
      <c r="AI43" s="47" t="n"/>
      <c r="AJ43" s="47" t="n"/>
      <c r="AK43" s="47" t="n"/>
      <c r="AL43" s="47" t="n"/>
      <c r="AM43" s="47" t="n"/>
      <c r="AN43" s="47" t="n"/>
      <c r="AO43" s="47" t="n"/>
      <c r="AP43" s="47" t="n"/>
      <c r="AQ43" s="47" t="n"/>
      <c r="AR43" s="47" t="n"/>
      <c r="AS43" s="47" t="n"/>
      <c r="AT43" s="50" t="n"/>
      <c r="AU43" s="50" t="n"/>
      <c r="AV43" s="50" t="n"/>
      <c r="AW43" s="49" t="inlineStr">
        <is>
          <t>IF(OR(F43="",AJ43=""),"",IF(COUNT(AI43:AI43)=0,"",AJ43-LOOKUP(2,1/(AI43:AI43&lt;&gt;""),AI43:AI43)))</t>
        </is>
      </c>
      <c r="AX43" s="49" t="inlineStr">
        <is>
          <t>IF(OR(F43="",AK43=""),"",IF(COUNT(AI43:AJ43)=0,"",AK43-LOOKUP(2,1/(AI43:AJ43&lt;&gt;""),AI43:AJ43)))</t>
        </is>
      </c>
      <c r="AY43" s="49" t="inlineStr">
        <is>
          <t>IF(OR(F43="",AL43=""),"",IF(COUNT(AI43:AK43)=0,"",AL43-LOOKUP(2,1/(AI43:AK43&lt;&gt;""),AI43:AK43)))</t>
        </is>
      </c>
      <c r="AZ43" s="49" t="inlineStr">
        <is>
          <t>IF(OR(F43="",AM43=""),"",IF(COUNT(AI43:AL43)=0,"",AM43-LOOKUP(2,1/(AI43:AL43&lt;&gt;""),AI43:AL43)))</t>
        </is>
      </c>
      <c r="BA43" s="49" t="inlineStr">
        <is>
          <t>IF(OR(F43="",AN43=""),"",IF(COUNT(AI43:AM43)=0,"",AN43-LOOKUP(2,1/(AI43:AM43&lt;&gt;""),AI43:AM43)))</t>
        </is>
      </c>
      <c r="BB43" s="49" t="inlineStr">
        <is>
          <t>IF(OR(F43="",AO43=""),"",IF(COUNT(AI43:AN43)=0,"",AO43-LOOKUP(2,1/(AI43:AN43&lt;&gt;""),AI43:AN43)))</t>
        </is>
      </c>
      <c r="BC43" s="49" t="inlineStr">
        <is>
          <t>IF(OR(F43="",AP43=""),"",IF(COUNT(AI43:AO43)=0,"",AP43-LOOKUP(2,1/(AI43:AO43&lt;&gt;""),AI43:AO43)))</t>
        </is>
      </c>
      <c r="BD43" s="49" t="inlineStr">
        <is>
          <t>IF(OR(F43="",AQ43=""),"",IF(COUNT(AI43:AP43)=0,"",AQ43-LOOKUP(2,1/(AI43:AP43&lt;&gt;""),AI43:AP43)))</t>
        </is>
      </c>
      <c r="BE43" s="49" t="inlineStr">
        <is>
          <t>IF(OR(F43="",AR43=""),"",IF(COUNT(AI43:AQ43)=0,"",AR43-LOOKUP(2,1/(AI43:AQ43&lt;&gt;""),AI43:AQ43)))</t>
        </is>
      </c>
      <c r="BF43" s="49" t="inlineStr">
        <is>
          <t>IF(OR(F43="",AS43=""),"",IF(COUNT(AI43:AR43)=0,"",AS43-LOOKUP(2,1/(AI43:AR43&lt;&gt;""),AI43:AR43)))</t>
        </is>
      </c>
      <c r="BG43" s="49" t="inlineStr">
        <is>
          <t>IF(OR(F43="",AT43=""),"",IF(COUNT(AI43:AS43)=0,"",AT43-LOOKUP(2,1/(AI43:AS43&lt;&gt;""),AI43:AS43)))</t>
        </is>
      </c>
      <c r="BH43" s="49" t="inlineStr">
        <is>
          <t>IF(OR(F43="",AU43=""),"",IF(COUNT(AI43:AT43)=0,"",AU43-LOOKUP(2,1/(AI43:AT43&lt;&gt;""),AI43:AT43)))</t>
        </is>
      </c>
      <c r="BI43" s="49" t="inlineStr">
        <is>
          <t>IF(OR(F43="",AV43=""),"",IF(COUNT(AI43:AU43)=0,"",AV43-LOOKUP(2,1/(AI43:AU43&lt;&gt;""),AI43:AU43)))</t>
        </is>
      </c>
      <c r="BJ43" s="51" t="inlineStr">
        <is>
          <t>IF(J43="","All_Provinces",IFERROR(VLOOKUP(J43,'09_Lookups'!$A$4:$B$20,2,FALSE),"All_Provinces"))</t>
        </is>
      </c>
      <c r="BK43" s="51" t="inlineStr">
        <is>
          <t>IF(K43="","All_Districts",IFERROR(VLOOKUP(K43,'09_Lookups'!$E$4:$F$42,2,FALSE),"All_Districts"))</t>
        </is>
      </c>
    </row>
    <row r="44" ht="18" customHeight="1">
      <c r="A44" s="42" t="inlineStr">
        <is>
          <t>IF(F44="","",ROW()-3)</t>
        </is>
      </c>
      <c r="B44" s="52" t="n"/>
      <c r="C44" s="52" t="n"/>
      <c r="D44" s="52" t="n"/>
      <c r="E44" s="52" t="n"/>
      <c r="F44" s="52" t="n"/>
      <c r="G44" s="52" t="n"/>
      <c r="H44" s="52" t="n"/>
      <c r="I44" s="52" t="n"/>
      <c r="J44" s="52" t="n"/>
      <c r="K44" s="52" t="n"/>
      <c r="L44" s="52" t="n"/>
      <c r="M44" s="52" t="n"/>
      <c r="N44" s="52" t="n"/>
      <c r="O44" s="52" t="n"/>
      <c r="P44" s="52" t="n"/>
      <c r="Q44" s="52" t="n"/>
      <c r="R44" s="52" t="n"/>
      <c r="S44" s="53" t="n"/>
      <c r="T44" s="46" t="inlineStr">
        <is>
          <t>IF(AQ44="","",AQ44)</t>
        </is>
      </c>
      <c r="U44" s="54" t="n"/>
      <c r="V44" s="55" t="n"/>
      <c r="W44" s="54" t="n"/>
      <c r="X44" s="46" t="inlineStr">
        <is>
          <t>IF(W44&lt;&gt;"",W44,IF(OR(T44="",V44=""),"",EDATE(T44,V44)))</t>
        </is>
      </c>
      <c r="Y44" s="54" t="n"/>
      <c r="Z44" s="55" t="n"/>
      <c r="AA44" s="52" t="n"/>
      <c r="AB44" s="52" t="n"/>
      <c r="AC44" s="42" t="inlineStr">
        <is>
          <t>IF(F44="","",IF(COUNT(AI44:AV44)=0,IF(AA44="","Not started",AA44),SUBSTITUTE(LOOKUP(2,1/(AI44:AV44&lt;&gt;""),$AI$3:$AV$3),"Date: ","")))</t>
        </is>
      </c>
      <c r="AD44" s="49" t="inlineStr">
        <is>
          <t>IF(OR(F44="",COUNT(AI44:AV44)=0),"",TODAY()-LOOKUP(2,1/(AI44:AV44&lt;&gt;""),AI44:AV44))</t>
        </is>
      </c>
      <c r="AE44" s="49" t="inlineStr">
        <is>
          <t>IF(OR(F44="",COUNT(AI44:AV44)&lt;2),"",LOOKUP(2,1/(AI44:AV44&lt;&gt;""),AI44:AV44)-MIN(AI44:AV44))</t>
        </is>
      </c>
      <c r="AF44" s="49" t="inlineStr">
        <is>
          <t>IF(OR(AD44="",AC44="Not started",AC44=""),"",IFERROR(AD44-IF(VLOOKUP(AC44,'06_Status_Pipeline'!$B$3:$E$20,4,FALSE)="",0,VLOOKUP(AC44,'06_Status_Pipeline'!$B$3:$E$20,4,FALSE)),""))</t>
        </is>
      </c>
      <c r="AG44" s="42" t="inlineStr">
        <is>
          <t>IF(F44="","",IF(OR(AA44="Cancelled",AC44="Cancelled"),"Cancelled",IF(OR(AC44="Completed / Handover",Y44&lt;&gt;"",Z44&gt;=100),"Completed — on track",IF(O44="Not awarded",IF(U44="",IF(X44="","No planned date",IF(TODAY()&gt;X44,"Behind — past planned date",IF(X44-TODAY()&lt;=30,"At risk — close to off track","On track"))),IF(TODAY()&gt;U44,"Behind — award date passed",IF(U44-TODAY()&lt;=30,"At risk — close to off track","On track"))),IF(X44="","No planned date",IF(AND(TODAY()&gt;X44,OR(Z44="",Z44&lt;100)),"Behind — past end date",IF(AND(T44&lt;&gt;"",X44&lt;&gt;"",Z44&lt;&gt;"",(Z44&lt;100),((TODAY()-T44)/MAX(X44-T44,1)*100)-Z44&gt;15),"Behind — progress lag",IF(AND(X44-TODAY()&lt;=30,X44-TODAY()&gt;=0,OR(Z44="",Z44&lt;90)),"At risk — close to off track","On track"))))))))</t>
        </is>
      </c>
      <c r="AH44" s="49" t="inlineStr">
        <is>
          <t>IF(OR(F44="",AC44="Completed / Handover",AC44="Cancelled"),"",IF(O44="Not awarded",IF(U44&lt;&gt;"",U44-TODAY(),IF(X44="","",X44-TODAY())),IF(X44="","",X44-TODAY())))</t>
        </is>
      </c>
      <c r="AI44" s="54" t="n"/>
      <c r="AJ44" s="54" t="n"/>
      <c r="AK44" s="54" t="n"/>
      <c r="AL44" s="54" t="n"/>
      <c r="AM44" s="54" t="n"/>
      <c r="AN44" s="54" t="n"/>
      <c r="AO44" s="54" t="n"/>
      <c r="AP44" s="54" t="n"/>
      <c r="AQ44" s="54" t="n"/>
      <c r="AR44" s="54" t="n"/>
      <c r="AS44" s="54" t="n"/>
      <c r="AT44" s="50" t="n"/>
      <c r="AU44" s="50" t="n"/>
      <c r="AV44" s="50" t="n"/>
      <c r="AW44" s="49" t="inlineStr">
        <is>
          <t>IF(OR(F44="",AJ44=""),"",IF(COUNT(AI44:AI44)=0,"",AJ44-LOOKUP(2,1/(AI44:AI44&lt;&gt;""),AI44:AI44)))</t>
        </is>
      </c>
      <c r="AX44" s="49" t="inlineStr">
        <is>
          <t>IF(OR(F44="",AK44=""),"",IF(COUNT(AI44:AJ44)=0,"",AK44-LOOKUP(2,1/(AI44:AJ44&lt;&gt;""),AI44:AJ44)))</t>
        </is>
      </c>
      <c r="AY44" s="49" t="inlineStr">
        <is>
          <t>IF(OR(F44="",AL44=""),"",IF(COUNT(AI44:AK44)=0,"",AL44-LOOKUP(2,1/(AI44:AK44&lt;&gt;""),AI44:AK44)))</t>
        </is>
      </c>
      <c r="AZ44" s="49" t="inlineStr">
        <is>
          <t>IF(OR(F44="",AM44=""),"",IF(COUNT(AI44:AL44)=0,"",AM44-LOOKUP(2,1/(AI44:AL44&lt;&gt;""),AI44:AL44)))</t>
        </is>
      </c>
      <c r="BA44" s="49" t="inlineStr">
        <is>
          <t>IF(OR(F44="",AN44=""),"",IF(COUNT(AI44:AM44)=0,"",AN44-LOOKUP(2,1/(AI44:AM44&lt;&gt;""),AI44:AM44)))</t>
        </is>
      </c>
      <c r="BB44" s="49" t="inlineStr">
        <is>
          <t>IF(OR(F44="",AO44=""),"",IF(COUNT(AI44:AN44)=0,"",AO44-LOOKUP(2,1/(AI44:AN44&lt;&gt;""),AI44:AN44)))</t>
        </is>
      </c>
      <c r="BC44" s="49" t="inlineStr">
        <is>
          <t>IF(OR(F44="",AP44=""),"",IF(COUNT(AI44:AO44)=0,"",AP44-LOOKUP(2,1/(AI44:AO44&lt;&gt;""),AI44:AO44)))</t>
        </is>
      </c>
      <c r="BD44" s="49" t="inlineStr">
        <is>
          <t>IF(OR(F44="",AQ44=""),"",IF(COUNT(AI44:AP44)=0,"",AQ44-LOOKUP(2,1/(AI44:AP44&lt;&gt;""),AI44:AP44)))</t>
        </is>
      </c>
      <c r="BE44" s="49" t="inlineStr">
        <is>
          <t>IF(OR(F44="",AR44=""),"",IF(COUNT(AI44:AQ44)=0,"",AR44-LOOKUP(2,1/(AI44:AQ44&lt;&gt;""),AI44:AQ44)))</t>
        </is>
      </c>
      <c r="BF44" s="49" t="inlineStr">
        <is>
          <t>IF(OR(F44="",AS44=""),"",IF(COUNT(AI44:AR44)=0,"",AS44-LOOKUP(2,1/(AI44:AR44&lt;&gt;""),AI44:AR44)))</t>
        </is>
      </c>
      <c r="BG44" s="49" t="inlineStr">
        <is>
          <t>IF(OR(F44="",AT44=""),"",IF(COUNT(AI44:AS44)=0,"",AT44-LOOKUP(2,1/(AI44:AS44&lt;&gt;""),AI44:AS44)))</t>
        </is>
      </c>
      <c r="BH44" s="49" t="inlineStr">
        <is>
          <t>IF(OR(F44="",AU44=""),"",IF(COUNT(AI44:AT44)=0,"",AU44-LOOKUP(2,1/(AI44:AT44&lt;&gt;""),AI44:AT44)))</t>
        </is>
      </c>
      <c r="BI44" s="49" t="inlineStr">
        <is>
          <t>IF(OR(F44="",AV44=""),"",IF(COUNT(AI44:AU44)=0,"",AV44-LOOKUP(2,1/(AI44:AU44&lt;&gt;""),AI44:AU44)))</t>
        </is>
      </c>
      <c r="BJ44" s="51" t="inlineStr">
        <is>
          <t>IF(J44="","All_Provinces",IFERROR(VLOOKUP(J44,'09_Lookups'!$A$4:$B$20,2,FALSE),"All_Provinces"))</t>
        </is>
      </c>
      <c r="BK44" s="51" t="inlineStr">
        <is>
          <t>IF(K44="","All_Districts",IFERROR(VLOOKUP(K44,'09_Lookups'!$E$4:$F$42,2,FALSE),"All_Districts"))</t>
        </is>
      </c>
    </row>
    <row r="45" ht="18" customHeight="1">
      <c r="A45" s="42" t="inlineStr">
        <is>
          <t>IF(F45="","",ROW()-3)</t>
        </is>
      </c>
      <c r="B45" s="44" t="n"/>
      <c r="C45" s="44" t="n"/>
      <c r="D45" s="44" t="n"/>
      <c r="E45" s="44" t="n"/>
      <c r="F45" s="44" t="n"/>
      <c r="G45" s="44" t="n"/>
      <c r="H45" s="44" t="n"/>
      <c r="I45" s="44" t="n"/>
      <c r="J45" s="44" t="n"/>
      <c r="K45" s="44" t="n"/>
      <c r="L45" s="44" t="n"/>
      <c r="M45" s="44" t="n"/>
      <c r="N45" s="44" t="n"/>
      <c r="O45" s="44" t="n"/>
      <c r="P45" s="44" t="n"/>
      <c r="Q45" s="44" t="n"/>
      <c r="R45" s="44" t="n"/>
      <c r="S45" s="45" t="n"/>
      <c r="T45" s="46" t="inlineStr">
        <is>
          <t>IF(AQ45="","",AQ45)</t>
        </is>
      </c>
      <c r="U45" s="47" t="n"/>
      <c r="V45" s="48" t="n"/>
      <c r="W45" s="47" t="n"/>
      <c r="X45" s="46" t="inlineStr">
        <is>
          <t>IF(W45&lt;&gt;"",W45,IF(OR(T45="",V45=""),"",EDATE(T45,V45)))</t>
        </is>
      </c>
      <c r="Y45" s="47" t="n"/>
      <c r="Z45" s="48" t="n"/>
      <c r="AA45" s="44" t="n"/>
      <c r="AB45" s="44" t="n"/>
      <c r="AC45" s="42" t="inlineStr">
        <is>
          <t>IF(F45="","",IF(COUNT(AI45:AV45)=0,IF(AA45="","Not started",AA45),SUBSTITUTE(LOOKUP(2,1/(AI45:AV45&lt;&gt;""),$AI$3:$AV$3),"Date: ","")))</t>
        </is>
      </c>
      <c r="AD45" s="49" t="inlineStr">
        <is>
          <t>IF(OR(F45="",COUNT(AI45:AV45)=0),"",TODAY()-LOOKUP(2,1/(AI45:AV45&lt;&gt;""),AI45:AV45))</t>
        </is>
      </c>
      <c r="AE45" s="49" t="inlineStr">
        <is>
          <t>IF(OR(F45="",COUNT(AI45:AV45)&lt;2),"",LOOKUP(2,1/(AI45:AV45&lt;&gt;""),AI45:AV45)-MIN(AI45:AV45))</t>
        </is>
      </c>
      <c r="AF45" s="49" t="inlineStr">
        <is>
          <t>IF(OR(AD45="",AC45="Not started",AC45=""),"",IFERROR(AD45-IF(VLOOKUP(AC45,'06_Status_Pipeline'!$B$3:$E$20,4,FALSE)="",0,VLOOKUP(AC45,'06_Status_Pipeline'!$B$3:$E$20,4,FALSE)),""))</t>
        </is>
      </c>
      <c r="AG45" s="42" t="inlineStr">
        <is>
          <t>IF(F45="","",IF(OR(AA45="Cancelled",AC45="Cancelled"),"Cancelled",IF(OR(AC45="Completed / Handover",Y45&lt;&gt;"",Z45&gt;=100),"Completed — on track",IF(O45="Not awarded",IF(U45="",IF(X45="","No planned date",IF(TODAY()&gt;X45,"Behind — past planned date",IF(X45-TODAY()&lt;=30,"At risk — close to off track","On track"))),IF(TODAY()&gt;U45,"Behind — award date passed",IF(U45-TODAY()&lt;=30,"At risk — close to off track","On track"))),IF(X45="","No planned date",IF(AND(TODAY()&gt;X45,OR(Z45="",Z45&lt;100)),"Behind — past end date",IF(AND(T45&lt;&gt;"",X45&lt;&gt;"",Z45&lt;&gt;"",(Z45&lt;100),((TODAY()-T45)/MAX(X45-T45,1)*100)-Z45&gt;15),"Behind — progress lag",IF(AND(X45-TODAY()&lt;=30,X45-TODAY()&gt;=0,OR(Z45="",Z45&lt;90)),"At risk — close to off track","On track"))))))))</t>
        </is>
      </c>
      <c r="AH45" s="49" t="inlineStr">
        <is>
          <t>IF(OR(F45="",AC45="Completed / Handover",AC45="Cancelled"),"",IF(O45="Not awarded",IF(U45&lt;&gt;"",U45-TODAY(),IF(X45="","",X45-TODAY())),IF(X45="","",X45-TODAY())))</t>
        </is>
      </c>
      <c r="AI45" s="47" t="n"/>
      <c r="AJ45" s="47" t="n"/>
      <c r="AK45" s="47" t="n"/>
      <c r="AL45" s="47" t="n"/>
      <c r="AM45" s="47" t="n"/>
      <c r="AN45" s="47" t="n"/>
      <c r="AO45" s="47" t="n"/>
      <c r="AP45" s="47" t="n"/>
      <c r="AQ45" s="47" t="n"/>
      <c r="AR45" s="47" t="n"/>
      <c r="AS45" s="47" t="n"/>
      <c r="AT45" s="50" t="n"/>
      <c r="AU45" s="50" t="n"/>
      <c r="AV45" s="50" t="n"/>
      <c r="AW45" s="49" t="inlineStr">
        <is>
          <t>IF(OR(F45="",AJ45=""),"",IF(COUNT(AI45:AI45)=0,"",AJ45-LOOKUP(2,1/(AI45:AI45&lt;&gt;""),AI45:AI45)))</t>
        </is>
      </c>
      <c r="AX45" s="49" t="inlineStr">
        <is>
          <t>IF(OR(F45="",AK45=""),"",IF(COUNT(AI45:AJ45)=0,"",AK45-LOOKUP(2,1/(AI45:AJ45&lt;&gt;""),AI45:AJ45)))</t>
        </is>
      </c>
      <c r="AY45" s="49" t="inlineStr">
        <is>
          <t>IF(OR(F45="",AL45=""),"",IF(COUNT(AI45:AK45)=0,"",AL45-LOOKUP(2,1/(AI45:AK45&lt;&gt;""),AI45:AK45)))</t>
        </is>
      </c>
      <c r="AZ45" s="49" t="inlineStr">
        <is>
          <t>IF(OR(F45="",AM45=""),"",IF(COUNT(AI45:AL45)=0,"",AM45-LOOKUP(2,1/(AI45:AL45&lt;&gt;""),AI45:AL45)))</t>
        </is>
      </c>
      <c r="BA45" s="49" t="inlineStr">
        <is>
          <t>IF(OR(F45="",AN45=""),"",IF(COUNT(AI45:AM45)=0,"",AN45-LOOKUP(2,1/(AI45:AM45&lt;&gt;""),AI45:AM45)))</t>
        </is>
      </c>
      <c r="BB45" s="49" t="inlineStr">
        <is>
          <t>IF(OR(F45="",AO45=""),"",IF(COUNT(AI45:AN45)=0,"",AO45-LOOKUP(2,1/(AI45:AN45&lt;&gt;""),AI45:AN45)))</t>
        </is>
      </c>
      <c r="BC45" s="49" t="inlineStr">
        <is>
          <t>IF(OR(F45="",AP45=""),"",IF(COUNT(AI45:AO45)=0,"",AP45-LOOKUP(2,1/(AI45:AO45&lt;&gt;""),AI45:AO45)))</t>
        </is>
      </c>
      <c r="BD45" s="49" t="inlineStr">
        <is>
          <t>IF(OR(F45="",AQ45=""),"",IF(COUNT(AI45:AP45)=0,"",AQ45-LOOKUP(2,1/(AI45:AP45&lt;&gt;""),AI45:AP45)))</t>
        </is>
      </c>
      <c r="BE45" s="49" t="inlineStr">
        <is>
          <t>IF(OR(F45="",AR45=""),"",IF(COUNT(AI45:AQ45)=0,"",AR45-LOOKUP(2,1/(AI45:AQ45&lt;&gt;""),AI45:AQ45)))</t>
        </is>
      </c>
      <c r="BF45" s="49" t="inlineStr">
        <is>
          <t>IF(OR(F45="",AS45=""),"",IF(COUNT(AI45:AR45)=0,"",AS45-LOOKUP(2,1/(AI45:AR45&lt;&gt;""),AI45:AR45)))</t>
        </is>
      </c>
      <c r="BG45" s="49" t="inlineStr">
        <is>
          <t>IF(OR(F45="",AT45=""),"",IF(COUNT(AI45:AS45)=0,"",AT45-LOOKUP(2,1/(AI45:AS45&lt;&gt;""),AI45:AS45)))</t>
        </is>
      </c>
      <c r="BH45" s="49" t="inlineStr">
        <is>
          <t>IF(OR(F45="",AU45=""),"",IF(COUNT(AI45:AT45)=0,"",AU45-LOOKUP(2,1/(AI45:AT45&lt;&gt;""),AI45:AT45)))</t>
        </is>
      </c>
      <c r="BI45" s="49" t="inlineStr">
        <is>
          <t>IF(OR(F45="",AV45=""),"",IF(COUNT(AI45:AU45)=0,"",AV45-LOOKUP(2,1/(AI45:AU45&lt;&gt;""),AI45:AU45)))</t>
        </is>
      </c>
      <c r="BJ45" s="51" t="inlineStr">
        <is>
          <t>IF(J45="","All_Provinces",IFERROR(VLOOKUP(J45,'09_Lookups'!$A$4:$B$20,2,FALSE),"All_Provinces"))</t>
        </is>
      </c>
      <c r="BK45" s="51" t="inlineStr">
        <is>
          <t>IF(K45="","All_Districts",IFERROR(VLOOKUP(K45,'09_Lookups'!$E$4:$F$42,2,FALSE),"All_Districts"))</t>
        </is>
      </c>
    </row>
    <row r="46" ht="18" customHeight="1">
      <c r="A46" s="42" t="inlineStr">
        <is>
          <t>IF(F46="","",ROW()-3)</t>
        </is>
      </c>
      <c r="B46" s="52" t="n"/>
      <c r="C46" s="52" t="n"/>
      <c r="D46" s="52" t="n"/>
      <c r="E46" s="52" t="n"/>
      <c r="F46" s="52" t="n"/>
      <c r="G46" s="52" t="n"/>
      <c r="H46" s="52" t="n"/>
      <c r="I46" s="52" t="n"/>
      <c r="J46" s="52" t="n"/>
      <c r="K46" s="52" t="n"/>
      <c r="L46" s="52" t="n"/>
      <c r="M46" s="52" t="n"/>
      <c r="N46" s="52" t="n"/>
      <c r="O46" s="52" t="n"/>
      <c r="P46" s="52" t="n"/>
      <c r="Q46" s="52" t="n"/>
      <c r="R46" s="52" t="n"/>
      <c r="S46" s="53" t="n"/>
      <c r="T46" s="46" t="inlineStr">
        <is>
          <t>IF(AQ46="","",AQ46)</t>
        </is>
      </c>
      <c r="U46" s="54" t="n"/>
      <c r="V46" s="55" t="n"/>
      <c r="W46" s="54" t="n"/>
      <c r="X46" s="46" t="inlineStr">
        <is>
          <t>IF(W46&lt;&gt;"",W46,IF(OR(T46="",V46=""),"",EDATE(T46,V46)))</t>
        </is>
      </c>
      <c r="Y46" s="54" t="n"/>
      <c r="Z46" s="55" t="n"/>
      <c r="AA46" s="52" t="n"/>
      <c r="AB46" s="52" t="n"/>
      <c r="AC46" s="42" t="inlineStr">
        <is>
          <t>IF(F46="","",IF(COUNT(AI46:AV46)=0,IF(AA46="","Not started",AA46),SUBSTITUTE(LOOKUP(2,1/(AI46:AV46&lt;&gt;""),$AI$3:$AV$3),"Date: ","")))</t>
        </is>
      </c>
      <c r="AD46" s="49" t="inlineStr">
        <is>
          <t>IF(OR(F46="",COUNT(AI46:AV46)=0),"",TODAY()-LOOKUP(2,1/(AI46:AV46&lt;&gt;""),AI46:AV46))</t>
        </is>
      </c>
      <c r="AE46" s="49" t="inlineStr">
        <is>
          <t>IF(OR(F46="",COUNT(AI46:AV46)&lt;2),"",LOOKUP(2,1/(AI46:AV46&lt;&gt;""),AI46:AV46)-MIN(AI46:AV46))</t>
        </is>
      </c>
      <c r="AF46" s="49" t="inlineStr">
        <is>
          <t>IF(OR(AD46="",AC46="Not started",AC46=""),"",IFERROR(AD46-IF(VLOOKUP(AC46,'06_Status_Pipeline'!$B$3:$E$20,4,FALSE)="",0,VLOOKUP(AC46,'06_Status_Pipeline'!$B$3:$E$20,4,FALSE)),""))</t>
        </is>
      </c>
      <c r="AG46" s="42" t="inlineStr">
        <is>
          <t>IF(F46="","",IF(OR(AA46="Cancelled",AC46="Cancelled"),"Cancelled",IF(OR(AC46="Completed / Handover",Y46&lt;&gt;"",Z46&gt;=100),"Completed — on track",IF(O46="Not awarded",IF(U46="",IF(X46="","No planned date",IF(TODAY()&gt;X46,"Behind — past planned date",IF(X46-TODAY()&lt;=30,"At risk — close to off track","On track"))),IF(TODAY()&gt;U46,"Behind — award date passed",IF(U46-TODAY()&lt;=30,"At risk — close to off track","On track"))),IF(X46="","No planned date",IF(AND(TODAY()&gt;X46,OR(Z46="",Z46&lt;100)),"Behind — past end date",IF(AND(T46&lt;&gt;"",X46&lt;&gt;"",Z46&lt;&gt;"",(Z46&lt;100),((TODAY()-T46)/MAX(X46-T46,1)*100)-Z46&gt;15),"Behind — progress lag",IF(AND(X46-TODAY()&lt;=30,X46-TODAY()&gt;=0,OR(Z46="",Z46&lt;90)),"At risk — close to off track","On track"))))))))</t>
        </is>
      </c>
      <c r="AH46" s="49" t="inlineStr">
        <is>
          <t>IF(OR(F46="",AC46="Completed / Handover",AC46="Cancelled"),"",IF(O46="Not awarded",IF(U46&lt;&gt;"",U46-TODAY(),IF(X46="","",X46-TODAY())),IF(X46="","",X46-TODAY())))</t>
        </is>
      </c>
      <c r="AI46" s="54" t="n"/>
      <c r="AJ46" s="54" t="n"/>
      <c r="AK46" s="54" t="n"/>
      <c r="AL46" s="54" t="n"/>
      <c r="AM46" s="54" t="n"/>
      <c r="AN46" s="54" t="n"/>
      <c r="AO46" s="54" t="n"/>
      <c r="AP46" s="54" t="n"/>
      <c r="AQ46" s="54" t="n"/>
      <c r="AR46" s="54" t="n"/>
      <c r="AS46" s="54" t="n"/>
      <c r="AT46" s="50" t="n"/>
      <c r="AU46" s="50" t="n"/>
      <c r="AV46" s="50" t="n"/>
      <c r="AW46" s="49" t="inlineStr">
        <is>
          <t>IF(OR(F46="",AJ46=""),"",IF(COUNT(AI46:AI46)=0,"",AJ46-LOOKUP(2,1/(AI46:AI46&lt;&gt;""),AI46:AI46)))</t>
        </is>
      </c>
      <c r="AX46" s="49" t="inlineStr">
        <is>
          <t>IF(OR(F46="",AK46=""),"",IF(COUNT(AI46:AJ46)=0,"",AK46-LOOKUP(2,1/(AI46:AJ46&lt;&gt;""),AI46:AJ46)))</t>
        </is>
      </c>
      <c r="AY46" s="49" t="inlineStr">
        <is>
          <t>IF(OR(F46="",AL46=""),"",IF(COUNT(AI46:AK46)=0,"",AL46-LOOKUP(2,1/(AI46:AK46&lt;&gt;""),AI46:AK46)))</t>
        </is>
      </c>
      <c r="AZ46" s="49" t="inlineStr">
        <is>
          <t>IF(OR(F46="",AM46=""),"",IF(COUNT(AI46:AL46)=0,"",AM46-LOOKUP(2,1/(AI46:AL46&lt;&gt;""),AI46:AL46)))</t>
        </is>
      </c>
      <c r="BA46" s="49" t="inlineStr">
        <is>
          <t>IF(OR(F46="",AN46=""),"",IF(COUNT(AI46:AM46)=0,"",AN46-LOOKUP(2,1/(AI46:AM46&lt;&gt;""),AI46:AM46)))</t>
        </is>
      </c>
      <c r="BB46" s="49" t="inlineStr">
        <is>
          <t>IF(OR(F46="",AO46=""),"",IF(COUNT(AI46:AN46)=0,"",AO46-LOOKUP(2,1/(AI46:AN46&lt;&gt;""),AI46:AN46)))</t>
        </is>
      </c>
      <c r="BC46" s="49" t="inlineStr">
        <is>
          <t>IF(OR(F46="",AP46=""),"",IF(COUNT(AI46:AO46)=0,"",AP46-LOOKUP(2,1/(AI46:AO46&lt;&gt;""),AI46:AO46)))</t>
        </is>
      </c>
      <c r="BD46" s="49" t="inlineStr">
        <is>
          <t>IF(OR(F46="",AQ46=""),"",IF(COUNT(AI46:AP46)=0,"",AQ46-LOOKUP(2,1/(AI46:AP46&lt;&gt;""),AI46:AP46)))</t>
        </is>
      </c>
      <c r="BE46" s="49" t="inlineStr">
        <is>
          <t>IF(OR(F46="",AR46=""),"",IF(COUNT(AI46:AQ46)=0,"",AR46-LOOKUP(2,1/(AI46:AQ46&lt;&gt;""),AI46:AQ46)))</t>
        </is>
      </c>
      <c r="BF46" s="49" t="inlineStr">
        <is>
          <t>IF(OR(F46="",AS46=""),"",IF(COUNT(AI46:AR46)=0,"",AS46-LOOKUP(2,1/(AI46:AR46&lt;&gt;""),AI46:AR46)))</t>
        </is>
      </c>
      <c r="BG46" s="49" t="inlineStr">
        <is>
          <t>IF(OR(F46="",AT46=""),"",IF(COUNT(AI46:AS46)=0,"",AT46-LOOKUP(2,1/(AI46:AS46&lt;&gt;""),AI46:AS46)))</t>
        </is>
      </c>
      <c r="BH46" s="49" t="inlineStr">
        <is>
          <t>IF(OR(F46="",AU46=""),"",IF(COUNT(AI46:AT46)=0,"",AU46-LOOKUP(2,1/(AI46:AT46&lt;&gt;""),AI46:AT46)))</t>
        </is>
      </c>
      <c r="BI46" s="49" t="inlineStr">
        <is>
          <t>IF(OR(F46="",AV46=""),"",IF(COUNT(AI46:AU46)=0,"",AV46-LOOKUP(2,1/(AI46:AU46&lt;&gt;""),AI46:AU46)))</t>
        </is>
      </c>
      <c r="BJ46" s="51" t="inlineStr">
        <is>
          <t>IF(J46="","All_Provinces",IFERROR(VLOOKUP(J46,'09_Lookups'!$A$4:$B$20,2,FALSE),"All_Provinces"))</t>
        </is>
      </c>
      <c r="BK46" s="51" t="inlineStr">
        <is>
          <t>IF(K46="","All_Districts",IFERROR(VLOOKUP(K46,'09_Lookups'!$E$4:$F$42,2,FALSE),"All_Districts"))</t>
        </is>
      </c>
    </row>
    <row r="47" ht="18" customHeight="1">
      <c r="A47" s="42" t="inlineStr">
        <is>
          <t>IF(F47="","",ROW()-3)</t>
        </is>
      </c>
      <c r="B47" s="44" t="n"/>
      <c r="C47" s="44" t="n"/>
      <c r="D47" s="44" t="n"/>
      <c r="E47" s="44" t="n"/>
      <c r="F47" s="44" t="n"/>
      <c r="G47" s="44" t="n"/>
      <c r="H47" s="44" t="n"/>
      <c r="I47" s="44" t="n"/>
      <c r="J47" s="44" t="n"/>
      <c r="K47" s="44" t="n"/>
      <c r="L47" s="44" t="n"/>
      <c r="M47" s="44" t="n"/>
      <c r="N47" s="44" t="n"/>
      <c r="O47" s="44" t="n"/>
      <c r="P47" s="44" t="n"/>
      <c r="Q47" s="44" t="n"/>
      <c r="R47" s="44" t="n"/>
      <c r="S47" s="45" t="n"/>
      <c r="T47" s="46" t="inlineStr">
        <is>
          <t>IF(AQ47="","",AQ47)</t>
        </is>
      </c>
      <c r="U47" s="47" t="n"/>
      <c r="V47" s="48" t="n"/>
      <c r="W47" s="47" t="n"/>
      <c r="X47" s="46" t="inlineStr">
        <is>
          <t>IF(W47&lt;&gt;"",W47,IF(OR(T47="",V47=""),"",EDATE(T47,V47)))</t>
        </is>
      </c>
      <c r="Y47" s="47" t="n"/>
      <c r="Z47" s="48" t="n"/>
      <c r="AA47" s="44" t="n"/>
      <c r="AB47" s="44" t="n"/>
      <c r="AC47" s="42" t="inlineStr">
        <is>
          <t>IF(F47="","",IF(COUNT(AI47:AV47)=0,IF(AA47="","Not started",AA47),SUBSTITUTE(LOOKUP(2,1/(AI47:AV47&lt;&gt;""),$AI$3:$AV$3),"Date: ","")))</t>
        </is>
      </c>
      <c r="AD47" s="49" t="inlineStr">
        <is>
          <t>IF(OR(F47="",COUNT(AI47:AV47)=0),"",TODAY()-LOOKUP(2,1/(AI47:AV47&lt;&gt;""),AI47:AV47))</t>
        </is>
      </c>
      <c r="AE47" s="49" t="inlineStr">
        <is>
          <t>IF(OR(F47="",COUNT(AI47:AV47)&lt;2),"",LOOKUP(2,1/(AI47:AV47&lt;&gt;""),AI47:AV47)-MIN(AI47:AV47))</t>
        </is>
      </c>
      <c r="AF47" s="49" t="inlineStr">
        <is>
          <t>IF(OR(AD47="",AC47="Not started",AC47=""),"",IFERROR(AD47-IF(VLOOKUP(AC47,'06_Status_Pipeline'!$B$3:$E$20,4,FALSE)="",0,VLOOKUP(AC47,'06_Status_Pipeline'!$B$3:$E$20,4,FALSE)),""))</t>
        </is>
      </c>
      <c r="AG47" s="42" t="inlineStr">
        <is>
          <t>IF(F47="","",IF(OR(AA47="Cancelled",AC47="Cancelled"),"Cancelled",IF(OR(AC47="Completed / Handover",Y47&lt;&gt;"",Z47&gt;=100),"Completed — on track",IF(O47="Not awarded",IF(U47="",IF(X47="","No planned date",IF(TODAY()&gt;X47,"Behind — past planned date",IF(X47-TODAY()&lt;=30,"At risk — close to off track","On track"))),IF(TODAY()&gt;U47,"Behind — award date passed",IF(U47-TODAY()&lt;=30,"At risk — close to off track","On track"))),IF(X47="","No planned date",IF(AND(TODAY()&gt;X47,OR(Z47="",Z47&lt;100)),"Behind — past end date",IF(AND(T47&lt;&gt;"",X47&lt;&gt;"",Z47&lt;&gt;"",(Z47&lt;100),((TODAY()-T47)/MAX(X47-T47,1)*100)-Z47&gt;15),"Behind — progress lag",IF(AND(X47-TODAY()&lt;=30,X47-TODAY()&gt;=0,OR(Z47="",Z47&lt;90)),"At risk — close to off track","On track"))))))))</t>
        </is>
      </c>
      <c r="AH47" s="49" t="inlineStr">
        <is>
          <t>IF(OR(F47="",AC47="Completed / Handover",AC47="Cancelled"),"",IF(O47="Not awarded",IF(U47&lt;&gt;"",U47-TODAY(),IF(X47="","",X47-TODAY())),IF(X47="","",X47-TODAY())))</t>
        </is>
      </c>
      <c r="AI47" s="47" t="n"/>
      <c r="AJ47" s="47" t="n"/>
      <c r="AK47" s="47" t="n"/>
      <c r="AL47" s="47" t="n"/>
      <c r="AM47" s="47" t="n"/>
      <c r="AN47" s="47" t="n"/>
      <c r="AO47" s="47" t="n"/>
      <c r="AP47" s="47" t="n"/>
      <c r="AQ47" s="47" t="n"/>
      <c r="AR47" s="47" t="n"/>
      <c r="AS47" s="47" t="n"/>
      <c r="AT47" s="50" t="n"/>
      <c r="AU47" s="50" t="n"/>
      <c r="AV47" s="50" t="n"/>
      <c r="AW47" s="49" t="inlineStr">
        <is>
          <t>IF(OR(F47="",AJ47=""),"",IF(COUNT(AI47:AI47)=0,"",AJ47-LOOKUP(2,1/(AI47:AI47&lt;&gt;""),AI47:AI47)))</t>
        </is>
      </c>
      <c r="AX47" s="49" t="inlineStr">
        <is>
          <t>IF(OR(F47="",AK47=""),"",IF(COUNT(AI47:AJ47)=0,"",AK47-LOOKUP(2,1/(AI47:AJ47&lt;&gt;""),AI47:AJ47)))</t>
        </is>
      </c>
      <c r="AY47" s="49" t="inlineStr">
        <is>
          <t>IF(OR(F47="",AL47=""),"",IF(COUNT(AI47:AK47)=0,"",AL47-LOOKUP(2,1/(AI47:AK47&lt;&gt;""),AI47:AK47)))</t>
        </is>
      </c>
      <c r="AZ47" s="49" t="inlineStr">
        <is>
          <t>IF(OR(F47="",AM47=""),"",IF(COUNT(AI47:AL47)=0,"",AM47-LOOKUP(2,1/(AI47:AL47&lt;&gt;""),AI47:AL47)))</t>
        </is>
      </c>
      <c r="BA47" s="49" t="inlineStr">
        <is>
          <t>IF(OR(F47="",AN47=""),"",IF(COUNT(AI47:AM47)=0,"",AN47-LOOKUP(2,1/(AI47:AM47&lt;&gt;""),AI47:AM47)))</t>
        </is>
      </c>
      <c r="BB47" s="49" t="inlineStr">
        <is>
          <t>IF(OR(F47="",AO47=""),"",IF(COUNT(AI47:AN47)=0,"",AO47-LOOKUP(2,1/(AI47:AN47&lt;&gt;""),AI47:AN47)))</t>
        </is>
      </c>
      <c r="BC47" s="49" t="inlineStr">
        <is>
          <t>IF(OR(F47="",AP47=""),"",IF(COUNT(AI47:AO47)=0,"",AP47-LOOKUP(2,1/(AI47:AO47&lt;&gt;""),AI47:AO47)))</t>
        </is>
      </c>
      <c r="BD47" s="49" t="inlineStr">
        <is>
          <t>IF(OR(F47="",AQ47=""),"",IF(COUNT(AI47:AP47)=0,"",AQ47-LOOKUP(2,1/(AI47:AP47&lt;&gt;""),AI47:AP47)))</t>
        </is>
      </c>
      <c r="BE47" s="49" t="inlineStr">
        <is>
          <t>IF(OR(F47="",AR47=""),"",IF(COUNT(AI47:AQ47)=0,"",AR47-LOOKUP(2,1/(AI47:AQ47&lt;&gt;""),AI47:AQ47)))</t>
        </is>
      </c>
      <c r="BF47" s="49" t="inlineStr">
        <is>
          <t>IF(OR(F47="",AS47=""),"",IF(COUNT(AI47:AR47)=0,"",AS47-LOOKUP(2,1/(AI47:AR47&lt;&gt;""),AI47:AR47)))</t>
        </is>
      </c>
      <c r="BG47" s="49" t="inlineStr">
        <is>
          <t>IF(OR(F47="",AT47=""),"",IF(COUNT(AI47:AS47)=0,"",AT47-LOOKUP(2,1/(AI47:AS47&lt;&gt;""),AI47:AS47)))</t>
        </is>
      </c>
      <c r="BH47" s="49" t="inlineStr">
        <is>
          <t>IF(OR(F47="",AU47=""),"",IF(COUNT(AI47:AT47)=0,"",AU47-LOOKUP(2,1/(AI47:AT47&lt;&gt;""),AI47:AT47)))</t>
        </is>
      </c>
      <c r="BI47" s="49" t="inlineStr">
        <is>
          <t>IF(OR(F47="",AV47=""),"",IF(COUNT(AI47:AU47)=0,"",AV47-LOOKUP(2,1/(AI47:AU47&lt;&gt;""),AI47:AU47)))</t>
        </is>
      </c>
      <c r="BJ47" s="51" t="inlineStr">
        <is>
          <t>IF(J47="","All_Provinces",IFERROR(VLOOKUP(J47,'09_Lookups'!$A$4:$B$20,2,FALSE),"All_Provinces"))</t>
        </is>
      </c>
      <c r="BK47" s="51" t="inlineStr">
        <is>
          <t>IF(K47="","All_Districts",IFERROR(VLOOKUP(K47,'09_Lookups'!$E$4:$F$42,2,FALSE),"All_Districts"))</t>
        </is>
      </c>
    </row>
    <row r="48" ht="18" customHeight="1">
      <c r="A48" s="42" t="inlineStr">
        <is>
          <t>IF(F48="","",ROW()-3)</t>
        </is>
      </c>
      <c r="B48" s="52" t="n"/>
      <c r="C48" s="52" t="n"/>
      <c r="D48" s="52" t="n"/>
      <c r="E48" s="52" t="n"/>
      <c r="F48" s="52" t="n"/>
      <c r="G48" s="52" t="n"/>
      <c r="H48" s="52" t="n"/>
      <c r="I48" s="52" t="n"/>
      <c r="J48" s="52" t="n"/>
      <c r="K48" s="52" t="n"/>
      <c r="L48" s="52" t="n"/>
      <c r="M48" s="52" t="n"/>
      <c r="N48" s="52" t="n"/>
      <c r="O48" s="52" t="n"/>
      <c r="P48" s="52" t="n"/>
      <c r="Q48" s="52" t="n"/>
      <c r="R48" s="52" t="n"/>
      <c r="S48" s="53" t="n"/>
      <c r="T48" s="46" t="inlineStr">
        <is>
          <t>IF(AQ48="","",AQ48)</t>
        </is>
      </c>
      <c r="U48" s="54" t="n"/>
      <c r="V48" s="55" t="n"/>
      <c r="W48" s="54" t="n"/>
      <c r="X48" s="46" t="inlineStr">
        <is>
          <t>IF(W48&lt;&gt;"",W48,IF(OR(T48="",V48=""),"",EDATE(T48,V48)))</t>
        </is>
      </c>
      <c r="Y48" s="54" t="n"/>
      <c r="Z48" s="55" t="n"/>
      <c r="AA48" s="52" t="n"/>
      <c r="AB48" s="52" t="n"/>
      <c r="AC48" s="42" t="inlineStr">
        <is>
          <t>IF(F48="","",IF(COUNT(AI48:AV48)=0,IF(AA48="","Not started",AA48),SUBSTITUTE(LOOKUP(2,1/(AI48:AV48&lt;&gt;""),$AI$3:$AV$3),"Date: ","")))</t>
        </is>
      </c>
      <c r="AD48" s="49" t="inlineStr">
        <is>
          <t>IF(OR(F48="",COUNT(AI48:AV48)=0),"",TODAY()-LOOKUP(2,1/(AI48:AV48&lt;&gt;""),AI48:AV48))</t>
        </is>
      </c>
      <c r="AE48" s="49" t="inlineStr">
        <is>
          <t>IF(OR(F48="",COUNT(AI48:AV48)&lt;2),"",LOOKUP(2,1/(AI48:AV48&lt;&gt;""),AI48:AV48)-MIN(AI48:AV48))</t>
        </is>
      </c>
      <c r="AF48" s="49" t="inlineStr">
        <is>
          <t>IF(OR(AD48="",AC48="Not started",AC48=""),"",IFERROR(AD48-IF(VLOOKUP(AC48,'06_Status_Pipeline'!$B$3:$E$20,4,FALSE)="",0,VLOOKUP(AC48,'06_Status_Pipeline'!$B$3:$E$20,4,FALSE)),""))</t>
        </is>
      </c>
      <c r="AG48" s="42" t="inlineStr">
        <is>
          <t>IF(F48="","",IF(OR(AA48="Cancelled",AC48="Cancelled"),"Cancelled",IF(OR(AC48="Completed / Handover",Y48&lt;&gt;"",Z48&gt;=100),"Completed — on track",IF(O48="Not awarded",IF(U48="",IF(X48="","No planned date",IF(TODAY()&gt;X48,"Behind — past planned date",IF(X48-TODAY()&lt;=30,"At risk — close to off track","On track"))),IF(TODAY()&gt;U48,"Behind — award date passed",IF(U48-TODAY()&lt;=30,"At risk — close to off track","On track"))),IF(X48="","No planned date",IF(AND(TODAY()&gt;X48,OR(Z48="",Z48&lt;100)),"Behind — past end date",IF(AND(T48&lt;&gt;"",X48&lt;&gt;"",Z48&lt;&gt;"",(Z48&lt;100),((TODAY()-T48)/MAX(X48-T48,1)*100)-Z48&gt;15),"Behind — progress lag",IF(AND(X48-TODAY()&lt;=30,X48-TODAY()&gt;=0,OR(Z48="",Z48&lt;90)),"At risk — close to off track","On track"))))))))</t>
        </is>
      </c>
      <c r="AH48" s="49" t="inlineStr">
        <is>
          <t>IF(OR(F48="",AC48="Completed / Handover",AC48="Cancelled"),"",IF(O48="Not awarded",IF(U48&lt;&gt;"",U48-TODAY(),IF(X48="","",X48-TODAY())),IF(X48="","",X48-TODAY())))</t>
        </is>
      </c>
      <c r="AI48" s="54" t="n"/>
      <c r="AJ48" s="54" t="n"/>
      <c r="AK48" s="54" t="n"/>
      <c r="AL48" s="54" t="n"/>
      <c r="AM48" s="54" t="n"/>
      <c r="AN48" s="54" t="n"/>
      <c r="AO48" s="54" t="n"/>
      <c r="AP48" s="54" t="n"/>
      <c r="AQ48" s="54" t="n"/>
      <c r="AR48" s="54" t="n"/>
      <c r="AS48" s="54" t="n"/>
      <c r="AT48" s="50" t="n"/>
      <c r="AU48" s="50" t="n"/>
      <c r="AV48" s="50" t="n"/>
      <c r="AW48" s="49" t="inlineStr">
        <is>
          <t>IF(OR(F48="",AJ48=""),"",IF(COUNT(AI48:AI48)=0,"",AJ48-LOOKUP(2,1/(AI48:AI48&lt;&gt;""),AI48:AI48)))</t>
        </is>
      </c>
      <c r="AX48" s="49" t="inlineStr">
        <is>
          <t>IF(OR(F48="",AK48=""),"",IF(COUNT(AI48:AJ48)=0,"",AK48-LOOKUP(2,1/(AI48:AJ48&lt;&gt;""),AI48:AJ48)))</t>
        </is>
      </c>
      <c r="AY48" s="49" t="inlineStr">
        <is>
          <t>IF(OR(F48="",AL48=""),"",IF(COUNT(AI48:AK48)=0,"",AL48-LOOKUP(2,1/(AI48:AK48&lt;&gt;""),AI48:AK48)))</t>
        </is>
      </c>
      <c r="AZ48" s="49" t="inlineStr">
        <is>
          <t>IF(OR(F48="",AM48=""),"",IF(COUNT(AI48:AL48)=0,"",AM48-LOOKUP(2,1/(AI48:AL48&lt;&gt;""),AI48:AL48)))</t>
        </is>
      </c>
      <c r="BA48" s="49" t="inlineStr">
        <is>
          <t>IF(OR(F48="",AN48=""),"",IF(COUNT(AI48:AM48)=0,"",AN48-LOOKUP(2,1/(AI48:AM48&lt;&gt;""),AI48:AM48)))</t>
        </is>
      </c>
      <c r="BB48" s="49" t="inlineStr">
        <is>
          <t>IF(OR(F48="",AO48=""),"",IF(COUNT(AI48:AN48)=0,"",AO48-LOOKUP(2,1/(AI48:AN48&lt;&gt;""),AI48:AN48)))</t>
        </is>
      </c>
      <c r="BC48" s="49" t="inlineStr">
        <is>
          <t>IF(OR(F48="",AP48=""),"",IF(COUNT(AI48:AO48)=0,"",AP48-LOOKUP(2,1/(AI48:AO48&lt;&gt;""),AI48:AO48)))</t>
        </is>
      </c>
      <c r="BD48" s="49" t="inlineStr">
        <is>
          <t>IF(OR(F48="",AQ48=""),"",IF(COUNT(AI48:AP48)=0,"",AQ48-LOOKUP(2,1/(AI48:AP48&lt;&gt;""),AI48:AP48)))</t>
        </is>
      </c>
      <c r="BE48" s="49" t="inlineStr">
        <is>
          <t>IF(OR(F48="",AR48=""),"",IF(COUNT(AI48:AQ48)=0,"",AR48-LOOKUP(2,1/(AI48:AQ48&lt;&gt;""),AI48:AQ48)))</t>
        </is>
      </c>
      <c r="BF48" s="49" t="inlineStr">
        <is>
          <t>IF(OR(F48="",AS48=""),"",IF(COUNT(AI48:AR48)=0,"",AS48-LOOKUP(2,1/(AI48:AR48&lt;&gt;""),AI48:AR48)))</t>
        </is>
      </c>
      <c r="BG48" s="49" t="inlineStr">
        <is>
          <t>IF(OR(F48="",AT48=""),"",IF(COUNT(AI48:AS48)=0,"",AT48-LOOKUP(2,1/(AI48:AS48&lt;&gt;""),AI48:AS48)))</t>
        </is>
      </c>
      <c r="BH48" s="49" t="inlineStr">
        <is>
          <t>IF(OR(F48="",AU48=""),"",IF(COUNT(AI48:AT48)=0,"",AU48-LOOKUP(2,1/(AI48:AT48&lt;&gt;""),AI48:AT48)))</t>
        </is>
      </c>
      <c r="BI48" s="49" t="inlineStr">
        <is>
          <t>IF(OR(F48="",AV48=""),"",IF(COUNT(AI48:AU48)=0,"",AV48-LOOKUP(2,1/(AI48:AU48&lt;&gt;""),AI48:AU48)))</t>
        </is>
      </c>
      <c r="BJ48" s="51" t="inlineStr">
        <is>
          <t>IF(J48="","All_Provinces",IFERROR(VLOOKUP(J48,'09_Lookups'!$A$4:$B$20,2,FALSE),"All_Provinces"))</t>
        </is>
      </c>
      <c r="BK48" s="51" t="inlineStr">
        <is>
          <t>IF(K48="","All_Districts",IFERROR(VLOOKUP(K48,'09_Lookups'!$E$4:$F$42,2,FALSE),"All_Districts"))</t>
        </is>
      </c>
    </row>
    <row r="49" ht="18" customHeight="1">
      <c r="A49" s="42" t="inlineStr">
        <is>
          <t>IF(F49="","",ROW()-3)</t>
        </is>
      </c>
      <c r="B49" s="44" t="n"/>
      <c r="C49" s="44" t="n"/>
      <c r="D49" s="44" t="n"/>
      <c r="E49" s="44" t="n"/>
      <c r="F49" s="44" t="n"/>
      <c r="G49" s="44" t="n"/>
      <c r="H49" s="44" t="n"/>
      <c r="I49" s="44" t="n"/>
      <c r="J49" s="44" t="n"/>
      <c r="K49" s="44" t="n"/>
      <c r="L49" s="44" t="n"/>
      <c r="M49" s="44" t="n"/>
      <c r="N49" s="44" t="n"/>
      <c r="O49" s="44" t="n"/>
      <c r="P49" s="44" t="n"/>
      <c r="Q49" s="44" t="n"/>
      <c r="R49" s="44" t="n"/>
      <c r="S49" s="45" t="n"/>
      <c r="T49" s="46" t="inlineStr">
        <is>
          <t>IF(AQ49="","",AQ49)</t>
        </is>
      </c>
      <c r="U49" s="47" t="n"/>
      <c r="V49" s="48" t="n"/>
      <c r="W49" s="47" t="n"/>
      <c r="X49" s="46" t="inlineStr">
        <is>
          <t>IF(W49&lt;&gt;"",W49,IF(OR(T49="",V49=""),"",EDATE(T49,V49)))</t>
        </is>
      </c>
      <c r="Y49" s="47" t="n"/>
      <c r="Z49" s="48" t="n"/>
      <c r="AA49" s="44" t="n"/>
      <c r="AB49" s="44" t="n"/>
      <c r="AC49" s="42" t="inlineStr">
        <is>
          <t>IF(F49="","",IF(COUNT(AI49:AV49)=0,IF(AA49="","Not started",AA49),SUBSTITUTE(LOOKUP(2,1/(AI49:AV49&lt;&gt;""),$AI$3:$AV$3),"Date: ","")))</t>
        </is>
      </c>
      <c r="AD49" s="49" t="inlineStr">
        <is>
          <t>IF(OR(F49="",COUNT(AI49:AV49)=0),"",TODAY()-LOOKUP(2,1/(AI49:AV49&lt;&gt;""),AI49:AV49))</t>
        </is>
      </c>
      <c r="AE49" s="49" t="inlineStr">
        <is>
          <t>IF(OR(F49="",COUNT(AI49:AV49)&lt;2),"",LOOKUP(2,1/(AI49:AV49&lt;&gt;""),AI49:AV49)-MIN(AI49:AV49))</t>
        </is>
      </c>
      <c r="AF49" s="49" t="inlineStr">
        <is>
          <t>IF(OR(AD49="",AC49="Not started",AC49=""),"",IFERROR(AD49-IF(VLOOKUP(AC49,'06_Status_Pipeline'!$B$3:$E$20,4,FALSE)="",0,VLOOKUP(AC49,'06_Status_Pipeline'!$B$3:$E$20,4,FALSE)),""))</t>
        </is>
      </c>
      <c r="AG49" s="42" t="inlineStr">
        <is>
          <t>IF(F49="","",IF(OR(AA49="Cancelled",AC49="Cancelled"),"Cancelled",IF(OR(AC49="Completed / Handover",Y49&lt;&gt;"",Z49&gt;=100),"Completed — on track",IF(O49="Not awarded",IF(U49="",IF(X49="","No planned date",IF(TODAY()&gt;X49,"Behind — past planned date",IF(X49-TODAY()&lt;=30,"At risk — close to off track","On track"))),IF(TODAY()&gt;U49,"Behind — award date passed",IF(U49-TODAY()&lt;=30,"At risk — close to off track","On track"))),IF(X49="","No planned date",IF(AND(TODAY()&gt;X49,OR(Z49="",Z49&lt;100)),"Behind — past end date",IF(AND(T49&lt;&gt;"",X49&lt;&gt;"",Z49&lt;&gt;"",(Z49&lt;100),((TODAY()-T49)/MAX(X49-T49,1)*100)-Z49&gt;15),"Behind — progress lag",IF(AND(X49-TODAY()&lt;=30,X49-TODAY()&gt;=0,OR(Z49="",Z49&lt;90)),"At risk — close to off track","On track"))))))))</t>
        </is>
      </c>
      <c r="AH49" s="49" t="inlineStr">
        <is>
          <t>IF(OR(F49="",AC49="Completed / Handover",AC49="Cancelled"),"",IF(O49="Not awarded",IF(U49&lt;&gt;"",U49-TODAY(),IF(X49="","",X49-TODAY())),IF(X49="","",X49-TODAY())))</t>
        </is>
      </c>
      <c r="AI49" s="47" t="n"/>
      <c r="AJ49" s="47" t="n"/>
      <c r="AK49" s="47" t="n"/>
      <c r="AL49" s="47" t="n"/>
      <c r="AM49" s="47" t="n"/>
      <c r="AN49" s="47" t="n"/>
      <c r="AO49" s="47" t="n"/>
      <c r="AP49" s="47" t="n"/>
      <c r="AQ49" s="47" t="n"/>
      <c r="AR49" s="47" t="n"/>
      <c r="AS49" s="47" t="n"/>
      <c r="AT49" s="50" t="n"/>
      <c r="AU49" s="50" t="n"/>
      <c r="AV49" s="50" t="n"/>
      <c r="AW49" s="49" t="inlineStr">
        <is>
          <t>IF(OR(F49="",AJ49=""),"",IF(COUNT(AI49:AI49)=0,"",AJ49-LOOKUP(2,1/(AI49:AI49&lt;&gt;""),AI49:AI49)))</t>
        </is>
      </c>
      <c r="AX49" s="49" t="inlineStr">
        <is>
          <t>IF(OR(F49="",AK49=""),"",IF(COUNT(AI49:AJ49)=0,"",AK49-LOOKUP(2,1/(AI49:AJ49&lt;&gt;""),AI49:AJ49)))</t>
        </is>
      </c>
      <c r="AY49" s="49" t="inlineStr">
        <is>
          <t>IF(OR(F49="",AL49=""),"",IF(COUNT(AI49:AK49)=0,"",AL49-LOOKUP(2,1/(AI49:AK49&lt;&gt;""),AI49:AK49)))</t>
        </is>
      </c>
      <c r="AZ49" s="49" t="inlineStr">
        <is>
          <t>IF(OR(F49="",AM49=""),"",IF(COUNT(AI49:AL49)=0,"",AM49-LOOKUP(2,1/(AI49:AL49&lt;&gt;""),AI49:AL49)))</t>
        </is>
      </c>
      <c r="BA49" s="49" t="inlineStr">
        <is>
          <t>IF(OR(F49="",AN49=""),"",IF(COUNT(AI49:AM49)=0,"",AN49-LOOKUP(2,1/(AI49:AM49&lt;&gt;""),AI49:AM49)))</t>
        </is>
      </c>
      <c r="BB49" s="49" t="inlineStr">
        <is>
          <t>IF(OR(F49="",AO49=""),"",IF(COUNT(AI49:AN49)=0,"",AO49-LOOKUP(2,1/(AI49:AN49&lt;&gt;""),AI49:AN49)))</t>
        </is>
      </c>
      <c r="BC49" s="49" t="inlineStr">
        <is>
          <t>IF(OR(F49="",AP49=""),"",IF(COUNT(AI49:AO49)=0,"",AP49-LOOKUP(2,1/(AI49:AO49&lt;&gt;""),AI49:AO49)))</t>
        </is>
      </c>
      <c r="BD49" s="49" t="inlineStr">
        <is>
          <t>IF(OR(F49="",AQ49=""),"",IF(COUNT(AI49:AP49)=0,"",AQ49-LOOKUP(2,1/(AI49:AP49&lt;&gt;""),AI49:AP49)))</t>
        </is>
      </c>
      <c r="BE49" s="49" t="inlineStr">
        <is>
          <t>IF(OR(F49="",AR49=""),"",IF(COUNT(AI49:AQ49)=0,"",AR49-LOOKUP(2,1/(AI49:AQ49&lt;&gt;""),AI49:AQ49)))</t>
        </is>
      </c>
      <c r="BF49" s="49" t="inlineStr">
        <is>
          <t>IF(OR(F49="",AS49=""),"",IF(COUNT(AI49:AR49)=0,"",AS49-LOOKUP(2,1/(AI49:AR49&lt;&gt;""),AI49:AR49)))</t>
        </is>
      </c>
      <c r="BG49" s="49" t="inlineStr">
        <is>
          <t>IF(OR(F49="",AT49=""),"",IF(COUNT(AI49:AS49)=0,"",AT49-LOOKUP(2,1/(AI49:AS49&lt;&gt;""),AI49:AS49)))</t>
        </is>
      </c>
      <c r="BH49" s="49" t="inlineStr">
        <is>
          <t>IF(OR(F49="",AU49=""),"",IF(COUNT(AI49:AT49)=0,"",AU49-LOOKUP(2,1/(AI49:AT49&lt;&gt;""),AI49:AT49)))</t>
        </is>
      </c>
      <c r="BI49" s="49" t="inlineStr">
        <is>
          <t>IF(OR(F49="",AV49=""),"",IF(COUNT(AI49:AU49)=0,"",AV49-LOOKUP(2,1/(AI49:AU49&lt;&gt;""),AI49:AU49)))</t>
        </is>
      </c>
      <c r="BJ49" s="51" t="inlineStr">
        <is>
          <t>IF(J49="","All_Provinces",IFERROR(VLOOKUP(J49,'09_Lookups'!$A$4:$B$20,2,FALSE),"All_Provinces"))</t>
        </is>
      </c>
      <c r="BK49" s="51" t="inlineStr">
        <is>
          <t>IF(K49="","All_Districts",IFERROR(VLOOKUP(K49,'09_Lookups'!$E$4:$F$42,2,FALSE),"All_Districts"))</t>
        </is>
      </c>
    </row>
    <row r="50" ht="18" customHeight="1">
      <c r="A50" s="42" t="inlineStr">
        <is>
          <t>IF(F50="","",ROW()-3)</t>
        </is>
      </c>
      <c r="B50" s="52" t="n"/>
      <c r="C50" s="52" t="n"/>
      <c r="D50" s="52" t="n"/>
      <c r="E50" s="52" t="n"/>
      <c r="F50" s="52" t="n"/>
      <c r="G50" s="52" t="n"/>
      <c r="H50" s="52" t="n"/>
      <c r="I50" s="52" t="n"/>
      <c r="J50" s="52" t="n"/>
      <c r="K50" s="52" t="n"/>
      <c r="L50" s="52" t="n"/>
      <c r="M50" s="52" t="n"/>
      <c r="N50" s="52" t="n"/>
      <c r="O50" s="52" t="n"/>
      <c r="P50" s="52" t="n"/>
      <c r="Q50" s="52" t="n"/>
      <c r="R50" s="52" t="n"/>
      <c r="S50" s="53" t="n"/>
      <c r="T50" s="46" t="inlineStr">
        <is>
          <t>IF(AQ50="","",AQ50)</t>
        </is>
      </c>
      <c r="U50" s="54" t="n"/>
      <c r="V50" s="55" t="n"/>
      <c r="W50" s="54" t="n"/>
      <c r="X50" s="46" t="inlineStr">
        <is>
          <t>IF(W50&lt;&gt;"",W50,IF(OR(T50="",V50=""),"",EDATE(T50,V50)))</t>
        </is>
      </c>
      <c r="Y50" s="54" t="n"/>
      <c r="Z50" s="55" t="n"/>
      <c r="AA50" s="52" t="n"/>
      <c r="AB50" s="52" t="n"/>
      <c r="AC50" s="42" t="inlineStr">
        <is>
          <t>IF(F50="","",IF(COUNT(AI50:AV50)=0,IF(AA50="","Not started",AA50),SUBSTITUTE(LOOKUP(2,1/(AI50:AV50&lt;&gt;""),$AI$3:$AV$3),"Date: ","")))</t>
        </is>
      </c>
      <c r="AD50" s="49" t="inlineStr">
        <is>
          <t>IF(OR(F50="",COUNT(AI50:AV50)=0),"",TODAY()-LOOKUP(2,1/(AI50:AV50&lt;&gt;""),AI50:AV50))</t>
        </is>
      </c>
      <c r="AE50" s="49" t="inlineStr">
        <is>
          <t>IF(OR(F50="",COUNT(AI50:AV50)&lt;2),"",LOOKUP(2,1/(AI50:AV50&lt;&gt;""),AI50:AV50)-MIN(AI50:AV50))</t>
        </is>
      </c>
      <c r="AF50" s="49" t="inlineStr">
        <is>
          <t>IF(OR(AD50="",AC50="Not started",AC50=""),"",IFERROR(AD50-IF(VLOOKUP(AC50,'06_Status_Pipeline'!$B$3:$E$20,4,FALSE)="",0,VLOOKUP(AC50,'06_Status_Pipeline'!$B$3:$E$20,4,FALSE)),""))</t>
        </is>
      </c>
      <c r="AG50" s="42" t="inlineStr">
        <is>
          <t>IF(F50="","",IF(OR(AA50="Cancelled",AC50="Cancelled"),"Cancelled",IF(OR(AC50="Completed / Handover",Y50&lt;&gt;"",Z50&gt;=100),"Completed — on track",IF(O50="Not awarded",IF(U50="",IF(X50="","No planned date",IF(TODAY()&gt;X50,"Behind — past planned date",IF(X50-TODAY()&lt;=30,"At risk — close to off track","On track"))),IF(TODAY()&gt;U50,"Behind — award date passed",IF(U50-TODAY()&lt;=30,"At risk — close to off track","On track"))),IF(X50="","No planned date",IF(AND(TODAY()&gt;X50,OR(Z50="",Z50&lt;100)),"Behind — past end date",IF(AND(T50&lt;&gt;"",X50&lt;&gt;"",Z50&lt;&gt;"",(Z50&lt;100),((TODAY()-T50)/MAX(X50-T50,1)*100)-Z50&gt;15),"Behind — progress lag",IF(AND(X50-TODAY()&lt;=30,X50-TODAY()&gt;=0,OR(Z50="",Z50&lt;90)),"At risk — close to off track","On track"))))))))</t>
        </is>
      </c>
      <c r="AH50" s="49" t="inlineStr">
        <is>
          <t>IF(OR(F50="",AC50="Completed / Handover",AC50="Cancelled"),"",IF(O50="Not awarded",IF(U50&lt;&gt;"",U50-TODAY(),IF(X50="","",X50-TODAY())),IF(X50="","",X50-TODAY())))</t>
        </is>
      </c>
      <c r="AI50" s="54" t="n"/>
      <c r="AJ50" s="54" t="n"/>
      <c r="AK50" s="54" t="n"/>
      <c r="AL50" s="54" t="n"/>
      <c r="AM50" s="54" t="n"/>
      <c r="AN50" s="54" t="n"/>
      <c r="AO50" s="54" t="n"/>
      <c r="AP50" s="54" t="n"/>
      <c r="AQ50" s="54" t="n"/>
      <c r="AR50" s="54" t="n"/>
      <c r="AS50" s="54" t="n"/>
      <c r="AT50" s="50" t="n"/>
      <c r="AU50" s="50" t="n"/>
      <c r="AV50" s="50" t="n"/>
      <c r="AW50" s="49" t="inlineStr">
        <is>
          <t>IF(OR(F50="",AJ50=""),"",IF(COUNT(AI50:AI50)=0,"",AJ50-LOOKUP(2,1/(AI50:AI50&lt;&gt;""),AI50:AI50)))</t>
        </is>
      </c>
      <c r="AX50" s="49" t="inlineStr">
        <is>
          <t>IF(OR(F50="",AK50=""),"",IF(COUNT(AI50:AJ50)=0,"",AK50-LOOKUP(2,1/(AI50:AJ50&lt;&gt;""),AI50:AJ50)))</t>
        </is>
      </c>
      <c r="AY50" s="49" t="inlineStr">
        <is>
          <t>IF(OR(F50="",AL50=""),"",IF(COUNT(AI50:AK50)=0,"",AL50-LOOKUP(2,1/(AI50:AK50&lt;&gt;""),AI50:AK50)))</t>
        </is>
      </c>
      <c r="AZ50" s="49" t="inlineStr">
        <is>
          <t>IF(OR(F50="",AM50=""),"",IF(COUNT(AI50:AL50)=0,"",AM50-LOOKUP(2,1/(AI50:AL50&lt;&gt;""),AI50:AL50)))</t>
        </is>
      </c>
      <c r="BA50" s="49" t="inlineStr">
        <is>
          <t>IF(OR(F50="",AN50=""),"",IF(COUNT(AI50:AM50)=0,"",AN50-LOOKUP(2,1/(AI50:AM50&lt;&gt;""),AI50:AM50)))</t>
        </is>
      </c>
      <c r="BB50" s="49" t="inlineStr">
        <is>
          <t>IF(OR(F50="",AO50=""),"",IF(COUNT(AI50:AN50)=0,"",AO50-LOOKUP(2,1/(AI50:AN50&lt;&gt;""),AI50:AN50)))</t>
        </is>
      </c>
      <c r="BC50" s="49" t="inlineStr">
        <is>
          <t>IF(OR(F50="",AP50=""),"",IF(COUNT(AI50:AO50)=0,"",AP50-LOOKUP(2,1/(AI50:AO50&lt;&gt;""),AI50:AO50)))</t>
        </is>
      </c>
      <c r="BD50" s="49" t="inlineStr">
        <is>
          <t>IF(OR(F50="",AQ50=""),"",IF(COUNT(AI50:AP50)=0,"",AQ50-LOOKUP(2,1/(AI50:AP50&lt;&gt;""),AI50:AP50)))</t>
        </is>
      </c>
      <c r="BE50" s="49" t="inlineStr">
        <is>
          <t>IF(OR(F50="",AR50=""),"",IF(COUNT(AI50:AQ50)=0,"",AR50-LOOKUP(2,1/(AI50:AQ50&lt;&gt;""),AI50:AQ50)))</t>
        </is>
      </c>
      <c r="BF50" s="49" t="inlineStr">
        <is>
          <t>IF(OR(F50="",AS50=""),"",IF(COUNT(AI50:AR50)=0,"",AS50-LOOKUP(2,1/(AI50:AR50&lt;&gt;""),AI50:AR50)))</t>
        </is>
      </c>
      <c r="BG50" s="49" t="inlineStr">
        <is>
          <t>IF(OR(F50="",AT50=""),"",IF(COUNT(AI50:AS50)=0,"",AT50-LOOKUP(2,1/(AI50:AS50&lt;&gt;""),AI50:AS50)))</t>
        </is>
      </c>
      <c r="BH50" s="49" t="inlineStr">
        <is>
          <t>IF(OR(F50="",AU50=""),"",IF(COUNT(AI50:AT50)=0,"",AU50-LOOKUP(2,1/(AI50:AT50&lt;&gt;""),AI50:AT50)))</t>
        </is>
      </c>
      <c r="BI50" s="49" t="inlineStr">
        <is>
          <t>IF(OR(F50="",AV50=""),"",IF(COUNT(AI50:AU50)=0,"",AV50-LOOKUP(2,1/(AI50:AU50&lt;&gt;""),AI50:AU50)))</t>
        </is>
      </c>
      <c r="BJ50" s="51" t="inlineStr">
        <is>
          <t>IF(J50="","All_Provinces",IFERROR(VLOOKUP(J50,'09_Lookups'!$A$4:$B$20,2,FALSE),"All_Provinces"))</t>
        </is>
      </c>
      <c r="BK50" s="51" t="inlineStr">
        <is>
          <t>IF(K50="","All_Districts",IFERROR(VLOOKUP(K50,'09_Lookups'!$E$4:$F$42,2,FALSE),"All_Districts"))</t>
        </is>
      </c>
    </row>
    <row r="51" ht="18" customHeight="1">
      <c r="A51" s="42" t="inlineStr">
        <is>
          <t>IF(F51="","",ROW()-3)</t>
        </is>
      </c>
      <c r="B51" s="44" t="n"/>
      <c r="C51" s="44" t="n"/>
      <c r="D51" s="44" t="n"/>
      <c r="E51" s="44" t="n"/>
      <c r="F51" s="44" t="n"/>
      <c r="G51" s="44" t="n"/>
      <c r="H51" s="44" t="n"/>
      <c r="I51" s="44" t="n"/>
      <c r="J51" s="44" t="n"/>
      <c r="K51" s="44" t="n"/>
      <c r="L51" s="44" t="n"/>
      <c r="M51" s="44" t="n"/>
      <c r="N51" s="44" t="n"/>
      <c r="O51" s="44" t="n"/>
      <c r="P51" s="44" t="n"/>
      <c r="Q51" s="44" t="n"/>
      <c r="R51" s="44" t="n"/>
      <c r="S51" s="45" t="n"/>
      <c r="T51" s="46" t="inlineStr">
        <is>
          <t>IF(AQ51="","",AQ51)</t>
        </is>
      </c>
      <c r="U51" s="47" t="n"/>
      <c r="V51" s="48" t="n"/>
      <c r="W51" s="47" t="n"/>
      <c r="X51" s="46" t="inlineStr">
        <is>
          <t>IF(W51&lt;&gt;"",W51,IF(OR(T51="",V51=""),"",EDATE(T51,V51)))</t>
        </is>
      </c>
      <c r="Y51" s="47" t="n"/>
      <c r="Z51" s="48" t="n"/>
      <c r="AA51" s="44" t="n"/>
      <c r="AB51" s="44" t="n"/>
      <c r="AC51" s="42" t="inlineStr">
        <is>
          <t>IF(F51="","",IF(COUNT(AI51:AV51)=0,IF(AA51="","Not started",AA51),SUBSTITUTE(LOOKUP(2,1/(AI51:AV51&lt;&gt;""),$AI$3:$AV$3),"Date: ","")))</t>
        </is>
      </c>
      <c r="AD51" s="49" t="inlineStr">
        <is>
          <t>IF(OR(F51="",COUNT(AI51:AV51)=0),"",TODAY()-LOOKUP(2,1/(AI51:AV51&lt;&gt;""),AI51:AV51))</t>
        </is>
      </c>
      <c r="AE51" s="49" t="inlineStr">
        <is>
          <t>IF(OR(F51="",COUNT(AI51:AV51)&lt;2),"",LOOKUP(2,1/(AI51:AV51&lt;&gt;""),AI51:AV51)-MIN(AI51:AV51))</t>
        </is>
      </c>
      <c r="AF51" s="49" t="inlineStr">
        <is>
          <t>IF(OR(AD51="",AC51="Not started",AC51=""),"",IFERROR(AD51-IF(VLOOKUP(AC51,'06_Status_Pipeline'!$B$3:$E$20,4,FALSE)="",0,VLOOKUP(AC51,'06_Status_Pipeline'!$B$3:$E$20,4,FALSE)),""))</t>
        </is>
      </c>
      <c r="AG51" s="42" t="inlineStr">
        <is>
          <t>IF(F51="","",IF(OR(AA51="Cancelled",AC51="Cancelled"),"Cancelled",IF(OR(AC51="Completed / Handover",Y51&lt;&gt;"",Z51&gt;=100),"Completed — on track",IF(O51="Not awarded",IF(U51="",IF(X51="","No planned date",IF(TODAY()&gt;X51,"Behind — past planned date",IF(X51-TODAY()&lt;=30,"At risk — close to off track","On track"))),IF(TODAY()&gt;U51,"Behind — award date passed",IF(U51-TODAY()&lt;=30,"At risk — close to off track","On track"))),IF(X51="","No planned date",IF(AND(TODAY()&gt;X51,OR(Z51="",Z51&lt;100)),"Behind — past end date",IF(AND(T51&lt;&gt;"",X51&lt;&gt;"",Z51&lt;&gt;"",(Z51&lt;100),((TODAY()-T51)/MAX(X51-T51,1)*100)-Z51&gt;15),"Behind — progress lag",IF(AND(X51-TODAY()&lt;=30,X51-TODAY()&gt;=0,OR(Z51="",Z51&lt;90)),"At risk — close to off track","On track"))))))))</t>
        </is>
      </c>
      <c r="AH51" s="49" t="inlineStr">
        <is>
          <t>IF(OR(F51="",AC51="Completed / Handover",AC51="Cancelled"),"",IF(O51="Not awarded",IF(U51&lt;&gt;"",U51-TODAY(),IF(X51="","",X51-TODAY())),IF(X51="","",X51-TODAY())))</t>
        </is>
      </c>
      <c r="AI51" s="47" t="n"/>
      <c r="AJ51" s="47" t="n"/>
      <c r="AK51" s="47" t="n"/>
      <c r="AL51" s="47" t="n"/>
      <c r="AM51" s="47" t="n"/>
      <c r="AN51" s="47" t="n"/>
      <c r="AO51" s="47" t="n"/>
      <c r="AP51" s="47" t="n"/>
      <c r="AQ51" s="47" t="n"/>
      <c r="AR51" s="47" t="n"/>
      <c r="AS51" s="47" t="n"/>
      <c r="AT51" s="50" t="n"/>
      <c r="AU51" s="50" t="n"/>
      <c r="AV51" s="50" t="n"/>
      <c r="AW51" s="49" t="inlineStr">
        <is>
          <t>IF(OR(F51="",AJ51=""),"",IF(COUNT(AI51:AI51)=0,"",AJ51-LOOKUP(2,1/(AI51:AI51&lt;&gt;""),AI51:AI51)))</t>
        </is>
      </c>
      <c r="AX51" s="49" t="inlineStr">
        <is>
          <t>IF(OR(F51="",AK51=""),"",IF(COUNT(AI51:AJ51)=0,"",AK51-LOOKUP(2,1/(AI51:AJ51&lt;&gt;""),AI51:AJ51)))</t>
        </is>
      </c>
      <c r="AY51" s="49" t="inlineStr">
        <is>
          <t>IF(OR(F51="",AL51=""),"",IF(COUNT(AI51:AK51)=0,"",AL51-LOOKUP(2,1/(AI51:AK51&lt;&gt;""),AI51:AK51)))</t>
        </is>
      </c>
      <c r="AZ51" s="49" t="inlineStr">
        <is>
          <t>IF(OR(F51="",AM51=""),"",IF(COUNT(AI51:AL51)=0,"",AM51-LOOKUP(2,1/(AI51:AL51&lt;&gt;""),AI51:AL51)))</t>
        </is>
      </c>
      <c r="BA51" s="49" t="inlineStr">
        <is>
          <t>IF(OR(F51="",AN51=""),"",IF(COUNT(AI51:AM51)=0,"",AN51-LOOKUP(2,1/(AI51:AM51&lt;&gt;""),AI51:AM51)))</t>
        </is>
      </c>
      <c r="BB51" s="49" t="inlineStr">
        <is>
          <t>IF(OR(F51="",AO51=""),"",IF(COUNT(AI51:AN51)=0,"",AO51-LOOKUP(2,1/(AI51:AN51&lt;&gt;""),AI51:AN51)))</t>
        </is>
      </c>
      <c r="BC51" s="49" t="inlineStr">
        <is>
          <t>IF(OR(F51="",AP51=""),"",IF(COUNT(AI51:AO51)=0,"",AP51-LOOKUP(2,1/(AI51:AO51&lt;&gt;""),AI51:AO51)))</t>
        </is>
      </c>
      <c r="BD51" s="49" t="inlineStr">
        <is>
          <t>IF(OR(F51="",AQ51=""),"",IF(COUNT(AI51:AP51)=0,"",AQ51-LOOKUP(2,1/(AI51:AP51&lt;&gt;""),AI51:AP51)))</t>
        </is>
      </c>
      <c r="BE51" s="49" t="inlineStr">
        <is>
          <t>IF(OR(F51="",AR51=""),"",IF(COUNT(AI51:AQ51)=0,"",AR51-LOOKUP(2,1/(AI51:AQ51&lt;&gt;""),AI51:AQ51)))</t>
        </is>
      </c>
      <c r="BF51" s="49" t="inlineStr">
        <is>
          <t>IF(OR(F51="",AS51=""),"",IF(COUNT(AI51:AR51)=0,"",AS51-LOOKUP(2,1/(AI51:AR51&lt;&gt;""),AI51:AR51)))</t>
        </is>
      </c>
      <c r="BG51" s="49" t="inlineStr">
        <is>
          <t>IF(OR(F51="",AT51=""),"",IF(COUNT(AI51:AS51)=0,"",AT51-LOOKUP(2,1/(AI51:AS51&lt;&gt;""),AI51:AS51)))</t>
        </is>
      </c>
      <c r="BH51" s="49" t="inlineStr">
        <is>
          <t>IF(OR(F51="",AU51=""),"",IF(COUNT(AI51:AT51)=0,"",AU51-LOOKUP(2,1/(AI51:AT51&lt;&gt;""),AI51:AT51)))</t>
        </is>
      </c>
      <c r="BI51" s="49" t="inlineStr">
        <is>
          <t>IF(OR(F51="",AV51=""),"",IF(COUNT(AI51:AU51)=0,"",AV51-LOOKUP(2,1/(AI51:AU51&lt;&gt;""),AI51:AU51)))</t>
        </is>
      </c>
      <c r="BJ51" s="51" t="inlineStr">
        <is>
          <t>IF(J51="","All_Provinces",IFERROR(VLOOKUP(J51,'09_Lookups'!$A$4:$B$20,2,FALSE),"All_Provinces"))</t>
        </is>
      </c>
      <c r="BK51" s="51" t="inlineStr">
        <is>
          <t>IF(K51="","All_Districts",IFERROR(VLOOKUP(K51,'09_Lookups'!$E$4:$F$42,2,FALSE),"All_Districts"))</t>
        </is>
      </c>
    </row>
    <row r="52" ht="18" customHeight="1">
      <c r="A52" s="42" t="inlineStr">
        <is>
          <t>IF(F52="","",ROW()-3)</t>
        </is>
      </c>
      <c r="B52" s="52" t="n"/>
      <c r="C52" s="52" t="n"/>
      <c r="D52" s="52" t="n"/>
      <c r="E52" s="52" t="n"/>
      <c r="F52" s="52" t="n"/>
      <c r="G52" s="52" t="n"/>
      <c r="H52" s="52" t="n"/>
      <c r="I52" s="52" t="n"/>
      <c r="J52" s="52" t="n"/>
      <c r="K52" s="52" t="n"/>
      <c r="L52" s="52" t="n"/>
      <c r="M52" s="52" t="n"/>
      <c r="N52" s="52" t="n"/>
      <c r="O52" s="52" t="n"/>
      <c r="P52" s="52" t="n"/>
      <c r="Q52" s="52" t="n"/>
      <c r="R52" s="52" t="n"/>
      <c r="S52" s="53" t="n"/>
      <c r="T52" s="46" t="inlineStr">
        <is>
          <t>IF(AQ52="","",AQ52)</t>
        </is>
      </c>
      <c r="U52" s="54" t="n"/>
      <c r="V52" s="55" t="n"/>
      <c r="W52" s="54" t="n"/>
      <c r="X52" s="46" t="inlineStr">
        <is>
          <t>IF(W52&lt;&gt;"",W52,IF(OR(T52="",V52=""),"",EDATE(T52,V52)))</t>
        </is>
      </c>
      <c r="Y52" s="54" t="n"/>
      <c r="Z52" s="55" t="n"/>
      <c r="AA52" s="52" t="n"/>
      <c r="AB52" s="52" t="n"/>
      <c r="AC52" s="42" t="inlineStr">
        <is>
          <t>IF(F52="","",IF(COUNT(AI52:AV52)=0,IF(AA52="","Not started",AA52),SUBSTITUTE(LOOKUP(2,1/(AI52:AV52&lt;&gt;""),$AI$3:$AV$3),"Date: ","")))</t>
        </is>
      </c>
      <c r="AD52" s="49" t="inlineStr">
        <is>
          <t>IF(OR(F52="",COUNT(AI52:AV52)=0),"",TODAY()-LOOKUP(2,1/(AI52:AV52&lt;&gt;""),AI52:AV52))</t>
        </is>
      </c>
      <c r="AE52" s="49" t="inlineStr">
        <is>
          <t>IF(OR(F52="",COUNT(AI52:AV52)&lt;2),"",LOOKUP(2,1/(AI52:AV52&lt;&gt;""),AI52:AV52)-MIN(AI52:AV52))</t>
        </is>
      </c>
      <c r="AF52" s="49" t="inlineStr">
        <is>
          <t>IF(OR(AD52="",AC52="Not started",AC52=""),"",IFERROR(AD52-IF(VLOOKUP(AC52,'06_Status_Pipeline'!$B$3:$E$20,4,FALSE)="",0,VLOOKUP(AC52,'06_Status_Pipeline'!$B$3:$E$20,4,FALSE)),""))</t>
        </is>
      </c>
      <c r="AG52" s="42" t="inlineStr">
        <is>
          <t>IF(F52="","",IF(OR(AA52="Cancelled",AC52="Cancelled"),"Cancelled",IF(OR(AC52="Completed / Handover",Y52&lt;&gt;"",Z52&gt;=100),"Completed — on track",IF(O52="Not awarded",IF(U52="",IF(X52="","No planned date",IF(TODAY()&gt;X52,"Behind — past planned date",IF(X52-TODAY()&lt;=30,"At risk — close to off track","On track"))),IF(TODAY()&gt;U52,"Behind — award date passed",IF(U52-TODAY()&lt;=30,"At risk — close to off track","On track"))),IF(X52="","No planned date",IF(AND(TODAY()&gt;X52,OR(Z52="",Z52&lt;100)),"Behind — past end date",IF(AND(T52&lt;&gt;"",X52&lt;&gt;"",Z52&lt;&gt;"",(Z52&lt;100),((TODAY()-T52)/MAX(X52-T52,1)*100)-Z52&gt;15),"Behind — progress lag",IF(AND(X52-TODAY()&lt;=30,X52-TODAY()&gt;=0,OR(Z52="",Z52&lt;90)),"At risk — close to off track","On track"))))))))</t>
        </is>
      </c>
      <c r="AH52" s="49" t="inlineStr">
        <is>
          <t>IF(OR(F52="",AC52="Completed / Handover",AC52="Cancelled"),"",IF(O52="Not awarded",IF(U52&lt;&gt;"",U52-TODAY(),IF(X52="","",X52-TODAY())),IF(X52="","",X52-TODAY())))</t>
        </is>
      </c>
      <c r="AI52" s="54" t="n"/>
      <c r="AJ52" s="54" t="n"/>
      <c r="AK52" s="54" t="n"/>
      <c r="AL52" s="54" t="n"/>
      <c r="AM52" s="54" t="n"/>
      <c r="AN52" s="54" t="n"/>
      <c r="AO52" s="54" t="n"/>
      <c r="AP52" s="54" t="n"/>
      <c r="AQ52" s="54" t="n"/>
      <c r="AR52" s="54" t="n"/>
      <c r="AS52" s="54" t="n"/>
      <c r="AT52" s="50" t="n"/>
      <c r="AU52" s="50" t="n"/>
      <c r="AV52" s="50" t="n"/>
      <c r="AW52" s="49" t="inlineStr">
        <is>
          <t>IF(OR(F52="",AJ52=""),"",IF(COUNT(AI52:AI52)=0,"",AJ52-LOOKUP(2,1/(AI52:AI52&lt;&gt;""),AI52:AI52)))</t>
        </is>
      </c>
      <c r="AX52" s="49" t="inlineStr">
        <is>
          <t>IF(OR(F52="",AK52=""),"",IF(COUNT(AI52:AJ52)=0,"",AK52-LOOKUP(2,1/(AI52:AJ52&lt;&gt;""),AI52:AJ52)))</t>
        </is>
      </c>
      <c r="AY52" s="49" t="inlineStr">
        <is>
          <t>IF(OR(F52="",AL52=""),"",IF(COUNT(AI52:AK52)=0,"",AL52-LOOKUP(2,1/(AI52:AK52&lt;&gt;""),AI52:AK52)))</t>
        </is>
      </c>
      <c r="AZ52" s="49" t="inlineStr">
        <is>
          <t>IF(OR(F52="",AM52=""),"",IF(COUNT(AI52:AL52)=0,"",AM52-LOOKUP(2,1/(AI52:AL52&lt;&gt;""),AI52:AL52)))</t>
        </is>
      </c>
      <c r="BA52" s="49" t="inlineStr">
        <is>
          <t>IF(OR(F52="",AN52=""),"",IF(COUNT(AI52:AM52)=0,"",AN52-LOOKUP(2,1/(AI52:AM52&lt;&gt;""),AI52:AM52)))</t>
        </is>
      </c>
      <c r="BB52" s="49" t="inlineStr">
        <is>
          <t>IF(OR(F52="",AO52=""),"",IF(COUNT(AI52:AN52)=0,"",AO52-LOOKUP(2,1/(AI52:AN52&lt;&gt;""),AI52:AN52)))</t>
        </is>
      </c>
      <c r="BC52" s="49" t="inlineStr">
        <is>
          <t>IF(OR(F52="",AP52=""),"",IF(COUNT(AI52:AO52)=0,"",AP52-LOOKUP(2,1/(AI52:AO52&lt;&gt;""),AI52:AO52)))</t>
        </is>
      </c>
      <c r="BD52" s="49" t="inlineStr">
        <is>
          <t>IF(OR(F52="",AQ52=""),"",IF(COUNT(AI52:AP52)=0,"",AQ52-LOOKUP(2,1/(AI52:AP52&lt;&gt;""),AI52:AP52)))</t>
        </is>
      </c>
      <c r="BE52" s="49" t="inlineStr">
        <is>
          <t>IF(OR(F52="",AR52=""),"",IF(COUNT(AI52:AQ52)=0,"",AR52-LOOKUP(2,1/(AI52:AQ52&lt;&gt;""),AI52:AQ52)))</t>
        </is>
      </c>
      <c r="BF52" s="49" t="inlineStr">
        <is>
          <t>IF(OR(F52="",AS52=""),"",IF(COUNT(AI52:AR52)=0,"",AS52-LOOKUP(2,1/(AI52:AR52&lt;&gt;""),AI52:AR52)))</t>
        </is>
      </c>
      <c r="BG52" s="49" t="inlineStr">
        <is>
          <t>IF(OR(F52="",AT52=""),"",IF(COUNT(AI52:AS52)=0,"",AT52-LOOKUP(2,1/(AI52:AS52&lt;&gt;""),AI52:AS52)))</t>
        </is>
      </c>
      <c r="BH52" s="49" t="inlineStr">
        <is>
          <t>IF(OR(F52="",AU52=""),"",IF(COUNT(AI52:AT52)=0,"",AU52-LOOKUP(2,1/(AI52:AT52&lt;&gt;""),AI52:AT52)))</t>
        </is>
      </c>
      <c r="BI52" s="49" t="inlineStr">
        <is>
          <t>IF(OR(F52="",AV52=""),"",IF(COUNT(AI52:AU52)=0,"",AV52-LOOKUP(2,1/(AI52:AU52&lt;&gt;""),AI52:AU52)))</t>
        </is>
      </c>
      <c r="BJ52" s="51" t="inlineStr">
        <is>
          <t>IF(J52="","All_Provinces",IFERROR(VLOOKUP(J52,'09_Lookups'!$A$4:$B$20,2,FALSE),"All_Provinces"))</t>
        </is>
      </c>
      <c r="BK52" s="51" t="inlineStr">
        <is>
          <t>IF(K52="","All_Districts",IFERROR(VLOOKUP(K52,'09_Lookups'!$E$4:$F$42,2,FALSE),"All_Districts"))</t>
        </is>
      </c>
    </row>
    <row r="53" ht="18" customHeight="1">
      <c r="A53" s="42" t="inlineStr">
        <is>
          <t>IF(F53="","",ROW()-3)</t>
        </is>
      </c>
      <c r="B53" s="44" t="n"/>
      <c r="C53" s="44" t="n"/>
      <c r="D53" s="44" t="n"/>
      <c r="E53" s="44" t="n"/>
      <c r="F53" s="44" t="n"/>
      <c r="G53" s="44" t="n"/>
      <c r="H53" s="44" t="n"/>
      <c r="I53" s="44" t="n"/>
      <c r="J53" s="44" t="n"/>
      <c r="K53" s="44" t="n"/>
      <c r="L53" s="44" t="n"/>
      <c r="M53" s="44" t="n"/>
      <c r="N53" s="44" t="n"/>
      <c r="O53" s="44" t="n"/>
      <c r="P53" s="44" t="n"/>
      <c r="Q53" s="44" t="n"/>
      <c r="R53" s="44" t="n"/>
      <c r="S53" s="45" t="n"/>
      <c r="T53" s="46" t="inlineStr">
        <is>
          <t>IF(AQ53="","",AQ53)</t>
        </is>
      </c>
      <c r="U53" s="47" t="n"/>
      <c r="V53" s="48" t="n"/>
      <c r="W53" s="47" t="n"/>
      <c r="X53" s="46" t="inlineStr">
        <is>
          <t>IF(W53&lt;&gt;"",W53,IF(OR(T53="",V53=""),"",EDATE(T53,V53)))</t>
        </is>
      </c>
      <c r="Y53" s="47" t="n"/>
      <c r="Z53" s="48" t="n"/>
      <c r="AA53" s="44" t="n"/>
      <c r="AB53" s="44" t="n"/>
      <c r="AC53" s="42" t="inlineStr">
        <is>
          <t>IF(F53="","",IF(COUNT(AI53:AV53)=0,IF(AA53="","Not started",AA53),SUBSTITUTE(LOOKUP(2,1/(AI53:AV53&lt;&gt;""),$AI$3:$AV$3),"Date: ","")))</t>
        </is>
      </c>
      <c r="AD53" s="49" t="inlineStr">
        <is>
          <t>IF(OR(F53="",COUNT(AI53:AV53)=0),"",TODAY()-LOOKUP(2,1/(AI53:AV53&lt;&gt;""),AI53:AV53))</t>
        </is>
      </c>
      <c r="AE53" s="49" t="inlineStr">
        <is>
          <t>IF(OR(F53="",COUNT(AI53:AV53)&lt;2),"",LOOKUP(2,1/(AI53:AV53&lt;&gt;""),AI53:AV53)-MIN(AI53:AV53))</t>
        </is>
      </c>
      <c r="AF53" s="49" t="inlineStr">
        <is>
          <t>IF(OR(AD53="",AC53="Not started",AC53=""),"",IFERROR(AD53-IF(VLOOKUP(AC53,'06_Status_Pipeline'!$B$3:$E$20,4,FALSE)="",0,VLOOKUP(AC53,'06_Status_Pipeline'!$B$3:$E$20,4,FALSE)),""))</t>
        </is>
      </c>
      <c r="AG53" s="42" t="inlineStr">
        <is>
          <t>IF(F53="","",IF(OR(AA53="Cancelled",AC53="Cancelled"),"Cancelled",IF(OR(AC53="Completed / Handover",Y53&lt;&gt;"",Z53&gt;=100),"Completed — on track",IF(O53="Not awarded",IF(U53="",IF(X53="","No planned date",IF(TODAY()&gt;X53,"Behind — past planned date",IF(X53-TODAY()&lt;=30,"At risk — close to off track","On track"))),IF(TODAY()&gt;U53,"Behind — award date passed",IF(U53-TODAY()&lt;=30,"At risk — close to off track","On track"))),IF(X53="","No planned date",IF(AND(TODAY()&gt;X53,OR(Z53="",Z53&lt;100)),"Behind — past end date",IF(AND(T53&lt;&gt;"",X53&lt;&gt;"",Z53&lt;&gt;"",(Z53&lt;100),((TODAY()-T53)/MAX(X53-T53,1)*100)-Z53&gt;15),"Behind — progress lag",IF(AND(X53-TODAY()&lt;=30,X53-TODAY()&gt;=0,OR(Z53="",Z53&lt;90)),"At risk — close to off track","On track"))))))))</t>
        </is>
      </c>
      <c r="AH53" s="49" t="inlineStr">
        <is>
          <t>IF(OR(F53="",AC53="Completed / Handover",AC53="Cancelled"),"",IF(O53="Not awarded",IF(U53&lt;&gt;"",U53-TODAY(),IF(X53="","",X53-TODAY())),IF(X53="","",X53-TODAY())))</t>
        </is>
      </c>
      <c r="AI53" s="47" t="n"/>
      <c r="AJ53" s="47" t="n"/>
      <c r="AK53" s="47" t="n"/>
      <c r="AL53" s="47" t="n"/>
      <c r="AM53" s="47" t="n"/>
      <c r="AN53" s="47" t="n"/>
      <c r="AO53" s="47" t="n"/>
      <c r="AP53" s="47" t="n"/>
      <c r="AQ53" s="47" t="n"/>
      <c r="AR53" s="47" t="n"/>
      <c r="AS53" s="47" t="n"/>
      <c r="AT53" s="50" t="n"/>
      <c r="AU53" s="50" t="n"/>
      <c r="AV53" s="50" t="n"/>
      <c r="AW53" s="49" t="inlineStr">
        <is>
          <t>IF(OR(F53="",AJ53=""),"",IF(COUNT(AI53:AI53)=0,"",AJ53-LOOKUP(2,1/(AI53:AI53&lt;&gt;""),AI53:AI53)))</t>
        </is>
      </c>
      <c r="AX53" s="49" t="inlineStr">
        <is>
          <t>IF(OR(F53="",AK53=""),"",IF(COUNT(AI53:AJ53)=0,"",AK53-LOOKUP(2,1/(AI53:AJ53&lt;&gt;""),AI53:AJ53)))</t>
        </is>
      </c>
      <c r="AY53" s="49" t="inlineStr">
        <is>
          <t>IF(OR(F53="",AL53=""),"",IF(COUNT(AI53:AK53)=0,"",AL53-LOOKUP(2,1/(AI53:AK53&lt;&gt;""),AI53:AK53)))</t>
        </is>
      </c>
      <c r="AZ53" s="49" t="inlineStr">
        <is>
          <t>IF(OR(F53="",AM53=""),"",IF(COUNT(AI53:AL53)=0,"",AM53-LOOKUP(2,1/(AI53:AL53&lt;&gt;""),AI53:AL53)))</t>
        </is>
      </c>
      <c r="BA53" s="49" t="inlineStr">
        <is>
          <t>IF(OR(F53="",AN53=""),"",IF(COUNT(AI53:AM53)=0,"",AN53-LOOKUP(2,1/(AI53:AM53&lt;&gt;""),AI53:AM53)))</t>
        </is>
      </c>
      <c r="BB53" s="49" t="inlineStr">
        <is>
          <t>IF(OR(F53="",AO53=""),"",IF(COUNT(AI53:AN53)=0,"",AO53-LOOKUP(2,1/(AI53:AN53&lt;&gt;""),AI53:AN53)))</t>
        </is>
      </c>
      <c r="BC53" s="49" t="inlineStr">
        <is>
          <t>IF(OR(F53="",AP53=""),"",IF(COUNT(AI53:AO53)=0,"",AP53-LOOKUP(2,1/(AI53:AO53&lt;&gt;""),AI53:AO53)))</t>
        </is>
      </c>
      <c r="BD53" s="49" t="inlineStr">
        <is>
          <t>IF(OR(F53="",AQ53=""),"",IF(COUNT(AI53:AP53)=0,"",AQ53-LOOKUP(2,1/(AI53:AP53&lt;&gt;""),AI53:AP53)))</t>
        </is>
      </c>
      <c r="BE53" s="49" t="inlineStr">
        <is>
          <t>IF(OR(F53="",AR53=""),"",IF(COUNT(AI53:AQ53)=0,"",AR53-LOOKUP(2,1/(AI53:AQ53&lt;&gt;""),AI53:AQ53)))</t>
        </is>
      </c>
      <c r="BF53" s="49" t="inlineStr">
        <is>
          <t>IF(OR(F53="",AS53=""),"",IF(COUNT(AI53:AR53)=0,"",AS53-LOOKUP(2,1/(AI53:AR53&lt;&gt;""),AI53:AR53)))</t>
        </is>
      </c>
      <c r="BG53" s="49" t="inlineStr">
        <is>
          <t>IF(OR(F53="",AT53=""),"",IF(COUNT(AI53:AS53)=0,"",AT53-LOOKUP(2,1/(AI53:AS53&lt;&gt;""),AI53:AS53)))</t>
        </is>
      </c>
      <c r="BH53" s="49" t="inlineStr">
        <is>
          <t>IF(OR(F53="",AU53=""),"",IF(COUNT(AI53:AT53)=0,"",AU53-LOOKUP(2,1/(AI53:AT53&lt;&gt;""),AI53:AT53)))</t>
        </is>
      </c>
      <c r="BI53" s="49" t="inlineStr">
        <is>
          <t>IF(OR(F53="",AV53=""),"",IF(COUNT(AI53:AU53)=0,"",AV53-LOOKUP(2,1/(AI53:AU53&lt;&gt;""),AI53:AU53)))</t>
        </is>
      </c>
      <c r="BJ53" s="51" t="inlineStr">
        <is>
          <t>IF(J53="","All_Provinces",IFERROR(VLOOKUP(J53,'09_Lookups'!$A$4:$B$20,2,FALSE),"All_Provinces"))</t>
        </is>
      </c>
      <c r="BK53" s="51" t="inlineStr">
        <is>
          <t>IF(K53="","All_Districts",IFERROR(VLOOKUP(K53,'09_Lookups'!$E$4:$F$42,2,FALSE),"All_Districts"))</t>
        </is>
      </c>
    </row>
    <row r="54" ht="18" customHeight="1">
      <c r="A54" s="42" t="inlineStr">
        <is>
          <t>IF(F54="","",ROW()-3)</t>
        </is>
      </c>
      <c r="B54" s="52" t="n"/>
      <c r="C54" s="52" t="n"/>
      <c r="D54" s="52" t="n"/>
      <c r="E54" s="52" t="n"/>
      <c r="F54" s="52" t="n"/>
      <c r="G54" s="52" t="n"/>
      <c r="H54" s="52" t="n"/>
      <c r="I54" s="52" t="n"/>
      <c r="J54" s="52" t="n"/>
      <c r="K54" s="52" t="n"/>
      <c r="L54" s="52" t="n"/>
      <c r="M54" s="52" t="n"/>
      <c r="N54" s="52" t="n"/>
      <c r="O54" s="52" t="n"/>
      <c r="P54" s="52" t="n"/>
      <c r="Q54" s="52" t="n"/>
      <c r="R54" s="52" t="n"/>
      <c r="S54" s="53" t="n"/>
      <c r="T54" s="46" t="inlineStr">
        <is>
          <t>IF(AQ54="","",AQ54)</t>
        </is>
      </c>
      <c r="U54" s="54" t="n"/>
      <c r="V54" s="55" t="n"/>
      <c r="W54" s="54" t="n"/>
      <c r="X54" s="46" t="inlineStr">
        <is>
          <t>IF(W54&lt;&gt;"",W54,IF(OR(T54="",V54=""),"",EDATE(T54,V54)))</t>
        </is>
      </c>
      <c r="Y54" s="54" t="n"/>
      <c r="Z54" s="55" t="n"/>
      <c r="AA54" s="52" t="n"/>
      <c r="AB54" s="52" t="n"/>
      <c r="AC54" s="42" t="inlineStr">
        <is>
          <t>IF(F54="","",IF(COUNT(AI54:AV54)=0,IF(AA54="","Not started",AA54),SUBSTITUTE(LOOKUP(2,1/(AI54:AV54&lt;&gt;""),$AI$3:$AV$3),"Date: ","")))</t>
        </is>
      </c>
      <c r="AD54" s="49" t="inlineStr">
        <is>
          <t>IF(OR(F54="",COUNT(AI54:AV54)=0),"",TODAY()-LOOKUP(2,1/(AI54:AV54&lt;&gt;""),AI54:AV54))</t>
        </is>
      </c>
      <c r="AE54" s="49" t="inlineStr">
        <is>
          <t>IF(OR(F54="",COUNT(AI54:AV54)&lt;2),"",LOOKUP(2,1/(AI54:AV54&lt;&gt;""),AI54:AV54)-MIN(AI54:AV54))</t>
        </is>
      </c>
      <c r="AF54" s="49" t="inlineStr">
        <is>
          <t>IF(OR(AD54="",AC54="Not started",AC54=""),"",IFERROR(AD54-IF(VLOOKUP(AC54,'06_Status_Pipeline'!$B$3:$E$20,4,FALSE)="",0,VLOOKUP(AC54,'06_Status_Pipeline'!$B$3:$E$20,4,FALSE)),""))</t>
        </is>
      </c>
      <c r="AG54" s="42" t="inlineStr">
        <is>
          <t>IF(F54="","",IF(OR(AA54="Cancelled",AC54="Cancelled"),"Cancelled",IF(OR(AC54="Completed / Handover",Y54&lt;&gt;"",Z54&gt;=100),"Completed — on track",IF(O54="Not awarded",IF(U54="",IF(X54="","No planned date",IF(TODAY()&gt;X54,"Behind — past planned date",IF(X54-TODAY()&lt;=30,"At risk — close to off track","On track"))),IF(TODAY()&gt;U54,"Behind — award date passed",IF(U54-TODAY()&lt;=30,"At risk — close to off track","On track"))),IF(X54="","No planned date",IF(AND(TODAY()&gt;X54,OR(Z54="",Z54&lt;100)),"Behind — past end date",IF(AND(T54&lt;&gt;"",X54&lt;&gt;"",Z54&lt;&gt;"",(Z54&lt;100),((TODAY()-T54)/MAX(X54-T54,1)*100)-Z54&gt;15),"Behind — progress lag",IF(AND(X54-TODAY()&lt;=30,X54-TODAY()&gt;=0,OR(Z54="",Z54&lt;90)),"At risk — close to off track","On track"))))))))</t>
        </is>
      </c>
      <c r="AH54" s="49" t="inlineStr">
        <is>
          <t>IF(OR(F54="",AC54="Completed / Handover",AC54="Cancelled"),"",IF(O54="Not awarded",IF(U54&lt;&gt;"",U54-TODAY(),IF(X54="","",X54-TODAY())),IF(X54="","",X54-TODAY())))</t>
        </is>
      </c>
      <c r="AI54" s="54" t="n"/>
      <c r="AJ54" s="54" t="n"/>
      <c r="AK54" s="54" t="n"/>
      <c r="AL54" s="54" t="n"/>
      <c r="AM54" s="54" t="n"/>
      <c r="AN54" s="54" t="n"/>
      <c r="AO54" s="54" t="n"/>
      <c r="AP54" s="54" t="n"/>
      <c r="AQ54" s="54" t="n"/>
      <c r="AR54" s="54" t="n"/>
      <c r="AS54" s="54" t="n"/>
      <c r="AT54" s="50" t="n"/>
      <c r="AU54" s="50" t="n"/>
      <c r="AV54" s="50" t="n"/>
      <c r="AW54" s="49" t="inlineStr">
        <is>
          <t>IF(OR(F54="",AJ54=""),"",IF(COUNT(AI54:AI54)=0,"",AJ54-LOOKUP(2,1/(AI54:AI54&lt;&gt;""),AI54:AI54)))</t>
        </is>
      </c>
      <c r="AX54" s="49" t="inlineStr">
        <is>
          <t>IF(OR(F54="",AK54=""),"",IF(COUNT(AI54:AJ54)=0,"",AK54-LOOKUP(2,1/(AI54:AJ54&lt;&gt;""),AI54:AJ54)))</t>
        </is>
      </c>
      <c r="AY54" s="49" t="inlineStr">
        <is>
          <t>IF(OR(F54="",AL54=""),"",IF(COUNT(AI54:AK54)=0,"",AL54-LOOKUP(2,1/(AI54:AK54&lt;&gt;""),AI54:AK54)))</t>
        </is>
      </c>
      <c r="AZ54" s="49" t="inlineStr">
        <is>
          <t>IF(OR(F54="",AM54=""),"",IF(COUNT(AI54:AL54)=0,"",AM54-LOOKUP(2,1/(AI54:AL54&lt;&gt;""),AI54:AL54)))</t>
        </is>
      </c>
      <c r="BA54" s="49" t="inlineStr">
        <is>
          <t>IF(OR(F54="",AN54=""),"",IF(COUNT(AI54:AM54)=0,"",AN54-LOOKUP(2,1/(AI54:AM54&lt;&gt;""),AI54:AM54)))</t>
        </is>
      </c>
      <c r="BB54" s="49" t="inlineStr">
        <is>
          <t>IF(OR(F54="",AO54=""),"",IF(COUNT(AI54:AN54)=0,"",AO54-LOOKUP(2,1/(AI54:AN54&lt;&gt;""),AI54:AN54)))</t>
        </is>
      </c>
      <c r="BC54" s="49" t="inlineStr">
        <is>
          <t>IF(OR(F54="",AP54=""),"",IF(COUNT(AI54:AO54)=0,"",AP54-LOOKUP(2,1/(AI54:AO54&lt;&gt;""),AI54:AO54)))</t>
        </is>
      </c>
      <c r="BD54" s="49" t="inlineStr">
        <is>
          <t>IF(OR(F54="",AQ54=""),"",IF(COUNT(AI54:AP54)=0,"",AQ54-LOOKUP(2,1/(AI54:AP54&lt;&gt;""),AI54:AP54)))</t>
        </is>
      </c>
      <c r="BE54" s="49" t="inlineStr">
        <is>
          <t>IF(OR(F54="",AR54=""),"",IF(COUNT(AI54:AQ54)=0,"",AR54-LOOKUP(2,1/(AI54:AQ54&lt;&gt;""),AI54:AQ54)))</t>
        </is>
      </c>
      <c r="BF54" s="49" t="inlineStr">
        <is>
          <t>IF(OR(F54="",AS54=""),"",IF(COUNT(AI54:AR54)=0,"",AS54-LOOKUP(2,1/(AI54:AR54&lt;&gt;""),AI54:AR54)))</t>
        </is>
      </c>
      <c r="BG54" s="49" t="inlineStr">
        <is>
          <t>IF(OR(F54="",AT54=""),"",IF(COUNT(AI54:AS54)=0,"",AT54-LOOKUP(2,1/(AI54:AS54&lt;&gt;""),AI54:AS54)))</t>
        </is>
      </c>
      <c r="BH54" s="49" t="inlineStr">
        <is>
          <t>IF(OR(F54="",AU54=""),"",IF(COUNT(AI54:AT54)=0,"",AU54-LOOKUP(2,1/(AI54:AT54&lt;&gt;""),AI54:AT54)))</t>
        </is>
      </c>
      <c r="BI54" s="49" t="inlineStr">
        <is>
          <t>IF(OR(F54="",AV54=""),"",IF(COUNT(AI54:AU54)=0,"",AV54-LOOKUP(2,1/(AI54:AU54&lt;&gt;""),AI54:AU54)))</t>
        </is>
      </c>
      <c r="BJ54" s="51" t="inlineStr">
        <is>
          <t>IF(J54="","All_Provinces",IFERROR(VLOOKUP(J54,'09_Lookups'!$A$4:$B$20,2,FALSE),"All_Provinces"))</t>
        </is>
      </c>
      <c r="BK54" s="51" t="inlineStr">
        <is>
          <t>IF(K54="","All_Districts",IFERROR(VLOOKUP(K54,'09_Lookups'!$E$4:$F$42,2,FALSE),"All_Districts"))</t>
        </is>
      </c>
    </row>
    <row r="55" ht="18" customHeight="1">
      <c r="A55" s="42" t="inlineStr">
        <is>
          <t>IF(F55="","",ROW()-3)</t>
        </is>
      </c>
      <c r="B55" s="44" t="n"/>
      <c r="C55" s="44" t="n"/>
      <c r="D55" s="44" t="n"/>
      <c r="E55" s="44" t="n"/>
      <c r="F55" s="44" t="n"/>
      <c r="G55" s="44" t="n"/>
      <c r="H55" s="44" t="n"/>
      <c r="I55" s="44" t="n"/>
      <c r="J55" s="44" t="n"/>
      <c r="K55" s="44" t="n"/>
      <c r="L55" s="44" t="n"/>
      <c r="M55" s="44" t="n"/>
      <c r="N55" s="44" t="n"/>
      <c r="O55" s="44" t="n"/>
      <c r="P55" s="44" t="n"/>
      <c r="Q55" s="44" t="n"/>
      <c r="R55" s="44" t="n"/>
      <c r="S55" s="45" t="n"/>
      <c r="T55" s="46" t="inlineStr">
        <is>
          <t>IF(AQ55="","",AQ55)</t>
        </is>
      </c>
      <c r="U55" s="47" t="n"/>
      <c r="V55" s="48" t="n"/>
      <c r="W55" s="47" t="n"/>
      <c r="X55" s="46" t="inlineStr">
        <is>
          <t>IF(W55&lt;&gt;"",W55,IF(OR(T55="",V55=""),"",EDATE(T55,V55)))</t>
        </is>
      </c>
      <c r="Y55" s="47" t="n"/>
      <c r="Z55" s="48" t="n"/>
      <c r="AA55" s="44" t="n"/>
      <c r="AB55" s="44" t="n"/>
      <c r="AC55" s="42" t="inlineStr">
        <is>
          <t>IF(F55="","",IF(COUNT(AI55:AV55)=0,IF(AA55="","Not started",AA55),SUBSTITUTE(LOOKUP(2,1/(AI55:AV55&lt;&gt;""),$AI$3:$AV$3),"Date: ","")))</t>
        </is>
      </c>
      <c r="AD55" s="49" t="inlineStr">
        <is>
          <t>IF(OR(F55="",COUNT(AI55:AV55)=0),"",TODAY()-LOOKUP(2,1/(AI55:AV55&lt;&gt;""),AI55:AV55))</t>
        </is>
      </c>
      <c r="AE55" s="49" t="inlineStr">
        <is>
          <t>IF(OR(F55="",COUNT(AI55:AV55)&lt;2),"",LOOKUP(2,1/(AI55:AV55&lt;&gt;""),AI55:AV55)-MIN(AI55:AV55))</t>
        </is>
      </c>
      <c r="AF55" s="49" t="inlineStr">
        <is>
          <t>IF(OR(AD55="",AC55="Not started",AC55=""),"",IFERROR(AD55-IF(VLOOKUP(AC55,'06_Status_Pipeline'!$B$3:$E$20,4,FALSE)="",0,VLOOKUP(AC55,'06_Status_Pipeline'!$B$3:$E$20,4,FALSE)),""))</t>
        </is>
      </c>
      <c r="AG55" s="42" t="inlineStr">
        <is>
          <t>IF(F55="","",IF(OR(AA55="Cancelled",AC55="Cancelled"),"Cancelled",IF(OR(AC55="Completed / Handover",Y55&lt;&gt;"",Z55&gt;=100),"Completed — on track",IF(O55="Not awarded",IF(U55="",IF(X55="","No planned date",IF(TODAY()&gt;X55,"Behind — past planned date",IF(X55-TODAY()&lt;=30,"At risk — close to off track","On track"))),IF(TODAY()&gt;U55,"Behind — award date passed",IF(U55-TODAY()&lt;=30,"At risk — close to off track","On track"))),IF(X55="","No planned date",IF(AND(TODAY()&gt;X55,OR(Z55="",Z55&lt;100)),"Behind — past end date",IF(AND(T55&lt;&gt;"",X55&lt;&gt;"",Z55&lt;&gt;"",(Z55&lt;100),((TODAY()-T55)/MAX(X55-T55,1)*100)-Z55&gt;15),"Behind — progress lag",IF(AND(X55-TODAY()&lt;=30,X55-TODAY()&gt;=0,OR(Z55="",Z55&lt;90)),"At risk — close to off track","On track"))))))))</t>
        </is>
      </c>
      <c r="AH55" s="49" t="inlineStr">
        <is>
          <t>IF(OR(F55="",AC55="Completed / Handover",AC55="Cancelled"),"",IF(O55="Not awarded",IF(U55&lt;&gt;"",U55-TODAY(),IF(X55="","",X55-TODAY())),IF(X55="","",X55-TODAY())))</t>
        </is>
      </c>
      <c r="AI55" s="47" t="n"/>
      <c r="AJ55" s="47" t="n"/>
      <c r="AK55" s="47" t="n"/>
      <c r="AL55" s="47" t="n"/>
      <c r="AM55" s="47" t="n"/>
      <c r="AN55" s="47" t="n"/>
      <c r="AO55" s="47" t="n"/>
      <c r="AP55" s="47" t="n"/>
      <c r="AQ55" s="47" t="n"/>
      <c r="AR55" s="47" t="n"/>
      <c r="AS55" s="47" t="n"/>
      <c r="AT55" s="50" t="n"/>
      <c r="AU55" s="50" t="n"/>
      <c r="AV55" s="50" t="n"/>
      <c r="AW55" s="49" t="inlineStr">
        <is>
          <t>IF(OR(F55="",AJ55=""),"",IF(COUNT(AI55:AI55)=0,"",AJ55-LOOKUP(2,1/(AI55:AI55&lt;&gt;""),AI55:AI55)))</t>
        </is>
      </c>
      <c r="AX55" s="49" t="inlineStr">
        <is>
          <t>IF(OR(F55="",AK55=""),"",IF(COUNT(AI55:AJ55)=0,"",AK55-LOOKUP(2,1/(AI55:AJ55&lt;&gt;""),AI55:AJ55)))</t>
        </is>
      </c>
      <c r="AY55" s="49" t="inlineStr">
        <is>
          <t>IF(OR(F55="",AL55=""),"",IF(COUNT(AI55:AK55)=0,"",AL55-LOOKUP(2,1/(AI55:AK55&lt;&gt;""),AI55:AK55)))</t>
        </is>
      </c>
      <c r="AZ55" s="49" t="inlineStr">
        <is>
          <t>IF(OR(F55="",AM55=""),"",IF(COUNT(AI55:AL55)=0,"",AM55-LOOKUP(2,1/(AI55:AL55&lt;&gt;""),AI55:AL55)))</t>
        </is>
      </c>
      <c r="BA55" s="49" t="inlineStr">
        <is>
          <t>IF(OR(F55="",AN55=""),"",IF(COUNT(AI55:AM55)=0,"",AN55-LOOKUP(2,1/(AI55:AM55&lt;&gt;""),AI55:AM55)))</t>
        </is>
      </c>
      <c r="BB55" s="49" t="inlineStr">
        <is>
          <t>IF(OR(F55="",AO55=""),"",IF(COUNT(AI55:AN55)=0,"",AO55-LOOKUP(2,1/(AI55:AN55&lt;&gt;""),AI55:AN55)))</t>
        </is>
      </c>
      <c r="BC55" s="49" t="inlineStr">
        <is>
          <t>IF(OR(F55="",AP55=""),"",IF(COUNT(AI55:AO55)=0,"",AP55-LOOKUP(2,1/(AI55:AO55&lt;&gt;""),AI55:AO55)))</t>
        </is>
      </c>
      <c r="BD55" s="49" t="inlineStr">
        <is>
          <t>IF(OR(F55="",AQ55=""),"",IF(COUNT(AI55:AP55)=0,"",AQ55-LOOKUP(2,1/(AI55:AP55&lt;&gt;""),AI55:AP55)))</t>
        </is>
      </c>
      <c r="BE55" s="49" t="inlineStr">
        <is>
          <t>IF(OR(F55="",AR55=""),"",IF(COUNT(AI55:AQ55)=0,"",AR55-LOOKUP(2,1/(AI55:AQ55&lt;&gt;""),AI55:AQ55)))</t>
        </is>
      </c>
      <c r="BF55" s="49" t="inlineStr">
        <is>
          <t>IF(OR(F55="",AS55=""),"",IF(COUNT(AI55:AR55)=0,"",AS55-LOOKUP(2,1/(AI55:AR55&lt;&gt;""),AI55:AR55)))</t>
        </is>
      </c>
      <c r="BG55" s="49" t="inlineStr">
        <is>
          <t>IF(OR(F55="",AT55=""),"",IF(COUNT(AI55:AS55)=0,"",AT55-LOOKUP(2,1/(AI55:AS55&lt;&gt;""),AI55:AS55)))</t>
        </is>
      </c>
      <c r="BH55" s="49" t="inlineStr">
        <is>
          <t>IF(OR(F55="",AU55=""),"",IF(COUNT(AI55:AT55)=0,"",AU55-LOOKUP(2,1/(AI55:AT55&lt;&gt;""),AI55:AT55)))</t>
        </is>
      </c>
      <c r="BI55" s="49" t="inlineStr">
        <is>
          <t>IF(OR(F55="",AV55=""),"",IF(COUNT(AI55:AU55)=0,"",AV55-LOOKUP(2,1/(AI55:AU55&lt;&gt;""),AI55:AU55)))</t>
        </is>
      </c>
      <c r="BJ55" s="51" t="inlineStr">
        <is>
          <t>IF(J55="","All_Provinces",IFERROR(VLOOKUP(J55,'09_Lookups'!$A$4:$B$20,2,FALSE),"All_Provinces"))</t>
        </is>
      </c>
      <c r="BK55" s="51" t="inlineStr">
        <is>
          <t>IF(K55="","All_Districts",IFERROR(VLOOKUP(K55,'09_Lookups'!$E$4:$F$42,2,FALSE),"All_Districts"))</t>
        </is>
      </c>
    </row>
    <row r="56" ht="18" customHeight="1">
      <c r="A56" s="42" t="inlineStr">
        <is>
          <t>IF(F56="","",ROW()-3)</t>
        </is>
      </c>
      <c r="B56" s="52" t="n"/>
      <c r="C56" s="52" t="n"/>
      <c r="D56" s="52" t="n"/>
      <c r="E56" s="52" t="n"/>
      <c r="F56" s="52" t="n"/>
      <c r="G56" s="52" t="n"/>
      <c r="H56" s="52" t="n"/>
      <c r="I56" s="52" t="n"/>
      <c r="J56" s="52" t="n"/>
      <c r="K56" s="52" t="n"/>
      <c r="L56" s="52" t="n"/>
      <c r="M56" s="52" t="n"/>
      <c r="N56" s="52" t="n"/>
      <c r="O56" s="52" t="n"/>
      <c r="P56" s="52" t="n"/>
      <c r="Q56" s="52" t="n"/>
      <c r="R56" s="52" t="n"/>
      <c r="S56" s="53" t="n"/>
      <c r="T56" s="46" t="inlineStr">
        <is>
          <t>IF(AQ56="","",AQ56)</t>
        </is>
      </c>
      <c r="U56" s="54" t="n"/>
      <c r="V56" s="55" t="n"/>
      <c r="W56" s="54" t="n"/>
      <c r="X56" s="46" t="inlineStr">
        <is>
          <t>IF(W56&lt;&gt;"",W56,IF(OR(T56="",V56=""),"",EDATE(T56,V56)))</t>
        </is>
      </c>
      <c r="Y56" s="54" t="n"/>
      <c r="Z56" s="55" t="n"/>
      <c r="AA56" s="52" t="n"/>
      <c r="AB56" s="52" t="n"/>
      <c r="AC56" s="42" t="inlineStr">
        <is>
          <t>IF(F56="","",IF(COUNT(AI56:AV56)=0,IF(AA56="","Not started",AA56),SUBSTITUTE(LOOKUP(2,1/(AI56:AV56&lt;&gt;""),$AI$3:$AV$3),"Date: ","")))</t>
        </is>
      </c>
      <c r="AD56" s="49" t="inlineStr">
        <is>
          <t>IF(OR(F56="",COUNT(AI56:AV56)=0),"",TODAY()-LOOKUP(2,1/(AI56:AV56&lt;&gt;""),AI56:AV56))</t>
        </is>
      </c>
      <c r="AE56" s="49" t="inlineStr">
        <is>
          <t>IF(OR(F56="",COUNT(AI56:AV56)&lt;2),"",LOOKUP(2,1/(AI56:AV56&lt;&gt;""),AI56:AV56)-MIN(AI56:AV56))</t>
        </is>
      </c>
      <c r="AF56" s="49" t="inlineStr">
        <is>
          <t>IF(OR(AD56="",AC56="Not started",AC56=""),"",IFERROR(AD56-IF(VLOOKUP(AC56,'06_Status_Pipeline'!$B$3:$E$20,4,FALSE)="",0,VLOOKUP(AC56,'06_Status_Pipeline'!$B$3:$E$20,4,FALSE)),""))</t>
        </is>
      </c>
      <c r="AG56" s="42" t="inlineStr">
        <is>
          <t>IF(F56="","",IF(OR(AA56="Cancelled",AC56="Cancelled"),"Cancelled",IF(OR(AC56="Completed / Handover",Y56&lt;&gt;"",Z56&gt;=100),"Completed — on track",IF(O56="Not awarded",IF(U56="",IF(X56="","No planned date",IF(TODAY()&gt;X56,"Behind — past planned date",IF(X56-TODAY()&lt;=30,"At risk — close to off track","On track"))),IF(TODAY()&gt;U56,"Behind — award date passed",IF(U56-TODAY()&lt;=30,"At risk — close to off track","On track"))),IF(X56="","No planned date",IF(AND(TODAY()&gt;X56,OR(Z56="",Z56&lt;100)),"Behind — past end date",IF(AND(T56&lt;&gt;"",X56&lt;&gt;"",Z56&lt;&gt;"",(Z56&lt;100),((TODAY()-T56)/MAX(X56-T56,1)*100)-Z56&gt;15),"Behind — progress lag",IF(AND(X56-TODAY()&lt;=30,X56-TODAY()&gt;=0,OR(Z56="",Z56&lt;90)),"At risk — close to off track","On track"))))))))</t>
        </is>
      </c>
      <c r="AH56" s="49" t="inlineStr">
        <is>
          <t>IF(OR(F56="",AC56="Completed / Handover",AC56="Cancelled"),"",IF(O56="Not awarded",IF(U56&lt;&gt;"",U56-TODAY(),IF(X56="","",X56-TODAY())),IF(X56="","",X56-TODAY())))</t>
        </is>
      </c>
      <c r="AI56" s="54" t="n"/>
      <c r="AJ56" s="54" t="n"/>
      <c r="AK56" s="54" t="n"/>
      <c r="AL56" s="54" t="n"/>
      <c r="AM56" s="54" t="n"/>
      <c r="AN56" s="54" t="n"/>
      <c r="AO56" s="54" t="n"/>
      <c r="AP56" s="54" t="n"/>
      <c r="AQ56" s="54" t="n"/>
      <c r="AR56" s="54" t="n"/>
      <c r="AS56" s="54" t="n"/>
      <c r="AT56" s="50" t="n"/>
      <c r="AU56" s="50" t="n"/>
      <c r="AV56" s="50" t="n"/>
      <c r="AW56" s="49" t="inlineStr">
        <is>
          <t>IF(OR(F56="",AJ56=""),"",IF(COUNT(AI56:AI56)=0,"",AJ56-LOOKUP(2,1/(AI56:AI56&lt;&gt;""),AI56:AI56)))</t>
        </is>
      </c>
      <c r="AX56" s="49" t="inlineStr">
        <is>
          <t>IF(OR(F56="",AK56=""),"",IF(COUNT(AI56:AJ56)=0,"",AK56-LOOKUP(2,1/(AI56:AJ56&lt;&gt;""),AI56:AJ56)))</t>
        </is>
      </c>
      <c r="AY56" s="49" t="inlineStr">
        <is>
          <t>IF(OR(F56="",AL56=""),"",IF(COUNT(AI56:AK56)=0,"",AL56-LOOKUP(2,1/(AI56:AK56&lt;&gt;""),AI56:AK56)))</t>
        </is>
      </c>
      <c r="AZ56" s="49" t="inlineStr">
        <is>
          <t>IF(OR(F56="",AM56=""),"",IF(COUNT(AI56:AL56)=0,"",AM56-LOOKUP(2,1/(AI56:AL56&lt;&gt;""),AI56:AL56)))</t>
        </is>
      </c>
      <c r="BA56" s="49" t="inlineStr">
        <is>
          <t>IF(OR(F56="",AN56=""),"",IF(COUNT(AI56:AM56)=0,"",AN56-LOOKUP(2,1/(AI56:AM56&lt;&gt;""),AI56:AM56)))</t>
        </is>
      </c>
      <c r="BB56" s="49" t="inlineStr">
        <is>
          <t>IF(OR(F56="",AO56=""),"",IF(COUNT(AI56:AN56)=0,"",AO56-LOOKUP(2,1/(AI56:AN56&lt;&gt;""),AI56:AN56)))</t>
        </is>
      </c>
      <c r="BC56" s="49" t="inlineStr">
        <is>
          <t>IF(OR(F56="",AP56=""),"",IF(COUNT(AI56:AO56)=0,"",AP56-LOOKUP(2,1/(AI56:AO56&lt;&gt;""),AI56:AO56)))</t>
        </is>
      </c>
      <c r="BD56" s="49" t="inlineStr">
        <is>
          <t>IF(OR(F56="",AQ56=""),"",IF(COUNT(AI56:AP56)=0,"",AQ56-LOOKUP(2,1/(AI56:AP56&lt;&gt;""),AI56:AP56)))</t>
        </is>
      </c>
      <c r="BE56" s="49" t="inlineStr">
        <is>
          <t>IF(OR(F56="",AR56=""),"",IF(COUNT(AI56:AQ56)=0,"",AR56-LOOKUP(2,1/(AI56:AQ56&lt;&gt;""),AI56:AQ56)))</t>
        </is>
      </c>
      <c r="BF56" s="49" t="inlineStr">
        <is>
          <t>IF(OR(F56="",AS56=""),"",IF(COUNT(AI56:AR56)=0,"",AS56-LOOKUP(2,1/(AI56:AR56&lt;&gt;""),AI56:AR56)))</t>
        </is>
      </c>
      <c r="BG56" s="49" t="inlineStr">
        <is>
          <t>IF(OR(F56="",AT56=""),"",IF(COUNT(AI56:AS56)=0,"",AT56-LOOKUP(2,1/(AI56:AS56&lt;&gt;""),AI56:AS56)))</t>
        </is>
      </c>
      <c r="BH56" s="49" t="inlineStr">
        <is>
          <t>IF(OR(F56="",AU56=""),"",IF(COUNT(AI56:AT56)=0,"",AU56-LOOKUP(2,1/(AI56:AT56&lt;&gt;""),AI56:AT56)))</t>
        </is>
      </c>
      <c r="BI56" s="49" t="inlineStr">
        <is>
          <t>IF(OR(F56="",AV56=""),"",IF(COUNT(AI56:AU56)=0,"",AV56-LOOKUP(2,1/(AI56:AU56&lt;&gt;""),AI56:AU56)))</t>
        </is>
      </c>
      <c r="BJ56" s="51" t="inlineStr">
        <is>
          <t>IF(J56="","All_Provinces",IFERROR(VLOOKUP(J56,'09_Lookups'!$A$4:$B$20,2,FALSE),"All_Provinces"))</t>
        </is>
      </c>
      <c r="BK56" s="51" t="inlineStr">
        <is>
          <t>IF(K56="","All_Districts",IFERROR(VLOOKUP(K56,'09_Lookups'!$E$4:$F$42,2,FALSE),"All_Districts"))</t>
        </is>
      </c>
    </row>
    <row r="57" ht="18" customHeight="1">
      <c r="A57" s="42" t="inlineStr">
        <is>
          <t>IF(F57="","",ROW()-3)</t>
        </is>
      </c>
      <c r="B57" s="44" t="n"/>
      <c r="C57" s="44" t="n"/>
      <c r="D57" s="44" t="n"/>
      <c r="E57" s="44" t="n"/>
      <c r="F57" s="44" t="n"/>
      <c r="G57" s="44" t="n"/>
      <c r="H57" s="44" t="n"/>
      <c r="I57" s="44" t="n"/>
      <c r="J57" s="44" t="n"/>
      <c r="K57" s="44" t="n"/>
      <c r="L57" s="44" t="n"/>
      <c r="M57" s="44" t="n"/>
      <c r="N57" s="44" t="n"/>
      <c r="O57" s="44" t="n"/>
      <c r="P57" s="44" t="n"/>
      <c r="Q57" s="44" t="n"/>
      <c r="R57" s="44" t="n"/>
      <c r="S57" s="45" t="n"/>
      <c r="T57" s="46" t="inlineStr">
        <is>
          <t>IF(AQ57="","",AQ57)</t>
        </is>
      </c>
      <c r="U57" s="47" t="n"/>
      <c r="V57" s="48" t="n"/>
      <c r="W57" s="47" t="n"/>
      <c r="X57" s="46" t="inlineStr">
        <is>
          <t>IF(W57&lt;&gt;"",W57,IF(OR(T57="",V57=""),"",EDATE(T57,V57)))</t>
        </is>
      </c>
      <c r="Y57" s="47" t="n"/>
      <c r="Z57" s="48" t="n"/>
      <c r="AA57" s="44" t="n"/>
      <c r="AB57" s="44" t="n"/>
      <c r="AC57" s="42" t="inlineStr">
        <is>
          <t>IF(F57="","",IF(COUNT(AI57:AV57)=0,IF(AA57="","Not started",AA57),SUBSTITUTE(LOOKUP(2,1/(AI57:AV57&lt;&gt;""),$AI$3:$AV$3),"Date: ","")))</t>
        </is>
      </c>
      <c r="AD57" s="49" t="inlineStr">
        <is>
          <t>IF(OR(F57="",COUNT(AI57:AV57)=0),"",TODAY()-LOOKUP(2,1/(AI57:AV57&lt;&gt;""),AI57:AV57))</t>
        </is>
      </c>
      <c r="AE57" s="49" t="inlineStr">
        <is>
          <t>IF(OR(F57="",COUNT(AI57:AV57)&lt;2),"",LOOKUP(2,1/(AI57:AV57&lt;&gt;""),AI57:AV57)-MIN(AI57:AV57))</t>
        </is>
      </c>
      <c r="AF57" s="49" t="inlineStr">
        <is>
          <t>IF(OR(AD57="",AC57="Not started",AC57=""),"",IFERROR(AD57-IF(VLOOKUP(AC57,'06_Status_Pipeline'!$B$3:$E$20,4,FALSE)="",0,VLOOKUP(AC57,'06_Status_Pipeline'!$B$3:$E$20,4,FALSE)),""))</t>
        </is>
      </c>
      <c r="AG57" s="42" t="inlineStr">
        <is>
          <t>IF(F57="","",IF(OR(AA57="Cancelled",AC57="Cancelled"),"Cancelled",IF(OR(AC57="Completed / Handover",Y57&lt;&gt;"",Z57&gt;=100),"Completed — on track",IF(O57="Not awarded",IF(U57="",IF(X57="","No planned date",IF(TODAY()&gt;X57,"Behind — past planned date",IF(X57-TODAY()&lt;=30,"At risk — close to off track","On track"))),IF(TODAY()&gt;U57,"Behind — award date passed",IF(U57-TODAY()&lt;=30,"At risk — close to off track","On track"))),IF(X57="","No planned date",IF(AND(TODAY()&gt;X57,OR(Z57="",Z57&lt;100)),"Behind — past end date",IF(AND(T57&lt;&gt;"",X57&lt;&gt;"",Z57&lt;&gt;"",(Z57&lt;100),((TODAY()-T57)/MAX(X57-T57,1)*100)-Z57&gt;15),"Behind — progress lag",IF(AND(X57-TODAY()&lt;=30,X57-TODAY()&gt;=0,OR(Z57="",Z57&lt;90)),"At risk — close to off track","On track"))))))))</t>
        </is>
      </c>
      <c r="AH57" s="49" t="inlineStr">
        <is>
          <t>IF(OR(F57="",AC57="Completed / Handover",AC57="Cancelled"),"",IF(O57="Not awarded",IF(U57&lt;&gt;"",U57-TODAY(),IF(X57="","",X57-TODAY())),IF(X57="","",X57-TODAY())))</t>
        </is>
      </c>
      <c r="AI57" s="47" t="n"/>
      <c r="AJ57" s="47" t="n"/>
      <c r="AK57" s="47" t="n"/>
      <c r="AL57" s="47" t="n"/>
      <c r="AM57" s="47" t="n"/>
      <c r="AN57" s="47" t="n"/>
      <c r="AO57" s="47" t="n"/>
      <c r="AP57" s="47" t="n"/>
      <c r="AQ57" s="47" t="n"/>
      <c r="AR57" s="47" t="n"/>
      <c r="AS57" s="47" t="n"/>
      <c r="AT57" s="50" t="n"/>
      <c r="AU57" s="50" t="n"/>
      <c r="AV57" s="50" t="n"/>
      <c r="AW57" s="49" t="inlineStr">
        <is>
          <t>IF(OR(F57="",AJ57=""),"",IF(COUNT(AI57:AI57)=0,"",AJ57-LOOKUP(2,1/(AI57:AI57&lt;&gt;""),AI57:AI57)))</t>
        </is>
      </c>
      <c r="AX57" s="49" t="inlineStr">
        <is>
          <t>IF(OR(F57="",AK57=""),"",IF(COUNT(AI57:AJ57)=0,"",AK57-LOOKUP(2,1/(AI57:AJ57&lt;&gt;""),AI57:AJ57)))</t>
        </is>
      </c>
      <c r="AY57" s="49" t="inlineStr">
        <is>
          <t>IF(OR(F57="",AL57=""),"",IF(COUNT(AI57:AK57)=0,"",AL57-LOOKUP(2,1/(AI57:AK57&lt;&gt;""),AI57:AK57)))</t>
        </is>
      </c>
      <c r="AZ57" s="49" t="inlineStr">
        <is>
          <t>IF(OR(F57="",AM57=""),"",IF(COUNT(AI57:AL57)=0,"",AM57-LOOKUP(2,1/(AI57:AL57&lt;&gt;""),AI57:AL57)))</t>
        </is>
      </c>
      <c r="BA57" s="49" t="inlineStr">
        <is>
          <t>IF(OR(F57="",AN57=""),"",IF(COUNT(AI57:AM57)=0,"",AN57-LOOKUP(2,1/(AI57:AM57&lt;&gt;""),AI57:AM57)))</t>
        </is>
      </c>
      <c r="BB57" s="49" t="inlineStr">
        <is>
          <t>IF(OR(F57="",AO57=""),"",IF(COUNT(AI57:AN57)=0,"",AO57-LOOKUP(2,1/(AI57:AN57&lt;&gt;""),AI57:AN57)))</t>
        </is>
      </c>
      <c r="BC57" s="49" t="inlineStr">
        <is>
          <t>IF(OR(F57="",AP57=""),"",IF(COUNT(AI57:AO57)=0,"",AP57-LOOKUP(2,1/(AI57:AO57&lt;&gt;""),AI57:AO57)))</t>
        </is>
      </c>
      <c r="BD57" s="49" t="inlineStr">
        <is>
          <t>IF(OR(F57="",AQ57=""),"",IF(COUNT(AI57:AP57)=0,"",AQ57-LOOKUP(2,1/(AI57:AP57&lt;&gt;""),AI57:AP57)))</t>
        </is>
      </c>
      <c r="BE57" s="49" t="inlineStr">
        <is>
          <t>IF(OR(F57="",AR57=""),"",IF(COUNT(AI57:AQ57)=0,"",AR57-LOOKUP(2,1/(AI57:AQ57&lt;&gt;""),AI57:AQ57)))</t>
        </is>
      </c>
      <c r="BF57" s="49" t="inlineStr">
        <is>
          <t>IF(OR(F57="",AS57=""),"",IF(COUNT(AI57:AR57)=0,"",AS57-LOOKUP(2,1/(AI57:AR57&lt;&gt;""),AI57:AR57)))</t>
        </is>
      </c>
      <c r="BG57" s="49" t="inlineStr">
        <is>
          <t>IF(OR(F57="",AT57=""),"",IF(COUNT(AI57:AS57)=0,"",AT57-LOOKUP(2,1/(AI57:AS57&lt;&gt;""),AI57:AS57)))</t>
        </is>
      </c>
      <c r="BH57" s="49" t="inlineStr">
        <is>
          <t>IF(OR(F57="",AU57=""),"",IF(COUNT(AI57:AT57)=0,"",AU57-LOOKUP(2,1/(AI57:AT57&lt;&gt;""),AI57:AT57)))</t>
        </is>
      </c>
      <c r="BI57" s="49" t="inlineStr">
        <is>
          <t>IF(OR(F57="",AV57=""),"",IF(COUNT(AI57:AU57)=0,"",AV57-LOOKUP(2,1/(AI57:AU57&lt;&gt;""),AI57:AU57)))</t>
        </is>
      </c>
      <c r="BJ57" s="51" t="inlineStr">
        <is>
          <t>IF(J57="","All_Provinces",IFERROR(VLOOKUP(J57,'09_Lookups'!$A$4:$B$20,2,FALSE),"All_Provinces"))</t>
        </is>
      </c>
      <c r="BK57" s="51" t="inlineStr">
        <is>
          <t>IF(K57="","All_Districts",IFERROR(VLOOKUP(K57,'09_Lookups'!$E$4:$F$42,2,FALSE),"All_Districts"))</t>
        </is>
      </c>
    </row>
    <row r="58" ht="18" customHeight="1">
      <c r="A58" s="42" t="inlineStr">
        <is>
          <t>IF(F58="","",ROW()-3)</t>
        </is>
      </c>
      <c r="B58" s="52" t="n"/>
      <c r="C58" s="52" t="n"/>
      <c r="D58" s="52" t="n"/>
      <c r="E58" s="52" t="n"/>
      <c r="F58" s="52" t="n"/>
      <c r="G58" s="52" t="n"/>
      <c r="H58" s="52" t="n"/>
      <c r="I58" s="52" t="n"/>
      <c r="J58" s="52" t="n"/>
      <c r="K58" s="52" t="n"/>
      <c r="L58" s="52" t="n"/>
      <c r="M58" s="52" t="n"/>
      <c r="N58" s="52" t="n"/>
      <c r="O58" s="52" t="n"/>
      <c r="P58" s="52" t="n"/>
      <c r="Q58" s="52" t="n"/>
      <c r="R58" s="52" t="n"/>
      <c r="S58" s="53" t="n"/>
      <c r="T58" s="46" t="inlineStr">
        <is>
          <t>IF(AQ58="","",AQ58)</t>
        </is>
      </c>
      <c r="U58" s="54" t="n"/>
      <c r="V58" s="55" t="n"/>
      <c r="W58" s="54" t="n"/>
      <c r="X58" s="46" t="inlineStr">
        <is>
          <t>IF(W58&lt;&gt;"",W58,IF(OR(T58="",V58=""),"",EDATE(T58,V58)))</t>
        </is>
      </c>
      <c r="Y58" s="54" t="n"/>
      <c r="Z58" s="55" t="n"/>
      <c r="AA58" s="52" t="n"/>
      <c r="AB58" s="52" t="n"/>
      <c r="AC58" s="42" t="inlineStr">
        <is>
          <t>IF(F58="","",IF(COUNT(AI58:AV58)=0,IF(AA58="","Not started",AA58),SUBSTITUTE(LOOKUP(2,1/(AI58:AV58&lt;&gt;""),$AI$3:$AV$3),"Date: ","")))</t>
        </is>
      </c>
      <c r="AD58" s="49" t="inlineStr">
        <is>
          <t>IF(OR(F58="",COUNT(AI58:AV58)=0),"",TODAY()-LOOKUP(2,1/(AI58:AV58&lt;&gt;""),AI58:AV58))</t>
        </is>
      </c>
      <c r="AE58" s="49" t="inlineStr">
        <is>
          <t>IF(OR(F58="",COUNT(AI58:AV58)&lt;2),"",LOOKUP(2,1/(AI58:AV58&lt;&gt;""),AI58:AV58)-MIN(AI58:AV58))</t>
        </is>
      </c>
      <c r="AF58" s="49" t="inlineStr">
        <is>
          <t>IF(OR(AD58="",AC58="Not started",AC58=""),"",IFERROR(AD58-IF(VLOOKUP(AC58,'06_Status_Pipeline'!$B$3:$E$20,4,FALSE)="",0,VLOOKUP(AC58,'06_Status_Pipeline'!$B$3:$E$20,4,FALSE)),""))</t>
        </is>
      </c>
      <c r="AG58" s="42" t="inlineStr">
        <is>
          <t>IF(F58="","",IF(OR(AA58="Cancelled",AC58="Cancelled"),"Cancelled",IF(OR(AC58="Completed / Handover",Y58&lt;&gt;"",Z58&gt;=100),"Completed — on track",IF(O58="Not awarded",IF(U58="",IF(X58="","No planned date",IF(TODAY()&gt;X58,"Behind — past planned date",IF(X58-TODAY()&lt;=30,"At risk — close to off track","On track"))),IF(TODAY()&gt;U58,"Behind — award date passed",IF(U58-TODAY()&lt;=30,"At risk — close to off track","On track"))),IF(X58="","No planned date",IF(AND(TODAY()&gt;X58,OR(Z58="",Z58&lt;100)),"Behind — past end date",IF(AND(T58&lt;&gt;"",X58&lt;&gt;"",Z58&lt;&gt;"",(Z58&lt;100),((TODAY()-T58)/MAX(X58-T58,1)*100)-Z58&gt;15),"Behind — progress lag",IF(AND(X58-TODAY()&lt;=30,X58-TODAY()&gt;=0,OR(Z58="",Z58&lt;90)),"At risk — close to off track","On track"))))))))</t>
        </is>
      </c>
      <c r="AH58" s="49" t="inlineStr">
        <is>
          <t>IF(OR(F58="",AC58="Completed / Handover",AC58="Cancelled"),"",IF(O58="Not awarded",IF(U58&lt;&gt;"",U58-TODAY(),IF(X58="","",X58-TODAY())),IF(X58="","",X58-TODAY())))</t>
        </is>
      </c>
      <c r="AI58" s="54" t="n"/>
      <c r="AJ58" s="54" t="n"/>
      <c r="AK58" s="54" t="n"/>
      <c r="AL58" s="54" t="n"/>
      <c r="AM58" s="54" t="n"/>
      <c r="AN58" s="54" t="n"/>
      <c r="AO58" s="54" t="n"/>
      <c r="AP58" s="54" t="n"/>
      <c r="AQ58" s="54" t="n"/>
      <c r="AR58" s="54" t="n"/>
      <c r="AS58" s="54" t="n"/>
      <c r="AT58" s="50" t="n"/>
      <c r="AU58" s="50" t="n"/>
      <c r="AV58" s="50" t="n"/>
      <c r="AW58" s="49" t="inlineStr">
        <is>
          <t>IF(OR(F58="",AJ58=""),"",IF(COUNT(AI58:AI58)=0,"",AJ58-LOOKUP(2,1/(AI58:AI58&lt;&gt;""),AI58:AI58)))</t>
        </is>
      </c>
      <c r="AX58" s="49" t="inlineStr">
        <is>
          <t>IF(OR(F58="",AK58=""),"",IF(COUNT(AI58:AJ58)=0,"",AK58-LOOKUP(2,1/(AI58:AJ58&lt;&gt;""),AI58:AJ58)))</t>
        </is>
      </c>
      <c r="AY58" s="49" t="inlineStr">
        <is>
          <t>IF(OR(F58="",AL58=""),"",IF(COUNT(AI58:AK58)=0,"",AL58-LOOKUP(2,1/(AI58:AK58&lt;&gt;""),AI58:AK58)))</t>
        </is>
      </c>
      <c r="AZ58" s="49" t="inlineStr">
        <is>
          <t>IF(OR(F58="",AM58=""),"",IF(COUNT(AI58:AL58)=0,"",AM58-LOOKUP(2,1/(AI58:AL58&lt;&gt;""),AI58:AL58)))</t>
        </is>
      </c>
      <c r="BA58" s="49" t="inlineStr">
        <is>
          <t>IF(OR(F58="",AN58=""),"",IF(COUNT(AI58:AM58)=0,"",AN58-LOOKUP(2,1/(AI58:AM58&lt;&gt;""),AI58:AM58)))</t>
        </is>
      </c>
      <c r="BB58" s="49" t="inlineStr">
        <is>
          <t>IF(OR(F58="",AO58=""),"",IF(COUNT(AI58:AN58)=0,"",AO58-LOOKUP(2,1/(AI58:AN58&lt;&gt;""),AI58:AN58)))</t>
        </is>
      </c>
      <c r="BC58" s="49" t="inlineStr">
        <is>
          <t>IF(OR(F58="",AP58=""),"",IF(COUNT(AI58:AO58)=0,"",AP58-LOOKUP(2,1/(AI58:AO58&lt;&gt;""),AI58:AO58)))</t>
        </is>
      </c>
      <c r="BD58" s="49" t="inlineStr">
        <is>
          <t>IF(OR(F58="",AQ58=""),"",IF(COUNT(AI58:AP58)=0,"",AQ58-LOOKUP(2,1/(AI58:AP58&lt;&gt;""),AI58:AP58)))</t>
        </is>
      </c>
      <c r="BE58" s="49" t="inlineStr">
        <is>
          <t>IF(OR(F58="",AR58=""),"",IF(COUNT(AI58:AQ58)=0,"",AR58-LOOKUP(2,1/(AI58:AQ58&lt;&gt;""),AI58:AQ58)))</t>
        </is>
      </c>
      <c r="BF58" s="49" t="inlineStr">
        <is>
          <t>IF(OR(F58="",AS58=""),"",IF(COUNT(AI58:AR58)=0,"",AS58-LOOKUP(2,1/(AI58:AR58&lt;&gt;""),AI58:AR58)))</t>
        </is>
      </c>
      <c r="BG58" s="49" t="inlineStr">
        <is>
          <t>IF(OR(F58="",AT58=""),"",IF(COUNT(AI58:AS58)=0,"",AT58-LOOKUP(2,1/(AI58:AS58&lt;&gt;""),AI58:AS58)))</t>
        </is>
      </c>
      <c r="BH58" s="49" t="inlineStr">
        <is>
          <t>IF(OR(F58="",AU58=""),"",IF(COUNT(AI58:AT58)=0,"",AU58-LOOKUP(2,1/(AI58:AT58&lt;&gt;""),AI58:AT58)))</t>
        </is>
      </c>
      <c r="BI58" s="49" t="inlineStr">
        <is>
          <t>IF(OR(F58="",AV58=""),"",IF(COUNT(AI58:AU58)=0,"",AV58-LOOKUP(2,1/(AI58:AU58&lt;&gt;""),AI58:AU58)))</t>
        </is>
      </c>
      <c r="BJ58" s="51" t="inlineStr">
        <is>
          <t>IF(J58="","All_Provinces",IFERROR(VLOOKUP(J58,'09_Lookups'!$A$4:$B$20,2,FALSE),"All_Provinces"))</t>
        </is>
      </c>
      <c r="BK58" s="51" t="inlineStr">
        <is>
          <t>IF(K58="","All_Districts",IFERROR(VLOOKUP(K58,'09_Lookups'!$E$4:$F$42,2,FALSE),"All_Districts"))</t>
        </is>
      </c>
    </row>
    <row r="59" ht="18" customHeight="1">
      <c r="A59" s="42" t="inlineStr">
        <is>
          <t>IF(F59="","",ROW()-3)</t>
        </is>
      </c>
      <c r="B59" s="44" t="n"/>
      <c r="C59" s="44" t="n"/>
      <c r="D59" s="44" t="n"/>
      <c r="E59" s="44" t="n"/>
      <c r="F59" s="44" t="n"/>
      <c r="G59" s="44" t="n"/>
      <c r="H59" s="44" t="n"/>
      <c r="I59" s="44" t="n"/>
      <c r="J59" s="44" t="n"/>
      <c r="K59" s="44" t="n"/>
      <c r="L59" s="44" t="n"/>
      <c r="M59" s="44" t="n"/>
      <c r="N59" s="44" t="n"/>
      <c r="O59" s="44" t="n"/>
      <c r="P59" s="44" t="n"/>
      <c r="Q59" s="44" t="n"/>
      <c r="R59" s="44" t="n"/>
      <c r="S59" s="45" t="n"/>
      <c r="T59" s="46" t="inlineStr">
        <is>
          <t>IF(AQ59="","",AQ59)</t>
        </is>
      </c>
      <c r="U59" s="47" t="n"/>
      <c r="V59" s="48" t="n"/>
      <c r="W59" s="47" t="n"/>
      <c r="X59" s="46" t="inlineStr">
        <is>
          <t>IF(W59&lt;&gt;"",W59,IF(OR(T59="",V59=""),"",EDATE(T59,V59)))</t>
        </is>
      </c>
      <c r="Y59" s="47" t="n"/>
      <c r="Z59" s="48" t="n"/>
      <c r="AA59" s="44" t="n"/>
      <c r="AB59" s="44" t="n"/>
      <c r="AC59" s="42" t="inlineStr">
        <is>
          <t>IF(F59="","",IF(COUNT(AI59:AV59)=0,IF(AA59="","Not started",AA59),SUBSTITUTE(LOOKUP(2,1/(AI59:AV59&lt;&gt;""),$AI$3:$AV$3),"Date: ","")))</t>
        </is>
      </c>
      <c r="AD59" s="49" t="inlineStr">
        <is>
          <t>IF(OR(F59="",COUNT(AI59:AV59)=0),"",TODAY()-LOOKUP(2,1/(AI59:AV59&lt;&gt;""),AI59:AV59))</t>
        </is>
      </c>
      <c r="AE59" s="49" t="inlineStr">
        <is>
          <t>IF(OR(F59="",COUNT(AI59:AV59)&lt;2),"",LOOKUP(2,1/(AI59:AV59&lt;&gt;""),AI59:AV59)-MIN(AI59:AV59))</t>
        </is>
      </c>
      <c r="AF59" s="49" t="inlineStr">
        <is>
          <t>IF(OR(AD59="",AC59="Not started",AC59=""),"",IFERROR(AD59-IF(VLOOKUP(AC59,'06_Status_Pipeline'!$B$3:$E$20,4,FALSE)="",0,VLOOKUP(AC59,'06_Status_Pipeline'!$B$3:$E$20,4,FALSE)),""))</t>
        </is>
      </c>
      <c r="AG59" s="42" t="inlineStr">
        <is>
          <t>IF(F59="","",IF(OR(AA59="Cancelled",AC59="Cancelled"),"Cancelled",IF(OR(AC59="Completed / Handover",Y59&lt;&gt;"",Z59&gt;=100),"Completed — on track",IF(O59="Not awarded",IF(U59="",IF(X59="","No planned date",IF(TODAY()&gt;X59,"Behind — past planned date",IF(X59-TODAY()&lt;=30,"At risk — close to off track","On track"))),IF(TODAY()&gt;U59,"Behind — award date passed",IF(U59-TODAY()&lt;=30,"At risk — close to off track","On track"))),IF(X59="","No planned date",IF(AND(TODAY()&gt;X59,OR(Z59="",Z59&lt;100)),"Behind — past end date",IF(AND(T59&lt;&gt;"",X59&lt;&gt;"",Z59&lt;&gt;"",(Z59&lt;100),((TODAY()-T59)/MAX(X59-T59,1)*100)-Z59&gt;15),"Behind — progress lag",IF(AND(X59-TODAY()&lt;=30,X59-TODAY()&gt;=0,OR(Z59="",Z59&lt;90)),"At risk — close to off track","On track"))))))))</t>
        </is>
      </c>
      <c r="AH59" s="49" t="inlineStr">
        <is>
          <t>IF(OR(F59="",AC59="Completed / Handover",AC59="Cancelled"),"",IF(O59="Not awarded",IF(U59&lt;&gt;"",U59-TODAY(),IF(X59="","",X59-TODAY())),IF(X59="","",X59-TODAY())))</t>
        </is>
      </c>
      <c r="AI59" s="47" t="n"/>
      <c r="AJ59" s="47" t="n"/>
      <c r="AK59" s="47" t="n"/>
      <c r="AL59" s="47" t="n"/>
      <c r="AM59" s="47" t="n"/>
      <c r="AN59" s="47" t="n"/>
      <c r="AO59" s="47" t="n"/>
      <c r="AP59" s="47" t="n"/>
      <c r="AQ59" s="47" t="n"/>
      <c r="AR59" s="47" t="n"/>
      <c r="AS59" s="47" t="n"/>
      <c r="AT59" s="50" t="n"/>
      <c r="AU59" s="50" t="n"/>
      <c r="AV59" s="50" t="n"/>
      <c r="AW59" s="49" t="inlineStr">
        <is>
          <t>IF(OR(F59="",AJ59=""),"",IF(COUNT(AI59:AI59)=0,"",AJ59-LOOKUP(2,1/(AI59:AI59&lt;&gt;""),AI59:AI59)))</t>
        </is>
      </c>
      <c r="AX59" s="49" t="inlineStr">
        <is>
          <t>IF(OR(F59="",AK59=""),"",IF(COUNT(AI59:AJ59)=0,"",AK59-LOOKUP(2,1/(AI59:AJ59&lt;&gt;""),AI59:AJ59)))</t>
        </is>
      </c>
      <c r="AY59" s="49" t="inlineStr">
        <is>
          <t>IF(OR(F59="",AL59=""),"",IF(COUNT(AI59:AK59)=0,"",AL59-LOOKUP(2,1/(AI59:AK59&lt;&gt;""),AI59:AK59)))</t>
        </is>
      </c>
      <c r="AZ59" s="49" t="inlineStr">
        <is>
          <t>IF(OR(F59="",AM59=""),"",IF(COUNT(AI59:AL59)=0,"",AM59-LOOKUP(2,1/(AI59:AL59&lt;&gt;""),AI59:AL59)))</t>
        </is>
      </c>
      <c r="BA59" s="49" t="inlineStr">
        <is>
          <t>IF(OR(F59="",AN59=""),"",IF(COUNT(AI59:AM59)=0,"",AN59-LOOKUP(2,1/(AI59:AM59&lt;&gt;""),AI59:AM59)))</t>
        </is>
      </c>
      <c r="BB59" s="49" t="inlineStr">
        <is>
          <t>IF(OR(F59="",AO59=""),"",IF(COUNT(AI59:AN59)=0,"",AO59-LOOKUP(2,1/(AI59:AN59&lt;&gt;""),AI59:AN59)))</t>
        </is>
      </c>
      <c r="BC59" s="49" t="inlineStr">
        <is>
          <t>IF(OR(F59="",AP59=""),"",IF(COUNT(AI59:AO59)=0,"",AP59-LOOKUP(2,1/(AI59:AO59&lt;&gt;""),AI59:AO59)))</t>
        </is>
      </c>
      <c r="BD59" s="49" t="inlineStr">
        <is>
          <t>IF(OR(F59="",AQ59=""),"",IF(COUNT(AI59:AP59)=0,"",AQ59-LOOKUP(2,1/(AI59:AP59&lt;&gt;""),AI59:AP59)))</t>
        </is>
      </c>
      <c r="BE59" s="49" t="inlineStr">
        <is>
          <t>IF(OR(F59="",AR59=""),"",IF(COUNT(AI59:AQ59)=0,"",AR59-LOOKUP(2,1/(AI59:AQ59&lt;&gt;""),AI59:AQ59)))</t>
        </is>
      </c>
      <c r="BF59" s="49" t="inlineStr">
        <is>
          <t>IF(OR(F59="",AS59=""),"",IF(COUNT(AI59:AR59)=0,"",AS59-LOOKUP(2,1/(AI59:AR59&lt;&gt;""),AI59:AR59)))</t>
        </is>
      </c>
      <c r="BG59" s="49" t="inlineStr">
        <is>
          <t>IF(OR(F59="",AT59=""),"",IF(COUNT(AI59:AS59)=0,"",AT59-LOOKUP(2,1/(AI59:AS59&lt;&gt;""),AI59:AS59)))</t>
        </is>
      </c>
      <c r="BH59" s="49" t="inlineStr">
        <is>
          <t>IF(OR(F59="",AU59=""),"",IF(COUNT(AI59:AT59)=0,"",AU59-LOOKUP(2,1/(AI59:AT59&lt;&gt;""),AI59:AT59)))</t>
        </is>
      </c>
      <c r="BI59" s="49" t="inlineStr">
        <is>
          <t>IF(OR(F59="",AV59=""),"",IF(COUNT(AI59:AU59)=0,"",AV59-LOOKUP(2,1/(AI59:AU59&lt;&gt;""),AI59:AU59)))</t>
        </is>
      </c>
      <c r="BJ59" s="51" t="inlineStr">
        <is>
          <t>IF(J59="","All_Provinces",IFERROR(VLOOKUP(J59,'09_Lookups'!$A$4:$B$20,2,FALSE),"All_Provinces"))</t>
        </is>
      </c>
      <c r="BK59" s="51" t="inlineStr">
        <is>
          <t>IF(K59="","All_Districts",IFERROR(VLOOKUP(K59,'09_Lookups'!$E$4:$F$42,2,FALSE),"All_Districts"))</t>
        </is>
      </c>
    </row>
    <row r="60" ht="18" customHeight="1">
      <c r="A60" s="42" t="inlineStr">
        <is>
          <t>IF(F60="","",ROW()-3)</t>
        </is>
      </c>
      <c r="B60" s="52" t="n"/>
      <c r="C60" s="52" t="n"/>
      <c r="D60" s="52" t="n"/>
      <c r="E60" s="52" t="n"/>
      <c r="F60" s="52" t="n"/>
      <c r="G60" s="52" t="n"/>
      <c r="H60" s="52" t="n"/>
      <c r="I60" s="52" t="n"/>
      <c r="J60" s="52" t="n"/>
      <c r="K60" s="52" t="n"/>
      <c r="L60" s="52" t="n"/>
      <c r="M60" s="52" t="n"/>
      <c r="N60" s="52" t="n"/>
      <c r="O60" s="52" t="n"/>
      <c r="P60" s="52" t="n"/>
      <c r="Q60" s="52" t="n"/>
      <c r="R60" s="52" t="n"/>
      <c r="S60" s="53" t="n"/>
      <c r="T60" s="46" t="inlineStr">
        <is>
          <t>IF(AQ60="","",AQ60)</t>
        </is>
      </c>
      <c r="U60" s="54" t="n"/>
      <c r="V60" s="55" t="n"/>
      <c r="W60" s="54" t="n"/>
      <c r="X60" s="46" t="inlineStr">
        <is>
          <t>IF(W60&lt;&gt;"",W60,IF(OR(T60="",V60=""),"",EDATE(T60,V60)))</t>
        </is>
      </c>
      <c r="Y60" s="54" t="n"/>
      <c r="Z60" s="55" t="n"/>
      <c r="AA60" s="52" t="n"/>
      <c r="AB60" s="52" t="n"/>
      <c r="AC60" s="42" t="inlineStr">
        <is>
          <t>IF(F60="","",IF(COUNT(AI60:AV60)=0,IF(AA60="","Not started",AA60),SUBSTITUTE(LOOKUP(2,1/(AI60:AV60&lt;&gt;""),$AI$3:$AV$3),"Date: ","")))</t>
        </is>
      </c>
      <c r="AD60" s="49" t="inlineStr">
        <is>
          <t>IF(OR(F60="",COUNT(AI60:AV60)=0),"",TODAY()-LOOKUP(2,1/(AI60:AV60&lt;&gt;""),AI60:AV60))</t>
        </is>
      </c>
      <c r="AE60" s="49" t="inlineStr">
        <is>
          <t>IF(OR(F60="",COUNT(AI60:AV60)&lt;2),"",LOOKUP(2,1/(AI60:AV60&lt;&gt;""),AI60:AV60)-MIN(AI60:AV60))</t>
        </is>
      </c>
      <c r="AF60" s="49" t="inlineStr">
        <is>
          <t>IF(OR(AD60="",AC60="Not started",AC60=""),"",IFERROR(AD60-IF(VLOOKUP(AC60,'06_Status_Pipeline'!$B$3:$E$20,4,FALSE)="",0,VLOOKUP(AC60,'06_Status_Pipeline'!$B$3:$E$20,4,FALSE)),""))</t>
        </is>
      </c>
      <c r="AG60" s="42" t="inlineStr">
        <is>
          <t>IF(F60="","",IF(OR(AA60="Cancelled",AC60="Cancelled"),"Cancelled",IF(OR(AC60="Completed / Handover",Y60&lt;&gt;"",Z60&gt;=100),"Completed — on track",IF(O60="Not awarded",IF(U60="",IF(X60="","No planned date",IF(TODAY()&gt;X60,"Behind — past planned date",IF(X60-TODAY()&lt;=30,"At risk — close to off track","On track"))),IF(TODAY()&gt;U60,"Behind — award date passed",IF(U60-TODAY()&lt;=30,"At risk — close to off track","On track"))),IF(X60="","No planned date",IF(AND(TODAY()&gt;X60,OR(Z60="",Z60&lt;100)),"Behind — past end date",IF(AND(T60&lt;&gt;"",X60&lt;&gt;"",Z60&lt;&gt;"",(Z60&lt;100),((TODAY()-T60)/MAX(X60-T60,1)*100)-Z60&gt;15),"Behind — progress lag",IF(AND(X60-TODAY()&lt;=30,X60-TODAY()&gt;=0,OR(Z60="",Z60&lt;90)),"At risk — close to off track","On track"))))))))</t>
        </is>
      </c>
      <c r="AH60" s="49" t="inlineStr">
        <is>
          <t>IF(OR(F60="",AC60="Completed / Handover",AC60="Cancelled"),"",IF(O60="Not awarded",IF(U60&lt;&gt;"",U60-TODAY(),IF(X60="","",X60-TODAY())),IF(X60="","",X60-TODAY())))</t>
        </is>
      </c>
      <c r="AI60" s="54" t="n"/>
      <c r="AJ60" s="54" t="n"/>
      <c r="AK60" s="54" t="n"/>
      <c r="AL60" s="54" t="n"/>
      <c r="AM60" s="54" t="n"/>
      <c r="AN60" s="54" t="n"/>
      <c r="AO60" s="54" t="n"/>
      <c r="AP60" s="54" t="n"/>
      <c r="AQ60" s="54" t="n"/>
      <c r="AR60" s="54" t="n"/>
      <c r="AS60" s="54" t="n"/>
      <c r="AT60" s="50" t="n"/>
      <c r="AU60" s="50" t="n"/>
      <c r="AV60" s="50" t="n"/>
      <c r="AW60" s="49" t="inlineStr">
        <is>
          <t>IF(OR(F60="",AJ60=""),"",IF(COUNT(AI60:AI60)=0,"",AJ60-LOOKUP(2,1/(AI60:AI60&lt;&gt;""),AI60:AI60)))</t>
        </is>
      </c>
      <c r="AX60" s="49" t="inlineStr">
        <is>
          <t>IF(OR(F60="",AK60=""),"",IF(COUNT(AI60:AJ60)=0,"",AK60-LOOKUP(2,1/(AI60:AJ60&lt;&gt;""),AI60:AJ60)))</t>
        </is>
      </c>
      <c r="AY60" s="49" t="inlineStr">
        <is>
          <t>IF(OR(F60="",AL60=""),"",IF(COUNT(AI60:AK60)=0,"",AL60-LOOKUP(2,1/(AI60:AK60&lt;&gt;""),AI60:AK60)))</t>
        </is>
      </c>
      <c r="AZ60" s="49" t="inlineStr">
        <is>
          <t>IF(OR(F60="",AM60=""),"",IF(COUNT(AI60:AL60)=0,"",AM60-LOOKUP(2,1/(AI60:AL60&lt;&gt;""),AI60:AL60)))</t>
        </is>
      </c>
      <c r="BA60" s="49" t="inlineStr">
        <is>
          <t>IF(OR(F60="",AN60=""),"",IF(COUNT(AI60:AM60)=0,"",AN60-LOOKUP(2,1/(AI60:AM60&lt;&gt;""),AI60:AM60)))</t>
        </is>
      </c>
      <c r="BB60" s="49" t="inlineStr">
        <is>
          <t>IF(OR(F60="",AO60=""),"",IF(COUNT(AI60:AN60)=0,"",AO60-LOOKUP(2,1/(AI60:AN60&lt;&gt;""),AI60:AN60)))</t>
        </is>
      </c>
      <c r="BC60" s="49" t="inlineStr">
        <is>
          <t>IF(OR(F60="",AP60=""),"",IF(COUNT(AI60:AO60)=0,"",AP60-LOOKUP(2,1/(AI60:AO60&lt;&gt;""),AI60:AO60)))</t>
        </is>
      </c>
      <c r="BD60" s="49" t="inlineStr">
        <is>
          <t>IF(OR(F60="",AQ60=""),"",IF(COUNT(AI60:AP60)=0,"",AQ60-LOOKUP(2,1/(AI60:AP60&lt;&gt;""),AI60:AP60)))</t>
        </is>
      </c>
      <c r="BE60" s="49" t="inlineStr">
        <is>
          <t>IF(OR(F60="",AR60=""),"",IF(COUNT(AI60:AQ60)=0,"",AR60-LOOKUP(2,1/(AI60:AQ60&lt;&gt;""),AI60:AQ60)))</t>
        </is>
      </c>
      <c r="BF60" s="49" t="inlineStr">
        <is>
          <t>IF(OR(F60="",AS60=""),"",IF(COUNT(AI60:AR60)=0,"",AS60-LOOKUP(2,1/(AI60:AR60&lt;&gt;""),AI60:AR60)))</t>
        </is>
      </c>
      <c r="BG60" s="49" t="inlineStr">
        <is>
          <t>IF(OR(F60="",AT60=""),"",IF(COUNT(AI60:AS60)=0,"",AT60-LOOKUP(2,1/(AI60:AS60&lt;&gt;""),AI60:AS60)))</t>
        </is>
      </c>
      <c r="BH60" s="49" t="inlineStr">
        <is>
          <t>IF(OR(F60="",AU60=""),"",IF(COUNT(AI60:AT60)=0,"",AU60-LOOKUP(2,1/(AI60:AT60&lt;&gt;""),AI60:AT60)))</t>
        </is>
      </c>
      <c r="BI60" s="49" t="inlineStr">
        <is>
          <t>IF(OR(F60="",AV60=""),"",IF(COUNT(AI60:AU60)=0,"",AV60-LOOKUP(2,1/(AI60:AU60&lt;&gt;""),AI60:AU60)))</t>
        </is>
      </c>
      <c r="BJ60" s="51" t="inlineStr">
        <is>
          <t>IF(J60="","All_Provinces",IFERROR(VLOOKUP(J60,'09_Lookups'!$A$4:$B$20,2,FALSE),"All_Provinces"))</t>
        </is>
      </c>
      <c r="BK60" s="51" t="inlineStr">
        <is>
          <t>IF(K60="","All_Districts",IFERROR(VLOOKUP(K60,'09_Lookups'!$E$4:$F$42,2,FALSE),"All_Districts"))</t>
        </is>
      </c>
    </row>
    <row r="61" ht="18" customHeight="1">
      <c r="A61" s="42" t="inlineStr">
        <is>
          <t>IF(F61="","",ROW()-3)</t>
        </is>
      </c>
      <c r="B61" s="44" t="n"/>
      <c r="C61" s="44" t="n"/>
      <c r="D61" s="44" t="n"/>
      <c r="E61" s="44" t="n"/>
      <c r="F61" s="44" t="n"/>
      <c r="G61" s="44" t="n"/>
      <c r="H61" s="44" t="n"/>
      <c r="I61" s="44" t="n"/>
      <c r="J61" s="44" t="n"/>
      <c r="K61" s="44" t="n"/>
      <c r="L61" s="44" t="n"/>
      <c r="M61" s="44" t="n"/>
      <c r="N61" s="44" t="n"/>
      <c r="O61" s="44" t="n"/>
      <c r="P61" s="44" t="n"/>
      <c r="Q61" s="44" t="n"/>
      <c r="R61" s="44" t="n"/>
      <c r="S61" s="45" t="n"/>
      <c r="T61" s="46" t="inlineStr">
        <is>
          <t>IF(AQ61="","",AQ61)</t>
        </is>
      </c>
      <c r="U61" s="47" t="n"/>
      <c r="V61" s="48" t="n"/>
      <c r="W61" s="47" t="n"/>
      <c r="X61" s="46" t="inlineStr">
        <is>
          <t>IF(W61&lt;&gt;"",W61,IF(OR(T61="",V61=""),"",EDATE(T61,V61)))</t>
        </is>
      </c>
      <c r="Y61" s="47" t="n"/>
      <c r="Z61" s="48" t="n"/>
      <c r="AA61" s="44" t="n"/>
      <c r="AB61" s="44" t="n"/>
      <c r="AC61" s="42" t="inlineStr">
        <is>
          <t>IF(F61="","",IF(COUNT(AI61:AV61)=0,IF(AA61="","Not started",AA61),SUBSTITUTE(LOOKUP(2,1/(AI61:AV61&lt;&gt;""),$AI$3:$AV$3),"Date: ","")))</t>
        </is>
      </c>
      <c r="AD61" s="49" t="inlineStr">
        <is>
          <t>IF(OR(F61="",COUNT(AI61:AV61)=0),"",TODAY()-LOOKUP(2,1/(AI61:AV61&lt;&gt;""),AI61:AV61))</t>
        </is>
      </c>
      <c r="AE61" s="49" t="inlineStr">
        <is>
          <t>IF(OR(F61="",COUNT(AI61:AV61)&lt;2),"",LOOKUP(2,1/(AI61:AV61&lt;&gt;""),AI61:AV61)-MIN(AI61:AV61))</t>
        </is>
      </c>
      <c r="AF61" s="49" t="inlineStr">
        <is>
          <t>IF(OR(AD61="",AC61="Not started",AC61=""),"",IFERROR(AD61-IF(VLOOKUP(AC61,'06_Status_Pipeline'!$B$3:$E$20,4,FALSE)="",0,VLOOKUP(AC61,'06_Status_Pipeline'!$B$3:$E$20,4,FALSE)),""))</t>
        </is>
      </c>
      <c r="AG61" s="42" t="inlineStr">
        <is>
          <t>IF(F61="","",IF(OR(AA61="Cancelled",AC61="Cancelled"),"Cancelled",IF(OR(AC61="Completed / Handover",Y61&lt;&gt;"",Z61&gt;=100),"Completed — on track",IF(O61="Not awarded",IF(U61="",IF(X61="","No planned date",IF(TODAY()&gt;X61,"Behind — past planned date",IF(X61-TODAY()&lt;=30,"At risk — close to off track","On track"))),IF(TODAY()&gt;U61,"Behind — award date passed",IF(U61-TODAY()&lt;=30,"At risk — close to off track","On track"))),IF(X61="","No planned date",IF(AND(TODAY()&gt;X61,OR(Z61="",Z61&lt;100)),"Behind — past end date",IF(AND(T61&lt;&gt;"",X61&lt;&gt;"",Z61&lt;&gt;"",(Z61&lt;100),((TODAY()-T61)/MAX(X61-T61,1)*100)-Z61&gt;15),"Behind — progress lag",IF(AND(X61-TODAY()&lt;=30,X61-TODAY()&gt;=0,OR(Z61="",Z61&lt;90)),"At risk — close to off track","On track"))))))))</t>
        </is>
      </c>
      <c r="AH61" s="49" t="inlineStr">
        <is>
          <t>IF(OR(F61="",AC61="Completed / Handover",AC61="Cancelled"),"",IF(O61="Not awarded",IF(U61&lt;&gt;"",U61-TODAY(),IF(X61="","",X61-TODAY())),IF(X61="","",X61-TODAY())))</t>
        </is>
      </c>
      <c r="AI61" s="47" t="n"/>
      <c r="AJ61" s="47" t="n"/>
      <c r="AK61" s="47" t="n"/>
      <c r="AL61" s="47" t="n"/>
      <c r="AM61" s="47" t="n"/>
      <c r="AN61" s="47" t="n"/>
      <c r="AO61" s="47" t="n"/>
      <c r="AP61" s="47" t="n"/>
      <c r="AQ61" s="47" t="n"/>
      <c r="AR61" s="47" t="n"/>
      <c r="AS61" s="47" t="n"/>
      <c r="AT61" s="50" t="n"/>
      <c r="AU61" s="50" t="n"/>
      <c r="AV61" s="50" t="n"/>
      <c r="AW61" s="49" t="inlineStr">
        <is>
          <t>IF(OR(F61="",AJ61=""),"",IF(COUNT(AI61:AI61)=0,"",AJ61-LOOKUP(2,1/(AI61:AI61&lt;&gt;""),AI61:AI61)))</t>
        </is>
      </c>
      <c r="AX61" s="49" t="inlineStr">
        <is>
          <t>IF(OR(F61="",AK61=""),"",IF(COUNT(AI61:AJ61)=0,"",AK61-LOOKUP(2,1/(AI61:AJ61&lt;&gt;""),AI61:AJ61)))</t>
        </is>
      </c>
      <c r="AY61" s="49" t="inlineStr">
        <is>
          <t>IF(OR(F61="",AL61=""),"",IF(COUNT(AI61:AK61)=0,"",AL61-LOOKUP(2,1/(AI61:AK61&lt;&gt;""),AI61:AK61)))</t>
        </is>
      </c>
      <c r="AZ61" s="49" t="inlineStr">
        <is>
          <t>IF(OR(F61="",AM61=""),"",IF(COUNT(AI61:AL61)=0,"",AM61-LOOKUP(2,1/(AI61:AL61&lt;&gt;""),AI61:AL61)))</t>
        </is>
      </c>
      <c r="BA61" s="49" t="inlineStr">
        <is>
          <t>IF(OR(F61="",AN61=""),"",IF(COUNT(AI61:AM61)=0,"",AN61-LOOKUP(2,1/(AI61:AM61&lt;&gt;""),AI61:AM61)))</t>
        </is>
      </c>
      <c r="BB61" s="49" t="inlineStr">
        <is>
          <t>IF(OR(F61="",AO61=""),"",IF(COUNT(AI61:AN61)=0,"",AO61-LOOKUP(2,1/(AI61:AN61&lt;&gt;""),AI61:AN61)))</t>
        </is>
      </c>
      <c r="BC61" s="49" t="inlineStr">
        <is>
          <t>IF(OR(F61="",AP61=""),"",IF(COUNT(AI61:AO61)=0,"",AP61-LOOKUP(2,1/(AI61:AO61&lt;&gt;""),AI61:AO61)))</t>
        </is>
      </c>
      <c r="BD61" s="49" t="inlineStr">
        <is>
          <t>IF(OR(F61="",AQ61=""),"",IF(COUNT(AI61:AP61)=0,"",AQ61-LOOKUP(2,1/(AI61:AP61&lt;&gt;""),AI61:AP61)))</t>
        </is>
      </c>
      <c r="BE61" s="49" t="inlineStr">
        <is>
          <t>IF(OR(F61="",AR61=""),"",IF(COUNT(AI61:AQ61)=0,"",AR61-LOOKUP(2,1/(AI61:AQ61&lt;&gt;""),AI61:AQ61)))</t>
        </is>
      </c>
      <c r="BF61" s="49" t="inlineStr">
        <is>
          <t>IF(OR(F61="",AS61=""),"",IF(COUNT(AI61:AR61)=0,"",AS61-LOOKUP(2,1/(AI61:AR61&lt;&gt;""),AI61:AR61)))</t>
        </is>
      </c>
      <c r="BG61" s="49" t="inlineStr">
        <is>
          <t>IF(OR(F61="",AT61=""),"",IF(COUNT(AI61:AS61)=0,"",AT61-LOOKUP(2,1/(AI61:AS61&lt;&gt;""),AI61:AS61)))</t>
        </is>
      </c>
      <c r="BH61" s="49" t="inlineStr">
        <is>
          <t>IF(OR(F61="",AU61=""),"",IF(COUNT(AI61:AT61)=0,"",AU61-LOOKUP(2,1/(AI61:AT61&lt;&gt;""),AI61:AT61)))</t>
        </is>
      </c>
      <c r="BI61" s="49" t="inlineStr">
        <is>
          <t>IF(OR(F61="",AV61=""),"",IF(COUNT(AI61:AU61)=0,"",AV61-LOOKUP(2,1/(AI61:AU61&lt;&gt;""),AI61:AU61)))</t>
        </is>
      </c>
      <c r="BJ61" s="51" t="inlineStr">
        <is>
          <t>IF(J61="","All_Provinces",IFERROR(VLOOKUP(J61,'09_Lookups'!$A$4:$B$20,2,FALSE),"All_Provinces"))</t>
        </is>
      </c>
      <c r="BK61" s="51" t="inlineStr">
        <is>
          <t>IF(K61="","All_Districts",IFERROR(VLOOKUP(K61,'09_Lookups'!$E$4:$F$42,2,FALSE),"All_Districts"))</t>
        </is>
      </c>
    </row>
    <row r="62" ht="18" customHeight="1">
      <c r="A62" s="42" t="inlineStr">
        <is>
          <t>IF(F62="","",ROW()-3)</t>
        </is>
      </c>
      <c r="B62" s="52" t="n"/>
      <c r="C62" s="52" t="n"/>
      <c r="D62" s="52" t="n"/>
      <c r="E62" s="52" t="n"/>
      <c r="F62" s="52" t="n"/>
      <c r="G62" s="52" t="n"/>
      <c r="H62" s="52" t="n"/>
      <c r="I62" s="52" t="n"/>
      <c r="J62" s="52" t="n"/>
      <c r="K62" s="52" t="n"/>
      <c r="L62" s="52" t="n"/>
      <c r="M62" s="52" t="n"/>
      <c r="N62" s="52" t="n"/>
      <c r="O62" s="52" t="n"/>
      <c r="P62" s="52" t="n"/>
      <c r="Q62" s="52" t="n"/>
      <c r="R62" s="52" t="n"/>
      <c r="S62" s="53" t="n"/>
      <c r="T62" s="46" t="inlineStr">
        <is>
          <t>IF(AQ62="","",AQ62)</t>
        </is>
      </c>
      <c r="U62" s="54" t="n"/>
      <c r="V62" s="55" t="n"/>
      <c r="W62" s="54" t="n"/>
      <c r="X62" s="46" t="inlineStr">
        <is>
          <t>IF(W62&lt;&gt;"",W62,IF(OR(T62="",V62=""),"",EDATE(T62,V62)))</t>
        </is>
      </c>
      <c r="Y62" s="54" t="n"/>
      <c r="Z62" s="55" t="n"/>
      <c r="AA62" s="52" t="n"/>
      <c r="AB62" s="52" t="n"/>
      <c r="AC62" s="42" t="inlineStr">
        <is>
          <t>IF(F62="","",IF(COUNT(AI62:AV62)=0,IF(AA62="","Not started",AA62),SUBSTITUTE(LOOKUP(2,1/(AI62:AV62&lt;&gt;""),$AI$3:$AV$3),"Date: ","")))</t>
        </is>
      </c>
      <c r="AD62" s="49" t="inlineStr">
        <is>
          <t>IF(OR(F62="",COUNT(AI62:AV62)=0),"",TODAY()-LOOKUP(2,1/(AI62:AV62&lt;&gt;""),AI62:AV62))</t>
        </is>
      </c>
      <c r="AE62" s="49" t="inlineStr">
        <is>
          <t>IF(OR(F62="",COUNT(AI62:AV62)&lt;2),"",LOOKUP(2,1/(AI62:AV62&lt;&gt;""),AI62:AV62)-MIN(AI62:AV62))</t>
        </is>
      </c>
      <c r="AF62" s="49" t="inlineStr">
        <is>
          <t>IF(OR(AD62="",AC62="Not started",AC62=""),"",IFERROR(AD62-IF(VLOOKUP(AC62,'06_Status_Pipeline'!$B$3:$E$20,4,FALSE)="",0,VLOOKUP(AC62,'06_Status_Pipeline'!$B$3:$E$20,4,FALSE)),""))</t>
        </is>
      </c>
      <c r="AG62" s="42" t="inlineStr">
        <is>
          <t>IF(F62="","",IF(OR(AA62="Cancelled",AC62="Cancelled"),"Cancelled",IF(OR(AC62="Completed / Handover",Y62&lt;&gt;"",Z62&gt;=100),"Completed — on track",IF(O62="Not awarded",IF(U62="",IF(X62="","No planned date",IF(TODAY()&gt;X62,"Behind — past planned date",IF(X62-TODAY()&lt;=30,"At risk — close to off track","On track"))),IF(TODAY()&gt;U62,"Behind — award date passed",IF(U62-TODAY()&lt;=30,"At risk — close to off track","On track"))),IF(X62="","No planned date",IF(AND(TODAY()&gt;X62,OR(Z62="",Z62&lt;100)),"Behind — past end date",IF(AND(T62&lt;&gt;"",X62&lt;&gt;"",Z62&lt;&gt;"",(Z62&lt;100),((TODAY()-T62)/MAX(X62-T62,1)*100)-Z62&gt;15),"Behind — progress lag",IF(AND(X62-TODAY()&lt;=30,X62-TODAY()&gt;=0,OR(Z62="",Z62&lt;90)),"At risk — close to off track","On track"))))))))</t>
        </is>
      </c>
      <c r="AH62" s="49" t="inlineStr">
        <is>
          <t>IF(OR(F62="",AC62="Completed / Handover",AC62="Cancelled"),"",IF(O62="Not awarded",IF(U62&lt;&gt;"",U62-TODAY(),IF(X62="","",X62-TODAY())),IF(X62="","",X62-TODAY())))</t>
        </is>
      </c>
      <c r="AI62" s="54" t="n"/>
      <c r="AJ62" s="54" t="n"/>
      <c r="AK62" s="54" t="n"/>
      <c r="AL62" s="54" t="n"/>
      <c r="AM62" s="54" t="n"/>
      <c r="AN62" s="54" t="n"/>
      <c r="AO62" s="54" t="n"/>
      <c r="AP62" s="54" t="n"/>
      <c r="AQ62" s="54" t="n"/>
      <c r="AR62" s="54" t="n"/>
      <c r="AS62" s="54" t="n"/>
      <c r="AT62" s="50" t="n"/>
      <c r="AU62" s="50" t="n"/>
      <c r="AV62" s="50" t="n"/>
      <c r="AW62" s="49" t="inlineStr">
        <is>
          <t>IF(OR(F62="",AJ62=""),"",IF(COUNT(AI62:AI62)=0,"",AJ62-LOOKUP(2,1/(AI62:AI62&lt;&gt;""),AI62:AI62)))</t>
        </is>
      </c>
      <c r="AX62" s="49" t="inlineStr">
        <is>
          <t>IF(OR(F62="",AK62=""),"",IF(COUNT(AI62:AJ62)=0,"",AK62-LOOKUP(2,1/(AI62:AJ62&lt;&gt;""),AI62:AJ62)))</t>
        </is>
      </c>
      <c r="AY62" s="49" t="inlineStr">
        <is>
          <t>IF(OR(F62="",AL62=""),"",IF(COUNT(AI62:AK62)=0,"",AL62-LOOKUP(2,1/(AI62:AK62&lt;&gt;""),AI62:AK62)))</t>
        </is>
      </c>
      <c r="AZ62" s="49" t="inlineStr">
        <is>
          <t>IF(OR(F62="",AM62=""),"",IF(COUNT(AI62:AL62)=0,"",AM62-LOOKUP(2,1/(AI62:AL62&lt;&gt;""),AI62:AL62)))</t>
        </is>
      </c>
      <c r="BA62" s="49" t="inlineStr">
        <is>
          <t>IF(OR(F62="",AN62=""),"",IF(COUNT(AI62:AM62)=0,"",AN62-LOOKUP(2,1/(AI62:AM62&lt;&gt;""),AI62:AM62)))</t>
        </is>
      </c>
      <c r="BB62" s="49" t="inlineStr">
        <is>
          <t>IF(OR(F62="",AO62=""),"",IF(COUNT(AI62:AN62)=0,"",AO62-LOOKUP(2,1/(AI62:AN62&lt;&gt;""),AI62:AN62)))</t>
        </is>
      </c>
      <c r="BC62" s="49" t="inlineStr">
        <is>
          <t>IF(OR(F62="",AP62=""),"",IF(COUNT(AI62:AO62)=0,"",AP62-LOOKUP(2,1/(AI62:AO62&lt;&gt;""),AI62:AO62)))</t>
        </is>
      </c>
      <c r="BD62" s="49" t="inlineStr">
        <is>
          <t>IF(OR(F62="",AQ62=""),"",IF(COUNT(AI62:AP62)=0,"",AQ62-LOOKUP(2,1/(AI62:AP62&lt;&gt;""),AI62:AP62)))</t>
        </is>
      </c>
      <c r="BE62" s="49" t="inlineStr">
        <is>
          <t>IF(OR(F62="",AR62=""),"",IF(COUNT(AI62:AQ62)=0,"",AR62-LOOKUP(2,1/(AI62:AQ62&lt;&gt;""),AI62:AQ62)))</t>
        </is>
      </c>
      <c r="BF62" s="49" t="inlineStr">
        <is>
          <t>IF(OR(F62="",AS62=""),"",IF(COUNT(AI62:AR62)=0,"",AS62-LOOKUP(2,1/(AI62:AR62&lt;&gt;""),AI62:AR62)))</t>
        </is>
      </c>
      <c r="BG62" s="49" t="inlineStr">
        <is>
          <t>IF(OR(F62="",AT62=""),"",IF(COUNT(AI62:AS62)=0,"",AT62-LOOKUP(2,1/(AI62:AS62&lt;&gt;""),AI62:AS62)))</t>
        </is>
      </c>
      <c r="BH62" s="49" t="inlineStr">
        <is>
          <t>IF(OR(F62="",AU62=""),"",IF(COUNT(AI62:AT62)=0,"",AU62-LOOKUP(2,1/(AI62:AT62&lt;&gt;""),AI62:AT62)))</t>
        </is>
      </c>
      <c r="BI62" s="49" t="inlineStr">
        <is>
          <t>IF(OR(F62="",AV62=""),"",IF(COUNT(AI62:AU62)=0,"",AV62-LOOKUP(2,1/(AI62:AU62&lt;&gt;""),AI62:AU62)))</t>
        </is>
      </c>
      <c r="BJ62" s="51" t="inlineStr">
        <is>
          <t>IF(J62="","All_Provinces",IFERROR(VLOOKUP(J62,'09_Lookups'!$A$4:$B$20,2,FALSE),"All_Provinces"))</t>
        </is>
      </c>
      <c r="BK62" s="51" t="inlineStr">
        <is>
          <t>IF(K62="","All_Districts",IFERROR(VLOOKUP(K62,'09_Lookups'!$E$4:$F$42,2,FALSE),"All_Districts"))</t>
        </is>
      </c>
    </row>
    <row r="63" ht="18" customHeight="1">
      <c r="A63" s="42" t="inlineStr">
        <is>
          <t>IF(F63="","",ROW()-3)</t>
        </is>
      </c>
      <c r="B63" s="44" t="n"/>
      <c r="C63" s="44" t="n"/>
      <c r="D63" s="44" t="n"/>
      <c r="E63" s="44" t="n"/>
      <c r="F63" s="44" t="n"/>
      <c r="G63" s="44" t="n"/>
      <c r="H63" s="44" t="n"/>
      <c r="I63" s="44" t="n"/>
      <c r="J63" s="44" t="n"/>
      <c r="K63" s="44" t="n"/>
      <c r="L63" s="44" t="n"/>
      <c r="M63" s="44" t="n"/>
      <c r="N63" s="44" t="n"/>
      <c r="O63" s="44" t="n"/>
      <c r="P63" s="44" t="n"/>
      <c r="Q63" s="44" t="n"/>
      <c r="R63" s="44" t="n"/>
      <c r="S63" s="45" t="n"/>
      <c r="T63" s="46" t="inlineStr">
        <is>
          <t>IF(AQ63="","",AQ63)</t>
        </is>
      </c>
      <c r="U63" s="47" t="n"/>
      <c r="V63" s="48" t="n"/>
      <c r="W63" s="47" t="n"/>
      <c r="X63" s="46" t="inlineStr">
        <is>
          <t>IF(W63&lt;&gt;"",W63,IF(OR(T63="",V63=""),"",EDATE(T63,V63)))</t>
        </is>
      </c>
      <c r="Y63" s="47" t="n"/>
      <c r="Z63" s="48" t="n"/>
      <c r="AA63" s="44" t="n"/>
      <c r="AB63" s="44" t="n"/>
      <c r="AC63" s="42" t="inlineStr">
        <is>
          <t>IF(F63="","",IF(COUNT(AI63:AV63)=0,IF(AA63="","Not started",AA63),SUBSTITUTE(LOOKUP(2,1/(AI63:AV63&lt;&gt;""),$AI$3:$AV$3),"Date: ","")))</t>
        </is>
      </c>
      <c r="AD63" s="49" t="inlineStr">
        <is>
          <t>IF(OR(F63="",COUNT(AI63:AV63)=0),"",TODAY()-LOOKUP(2,1/(AI63:AV63&lt;&gt;""),AI63:AV63))</t>
        </is>
      </c>
      <c r="AE63" s="49" t="inlineStr">
        <is>
          <t>IF(OR(F63="",COUNT(AI63:AV63)&lt;2),"",LOOKUP(2,1/(AI63:AV63&lt;&gt;""),AI63:AV63)-MIN(AI63:AV63))</t>
        </is>
      </c>
      <c r="AF63" s="49" t="inlineStr">
        <is>
          <t>IF(OR(AD63="",AC63="Not started",AC63=""),"",IFERROR(AD63-IF(VLOOKUP(AC63,'06_Status_Pipeline'!$B$3:$E$20,4,FALSE)="",0,VLOOKUP(AC63,'06_Status_Pipeline'!$B$3:$E$20,4,FALSE)),""))</t>
        </is>
      </c>
      <c r="AG63" s="42" t="inlineStr">
        <is>
          <t>IF(F63="","",IF(OR(AA63="Cancelled",AC63="Cancelled"),"Cancelled",IF(OR(AC63="Completed / Handover",Y63&lt;&gt;"",Z63&gt;=100),"Completed — on track",IF(O63="Not awarded",IF(U63="",IF(X63="","No planned date",IF(TODAY()&gt;X63,"Behind — past planned date",IF(X63-TODAY()&lt;=30,"At risk — close to off track","On track"))),IF(TODAY()&gt;U63,"Behind — award date passed",IF(U63-TODAY()&lt;=30,"At risk — close to off track","On track"))),IF(X63="","No planned date",IF(AND(TODAY()&gt;X63,OR(Z63="",Z63&lt;100)),"Behind — past end date",IF(AND(T63&lt;&gt;"",X63&lt;&gt;"",Z63&lt;&gt;"",(Z63&lt;100),((TODAY()-T63)/MAX(X63-T63,1)*100)-Z63&gt;15),"Behind — progress lag",IF(AND(X63-TODAY()&lt;=30,X63-TODAY()&gt;=0,OR(Z63="",Z63&lt;90)),"At risk — close to off track","On track"))))))))</t>
        </is>
      </c>
      <c r="AH63" s="49" t="inlineStr">
        <is>
          <t>IF(OR(F63="",AC63="Completed / Handover",AC63="Cancelled"),"",IF(O63="Not awarded",IF(U63&lt;&gt;"",U63-TODAY(),IF(X63="","",X63-TODAY())),IF(X63="","",X63-TODAY())))</t>
        </is>
      </c>
      <c r="AI63" s="47" t="n"/>
      <c r="AJ63" s="47" t="n"/>
      <c r="AK63" s="47" t="n"/>
      <c r="AL63" s="47" t="n"/>
      <c r="AM63" s="47" t="n"/>
      <c r="AN63" s="47" t="n"/>
      <c r="AO63" s="47" t="n"/>
      <c r="AP63" s="47" t="n"/>
      <c r="AQ63" s="47" t="n"/>
      <c r="AR63" s="47" t="n"/>
      <c r="AS63" s="47" t="n"/>
      <c r="AT63" s="50" t="n"/>
      <c r="AU63" s="50" t="n"/>
      <c r="AV63" s="50" t="n"/>
      <c r="AW63" s="49" t="inlineStr">
        <is>
          <t>IF(OR(F63="",AJ63=""),"",IF(COUNT(AI63:AI63)=0,"",AJ63-LOOKUP(2,1/(AI63:AI63&lt;&gt;""),AI63:AI63)))</t>
        </is>
      </c>
      <c r="AX63" s="49" t="inlineStr">
        <is>
          <t>IF(OR(F63="",AK63=""),"",IF(COUNT(AI63:AJ63)=0,"",AK63-LOOKUP(2,1/(AI63:AJ63&lt;&gt;""),AI63:AJ63)))</t>
        </is>
      </c>
      <c r="AY63" s="49" t="inlineStr">
        <is>
          <t>IF(OR(F63="",AL63=""),"",IF(COUNT(AI63:AK63)=0,"",AL63-LOOKUP(2,1/(AI63:AK63&lt;&gt;""),AI63:AK63)))</t>
        </is>
      </c>
      <c r="AZ63" s="49" t="inlineStr">
        <is>
          <t>IF(OR(F63="",AM63=""),"",IF(COUNT(AI63:AL63)=0,"",AM63-LOOKUP(2,1/(AI63:AL63&lt;&gt;""),AI63:AL63)))</t>
        </is>
      </c>
      <c r="BA63" s="49" t="inlineStr">
        <is>
          <t>IF(OR(F63="",AN63=""),"",IF(COUNT(AI63:AM63)=0,"",AN63-LOOKUP(2,1/(AI63:AM63&lt;&gt;""),AI63:AM63)))</t>
        </is>
      </c>
      <c r="BB63" s="49" t="inlineStr">
        <is>
          <t>IF(OR(F63="",AO63=""),"",IF(COUNT(AI63:AN63)=0,"",AO63-LOOKUP(2,1/(AI63:AN63&lt;&gt;""),AI63:AN63)))</t>
        </is>
      </c>
      <c r="BC63" s="49" t="inlineStr">
        <is>
          <t>IF(OR(F63="",AP63=""),"",IF(COUNT(AI63:AO63)=0,"",AP63-LOOKUP(2,1/(AI63:AO63&lt;&gt;""),AI63:AO63)))</t>
        </is>
      </c>
      <c r="BD63" s="49" t="inlineStr">
        <is>
          <t>IF(OR(F63="",AQ63=""),"",IF(COUNT(AI63:AP63)=0,"",AQ63-LOOKUP(2,1/(AI63:AP63&lt;&gt;""),AI63:AP63)))</t>
        </is>
      </c>
      <c r="BE63" s="49" t="inlineStr">
        <is>
          <t>IF(OR(F63="",AR63=""),"",IF(COUNT(AI63:AQ63)=0,"",AR63-LOOKUP(2,1/(AI63:AQ63&lt;&gt;""),AI63:AQ63)))</t>
        </is>
      </c>
      <c r="BF63" s="49" t="inlineStr">
        <is>
          <t>IF(OR(F63="",AS63=""),"",IF(COUNT(AI63:AR63)=0,"",AS63-LOOKUP(2,1/(AI63:AR63&lt;&gt;""),AI63:AR63)))</t>
        </is>
      </c>
      <c r="BG63" s="49" t="inlineStr">
        <is>
          <t>IF(OR(F63="",AT63=""),"",IF(COUNT(AI63:AS63)=0,"",AT63-LOOKUP(2,1/(AI63:AS63&lt;&gt;""),AI63:AS63)))</t>
        </is>
      </c>
      <c r="BH63" s="49" t="inlineStr">
        <is>
          <t>IF(OR(F63="",AU63=""),"",IF(COUNT(AI63:AT63)=0,"",AU63-LOOKUP(2,1/(AI63:AT63&lt;&gt;""),AI63:AT63)))</t>
        </is>
      </c>
      <c r="BI63" s="49" t="inlineStr">
        <is>
          <t>IF(OR(F63="",AV63=""),"",IF(COUNT(AI63:AU63)=0,"",AV63-LOOKUP(2,1/(AI63:AU63&lt;&gt;""),AI63:AU63)))</t>
        </is>
      </c>
      <c r="BJ63" s="51" t="inlineStr">
        <is>
          <t>IF(J63="","All_Provinces",IFERROR(VLOOKUP(J63,'09_Lookups'!$A$4:$B$20,2,FALSE),"All_Provinces"))</t>
        </is>
      </c>
      <c r="BK63" s="51" t="inlineStr">
        <is>
          <t>IF(K63="","All_Districts",IFERROR(VLOOKUP(K63,'09_Lookups'!$E$4:$F$42,2,FALSE),"All_Districts"))</t>
        </is>
      </c>
    </row>
    <row r="64" ht="18" customHeight="1">
      <c r="A64" s="42" t="inlineStr">
        <is>
          <t>IF(F64="","",ROW()-3)</t>
        </is>
      </c>
      <c r="B64" s="52" t="n"/>
      <c r="C64" s="52" t="n"/>
      <c r="D64" s="52" t="n"/>
      <c r="E64" s="52" t="n"/>
      <c r="F64" s="52" t="n"/>
      <c r="G64" s="52" t="n"/>
      <c r="H64" s="52" t="n"/>
      <c r="I64" s="52" t="n"/>
      <c r="J64" s="52" t="n"/>
      <c r="K64" s="52" t="n"/>
      <c r="L64" s="52" t="n"/>
      <c r="M64" s="52" t="n"/>
      <c r="N64" s="52" t="n"/>
      <c r="O64" s="52" t="n"/>
      <c r="P64" s="52" t="n"/>
      <c r="Q64" s="52" t="n"/>
      <c r="R64" s="52" t="n"/>
      <c r="S64" s="53" t="n"/>
      <c r="T64" s="46" t="inlineStr">
        <is>
          <t>IF(AQ64="","",AQ64)</t>
        </is>
      </c>
      <c r="U64" s="54" t="n"/>
      <c r="V64" s="55" t="n"/>
      <c r="W64" s="54" t="n"/>
      <c r="X64" s="46" t="inlineStr">
        <is>
          <t>IF(W64&lt;&gt;"",W64,IF(OR(T64="",V64=""),"",EDATE(T64,V64)))</t>
        </is>
      </c>
      <c r="Y64" s="54" t="n"/>
      <c r="Z64" s="55" t="n"/>
      <c r="AA64" s="52" t="n"/>
      <c r="AB64" s="52" t="n"/>
      <c r="AC64" s="42" t="inlineStr">
        <is>
          <t>IF(F64="","",IF(COUNT(AI64:AV64)=0,IF(AA64="","Not started",AA64),SUBSTITUTE(LOOKUP(2,1/(AI64:AV64&lt;&gt;""),$AI$3:$AV$3),"Date: ","")))</t>
        </is>
      </c>
      <c r="AD64" s="49" t="inlineStr">
        <is>
          <t>IF(OR(F64="",COUNT(AI64:AV64)=0),"",TODAY()-LOOKUP(2,1/(AI64:AV64&lt;&gt;""),AI64:AV64))</t>
        </is>
      </c>
      <c r="AE64" s="49" t="inlineStr">
        <is>
          <t>IF(OR(F64="",COUNT(AI64:AV64)&lt;2),"",LOOKUP(2,1/(AI64:AV64&lt;&gt;""),AI64:AV64)-MIN(AI64:AV64))</t>
        </is>
      </c>
      <c r="AF64" s="49" t="inlineStr">
        <is>
          <t>IF(OR(AD64="",AC64="Not started",AC64=""),"",IFERROR(AD64-IF(VLOOKUP(AC64,'06_Status_Pipeline'!$B$3:$E$20,4,FALSE)="",0,VLOOKUP(AC64,'06_Status_Pipeline'!$B$3:$E$20,4,FALSE)),""))</t>
        </is>
      </c>
      <c r="AG64" s="42" t="inlineStr">
        <is>
          <t>IF(F64="","",IF(OR(AA64="Cancelled",AC64="Cancelled"),"Cancelled",IF(OR(AC64="Completed / Handover",Y64&lt;&gt;"",Z64&gt;=100),"Completed — on track",IF(O64="Not awarded",IF(U64="",IF(X64="","No planned date",IF(TODAY()&gt;X64,"Behind — past planned date",IF(X64-TODAY()&lt;=30,"At risk — close to off track","On track"))),IF(TODAY()&gt;U64,"Behind — award date passed",IF(U64-TODAY()&lt;=30,"At risk — close to off track","On track"))),IF(X64="","No planned date",IF(AND(TODAY()&gt;X64,OR(Z64="",Z64&lt;100)),"Behind — past end date",IF(AND(T64&lt;&gt;"",X64&lt;&gt;"",Z64&lt;&gt;"",(Z64&lt;100),((TODAY()-T64)/MAX(X64-T64,1)*100)-Z64&gt;15),"Behind — progress lag",IF(AND(X64-TODAY()&lt;=30,X64-TODAY()&gt;=0,OR(Z64="",Z64&lt;90)),"At risk — close to off track","On track"))))))))</t>
        </is>
      </c>
      <c r="AH64" s="49" t="inlineStr">
        <is>
          <t>IF(OR(F64="",AC64="Completed / Handover",AC64="Cancelled"),"",IF(O64="Not awarded",IF(U64&lt;&gt;"",U64-TODAY(),IF(X64="","",X64-TODAY())),IF(X64="","",X64-TODAY())))</t>
        </is>
      </c>
      <c r="AI64" s="54" t="n"/>
      <c r="AJ64" s="54" t="n"/>
      <c r="AK64" s="54" t="n"/>
      <c r="AL64" s="54" t="n"/>
      <c r="AM64" s="54" t="n"/>
      <c r="AN64" s="54" t="n"/>
      <c r="AO64" s="54" t="n"/>
      <c r="AP64" s="54" t="n"/>
      <c r="AQ64" s="54" t="n"/>
      <c r="AR64" s="54" t="n"/>
      <c r="AS64" s="54" t="n"/>
      <c r="AT64" s="50" t="n"/>
      <c r="AU64" s="50" t="n"/>
      <c r="AV64" s="50" t="n"/>
      <c r="AW64" s="49" t="inlineStr">
        <is>
          <t>IF(OR(F64="",AJ64=""),"",IF(COUNT(AI64:AI64)=0,"",AJ64-LOOKUP(2,1/(AI64:AI64&lt;&gt;""),AI64:AI64)))</t>
        </is>
      </c>
      <c r="AX64" s="49" t="inlineStr">
        <is>
          <t>IF(OR(F64="",AK64=""),"",IF(COUNT(AI64:AJ64)=0,"",AK64-LOOKUP(2,1/(AI64:AJ64&lt;&gt;""),AI64:AJ64)))</t>
        </is>
      </c>
      <c r="AY64" s="49" t="inlineStr">
        <is>
          <t>IF(OR(F64="",AL64=""),"",IF(COUNT(AI64:AK64)=0,"",AL64-LOOKUP(2,1/(AI64:AK64&lt;&gt;""),AI64:AK64)))</t>
        </is>
      </c>
      <c r="AZ64" s="49" t="inlineStr">
        <is>
          <t>IF(OR(F64="",AM64=""),"",IF(COUNT(AI64:AL64)=0,"",AM64-LOOKUP(2,1/(AI64:AL64&lt;&gt;""),AI64:AL64)))</t>
        </is>
      </c>
      <c r="BA64" s="49" t="inlineStr">
        <is>
          <t>IF(OR(F64="",AN64=""),"",IF(COUNT(AI64:AM64)=0,"",AN64-LOOKUP(2,1/(AI64:AM64&lt;&gt;""),AI64:AM64)))</t>
        </is>
      </c>
      <c r="BB64" s="49" t="inlineStr">
        <is>
          <t>IF(OR(F64="",AO64=""),"",IF(COUNT(AI64:AN64)=0,"",AO64-LOOKUP(2,1/(AI64:AN64&lt;&gt;""),AI64:AN64)))</t>
        </is>
      </c>
      <c r="BC64" s="49" t="inlineStr">
        <is>
          <t>IF(OR(F64="",AP64=""),"",IF(COUNT(AI64:AO64)=0,"",AP64-LOOKUP(2,1/(AI64:AO64&lt;&gt;""),AI64:AO64)))</t>
        </is>
      </c>
      <c r="BD64" s="49" t="inlineStr">
        <is>
          <t>IF(OR(F64="",AQ64=""),"",IF(COUNT(AI64:AP64)=0,"",AQ64-LOOKUP(2,1/(AI64:AP64&lt;&gt;""),AI64:AP64)))</t>
        </is>
      </c>
      <c r="BE64" s="49" t="inlineStr">
        <is>
          <t>IF(OR(F64="",AR64=""),"",IF(COUNT(AI64:AQ64)=0,"",AR64-LOOKUP(2,1/(AI64:AQ64&lt;&gt;""),AI64:AQ64)))</t>
        </is>
      </c>
      <c r="BF64" s="49" t="inlineStr">
        <is>
          <t>IF(OR(F64="",AS64=""),"",IF(COUNT(AI64:AR64)=0,"",AS64-LOOKUP(2,1/(AI64:AR64&lt;&gt;""),AI64:AR64)))</t>
        </is>
      </c>
      <c r="BG64" s="49" t="inlineStr">
        <is>
          <t>IF(OR(F64="",AT64=""),"",IF(COUNT(AI64:AS64)=0,"",AT64-LOOKUP(2,1/(AI64:AS64&lt;&gt;""),AI64:AS64)))</t>
        </is>
      </c>
      <c r="BH64" s="49" t="inlineStr">
        <is>
          <t>IF(OR(F64="",AU64=""),"",IF(COUNT(AI64:AT64)=0,"",AU64-LOOKUP(2,1/(AI64:AT64&lt;&gt;""),AI64:AT64)))</t>
        </is>
      </c>
      <c r="BI64" s="49" t="inlineStr">
        <is>
          <t>IF(OR(F64="",AV64=""),"",IF(COUNT(AI64:AU64)=0,"",AV64-LOOKUP(2,1/(AI64:AU64&lt;&gt;""),AI64:AU64)))</t>
        </is>
      </c>
      <c r="BJ64" s="51" t="inlineStr">
        <is>
          <t>IF(J64="","All_Provinces",IFERROR(VLOOKUP(J64,'09_Lookups'!$A$4:$B$20,2,FALSE),"All_Provinces"))</t>
        </is>
      </c>
      <c r="BK64" s="51" t="inlineStr">
        <is>
          <t>IF(K64="","All_Districts",IFERROR(VLOOKUP(K64,'09_Lookups'!$E$4:$F$42,2,FALSE),"All_Districts"))</t>
        </is>
      </c>
    </row>
    <row r="65" ht="18" customHeight="1">
      <c r="A65" s="42" t="inlineStr">
        <is>
          <t>IF(F65="","",ROW()-3)</t>
        </is>
      </c>
      <c r="B65" s="44" t="n"/>
      <c r="C65" s="44" t="n"/>
      <c r="D65" s="44" t="n"/>
      <c r="E65" s="44" t="n"/>
      <c r="F65" s="44" t="n"/>
      <c r="G65" s="44" t="n"/>
      <c r="H65" s="44" t="n"/>
      <c r="I65" s="44" t="n"/>
      <c r="J65" s="44" t="n"/>
      <c r="K65" s="44" t="n"/>
      <c r="L65" s="44" t="n"/>
      <c r="M65" s="44" t="n"/>
      <c r="N65" s="44" t="n"/>
      <c r="O65" s="44" t="n"/>
      <c r="P65" s="44" t="n"/>
      <c r="Q65" s="44" t="n"/>
      <c r="R65" s="44" t="n"/>
      <c r="S65" s="45" t="n"/>
      <c r="T65" s="46" t="inlineStr">
        <is>
          <t>IF(AQ65="","",AQ65)</t>
        </is>
      </c>
      <c r="U65" s="47" t="n"/>
      <c r="V65" s="48" t="n"/>
      <c r="W65" s="47" t="n"/>
      <c r="X65" s="46" t="inlineStr">
        <is>
          <t>IF(W65&lt;&gt;"",W65,IF(OR(T65="",V65=""),"",EDATE(T65,V65)))</t>
        </is>
      </c>
      <c r="Y65" s="47" t="n"/>
      <c r="Z65" s="48" t="n"/>
      <c r="AA65" s="44" t="n"/>
      <c r="AB65" s="44" t="n"/>
      <c r="AC65" s="42" t="inlineStr">
        <is>
          <t>IF(F65="","",IF(COUNT(AI65:AV65)=0,IF(AA65="","Not started",AA65),SUBSTITUTE(LOOKUP(2,1/(AI65:AV65&lt;&gt;""),$AI$3:$AV$3),"Date: ","")))</t>
        </is>
      </c>
      <c r="AD65" s="49" t="inlineStr">
        <is>
          <t>IF(OR(F65="",COUNT(AI65:AV65)=0),"",TODAY()-LOOKUP(2,1/(AI65:AV65&lt;&gt;""),AI65:AV65))</t>
        </is>
      </c>
      <c r="AE65" s="49" t="inlineStr">
        <is>
          <t>IF(OR(F65="",COUNT(AI65:AV65)&lt;2),"",LOOKUP(2,1/(AI65:AV65&lt;&gt;""),AI65:AV65)-MIN(AI65:AV65))</t>
        </is>
      </c>
      <c r="AF65" s="49" t="inlineStr">
        <is>
          <t>IF(OR(AD65="",AC65="Not started",AC65=""),"",IFERROR(AD65-IF(VLOOKUP(AC65,'06_Status_Pipeline'!$B$3:$E$20,4,FALSE)="",0,VLOOKUP(AC65,'06_Status_Pipeline'!$B$3:$E$20,4,FALSE)),""))</t>
        </is>
      </c>
      <c r="AG65" s="42" t="inlineStr">
        <is>
          <t>IF(F65="","",IF(OR(AA65="Cancelled",AC65="Cancelled"),"Cancelled",IF(OR(AC65="Completed / Handover",Y65&lt;&gt;"",Z65&gt;=100),"Completed — on track",IF(O65="Not awarded",IF(U65="",IF(X65="","No planned date",IF(TODAY()&gt;X65,"Behind — past planned date",IF(X65-TODAY()&lt;=30,"At risk — close to off track","On track"))),IF(TODAY()&gt;U65,"Behind — award date passed",IF(U65-TODAY()&lt;=30,"At risk — close to off track","On track"))),IF(X65="","No planned date",IF(AND(TODAY()&gt;X65,OR(Z65="",Z65&lt;100)),"Behind — past end date",IF(AND(T65&lt;&gt;"",X65&lt;&gt;"",Z65&lt;&gt;"",(Z65&lt;100),((TODAY()-T65)/MAX(X65-T65,1)*100)-Z65&gt;15),"Behind — progress lag",IF(AND(X65-TODAY()&lt;=30,X65-TODAY()&gt;=0,OR(Z65="",Z65&lt;90)),"At risk — close to off track","On track"))))))))</t>
        </is>
      </c>
      <c r="AH65" s="49" t="inlineStr">
        <is>
          <t>IF(OR(F65="",AC65="Completed / Handover",AC65="Cancelled"),"",IF(O65="Not awarded",IF(U65&lt;&gt;"",U65-TODAY(),IF(X65="","",X65-TODAY())),IF(X65="","",X65-TODAY())))</t>
        </is>
      </c>
      <c r="AI65" s="47" t="n"/>
      <c r="AJ65" s="47" t="n"/>
      <c r="AK65" s="47" t="n"/>
      <c r="AL65" s="47" t="n"/>
      <c r="AM65" s="47" t="n"/>
      <c r="AN65" s="47" t="n"/>
      <c r="AO65" s="47" t="n"/>
      <c r="AP65" s="47" t="n"/>
      <c r="AQ65" s="47" t="n"/>
      <c r="AR65" s="47" t="n"/>
      <c r="AS65" s="47" t="n"/>
      <c r="AT65" s="50" t="n"/>
      <c r="AU65" s="50" t="n"/>
      <c r="AV65" s="50" t="n"/>
      <c r="AW65" s="49" t="inlineStr">
        <is>
          <t>IF(OR(F65="",AJ65=""),"",IF(COUNT(AI65:AI65)=0,"",AJ65-LOOKUP(2,1/(AI65:AI65&lt;&gt;""),AI65:AI65)))</t>
        </is>
      </c>
      <c r="AX65" s="49" t="inlineStr">
        <is>
          <t>IF(OR(F65="",AK65=""),"",IF(COUNT(AI65:AJ65)=0,"",AK65-LOOKUP(2,1/(AI65:AJ65&lt;&gt;""),AI65:AJ65)))</t>
        </is>
      </c>
      <c r="AY65" s="49" t="inlineStr">
        <is>
          <t>IF(OR(F65="",AL65=""),"",IF(COUNT(AI65:AK65)=0,"",AL65-LOOKUP(2,1/(AI65:AK65&lt;&gt;""),AI65:AK65)))</t>
        </is>
      </c>
      <c r="AZ65" s="49" t="inlineStr">
        <is>
          <t>IF(OR(F65="",AM65=""),"",IF(COUNT(AI65:AL65)=0,"",AM65-LOOKUP(2,1/(AI65:AL65&lt;&gt;""),AI65:AL65)))</t>
        </is>
      </c>
      <c r="BA65" s="49" t="inlineStr">
        <is>
          <t>IF(OR(F65="",AN65=""),"",IF(COUNT(AI65:AM65)=0,"",AN65-LOOKUP(2,1/(AI65:AM65&lt;&gt;""),AI65:AM65)))</t>
        </is>
      </c>
      <c r="BB65" s="49" t="inlineStr">
        <is>
          <t>IF(OR(F65="",AO65=""),"",IF(COUNT(AI65:AN65)=0,"",AO65-LOOKUP(2,1/(AI65:AN65&lt;&gt;""),AI65:AN65)))</t>
        </is>
      </c>
      <c r="BC65" s="49" t="inlineStr">
        <is>
          <t>IF(OR(F65="",AP65=""),"",IF(COUNT(AI65:AO65)=0,"",AP65-LOOKUP(2,1/(AI65:AO65&lt;&gt;""),AI65:AO65)))</t>
        </is>
      </c>
      <c r="BD65" s="49" t="inlineStr">
        <is>
          <t>IF(OR(F65="",AQ65=""),"",IF(COUNT(AI65:AP65)=0,"",AQ65-LOOKUP(2,1/(AI65:AP65&lt;&gt;""),AI65:AP65)))</t>
        </is>
      </c>
      <c r="BE65" s="49" t="inlineStr">
        <is>
          <t>IF(OR(F65="",AR65=""),"",IF(COUNT(AI65:AQ65)=0,"",AR65-LOOKUP(2,1/(AI65:AQ65&lt;&gt;""),AI65:AQ65)))</t>
        </is>
      </c>
      <c r="BF65" s="49" t="inlineStr">
        <is>
          <t>IF(OR(F65="",AS65=""),"",IF(COUNT(AI65:AR65)=0,"",AS65-LOOKUP(2,1/(AI65:AR65&lt;&gt;""),AI65:AR65)))</t>
        </is>
      </c>
      <c r="BG65" s="49" t="inlineStr">
        <is>
          <t>IF(OR(F65="",AT65=""),"",IF(COUNT(AI65:AS65)=0,"",AT65-LOOKUP(2,1/(AI65:AS65&lt;&gt;""),AI65:AS65)))</t>
        </is>
      </c>
      <c r="BH65" s="49" t="inlineStr">
        <is>
          <t>IF(OR(F65="",AU65=""),"",IF(COUNT(AI65:AT65)=0,"",AU65-LOOKUP(2,1/(AI65:AT65&lt;&gt;""),AI65:AT65)))</t>
        </is>
      </c>
      <c r="BI65" s="49" t="inlineStr">
        <is>
          <t>IF(OR(F65="",AV65=""),"",IF(COUNT(AI65:AU65)=0,"",AV65-LOOKUP(2,1/(AI65:AU65&lt;&gt;""),AI65:AU65)))</t>
        </is>
      </c>
      <c r="BJ65" s="51" t="inlineStr">
        <is>
          <t>IF(J65="","All_Provinces",IFERROR(VLOOKUP(J65,'09_Lookups'!$A$4:$B$20,2,FALSE),"All_Provinces"))</t>
        </is>
      </c>
      <c r="BK65" s="51" t="inlineStr">
        <is>
          <t>IF(K65="","All_Districts",IFERROR(VLOOKUP(K65,'09_Lookups'!$E$4:$F$42,2,FALSE),"All_Districts"))</t>
        </is>
      </c>
    </row>
    <row r="66" ht="18" customHeight="1">
      <c r="A66" s="42" t="inlineStr">
        <is>
          <t>IF(F66="","",ROW()-3)</t>
        </is>
      </c>
      <c r="B66" s="52" t="n"/>
      <c r="C66" s="52" t="n"/>
      <c r="D66" s="52" t="n"/>
      <c r="E66" s="52" t="n"/>
      <c r="F66" s="52" t="n"/>
      <c r="G66" s="52" t="n"/>
      <c r="H66" s="52" t="n"/>
      <c r="I66" s="52" t="n"/>
      <c r="J66" s="52" t="n"/>
      <c r="K66" s="52" t="n"/>
      <c r="L66" s="52" t="n"/>
      <c r="M66" s="52" t="n"/>
      <c r="N66" s="52" t="n"/>
      <c r="O66" s="52" t="n"/>
      <c r="P66" s="52" t="n"/>
      <c r="Q66" s="52" t="n"/>
      <c r="R66" s="52" t="n"/>
      <c r="S66" s="53" t="n"/>
      <c r="T66" s="46" t="inlineStr">
        <is>
          <t>IF(AQ66="","",AQ66)</t>
        </is>
      </c>
      <c r="U66" s="54" t="n"/>
      <c r="V66" s="55" t="n"/>
      <c r="W66" s="54" t="n"/>
      <c r="X66" s="46" t="inlineStr">
        <is>
          <t>IF(W66&lt;&gt;"",W66,IF(OR(T66="",V66=""),"",EDATE(T66,V66)))</t>
        </is>
      </c>
      <c r="Y66" s="54" t="n"/>
      <c r="Z66" s="55" t="n"/>
      <c r="AA66" s="52" t="n"/>
      <c r="AB66" s="52" t="n"/>
      <c r="AC66" s="42" t="inlineStr">
        <is>
          <t>IF(F66="","",IF(COUNT(AI66:AV66)=0,IF(AA66="","Not started",AA66),SUBSTITUTE(LOOKUP(2,1/(AI66:AV66&lt;&gt;""),$AI$3:$AV$3),"Date: ","")))</t>
        </is>
      </c>
      <c r="AD66" s="49" t="inlineStr">
        <is>
          <t>IF(OR(F66="",COUNT(AI66:AV66)=0),"",TODAY()-LOOKUP(2,1/(AI66:AV66&lt;&gt;""),AI66:AV66))</t>
        </is>
      </c>
      <c r="AE66" s="49" t="inlineStr">
        <is>
          <t>IF(OR(F66="",COUNT(AI66:AV66)&lt;2),"",LOOKUP(2,1/(AI66:AV66&lt;&gt;""),AI66:AV66)-MIN(AI66:AV66))</t>
        </is>
      </c>
      <c r="AF66" s="49" t="inlineStr">
        <is>
          <t>IF(OR(AD66="",AC66="Not started",AC66=""),"",IFERROR(AD66-IF(VLOOKUP(AC66,'06_Status_Pipeline'!$B$3:$E$20,4,FALSE)="",0,VLOOKUP(AC66,'06_Status_Pipeline'!$B$3:$E$20,4,FALSE)),""))</t>
        </is>
      </c>
      <c r="AG66" s="42" t="inlineStr">
        <is>
          <t>IF(F66="","",IF(OR(AA66="Cancelled",AC66="Cancelled"),"Cancelled",IF(OR(AC66="Completed / Handover",Y66&lt;&gt;"",Z66&gt;=100),"Completed — on track",IF(O66="Not awarded",IF(U66="",IF(X66="","No planned date",IF(TODAY()&gt;X66,"Behind — past planned date",IF(X66-TODAY()&lt;=30,"At risk — close to off track","On track"))),IF(TODAY()&gt;U66,"Behind — award date passed",IF(U66-TODAY()&lt;=30,"At risk — close to off track","On track"))),IF(X66="","No planned date",IF(AND(TODAY()&gt;X66,OR(Z66="",Z66&lt;100)),"Behind — past end date",IF(AND(T66&lt;&gt;"",X66&lt;&gt;"",Z66&lt;&gt;"",(Z66&lt;100),((TODAY()-T66)/MAX(X66-T66,1)*100)-Z66&gt;15),"Behind — progress lag",IF(AND(X66-TODAY()&lt;=30,X66-TODAY()&gt;=0,OR(Z66="",Z66&lt;90)),"At risk — close to off track","On track"))))))))</t>
        </is>
      </c>
      <c r="AH66" s="49" t="inlineStr">
        <is>
          <t>IF(OR(F66="",AC66="Completed / Handover",AC66="Cancelled"),"",IF(O66="Not awarded",IF(U66&lt;&gt;"",U66-TODAY(),IF(X66="","",X66-TODAY())),IF(X66="","",X66-TODAY())))</t>
        </is>
      </c>
      <c r="AI66" s="54" t="n"/>
      <c r="AJ66" s="54" t="n"/>
      <c r="AK66" s="54" t="n"/>
      <c r="AL66" s="54" t="n"/>
      <c r="AM66" s="54" t="n"/>
      <c r="AN66" s="54" t="n"/>
      <c r="AO66" s="54" t="n"/>
      <c r="AP66" s="54" t="n"/>
      <c r="AQ66" s="54" t="n"/>
      <c r="AR66" s="54" t="n"/>
      <c r="AS66" s="54" t="n"/>
      <c r="AT66" s="50" t="n"/>
      <c r="AU66" s="50" t="n"/>
      <c r="AV66" s="50" t="n"/>
      <c r="AW66" s="49" t="inlineStr">
        <is>
          <t>IF(OR(F66="",AJ66=""),"",IF(COUNT(AI66:AI66)=0,"",AJ66-LOOKUP(2,1/(AI66:AI66&lt;&gt;""),AI66:AI66)))</t>
        </is>
      </c>
      <c r="AX66" s="49" t="inlineStr">
        <is>
          <t>IF(OR(F66="",AK66=""),"",IF(COUNT(AI66:AJ66)=0,"",AK66-LOOKUP(2,1/(AI66:AJ66&lt;&gt;""),AI66:AJ66)))</t>
        </is>
      </c>
      <c r="AY66" s="49" t="inlineStr">
        <is>
          <t>IF(OR(F66="",AL66=""),"",IF(COUNT(AI66:AK66)=0,"",AL66-LOOKUP(2,1/(AI66:AK66&lt;&gt;""),AI66:AK66)))</t>
        </is>
      </c>
      <c r="AZ66" s="49" t="inlineStr">
        <is>
          <t>IF(OR(F66="",AM66=""),"",IF(COUNT(AI66:AL66)=0,"",AM66-LOOKUP(2,1/(AI66:AL66&lt;&gt;""),AI66:AL66)))</t>
        </is>
      </c>
      <c r="BA66" s="49" t="inlineStr">
        <is>
          <t>IF(OR(F66="",AN66=""),"",IF(COUNT(AI66:AM66)=0,"",AN66-LOOKUP(2,1/(AI66:AM66&lt;&gt;""),AI66:AM66)))</t>
        </is>
      </c>
      <c r="BB66" s="49" t="inlineStr">
        <is>
          <t>IF(OR(F66="",AO66=""),"",IF(COUNT(AI66:AN66)=0,"",AO66-LOOKUP(2,1/(AI66:AN66&lt;&gt;""),AI66:AN66)))</t>
        </is>
      </c>
      <c r="BC66" s="49" t="inlineStr">
        <is>
          <t>IF(OR(F66="",AP66=""),"",IF(COUNT(AI66:AO66)=0,"",AP66-LOOKUP(2,1/(AI66:AO66&lt;&gt;""),AI66:AO66)))</t>
        </is>
      </c>
      <c r="BD66" s="49" t="inlineStr">
        <is>
          <t>IF(OR(F66="",AQ66=""),"",IF(COUNT(AI66:AP66)=0,"",AQ66-LOOKUP(2,1/(AI66:AP66&lt;&gt;""),AI66:AP66)))</t>
        </is>
      </c>
      <c r="BE66" s="49" t="inlineStr">
        <is>
          <t>IF(OR(F66="",AR66=""),"",IF(COUNT(AI66:AQ66)=0,"",AR66-LOOKUP(2,1/(AI66:AQ66&lt;&gt;""),AI66:AQ66)))</t>
        </is>
      </c>
      <c r="BF66" s="49" t="inlineStr">
        <is>
          <t>IF(OR(F66="",AS66=""),"",IF(COUNT(AI66:AR66)=0,"",AS66-LOOKUP(2,1/(AI66:AR66&lt;&gt;""),AI66:AR66)))</t>
        </is>
      </c>
      <c r="BG66" s="49" t="inlineStr">
        <is>
          <t>IF(OR(F66="",AT66=""),"",IF(COUNT(AI66:AS66)=0,"",AT66-LOOKUP(2,1/(AI66:AS66&lt;&gt;""),AI66:AS66)))</t>
        </is>
      </c>
      <c r="BH66" s="49" t="inlineStr">
        <is>
          <t>IF(OR(F66="",AU66=""),"",IF(COUNT(AI66:AT66)=0,"",AU66-LOOKUP(2,1/(AI66:AT66&lt;&gt;""),AI66:AT66)))</t>
        </is>
      </c>
      <c r="BI66" s="49" t="inlineStr">
        <is>
          <t>IF(OR(F66="",AV66=""),"",IF(COUNT(AI66:AU66)=0,"",AV66-LOOKUP(2,1/(AI66:AU66&lt;&gt;""),AI66:AU66)))</t>
        </is>
      </c>
      <c r="BJ66" s="51" t="inlineStr">
        <is>
          <t>IF(J66="","All_Provinces",IFERROR(VLOOKUP(J66,'09_Lookups'!$A$4:$B$20,2,FALSE),"All_Provinces"))</t>
        </is>
      </c>
      <c r="BK66" s="51" t="inlineStr">
        <is>
          <t>IF(K66="","All_Districts",IFERROR(VLOOKUP(K66,'09_Lookups'!$E$4:$F$42,2,FALSE),"All_Districts"))</t>
        </is>
      </c>
    </row>
    <row r="67" ht="18" customHeight="1">
      <c r="A67" s="42" t="inlineStr">
        <is>
          <t>IF(F67="","",ROW()-3)</t>
        </is>
      </c>
      <c r="B67" s="44" t="n"/>
      <c r="C67" s="44" t="n"/>
      <c r="D67" s="44" t="n"/>
      <c r="E67" s="44" t="n"/>
      <c r="F67" s="44" t="n"/>
      <c r="G67" s="44" t="n"/>
      <c r="H67" s="44" t="n"/>
      <c r="I67" s="44" t="n"/>
      <c r="J67" s="44" t="n"/>
      <c r="K67" s="44" t="n"/>
      <c r="L67" s="44" t="n"/>
      <c r="M67" s="44" t="n"/>
      <c r="N67" s="44" t="n"/>
      <c r="O67" s="44" t="n"/>
      <c r="P67" s="44" t="n"/>
      <c r="Q67" s="44" t="n"/>
      <c r="R67" s="44" t="n"/>
      <c r="S67" s="45" t="n"/>
      <c r="T67" s="46" t="inlineStr">
        <is>
          <t>IF(AQ67="","",AQ67)</t>
        </is>
      </c>
      <c r="U67" s="47" t="n"/>
      <c r="V67" s="48" t="n"/>
      <c r="W67" s="47" t="n"/>
      <c r="X67" s="46" t="inlineStr">
        <is>
          <t>IF(W67&lt;&gt;"",W67,IF(OR(T67="",V67=""),"",EDATE(T67,V67)))</t>
        </is>
      </c>
      <c r="Y67" s="47" t="n"/>
      <c r="Z67" s="48" t="n"/>
      <c r="AA67" s="44" t="n"/>
      <c r="AB67" s="44" t="n"/>
      <c r="AC67" s="42" t="inlineStr">
        <is>
          <t>IF(F67="","",IF(COUNT(AI67:AV67)=0,IF(AA67="","Not started",AA67),SUBSTITUTE(LOOKUP(2,1/(AI67:AV67&lt;&gt;""),$AI$3:$AV$3),"Date: ","")))</t>
        </is>
      </c>
      <c r="AD67" s="49" t="inlineStr">
        <is>
          <t>IF(OR(F67="",COUNT(AI67:AV67)=0),"",TODAY()-LOOKUP(2,1/(AI67:AV67&lt;&gt;""),AI67:AV67))</t>
        </is>
      </c>
      <c r="AE67" s="49" t="inlineStr">
        <is>
          <t>IF(OR(F67="",COUNT(AI67:AV67)&lt;2),"",LOOKUP(2,1/(AI67:AV67&lt;&gt;""),AI67:AV67)-MIN(AI67:AV67))</t>
        </is>
      </c>
      <c r="AF67" s="49" t="inlineStr">
        <is>
          <t>IF(OR(AD67="",AC67="Not started",AC67=""),"",IFERROR(AD67-IF(VLOOKUP(AC67,'06_Status_Pipeline'!$B$3:$E$20,4,FALSE)="",0,VLOOKUP(AC67,'06_Status_Pipeline'!$B$3:$E$20,4,FALSE)),""))</t>
        </is>
      </c>
      <c r="AG67" s="42" t="inlineStr">
        <is>
          <t>IF(F67="","",IF(OR(AA67="Cancelled",AC67="Cancelled"),"Cancelled",IF(OR(AC67="Completed / Handover",Y67&lt;&gt;"",Z67&gt;=100),"Completed — on track",IF(O67="Not awarded",IF(U67="",IF(X67="","No planned date",IF(TODAY()&gt;X67,"Behind — past planned date",IF(X67-TODAY()&lt;=30,"At risk — close to off track","On track"))),IF(TODAY()&gt;U67,"Behind — award date passed",IF(U67-TODAY()&lt;=30,"At risk — close to off track","On track"))),IF(X67="","No planned date",IF(AND(TODAY()&gt;X67,OR(Z67="",Z67&lt;100)),"Behind — past end date",IF(AND(T67&lt;&gt;"",X67&lt;&gt;"",Z67&lt;&gt;"",(Z67&lt;100),((TODAY()-T67)/MAX(X67-T67,1)*100)-Z67&gt;15),"Behind — progress lag",IF(AND(X67-TODAY()&lt;=30,X67-TODAY()&gt;=0,OR(Z67="",Z67&lt;90)),"At risk — close to off track","On track"))))))))</t>
        </is>
      </c>
      <c r="AH67" s="49" t="inlineStr">
        <is>
          <t>IF(OR(F67="",AC67="Completed / Handover",AC67="Cancelled"),"",IF(O67="Not awarded",IF(U67&lt;&gt;"",U67-TODAY(),IF(X67="","",X67-TODAY())),IF(X67="","",X67-TODAY())))</t>
        </is>
      </c>
      <c r="AI67" s="47" t="n"/>
      <c r="AJ67" s="47" t="n"/>
      <c r="AK67" s="47" t="n"/>
      <c r="AL67" s="47" t="n"/>
      <c r="AM67" s="47" t="n"/>
      <c r="AN67" s="47" t="n"/>
      <c r="AO67" s="47" t="n"/>
      <c r="AP67" s="47" t="n"/>
      <c r="AQ67" s="47" t="n"/>
      <c r="AR67" s="47" t="n"/>
      <c r="AS67" s="47" t="n"/>
      <c r="AT67" s="50" t="n"/>
      <c r="AU67" s="50" t="n"/>
      <c r="AV67" s="50" t="n"/>
      <c r="AW67" s="49" t="inlineStr">
        <is>
          <t>IF(OR(F67="",AJ67=""),"",IF(COUNT(AI67:AI67)=0,"",AJ67-LOOKUP(2,1/(AI67:AI67&lt;&gt;""),AI67:AI67)))</t>
        </is>
      </c>
      <c r="AX67" s="49" t="inlineStr">
        <is>
          <t>IF(OR(F67="",AK67=""),"",IF(COUNT(AI67:AJ67)=0,"",AK67-LOOKUP(2,1/(AI67:AJ67&lt;&gt;""),AI67:AJ67)))</t>
        </is>
      </c>
      <c r="AY67" s="49" t="inlineStr">
        <is>
          <t>IF(OR(F67="",AL67=""),"",IF(COUNT(AI67:AK67)=0,"",AL67-LOOKUP(2,1/(AI67:AK67&lt;&gt;""),AI67:AK67)))</t>
        </is>
      </c>
      <c r="AZ67" s="49" t="inlineStr">
        <is>
          <t>IF(OR(F67="",AM67=""),"",IF(COUNT(AI67:AL67)=0,"",AM67-LOOKUP(2,1/(AI67:AL67&lt;&gt;""),AI67:AL67)))</t>
        </is>
      </c>
      <c r="BA67" s="49" t="inlineStr">
        <is>
          <t>IF(OR(F67="",AN67=""),"",IF(COUNT(AI67:AM67)=0,"",AN67-LOOKUP(2,1/(AI67:AM67&lt;&gt;""),AI67:AM67)))</t>
        </is>
      </c>
      <c r="BB67" s="49" t="inlineStr">
        <is>
          <t>IF(OR(F67="",AO67=""),"",IF(COUNT(AI67:AN67)=0,"",AO67-LOOKUP(2,1/(AI67:AN67&lt;&gt;""),AI67:AN67)))</t>
        </is>
      </c>
      <c r="BC67" s="49" t="inlineStr">
        <is>
          <t>IF(OR(F67="",AP67=""),"",IF(COUNT(AI67:AO67)=0,"",AP67-LOOKUP(2,1/(AI67:AO67&lt;&gt;""),AI67:AO67)))</t>
        </is>
      </c>
      <c r="BD67" s="49" t="inlineStr">
        <is>
          <t>IF(OR(F67="",AQ67=""),"",IF(COUNT(AI67:AP67)=0,"",AQ67-LOOKUP(2,1/(AI67:AP67&lt;&gt;""),AI67:AP67)))</t>
        </is>
      </c>
      <c r="BE67" s="49" t="inlineStr">
        <is>
          <t>IF(OR(F67="",AR67=""),"",IF(COUNT(AI67:AQ67)=0,"",AR67-LOOKUP(2,1/(AI67:AQ67&lt;&gt;""),AI67:AQ67)))</t>
        </is>
      </c>
      <c r="BF67" s="49" t="inlineStr">
        <is>
          <t>IF(OR(F67="",AS67=""),"",IF(COUNT(AI67:AR67)=0,"",AS67-LOOKUP(2,1/(AI67:AR67&lt;&gt;""),AI67:AR67)))</t>
        </is>
      </c>
      <c r="BG67" s="49" t="inlineStr">
        <is>
          <t>IF(OR(F67="",AT67=""),"",IF(COUNT(AI67:AS67)=0,"",AT67-LOOKUP(2,1/(AI67:AS67&lt;&gt;""),AI67:AS67)))</t>
        </is>
      </c>
      <c r="BH67" s="49" t="inlineStr">
        <is>
          <t>IF(OR(F67="",AU67=""),"",IF(COUNT(AI67:AT67)=0,"",AU67-LOOKUP(2,1/(AI67:AT67&lt;&gt;""),AI67:AT67)))</t>
        </is>
      </c>
      <c r="BI67" s="49" t="inlineStr">
        <is>
          <t>IF(OR(F67="",AV67=""),"",IF(COUNT(AI67:AU67)=0,"",AV67-LOOKUP(2,1/(AI67:AU67&lt;&gt;""),AI67:AU67)))</t>
        </is>
      </c>
      <c r="BJ67" s="51" t="inlineStr">
        <is>
          <t>IF(J67="","All_Provinces",IFERROR(VLOOKUP(J67,'09_Lookups'!$A$4:$B$20,2,FALSE),"All_Provinces"))</t>
        </is>
      </c>
      <c r="BK67" s="51" t="inlineStr">
        <is>
          <t>IF(K67="","All_Districts",IFERROR(VLOOKUP(K67,'09_Lookups'!$E$4:$F$42,2,FALSE),"All_Districts"))</t>
        </is>
      </c>
    </row>
    <row r="68" ht="18" customHeight="1">
      <c r="A68" s="42" t="inlineStr">
        <is>
          <t>IF(F68="","",ROW()-3)</t>
        </is>
      </c>
      <c r="B68" s="52" t="n"/>
      <c r="C68" s="52" t="n"/>
      <c r="D68" s="52" t="n"/>
      <c r="E68" s="52" t="n"/>
      <c r="F68" s="52" t="n"/>
      <c r="G68" s="52" t="n"/>
      <c r="H68" s="52" t="n"/>
      <c r="I68" s="52" t="n"/>
      <c r="J68" s="52" t="n"/>
      <c r="K68" s="52" t="n"/>
      <c r="L68" s="52" t="n"/>
      <c r="M68" s="52" t="n"/>
      <c r="N68" s="52" t="n"/>
      <c r="O68" s="52" t="n"/>
      <c r="P68" s="52" t="n"/>
      <c r="Q68" s="52" t="n"/>
      <c r="R68" s="52" t="n"/>
      <c r="S68" s="53" t="n"/>
      <c r="T68" s="46" t="inlineStr">
        <is>
          <t>IF(AQ68="","",AQ68)</t>
        </is>
      </c>
      <c r="U68" s="54" t="n"/>
      <c r="V68" s="55" t="n"/>
      <c r="W68" s="54" t="n"/>
      <c r="X68" s="46" t="inlineStr">
        <is>
          <t>IF(W68&lt;&gt;"",W68,IF(OR(T68="",V68=""),"",EDATE(T68,V68)))</t>
        </is>
      </c>
      <c r="Y68" s="54" t="n"/>
      <c r="Z68" s="55" t="n"/>
      <c r="AA68" s="52" t="n"/>
      <c r="AB68" s="52" t="n"/>
      <c r="AC68" s="42" t="inlineStr">
        <is>
          <t>IF(F68="","",IF(COUNT(AI68:AV68)=0,IF(AA68="","Not started",AA68),SUBSTITUTE(LOOKUP(2,1/(AI68:AV68&lt;&gt;""),$AI$3:$AV$3),"Date: ","")))</t>
        </is>
      </c>
      <c r="AD68" s="49" t="inlineStr">
        <is>
          <t>IF(OR(F68="",COUNT(AI68:AV68)=0),"",TODAY()-LOOKUP(2,1/(AI68:AV68&lt;&gt;""),AI68:AV68))</t>
        </is>
      </c>
      <c r="AE68" s="49" t="inlineStr">
        <is>
          <t>IF(OR(F68="",COUNT(AI68:AV68)&lt;2),"",LOOKUP(2,1/(AI68:AV68&lt;&gt;""),AI68:AV68)-MIN(AI68:AV68))</t>
        </is>
      </c>
      <c r="AF68" s="49" t="inlineStr">
        <is>
          <t>IF(OR(AD68="",AC68="Not started",AC68=""),"",IFERROR(AD68-IF(VLOOKUP(AC68,'06_Status_Pipeline'!$B$3:$E$20,4,FALSE)="",0,VLOOKUP(AC68,'06_Status_Pipeline'!$B$3:$E$20,4,FALSE)),""))</t>
        </is>
      </c>
      <c r="AG68" s="42" t="inlineStr">
        <is>
          <t>IF(F68="","",IF(OR(AA68="Cancelled",AC68="Cancelled"),"Cancelled",IF(OR(AC68="Completed / Handover",Y68&lt;&gt;"",Z68&gt;=100),"Completed — on track",IF(O68="Not awarded",IF(U68="",IF(X68="","No planned date",IF(TODAY()&gt;X68,"Behind — past planned date",IF(X68-TODAY()&lt;=30,"At risk — close to off track","On track"))),IF(TODAY()&gt;U68,"Behind — award date passed",IF(U68-TODAY()&lt;=30,"At risk — close to off track","On track"))),IF(X68="","No planned date",IF(AND(TODAY()&gt;X68,OR(Z68="",Z68&lt;100)),"Behind — past end date",IF(AND(T68&lt;&gt;"",X68&lt;&gt;"",Z68&lt;&gt;"",(Z68&lt;100),((TODAY()-T68)/MAX(X68-T68,1)*100)-Z68&gt;15),"Behind — progress lag",IF(AND(X68-TODAY()&lt;=30,X68-TODAY()&gt;=0,OR(Z68="",Z68&lt;90)),"At risk — close to off track","On track"))))))))</t>
        </is>
      </c>
      <c r="AH68" s="49" t="inlineStr">
        <is>
          <t>IF(OR(F68="",AC68="Completed / Handover",AC68="Cancelled"),"",IF(O68="Not awarded",IF(U68&lt;&gt;"",U68-TODAY(),IF(X68="","",X68-TODAY())),IF(X68="","",X68-TODAY())))</t>
        </is>
      </c>
      <c r="AI68" s="54" t="n"/>
      <c r="AJ68" s="54" t="n"/>
      <c r="AK68" s="54" t="n"/>
      <c r="AL68" s="54" t="n"/>
      <c r="AM68" s="54" t="n"/>
      <c r="AN68" s="54" t="n"/>
      <c r="AO68" s="54" t="n"/>
      <c r="AP68" s="54" t="n"/>
      <c r="AQ68" s="54" t="n"/>
      <c r="AR68" s="54" t="n"/>
      <c r="AS68" s="54" t="n"/>
      <c r="AT68" s="50" t="n"/>
      <c r="AU68" s="50" t="n"/>
      <c r="AV68" s="50" t="n"/>
      <c r="AW68" s="49" t="inlineStr">
        <is>
          <t>IF(OR(F68="",AJ68=""),"",IF(COUNT(AI68:AI68)=0,"",AJ68-LOOKUP(2,1/(AI68:AI68&lt;&gt;""),AI68:AI68)))</t>
        </is>
      </c>
      <c r="AX68" s="49" t="inlineStr">
        <is>
          <t>IF(OR(F68="",AK68=""),"",IF(COUNT(AI68:AJ68)=0,"",AK68-LOOKUP(2,1/(AI68:AJ68&lt;&gt;""),AI68:AJ68)))</t>
        </is>
      </c>
      <c r="AY68" s="49" t="inlineStr">
        <is>
          <t>IF(OR(F68="",AL68=""),"",IF(COUNT(AI68:AK68)=0,"",AL68-LOOKUP(2,1/(AI68:AK68&lt;&gt;""),AI68:AK68)))</t>
        </is>
      </c>
      <c r="AZ68" s="49" t="inlineStr">
        <is>
          <t>IF(OR(F68="",AM68=""),"",IF(COUNT(AI68:AL68)=0,"",AM68-LOOKUP(2,1/(AI68:AL68&lt;&gt;""),AI68:AL68)))</t>
        </is>
      </c>
      <c r="BA68" s="49" t="inlineStr">
        <is>
          <t>IF(OR(F68="",AN68=""),"",IF(COUNT(AI68:AM68)=0,"",AN68-LOOKUP(2,1/(AI68:AM68&lt;&gt;""),AI68:AM68)))</t>
        </is>
      </c>
      <c r="BB68" s="49" t="inlineStr">
        <is>
          <t>IF(OR(F68="",AO68=""),"",IF(COUNT(AI68:AN68)=0,"",AO68-LOOKUP(2,1/(AI68:AN68&lt;&gt;""),AI68:AN68)))</t>
        </is>
      </c>
      <c r="BC68" s="49" t="inlineStr">
        <is>
          <t>IF(OR(F68="",AP68=""),"",IF(COUNT(AI68:AO68)=0,"",AP68-LOOKUP(2,1/(AI68:AO68&lt;&gt;""),AI68:AO68)))</t>
        </is>
      </c>
      <c r="BD68" s="49" t="inlineStr">
        <is>
          <t>IF(OR(F68="",AQ68=""),"",IF(COUNT(AI68:AP68)=0,"",AQ68-LOOKUP(2,1/(AI68:AP68&lt;&gt;""),AI68:AP68)))</t>
        </is>
      </c>
      <c r="BE68" s="49" t="inlineStr">
        <is>
          <t>IF(OR(F68="",AR68=""),"",IF(COUNT(AI68:AQ68)=0,"",AR68-LOOKUP(2,1/(AI68:AQ68&lt;&gt;""),AI68:AQ68)))</t>
        </is>
      </c>
      <c r="BF68" s="49" t="inlineStr">
        <is>
          <t>IF(OR(F68="",AS68=""),"",IF(COUNT(AI68:AR68)=0,"",AS68-LOOKUP(2,1/(AI68:AR68&lt;&gt;""),AI68:AR68)))</t>
        </is>
      </c>
      <c r="BG68" s="49" t="inlineStr">
        <is>
          <t>IF(OR(F68="",AT68=""),"",IF(COUNT(AI68:AS68)=0,"",AT68-LOOKUP(2,1/(AI68:AS68&lt;&gt;""),AI68:AS68)))</t>
        </is>
      </c>
      <c r="BH68" s="49" t="inlineStr">
        <is>
          <t>IF(OR(F68="",AU68=""),"",IF(COUNT(AI68:AT68)=0,"",AU68-LOOKUP(2,1/(AI68:AT68&lt;&gt;""),AI68:AT68)))</t>
        </is>
      </c>
      <c r="BI68" s="49" t="inlineStr">
        <is>
          <t>IF(OR(F68="",AV68=""),"",IF(COUNT(AI68:AU68)=0,"",AV68-LOOKUP(2,1/(AI68:AU68&lt;&gt;""),AI68:AU68)))</t>
        </is>
      </c>
      <c r="BJ68" s="51" t="inlineStr">
        <is>
          <t>IF(J68="","All_Provinces",IFERROR(VLOOKUP(J68,'09_Lookups'!$A$4:$B$20,2,FALSE),"All_Provinces"))</t>
        </is>
      </c>
      <c r="BK68" s="51" t="inlineStr">
        <is>
          <t>IF(K68="","All_Districts",IFERROR(VLOOKUP(K68,'09_Lookups'!$E$4:$F$42,2,FALSE),"All_Districts"))</t>
        </is>
      </c>
    </row>
    <row r="69" ht="18" customHeight="1">
      <c r="A69" s="42" t="inlineStr">
        <is>
          <t>IF(F69="","",ROW()-3)</t>
        </is>
      </c>
      <c r="B69" s="44" t="n"/>
      <c r="C69" s="44" t="n"/>
      <c r="D69" s="44" t="n"/>
      <c r="E69" s="44" t="n"/>
      <c r="F69" s="44" t="n"/>
      <c r="G69" s="44" t="n"/>
      <c r="H69" s="44" t="n"/>
      <c r="I69" s="44" t="n"/>
      <c r="J69" s="44" t="n"/>
      <c r="K69" s="44" t="n"/>
      <c r="L69" s="44" t="n"/>
      <c r="M69" s="44" t="n"/>
      <c r="N69" s="44" t="n"/>
      <c r="O69" s="44" t="n"/>
      <c r="P69" s="44" t="n"/>
      <c r="Q69" s="44" t="n"/>
      <c r="R69" s="44" t="n"/>
      <c r="S69" s="45" t="n"/>
      <c r="T69" s="46" t="inlineStr">
        <is>
          <t>IF(AQ69="","",AQ69)</t>
        </is>
      </c>
      <c r="U69" s="47" t="n"/>
      <c r="V69" s="48" t="n"/>
      <c r="W69" s="47" t="n"/>
      <c r="X69" s="46" t="inlineStr">
        <is>
          <t>IF(W69&lt;&gt;"",W69,IF(OR(T69="",V69=""),"",EDATE(T69,V69)))</t>
        </is>
      </c>
      <c r="Y69" s="47" t="n"/>
      <c r="Z69" s="48" t="n"/>
      <c r="AA69" s="44" t="n"/>
      <c r="AB69" s="44" t="n"/>
      <c r="AC69" s="42" t="inlineStr">
        <is>
          <t>IF(F69="","",IF(COUNT(AI69:AV69)=0,IF(AA69="","Not started",AA69),SUBSTITUTE(LOOKUP(2,1/(AI69:AV69&lt;&gt;""),$AI$3:$AV$3),"Date: ","")))</t>
        </is>
      </c>
      <c r="AD69" s="49" t="inlineStr">
        <is>
          <t>IF(OR(F69="",COUNT(AI69:AV69)=0),"",TODAY()-LOOKUP(2,1/(AI69:AV69&lt;&gt;""),AI69:AV69))</t>
        </is>
      </c>
      <c r="AE69" s="49" t="inlineStr">
        <is>
          <t>IF(OR(F69="",COUNT(AI69:AV69)&lt;2),"",LOOKUP(2,1/(AI69:AV69&lt;&gt;""),AI69:AV69)-MIN(AI69:AV69))</t>
        </is>
      </c>
      <c r="AF69" s="49" t="inlineStr">
        <is>
          <t>IF(OR(AD69="",AC69="Not started",AC69=""),"",IFERROR(AD69-IF(VLOOKUP(AC69,'06_Status_Pipeline'!$B$3:$E$20,4,FALSE)="",0,VLOOKUP(AC69,'06_Status_Pipeline'!$B$3:$E$20,4,FALSE)),""))</t>
        </is>
      </c>
      <c r="AG69" s="42" t="inlineStr">
        <is>
          <t>IF(F69="","",IF(OR(AA69="Cancelled",AC69="Cancelled"),"Cancelled",IF(OR(AC69="Completed / Handover",Y69&lt;&gt;"",Z69&gt;=100),"Completed — on track",IF(O69="Not awarded",IF(U69="",IF(X69="","No planned date",IF(TODAY()&gt;X69,"Behind — past planned date",IF(X69-TODAY()&lt;=30,"At risk — close to off track","On track"))),IF(TODAY()&gt;U69,"Behind — award date passed",IF(U69-TODAY()&lt;=30,"At risk — close to off track","On track"))),IF(X69="","No planned date",IF(AND(TODAY()&gt;X69,OR(Z69="",Z69&lt;100)),"Behind — past end date",IF(AND(T69&lt;&gt;"",X69&lt;&gt;"",Z69&lt;&gt;"",(Z69&lt;100),((TODAY()-T69)/MAX(X69-T69,1)*100)-Z69&gt;15),"Behind — progress lag",IF(AND(X69-TODAY()&lt;=30,X69-TODAY()&gt;=0,OR(Z69="",Z69&lt;90)),"At risk — close to off track","On track"))))))))</t>
        </is>
      </c>
      <c r="AH69" s="49" t="inlineStr">
        <is>
          <t>IF(OR(F69="",AC69="Completed / Handover",AC69="Cancelled"),"",IF(O69="Not awarded",IF(U69&lt;&gt;"",U69-TODAY(),IF(X69="","",X69-TODAY())),IF(X69="","",X69-TODAY())))</t>
        </is>
      </c>
      <c r="AI69" s="47" t="n"/>
      <c r="AJ69" s="47" t="n"/>
      <c r="AK69" s="47" t="n"/>
      <c r="AL69" s="47" t="n"/>
      <c r="AM69" s="47" t="n"/>
      <c r="AN69" s="47" t="n"/>
      <c r="AO69" s="47" t="n"/>
      <c r="AP69" s="47" t="n"/>
      <c r="AQ69" s="47" t="n"/>
      <c r="AR69" s="47" t="n"/>
      <c r="AS69" s="47" t="n"/>
      <c r="AT69" s="50" t="n"/>
      <c r="AU69" s="50" t="n"/>
      <c r="AV69" s="50" t="n"/>
      <c r="AW69" s="49" t="inlineStr">
        <is>
          <t>IF(OR(F69="",AJ69=""),"",IF(COUNT(AI69:AI69)=0,"",AJ69-LOOKUP(2,1/(AI69:AI69&lt;&gt;""),AI69:AI69)))</t>
        </is>
      </c>
      <c r="AX69" s="49" t="inlineStr">
        <is>
          <t>IF(OR(F69="",AK69=""),"",IF(COUNT(AI69:AJ69)=0,"",AK69-LOOKUP(2,1/(AI69:AJ69&lt;&gt;""),AI69:AJ69)))</t>
        </is>
      </c>
      <c r="AY69" s="49" t="inlineStr">
        <is>
          <t>IF(OR(F69="",AL69=""),"",IF(COUNT(AI69:AK69)=0,"",AL69-LOOKUP(2,1/(AI69:AK69&lt;&gt;""),AI69:AK69)))</t>
        </is>
      </c>
      <c r="AZ69" s="49" t="inlineStr">
        <is>
          <t>IF(OR(F69="",AM69=""),"",IF(COUNT(AI69:AL69)=0,"",AM69-LOOKUP(2,1/(AI69:AL69&lt;&gt;""),AI69:AL69)))</t>
        </is>
      </c>
      <c r="BA69" s="49" t="inlineStr">
        <is>
          <t>IF(OR(F69="",AN69=""),"",IF(COUNT(AI69:AM69)=0,"",AN69-LOOKUP(2,1/(AI69:AM69&lt;&gt;""),AI69:AM69)))</t>
        </is>
      </c>
      <c r="BB69" s="49" t="inlineStr">
        <is>
          <t>IF(OR(F69="",AO69=""),"",IF(COUNT(AI69:AN69)=0,"",AO69-LOOKUP(2,1/(AI69:AN69&lt;&gt;""),AI69:AN69)))</t>
        </is>
      </c>
      <c r="BC69" s="49" t="inlineStr">
        <is>
          <t>IF(OR(F69="",AP69=""),"",IF(COUNT(AI69:AO69)=0,"",AP69-LOOKUP(2,1/(AI69:AO69&lt;&gt;""),AI69:AO69)))</t>
        </is>
      </c>
      <c r="BD69" s="49" t="inlineStr">
        <is>
          <t>IF(OR(F69="",AQ69=""),"",IF(COUNT(AI69:AP69)=0,"",AQ69-LOOKUP(2,1/(AI69:AP69&lt;&gt;""),AI69:AP69)))</t>
        </is>
      </c>
      <c r="BE69" s="49" t="inlineStr">
        <is>
          <t>IF(OR(F69="",AR69=""),"",IF(COUNT(AI69:AQ69)=0,"",AR69-LOOKUP(2,1/(AI69:AQ69&lt;&gt;""),AI69:AQ69)))</t>
        </is>
      </c>
      <c r="BF69" s="49" t="inlineStr">
        <is>
          <t>IF(OR(F69="",AS69=""),"",IF(COUNT(AI69:AR69)=0,"",AS69-LOOKUP(2,1/(AI69:AR69&lt;&gt;""),AI69:AR69)))</t>
        </is>
      </c>
      <c r="BG69" s="49" t="inlineStr">
        <is>
          <t>IF(OR(F69="",AT69=""),"",IF(COUNT(AI69:AS69)=0,"",AT69-LOOKUP(2,1/(AI69:AS69&lt;&gt;""),AI69:AS69)))</t>
        </is>
      </c>
      <c r="BH69" s="49" t="inlineStr">
        <is>
          <t>IF(OR(F69="",AU69=""),"",IF(COUNT(AI69:AT69)=0,"",AU69-LOOKUP(2,1/(AI69:AT69&lt;&gt;""),AI69:AT69)))</t>
        </is>
      </c>
      <c r="BI69" s="49" t="inlineStr">
        <is>
          <t>IF(OR(F69="",AV69=""),"",IF(COUNT(AI69:AU69)=0,"",AV69-LOOKUP(2,1/(AI69:AU69&lt;&gt;""),AI69:AU69)))</t>
        </is>
      </c>
      <c r="BJ69" s="51" t="inlineStr">
        <is>
          <t>IF(J69="","All_Provinces",IFERROR(VLOOKUP(J69,'09_Lookups'!$A$4:$B$20,2,FALSE),"All_Provinces"))</t>
        </is>
      </c>
      <c r="BK69" s="51" t="inlineStr">
        <is>
          <t>IF(K69="","All_Districts",IFERROR(VLOOKUP(K69,'09_Lookups'!$E$4:$F$42,2,FALSE),"All_Districts"))</t>
        </is>
      </c>
    </row>
    <row r="70" ht="18" customHeight="1">
      <c r="A70" s="42" t="inlineStr">
        <is>
          <t>IF(F70="","",ROW()-3)</t>
        </is>
      </c>
      <c r="B70" s="52" t="n"/>
      <c r="C70" s="52" t="n"/>
      <c r="D70" s="52" t="n"/>
      <c r="E70" s="52" t="n"/>
      <c r="F70" s="52" t="n"/>
      <c r="G70" s="52" t="n"/>
      <c r="H70" s="52" t="n"/>
      <c r="I70" s="52" t="n"/>
      <c r="J70" s="52" t="n"/>
      <c r="K70" s="52" t="n"/>
      <c r="L70" s="52" t="n"/>
      <c r="M70" s="52" t="n"/>
      <c r="N70" s="52" t="n"/>
      <c r="O70" s="52" t="n"/>
      <c r="P70" s="52" t="n"/>
      <c r="Q70" s="52" t="n"/>
      <c r="R70" s="52" t="n"/>
      <c r="S70" s="53" t="n"/>
      <c r="T70" s="46" t="inlineStr">
        <is>
          <t>IF(AQ70="","",AQ70)</t>
        </is>
      </c>
      <c r="U70" s="54" t="n"/>
      <c r="V70" s="55" t="n"/>
      <c r="W70" s="54" t="n"/>
      <c r="X70" s="46" t="inlineStr">
        <is>
          <t>IF(W70&lt;&gt;"",W70,IF(OR(T70="",V70=""),"",EDATE(T70,V70)))</t>
        </is>
      </c>
      <c r="Y70" s="54" t="n"/>
      <c r="Z70" s="55" t="n"/>
      <c r="AA70" s="52" t="n"/>
      <c r="AB70" s="52" t="n"/>
      <c r="AC70" s="42" t="inlineStr">
        <is>
          <t>IF(F70="","",IF(COUNT(AI70:AV70)=0,IF(AA70="","Not started",AA70),SUBSTITUTE(LOOKUP(2,1/(AI70:AV70&lt;&gt;""),$AI$3:$AV$3),"Date: ","")))</t>
        </is>
      </c>
      <c r="AD70" s="49" t="inlineStr">
        <is>
          <t>IF(OR(F70="",COUNT(AI70:AV70)=0),"",TODAY()-LOOKUP(2,1/(AI70:AV70&lt;&gt;""),AI70:AV70))</t>
        </is>
      </c>
      <c r="AE70" s="49" t="inlineStr">
        <is>
          <t>IF(OR(F70="",COUNT(AI70:AV70)&lt;2),"",LOOKUP(2,1/(AI70:AV70&lt;&gt;""),AI70:AV70)-MIN(AI70:AV70))</t>
        </is>
      </c>
      <c r="AF70" s="49" t="inlineStr">
        <is>
          <t>IF(OR(AD70="",AC70="Not started",AC70=""),"",IFERROR(AD70-IF(VLOOKUP(AC70,'06_Status_Pipeline'!$B$3:$E$20,4,FALSE)="",0,VLOOKUP(AC70,'06_Status_Pipeline'!$B$3:$E$20,4,FALSE)),""))</t>
        </is>
      </c>
      <c r="AG70" s="42" t="inlineStr">
        <is>
          <t>IF(F70="","",IF(OR(AA70="Cancelled",AC70="Cancelled"),"Cancelled",IF(OR(AC70="Completed / Handover",Y70&lt;&gt;"",Z70&gt;=100),"Completed — on track",IF(O70="Not awarded",IF(U70="",IF(X70="","No planned date",IF(TODAY()&gt;X70,"Behind — past planned date",IF(X70-TODAY()&lt;=30,"At risk — close to off track","On track"))),IF(TODAY()&gt;U70,"Behind — award date passed",IF(U70-TODAY()&lt;=30,"At risk — close to off track","On track"))),IF(X70="","No planned date",IF(AND(TODAY()&gt;X70,OR(Z70="",Z70&lt;100)),"Behind — past end date",IF(AND(T70&lt;&gt;"",X70&lt;&gt;"",Z70&lt;&gt;"",(Z70&lt;100),((TODAY()-T70)/MAX(X70-T70,1)*100)-Z70&gt;15),"Behind — progress lag",IF(AND(X70-TODAY()&lt;=30,X70-TODAY()&gt;=0,OR(Z70="",Z70&lt;90)),"At risk — close to off track","On track"))))))))</t>
        </is>
      </c>
      <c r="AH70" s="49" t="inlineStr">
        <is>
          <t>IF(OR(F70="",AC70="Completed / Handover",AC70="Cancelled"),"",IF(O70="Not awarded",IF(U70&lt;&gt;"",U70-TODAY(),IF(X70="","",X70-TODAY())),IF(X70="","",X70-TODAY())))</t>
        </is>
      </c>
      <c r="AI70" s="54" t="n"/>
      <c r="AJ70" s="54" t="n"/>
      <c r="AK70" s="54" t="n"/>
      <c r="AL70" s="54" t="n"/>
      <c r="AM70" s="54" t="n"/>
      <c r="AN70" s="54" t="n"/>
      <c r="AO70" s="54" t="n"/>
      <c r="AP70" s="54" t="n"/>
      <c r="AQ70" s="54" t="n"/>
      <c r="AR70" s="54" t="n"/>
      <c r="AS70" s="54" t="n"/>
      <c r="AT70" s="50" t="n"/>
      <c r="AU70" s="50" t="n"/>
      <c r="AV70" s="50" t="n"/>
      <c r="AW70" s="49" t="inlineStr">
        <is>
          <t>IF(OR(F70="",AJ70=""),"",IF(COUNT(AI70:AI70)=0,"",AJ70-LOOKUP(2,1/(AI70:AI70&lt;&gt;""),AI70:AI70)))</t>
        </is>
      </c>
      <c r="AX70" s="49" t="inlineStr">
        <is>
          <t>IF(OR(F70="",AK70=""),"",IF(COUNT(AI70:AJ70)=0,"",AK70-LOOKUP(2,1/(AI70:AJ70&lt;&gt;""),AI70:AJ70)))</t>
        </is>
      </c>
      <c r="AY70" s="49" t="inlineStr">
        <is>
          <t>IF(OR(F70="",AL70=""),"",IF(COUNT(AI70:AK70)=0,"",AL70-LOOKUP(2,1/(AI70:AK70&lt;&gt;""),AI70:AK70)))</t>
        </is>
      </c>
      <c r="AZ70" s="49" t="inlineStr">
        <is>
          <t>IF(OR(F70="",AM70=""),"",IF(COUNT(AI70:AL70)=0,"",AM70-LOOKUP(2,1/(AI70:AL70&lt;&gt;""),AI70:AL70)))</t>
        </is>
      </c>
      <c r="BA70" s="49" t="inlineStr">
        <is>
          <t>IF(OR(F70="",AN70=""),"",IF(COUNT(AI70:AM70)=0,"",AN70-LOOKUP(2,1/(AI70:AM70&lt;&gt;""),AI70:AM70)))</t>
        </is>
      </c>
      <c r="BB70" s="49" t="inlineStr">
        <is>
          <t>IF(OR(F70="",AO70=""),"",IF(COUNT(AI70:AN70)=0,"",AO70-LOOKUP(2,1/(AI70:AN70&lt;&gt;""),AI70:AN70)))</t>
        </is>
      </c>
      <c r="BC70" s="49" t="inlineStr">
        <is>
          <t>IF(OR(F70="",AP70=""),"",IF(COUNT(AI70:AO70)=0,"",AP70-LOOKUP(2,1/(AI70:AO70&lt;&gt;""),AI70:AO70)))</t>
        </is>
      </c>
      <c r="BD70" s="49" t="inlineStr">
        <is>
          <t>IF(OR(F70="",AQ70=""),"",IF(COUNT(AI70:AP70)=0,"",AQ70-LOOKUP(2,1/(AI70:AP70&lt;&gt;""),AI70:AP70)))</t>
        </is>
      </c>
      <c r="BE70" s="49" t="inlineStr">
        <is>
          <t>IF(OR(F70="",AR70=""),"",IF(COUNT(AI70:AQ70)=0,"",AR70-LOOKUP(2,1/(AI70:AQ70&lt;&gt;""),AI70:AQ70)))</t>
        </is>
      </c>
      <c r="BF70" s="49" t="inlineStr">
        <is>
          <t>IF(OR(F70="",AS70=""),"",IF(COUNT(AI70:AR70)=0,"",AS70-LOOKUP(2,1/(AI70:AR70&lt;&gt;""),AI70:AR70)))</t>
        </is>
      </c>
      <c r="BG70" s="49" t="inlineStr">
        <is>
          <t>IF(OR(F70="",AT70=""),"",IF(COUNT(AI70:AS70)=0,"",AT70-LOOKUP(2,1/(AI70:AS70&lt;&gt;""),AI70:AS70)))</t>
        </is>
      </c>
      <c r="BH70" s="49" t="inlineStr">
        <is>
          <t>IF(OR(F70="",AU70=""),"",IF(COUNT(AI70:AT70)=0,"",AU70-LOOKUP(2,1/(AI70:AT70&lt;&gt;""),AI70:AT70)))</t>
        </is>
      </c>
      <c r="BI70" s="49" t="inlineStr">
        <is>
          <t>IF(OR(F70="",AV70=""),"",IF(COUNT(AI70:AU70)=0,"",AV70-LOOKUP(2,1/(AI70:AU70&lt;&gt;""),AI70:AU70)))</t>
        </is>
      </c>
      <c r="BJ70" s="51" t="inlineStr">
        <is>
          <t>IF(J70="","All_Provinces",IFERROR(VLOOKUP(J70,'09_Lookups'!$A$4:$B$20,2,FALSE),"All_Provinces"))</t>
        </is>
      </c>
      <c r="BK70" s="51" t="inlineStr">
        <is>
          <t>IF(K70="","All_Districts",IFERROR(VLOOKUP(K70,'09_Lookups'!$E$4:$F$42,2,FALSE),"All_Districts"))</t>
        </is>
      </c>
    </row>
    <row r="71" ht="18" customHeight="1">
      <c r="A71" s="42" t="inlineStr">
        <is>
          <t>IF(F71="","",ROW()-3)</t>
        </is>
      </c>
      <c r="B71" s="44" t="n"/>
      <c r="C71" s="44" t="n"/>
      <c r="D71" s="44" t="n"/>
      <c r="E71" s="44" t="n"/>
      <c r="F71" s="44" t="n"/>
      <c r="G71" s="44" t="n"/>
      <c r="H71" s="44" t="n"/>
      <c r="I71" s="44" t="n"/>
      <c r="J71" s="44" t="n"/>
      <c r="K71" s="44" t="n"/>
      <c r="L71" s="44" t="n"/>
      <c r="M71" s="44" t="n"/>
      <c r="N71" s="44" t="n"/>
      <c r="O71" s="44" t="n"/>
      <c r="P71" s="44" t="n"/>
      <c r="Q71" s="44" t="n"/>
      <c r="R71" s="44" t="n"/>
      <c r="S71" s="45" t="n"/>
      <c r="T71" s="46" t="inlineStr">
        <is>
          <t>IF(AQ71="","",AQ71)</t>
        </is>
      </c>
      <c r="U71" s="47" t="n"/>
      <c r="V71" s="48" t="n"/>
      <c r="W71" s="47" t="n"/>
      <c r="X71" s="46" t="inlineStr">
        <is>
          <t>IF(W71&lt;&gt;"",W71,IF(OR(T71="",V71=""),"",EDATE(T71,V71)))</t>
        </is>
      </c>
      <c r="Y71" s="47" t="n"/>
      <c r="Z71" s="48" t="n"/>
      <c r="AA71" s="44" t="n"/>
      <c r="AB71" s="44" t="n"/>
      <c r="AC71" s="42" t="inlineStr">
        <is>
          <t>IF(F71="","",IF(COUNT(AI71:AV71)=0,IF(AA71="","Not started",AA71),SUBSTITUTE(LOOKUP(2,1/(AI71:AV71&lt;&gt;""),$AI$3:$AV$3),"Date: ","")))</t>
        </is>
      </c>
      <c r="AD71" s="49" t="inlineStr">
        <is>
          <t>IF(OR(F71="",COUNT(AI71:AV71)=0),"",TODAY()-LOOKUP(2,1/(AI71:AV71&lt;&gt;""),AI71:AV71))</t>
        </is>
      </c>
      <c r="AE71" s="49" t="inlineStr">
        <is>
          <t>IF(OR(F71="",COUNT(AI71:AV71)&lt;2),"",LOOKUP(2,1/(AI71:AV71&lt;&gt;""),AI71:AV71)-MIN(AI71:AV71))</t>
        </is>
      </c>
      <c r="AF71" s="49" t="inlineStr">
        <is>
          <t>IF(OR(AD71="",AC71="Not started",AC71=""),"",IFERROR(AD71-IF(VLOOKUP(AC71,'06_Status_Pipeline'!$B$3:$E$20,4,FALSE)="",0,VLOOKUP(AC71,'06_Status_Pipeline'!$B$3:$E$20,4,FALSE)),""))</t>
        </is>
      </c>
      <c r="AG71" s="42" t="inlineStr">
        <is>
          <t>IF(F71="","",IF(OR(AA71="Cancelled",AC71="Cancelled"),"Cancelled",IF(OR(AC71="Completed / Handover",Y71&lt;&gt;"",Z71&gt;=100),"Completed — on track",IF(O71="Not awarded",IF(U71="",IF(X71="","No planned date",IF(TODAY()&gt;X71,"Behind — past planned date",IF(X71-TODAY()&lt;=30,"At risk — close to off track","On track"))),IF(TODAY()&gt;U71,"Behind — award date passed",IF(U71-TODAY()&lt;=30,"At risk — close to off track","On track"))),IF(X71="","No planned date",IF(AND(TODAY()&gt;X71,OR(Z71="",Z71&lt;100)),"Behind — past end date",IF(AND(T71&lt;&gt;"",X71&lt;&gt;"",Z71&lt;&gt;"",(Z71&lt;100),((TODAY()-T71)/MAX(X71-T71,1)*100)-Z71&gt;15),"Behind — progress lag",IF(AND(X71-TODAY()&lt;=30,X71-TODAY()&gt;=0,OR(Z71="",Z71&lt;90)),"At risk — close to off track","On track"))))))))</t>
        </is>
      </c>
      <c r="AH71" s="49" t="inlineStr">
        <is>
          <t>IF(OR(F71="",AC71="Completed / Handover",AC71="Cancelled"),"",IF(O71="Not awarded",IF(U71&lt;&gt;"",U71-TODAY(),IF(X71="","",X71-TODAY())),IF(X71="","",X71-TODAY())))</t>
        </is>
      </c>
      <c r="AI71" s="47" t="n"/>
      <c r="AJ71" s="47" t="n"/>
      <c r="AK71" s="47" t="n"/>
      <c r="AL71" s="47" t="n"/>
      <c r="AM71" s="47" t="n"/>
      <c r="AN71" s="47" t="n"/>
      <c r="AO71" s="47" t="n"/>
      <c r="AP71" s="47" t="n"/>
      <c r="AQ71" s="47" t="n"/>
      <c r="AR71" s="47" t="n"/>
      <c r="AS71" s="47" t="n"/>
      <c r="AT71" s="50" t="n"/>
      <c r="AU71" s="50" t="n"/>
      <c r="AV71" s="50" t="n"/>
      <c r="AW71" s="49" t="inlineStr">
        <is>
          <t>IF(OR(F71="",AJ71=""),"",IF(COUNT(AI71:AI71)=0,"",AJ71-LOOKUP(2,1/(AI71:AI71&lt;&gt;""),AI71:AI71)))</t>
        </is>
      </c>
      <c r="AX71" s="49" t="inlineStr">
        <is>
          <t>IF(OR(F71="",AK71=""),"",IF(COUNT(AI71:AJ71)=0,"",AK71-LOOKUP(2,1/(AI71:AJ71&lt;&gt;""),AI71:AJ71)))</t>
        </is>
      </c>
      <c r="AY71" s="49" t="inlineStr">
        <is>
          <t>IF(OR(F71="",AL71=""),"",IF(COUNT(AI71:AK71)=0,"",AL71-LOOKUP(2,1/(AI71:AK71&lt;&gt;""),AI71:AK71)))</t>
        </is>
      </c>
      <c r="AZ71" s="49" t="inlineStr">
        <is>
          <t>IF(OR(F71="",AM71=""),"",IF(COUNT(AI71:AL71)=0,"",AM71-LOOKUP(2,1/(AI71:AL71&lt;&gt;""),AI71:AL71)))</t>
        </is>
      </c>
      <c r="BA71" s="49" t="inlineStr">
        <is>
          <t>IF(OR(F71="",AN71=""),"",IF(COUNT(AI71:AM71)=0,"",AN71-LOOKUP(2,1/(AI71:AM71&lt;&gt;""),AI71:AM71)))</t>
        </is>
      </c>
      <c r="BB71" s="49" t="inlineStr">
        <is>
          <t>IF(OR(F71="",AO71=""),"",IF(COUNT(AI71:AN71)=0,"",AO71-LOOKUP(2,1/(AI71:AN71&lt;&gt;""),AI71:AN71)))</t>
        </is>
      </c>
      <c r="BC71" s="49" t="inlineStr">
        <is>
          <t>IF(OR(F71="",AP71=""),"",IF(COUNT(AI71:AO71)=0,"",AP71-LOOKUP(2,1/(AI71:AO71&lt;&gt;""),AI71:AO71)))</t>
        </is>
      </c>
      <c r="BD71" s="49" t="inlineStr">
        <is>
          <t>IF(OR(F71="",AQ71=""),"",IF(COUNT(AI71:AP71)=0,"",AQ71-LOOKUP(2,1/(AI71:AP71&lt;&gt;""),AI71:AP71)))</t>
        </is>
      </c>
      <c r="BE71" s="49" t="inlineStr">
        <is>
          <t>IF(OR(F71="",AR71=""),"",IF(COUNT(AI71:AQ71)=0,"",AR71-LOOKUP(2,1/(AI71:AQ71&lt;&gt;""),AI71:AQ71)))</t>
        </is>
      </c>
      <c r="BF71" s="49" t="inlineStr">
        <is>
          <t>IF(OR(F71="",AS71=""),"",IF(COUNT(AI71:AR71)=0,"",AS71-LOOKUP(2,1/(AI71:AR71&lt;&gt;""),AI71:AR71)))</t>
        </is>
      </c>
      <c r="BG71" s="49" t="inlineStr">
        <is>
          <t>IF(OR(F71="",AT71=""),"",IF(COUNT(AI71:AS71)=0,"",AT71-LOOKUP(2,1/(AI71:AS71&lt;&gt;""),AI71:AS71)))</t>
        </is>
      </c>
      <c r="BH71" s="49" t="inlineStr">
        <is>
          <t>IF(OR(F71="",AU71=""),"",IF(COUNT(AI71:AT71)=0,"",AU71-LOOKUP(2,1/(AI71:AT71&lt;&gt;""),AI71:AT71)))</t>
        </is>
      </c>
      <c r="BI71" s="49" t="inlineStr">
        <is>
          <t>IF(OR(F71="",AV71=""),"",IF(COUNT(AI71:AU71)=0,"",AV71-LOOKUP(2,1/(AI71:AU71&lt;&gt;""),AI71:AU71)))</t>
        </is>
      </c>
      <c r="BJ71" s="51" t="inlineStr">
        <is>
          <t>IF(J71="","All_Provinces",IFERROR(VLOOKUP(J71,'09_Lookups'!$A$4:$B$20,2,FALSE),"All_Provinces"))</t>
        </is>
      </c>
      <c r="BK71" s="51" t="inlineStr">
        <is>
          <t>IF(K71="","All_Districts",IFERROR(VLOOKUP(K71,'09_Lookups'!$E$4:$F$42,2,FALSE),"All_Districts"))</t>
        </is>
      </c>
    </row>
    <row r="72" ht="18" customHeight="1">
      <c r="A72" s="42" t="inlineStr">
        <is>
          <t>IF(F72="","",ROW()-3)</t>
        </is>
      </c>
      <c r="B72" s="52" t="n"/>
      <c r="C72" s="52" t="n"/>
      <c r="D72" s="52" t="n"/>
      <c r="E72" s="52" t="n"/>
      <c r="F72" s="52" t="n"/>
      <c r="G72" s="52" t="n"/>
      <c r="H72" s="52" t="n"/>
      <c r="I72" s="52" t="n"/>
      <c r="J72" s="52" t="n"/>
      <c r="K72" s="52" t="n"/>
      <c r="L72" s="52" t="n"/>
      <c r="M72" s="52" t="n"/>
      <c r="N72" s="52" t="n"/>
      <c r="O72" s="52" t="n"/>
      <c r="P72" s="52" t="n"/>
      <c r="Q72" s="52" t="n"/>
      <c r="R72" s="52" t="n"/>
      <c r="S72" s="53" t="n"/>
      <c r="T72" s="46" t="inlineStr">
        <is>
          <t>IF(AQ72="","",AQ72)</t>
        </is>
      </c>
      <c r="U72" s="54" t="n"/>
      <c r="V72" s="55" t="n"/>
      <c r="W72" s="54" t="n"/>
      <c r="X72" s="46" t="inlineStr">
        <is>
          <t>IF(W72&lt;&gt;"",W72,IF(OR(T72="",V72=""),"",EDATE(T72,V72)))</t>
        </is>
      </c>
      <c r="Y72" s="54" t="n"/>
      <c r="Z72" s="55" t="n"/>
      <c r="AA72" s="52" t="n"/>
      <c r="AB72" s="52" t="n"/>
      <c r="AC72" s="42" t="inlineStr">
        <is>
          <t>IF(F72="","",IF(COUNT(AI72:AV72)=0,IF(AA72="","Not started",AA72),SUBSTITUTE(LOOKUP(2,1/(AI72:AV72&lt;&gt;""),$AI$3:$AV$3),"Date: ","")))</t>
        </is>
      </c>
      <c r="AD72" s="49" t="inlineStr">
        <is>
          <t>IF(OR(F72="",COUNT(AI72:AV72)=0),"",TODAY()-LOOKUP(2,1/(AI72:AV72&lt;&gt;""),AI72:AV72))</t>
        </is>
      </c>
      <c r="AE72" s="49" t="inlineStr">
        <is>
          <t>IF(OR(F72="",COUNT(AI72:AV72)&lt;2),"",LOOKUP(2,1/(AI72:AV72&lt;&gt;""),AI72:AV72)-MIN(AI72:AV72))</t>
        </is>
      </c>
      <c r="AF72" s="49" t="inlineStr">
        <is>
          <t>IF(OR(AD72="",AC72="Not started",AC72=""),"",IFERROR(AD72-IF(VLOOKUP(AC72,'06_Status_Pipeline'!$B$3:$E$20,4,FALSE)="",0,VLOOKUP(AC72,'06_Status_Pipeline'!$B$3:$E$20,4,FALSE)),""))</t>
        </is>
      </c>
      <c r="AG72" s="42" t="inlineStr">
        <is>
          <t>IF(F72="","",IF(OR(AA72="Cancelled",AC72="Cancelled"),"Cancelled",IF(OR(AC72="Completed / Handover",Y72&lt;&gt;"",Z72&gt;=100),"Completed — on track",IF(O72="Not awarded",IF(U72="",IF(X72="","No planned date",IF(TODAY()&gt;X72,"Behind — past planned date",IF(X72-TODAY()&lt;=30,"At risk — close to off track","On track"))),IF(TODAY()&gt;U72,"Behind — award date passed",IF(U72-TODAY()&lt;=30,"At risk — close to off track","On track"))),IF(X72="","No planned date",IF(AND(TODAY()&gt;X72,OR(Z72="",Z72&lt;100)),"Behind — past end date",IF(AND(T72&lt;&gt;"",X72&lt;&gt;"",Z72&lt;&gt;"",(Z72&lt;100),((TODAY()-T72)/MAX(X72-T72,1)*100)-Z72&gt;15),"Behind — progress lag",IF(AND(X72-TODAY()&lt;=30,X72-TODAY()&gt;=0,OR(Z72="",Z72&lt;90)),"At risk — close to off track","On track"))))))))</t>
        </is>
      </c>
      <c r="AH72" s="49" t="inlineStr">
        <is>
          <t>IF(OR(F72="",AC72="Completed / Handover",AC72="Cancelled"),"",IF(O72="Not awarded",IF(U72&lt;&gt;"",U72-TODAY(),IF(X72="","",X72-TODAY())),IF(X72="","",X72-TODAY())))</t>
        </is>
      </c>
      <c r="AI72" s="54" t="n"/>
      <c r="AJ72" s="54" t="n"/>
      <c r="AK72" s="54" t="n"/>
      <c r="AL72" s="54" t="n"/>
      <c r="AM72" s="54" t="n"/>
      <c r="AN72" s="54" t="n"/>
      <c r="AO72" s="54" t="n"/>
      <c r="AP72" s="54" t="n"/>
      <c r="AQ72" s="54" t="n"/>
      <c r="AR72" s="54" t="n"/>
      <c r="AS72" s="54" t="n"/>
      <c r="AT72" s="50" t="n"/>
      <c r="AU72" s="50" t="n"/>
      <c r="AV72" s="50" t="n"/>
      <c r="AW72" s="49" t="inlineStr">
        <is>
          <t>IF(OR(F72="",AJ72=""),"",IF(COUNT(AI72:AI72)=0,"",AJ72-LOOKUP(2,1/(AI72:AI72&lt;&gt;""),AI72:AI72)))</t>
        </is>
      </c>
      <c r="AX72" s="49" t="inlineStr">
        <is>
          <t>IF(OR(F72="",AK72=""),"",IF(COUNT(AI72:AJ72)=0,"",AK72-LOOKUP(2,1/(AI72:AJ72&lt;&gt;""),AI72:AJ72)))</t>
        </is>
      </c>
      <c r="AY72" s="49" t="inlineStr">
        <is>
          <t>IF(OR(F72="",AL72=""),"",IF(COUNT(AI72:AK72)=0,"",AL72-LOOKUP(2,1/(AI72:AK72&lt;&gt;""),AI72:AK72)))</t>
        </is>
      </c>
      <c r="AZ72" s="49" t="inlineStr">
        <is>
          <t>IF(OR(F72="",AM72=""),"",IF(COUNT(AI72:AL72)=0,"",AM72-LOOKUP(2,1/(AI72:AL72&lt;&gt;""),AI72:AL72)))</t>
        </is>
      </c>
      <c r="BA72" s="49" t="inlineStr">
        <is>
          <t>IF(OR(F72="",AN72=""),"",IF(COUNT(AI72:AM72)=0,"",AN72-LOOKUP(2,1/(AI72:AM72&lt;&gt;""),AI72:AM72)))</t>
        </is>
      </c>
      <c r="BB72" s="49" t="inlineStr">
        <is>
          <t>IF(OR(F72="",AO72=""),"",IF(COUNT(AI72:AN72)=0,"",AO72-LOOKUP(2,1/(AI72:AN72&lt;&gt;""),AI72:AN72)))</t>
        </is>
      </c>
      <c r="BC72" s="49" t="inlineStr">
        <is>
          <t>IF(OR(F72="",AP72=""),"",IF(COUNT(AI72:AO72)=0,"",AP72-LOOKUP(2,1/(AI72:AO72&lt;&gt;""),AI72:AO72)))</t>
        </is>
      </c>
      <c r="BD72" s="49" t="inlineStr">
        <is>
          <t>IF(OR(F72="",AQ72=""),"",IF(COUNT(AI72:AP72)=0,"",AQ72-LOOKUP(2,1/(AI72:AP72&lt;&gt;""),AI72:AP72)))</t>
        </is>
      </c>
      <c r="BE72" s="49" t="inlineStr">
        <is>
          <t>IF(OR(F72="",AR72=""),"",IF(COUNT(AI72:AQ72)=0,"",AR72-LOOKUP(2,1/(AI72:AQ72&lt;&gt;""),AI72:AQ72)))</t>
        </is>
      </c>
      <c r="BF72" s="49" t="inlineStr">
        <is>
          <t>IF(OR(F72="",AS72=""),"",IF(COUNT(AI72:AR72)=0,"",AS72-LOOKUP(2,1/(AI72:AR72&lt;&gt;""),AI72:AR72)))</t>
        </is>
      </c>
      <c r="BG72" s="49" t="inlineStr">
        <is>
          <t>IF(OR(F72="",AT72=""),"",IF(COUNT(AI72:AS72)=0,"",AT72-LOOKUP(2,1/(AI72:AS72&lt;&gt;""),AI72:AS72)))</t>
        </is>
      </c>
      <c r="BH72" s="49" t="inlineStr">
        <is>
          <t>IF(OR(F72="",AU72=""),"",IF(COUNT(AI72:AT72)=0,"",AU72-LOOKUP(2,1/(AI72:AT72&lt;&gt;""),AI72:AT72)))</t>
        </is>
      </c>
      <c r="BI72" s="49" t="inlineStr">
        <is>
          <t>IF(OR(F72="",AV72=""),"",IF(COUNT(AI72:AU72)=0,"",AV72-LOOKUP(2,1/(AI72:AU72&lt;&gt;""),AI72:AU72)))</t>
        </is>
      </c>
      <c r="BJ72" s="51" t="inlineStr">
        <is>
          <t>IF(J72="","All_Provinces",IFERROR(VLOOKUP(J72,'09_Lookups'!$A$4:$B$20,2,FALSE),"All_Provinces"))</t>
        </is>
      </c>
      <c r="BK72" s="51" t="inlineStr">
        <is>
          <t>IF(K72="","All_Districts",IFERROR(VLOOKUP(K72,'09_Lookups'!$E$4:$F$42,2,FALSE),"All_Districts"))</t>
        </is>
      </c>
    </row>
    <row r="73" ht="18" customHeight="1">
      <c r="A73" s="42" t="inlineStr">
        <is>
          <t>IF(F73="","",ROW()-3)</t>
        </is>
      </c>
      <c r="B73" s="44" t="n"/>
      <c r="C73" s="44" t="n"/>
      <c r="D73" s="44" t="n"/>
      <c r="E73" s="44" t="n"/>
      <c r="F73" s="44" t="n"/>
      <c r="G73" s="44" t="n"/>
      <c r="H73" s="44" t="n"/>
      <c r="I73" s="44" t="n"/>
      <c r="J73" s="44" t="n"/>
      <c r="K73" s="44" t="n"/>
      <c r="L73" s="44" t="n"/>
      <c r="M73" s="44" t="n"/>
      <c r="N73" s="44" t="n"/>
      <c r="O73" s="44" t="n"/>
      <c r="P73" s="44" t="n"/>
      <c r="Q73" s="44" t="n"/>
      <c r="R73" s="44" t="n"/>
      <c r="S73" s="45" t="n"/>
      <c r="T73" s="46" t="inlineStr">
        <is>
          <t>IF(AQ73="","",AQ73)</t>
        </is>
      </c>
      <c r="U73" s="47" t="n"/>
      <c r="V73" s="48" t="n"/>
      <c r="W73" s="47" t="n"/>
      <c r="X73" s="46" t="inlineStr">
        <is>
          <t>IF(W73&lt;&gt;"",W73,IF(OR(T73="",V73=""),"",EDATE(T73,V73)))</t>
        </is>
      </c>
      <c r="Y73" s="47" t="n"/>
      <c r="Z73" s="48" t="n"/>
      <c r="AA73" s="44" t="n"/>
      <c r="AB73" s="44" t="n"/>
      <c r="AC73" s="42" t="inlineStr">
        <is>
          <t>IF(F73="","",IF(COUNT(AI73:AV73)=0,IF(AA73="","Not started",AA73),SUBSTITUTE(LOOKUP(2,1/(AI73:AV73&lt;&gt;""),$AI$3:$AV$3),"Date: ","")))</t>
        </is>
      </c>
      <c r="AD73" s="49" t="inlineStr">
        <is>
          <t>IF(OR(F73="",COUNT(AI73:AV73)=0),"",TODAY()-LOOKUP(2,1/(AI73:AV73&lt;&gt;""),AI73:AV73))</t>
        </is>
      </c>
      <c r="AE73" s="49" t="inlineStr">
        <is>
          <t>IF(OR(F73="",COUNT(AI73:AV73)&lt;2),"",LOOKUP(2,1/(AI73:AV73&lt;&gt;""),AI73:AV73)-MIN(AI73:AV73))</t>
        </is>
      </c>
      <c r="AF73" s="49" t="inlineStr">
        <is>
          <t>IF(OR(AD73="",AC73="Not started",AC73=""),"",IFERROR(AD73-IF(VLOOKUP(AC73,'06_Status_Pipeline'!$B$3:$E$20,4,FALSE)="",0,VLOOKUP(AC73,'06_Status_Pipeline'!$B$3:$E$20,4,FALSE)),""))</t>
        </is>
      </c>
      <c r="AG73" s="42" t="inlineStr">
        <is>
          <t>IF(F73="","",IF(OR(AA73="Cancelled",AC73="Cancelled"),"Cancelled",IF(OR(AC73="Completed / Handover",Y73&lt;&gt;"",Z73&gt;=100),"Completed — on track",IF(O73="Not awarded",IF(U73="",IF(X73="","No planned date",IF(TODAY()&gt;X73,"Behind — past planned date",IF(X73-TODAY()&lt;=30,"At risk — close to off track","On track"))),IF(TODAY()&gt;U73,"Behind — award date passed",IF(U73-TODAY()&lt;=30,"At risk — close to off track","On track"))),IF(X73="","No planned date",IF(AND(TODAY()&gt;X73,OR(Z73="",Z73&lt;100)),"Behind — past end date",IF(AND(T73&lt;&gt;"",X73&lt;&gt;"",Z73&lt;&gt;"",(Z73&lt;100),((TODAY()-T73)/MAX(X73-T73,1)*100)-Z73&gt;15),"Behind — progress lag",IF(AND(X73-TODAY()&lt;=30,X73-TODAY()&gt;=0,OR(Z73="",Z73&lt;90)),"At risk — close to off track","On track"))))))))</t>
        </is>
      </c>
      <c r="AH73" s="49" t="inlineStr">
        <is>
          <t>IF(OR(F73="",AC73="Completed / Handover",AC73="Cancelled"),"",IF(O73="Not awarded",IF(U73&lt;&gt;"",U73-TODAY(),IF(X73="","",X73-TODAY())),IF(X73="","",X73-TODAY())))</t>
        </is>
      </c>
      <c r="AI73" s="47" t="n"/>
      <c r="AJ73" s="47" t="n"/>
      <c r="AK73" s="47" t="n"/>
      <c r="AL73" s="47" t="n"/>
      <c r="AM73" s="47" t="n"/>
      <c r="AN73" s="47" t="n"/>
      <c r="AO73" s="47" t="n"/>
      <c r="AP73" s="47" t="n"/>
      <c r="AQ73" s="47" t="n"/>
      <c r="AR73" s="47" t="n"/>
      <c r="AS73" s="47" t="n"/>
      <c r="AT73" s="50" t="n"/>
      <c r="AU73" s="50" t="n"/>
      <c r="AV73" s="50" t="n"/>
      <c r="AW73" s="49" t="inlineStr">
        <is>
          <t>IF(OR(F73="",AJ73=""),"",IF(COUNT(AI73:AI73)=0,"",AJ73-LOOKUP(2,1/(AI73:AI73&lt;&gt;""),AI73:AI73)))</t>
        </is>
      </c>
      <c r="AX73" s="49" t="inlineStr">
        <is>
          <t>IF(OR(F73="",AK73=""),"",IF(COUNT(AI73:AJ73)=0,"",AK73-LOOKUP(2,1/(AI73:AJ73&lt;&gt;""),AI73:AJ73)))</t>
        </is>
      </c>
      <c r="AY73" s="49" t="inlineStr">
        <is>
          <t>IF(OR(F73="",AL73=""),"",IF(COUNT(AI73:AK73)=0,"",AL73-LOOKUP(2,1/(AI73:AK73&lt;&gt;""),AI73:AK73)))</t>
        </is>
      </c>
      <c r="AZ73" s="49" t="inlineStr">
        <is>
          <t>IF(OR(F73="",AM73=""),"",IF(COUNT(AI73:AL73)=0,"",AM73-LOOKUP(2,1/(AI73:AL73&lt;&gt;""),AI73:AL73)))</t>
        </is>
      </c>
      <c r="BA73" s="49" t="inlineStr">
        <is>
          <t>IF(OR(F73="",AN73=""),"",IF(COUNT(AI73:AM73)=0,"",AN73-LOOKUP(2,1/(AI73:AM73&lt;&gt;""),AI73:AM73)))</t>
        </is>
      </c>
      <c r="BB73" s="49" t="inlineStr">
        <is>
          <t>IF(OR(F73="",AO73=""),"",IF(COUNT(AI73:AN73)=0,"",AO73-LOOKUP(2,1/(AI73:AN73&lt;&gt;""),AI73:AN73)))</t>
        </is>
      </c>
      <c r="BC73" s="49" t="inlineStr">
        <is>
          <t>IF(OR(F73="",AP73=""),"",IF(COUNT(AI73:AO73)=0,"",AP73-LOOKUP(2,1/(AI73:AO73&lt;&gt;""),AI73:AO73)))</t>
        </is>
      </c>
      <c r="BD73" s="49" t="inlineStr">
        <is>
          <t>IF(OR(F73="",AQ73=""),"",IF(COUNT(AI73:AP73)=0,"",AQ73-LOOKUP(2,1/(AI73:AP73&lt;&gt;""),AI73:AP73)))</t>
        </is>
      </c>
      <c r="BE73" s="49" t="inlineStr">
        <is>
          <t>IF(OR(F73="",AR73=""),"",IF(COUNT(AI73:AQ73)=0,"",AR73-LOOKUP(2,1/(AI73:AQ73&lt;&gt;""),AI73:AQ73)))</t>
        </is>
      </c>
      <c r="BF73" s="49" t="inlineStr">
        <is>
          <t>IF(OR(F73="",AS73=""),"",IF(COUNT(AI73:AR73)=0,"",AS73-LOOKUP(2,1/(AI73:AR73&lt;&gt;""),AI73:AR73)))</t>
        </is>
      </c>
      <c r="BG73" s="49" t="inlineStr">
        <is>
          <t>IF(OR(F73="",AT73=""),"",IF(COUNT(AI73:AS73)=0,"",AT73-LOOKUP(2,1/(AI73:AS73&lt;&gt;""),AI73:AS73)))</t>
        </is>
      </c>
      <c r="BH73" s="49" t="inlineStr">
        <is>
          <t>IF(OR(F73="",AU73=""),"",IF(COUNT(AI73:AT73)=0,"",AU73-LOOKUP(2,1/(AI73:AT73&lt;&gt;""),AI73:AT73)))</t>
        </is>
      </c>
      <c r="BI73" s="49" t="inlineStr">
        <is>
          <t>IF(OR(F73="",AV73=""),"",IF(COUNT(AI73:AU73)=0,"",AV73-LOOKUP(2,1/(AI73:AU73&lt;&gt;""),AI73:AU73)))</t>
        </is>
      </c>
      <c r="BJ73" s="51" t="inlineStr">
        <is>
          <t>IF(J73="","All_Provinces",IFERROR(VLOOKUP(J73,'09_Lookups'!$A$4:$B$20,2,FALSE),"All_Provinces"))</t>
        </is>
      </c>
      <c r="BK73" s="51" t="inlineStr">
        <is>
          <t>IF(K73="","All_Districts",IFERROR(VLOOKUP(K73,'09_Lookups'!$E$4:$F$42,2,FALSE),"All_Districts"))</t>
        </is>
      </c>
    </row>
    <row r="74" ht="18" customHeight="1">
      <c r="A74" s="42" t="inlineStr">
        <is>
          <t>IF(F74="","",ROW()-3)</t>
        </is>
      </c>
      <c r="B74" s="52" t="n"/>
      <c r="C74" s="52" t="n"/>
      <c r="D74" s="52" t="n"/>
      <c r="E74" s="52" t="n"/>
      <c r="F74" s="52" t="n"/>
      <c r="G74" s="52" t="n"/>
      <c r="H74" s="52" t="n"/>
      <c r="I74" s="52" t="n"/>
      <c r="J74" s="52" t="n"/>
      <c r="K74" s="52" t="n"/>
      <c r="L74" s="52" t="n"/>
      <c r="M74" s="52" t="n"/>
      <c r="N74" s="52" t="n"/>
      <c r="O74" s="52" t="n"/>
      <c r="P74" s="52" t="n"/>
      <c r="Q74" s="52" t="n"/>
      <c r="R74" s="52" t="n"/>
      <c r="S74" s="53" t="n"/>
      <c r="T74" s="46" t="inlineStr">
        <is>
          <t>IF(AQ74="","",AQ74)</t>
        </is>
      </c>
      <c r="U74" s="54" t="n"/>
      <c r="V74" s="55" t="n"/>
      <c r="W74" s="54" t="n"/>
      <c r="X74" s="46" t="inlineStr">
        <is>
          <t>IF(W74&lt;&gt;"",W74,IF(OR(T74="",V74=""),"",EDATE(T74,V74)))</t>
        </is>
      </c>
      <c r="Y74" s="54" t="n"/>
      <c r="Z74" s="55" t="n"/>
      <c r="AA74" s="52" t="n"/>
      <c r="AB74" s="52" t="n"/>
      <c r="AC74" s="42" t="inlineStr">
        <is>
          <t>IF(F74="","",IF(COUNT(AI74:AV74)=0,IF(AA74="","Not started",AA74),SUBSTITUTE(LOOKUP(2,1/(AI74:AV74&lt;&gt;""),$AI$3:$AV$3),"Date: ","")))</t>
        </is>
      </c>
      <c r="AD74" s="49" t="inlineStr">
        <is>
          <t>IF(OR(F74="",COUNT(AI74:AV74)=0),"",TODAY()-LOOKUP(2,1/(AI74:AV74&lt;&gt;""),AI74:AV74))</t>
        </is>
      </c>
      <c r="AE74" s="49" t="inlineStr">
        <is>
          <t>IF(OR(F74="",COUNT(AI74:AV74)&lt;2),"",LOOKUP(2,1/(AI74:AV74&lt;&gt;""),AI74:AV74)-MIN(AI74:AV74))</t>
        </is>
      </c>
      <c r="AF74" s="49" t="inlineStr">
        <is>
          <t>IF(OR(AD74="",AC74="Not started",AC74=""),"",IFERROR(AD74-IF(VLOOKUP(AC74,'06_Status_Pipeline'!$B$3:$E$20,4,FALSE)="",0,VLOOKUP(AC74,'06_Status_Pipeline'!$B$3:$E$20,4,FALSE)),""))</t>
        </is>
      </c>
      <c r="AG74" s="42" t="inlineStr">
        <is>
          <t>IF(F74="","",IF(OR(AA74="Cancelled",AC74="Cancelled"),"Cancelled",IF(OR(AC74="Completed / Handover",Y74&lt;&gt;"",Z74&gt;=100),"Completed — on track",IF(O74="Not awarded",IF(U74="",IF(X74="","No planned date",IF(TODAY()&gt;X74,"Behind — past planned date",IF(X74-TODAY()&lt;=30,"At risk — close to off track","On track"))),IF(TODAY()&gt;U74,"Behind — award date passed",IF(U74-TODAY()&lt;=30,"At risk — close to off track","On track"))),IF(X74="","No planned date",IF(AND(TODAY()&gt;X74,OR(Z74="",Z74&lt;100)),"Behind — past end date",IF(AND(T74&lt;&gt;"",X74&lt;&gt;"",Z74&lt;&gt;"",(Z74&lt;100),((TODAY()-T74)/MAX(X74-T74,1)*100)-Z74&gt;15),"Behind — progress lag",IF(AND(X74-TODAY()&lt;=30,X74-TODAY()&gt;=0,OR(Z74="",Z74&lt;90)),"At risk — close to off track","On track"))))))))</t>
        </is>
      </c>
      <c r="AH74" s="49" t="inlineStr">
        <is>
          <t>IF(OR(F74="",AC74="Completed / Handover",AC74="Cancelled"),"",IF(O74="Not awarded",IF(U74&lt;&gt;"",U74-TODAY(),IF(X74="","",X74-TODAY())),IF(X74="","",X74-TODAY())))</t>
        </is>
      </c>
      <c r="AI74" s="54" t="n"/>
      <c r="AJ74" s="54" t="n"/>
      <c r="AK74" s="54" t="n"/>
      <c r="AL74" s="54" t="n"/>
      <c r="AM74" s="54" t="n"/>
      <c r="AN74" s="54" t="n"/>
      <c r="AO74" s="54" t="n"/>
      <c r="AP74" s="54" t="n"/>
      <c r="AQ74" s="54" t="n"/>
      <c r="AR74" s="54" t="n"/>
      <c r="AS74" s="54" t="n"/>
      <c r="AT74" s="50" t="n"/>
      <c r="AU74" s="50" t="n"/>
      <c r="AV74" s="50" t="n"/>
      <c r="AW74" s="49" t="inlineStr">
        <is>
          <t>IF(OR(F74="",AJ74=""),"",IF(COUNT(AI74:AI74)=0,"",AJ74-LOOKUP(2,1/(AI74:AI74&lt;&gt;""),AI74:AI74)))</t>
        </is>
      </c>
      <c r="AX74" s="49" t="inlineStr">
        <is>
          <t>IF(OR(F74="",AK74=""),"",IF(COUNT(AI74:AJ74)=0,"",AK74-LOOKUP(2,1/(AI74:AJ74&lt;&gt;""),AI74:AJ74)))</t>
        </is>
      </c>
      <c r="AY74" s="49" t="inlineStr">
        <is>
          <t>IF(OR(F74="",AL74=""),"",IF(COUNT(AI74:AK74)=0,"",AL74-LOOKUP(2,1/(AI74:AK74&lt;&gt;""),AI74:AK74)))</t>
        </is>
      </c>
      <c r="AZ74" s="49" t="inlineStr">
        <is>
          <t>IF(OR(F74="",AM74=""),"",IF(COUNT(AI74:AL74)=0,"",AM74-LOOKUP(2,1/(AI74:AL74&lt;&gt;""),AI74:AL74)))</t>
        </is>
      </c>
      <c r="BA74" s="49" t="inlineStr">
        <is>
          <t>IF(OR(F74="",AN74=""),"",IF(COUNT(AI74:AM74)=0,"",AN74-LOOKUP(2,1/(AI74:AM74&lt;&gt;""),AI74:AM74)))</t>
        </is>
      </c>
      <c r="BB74" s="49" t="inlineStr">
        <is>
          <t>IF(OR(F74="",AO74=""),"",IF(COUNT(AI74:AN74)=0,"",AO74-LOOKUP(2,1/(AI74:AN74&lt;&gt;""),AI74:AN74)))</t>
        </is>
      </c>
      <c r="BC74" s="49" t="inlineStr">
        <is>
          <t>IF(OR(F74="",AP74=""),"",IF(COUNT(AI74:AO74)=0,"",AP74-LOOKUP(2,1/(AI74:AO74&lt;&gt;""),AI74:AO74)))</t>
        </is>
      </c>
      <c r="BD74" s="49" t="inlineStr">
        <is>
          <t>IF(OR(F74="",AQ74=""),"",IF(COUNT(AI74:AP74)=0,"",AQ74-LOOKUP(2,1/(AI74:AP74&lt;&gt;""),AI74:AP74)))</t>
        </is>
      </c>
      <c r="BE74" s="49" t="inlineStr">
        <is>
          <t>IF(OR(F74="",AR74=""),"",IF(COUNT(AI74:AQ74)=0,"",AR74-LOOKUP(2,1/(AI74:AQ74&lt;&gt;""),AI74:AQ74)))</t>
        </is>
      </c>
      <c r="BF74" s="49" t="inlineStr">
        <is>
          <t>IF(OR(F74="",AS74=""),"",IF(COUNT(AI74:AR74)=0,"",AS74-LOOKUP(2,1/(AI74:AR74&lt;&gt;""),AI74:AR74)))</t>
        </is>
      </c>
      <c r="BG74" s="49" t="inlineStr">
        <is>
          <t>IF(OR(F74="",AT74=""),"",IF(COUNT(AI74:AS74)=0,"",AT74-LOOKUP(2,1/(AI74:AS74&lt;&gt;""),AI74:AS74)))</t>
        </is>
      </c>
      <c r="BH74" s="49" t="inlineStr">
        <is>
          <t>IF(OR(F74="",AU74=""),"",IF(COUNT(AI74:AT74)=0,"",AU74-LOOKUP(2,1/(AI74:AT74&lt;&gt;""),AI74:AT74)))</t>
        </is>
      </c>
      <c r="BI74" s="49" t="inlineStr">
        <is>
          <t>IF(OR(F74="",AV74=""),"",IF(COUNT(AI74:AU74)=0,"",AV74-LOOKUP(2,1/(AI74:AU74&lt;&gt;""),AI74:AU74)))</t>
        </is>
      </c>
      <c r="BJ74" s="51" t="inlineStr">
        <is>
          <t>IF(J74="","All_Provinces",IFERROR(VLOOKUP(J74,'09_Lookups'!$A$4:$B$20,2,FALSE),"All_Provinces"))</t>
        </is>
      </c>
      <c r="BK74" s="51" t="inlineStr">
        <is>
          <t>IF(K74="","All_Districts",IFERROR(VLOOKUP(K74,'09_Lookups'!$E$4:$F$42,2,FALSE),"All_Districts"))</t>
        </is>
      </c>
    </row>
    <row r="75" ht="18" customHeight="1">
      <c r="A75" s="42" t="inlineStr">
        <is>
          <t>IF(F75="","",ROW()-3)</t>
        </is>
      </c>
      <c r="B75" s="44" t="n"/>
      <c r="C75" s="44" t="n"/>
      <c r="D75" s="44" t="n"/>
      <c r="E75" s="44" t="n"/>
      <c r="F75" s="44" t="n"/>
      <c r="G75" s="44" t="n"/>
      <c r="H75" s="44" t="n"/>
      <c r="I75" s="44" t="n"/>
      <c r="J75" s="44" t="n"/>
      <c r="K75" s="44" t="n"/>
      <c r="L75" s="44" t="n"/>
      <c r="M75" s="44" t="n"/>
      <c r="N75" s="44" t="n"/>
      <c r="O75" s="44" t="n"/>
      <c r="P75" s="44" t="n"/>
      <c r="Q75" s="44" t="n"/>
      <c r="R75" s="44" t="n"/>
      <c r="S75" s="45" t="n"/>
      <c r="T75" s="46" t="inlineStr">
        <is>
          <t>IF(AQ75="","",AQ75)</t>
        </is>
      </c>
      <c r="U75" s="47" t="n"/>
      <c r="V75" s="48" t="n"/>
      <c r="W75" s="47" t="n"/>
      <c r="X75" s="46" t="inlineStr">
        <is>
          <t>IF(W75&lt;&gt;"",W75,IF(OR(T75="",V75=""),"",EDATE(T75,V75)))</t>
        </is>
      </c>
      <c r="Y75" s="47" t="n"/>
      <c r="Z75" s="48" t="n"/>
      <c r="AA75" s="44" t="n"/>
      <c r="AB75" s="44" t="n"/>
      <c r="AC75" s="42" t="inlineStr">
        <is>
          <t>IF(F75="","",IF(COUNT(AI75:AV75)=0,IF(AA75="","Not started",AA75),SUBSTITUTE(LOOKUP(2,1/(AI75:AV75&lt;&gt;""),$AI$3:$AV$3),"Date: ","")))</t>
        </is>
      </c>
      <c r="AD75" s="49" t="inlineStr">
        <is>
          <t>IF(OR(F75="",COUNT(AI75:AV75)=0),"",TODAY()-LOOKUP(2,1/(AI75:AV75&lt;&gt;""),AI75:AV75))</t>
        </is>
      </c>
      <c r="AE75" s="49" t="inlineStr">
        <is>
          <t>IF(OR(F75="",COUNT(AI75:AV75)&lt;2),"",LOOKUP(2,1/(AI75:AV75&lt;&gt;""),AI75:AV75)-MIN(AI75:AV75))</t>
        </is>
      </c>
      <c r="AF75" s="49" t="inlineStr">
        <is>
          <t>IF(OR(AD75="",AC75="Not started",AC75=""),"",IFERROR(AD75-IF(VLOOKUP(AC75,'06_Status_Pipeline'!$B$3:$E$20,4,FALSE)="",0,VLOOKUP(AC75,'06_Status_Pipeline'!$B$3:$E$20,4,FALSE)),""))</t>
        </is>
      </c>
      <c r="AG75" s="42" t="inlineStr">
        <is>
          <t>IF(F75="","",IF(OR(AA75="Cancelled",AC75="Cancelled"),"Cancelled",IF(OR(AC75="Completed / Handover",Y75&lt;&gt;"",Z75&gt;=100),"Completed — on track",IF(O75="Not awarded",IF(U75="",IF(X75="","No planned date",IF(TODAY()&gt;X75,"Behind — past planned date",IF(X75-TODAY()&lt;=30,"At risk — close to off track","On track"))),IF(TODAY()&gt;U75,"Behind — award date passed",IF(U75-TODAY()&lt;=30,"At risk — close to off track","On track"))),IF(X75="","No planned date",IF(AND(TODAY()&gt;X75,OR(Z75="",Z75&lt;100)),"Behind — past end date",IF(AND(T75&lt;&gt;"",X75&lt;&gt;"",Z75&lt;&gt;"",(Z75&lt;100),((TODAY()-T75)/MAX(X75-T75,1)*100)-Z75&gt;15),"Behind — progress lag",IF(AND(X75-TODAY()&lt;=30,X75-TODAY()&gt;=0,OR(Z75="",Z75&lt;90)),"At risk — close to off track","On track"))))))))</t>
        </is>
      </c>
      <c r="AH75" s="49" t="inlineStr">
        <is>
          <t>IF(OR(F75="",AC75="Completed / Handover",AC75="Cancelled"),"",IF(O75="Not awarded",IF(U75&lt;&gt;"",U75-TODAY(),IF(X75="","",X75-TODAY())),IF(X75="","",X75-TODAY())))</t>
        </is>
      </c>
      <c r="AI75" s="47" t="n"/>
      <c r="AJ75" s="47" t="n"/>
      <c r="AK75" s="47" t="n"/>
      <c r="AL75" s="47" t="n"/>
      <c r="AM75" s="47" t="n"/>
      <c r="AN75" s="47" t="n"/>
      <c r="AO75" s="47" t="n"/>
      <c r="AP75" s="47" t="n"/>
      <c r="AQ75" s="47" t="n"/>
      <c r="AR75" s="47" t="n"/>
      <c r="AS75" s="47" t="n"/>
      <c r="AT75" s="50" t="n"/>
      <c r="AU75" s="50" t="n"/>
      <c r="AV75" s="50" t="n"/>
      <c r="AW75" s="49" t="inlineStr">
        <is>
          <t>IF(OR(F75="",AJ75=""),"",IF(COUNT(AI75:AI75)=0,"",AJ75-LOOKUP(2,1/(AI75:AI75&lt;&gt;""),AI75:AI75)))</t>
        </is>
      </c>
      <c r="AX75" s="49" t="inlineStr">
        <is>
          <t>IF(OR(F75="",AK75=""),"",IF(COUNT(AI75:AJ75)=0,"",AK75-LOOKUP(2,1/(AI75:AJ75&lt;&gt;""),AI75:AJ75)))</t>
        </is>
      </c>
      <c r="AY75" s="49" t="inlineStr">
        <is>
          <t>IF(OR(F75="",AL75=""),"",IF(COUNT(AI75:AK75)=0,"",AL75-LOOKUP(2,1/(AI75:AK75&lt;&gt;""),AI75:AK75)))</t>
        </is>
      </c>
      <c r="AZ75" s="49" t="inlineStr">
        <is>
          <t>IF(OR(F75="",AM75=""),"",IF(COUNT(AI75:AL75)=0,"",AM75-LOOKUP(2,1/(AI75:AL75&lt;&gt;""),AI75:AL75)))</t>
        </is>
      </c>
      <c r="BA75" s="49" t="inlineStr">
        <is>
          <t>IF(OR(F75="",AN75=""),"",IF(COUNT(AI75:AM75)=0,"",AN75-LOOKUP(2,1/(AI75:AM75&lt;&gt;""),AI75:AM75)))</t>
        </is>
      </c>
      <c r="BB75" s="49" t="inlineStr">
        <is>
          <t>IF(OR(F75="",AO75=""),"",IF(COUNT(AI75:AN75)=0,"",AO75-LOOKUP(2,1/(AI75:AN75&lt;&gt;""),AI75:AN75)))</t>
        </is>
      </c>
      <c r="BC75" s="49" t="inlineStr">
        <is>
          <t>IF(OR(F75="",AP75=""),"",IF(COUNT(AI75:AO75)=0,"",AP75-LOOKUP(2,1/(AI75:AO75&lt;&gt;""),AI75:AO75)))</t>
        </is>
      </c>
      <c r="BD75" s="49" t="inlineStr">
        <is>
          <t>IF(OR(F75="",AQ75=""),"",IF(COUNT(AI75:AP75)=0,"",AQ75-LOOKUP(2,1/(AI75:AP75&lt;&gt;""),AI75:AP75)))</t>
        </is>
      </c>
      <c r="BE75" s="49" t="inlineStr">
        <is>
          <t>IF(OR(F75="",AR75=""),"",IF(COUNT(AI75:AQ75)=0,"",AR75-LOOKUP(2,1/(AI75:AQ75&lt;&gt;""),AI75:AQ75)))</t>
        </is>
      </c>
      <c r="BF75" s="49" t="inlineStr">
        <is>
          <t>IF(OR(F75="",AS75=""),"",IF(COUNT(AI75:AR75)=0,"",AS75-LOOKUP(2,1/(AI75:AR75&lt;&gt;""),AI75:AR75)))</t>
        </is>
      </c>
      <c r="BG75" s="49" t="inlineStr">
        <is>
          <t>IF(OR(F75="",AT75=""),"",IF(COUNT(AI75:AS75)=0,"",AT75-LOOKUP(2,1/(AI75:AS75&lt;&gt;""),AI75:AS75)))</t>
        </is>
      </c>
      <c r="BH75" s="49" t="inlineStr">
        <is>
          <t>IF(OR(F75="",AU75=""),"",IF(COUNT(AI75:AT75)=0,"",AU75-LOOKUP(2,1/(AI75:AT75&lt;&gt;""),AI75:AT75)))</t>
        </is>
      </c>
      <c r="BI75" s="49" t="inlineStr">
        <is>
          <t>IF(OR(F75="",AV75=""),"",IF(COUNT(AI75:AU75)=0,"",AV75-LOOKUP(2,1/(AI75:AU75&lt;&gt;""),AI75:AU75)))</t>
        </is>
      </c>
      <c r="BJ75" s="51" t="inlineStr">
        <is>
          <t>IF(J75="","All_Provinces",IFERROR(VLOOKUP(J75,'09_Lookups'!$A$4:$B$20,2,FALSE),"All_Provinces"))</t>
        </is>
      </c>
      <c r="BK75" s="51" t="inlineStr">
        <is>
          <t>IF(K75="","All_Districts",IFERROR(VLOOKUP(K75,'09_Lookups'!$E$4:$F$42,2,FALSE),"All_Districts"))</t>
        </is>
      </c>
    </row>
    <row r="76" ht="18" customHeight="1">
      <c r="A76" s="42" t="inlineStr">
        <is>
          <t>IF(F76="","",ROW()-3)</t>
        </is>
      </c>
      <c r="B76" s="52" t="n"/>
      <c r="C76" s="52" t="n"/>
      <c r="D76" s="52" t="n"/>
      <c r="E76" s="52" t="n"/>
      <c r="F76" s="52" t="n"/>
      <c r="G76" s="52" t="n"/>
      <c r="H76" s="52" t="n"/>
      <c r="I76" s="52" t="n"/>
      <c r="J76" s="52" t="n"/>
      <c r="K76" s="52" t="n"/>
      <c r="L76" s="52" t="n"/>
      <c r="M76" s="52" t="n"/>
      <c r="N76" s="52" t="n"/>
      <c r="O76" s="52" t="n"/>
      <c r="P76" s="52" t="n"/>
      <c r="Q76" s="52" t="n"/>
      <c r="R76" s="52" t="n"/>
      <c r="S76" s="53" t="n"/>
      <c r="T76" s="46" t="inlineStr">
        <is>
          <t>IF(AQ76="","",AQ76)</t>
        </is>
      </c>
      <c r="U76" s="54" t="n"/>
      <c r="V76" s="55" t="n"/>
      <c r="W76" s="54" t="n"/>
      <c r="X76" s="46" t="inlineStr">
        <is>
          <t>IF(W76&lt;&gt;"",W76,IF(OR(T76="",V76=""),"",EDATE(T76,V76)))</t>
        </is>
      </c>
      <c r="Y76" s="54" t="n"/>
      <c r="Z76" s="55" t="n"/>
      <c r="AA76" s="52" t="n"/>
      <c r="AB76" s="52" t="n"/>
      <c r="AC76" s="42" t="inlineStr">
        <is>
          <t>IF(F76="","",IF(COUNT(AI76:AV76)=0,IF(AA76="","Not started",AA76),SUBSTITUTE(LOOKUP(2,1/(AI76:AV76&lt;&gt;""),$AI$3:$AV$3),"Date: ","")))</t>
        </is>
      </c>
      <c r="AD76" s="49" t="inlineStr">
        <is>
          <t>IF(OR(F76="",COUNT(AI76:AV76)=0),"",TODAY()-LOOKUP(2,1/(AI76:AV76&lt;&gt;""),AI76:AV76))</t>
        </is>
      </c>
      <c r="AE76" s="49" t="inlineStr">
        <is>
          <t>IF(OR(F76="",COUNT(AI76:AV76)&lt;2),"",LOOKUP(2,1/(AI76:AV76&lt;&gt;""),AI76:AV76)-MIN(AI76:AV76))</t>
        </is>
      </c>
      <c r="AF76" s="49" t="inlineStr">
        <is>
          <t>IF(OR(AD76="",AC76="Not started",AC76=""),"",IFERROR(AD76-IF(VLOOKUP(AC76,'06_Status_Pipeline'!$B$3:$E$20,4,FALSE)="",0,VLOOKUP(AC76,'06_Status_Pipeline'!$B$3:$E$20,4,FALSE)),""))</t>
        </is>
      </c>
      <c r="AG76" s="42" t="inlineStr">
        <is>
          <t>IF(F76="","",IF(OR(AA76="Cancelled",AC76="Cancelled"),"Cancelled",IF(OR(AC76="Completed / Handover",Y76&lt;&gt;"",Z76&gt;=100),"Completed — on track",IF(O76="Not awarded",IF(U76="",IF(X76="","No planned date",IF(TODAY()&gt;X76,"Behind — past planned date",IF(X76-TODAY()&lt;=30,"At risk — close to off track","On track"))),IF(TODAY()&gt;U76,"Behind — award date passed",IF(U76-TODAY()&lt;=30,"At risk — close to off track","On track"))),IF(X76="","No planned date",IF(AND(TODAY()&gt;X76,OR(Z76="",Z76&lt;100)),"Behind — past end date",IF(AND(T76&lt;&gt;"",X76&lt;&gt;"",Z76&lt;&gt;"",(Z76&lt;100),((TODAY()-T76)/MAX(X76-T76,1)*100)-Z76&gt;15),"Behind — progress lag",IF(AND(X76-TODAY()&lt;=30,X76-TODAY()&gt;=0,OR(Z76="",Z76&lt;90)),"At risk — close to off track","On track"))))))))</t>
        </is>
      </c>
      <c r="AH76" s="49" t="inlineStr">
        <is>
          <t>IF(OR(F76="",AC76="Completed / Handover",AC76="Cancelled"),"",IF(O76="Not awarded",IF(U76&lt;&gt;"",U76-TODAY(),IF(X76="","",X76-TODAY())),IF(X76="","",X76-TODAY())))</t>
        </is>
      </c>
      <c r="AI76" s="54" t="n"/>
      <c r="AJ76" s="54" t="n"/>
      <c r="AK76" s="54" t="n"/>
      <c r="AL76" s="54" t="n"/>
      <c r="AM76" s="54" t="n"/>
      <c r="AN76" s="54" t="n"/>
      <c r="AO76" s="54" t="n"/>
      <c r="AP76" s="54" t="n"/>
      <c r="AQ76" s="54" t="n"/>
      <c r="AR76" s="54" t="n"/>
      <c r="AS76" s="54" t="n"/>
      <c r="AT76" s="50" t="n"/>
      <c r="AU76" s="50" t="n"/>
      <c r="AV76" s="50" t="n"/>
      <c r="AW76" s="49" t="inlineStr">
        <is>
          <t>IF(OR(F76="",AJ76=""),"",IF(COUNT(AI76:AI76)=0,"",AJ76-LOOKUP(2,1/(AI76:AI76&lt;&gt;""),AI76:AI76)))</t>
        </is>
      </c>
      <c r="AX76" s="49" t="inlineStr">
        <is>
          <t>IF(OR(F76="",AK76=""),"",IF(COUNT(AI76:AJ76)=0,"",AK76-LOOKUP(2,1/(AI76:AJ76&lt;&gt;""),AI76:AJ76)))</t>
        </is>
      </c>
      <c r="AY76" s="49" t="inlineStr">
        <is>
          <t>IF(OR(F76="",AL76=""),"",IF(COUNT(AI76:AK76)=0,"",AL76-LOOKUP(2,1/(AI76:AK76&lt;&gt;""),AI76:AK76)))</t>
        </is>
      </c>
      <c r="AZ76" s="49" t="inlineStr">
        <is>
          <t>IF(OR(F76="",AM76=""),"",IF(COUNT(AI76:AL76)=0,"",AM76-LOOKUP(2,1/(AI76:AL76&lt;&gt;""),AI76:AL76)))</t>
        </is>
      </c>
      <c r="BA76" s="49" t="inlineStr">
        <is>
          <t>IF(OR(F76="",AN76=""),"",IF(COUNT(AI76:AM76)=0,"",AN76-LOOKUP(2,1/(AI76:AM76&lt;&gt;""),AI76:AM76)))</t>
        </is>
      </c>
      <c r="BB76" s="49" t="inlineStr">
        <is>
          <t>IF(OR(F76="",AO76=""),"",IF(COUNT(AI76:AN76)=0,"",AO76-LOOKUP(2,1/(AI76:AN76&lt;&gt;""),AI76:AN76)))</t>
        </is>
      </c>
      <c r="BC76" s="49" t="inlineStr">
        <is>
          <t>IF(OR(F76="",AP76=""),"",IF(COUNT(AI76:AO76)=0,"",AP76-LOOKUP(2,1/(AI76:AO76&lt;&gt;""),AI76:AO76)))</t>
        </is>
      </c>
      <c r="BD76" s="49" t="inlineStr">
        <is>
          <t>IF(OR(F76="",AQ76=""),"",IF(COUNT(AI76:AP76)=0,"",AQ76-LOOKUP(2,1/(AI76:AP76&lt;&gt;""),AI76:AP76)))</t>
        </is>
      </c>
      <c r="BE76" s="49" t="inlineStr">
        <is>
          <t>IF(OR(F76="",AR76=""),"",IF(COUNT(AI76:AQ76)=0,"",AR76-LOOKUP(2,1/(AI76:AQ76&lt;&gt;""),AI76:AQ76)))</t>
        </is>
      </c>
      <c r="BF76" s="49" t="inlineStr">
        <is>
          <t>IF(OR(F76="",AS76=""),"",IF(COUNT(AI76:AR76)=0,"",AS76-LOOKUP(2,1/(AI76:AR76&lt;&gt;""),AI76:AR76)))</t>
        </is>
      </c>
      <c r="BG76" s="49" t="inlineStr">
        <is>
          <t>IF(OR(F76="",AT76=""),"",IF(COUNT(AI76:AS76)=0,"",AT76-LOOKUP(2,1/(AI76:AS76&lt;&gt;""),AI76:AS76)))</t>
        </is>
      </c>
      <c r="BH76" s="49" t="inlineStr">
        <is>
          <t>IF(OR(F76="",AU76=""),"",IF(COUNT(AI76:AT76)=0,"",AU76-LOOKUP(2,1/(AI76:AT76&lt;&gt;""),AI76:AT76)))</t>
        </is>
      </c>
      <c r="BI76" s="49" t="inlineStr">
        <is>
          <t>IF(OR(F76="",AV76=""),"",IF(COUNT(AI76:AU76)=0,"",AV76-LOOKUP(2,1/(AI76:AU76&lt;&gt;""),AI76:AU76)))</t>
        </is>
      </c>
      <c r="BJ76" s="51" t="inlineStr">
        <is>
          <t>IF(J76="","All_Provinces",IFERROR(VLOOKUP(J76,'09_Lookups'!$A$4:$B$20,2,FALSE),"All_Provinces"))</t>
        </is>
      </c>
      <c r="BK76" s="51" t="inlineStr">
        <is>
          <t>IF(K76="","All_Districts",IFERROR(VLOOKUP(K76,'09_Lookups'!$E$4:$F$42,2,FALSE),"All_Districts"))</t>
        </is>
      </c>
    </row>
    <row r="77" ht="18" customHeight="1">
      <c r="A77" s="42" t="inlineStr">
        <is>
          <t>IF(F77="","",ROW()-3)</t>
        </is>
      </c>
      <c r="B77" s="44" t="n"/>
      <c r="C77" s="44" t="n"/>
      <c r="D77" s="44" t="n"/>
      <c r="E77" s="44" t="n"/>
      <c r="F77" s="44" t="n"/>
      <c r="G77" s="44" t="n"/>
      <c r="H77" s="44" t="n"/>
      <c r="I77" s="44" t="n"/>
      <c r="J77" s="44" t="n"/>
      <c r="K77" s="44" t="n"/>
      <c r="L77" s="44" t="n"/>
      <c r="M77" s="44" t="n"/>
      <c r="N77" s="44" t="n"/>
      <c r="O77" s="44" t="n"/>
      <c r="P77" s="44" t="n"/>
      <c r="Q77" s="44" t="n"/>
      <c r="R77" s="44" t="n"/>
      <c r="S77" s="45" t="n"/>
      <c r="T77" s="46" t="inlineStr">
        <is>
          <t>IF(AQ77="","",AQ77)</t>
        </is>
      </c>
      <c r="U77" s="47" t="n"/>
      <c r="V77" s="48" t="n"/>
      <c r="W77" s="47" t="n"/>
      <c r="X77" s="46" t="inlineStr">
        <is>
          <t>IF(W77&lt;&gt;"",W77,IF(OR(T77="",V77=""),"",EDATE(T77,V77)))</t>
        </is>
      </c>
      <c r="Y77" s="47" t="n"/>
      <c r="Z77" s="48" t="n"/>
      <c r="AA77" s="44" t="n"/>
      <c r="AB77" s="44" t="n"/>
      <c r="AC77" s="42" t="inlineStr">
        <is>
          <t>IF(F77="","",IF(COUNT(AI77:AV77)=0,IF(AA77="","Not started",AA77),SUBSTITUTE(LOOKUP(2,1/(AI77:AV77&lt;&gt;""),$AI$3:$AV$3),"Date: ","")))</t>
        </is>
      </c>
      <c r="AD77" s="49" t="inlineStr">
        <is>
          <t>IF(OR(F77="",COUNT(AI77:AV77)=0),"",TODAY()-LOOKUP(2,1/(AI77:AV77&lt;&gt;""),AI77:AV77))</t>
        </is>
      </c>
      <c r="AE77" s="49" t="inlineStr">
        <is>
          <t>IF(OR(F77="",COUNT(AI77:AV77)&lt;2),"",LOOKUP(2,1/(AI77:AV77&lt;&gt;""),AI77:AV77)-MIN(AI77:AV77))</t>
        </is>
      </c>
      <c r="AF77" s="49" t="inlineStr">
        <is>
          <t>IF(OR(AD77="",AC77="Not started",AC77=""),"",IFERROR(AD77-IF(VLOOKUP(AC77,'06_Status_Pipeline'!$B$3:$E$20,4,FALSE)="",0,VLOOKUP(AC77,'06_Status_Pipeline'!$B$3:$E$20,4,FALSE)),""))</t>
        </is>
      </c>
      <c r="AG77" s="42" t="inlineStr">
        <is>
          <t>IF(F77="","",IF(OR(AA77="Cancelled",AC77="Cancelled"),"Cancelled",IF(OR(AC77="Completed / Handover",Y77&lt;&gt;"",Z77&gt;=100),"Completed — on track",IF(O77="Not awarded",IF(U77="",IF(X77="","No planned date",IF(TODAY()&gt;X77,"Behind — past planned date",IF(X77-TODAY()&lt;=30,"At risk — close to off track","On track"))),IF(TODAY()&gt;U77,"Behind — award date passed",IF(U77-TODAY()&lt;=30,"At risk — close to off track","On track"))),IF(X77="","No planned date",IF(AND(TODAY()&gt;X77,OR(Z77="",Z77&lt;100)),"Behind — past end date",IF(AND(T77&lt;&gt;"",X77&lt;&gt;"",Z77&lt;&gt;"",(Z77&lt;100),((TODAY()-T77)/MAX(X77-T77,1)*100)-Z77&gt;15),"Behind — progress lag",IF(AND(X77-TODAY()&lt;=30,X77-TODAY()&gt;=0,OR(Z77="",Z77&lt;90)),"At risk — close to off track","On track"))))))))</t>
        </is>
      </c>
      <c r="AH77" s="49" t="inlineStr">
        <is>
          <t>IF(OR(F77="",AC77="Completed / Handover",AC77="Cancelled"),"",IF(O77="Not awarded",IF(U77&lt;&gt;"",U77-TODAY(),IF(X77="","",X77-TODAY())),IF(X77="","",X77-TODAY())))</t>
        </is>
      </c>
      <c r="AI77" s="47" t="n"/>
      <c r="AJ77" s="47" t="n"/>
      <c r="AK77" s="47" t="n"/>
      <c r="AL77" s="47" t="n"/>
      <c r="AM77" s="47" t="n"/>
      <c r="AN77" s="47" t="n"/>
      <c r="AO77" s="47" t="n"/>
      <c r="AP77" s="47" t="n"/>
      <c r="AQ77" s="47" t="n"/>
      <c r="AR77" s="47" t="n"/>
      <c r="AS77" s="47" t="n"/>
      <c r="AT77" s="50" t="n"/>
      <c r="AU77" s="50" t="n"/>
      <c r="AV77" s="50" t="n"/>
      <c r="AW77" s="49" t="inlineStr">
        <is>
          <t>IF(OR(F77="",AJ77=""),"",IF(COUNT(AI77:AI77)=0,"",AJ77-LOOKUP(2,1/(AI77:AI77&lt;&gt;""),AI77:AI77)))</t>
        </is>
      </c>
      <c r="AX77" s="49" t="inlineStr">
        <is>
          <t>IF(OR(F77="",AK77=""),"",IF(COUNT(AI77:AJ77)=0,"",AK77-LOOKUP(2,1/(AI77:AJ77&lt;&gt;""),AI77:AJ77)))</t>
        </is>
      </c>
      <c r="AY77" s="49" t="inlineStr">
        <is>
          <t>IF(OR(F77="",AL77=""),"",IF(COUNT(AI77:AK77)=0,"",AL77-LOOKUP(2,1/(AI77:AK77&lt;&gt;""),AI77:AK77)))</t>
        </is>
      </c>
      <c r="AZ77" s="49" t="inlineStr">
        <is>
          <t>IF(OR(F77="",AM77=""),"",IF(COUNT(AI77:AL77)=0,"",AM77-LOOKUP(2,1/(AI77:AL77&lt;&gt;""),AI77:AL77)))</t>
        </is>
      </c>
      <c r="BA77" s="49" t="inlineStr">
        <is>
          <t>IF(OR(F77="",AN77=""),"",IF(COUNT(AI77:AM77)=0,"",AN77-LOOKUP(2,1/(AI77:AM77&lt;&gt;""),AI77:AM77)))</t>
        </is>
      </c>
      <c r="BB77" s="49" t="inlineStr">
        <is>
          <t>IF(OR(F77="",AO77=""),"",IF(COUNT(AI77:AN77)=0,"",AO77-LOOKUP(2,1/(AI77:AN77&lt;&gt;""),AI77:AN77)))</t>
        </is>
      </c>
      <c r="BC77" s="49" t="inlineStr">
        <is>
          <t>IF(OR(F77="",AP77=""),"",IF(COUNT(AI77:AO77)=0,"",AP77-LOOKUP(2,1/(AI77:AO77&lt;&gt;""),AI77:AO77)))</t>
        </is>
      </c>
      <c r="BD77" s="49" t="inlineStr">
        <is>
          <t>IF(OR(F77="",AQ77=""),"",IF(COUNT(AI77:AP77)=0,"",AQ77-LOOKUP(2,1/(AI77:AP77&lt;&gt;""),AI77:AP77)))</t>
        </is>
      </c>
      <c r="BE77" s="49" t="inlineStr">
        <is>
          <t>IF(OR(F77="",AR77=""),"",IF(COUNT(AI77:AQ77)=0,"",AR77-LOOKUP(2,1/(AI77:AQ77&lt;&gt;""),AI77:AQ77)))</t>
        </is>
      </c>
      <c r="BF77" s="49" t="inlineStr">
        <is>
          <t>IF(OR(F77="",AS77=""),"",IF(COUNT(AI77:AR77)=0,"",AS77-LOOKUP(2,1/(AI77:AR77&lt;&gt;""),AI77:AR77)))</t>
        </is>
      </c>
      <c r="BG77" s="49" t="inlineStr">
        <is>
          <t>IF(OR(F77="",AT77=""),"",IF(COUNT(AI77:AS77)=0,"",AT77-LOOKUP(2,1/(AI77:AS77&lt;&gt;""),AI77:AS77)))</t>
        </is>
      </c>
      <c r="BH77" s="49" t="inlineStr">
        <is>
          <t>IF(OR(F77="",AU77=""),"",IF(COUNT(AI77:AT77)=0,"",AU77-LOOKUP(2,1/(AI77:AT77&lt;&gt;""),AI77:AT77)))</t>
        </is>
      </c>
      <c r="BI77" s="49" t="inlineStr">
        <is>
          <t>IF(OR(F77="",AV77=""),"",IF(COUNT(AI77:AU77)=0,"",AV77-LOOKUP(2,1/(AI77:AU77&lt;&gt;""),AI77:AU77)))</t>
        </is>
      </c>
      <c r="BJ77" s="51" t="inlineStr">
        <is>
          <t>IF(J77="","All_Provinces",IFERROR(VLOOKUP(J77,'09_Lookups'!$A$4:$B$20,2,FALSE),"All_Provinces"))</t>
        </is>
      </c>
      <c r="BK77" s="51" t="inlineStr">
        <is>
          <t>IF(K77="","All_Districts",IFERROR(VLOOKUP(K77,'09_Lookups'!$E$4:$F$42,2,FALSE),"All_Districts"))</t>
        </is>
      </c>
    </row>
    <row r="78" ht="18" customHeight="1">
      <c r="A78" s="42" t="inlineStr">
        <is>
          <t>IF(F78="","",ROW()-3)</t>
        </is>
      </c>
      <c r="B78" s="52" t="n"/>
      <c r="C78" s="52" t="n"/>
      <c r="D78" s="52" t="n"/>
      <c r="E78" s="52" t="n"/>
      <c r="F78" s="52" t="n"/>
      <c r="G78" s="52" t="n"/>
      <c r="H78" s="52" t="n"/>
      <c r="I78" s="52" t="n"/>
      <c r="J78" s="52" t="n"/>
      <c r="K78" s="52" t="n"/>
      <c r="L78" s="52" t="n"/>
      <c r="M78" s="52" t="n"/>
      <c r="N78" s="52" t="n"/>
      <c r="O78" s="52" t="n"/>
      <c r="P78" s="52" t="n"/>
      <c r="Q78" s="52" t="n"/>
      <c r="R78" s="52" t="n"/>
      <c r="S78" s="53" t="n"/>
      <c r="T78" s="46" t="inlineStr">
        <is>
          <t>IF(AQ78="","",AQ78)</t>
        </is>
      </c>
      <c r="U78" s="54" t="n"/>
      <c r="V78" s="55" t="n"/>
      <c r="W78" s="54" t="n"/>
      <c r="X78" s="46" t="inlineStr">
        <is>
          <t>IF(W78&lt;&gt;"",W78,IF(OR(T78="",V78=""),"",EDATE(T78,V78)))</t>
        </is>
      </c>
      <c r="Y78" s="54" t="n"/>
      <c r="Z78" s="55" t="n"/>
      <c r="AA78" s="52" t="n"/>
      <c r="AB78" s="52" t="n"/>
      <c r="AC78" s="42" t="inlineStr">
        <is>
          <t>IF(F78="","",IF(COUNT(AI78:AV78)=0,IF(AA78="","Not started",AA78),SUBSTITUTE(LOOKUP(2,1/(AI78:AV78&lt;&gt;""),$AI$3:$AV$3),"Date: ","")))</t>
        </is>
      </c>
      <c r="AD78" s="49" t="inlineStr">
        <is>
          <t>IF(OR(F78="",COUNT(AI78:AV78)=0),"",TODAY()-LOOKUP(2,1/(AI78:AV78&lt;&gt;""),AI78:AV78))</t>
        </is>
      </c>
      <c r="AE78" s="49" t="inlineStr">
        <is>
          <t>IF(OR(F78="",COUNT(AI78:AV78)&lt;2),"",LOOKUP(2,1/(AI78:AV78&lt;&gt;""),AI78:AV78)-MIN(AI78:AV78))</t>
        </is>
      </c>
      <c r="AF78" s="49" t="inlineStr">
        <is>
          <t>IF(OR(AD78="",AC78="Not started",AC78=""),"",IFERROR(AD78-IF(VLOOKUP(AC78,'06_Status_Pipeline'!$B$3:$E$20,4,FALSE)="",0,VLOOKUP(AC78,'06_Status_Pipeline'!$B$3:$E$20,4,FALSE)),""))</t>
        </is>
      </c>
      <c r="AG78" s="42" t="inlineStr">
        <is>
          <t>IF(F78="","",IF(OR(AA78="Cancelled",AC78="Cancelled"),"Cancelled",IF(OR(AC78="Completed / Handover",Y78&lt;&gt;"",Z78&gt;=100),"Completed — on track",IF(O78="Not awarded",IF(U78="",IF(X78="","No planned date",IF(TODAY()&gt;X78,"Behind — past planned date",IF(X78-TODAY()&lt;=30,"At risk — close to off track","On track"))),IF(TODAY()&gt;U78,"Behind — award date passed",IF(U78-TODAY()&lt;=30,"At risk — close to off track","On track"))),IF(X78="","No planned date",IF(AND(TODAY()&gt;X78,OR(Z78="",Z78&lt;100)),"Behind — past end date",IF(AND(T78&lt;&gt;"",X78&lt;&gt;"",Z78&lt;&gt;"",(Z78&lt;100),((TODAY()-T78)/MAX(X78-T78,1)*100)-Z78&gt;15),"Behind — progress lag",IF(AND(X78-TODAY()&lt;=30,X78-TODAY()&gt;=0,OR(Z78="",Z78&lt;90)),"At risk — close to off track","On track"))))))))</t>
        </is>
      </c>
      <c r="AH78" s="49" t="inlineStr">
        <is>
          <t>IF(OR(F78="",AC78="Completed / Handover",AC78="Cancelled"),"",IF(O78="Not awarded",IF(U78&lt;&gt;"",U78-TODAY(),IF(X78="","",X78-TODAY())),IF(X78="","",X78-TODAY())))</t>
        </is>
      </c>
      <c r="AI78" s="54" t="n"/>
      <c r="AJ78" s="54" t="n"/>
      <c r="AK78" s="54" t="n"/>
      <c r="AL78" s="54" t="n"/>
      <c r="AM78" s="54" t="n"/>
      <c r="AN78" s="54" t="n"/>
      <c r="AO78" s="54" t="n"/>
      <c r="AP78" s="54" t="n"/>
      <c r="AQ78" s="54" t="n"/>
      <c r="AR78" s="54" t="n"/>
      <c r="AS78" s="54" t="n"/>
      <c r="AT78" s="50" t="n"/>
      <c r="AU78" s="50" t="n"/>
      <c r="AV78" s="50" t="n"/>
      <c r="AW78" s="49" t="inlineStr">
        <is>
          <t>IF(OR(F78="",AJ78=""),"",IF(COUNT(AI78:AI78)=0,"",AJ78-LOOKUP(2,1/(AI78:AI78&lt;&gt;""),AI78:AI78)))</t>
        </is>
      </c>
      <c r="AX78" s="49" t="inlineStr">
        <is>
          <t>IF(OR(F78="",AK78=""),"",IF(COUNT(AI78:AJ78)=0,"",AK78-LOOKUP(2,1/(AI78:AJ78&lt;&gt;""),AI78:AJ78)))</t>
        </is>
      </c>
      <c r="AY78" s="49" t="inlineStr">
        <is>
          <t>IF(OR(F78="",AL78=""),"",IF(COUNT(AI78:AK78)=0,"",AL78-LOOKUP(2,1/(AI78:AK78&lt;&gt;""),AI78:AK78)))</t>
        </is>
      </c>
      <c r="AZ78" s="49" t="inlineStr">
        <is>
          <t>IF(OR(F78="",AM78=""),"",IF(COUNT(AI78:AL78)=0,"",AM78-LOOKUP(2,1/(AI78:AL78&lt;&gt;""),AI78:AL78)))</t>
        </is>
      </c>
      <c r="BA78" s="49" t="inlineStr">
        <is>
          <t>IF(OR(F78="",AN78=""),"",IF(COUNT(AI78:AM78)=0,"",AN78-LOOKUP(2,1/(AI78:AM78&lt;&gt;""),AI78:AM78)))</t>
        </is>
      </c>
      <c r="BB78" s="49" t="inlineStr">
        <is>
          <t>IF(OR(F78="",AO78=""),"",IF(COUNT(AI78:AN78)=0,"",AO78-LOOKUP(2,1/(AI78:AN78&lt;&gt;""),AI78:AN78)))</t>
        </is>
      </c>
      <c r="BC78" s="49" t="inlineStr">
        <is>
          <t>IF(OR(F78="",AP78=""),"",IF(COUNT(AI78:AO78)=0,"",AP78-LOOKUP(2,1/(AI78:AO78&lt;&gt;""),AI78:AO78)))</t>
        </is>
      </c>
      <c r="BD78" s="49" t="inlineStr">
        <is>
          <t>IF(OR(F78="",AQ78=""),"",IF(COUNT(AI78:AP78)=0,"",AQ78-LOOKUP(2,1/(AI78:AP78&lt;&gt;""),AI78:AP78)))</t>
        </is>
      </c>
      <c r="BE78" s="49" t="inlineStr">
        <is>
          <t>IF(OR(F78="",AR78=""),"",IF(COUNT(AI78:AQ78)=0,"",AR78-LOOKUP(2,1/(AI78:AQ78&lt;&gt;""),AI78:AQ78)))</t>
        </is>
      </c>
      <c r="BF78" s="49" t="inlineStr">
        <is>
          <t>IF(OR(F78="",AS78=""),"",IF(COUNT(AI78:AR78)=0,"",AS78-LOOKUP(2,1/(AI78:AR78&lt;&gt;""),AI78:AR78)))</t>
        </is>
      </c>
      <c r="BG78" s="49" t="inlineStr">
        <is>
          <t>IF(OR(F78="",AT78=""),"",IF(COUNT(AI78:AS78)=0,"",AT78-LOOKUP(2,1/(AI78:AS78&lt;&gt;""),AI78:AS78)))</t>
        </is>
      </c>
      <c r="BH78" s="49" t="inlineStr">
        <is>
          <t>IF(OR(F78="",AU78=""),"",IF(COUNT(AI78:AT78)=0,"",AU78-LOOKUP(2,1/(AI78:AT78&lt;&gt;""),AI78:AT78)))</t>
        </is>
      </c>
      <c r="BI78" s="49" t="inlineStr">
        <is>
          <t>IF(OR(F78="",AV78=""),"",IF(COUNT(AI78:AU78)=0,"",AV78-LOOKUP(2,1/(AI78:AU78&lt;&gt;""),AI78:AU78)))</t>
        </is>
      </c>
      <c r="BJ78" s="51" t="inlineStr">
        <is>
          <t>IF(J78="","All_Provinces",IFERROR(VLOOKUP(J78,'09_Lookups'!$A$4:$B$20,2,FALSE),"All_Provinces"))</t>
        </is>
      </c>
      <c r="BK78" s="51" t="inlineStr">
        <is>
          <t>IF(K78="","All_Districts",IFERROR(VLOOKUP(K78,'09_Lookups'!$E$4:$F$42,2,FALSE),"All_Districts"))</t>
        </is>
      </c>
    </row>
    <row r="79" ht="18" customHeight="1">
      <c r="A79" s="42" t="inlineStr">
        <is>
          <t>IF(F79="","",ROW()-3)</t>
        </is>
      </c>
      <c r="B79" s="44" t="n"/>
      <c r="C79" s="44" t="n"/>
      <c r="D79" s="44" t="n"/>
      <c r="E79" s="44" t="n"/>
      <c r="F79" s="44" t="n"/>
      <c r="G79" s="44" t="n"/>
      <c r="H79" s="44" t="n"/>
      <c r="I79" s="44" t="n"/>
      <c r="J79" s="44" t="n"/>
      <c r="K79" s="44" t="n"/>
      <c r="L79" s="44" t="n"/>
      <c r="M79" s="44" t="n"/>
      <c r="N79" s="44" t="n"/>
      <c r="O79" s="44" t="n"/>
      <c r="P79" s="44" t="n"/>
      <c r="Q79" s="44" t="n"/>
      <c r="R79" s="44" t="n"/>
      <c r="S79" s="45" t="n"/>
      <c r="T79" s="46" t="inlineStr">
        <is>
          <t>IF(AQ79="","",AQ79)</t>
        </is>
      </c>
      <c r="U79" s="47" t="n"/>
      <c r="V79" s="48" t="n"/>
      <c r="W79" s="47" t="n"/>
      <c r="X79" s="46" t="inlineStr">
        <is>
          <t>IF(W79&lt;&gt;"",W79,IF(OR(T79="",V79=""),"",EDATE(T79,V79)))</t>
        </is>
      </c>
      <c r="Y79" s="47" t="n"/>
      <c r="Z79" s="48" t="n"/>
      <c r="AA79" s="44" t="n"/>
      <c r="AB79" s="44" t="n"/>
      <c r="AC79" s="42" t="inlineStr">
        <is>
          <t>IF(F79="","",IF(COUNT(AI79:AV79)=0,IF(AA79="","Not started",AA79),SUBSTITUTE(LOOKUP(2,1/(AI79:AV79&lt;&gt;""),$AI$3:$AV$3),"Date: ","")))</t>
        </is>
      </c>
      <c r="AD79" s="49" t="inlineStr">
        <is>
          <t>IF(OR(F79="",COUNT(AI79:AV79)=0),"",TODAY()-LOOKUP(2,1/(AI79:AV79&lt;&gt;""),AI79:AV79))</t>
        </is>
      </c>
      <c r="AE79" s="49" t="inlineStr">
        <is>
          <t>IF(OR(F79="",COUNT(AI79:AV79)&lt;2),"",LOOKUP(2,1/(AI79:AV79&lt;&gt;""),AI79:AV79)-MIN(AI79:AV79))</t>
        </is>
      </c>
      <c r="AF79" s="49" t="inlineStr">
        <is>
          <t>IF(OR(AD79="",AC79="Not started",AC79=""),"",IFERROR(AD79-IF(VLOOKUP(AC79,'06_Status_Pipeline'!$B$3:$E$20,4,FALSE)="",0,VLOOKUP(AC79,'06_Status_Pipeline'!$B$3:$E$20,4,FALSE)),""))</t>
        </is>
      </c>
      <c r="AG79" s="42" t="inlineStr">
        <is>
          <t>IF(F79="","",IF(OR(AA79="Cancelled",AC79="Cancelled"),"Cancelled",IF(OR(AC79="Completed / Handover",Y79&lt;&gt;"",Z79&gt;=100),"Completed — on track",IF(O79="Not awarded",IF(U79="",IF(X79="","No planned date",IF(TODAY()&gt;X79,"Behind — past planned date",IF(X79-TODAY()&lt;=30,"At risk — close to off track","On track"))),IF(TODAY()&gt;U79,"Behind — award date passed",IF(U79-TODAY()&lt;=30,"At risk — close to off track","On track"))),IF(X79="","No planned date",IF(AND(TODAY()&gt;X79,OR(Z79="",Z79&lt;100)),"Behind — past end date",IF(AND(T79&lt;&gt;"",X79&lt;&gt;"",Z79&lt;&gt;"",(Z79&lt;100),((TODAY()-T79)/MAX(X79-T79,1)*100)-Z79&gt;15),"Behind — progress lag",IF(AND(X79-TODAY()&lt;=30,X79-TODAY()&gt;=0,OR(Z79="",Z79&lt;90)),"At risk — close to off track","On track"))))))))</t>
        </is>
      </c>
      <c r="AH79" s="49" t="inlineStr">
        <is>
          <t>IF(OR(F79="",AC79="Completed / Handover",AC79="Cancelled"),"",IF(O79="Not awarded",IF(U79&lt;&gt;"",U79-TODAY(),IF(X79="","",X79-TODAY())),IF(X79="","",X79-TODAY())))</t>
        </is>
      </c>
      <c r="AI79" s="47" t="n"/>
      <c r="AJ79" s="47" t="n"/>
      <c r="AK79" s="47" t="n"/>
      <c r="AL79" s="47" t="n"/>
      <c r="AM79" s="47" t="n"/>
      <c r="AN79" s="47" t="n"/>
      <c r="AO79" s="47" t="n"/>
      <c r="AP79" s="47" t="n"/>
      <c r="AQ79" s="47" t="n"/>
      <c r="AR79" s="47" t="n"/>
      <c r="AS79" s="47" t="n"/>
      <c r="AT79" s="50" t="n"/>
      <c r="AU79" s="50" t="n"/>
      <c r="AV79" s="50" t="n"/>
      <c r="AW79" s="49" t="inlineStr">
        <is>
          <t>IF(OR(F79="",AJ79=""),"",IF(COUNT(AI79:AI79)=0,"",AJ79-LOOKUP(2,1/(AI79:AI79&lt;&gt;""),AI79:AI79)))</t>
        </is>
      </c>
      <c r="AX79" s="49" t="inlineStr">
        <is>
          <t>IF(OR(F79="",AK79=""),"",IF(COUNT(AI79:AJ79)=0,"",AK79-LOOKUP(2,1/(AI79:AJ79&lt;&gt;""),AI79:AJ79)))</t>
        </is>
      </c>
      <c r="AY79" s="49" t="inlineStr">
        <is>
          <t>IF(OR(F79="",AL79=""),"",IF(COUNT(AI79:AK79)=0,"",AL79-LOOKUP(2,1/(AI79:AK79&lt;&gt;""),AI79:AK79)))</t>
        </is>
      </c>
      <c r="AZ79" s="49" t="inlineStr">
        <is>
          <t>IF(OR(F79="",AM79=""),"",IF(COUNT(AI79:AL79)=0,"",AM79-LOOKUP(2,1/(AI79:AL79&lt;&gt;""),AI79:AL79)))</t>
        </is>
      </c>
      <c r="BA79" s="49" t="inlineStr">
        <is>
          <t>IF(OR(F79="",AN79=""),"",IF(COUNT(AI79:AM79)=0,"",AN79-LOOKUP(2,1/(AI79:AM79&lt;&gt;""),AI79:AM79)))</t>
        </is>
      </c>
      <c r="BB79" s="49" t="inlineStr">
        <is>
          <t>IF(OR(F79="",AO79=""),"",IF(COUNT(AI79:AN79)=0,"",AO79-LOOKUP(2,1/(AI79:AN79&lt;&gt;""),AI79:AN79)))</t>
        </is>
      </c>
      <c r="BC79" s="49" t="inlineStr">
        <is>
          <t>IF(OR(F79="",AP79=""),"",IF(COUNT(AI79:AO79)=0,"",AP79-LOOKUP(2,1/(AI79:AO79&lt;&gt;""),AI79:AO79)))</t>
        </is>
      </c>
      <c r="BD79" s="49" t="inlineStr">
        <is>
          <t>IF(OR(F79="",AQ79=""),"",IF(COUNT(AI79:AP79)=0,"",AQ79-LOOKUP(2,1/(AI79:AP79&lt;&gt;""),AI79:AP79)))</t>
        </is>
      </c>
      <c r="BE79" s="49" t="inlineStr">
        <is>
          <t>IF(OR(F79="",AR79=""),"",IF(COUNT(AI79:AQ79)=0,"",AR79-LOOKUP(2,1/(AI79:AQ79&lt;&gt;""),AI79:AQ79)))</t>
        </is>
      </c>
      <c r="BF79" s="49" t="inlineStr">
        <is>
          <t>IF(OR(F79="",AS79=""),"",IF(COUNT(AI79:AR79)=0,"",AS79-LOOKUP(2,1/(AI79:AR79&lt;&gt;""),AI79:AR79)))</t>
        </is>
      </c>
      <c r="BG79" s="49" t="inlineStr">
        <is>
          <t>IF(OR(F79="",AT79=""),"",IF(COUNT(AI79:AS79)=0,"",AT79-LOOKUP(2,1/(AI79:AS79&lt;&gt;""),AI79:AS79)))</t>
        </is>
      </c>
      <c r="BH79" s="49" t="inlineStr">
        <is>
          <t>IF(OR(F79="",AU79=""),"",IF(COUNT(AI79:AT79)=0,"",AU79-LOOKUP(2,1/(AI79:AT79&lt;&gt;""),AI79:AT79)))</t>
        </is>
      </c>
      <c r="BI79" s="49" t="inlineStr">
        <is>
          <t>IF(OR(F79="",AV79=""),"",IF(COUNT(AI79:AU79)=0,"",AV79-LOOKUP(2,1/(AI79:AU79&lt;&gt;""),AI79:AU79)))</t>
        </is>
      </c>
      <c r="BJ79" s="51" t="inlineStr">
        <is>
          <t>IF(J79="","All_Provinces",IFERROR(VLOOKUP(J79,'09_Lookups'!$A$4:$B$20,2,FALSE),"All_Provinces"))</t>
        </is>
      </c>
      <c r="BK79" s="51" t="inlineStr">
        <is>
          <t>IF(K79="","All_Districts",IFERROR(VLOOKUP(K79,'09_Lookups'!$E$4:$F$42,2,FALSE),"All_Districts"))</t>
        </is>
      </c>
    </row>
    <row r="80" ht="18" customHeight="1">
      <c r="A80" s="42" t="inlineStr">
        <is>
          <t>IF(F80="","",ROW()-3)</t>
        </is>
      </c>
      <c r="B80" s="52" t="n"/>
      <c r="C80" s="52" t="n"/>
      <c r="D80" s="52" t="n"/>
      <c r="E80" s="52" t="n"/>
      <c r="F80" s="52" t="n"/>
      <c r="G80" s="52" t="n"/>
      <c r="H80" s="52" t="n"/>
      <c r="I80" s="52" t="n"/>
      <c r="J80" s="52" t="n"/>
      <c r="K80" s="52" t="n"/>
      <c r="L80" s="52" t="n"/>
      <c r="M80" s="52" t="n"/>
      <c r="N80" s="52" t="n"/>
      <c r="O80" s="52" t="n"/>
      <c r="P80" s="52" t="n"/>
      <c r="Q80" s="52" t="n"/>
      <c r="R80" s="52" t="n"/>
      <c r="S80" s="53" t="n"/>
      <c r="T80" s="46" t="inlineStr">
        <is>
          <t>IF(AQ80="","",AQ80)</t>
        </is>
      </c>
      <c r="U80" s="54" t="n"/>
      <c r="V80" s="55" t="n"/>
      <c r="W80" s="54" t="n"/>
      <c r="X80" s="46" t="inlineStr">
        <is>
          <t>IF(W80&lt;&gt;"",W80,IF(OR(T80="",V80=""),"",EDATE(T80,V80)))</t>
        </is>
      </c>
      <c r="Y80" s="54" t="n"/>
      <c r="Z80" s="55" t="n"/>
      <c r="AA80" s="52" t="n"/>
      <c r="AB80" s="52" t="n"/>
      <c r="AC80" s="42" t="inlineStr">
        <is>
          <t>IF(F80="","",IF(COUNT(AI80:AV80)=0,IF(AA80="","Not started",AA80),SUBSTITUTE(LOOKUP(2,1/(AI80:AV80&lt;&gt;""),$AI$3:$AV$3),"Date: ","")))</t>
        </is>
      </c>
      <c r="AD80" s="49" t="inlineStr">
        <is>
          <t>IF(OR(F80="",COUNT(AI80:AV80)=0),"",TODAY()-LOOKUP(2,1/(AI80:AV80&lt;&gt;""),AI80:AV80))</t>
        </is>
      </c>
      <c r="AE80" s="49" t="inlineStr">
        <is>
          <t>IF(OR(F80="",COUNT(AI80:AV80)&lt;2),"",LOOKUP(2,1/(AI80:AV80&lt;&gt;""),AI80:AV80)-MIN(AI80:AV80))</t>
        </is>
      </c>
      <c r="AF80" s="49" t="inlineStr">
        <is>
          <t>IF(OR(AD80="",AC80="Not started",AC80=""),"",IFERROR(AD80-IF(VLOOKUP(AC80,'06_Status_Pipeline'!$B$3:$E$20,4,FALSE)="",0,VLOOKUP(AC80,'06_Status_Pipeline'!$B$3:$E$20,4,FALSE)),""))</t>
        </is>
      </c>
      <c r="AG80" s="42" t="inlineStr">
        <is>
          <t>IF(F80="","",IF(OR(AA80="Cancelled",AC80="Cancelled"),"Cancelled",IF(OR(AC80="Completed / Handover",Y80&lt;&gt;"",Z80&gt;=100),"Completed — on track",IF(O80="Not awarded",IF(U80="",IF(X80="","No planned date",IF(TODAY()&gt;X80,"Behind — past planned date",IF(X80-TODAY()&lt;=30,"At risk — close to off track","On track"))),IF(TODAY()&gt;U80,"Behind — award date passed",IF(U80-TODAY()&lt;=30,"At risk — close to off track","On track"))),IF(X80="","No planned date",IF(AND(TODAY()&gt;X80,OR(Z80="",Z80&lt;100)),"Behind — past end date",IF(AND(T80&lt;&gt;"",X80&lt;&gt;"",Z80&lt;&gt;"",(Z80&lt;100),((TODAY()-T80)/MAX(X80-T80,1)*100)-Z80&gt;15),"Behind — progress lag",IF(AND(X80-TODAY()&lt;=30,X80-TODAY()&gt;=0,OR(Z80="",Z80&lt;90)),"At risk — close to off track","On track"))))))))</t>
        </is>
      </c>
      <c r="AH80" s="49" t="inlineStr">
        <is>
          <t>IF(OR(F80="",AC80="Completed / Handover",AC80="Cancelled"),"",IF(O80="Not awarded",IF(U80&lt;&gt;"",U80-TODAY(),IF(X80="","",X80-TODAY())),IF(X80="","",X80-TODAY())))</t>
        </is>
      </c>
      <c r="AI80" s="54" t="n"/>
      <c r="AJ80" s="54" t="n"/>
      <c r="AK80" s="54" t="n"/>
      <c r="AL80" s="54" t="n"/>
      <c r="AM80" s="54" t="n"/>
      <c r="AN80" s="54" t="n"/>
      <c r="AO80" s="54" t="n"/>
      <c r="AP80" s="54" t="n"/>
      <c r="AQ80" s="54" t="n"/>
      <c r="AR80" s="54" t="n"/>
      <c r="AS80" s="54" t="n"/>
      <c r="AT80" s="50" t="n"/>
      <c r="AU80" s="50" t="n"/>
      <c r="AV80" s="50" t="n"/>
      <c r="AW80" s="49" t="inlineStr">
        <is>
          <t>IF(OR(F80="",AJ80=""),"",IF(COUNT(AI80:AI80)=0,"",AJ80-LOOKUP(2,1/(AI80:AI80&lt;&gt;""),AI80:AI80)))</t>
        </is>
      </c>
      <c r="AX80" s="49" t="inlineStr">
        <is>
          <t>IF(OR(F80="",AK80=""),"",IF(COUNT(AI80:AJ80)=0,"",AK80-LOOKUP(2,1/(AI80:AJ80&lt;&gt;""),AI80:AJ80)))</t>
        </is>
      </c>
      <c r="AY80" s="49" t="inlineStr">
        <is>
          <t>IF(OR(F80="",AL80=""),"",IF(COUNT(AI80:AK80)=0,"",AL80-LOOKUP(2,1/(AI80:AK80&lt;&gt;""),AI80:AK80)))</t>
        </is>
      </c>
      <c r="AZ80" s="49" t="inlineStr">
        <is>
          <t>IF(OR(F80="",AM80=""),"",IF(COUNT(AI80:AL80)=0,"",AM80-LOOKUP(2,1/(AI80:AL80&lt;&gt;""),AI80:AL80)))</t>
        </is>
      </c>
      <c r="BA80" s="49" t="inlineStr">
        <is>
          <t>IF(OR(F80="",AN80=""),"",IF(COUNT(AI80:AM80)=0,"",AN80-LOOKUP(2,1/(AI80:AM80&lt;&gt;""),AI80:AM80)))</t>
        </is>
      </c>
      <c r="BB80" s="49" t="inlineStr">
        <is>
          <t>IF(OR(F80="",AO80=""),"",IF(COUNT(AI80:AN80)=0,"",AO80-LOOKUP(2,1/(AI80:AN80&lt;&gt;""),AI80:AN80)))</t>
        </is>
      </c>
      <c r="BC80" s="49" t="inlineStr">
        <is>
          <t>IF(OR(F80="",AP80=""),"",IF(COUNT(AI80:AO80)=0,"",AP80-LOOKUP(2,1/(AI80:AO80&lt;&gt;""),AI80:AO80)))</t>
        </is>
      </c>
      <c r="BD80" s="49" t="inlineStr">
        <is>
          <t>IF(OR(F80="",AQ80=""),"",IF(COUNT(AI80:AP80)=0,"",AQ80-LOOKUP(2,1/(AI80:AP80&lt;&gt;""),AI80:AP80)))</t>
        </is>
      </c>
      <c r="BE80" s="49" t="inlineStr">
        <is>
          <t>IF(OR(F80="",AR80=""),"",IF(COUNT(AI80:AQ80)=0,"",AR80-LOOKUP(2,1/(AI80:AQ80&lt;&gt;""),AI80:AQ80)))</t>
        </is>
      </c>
      <c r="BF80" s="49" t="inlineStr">
        <is>
          <t>IF(OR(F80="",AS80=""),"",IF(COUNT(AI80:AR80)=0,"",AS80-LOOKUP(2,1/(AI80:AR80&lt;&gt;""),AI80:AR80)))</t>
        </is>
      </c>
      <c r="BG80" s="49" t="inlineStr">
        <is>
          <t>IF(OR(F80="",AT80=""),"",IF(COUNT(AI80:AS80)=0,"",AT80-LOOKUP(2,1/(AI80:AS80&lt;&gt;""),AI80:AS80)))</t>
        </is>
      </c>
      <c r="BH80" s="49" t="inlineStr">
        <is>
          <t>IF(OR(F80="",AU80=""),"",IF(COUNT(AI80:AT80)=0,"",AU80-LOOKUP(2,1/(AI80:AT80&lt;&gt;""),AI80:AT80)))</t>
        </is>
      </c>
      <c r="BI80" s="49" t="inlineStr">
        <is>
          <t>IF(OR(F80="",AV80=""),"",IF(COUNT(AI80:AU80)=0,"",AV80-LOOKUP(2,1/(AI80:AU80&lt;&gt;""),AI80:AU80)))</t>
        </is>
      </c>
      <c r="BJ80" s="51" t="inlineStr">
        <is>
          <t>IF(J80="","All_Provinces",IFERROR(VLOOKUP(J80,'09_Lookups'!$A$4:$B$20,2,FALSE),"All_Provinces"))</t>
        </is>
      </c>
      <c r="BK80" s="51" t="inlineStr">
        <is>
          <t>IF(K80="","All_Districts",IFERROR(VLOOKUP(K80,'09_Lookups'!$E$4:$F$42,2,FALSE),"All_Districts"))</t>
        </is>
      </c>
    </row>
    <row r="81" ht="18" customHeight="1">
      <c r="A81" s="42" t="inlineStr">
        <is>
          <t>IF(F81="","",ROW()-3)</t>
        </is>
      </c>
      <c r="B81" s="44" t="n"/>
      <c r="C81" s="44" t="n"/>
      <c r="D81" s="44" t="n"/>
      <c r="E81" s="44" t="n"/>
      <c r="F81" s="44" t="n"/>
      <c r="G81" s="44" t="n"/>
      <c r="H81" s="44" t="n"/>
      <c r="I81" s="44" t="n"/>
      <c r="J81" s="44" t="n"/>
      <c r="K81" s="44" t="n"/>
      <c r="L81" s="44" t="n"/>
      <c r="M81" s="44" t="n"/>
      <c r="N81" s="44" t="n"/>
      <c r="O81" s="44" t="n"/>
      <c r="P81" s="44" t="n"/>
      <c r="Q81" s="44" t="n"/>
      <c r="R81" s="44" t="n"/>
      <c r="S81" s="45" t="n"/>
      <c r="T81" s="46" t="inlineStr">
        <is>
          <t>IF(AQ81="","",AQ81)</t>
        </is>
      </c>
      <c r="U81" s="47" t="n"/>
      <c r="V81" s="48" t="n"/>
      <c r="W81" s="47" t="n"/>
      <c r="X81" s="46" t="inlineStr">
        <is>
          <t>IF(W81&lt;&gt;"",W81,IF(OR(T81="",V81=""),"",EDATE(T81,V81)))</t>
        </is>
      </c>
      <c r="Y81" s="47" t="n"/>
      <c r="Z81" s="48" t="n"/>
      <c r="AA81" s="44" t="n"/>
      <c r="AB81" s="44" t="n"/>
      <c r="AC81" s="42" t="inlineStr">
        <is>
          <t>IF(F81="","",IF(COUNT(AI81:AV81)=0,IF(AA81="","Not started",AA81),SUBSTITUTE(LOOKUP(2,1/(AI81:AV81&lt;&gt;""),$AI$3:$AV$3),"Date: ","")))</t>
        </is>
      </c>
      <c r="AD81" s="49" t="inlineStr">
        <is>
          <t>IF(OR(F81="",COUNT(AI81:AV81)=0),"",TODAY()-LOOKUP(2,1/(AI81:AV81&lt;&gt;""),AI81:AV81))</t>
        </is>
      </c>
      <c r="AE81" s="49" t="inlineStr">
        <is>
          <t>IF(OR(F81="",COUNT(AI81:AV81)&lt;2),"",LOOKUP(2,1/(AI81:AV81&lt;&gt;""),AI81:AV81)-MIN(AI81:AV81))</t>
        </is>
      </c>
      <c r="AF81" s="49" t="inlineStr">
        <is>
          <t>IF(OR(AD81="",AC81="Not started",AC81=""),"",IFERROR(AD81-IF(VLOOKUP(AC81,'06_Status_Pipeline'!$B$3:$E$20,4,FALSE)="",0,VLOOKUP(AC81,'06_Status_Pipeline'!$B$3:$E$20,4,FALSE)),""))</t>
        </is>
      </c>
      <c r="AG81" s="42" t="inlineStr">
        <is>
          <t>IF(F81="","",IF(OR(AA81="Cancelled",AC81="Cancelled"),"Cancelled",IF(OR(AC81="Completed / Handover",Y81&lt;&gt;"",Z81&gt;=100),"Completed — on track",IF(O81="Not awarded",IF(U81="",IF(X81="","No planned date",IF(TODAY()&gt;X81,"Behind — past planned date",IF(X81-TODAY()&lt;=30,"At risk — close to off track","On track"))),IF(TODAY()&gt;U81,"Behind — award date passed",IF(U81-TODAY()&lt;=30,"At risk — close to off track","On track"))),IF(X81="","No planned date",IF(AND(TODAY()&gt;X81,OR(Z81="",Z81&lt;100)),"Behind — past end date",IF(AND(T81&lt;&gt;"",X81&lt;&gt;"",Z81&lt;&gt;"",(Z81&lt;100),((TODAY()-T81)/MAX(X81-T81,1)*100)-Z81&gt;15),"Behind — progress lag",IF(AND(X81-TODAY()&lt;=30,X81-TODAY()&gt;=0,OR(Z81="",Z81&lt;90)),"At risk — close to off track","On track"))))))))</t>
        </is>
      </c>
      <c r="AH81" s="49" t="inlineStr">
        <is>
          <t>IF(OR(F81="",AC81="Completed / Handover",AC81="Cancelled"),"",IF(O81="Not awarded",IF(U81&lt;&gt;"",U81-TODAY(),IF(X81="","",X81-TODAY())),IF(X81="","",X81-TODAY())))</t>
        </is>
      </c>
      <c r="AI81" s="47" t="n"/>
      <c r="AJ81" s="47" t="n"/>
      <c r="AK81" s="47" t="n"/>
      <c r="AL81" s="47" t="n"/>
      <c r="AM81" s="47" t="n"/>
      <c r="AN81" s="47" t="n"/>
      <c r="AO81" s="47" t="n"/>
      <c r="AP81" s="47" t="n"/>
      <c r="AQ81" s="47" t="n"/>
      <c r="AR81" s="47" t="n"/>
      <c r="AS81" s="47" t="n"/>
      <c r="AT81" s="50" t="n"/>
      <c r="AU81" s="50" t="n"/>
      <c r="AV81" s="50" t="n"/>
      <c r="AW81" s="49" t="inlineStr">
        <is>
          <t>IF(OR(F81="",AJ81=""),"",IF(COUNT(AI81:AI81)=0,"",AJ81-LOOKUP(2,1/(AI81:AI81&lt;&gt;""),AI81:AI81)))</t>
        </is>
      </c>
      <c r="AX81" s="49" t="inlineStr">
        <is>
          <t>IF(OR(F81="",AK81=""),"",IF(COUNT(AI81:AJ81)=0,"",AK81-LOOKUP(2,1/(AI81:AJ81&lt;&gt;""),AI81:AJ81)))</t>
        </is>
      </c>
      <c r="AY81" s="49" t="inlineStr">
        <is>
          <t>IF(OR(F81="",AL81=""),"",IF(COUNT(AI81:AK81)=0,"",AL81-LOOKUP(2,1/(AI81:AK81&lt;&gt;""),AI81:AK81)))</t>
        </is>
      </c>
      <c r="AZ81" s="49" t="inlineStr">
        <is>
          <t>IF(OR(F81="",AM81=""),"",IF(COUNT(AI81:AL81)=0,"",AM81-LOOKUP(2,1/(AI81:AL81&lt;&gt;""),AI81:AL81)))</t>
        </is>
      </c>
      <c r="BA81" s="49" t="inlineStr">
        <is>
          <t>IF(OR(F81="",AN81=""),"",IF(COUNT(AI81:AM81)=0,"",AN81-LOOKUP(2,1/(AI81:AM81&lt;&gt;""),AI81:AM81)))</t>
        </is>
      </c>
      <c r="BB81" s="49" t="inlineStr">
        <is>
          <t>IF(OR(F81="",AO81=""),"",IF(COUNT(AI81:AN81)=0,"",AO81-LOOKUP(2,1/(AI81:AN81&lt;&gt;""),AI81:AN81)))</t>
        </is>
      </c>
      <c r="BC81" s="49" t="inlineStr">
        <is>
          <t>IF(OR(F81="",AP81=""),"",IF(COUNT(AI81:AO81)=0,"",AP81-LOOKUP(2,1/(AI81:AO81&lt;&gt;""),AI81:AO81)))</t>
        </is>
      </c>
      <c r="BD81" s="49" t="inlineStr">
        <is>
          <t>IF(OR(F81="",AQ81=""),"",IF(COUNT(AI81:AP81)=0,"",AQ81-LOOKUP(2,1/(AI81:AP81&lt;&gt;""),AI81:AP81)))</t>
        </is>
      </c>
      <c r="BE81" s="49" t="inlineStr">
        <is>
          <t>IF(OR(F81="",AR81=""),"",IF(COUNT(AI81:AQ81)=0,"",AR81-LOOKUP(2,1/(AI81:AQ81&lt;&gt;""),AI81:AQ81)))</t>
        </is>
      </c>
      <c r="BF81" s="49" t="inlineStr">
        <is>
          <t>IF(OR(F81="",AS81=""),"",IF(COUNT(AI81:AR81)=0,"",AS81-LOOKUP(2,1/(AI81:AR81&lt;&gt;""),AI81:AR81)))</t>
        </is>
      </c>
      <c r="BG81" s="49" t="inlineStr">
        <is>
          <t>IF(OR(F81="",AT81=""),"",IF(COUNT(AI81:AS81)=0,"",AT81-LOOKUP(2,1/(AI81:AS81&lt;&gt;""),AI81:AS81)))</t>
        </is>
      </c>
      <c r="BH81" s="49" t="inlineStr">
        <is>
          <t>IF(OR(F81="",AU81=""),"",IF(COUNT(AI81:AT81)=0,"",AU81-LOOKUP(2,1/(AI81:AT81&lt;&gt;""),AI81:AT81)))</t>
        </is>
      </c>
      <c r="BI81" s="49" t="inlineStr">
        <is>
          <t>IF(OR(F81="",AV81=""),"",IF(COUNT(AI81:AU81)=0,"",AV81-LOOKUP(2,1/(AI81:AU81&lt;&gt;""),AI81:AU81)))</t>
        </is>
      </c>
      <c r="BJ81" s="51" t="inlineStr">
        <is>
          <t>IF(J81="","All_Provinces",IFERROR(VLOOKUP(J81,'09_Lookups'!$A$4:$B$20,2,FALSE),"All_Provinces"))</t>
        </is>
      </c>
      <c r="BK81" s="51" t="inlineStr">
        <is>
          <t>IF(K81="","All_Districts",IFERROR(VLOOKUP(K81,'09_Lookups'!$E$4:$F$42,2,FALSE),"All_Districts"))</t>
        </is>
      </c>
    </row>
    <row r="82" ht="18" customHeight="1">
      <c r="A82" s="42" t="inlineStr">
        <is>
          <t>IF(F82="","",ROW()-3)</t>
        </is>
      </c>
      <c r="B82" s="52" t="n"/>
      <c r="C82" s="52" t="n"/>
      <c r="D82" s="52" t="n"/>
      <c r="E82" s="52" t="n"/>
      <c r="F82" s="52" t="n"/>
      <c r="G82" s="52" t="n"/>
      <c r="H82" s="52" t="n"/>
      <c r="I82" s="52" t="n"/>
      <c r="J82" s="52" t="n"/>
      <c r="K82" s="52" t="n"/>
      <c r="L82" s="52" t="n"/>
      <c r="M82" s="52" t="n"/>
      <c r="N82" s="52" t="n"/>
      <c r="O82" s="52" t="n"/>
      <c r="P82" s="52" t="n"/>
      <c r="Q82" s="52" t="n"/>
      <c r="R82" s="52" t="n"/>
      <c r="S82" s="53" t="n"/>
      <c r="T82" s="46" t="inlineStr">
        <is>
          <t>IF(AQ82="","",AQ82)</t>
        </is>
      </c>
      <c r="U82" s="54" t="n"/>
      <c r="V82" s="55" t="n"/>
      <c r="W82" s="54" t="n"/>
      <c r="X82" s="46" t="inlineStr">
        <is>
          <t>IF(W82&lt;&gt;"",W82,IF(OR(T82="",V82=""),"",EDATE(T82,V82)))</t>
        </is>
      </c>
      <c r="Y82" s="54" t="n"/>
      <c r="Z82" s="55" t="n"/>
      <c r="AA82" s="52" t="n"/>
      <c r="AB82" s="52" t="n"/>
      <c r="AC82" s="42" t="inlineStr">
        <is>
          <t>IF(F82="","",IF(COUNT(AI82:AV82)=0,IF(AA82="","Not started",AA82),SUBSTITUTE(LOOKUP(2,1/(AI82:AV82&lt;&gt;""),$AI$3:$AV$3),"Date: ","")))</t>
        </is>
      </c>
      <c r="AD82" s="49" t="inlineStr">
        <is>
          <t>IF(OR(F82="",COUNT(AI82:AV82)=0),"",TODAY()-LOOKUP(2,1/(AI82:AV82&lt;&gt;""),AI82:AV82))</t>
        </is>
      </c>
      <c r="AE82" s="49" t="inlineStr">
        <is>
          <t>IF(OR(F82="",COUNT(AI82:AV82)&lt;2),"",LOOKUP(2,1/(AI82:AV82&lt;&gt;""),AI82:AV82)-MIN(AI82:AV82))</t>
        </is>
      </c>
      <c r="AF82" s="49" t="inlineStr">
        <is>
          <t>IF(OR(AD82="",AC82="Not started",AC82=""),"",IFERROR(AD82-IF(VLOOKUP(AC82,'06_Status_Pipeline'!$B$3:$E$20,4,FALSE)="",0,VLOOKUP(AC82,'06_Status_Pipeline'!$B$3:$E$20,4,FALSE)),""))</t>
        </is>
      </c>
      <c r="AG82" s="42" t="inlineStr">
        <is>
          <t>IF(F82="","",IF(OR(AA82="Cancelled",AC82="Cancelled"),"Cancelled",IF(OR(AC82="Completed / Handover",Y82&lt;&gt;"",Z82&gt;=100),"Completed — on track",IF(O82="Not awarded",IF(U82="",IF(X82="","No planned date",IF(TODAY()&gt;X82,"Behind — past planned date",IF(X82-TODAY()&lt;=30,"At risk — close to off track","On track"))),IF(TODAY()&gt;U82,"Behind — award date passed",IF(U82-TODAY()&lt;=30,"At risk — close to off track","On track"))),IF(X82="","No planned date",IF(AND(TODAY()&gt;X82,OR(Z82="",Z82&lt;100)),"Behind — past end date",IF(AND(T82&lt;&gt;"",X82&lt;&gt;"",Z82&lt;&gt;"",(Z82&lt;100),((TODAY()-T82)/MAX(X82-T82,1)*100)-Z82&gt;15),"Behind — progress lag",IF(AND(X82-TODAY()&lt;=30,X82-TODAY()&gt;=0,OR(Z82="",Z82&lt;90)),"At risk — close to off track","On track"))))))))</t>
        </is>
      </c>
      <c r="AH82" s="49" t="inlineStr">
        <is>
          <t>IF(OR(F82="",AC82="Completed / Handover",AC82="Cancelled"),"",IF(O82="Not awarded",IF(U82&lt;&gt;"",U82-TODAY(),IF(X82="","",X82-TODAY())),IF(X82="","",X82-TODAY())))</t>
        </is>
      </c>
      <c r="AI82" s="54" t="n"/>
      <c r="AJ82" s="54" t="n"/>
      <c r="AK82" s="54" t="n"/>
      <c r="AL82" s="54" t="n"/>
      <c r="AM82" s="54" t="n"/>
      <c r="AN82" s="54" t="n"/>
      <c r="AO82" s="54" t="n"/>
      <c r="AP82" s="54" t="n"/>
      <c r="AQ82" s="54" t="n"/>
      <c r="AR82" s="54" t="n"/>
      <c r="AS82" s="54" t="n"/>
      <c r="AT82" s="50" t="n"/>
      <c r="AU82" s="50" t="n"/>
      <c r="AV82" s="50" t="n"/>
      <c r="AW82" s="49" t="inlineStr">
        <is>
          <t>IF(OR(F82="",AJ82=""),"",IF(COUNT(AI82:AI82)=0,"",AJ82-LOOKUP(2,1/(AI82:AI82&lt;&gt;""),AI82:AI82)))</t>
        </is>
      </c>
      <c r="AX82" s="49" t="inlineStr">
        <is>
          <t>IF(OR(F82="",AK82=""),"",IF(COUNT(AI82:AJ82)=0,"",AK82-LOOKUP(2,1/(AI82:AJ82&lt;&gt;""),AI82:AJ82)))</t>
        </is>
      </c>
      <c r="AY82" s="49" t="inlineStr">
        <is>
          <t>IF(OR(F82="",AL82=""),"",IF(COUNT(AI82:AK82)=0,"",AL82-LOOKUP(2,1/(AI82:AK82&lt;&gt;""),AI82:AK82)))</t>
        </is>
      </c>
      <c r="AZ82" s="49" t="inlineStr">
        <is>
          <t>IF(OR(F82="",AM82=""),"",IF(COUNT(AI82:AL82)=0,"",AM82-LOOKUP(2,1/(AI82:AL82&lt;&gt;""),AI82:AL82)))</t>
        </is>
      </c>
      <c r="BA82" s="49" t="inlineStr">
        <is>
          <t>IF(OR(F82="",AN82=""),"",IF(COUNT(AI82:AM82)=0,"",AN82-LOOKUP(2,1/(AI82:AM82&lt;&gt;""),AI82:AM82)))</t>
        </is>
      </c>
      <c r="BB82" s="49" t="inlineStr">
        <is>
          <t>IF(OR(F82="",AO82=""),"",IF(COUNT(AI82:AN82)=0,"",AO82-LOOKUP(2,1/(AI82:AN82&lt;&gt;""),AI82:AN82)))</t>
        </is>
      </c>
      <c r="BC82" s="49" t="inlineStr">
        <is>
          <t>IF(OR(F82="",AP82=""),"",IF(COUNT(AI82:AO82)=0,"",AP82-LOOKUP(2,1/(AI82:AO82&lt;&gt;""),AI82:AO82)))</t>
        </is>
      </c>
      <c r="BD82" s="49" t="inlineStr">
        <is>
          <t>IF(OR(F82="",AQ82=""),"",IF(COUNT(AI82:AP82)=0,"",AQ82-LOOKUP(2,1/(AI82:AP82&lt;&gt;""),AI82:AP82)))</t>
        </is>
      </c>
      <c r="BE82" s="49" t="inlineStr">
        <is>
          <t>IF(OR(F82="",AR82=""),"",IF(COUNT(AI82:AQ82)=0,"",AR82-LOOKUP(2,1/(AI82:AQ82&lt;&gt;""),AI82:AQ82)))</t>
        </is>
      </c>
      <c r="BF82" s="49" t="inlineStr">
        <is>
          <t>IF(OR(F82="",AS82=""),"",IF(COUNT(AI82:AR82)=0,"",AS82-LOOKUP(2,1/(AI82:AR82&lt;&gt;""),AI82:AR82)))</t>
        </is>
      </c>
      <c r="BG82" s="49" t="inlineStr">
        <is>
          <t>IF(OR(F82="",AT82=""),"",IF(COUNT(AI82:AS82)=0,"",AT82-LOOKUP(2,1/(AI82:AS82&lt;&gt;""),AI82:AS82)))</t>
        </is>
      </c>
      <c r="BH82" s="49" t="inlineStr">
        <is>
          <t>IF(OR(F82="",AU82=""),"",IF(COUNT(AI82:AT82)=0,"",AU82-LOOKUP(2,1/(AI82:AT82&lt;&gt;""),AI82:AT82)))</t>
        </is>
      </c>
      <c r="BI82" s="49" t="inlineStr">
        <is>
          <t>IF(OR(F82="",AV82=""),"",IF(COUNT(AI82:AU82)=0,"",AV82-LOOKUP(2,1/(AI82:AU82&lt;&gt;""),AI82:AU82)))</t>
        </is>
      </c>
      <c r="BJ82" s="51" t="inlineStr">
        <is>
          <t>IF(J82="","All_Provinces",IFERROR(VLOOKUP(J82,'09_Lookups'!$A$4:$B$20,2,FALSE),"All_Provinces"))</t>
        </is>
      </c>
      <c r="BK82" s="51" t="inlineStr">
        <is>
          <t>IF(K82="","All_Districts",IFERROR(VLOOKUP(K82,'09_Lookups'!$E$4:$F$42,2,FALSE),"All_Districts"))</t>
        </is>
      </c>
    </row>
    <row r="83" ht="18" customHeight="1">
      <c r="A83" s="42" t="inlineStr">
        <is>
          <t>IF(F83="","",ROW()-3)</t>
        </is>
      </c>
      <c r="B83" s="44" t="n"/>
      <c r="C83" s="44" t="n"/>
      <c r="D83" s="44" t="n"/>
      <c r="E83" s="44" t="n"/>
      <c r="F83" s="44" t="n"/>
      <c r="G83" s="44" t="n"/>
      <c r="H83" s="44" t="n"/>
      <c r="I83" s="44" t="n"/>
      <c r="J83" s="44" t="n"/>
      <c r="K83" s="44" t="n"/>
      <c r="L83" s="44" t="n"/>
      <c r="M83" s="44" t="n"/>
      <c r="N83" s="44" t="n"/>
      <c r="O83" s="44" t="n"/>
      <c r="P83" s="44" t="n"/>
      <c r="Q83" s="44" t="n"/>
      <c r="R83" s="44" t="n"/>
      <c r="S83" s="45" t="n"/>
      <c r="T83" s="46" t="inlineStr">
        <is>
          <t>IF(AQ83="","",AQ83)</t>
        </is>
      </c>
      <c r="U83" s="47" t="n"/>
      <c r="V83" s="48" t="n"/>
      <c r="W83" s="47" t="n"/>
      <c r="X83" s="46" t="inlineStr">
        <is>
          <t>IF(W83&lt;&gt;"",W83,IF(OR(T83="",V83=""),"",EDATE(T83,V83)))</t>
        </is>
      </c>
      <c r="Y83" s="47" t="n"/>
      <c r="Z83" s="48" t="n"/>
      <c r="AA83" s="44" t="n"/>
      <c r="AB83" s="44" t="n"/>
      <c r="AC83" s="42" t="inlineStr">
        <is>
          <t>IF(F83="","",IF(COUNT(AI83:AV83)=0,IF(AA83="","Not started",AA83),SUBSTITUTE(LOOKUP(2,1/(AI83:AV83&lt;&gt;""),$AI$3:$AV$3),"Date: ","")))</t>
        </is>
      </c>
      <c r="AD83" s="49" t="inlineStr">
        <is>
          <t>IF(OR(F83="",COUNT(AI83:AV83)=0),"",TODAY()-LOOKUP(2,1/(AI83:AV83&lt;&gt;""),AI83:AV83))</t>
        </is>
      </c>
      <c r="AE83" s="49" t="inlineStr">
        <is>
          <t>IF(OR(F83="",COUNT(AI83:AV83)&lt;2),"",LOOKUP(2,1/(AI83:AV83&lt;&gt;""),AI83:AV83)-MIN(AI83:AV83))</t>
        </is>
      </c>
      <c r="AF83" s="49" t="inlineStr">
        <is>
          <t>IF(OR(AD83="",AC83="Not started",AC83=""),"",IFERROR(AD83-IF(VLOOKUP(AC83,'06_Status_Pipeline'!$B$3:$E$20,4,FALSE)="",0,VLOOKUP(AC83,'06_Status_Pipeline'!$B$3:$E$20,4,FALSE)),""))</t>
        </is>
      </c>
      <c r="AG83" s="42" t="inlineStr">
        <is>
          <t>IF(F83="","",IF(OR(AA83="Cancelled",AC83="Cancelled"),"Cancelled",IF(OR(AC83="Completed / Handover",Y83&lt;&gt;"",Z83&gt;=100),"Completed — on track",IF(O83="Not awarded",IF(U83="",IF(X83="","No planned date",IF(TODAY()&gt;X83,"Behind — past planned date",IF(X83-TODAY()&lt;=30,"At risk — close to off track","On track"))),IF(TODAY()&gt;U83,"Behind — award date passed",IF(U83-TODAY()&lt;=30,"At risk — close to off track","On track"))),IF(X83="","No planned date",IF(AND(TODAY()&gt;X83,OR(Z83="",Z83&lt;100)),"Behind — past end date",IF(AND(T83&lt;&gt;"",X83&lt;&gt;"",Z83&lt;&gt;"",(Z83&lt;100),((TODAY()-T83)/MAX(X83-T83,1)*100)-Z83&gt;15),"Behind — progress lag",IF(AND(X83-TODAY()&lt;=30,X83-TODAY()&gt;=0,OR(Z83="",Z83&lt;90)),"At risk — close to off track","On track"))))))))</t>
        </is>
      </c>
      <c r="AH83" s="49" t="inlineStr">
        <is>
          <t>IF(OR(F83="",AC83="Completed / Handover",AC83="Cancelled"),"",IF(O83="Not awarded",IF(U83&lt;&gt;"",U83-TODAY(),IF(X83="","",X83-TODAY())),IF(X83="","",X83-TODAY())))</t>
        </is>
      </c>
      <c r="AI83" s="47" t="n"/>
      <c r="AJ83" s="47" t="n"/>
      <c r="AK83" s="47" t="n"/>
      <c r="AL83" s="47" t="n"/>
      <c r="AM83" s="47" t="n"/>
      <c r="AN83" s="47" t="n"/>
      <c r="AO83" s="47" t="n"/>
      <c r="AP83" s="47" t="n"/>
      <c r="AQ83" s="47" t="n"/>
      <c r="AR83" s="47" t="n"/>
      <c r="AS83" s="47" t="n"/>
      <c r="AT83" s="50" t="n"/>
      <c r="AU83" s="50" t="n"/>
      <c r="AV83" s="50" t="n"/>
      <c r="AW83" s="49" t="inlineStr">
        <is>
          <t>IF(OR(F83="",AJ83=""),"",IF(COUNT(AI83:AI83)=0,"",AJ83-LOOKUP(2,1/(AI83:AI83&lt;&gt;""),AI83:AI83)))</t>
        </is>
      </c>
      <c r="AX83" s="49" t="inlineStr">
        <is>
          <t>IF(OR(F83="",AK83=""),"",IF(COUNT(AI83:AJ83)=0,"",AK83-LOOKUP(2,1/(AI83:AJ83&lt;&gt;""),AI83:AJ83)))</t>
        </is>
      </c>
      <c r="AY83" s="49" t="inlineStr">
        <is>
          <t>IF(OR(F83="",AL83=""),"",IF(COUNT(AI83:AK83)=0,"",AL83-LOOKUP(2,1/(AI83:AK83&lt;&gt;""),AI83:AK83)))</t>
        </is>
      </c>
      <c r="AZ83" s="49" t="inlineStr">
        <is>
          <t>IF(OR(F83="",AM83=""),"",IF(COUNT(AI83:AL83)=0,"",AM83-LOOKUP(2,1/(AI83:AL83&lt;&gt;""),AI83:AL83)))</t>
        </is>
      </c>
      <c r="BA83" s="49" t="inlineStr">
        <is>
          <t>IF(OR(F83="",AN83=""),"",IF(COUNT(AI83:AM83)=0,"",AN83-LOOKUP(2,1/(AI83:AM83&lt;&gt;""),AI83:AM83)))</t>
        </is>
      </c>
      <c r="BB83" s="49" t="inlineStr">
        <is>
          <t>IF(OR(F83="",AO83=""),"",IF(COUNT(AI83:AN83)=0,"",AO83-LOOKUP(2,1/(AI83:AN83&lt;&gt;""),AI83:AN83)))</t>
        </is>
      </c>
      <c r="BC83" s="49" t="inlineStr">
        <is>
          <t>IF(OR(F83="",AP83=""),"",IF(COUNT(AI83:AO83)=0,"",AP83-LOOKUP(2,1/(AI83:AO83&lt;&gt;""),AI83:AO83)))</t>
        </is>
      </c>
      <c r="BD83" s="49" t="inlineStr">
        <is>
          <t>IF(OR(F83="",AQ83=""),"",IF(COUNT(AI83:AP83)=0,"",AQ83-LOOKUP(2,1/(AI83:AP83&lt;&gt;""),AI83:AP83)))</t>
        </is>
      </c>
      <c r="BE83" s="49" t="inlineStr">
        <is>
          <t>IF(OR(F83="",AR83=""),"",IF(COUNT(AI83:AQ83)=0,"",AR83-LOOKUP(2,1/(AI83:AQ83&lt;&gt;""),AI83:AQ83)))</t>
        </is>
      </c>
      <c r="BF83" s="49" t="inlineStr">
        <is>
          <t>IF(OR(F83="",AS83=""),"",IF(COUNT(AI83:AR83)=0,"",AS83-LOOKUP(2,1/(AI83:AR83&lt;&gt;""),AI83:AR83)))</t>
        </is>
      </c>
      <c r="BG83" s="49" t="inlineStr">
        <is>
          <t>IF(OR(F83="",AT83=""),"",IF(COUNT(AI83:AS83)=0,"",AT83-LOOKUP(2,1/(AI83:AS83&lt;&gt;""),AI83:AS83)))</t>
        </is>
      </c>
      <c r="BH83" s="49" t="inlineStr">
        <is>
          <t>IF(OR(F83="",AU83=""),"",IF(COUNT(AI83:AT83)=0,"",AU83-LOOKUP(2,1/(AI83:AT83&lt;&gt;""),AI83:AT83)))</t>
        </is>
      </c>
      <c r="BI83" s="49" t="inlineStr">
        <is>
          <t>IF(OR(F83="",AV83=""),"",IF(COUNT(AI83:AU83)=0,"",AV83-LOOKUP(2,1/(AI83:AU83&lt;&gt;""),AI83:AU83)))</t>
        </is>
      </c>
      <c r="BJ83" s="51" t="inlineStr">
        <is>
          <t>IF(J83="","All_Provinces",IFERROR(VLOOKUP(J83,'09_Lookups'!$A$4:$B$20,2,FALSE),"All_Provinces"))</t>
        </is>
      </c>
      <c r="BK83" s="51" t="inlineStr">
        <is>
          <t>IF(K83="","All_Districts",IFERROR(VLOOKUP(K83,'09_Lookups'!$E$4:$F$42,2,FALSE),"All_Districts"))</t>
        </is>
      </c>
    </row>
    <row r="84" ht="18" customHeight="1">
      <c r="A84" s="42" t="inlineStr">
        <is>
          <t>IF(F84="","",ROW()-3)</t>
        </is>
      </c>
      <c r="B84" s="52" t="n"/>
      <c r="C84" s="52" t="n"/>
      <c r="D84" s="52" t="n"/>
      <c r="E84" s="52" t="n"/>
      <c r="F84" s="52" t="n"/>
      <c r="G84" s="52" t="n"/>
      <c r="H84" s="52" t="n"/>
      <c r="I84" s="52" t="n"/>
      <c r="J84" s="52" t="n"/>
      <c r="K84" s="52" t="n"/>
      <c r="L84" s="52" t="n"/>
      <c r="M84" s="52" t="n"/>
      <c r="N84" s="52" t="n"/>
      <c r="O84" s="52" t="n"/>
      <c r="P84" s="52" t="n"/>
      <c r="Q84" s="52" t="n"/>
      <c r="R84" s="52" t="n"/>
      <c r="S84" s="53" t="n"/>
      <c r="T84" s="46" t="inlineStr">
        <is>
          <t>IF(AQ84="","",AQ84)</t>
        </is>
      </c>
      <c r="U84" s="54" t="n"/>
      <c r="V84" s="55" t="n"/>
      <c r="W84" s="54" t="n"/>
      <c r="X84" s="46" t="inlineStr">
        <is>
          <t>IF(W84&lt;&gt;"",W84,IF(OR(T84="",V84=""),"",EDATE(T84,V84)))</t>
        </is>
      </c>
      <c r="Y84" s="54" t="n"/>
      <c r="Z84" s="55" t="n"/>
      <c r="AA84" s="52" t="n"/>
      <c r="AB84" s="52" t="n"/>
      <c r="AC84" s="42" t="inlineStr">
        <is>
          <t>IF(F84="","",IF(COUNT(AI84:AV84)=0,IF(AA84="","Not started",AA84),SUBSTITUTE(LOOKUP(2,1/(AI84:AV84&lt;&gt;""),$AI$3:$AV$3),"Date: ","")))</t>
        </is>
      </c>
      <c r="AD84" s="49" t="inlineStr">
        <is>
          <t>IF(OR(F84="",COUNT(AI84:AV84)=0),"",TODAY()-LOOKUP(2,1/(AI84:AV84&lt;&gt;""),AI84:AV84))</t>
        </is>
      </c>
      <c r="AE84" s="49" t="inlineStr">
        <is>
          <t>IF(OR(F84="",COUNT(AI84:AV84)&lt;2),"",LOOKUP(2,1/(AI84:AV84&lt;&gt;""),AI84:AV84)-MIN(AI84:AV84))</t>
        </is>
      </c>
      <c r="AF84" s="49" t="inlineStr">
        <is>
          <t>IF(OR(AD84="",AC84="Not started",AC84=""),"",IFERROR(AD84-IF(VLOOKUP(AC84,'06_Status_Pipeline'!$B$3:$E$20,4,FALSE)="",0,VLOOKUP(AC84,'06_Status_Pipeline'!$B$3:$E$20,4,FALSE)),""))</t>
        </is>
      </c>
      <c r="AG84" s="42" t="inlineStr">
        <is>
          <t>IF(F84="","",IF(OR(AA84="Cancelled",AC84="Cancelled"),"Cancelled",IF(OR(AC84="Completed / Handover",Y84&lt;&gt;"",Z84&gt;=100),"Completed — on track",IF(O84="Not awarded",IF(U84="",IF(X84="","No planned date",IF(TODAY()&gt;X84,"Behind — past planned date",IF(X84-TODAY()&lt;=30,"At risk — close to off track","On track"))),IF(TODAY()&gt;U84,"Behind — award date passed",IF(U84-TODAY()&lt;=30,"At risk — close to off track","On track"))),IF(X84="","No planned date",IF(AND(TODAY()&gt;X84,OR(Z84="",Z84&lt;100)),"Behind — past end date",IF(AND(T84&lt;&gt;"",X84&lt;&gt;"",Z84&lt;&gt;"",(Z84&lt;100),((TODAY()-T84)/MAX(X84-T84,1)*100)-Z84&gt;15),"Behind — progress lag",IF(AND(X84-TODAY()&lt;=30,X84-TODAY()&gt;=0,OR(Z84="",Z84&lt;90)),"At risk — close to off track","On track"))))))))</t>
        </is>
      </c>
      <c r="AH84" s="49" t="inlineStr">
        <is>
          <t>IF(OR(F84="",AC84="Completed / Handover",AC84="Cancelled"),"",IF(O84="Not awarded",IF(U84&lt;&gt;"",U84-TODAY(),IF(X84="","",X84-TODAY())),IF(X84="","",X84-TODAY())))</t>
        </is>
      </c>
      <c r="AI84" s="54" t="n"/>
      <c r="AJ84" s="54" t="n"/>
      <c r="AK84" s="54" t="n"/>
      <c r="AL84" s="54" t="n"/>
      <c r="AM84" s="54" t="n"/>
      <c r="AN84" s="54" t="n"/>
      <c r="AO84" s="54" t="n"/>
      <c r="AP84" s="54" t="n"/>
      <c r="AQ84" s="54" t="n"/>
      <c r="AR84" s="54" t="n"/>
      <c r="AS84" s="54" t="n"/>
      <c r="AT84" s="50" t="n"/>
      <c r="AU84" s="50" t="n"/>
      <c r="AV84" s="50" t="n"/>
      <c r="AW84" s="49" t="inlineStr">
        <is>
          <t>IF(OR(F84="",AJ84=""),"",IF(COUNT(AI84:AI84)=0,"",AJ84-LOOKUP(2,1/(AI84:AI84&lt;&gt;""),AI84:AI84)))</t>
        </is>
      </c>
      <c r="AX84" s="49" t="inlineStr">
        <is>
          <t>IF(OR(F84="",AK84=""),"",IF(COUNT(AI84:AJ84)=0,"",AK84-LOOKUP(2,1/(AI84:AJ84&lt;&gt;""),AI84:AJ84)))</t>
        </is>
      </c>
      <c r="AY84" s="49" t="inlineStr">
        <is>
          <t>IF(OR(F84="",AL84=""),"",IF(COUNT(AI84:AK84)=0,"",AL84-LOOKUP(2,1/(AI84:AK84&lt;&gt;""),AI84:AK84)))</t>
        </is>
      </c>
      <c r="AZ84" s="49" t="inlineStr">
        <is>
          <t>IF(OR(F84="",AM84=""),"",IF(COUNT(AI84:AL84)=0,"",AM84-LOOKUP(2,1/(AI84:AL84&lt;&gt;""),AI84:AL84)))</t>
        </is>
      </c>
      <c r="BA84" s="49" t="inlineStr">
        <is>
          <t>IF(OR(F84="",AN84=""),"",IF(COUNT(AI84:AM84)=0,"",AN84-LOOKUP(2,1/(AI84:AM84&lt;&gt;""),AI84:AM84)))</t>
        </is>
      </c>
      <c r="BB84" s="49" t="inlineStr">
        <is>
          <t>IF(OR(F84="",AO84=""),"",IF(COUNT(AI84:AN84)=0,"",AO84-LOOKUP(2,1/(AI84:AN84&lt;&gt;""),AI84:AN84)))</t>
        </is>
      </c>
      <c r="BC84" s="49" t="inlineStr">
        <is>
          <t>IF(OR(F84="",AP84=""),"",IF(COUNT(AI84:AO84)=0,"",AP84-LOOKUP(2,1/(AI84:AO84&lt;&gt;""),AI84:AO84)))</t>
        </is>
      </c>
      <c r="BD84" s="49" t="inlineStr">
        <is>
          <t>IF(OR(F84="",AQ84=""),"",IF(COUNT(AI84:AP84)=0,"",AQ84-LOOKUP(2,1/(AI84:AP84&lt;&gt;""),AI84:AP84)))</t>
        </is>
      </c>
      <c r="BE84" s="49" t="inlineStr">
        <is>
          <t>IF(OR(F84="",AR84=""),"",IF(COUNT(AI84:AQ84)=0,"",AR84-LOOKUP(2,1/(AI84:AQ84&lt;&gt;""),AI84:AQ84)))</t>
        </is>
      </c>
      <c r="BF84" s="49" t="inlineStr">
        <is>
          <t>IF(OR(F84="",AS84=""),"",IF(COUNT(AI84:AR84)=0,"",AS84-LOOKUP(2,1/(AI84:AR84&lt;&gt;""),AI84:AR84)))</t>
        </is>
      </c>
      <c r="BG84" s="49" t="inlineStr">
        <is>
          <t>IF(OR(F84="",AT84=""),"",IF(COUNT(AI84:AS84)=0,"",AT84-LOOKUP(2,1/(AI84:AS84&lt;&gt;""),AI84:AS84)))</t>
        </is>
      </c>
      <c r="BH84" s="49" t="inlineStr">
        <is>
          <t>IF(OR(F84="",AU84=""),"",IF(COUNT(AI84:AT84)=0,"",AU84-LOOKUP(2,1/(AI84:AT84&lt;&gt;""),AI84:AT84)))</t>
        </is>
      </c>
      <c r="BI84" s="49" t="inlineStr">
        <is>
          <t>IF(OR(F84="",AV84=""),"",IF(COUNT(AI84:AU84)=0,"",AV84-LOOKUP(2,1/(AI84:AU84&lt;&gt;""),AI84:AU84)))</t>
        </is>
      </c>
      <c r="BJ84" s="51" t="inlineStr">
        <is>
          <t>IF(J84="","All_Provinces",IFERROR(VLOOKUP(J84,'09_Lookups'!$A$4:$B$20,2,FALSE),"All_Provinces"))</t>
        </is>
      </c>
      <c r="BK84" s="51" t="inlineStr">
        <is>
          <t>IF(K84="","All_Districts",IFERROR(VLOOKUP(K84,'09_Lookups'!$E$4:$F$42,2,FALSE),"All_Districts"))</t>
        </is>
      </c>
    </row>
    <row r="85" ht="18" customHeight="1">
      <c r="A85" s="42" t="inlineStr">
        <is>
          <t>IF(F85="","",ROW()-3)</t>
        </is>
      </c>
      <c r="B85" s="44" t="n"/>
      <c r="C85" s="44" t="n"/>
      <c r="D85" s="44" t="n"/>
      <c r="E85" s="44" t="n"/>
      <c r="F85" s="44" t="n"/>
      <c r="G85" s="44" t="n"/>
      <c r="H85" s="44" t="n"/>
      <c r="I85" s="44" t="n"/>
      <c r="J85" s="44" t="n"/>
      <c r="K85" s="44" t="n"/>
      <c r="L85" s="44" t="n"/>
      <c r="M85" s="44" t="n"/>
      <c r="N85" s="44" t="n"/>
      <c r="O85" s="44" t="n"/>
      <c r="P85" s="44" t="n"/>
      <c r="Q85" s="44" t="n"/>
      <c r="R85" s="44" t="n"/>
      <c r="S85" s="45" t="n"/>
      <c r="T85" s="46" t="inlineStr">
        <is>
          <t>IF(AQ85="","",AQ85)</t>
        </is>
      </c>
      <c r="U85" s="47" t="n"/>
      <c r="V85" s="48" t="n"/>
      <c r="W85" s="47" t="n"/>
      <c r="X85" s="46" t="inlineStr">
        <is>
          <t>IF(W85&lt;&gt;"",W85,IF(OR(T85="",V85=""),"",EDATE(T85,V85)))</t>
        </is>
      </c>
      <c r="Y85" s="47" t="n"/>
      <c r="Z85" s="48" t="n"/>
      <c r="AA85" s="44" t="n"/>
      <c r="AB85" s="44" t="n"/>
      <c r="AC85" s="42" t="inlineStr">
        <is>
          <t>IF(F85="","",IF(COUNT(AI85:AV85)=0,IF(AA85="","Not started",AA85),SUBSTITUTE(LOOKUP(2,1/(AI85:AV85&lt;&gt;""),$AI$3:$AV$3),"Date: ","")))</t>
        </is>
      </c>
      <c r="AD85" s="49" t="inlineStr">
        <is>
          <t>IF(OR(F85="",COUNT(AI85:AV85)=0),"",TODAY()-LOOKUP(2,1/(AI85:AV85&lt;&gt;""),AI85:AV85))</t>
        </is>
      </c>
      <c r="AE85" s="49" t="inlineStr">
        <is>
          <t>IF(OR(F85="",COUNT(AI85:AV85)&lt;2),"",LOOKUP(2,1/(AI85:AV85&lt;&gt;""),AI85:AV85)-MIN(AI85:AV85))</t>
        </is>
      </c>
      <c r="AF85" s="49" t="inlineStr">
        <is>
          <t>IF(OR(AD85="",AC85="Not started",AC85=""),"",IFERROR(AD85-IF(VLOOKUP(AC85,'06_Status_Pipeline'!$B$3:$E$20,4,FALSE)="",0,VLOOKUP(AC85,'06_Status_Pipeline'!$B$3:$E$20,4,FALSE)),""))</t>
        </is>
      </c>
      <c r="AG85" s="42" t="inlineStr">
        <is>
          <t>IF(F85="","",IF(OR(AA85="Cancelled",AC85="Cancelled"),"Cancelled",IF(OR(AC85="Completed / Handover",Y85&lt;&gt;"",Z85&gt;=100),"Completed — on track",IF(O85="Not awarded",IF(U85="",IF(X85="","No planned date",IF(TODAY()&gt;X85,"Behind — past planned date",IF(X85-TODAY()&lt;=30,"At risk — close to off track","On track"))),IF(TODAY()&gt;U85,"Behind — award date passed",IF(U85-TODAY()&lt;=30,"At risk — close to off track","On track"))),IF(X85="","No planned date",IF(AND(TODAY()&gt;X85,OR(Z85="",Z85&lt;100)),"Behind — past end date",IF(AND(T85&lt;&gt;"",X85&lt;&gt;"",Z85&lt;&gt;"",(Z85&lt;100),((TODAY()-T85)/MAX(X85-T85,1)*100)-Z85&gt;15),"Behind — progress lag",IF(AND(X85-TODAY()&lt;=30,X85-TODAY()&gt;=0,OR(Z85="",Z85&lt;90)),"At risk — close to off track","On track"))))))))</t>
        </is>
      </c>
      <c r="AH85" s="49" t="inlineStr">
        <is>
          <t>IF(OR(F85="",AC85="Completed / Handover",AC85="Cancelled"),"",IF(O85="Not awarded",IF(U85&lt;&gt;"",U85-TODAY(),IF(X85="","",X85-TODAY())),IF(X85="","",X85-TODAY())))</t>
        </is>
      </c>
      <c r="AI85" s="47" t="n"/>
      <c r="AJ85" s="47" t="n"/>
      <c r="AK85" s="47" t="n"/>
      <c r="AL85" s="47" t="n"/>
      <c r="AM85" s="47" t="n"/>
      <c r="AN85" s="47" t="n"/>
      <c r="AO85" s="47" t="n"/>
      <c r="AP85" s="47" t="n"/>
      <c r="AQ85" s="47" t="n"/>
      <c r="AR85" s="47" t="n"/>
      <c r="AS85" s="47" t="n"/>
      <c r="AT85" s="50" t="n"/>
      <c r="AU85" s="50" t="n"/>
      <c r="AV85" s="50" t="n"/>
      <c r="AW85" s="49" t="inlineStr">
        <is>
          <t>IF(OR(F85="",AJ85=""),"",IF(COUNT(AI85:AI85)=0,"",AJ85-LOOKUP(2,1/(AI85:AI85&lt;&gt;""),AI85:AI85)))</t>
        </is>
      </c>
      <c r="AX85" s="49" t="inlineStr">
        <is>
          <t>IF(OR(F85="",AK85=""),"",IF(COUNT(AI85:AJ85)=0,"",AK85-LOOKUP(2,1/(AI85:AJ85&lt;&gt;""),AI85:AJ85)))</t>
        </is>
      </c>
      <c r="AY85" s="49" t="inlineStr">
        <is>
          <t>IF(OR(F85="",AL85=""),"",IF(COUNT(AI85:AK85)=0,"",AL85-LOOKUP(2,1/(AI85:AK85&lt;&gt;""),AI85:AK85)))</t>
        </is>
      </c>
      <c r="AZ85" s="49" t="inlineStr">
        <is>
          <t>IF(OR(F85="",AM85=""),"",IF(COUNT(AI85:AL85)=0,"",AM85-LOOKUP(2,1/(AI85:AL85&lt;&gt;""),AI85:AL85)))</t>
        </is>
      </c>
      <c r="BA85" s="49" t="inlineStr">
        <is>
          <t>IF(OR(F85="",AN85=""),"",IF(COUNT(AI85:AM85)=0,"",AN85-LOOKUP(2,1/(AI85:AM85&lt;&gt;""),AI85:AM85)))</t>
        </is>
      </c>
      <c r="BB85" s="49" t="inlineStr">
        <is>
          <t>IF(OR(F85="",AO85=""),"",IF(COUNT(AI85:AN85)=0,"",AO85-LOOKUP(2,1/(AI85:AN85&lt;&gt;""),AI85:AN85)))</t>
        </is>
      </c>
      <c r="BC85" s="49" t="inlineStr">
        <is>
          <t>IF(OR(F85="",AP85=""),"",IF(COUNT(AI85:AO85)=0,"",AP85-LOOKUP(2,1/(AI85:AO85&lt;&gt;""),AI85:AO85)))</t>
        </is>
      </c>
      <c r="BD85" s="49" t="inlineStr">
        <is>
          <t>IF(OR(F85="",AQ85=""),"",IF(COUNT(AI85:AP85)=0,"",AQ85-LOOKUP(2,1/(AI85:AP85&lt;&gt;""),AI85:AP85)))</t>
        </is>
      </c>
      <c r="BE85" s="49" t="inlineStr">
        <is>
          <t>IF(OR(F85="",AR85=""),"",IF(COUNT(AI85:AQ85)=0,"",AR85-LOOKUP(2,1/(AI85:AQ85&lt;&gt;""),AI85:AQ85)))</t>
        </is>
      </c>
      <c r="BF85" s="49" t="inlineStr">
        <is>
          <t>IF(OR(F85="",AS85=""),"",IF(COUNT(AI85:AR85)=0,"",AS85-LOOKUP(2,1/(AI85:AR85&lt;&gt;""),AI85:AR85)))</t>
        </is>
      </c>
      <c r="BG85" s="49" t="inlineStr">
        <is>
          <t>IF(OR(F85="",AT85=""),"",IF(COUNT(AI85:AS85)=0,"",AT85-LOOKUP(2,1/(AI85:AS85&lt;&gt;""),AI85:AS85)))</t>
        </is>
      </c>
      <c r="BH85" s="49" t="inlineStr">
        <is>
          <t>IF(OR(F85="",AU85=""),"",IF(COUNT(AI85:AT85)=0,"",AU85-LOOKUP(2,1/(AI85:AT85&lt;&gt;""),AI85:AT85)))</t>
        </is>
      </c>
      <c r="BI85" s="49" t="inlineStr">
        <is>
          <t>IF(OR(F85="",AV85=""),"",IF(COUNT(AI85:AU85)=0,"",AV85-LOOKUP(2,1/(AI85:AU85&lt;&gt;""),AI85:AU85)))</t>
        </is>
      </c>
      <c r="BJ85" s="51" t="inlineStr">
        <is>
          <t>IF(J85="","All_Provinces",IFERROR(VLOOKUP(J85,'09_Lookups'!$A$4:$B$20,2,FALSE),"All_Provinces"))</t>
        </is>
      </c>
      <c r="BK85" s="51" t="inlineStr">
        <is>
          <t>IF(K85="","All_Districts",IFERROR(VLOOKUP(K85,'09_Lookups'!$E$4:$F$42,2,FALSE),"All_Districts"))</t>
        </is>
      </c>
    </row>
    <row r="86" ht="18" customHeight="1">
      <c r="A86" s="42" t="inlineStr">
        <is>
          <t>IF(F86="","",ROW()-3)</t>
        </is>
      </c>
      <c r="B86" s="52" t="n"/>
      <c r="C86" s="52" t="n"/>
      <c r="D86" s="52" t="n"/>
      <c r="E86" s="52" t="n"/>
      <c r="F86" s="52" t="n"/>
      <c r="G86" s="52" t="n"/>
      <c r="H86" s="52" t="n"/>
      <c r="I86" s="52" t="n"/>
      <c r="J86" s="52" t="n"/>
      <c r="K86" s="52" t="n"/>
      <c r="L86" s="52" t="n"/>
      <c r="M86" s="52" t="n"/>
      <c r="N86" s="52" t="n"/>
      <c r="O86" s="52" t="n"/>
      <c r="P86" s="52" t="n"/>
      <c r="Q86" s="52" t="n"/>
      <c r="R86" s="52" t="n"/>
      <c r="S86" s="53" t="n"/>
      <c r="T86" s="46" t="inlineStr">
        <is>
          <t>IF(AQ86="","",AQ86)</t>
        </is>
      </c>
      <c r="U86" s="54" t="n"/>
      <c r="V86" s="55" t="n"/>
      <c r="W86" s="54" t="n"/>
      <c r="X86" s="46" t="inlineStr">
        <is>
          <t>IF(W86&lt;&gt;"",W86,IF(OR(T86="",V86=""),"",EDATE(T86,V86)))</t>
        </is>
      </c>
      <c r="Y86" s="54" t="n"/>
      <c r="Z86" s="55" t="n"/>
      <c r="AA86" s="52" t="n"/>
      <c r="AB86" s="52" t="n"/>
      <c r="AC86" s="42" t="inlineStr">
        <is>
          <t>IF(F86="","",IF(COUNT(AI86:AV86)=0,IF(AA86="","Not started",AA86),SUBSTITUTE(LOOKUP(2,1/(AI86:AV86&lt;&gt;""),$AI$3:$AV$3),"Date: ","")))</t>
        </is>
      </c>
      <c r="AD86" s="49" t="inlineStr">
        <is>
          <t>IF(OR(F86="",COUNT(AI86:AV86)=0),"",TODAY()-LOOKUP(2,1/(AI86:AV86&lt;&gt;""),AI86:AV86))</t>
        </is>
      </c>
      <c r="AE86" s="49" t="inlineStr">
        <is>
          <t>IF(OR(F86="",COUNT(AI86:AV86)&lt;2),"",LOOKUP(2,1/(AI86:AV86&lt;&gt;""),AI86:AV86)-MIN(AI86:AV86))</t>
        </is>
      </c>
      <c r="AF86" s="49" t="inlineStr">
        <is>
          <t>IF(OR(AD86="",AC86="Not started",AC86=""),"",IFERROR(AD86-IF(VLOOKUP(AC86,'06_Status_Pipeline'!$B$3:$E$20,4,FALSE)="",0,VLOOKUP(AC86,'06_Status_Pipeline'!$B$3:$E$20,4,FALSE)),""))</t>
        </is>
      </c>
      <c r="AG86" s="42" t="inlineStr">
        <is>
          <t>IF(F86="","",IF(OR(AA86="Cancelled",AC86="Cancelled"),"Cancelled",IF(OR(AC86="Completed / Handover",Y86&lt;&gt;"",Z86&gt;=100),"Completed — on track",IF(O86="Not awarded",IF(U86="",IF(X86="","No planned date",IF(TODAY()&gt;X86,"Behind — past planned date",IF(X86-TODAY()&lt;=30,"At risk — close to off track","On track"))),IF(TODAY()&gt;U86,"Behind — award date passed",IF(U86-TODAY()&lt;=30,"At risk — close to off track","On track"))),IF(X86="","No planned date",IF(AND(TODAY()&gt;X86,OR(Z86="",Z86&lt;100)),"Behind — past end date",IF(AND(T86&lt;&gt;"",X86&lt;&gt;"",Z86&lt;&gt;"",(Z86&lt;100),((TODAY()-T86)/MAX(X86-T86,1)*100)-Z86&gt;15),"Behind — progress lag",IF(AND(X86-TODAY()&lt;=30,X86-TODAY()&gt;=0,OR(Z86="",Z86&lt;90)),"At risk — close to off track","On track"))))))))</t>
        </is>
      </c>
      <c r="AH86" s="49" t="inlineStr">
        <is>
          <t>IF(OR(F86="",AC86="Completed / Handover",AC86="Cancelled"),"",IF(O86="Not awarded",IF(U86&lt;&gt;"",U86-TODAY(),IF(X86="","",X86-TODAY())),IF(X86="","",X86-TODAY())))</t>
        </is>
      </c>
      <c r="AI86" s="54" t="n"/>
      <c r="AJ86" s="54" t="n"/>
      <c r="AK86" s="54" t="n"/>
      <c r="AL86" s="54" t="n"/>
      <c r="AM86" s="54" t="n"/>
      <c r="AN86" s="54" t="n"/>
      <c r="AO86" s="54" t="n"/>
      <c r="AP86" s="54" t="n"/>
      <c r="AQ86" s="54" t="n"/>
      <c r="AR86" s="54" t="n"/>
      <c r="AS86" s="54" t="n"/>
      <c r="AT86" s="50" t="n"/>
      <c r="AU86" s="50" t="n"/>
      <c r="AV86" s="50" t="n"/>
      <c r="AW86" s="49" t="inlineStr">
        <is>
          <t>IF(OR(F86="",AJ86=""),"",IF(COUNT(AI86:AI86)=0,"",AJ86-LOOKUP(2,1/(AI86:AI86&lt;&gt;""),AI86:AI86)))</t>
        </is>
      </c>
      <c r="AX86" s="49" t="inlineStr">
        <is>
          <t>IF(OR(F86="",AK86=""),"",IF(COUNT(AI86:AJ86)=0,"",AK86-LOOKUP(2,1/(AI86:AJ86&lt;&gt;""),AI86:AJ86)))</t>
        </is>
      </c>
      <c r="AY86" s="49" t="inlineStr">
        <is>
          <t>IF(OR(F86="",AL86=""),"",IF(COUNT(AI86:AK86)=0,"",AL86-LOOKUP(2,1/(AI86:AK86&lt;&gt;""),AI86:AK86)))</t>
        </is>
      </c>
      <c r="AZ86" s="49" t="inlineStr">
        <is>
          <t>IF(OR(F86="",AM86=""),"",IF(COUNT(AI86:AL86)=0,"",AM86-LOOKUP(2,1/(AI86:AL86&lt;&gt;""),AI86:AL86)))</t>
        </is>
      </c>
      <c r="BA86" s="49" t="inlineStr">
        <is>
          <t>IF(OR(F86="",AN86=""),"",IF(COUNT(AI86:AM86)=0,"",AN86-LOOKUP(2,1/(AI86:AM86&lt;&gt;""),AI86:AM86)))</t>
        </is>
      </c>
      <c r="BB86" s="49" t="inlineStr">
        <is>
          <t>IF(OR(F86="",AO86=""),"",IF(COUNT(AI86:AN86)=0,"",AO86-LOOKUP(2,1/(AI86:AN86&lt;&gt;""),AI86:AN86)))</t>
        </is>
      </c>
      <c r="BC86" s="49" t="inlineStr">
        <is>
          <t>IF(OR(F86="",AP86=""),"",IF(COUNT(AI86:AO86)=0,"",AP86-LOOKUP(2,1/(AI86:AO86&lt;&gt;""),AI86:AO86)))</t>
        </is>
      </c>
      <c r="BD86" s="49" t="inlineStr">
        <is>
          <t>IF(OR(F86="",AQ86=""),"",IF(COUNT(AI86:AP86)=0,"",AQ86-LOOKUP(2,1/(AI86:AP86&lt;&gt;""),AI86:AP86)))</t>
        </is>
      </c>
      <c r="BE86" s="49" t="inlineStr">
        <is>
          <t>IF(OR(F86="",AR86=""),"",IF(COUNT(AI86:AQ86)=0,"",AR86-LOOKUP(2,1/(AI86:AQ86&lt;&gt;""),AI86:AQ86)))</t>
        </is>
      </c>
      <c r="BF86" s="49" t="inlineStr">
        <is>
          <t>IF(OR(F86="",AS86=""),"",IF(COUNT(AI86:AR86)=0,"",AS86-LOOKUP(2,1/(AI86:AR86&lt;&gt;""),AI86:AR86)))</t>
        </is>
      </c>
      <c r="BG86" s="49" t="inlineStr">
        <is>
          <t>IF(OR(F86="",AT86=""),"",IF(COUNT(AI86:AS86)=0,"",AT86-LOOKUP(2,1/(AI86:AS86&lt;&gt;""),AI86:AS86)))</t>
        </is>
      </c>
      <c r="BH86" s="49" t="inlineStr">
        <is>
          <t>IF(OR(F86="",AU86=""),"",IF(COUNT(AI86:AT86)=0,"",AU86-LOOKUP(2,1/(AI86:AT86&lt;&gt;""),AI86:AT86)))</t>
        </is>
      </c>
      <c r="BI86" s="49" t="inlineStr">
        <is>
          <t>IF(OR(F86="",AV86=""),"",IF(COUNT(AI86:AU86)=0,"",AV86-LOOKUP(2,1/(AI86:AU86&lt;&gt;""),AI86:AU86)))</t>
        </is>
      </c>
      <c r="BJ86" s="51" t="inlineStr">
        <is>
          <t>IF(J86="","All_Provinces",IFERROR(VLOOKUP(J86,'09_Lookups'!$A$4:$B$20,2,FALSE),"All_Provinces"))</t>
        </is>
      </c>
      <c r="BK86" s="51" t="inlineStr">
        <is>
          <t>IF(K86="","All_Districts",IFERROR(VLOOKUP(K86,'09_Lookups'!$E$4:$F$42,2,FALSE),"All_Districts"))</t>
        </is>
      </c>
    </row>
    <row r="87" ht="18" customHeight="1">
      <c r="A87" s="42" t="inlineStr">
        <is>
          <t>IF(F87="","",ROW()-3)</t>
        </is>
      </c>
      <c r="B87" s="44" t="n"/>
      <c r="C87" s="44" t="n"/>
      <c r="D87" s="44" t="n"/>
      <c r="E87" s="44" t="n"/>
      <c r="F87" s="44" t="n"/>
      <c r="G87" s="44" t="n"/>
      <c r="H87" s="44" t="n"/>
      <c r="I87" s="44" t="n"/>
      <c r="J87" s="44" t="n"/>
      <c r="K87" s="44" t="n"/>
      <c r="L87" s="44" t="n"/>
      <c r="M87" s="44" t="n"/>
      <c r="N87" s="44" t="n"/>
      <c r="O87" s="44" t="n"/>
      <c r="P87" s="44" t="n"/>
      <c r="Q87" s="44" t="n"/>
      <c r="R87" s="44" t="n"/>
      <c r="S87" s="45" t="n"/>
      <c r="T87" s="46" t="inlineStr">
        <is>
          <t>IF(AQ87="","",AQ87)</t>
        </is>
      </c>
      <c r="U87" s="47" t="n"/>
      <c r="V87" s="48" t="n"/>
      <c r="W87" s="47" t="n"/>
      <c r="X87" s="46" t="inlineStr">
        <is>
          <t>IF(W87&lt;&gt;"",W87,IF(OR(T87="",V87=""),"",EDATE(T87,V87)))</t>
        </is>
      </c>
      <c r="Y87" s="47" t="n"/>
      <c r="Z87" s="48" t="n"/>
      <c r="AA87" s="44" t="n"/>
      <c r="AB87" s="44" t="n"/>
      <c r="AC87" s="42" t="inlineStr">
        <is>
          <t>IF(F87="","",IF(COUNT(AI87:AV87)=0,IF(AA87="","Not started",AA87),SUBSTITUTE(LOOKUP(2,1/(AI87:AV87&lt;&gt;""),$AI$3:$AV$3),"Date: ","")))</t>
        </is>
      </c>
      <c r="AD87" s="49" t="inlineStr">
        <is>
          <t>IF(OR(F87="",COUNT(AI87:AV87)=0),"",TODAY()-LOOKUP(2,1/(AI87:AV87&lt;&gt;""),AI87:AV87))</t>
        </is>
      </c>
      <c r="AE87" s="49" t="inlineStr">
        <is>
          <t>IF(OR(F87="",COUNT(AI87:AV87)&lt;2),"",LOOKUP(2,1/(AI87:AV87&lt;&gt;""),AI87:AV87)-MIN(AI87:AV87))</t>
        </is>
      </c>
      <c r="AF87" s="49" t="inlineStr">
        <is>
          <t>IF(OR(AD87="",AC87="Not started",AC87=""),"",IFERROR(AD87-IF(VLOOKUP(AC87,'06_Status_Pipeline'!$B$3:$E$20,4,FALSE)="",0,VLOOKUP(AC87,'06_Status_Pipeline'!$B$3:$E$20,4,FALSE)),""))</t>
        </is>
      </c>
      <c r="AG87" s="42" t="inlineStr">
        <is>
          <t>IF(F87="","",IF(OR(AA87="Cancelled",AC87="Cancelled"),"Cancelled",IF(OR(AC87="Completed / Handover",Y87&lt;&gt;"",Z87&gt;=100),"Completed — on track",IF(O87="Not awarded",IF(U87="",IF(X87="","No planned date",IF(TODAY()&gt;X87,"Behind — past planned date",IF(X87-TODAY()&lt;=30,"At risk — close to off track","On track"))),IF(TODAY()&gt;U87,"Behind — award date passed",IF(U87-TODAY()&lt;=30,"At risk — close to off track","On track"))),IF(X87="","No planned date",IF(AND(TODAY()&gt;X87,OR(Z87="",Z87&lt;100)),"Behind — past end date",IF(AND(T87&lt;&gt;"",X87&lt;&gt;"",Z87&lt;&gt;"",(Z87&lt;100),((TODAY()-T87)/MAX(X87-T87,1)*100)-Z87&gt;15),"Behind — progress lag",IF(AND(X87-TODAY()&lt;=30,X87-TODAY()&gt;=0,OR(Z87="",Z87&lt;90)),"At risk — close to off track","On track"))))))))</t>
        </is>
      </c>
      <c r="AH87" s="49" t="inlineStr">
        <is>
          <t>IF(OR(F87="",AC87="Completed / Handover",AC87="Cancelled"),"",IF(O87="Not awarded",IF(U87&lt;&gt;"",U87-TODAY(),IF(X87="","",X87-TODAY())),IF(X87="","",X87-TODAY())))</t>
        </is>
      </c>
      <c r="AI87" s="47" t="n"/>
      <c r="AJ87" s="47" t="n"/>
      <c r="AK87" s="47" t="n"/>
      <c r="AL87" s="47" t="n"/>
      <c r="AM87" s="47" t="n"/>
      <c r="AN87" s="47" t="n"/>
      <c r="AO87" s="47" t="n"/>
      <c r="AP87" s="47" t="n"/>
      <c r="AQ87" s="47" t="n"/>
      <c r="AR87" s="47" t="n"/>
      <c r="AS87" s="47" t="n"/>
      <c r="AT87" s="50" t="n"/>
      <c r="AU87" s="50" t="n"/>
      <c r="AV87" s="50" t="n"/>
      <c r="AW87" s="49" t="inlineStr">
        <is>
          <t>IF(OR(F87="",AJ87=""),"",IF(COUNT(AI87:AI87)=0,"",AJ87-LOOKUP(2,1/(AI87:AI87&lt;&gt;""),AI87:AI87)))</t>
        </is>
      </c>
      <c r="AX87" s="49" t="inlineStr">
        <is>
          <t>IF(OR(F87="",AK87=""),"",IF(COUNT(AI87:AJ87)=0,"",AK87-LOOKUP(2,1/(AI87:AJ87&lt;&gt;""),AI87:AJ87)))</t>
        </is>
      </c>
      <c r="AY87" s="49" t="inlineStr">
        <is>
          <t>IF(OR(F87="",AL87=""),"",IF(COUNT(AI87:AK87)=0,"",AL87-LOOKUP(2,1/(AI87:AK87&lt;&gt;""),AI87:AK87)))</t>
        </is>
      </c>
      <c r="AZ87" s="49" t="inlineStr">
        <is>
          <t>IF(OR(F87="",AM87=""),"",IF(COUNT(AI87:AL87)=0,"",AM87-LOOKUP(2,1/(AI87:AL87&lt;&gt;""),AI87:AL87)))</t>
        </is>
      </c>
      <c r="BA87" s="49" t="inlineStr">
        <is>
          <t>IF(OR(F87="",AN87=""),"",IF(COUNT(AI87:AM87)=0,"",AN87-LOOKUP(2,1/(AI87:AM87&lt;&gt;""),AI87:AM87)))</t>
        </is>
      </c>
      <c r="BB87" s="49" t="inlineStr">
        <is>
          <t>IF(OR(F87="",AO87=""),"",IF(COUNT(AI87:AN87)=0,"",AO87-LOOKUP(2,1/(AI87:AN87&lt;&gt;""),AI87:AN87)))</t>
        </is>
      </c>
      <c r="BC87" s="49" t="inlineStr">
        <is>
          <t>IF(OR(F87="",AP87=""),"",IF(COUNT(AI87:AO87)=0,"",AP87-LOOKUP(2,1/(AI87:AO87&lt;&gt;""),AI87:AO87)))</t>
        </is>
      </c>
      <c r="BD87" s="49" t="inlineStr">
        <is>
          <t>IF(OR(F87="",AQ87=""),"",IF(COUNT(AI87:AP87)=0,"",AQ87-LOOKUP(2,1/(AI87:AP87&lt;&gt;""),AI87:AP87)))</t>
        </is>
      </c>
      <c r="BE87" s="49" t="inlineStr">
        <is>
          <t>IF(OR(F87="",AR87=""),"",IF(COUNT(AI87:AQ87)=0,"",AR87-LOOKUP(2,1/(AI87:AQ87&lt;&gt;""),AI87:AQ87)))</t>
        </is>
      </c>
      <c r="BF87" s="49" t="inlineStr">
        <is>
          <t>IF(OR(F87="",AS87=""),"",IF(COUNT(AI87:AR87)=0,"",AS87-LOOKUP(2,1/(AI87:AR87&lt;&gt;""),AI87:AR87)))</t>
        </is>
      </c>
      <c r="BG87" s="49" t="inlineStr">
        <is>
          <t>IF(OR(F87="",AT87=""),"",IF(COUNT(AI87:AS87)=0,"",AT87-LOOKUP(2,1/(AI87:AS87&lt;&gt;""),AI87:AS87)))</t>
        </is>
      </c>
      <c r="BH87" s="49" t="inlineStr">
        <is>
          <t>IF(OR(F87="",AU87=""),"",IF(COUNT(AI87:AT87)=0,"",AU87-LOOKUP(2,1/(AI87:AT87&lt;&gt;""),AI87:AT87)))</t>
        </is>
      </c>
      <c r="BI87" s="49" t="inlineStr">
        <is>
          <t>IF(OR(F87="",AV87=""),"",IF(COUNT(AI87:AU87)=0,"",AV87-LOOKUP(2,1/(AI87:AU87&lt;&gt;""),AI87:AU87)))</t>
        </is>
      </c>
      <c r="BJ87" s="51" t="inlineStr">
        <is>
          <t>IF(J87="","All_Provinces",IFERROR(VLOOKUP(J87,'09_Lookups'!$A$4:$B$20,2,FALSE),"All_Provinces"))</t>
        </is>
      </c>
      <c r="BK87" s="51" t="inlineStr">
        <is>
          <t>IF(K87="","All_Districts",IFERROR(VLOOKUP(K87,'09_Lookups'!$E$4:$F$42,2,FALSE),"All_Districts"))</t>
        </is>
      </c>
    </row>
    <row r="88" ht="18" customHeight="1">
      <c r="A88" s="42" t="inlineStr">
        <is>
          <t>IF(F88="","",ROW()-3)</t>
        </is>
      </c>
      <c r="B88" s="52" t="n"/>
      <c r="C88" s="52" t="n"/>
      <c r="D88" s="52" t="n"/>
      <c r="E88" s="52" t="n"/>
      <c r="F88" s="52" t="n"/>
      <c r="G88" s="52" t="n"/>
      <c r="H88" s="52" t="n"/>
      <c r="I88" s="52" t="n"/>
      <c r="J88" s="52" t="n"/>
      <c r="K88" s="52" t="n"/>
      <c r="L88" s="52" t="n"/>
      <c r="M88" s="52" t="n"/>
      <c r="N88" s="52" t="n"/>
      <c r="O88" s="52" t="n"/>
      <c r="P88" s="52" t="n"/>
      <c r="Q88" s="52" t="n"/>
      <c r="R88" s="52" t="n"/>
      <c r="S88" s="53" t="n"/>
      <c r="T88" s="46" t="inlineStr">
        <is>
          <t>IF(AQ88="","",AQ88)</t>
        </is>
      </c>
      <c r="U88" s="54" t="n"/>
      <c r="V88" s="55" t="n"/>
      <c r="W88" s="54" t="n"/>
      <c r="X88" s="46" t="inlineStr">
        <is>
          <t>IF(W88&lt;&gt;"",W88,IF(OR(T88="",V88=""),"",EDATE(T88,V88)))</t>
        </is>
      </c>
      <c r="Y88" s="54" t="n"/>
      <c r="Z88" s="55" t="n"/>
      <c r="AA88" s="52" t="n"/>
      <c r="AB88" s="52" t="n"/>
      <c r="AC88" s="42" t="inlineStr">
        <is>
          <t>IF(F88="","",IF(COUNT(AI88:AV88)=0,IF(AA88="","Not started",AA88),SUBSTITUTE(LOOKUP(2,1/(AI88:AV88&lt;&gt;""),$AI$3:$AV$3),"Date: ","")))</t>
        </is>
      </c>
      <c r="AD88" s="49" t="inlineStr">
        <is>
          <t>IF(OR(F88="",COUNT(AI88:AV88)=0),"",TODAY()-LOOKUP(2,1/(AI88:AV88&lt;&gt;""),AI88:AV88))</t>
        </is>
      </c>
      <c r="AE88" s="49" t="inlineStr">
        <is>
          <t>IF(OR(F88="",COUNT(AI88:AV88)&lt;2),"",LOOKUP(2,1/(AI88:AV88&lt;&gt;""),AI88:AV88)-MIN(AI88:AV88))</t>
        </is>
      </c>
      <c r="AF88" s="49" t="inlineStr">
        <is>
          <t>IF(OR(AD88="",AC88="Not started",AC88=""),"",IFERROR(AD88-IF(VLOOKUP(AC88,'06_Status_Pipeline'!$B$3:$E$20,4,FALSE)="",0,VLOOKUP(AC88,'06_Status_Pipeline'!$B$3:$E$20,4,FALSE)),""))</t>
        </is>
      </c>
      <c r="AG88" s="42" t="inlineStr">
        <is>
          <t>IF(F88="","",IF(OR(AA88="Cancelled",AC88="Cancelled"),"Cancelled",IF(OR(AC88="Completed / Handover",Y88&lt;&gt;"",Z88&gt;=100),"Completed — on track",IF(O88="Not awarded",IF(U88="",IF(X88="","No planned date",IF(TODAY()&gt;X88,"Behind — past planned date",IF(X88-TODAY()&lt;=30,"At risk — close to off track","On track"))),IF(TODAY()&gt;U88,"Behind — award date passed",IF(U88-TODAY()&lt;=30,"At risk — close to off track","On track"))),IF(X88="","No planned date",IF(AND(TODAY()&gt;X88,OR(Z88="",Z88&lt;100)),"Behind — past end date",IF(AND(T88&lt;&gt;"",X88&lt;&gt;"",Z88&lt;&gt;"",(Z88&lt;100),((TODAY()-T88)/MAX(X88-T88,1)*100)-Z88&gt;15),"Behind — progress lag",IF(AND(X88-TODAY()&lt;=30,X88-TODAY()&gt;=0,OR(Z88="",Z88&lt;90)),"At risk — close to off track","On track"))))))))</t>
        </is>
      </c>
      <c r="AH88" s="49" t="inlineStr">
        <is>
          <t>IF(OR(F88="",AC88="Completed / Handover",AC88="Cancelled"),"",IF(O88="Not awarded",IF(U88&lt;&gt;"",U88-TODAY(),IF(X88="","",X88-TODAY())),IF(X88="","",X88-TODAY())))</t>
        </is>
      </c>
      <c r="AI88" s="54" t="n"/>
      <c r="AJ88" s="54" t="n"/>
      <c r="AK88" s="54" t="n"/>
      <c r="AL88" s="54" t="n"/>
      <c r="AM88" s="54" t="n"/>
      <c r="AN88" s="54" t="n"/>
      <c r="AO88" s="54" t="n"/>
      <c r="AP88" s="54" t="n"/>
      <c r="AQ88" s="54" t="n"/>
      <c r="AR88" s="54" t="n"/>
      <c r="AS88" s="54" t="n"/>
      <c r="AT88" s="50" t="n"/>
      <c r="AU88" s="50" t="n"/>
      <c r="AV88" s="50" t="n"/>
      <c r="AW88" s="49" t="inlineStr">
        <is>
          <t>IF(OR(F88="",AJ88=""),"",IF(COUNT(AI88:AI88)=0,"",AJ88-LOOKUP(2,1/(AI88:AI88&lt;&gt;""),AI88:AI88)))</t>
        </is>
      </c>
      <c r="AX88" s="49" t="inlineStr">
        <is>
          <t>IF(OR(F88="",AK88=""),"",IF(COUNT(AI88:AJ88)=0,"",AK88-LOOKUP(2,1/(AI88:AJ88&lt;&gt;""),AI88:AJ88)))</t>
        </is>
      </c>
      <c r="AY88" s="49" t="inlineStr">
        <is>
          <t>IF(OR(F88="",AL88=""),"",IF(COUNT(AI88:AK88)=0,"",AL88-LOOKUP(2,1/(AI88:AK88&lt;&gt;""),AI88:AK88)))</t>
        </is>
      </c>
      <c r="AZ88" s="49" t="inlineStr">
        <is>
          <t>IF(OR(F88="",AM88=""),"",IF(COUNT(AI88:AL88)=0,"",AM88-LOOKUP(2,1/(AI88:AL88&lt;&gt;""),AI88:AL88)))</t>
        </is>
      </c>
      <c r="BA88" s="49" t="inlineStr">
        <is>
          <t>IF(OR(F88="",AN88=""),"",IF(COUNT(AI88:AM88)=0,"",AN88-LOOKUP(2,1/(AI88:AM88&lt;&gt;""),AI88:AM88)))</t>
        </is>
      </c>
      <c r="BB88" s="49" t="inlineStr">
        <is>
          <t>IF(OR(F88="",AO88=""),"",IF(COUNT(AI88:AN88)=0,"",AO88-LOOKUP(2,1/(AI88:AN88&lt;&gt;""),AI88:AN88)))</t>
        </is>
      </c>
      <c r="BC88" s="49" t="inlineStr">
        <is>
          <t>IF(OR(F88="",AP88=""),"",IF(COUNT(AI88:AO88)=0,"",AP88-LOOKUP(2,1/(AI88:AO88&lt;&gt;""),AI88:AO88)))</t>
        </is>
      </c>
      <c r="BD88" s="49" t="inlineStr">
        <is>
          <t>IF(OR(F88="",AQ88=""),"",IF(COUNT(AI88:AP88)=0,"",AQ88-LOOKUP(2,1/(AI88:AP88&lt;&gt;""),AI88:AP88)))</t>
        </is>
      </c>
      <c r="BE88" s="49" t="inlineStr">
        <is>
          <t>IF(OR(F88="",AR88=""),"",IF(COUNT(AI88:AQ88)=0,"",AR88-LOOKUP(2,1/(AI88:AQ88&lt;&gt;""),AI88:AQ88)))</t>
        </is>
      </c>
      <c r="BF88" s="49" t="inlineStr">
        <is>
          <t>IF(OR(F88="",AS88=""),"",IF(COUNT(AI88:AR88)=0,"",AS88-LOOKUP(2,1/(AI88:AR88&lt;&gt;""),AI88:AR88)))</t>
        </is>
      </c>
      <c r="BG88" s="49" t="inlineStr">
        <is>
          <t>IF(OR(F88="",AT88=""),"",IF(COUNT(AI88:AS88)=0,"",AT88-LOOKUP(2,1/(AI88:AS88&lt;&gt;""),AI88:AS88)))</t>
        </is>
      </c>
      <c r="BH88" s="49" t="inlineStr">
        <is>
          <t>IF(OR(F88="",AU88=""),"",IF(COUNT(AI88:AT88)=0,"",AU88-LOOKUP(2,1/(AI88:AT88&lt;&gt;""),AI88:AT88)))</t>
        </is>
      </c>
      <c r="BI88" s="49" t="inlineStr">
        <is>
          <t>IF(OR(F88="",AV88=""),"",IF(COUNT(AI88:AU88)=0,"",AV88-LOOKUP(2,1/(AI88:AU88&lt;&gt;""),AI88:AU88)))</t>
        </is>
      </c>
      <c r="BJ88" s="51" t="inlineStr">
        <is>
          <t>IF(J88="","All_Provinces",IFERROR(VLOOKUP(J88,'09_Lookups'!$A$4:$B$20,2,FALSE),"All_Provinces"))</t>
        </is>
      </c>
      <c r="BK88" s="51" t="inlineStr">
        <is>
          <t>IF(K88="","All_Districts",IFERROR(VLOOKUP(K88,'09_Lookups'!$E$4:$F$42,2,FALSE),"All_Districts"))</t>
        </is>
      </c>
    </row>
    <row r="89" ht="18" customHeight="1">
      <c r="A89" s="42" t="inlineStr">
        <is>
          <t>IF(F89="","",ROW()-3)</t>
        </is>
      </c>
      <c r="B89" s="44" t="n"/>
      <c r="C89" s="44" t="n"/>
      <c r="D89" s="44" t="n"/>
      <c r="E89" s="44" t="n"/>
      <c r="F89" s="44" t="n"/>
      <c r="G89" s="44" t="n"/>
      <c r="H89" s="44" t="n"/>
      <c r="I89" s="44" t="n"/>
      <c r="J89" s="44" t="n"/>
      <c r="K89" s="44" t="n"/>
      <c r="L89" s="44" t="n"/>
      <c r="M89" s="44" t="n"/>
      <c r="N89" s="44" t="n"/>
      <c r="O89" s="44" t="n"/>
      <c r="P89" s="44" t="n"/>
      <c r="Q89" s="44" t="n"/>
      <c r="R89" s="44" t="n"/>
      <c r="S89" s="45" t="n"/>
      <c r="T89" s="46" t="inlineStr">
        <is>
          <t>IF(AQ89="","",AQ89)</t>
        </is>
      </c>
      <c r="U89" s="47" t="n"/>
      <c r="V89" s="48" t="n"/>
      <c r="W89" s="47" t="n"/>
      <c r="X89" s="46" t="inlineStr">
        <is>
          <t>IF(W89&lt;&gt;"",W89,IF(OR(T89="",V89=""),"",EDATE(T89,V89)))</t>
        </is>
      </c>
      <c r="Y89" s="47" t="n"/>
      <c r="Z89" s="48" t="n"/>
      <c r="AA89" s="44" t="n"/>
      <c r="AB89" s="44" t="n"/>
      <c r="AC89" s="42" t="inlineStr">
        <is>
          <t>IF(F89="","",IF(COUNT(AI89:AV89)=0,IF(AA89="","Not started",AA89),SUBSTITUTE(LOOKUP(2,1/(AI89:AV89&lt;&gt;""),$AI$3:$AV$3),"Date: ","")))</t>
        </is>
      </c>
      <c r="AD89" s="49" t="inlineStr">
        <is>
          <t>IF(OR(F89="",COUNT(AI89:AV89)=0),"",TODAY()-LOOKUP(2,1/(AI89:AV89&lt;&gt;""),AI89:AV89))</t>
        </is>
      </c>
      <c r="AE89" s="49" t="inlineStr">
        <is>
          <t>IF(OR(F89="",COUNT(AI89:AV89)&lt;2),"",LOOKUP(2,1/(AI89:AV89&lt;&gt;""),AI89:AV89)-MIN(AI89:AV89))</t>
        </is>
      </c>
      <c r="AF89" s="49" t="inlineStr">
        <is>
          <t>IF(OR(AD89="",AC89="Not started",AC89=""),"",IFERROR(AD89-IF(VLOOKUP(AC89,'06_Status_Pipeline'!$B$3:$E$20,4,FALSE)="",0,VLOOKUP(AC89,'06_Status_Pipeline'!$B$3:$E$20,4,FALSE)),""))</t>
        </is>
      </c>
      <c r="AG89" s="42" t="inlineStr">
        <is>
          <t>IF(F89="","",IF(OR(AA89="Cancelled",AC89="Cancelled"),"Cancelled",IF(OR(AC89="Completed / Handover",Y89&lt;&gt;"",Z89&gt;=100),"Completed — on track",IF(O89="Not awarded",IF(U89="",IF(X89="","No planned date",IF(TODAY()&gt;X89,"Behind — past planned date",IF(X89-TODAY()&lt;=30,"At risk — close to off track","On track"))),IF(TODAY()&gt;U89,"Behind — award date passed",IF(U89-TODAY()&lt;=30,"At risk — close to off track","On track"))),IF(X89="","No planned date",IF(AND(TODAY()&gt;X89,OR(Z89="",Z89&lt;100)),"Behind — past end date",IF(AND(T89&lt;&gt;"",X89&lt;&gt;"",Z89&lt;&gt;"",(Z89&lt;100),((TODAY()-T89)/MAX(X89-T89,1)*100)-Z89&gt;15),"Behind — progress lag",IF(AND(X89-TODAY()&lt;=30,X89-TODAY()&gt;=0,OR(Z89="",Z89&lt;90)),"At risk — close to off track","On track"))))))))</t>
        </is>
      </c>
      <c r="AH89" s="49" t="inlineStr">
        <is>
          <t>IF(OR(F89="",AC89="Completed / Handover",AC89="Cancelled"),"",IF(O89="Not awarded",IF(U89&lt;&gt;"",U89-TODAY(),IF(X89="","",X89-TODAY())),IF(X89="","",X89-TODAY())))</t>
        </is>
      </c>
      <c r="AI89" s="47" t="n"/>
      <c r="AJ89" s="47" t="n"/>
      <c r="AK89" s="47" t="n"/>
      <c r="AL89" s="47" t="n"/>
      <c r="AM89" s="47" t="n"/>
      <c r="AN89" s="47" t="n"/>
      <c r="AO89" s="47" t="n"/>
      <c r="AP89" s="47" t="n"/>
      <c r="AQ89" s="47" t="n"/>
      <c r="AR89" s="47" t="n"/>
      <c r="AS89" s="47" t="n"/>
      <c r="AT89" s="50" t="n"/>
      <c r="AU89" s="50" t="n"/>
      <c r="AV89" s="50" t="n"/>
      <c r="AW89" s="49" t="inlineStr">
        <is>
          <t>IF(OR(F89="",AJ89=""),"",IF(COUNT(AI89:AI89)=0,"",AJ89-LOOKUP(2,1/(AI89:AI89&lt;&gt;""),AI89:AI89)))</t>
        </is>
      </c>
      <c r="AX89" s="49" t="inlineStr">
        <is>
          <t>IF(OR(F89="",AK89=""),"",IF(COUNT(AI89:AJ89)=0,"",AK89-LOOKUP(2,1/(AI89:AJ89&lt;&gt;""),AI89:AJ89)))</t>
        </is>
      </c>
      <c r="AY89" s="49" t="inlineStr">
        <is>
          <t>IF(OR(F89="",AL89=""),"",IF(COUNT(AI89:AK89)=0,"",AL89-LOOKUP(2,1/(AI89:AK89&lt;&gt;""),AI89:AK89)))</t>
        </is>
      </c>
      <c r="AZ89" s="49" t="inlineStr">
        <is>
          <t>IF(OR(F89="",AM89=""),"",IF(COUNT(AI89:AL89)=0,"",AM89-LOOKUP(2,1/(AI89:AL89&lt;&gt;""),AI89:AL89)))</t>
        </is>
      </c>
      <c r="BA89" s="49" t="inlineStr">
        <is>
          <t>IF(OR(F89="",AN89=""),"",IF(COUNT(AI89:AM89)=0,"",AN89-LOOKUP(2,1/(AI89:AM89&lt;&gt;""),AI89:AM89)))</t>
        </is>
      </c>
      <c r="BB89" s="49" t="inlineStr">
        <is>
          <t>IF(OR(F89="",AO89=""),"",IF(COUNT(AI89:AN89)=0,"",AO89-LOOKUP(2,1/(AI89:AN89&lt;&gt;""),AI89:AN89)))</t>
        </is>
      </c>
      <c r="BC89" s="49" t="inlineStr">
        <is>
          <t>IF(OR(F89="",AP89=""),"",IF(COUNT(AI89:AO89)=0,"",AP89-LOOKUP(2,1/(AI89:AO89&lt;&gt;""),AI89:AO89)))</t>
        </is>
      </c>
      <c r="BD89" s="49" t="inlineStr">
        <is>
          <t>IF(OR(F89="",AQ89=""),"",IF(COUNT(AI89:AP89)=0,"",AQ89-LOOKUP(2,1/(AI89:AP89&lt;&gt;""),AI89:AP89)))</t>
        </is>
      </c>
      <c r="BE89" s="49" t="inlineStr">
        <is>
          <t>IF(OR(F89="",AR89=""),"",IF(COUNT(AI89:AQ89)=0,"",AR89-LOOKUP(2,1/(AI89:AQ89&lt;&gt;""),AI89:AQ89)))</t>
        </is>
      </c>
      <c r="BF89" s="49" t="inlineStr">
        <is>
          <t>IF(OR(F89="",AS89=""),"",IF(COUNT(AI89:AR89)=0,"",AS89-LOOKUP(2,1/(AI89:AR89&lt;&gt;""),AI89:AR89)))</t>
        </is>
      </c>
      <c r="BG89" s="49" t="inlineStr">
        <is>
          <t>IF(OR(F89="",AT89=""),"",IF(COUNT(AI89:AS89)=0,"",AT89-LOOKUP(2,1/(AI89:AS89&lt;&gt;""),AI89:AS89)))</t>
        </is>
      </c>
      <c r="BH89" s="49" t="inlineStr">
        <is>
          <t>IF(OR(F89="",AU89=""),"",IF(COUNT(AI89:AT89)=0,"",AU89-LOOKUP(2,1/(AI89:AT89&lt;&gt;""),AI89:AT89)))</t>
        </is>
      </c>
      <c r="BI89" s="49" t="inlineStr">
        <is>
          <t>IF(OR(F89="",AV89=""),"",IF(COUNT(AI89:AU89)=0,"",AV89-LOOKUP(2,1/(AI89:AU89&lt;&gt;""),AI89:AU89)))</t>
        </is>
      </c>
      <c r="BJ89" s="51" t="inlineStr">
        <is>
          <t>IF(J89="","All_Provinces",IFERROR(VLOOKUP(J89,'09_Lookups'!$A$4:$B$20,2,FALSE),"All_Provinces"))</t>
        </is>
      </c>
      <c r="BK89" s="51" t="inlineStr">
        <is>
          <t>IF(K89="","All_Districts",IFERROR(VLOOKUP(K89,'09_Lookups'!$E$4:$F$42,2,FALSE),"All_Districts"))</t>
        </is>
      </c>
    </row>
    <row r="90" ht="18" customHeight="1">
      <c r="A90" s="42" t="inlineStr">
        <is>
          <t>IF(F90="","",ROW()-3)</t>
        </is>
      </c>
      <c r="B90" s="52" t="n"/>
      <c r="C90" s="52" t="n"/>
      <c r="D90" s="52" t="n"/>
      <c r="E90" s="52" t="n"/>
      <c r="F90" s="52" t="n"/>
      <c r="G90" s="52" t="n"/>
      <c r="H90" s="52" t="n"/>
      <c r="I90" s="52" t="n"/>
      <c r="J90" s="52" t="n"/>
      <c r="K90" s="52" t="n"/>
      <c r="L90" s="52" t="n"/>
      <c r="M90" s="52" t="n"/>
      <c r="N90" s="52" t="n"/>
      <c r="O90" s="52" t="n"/>
      <c r="P90" s="52" t="n"/>
      <c r="Q90" s="52" t="n"/>
      <c r="R90" s="52" t="n"/>
      <c r="S90" s="53" t="n"/>
      <c r="T90" s="46" t="inlineStr">
        <is>
          <t>IF(AQ90="","",AQ90)</t>
        </is>
      </c>
      <c r="U90" s="54" t="n"/>
      <c r="V90" s="55" t="n"/>
      <c r="W90" s="54" t="n"/>
      <c r="X90" s="46" t="inlineStr">
        <is>
          <t>IF(W90&lt;&gt;"",W90,IF(OR(T90="",V90=""),"",EDATE(T90,V90)))</t>
        </is>
      </c>
      <c r="Y90" s="54" t="n"/>
      <c r="Z90" s="55" t="n"/>
      <c r="AA90" s="52" t="n"/>
      <c r="AB90" s="52" t="n"/>
      <c r="AC90" s="42" t="inlineStr">
        <is>
          <t>IF(F90="","",IF(COUNT(AI90:AV90)=0,IF(AA90="","Not started",AA90),SUBSTITUTE(LOOKUP(2,1/(AI90:AV90&lt;&gt;""),$AI$3:$AV$3),"Date: ","")))</t>
        </is>
      </c>
      <c r="AD90" s="49" t="inlineStr">
        <is>
          <t>IF(OR(F90="",COUNT(AI90:AV90)=0),"",TODAY()-LOOKUP(2,1/(AI90:AV90&lt;&gt;""),AI90:AV90))</t>
        </is>
      </c>
      <c r="AE90" s="49" t="inlineStr">
        <is>
          <t>IF(OR(F90="",COUNT(AI90:AV90)&lt;2),"",LOOKUP(2,1/(AI90:AV90&lt;&gt;""),AI90:AV90)-MIN(AI90:AV90))</t>
        </is>
      </c>
      <c r="AF90" s="49" t="inlineStr">
        <is>
          <t>IF(OR(AD90="",AC90="Not started",AC90=""),"",IFERROR(AD90-IF(VLOOKUP(AC90,'06_Status_Pipeline'!$B$3:$E$20,4,FALSE)="",0,VLOOKUP(AC90,'06_Status_Pipeline'!$B$3:$E$20,4,FALSE)),""))</t>
        </is>
      </c>
      <c r="AG90" s="42" t="inlineStr">
        <is>
          <t>IF(F90="","",IF(OR(AA90="Cancelled",AC90="Cancelled"),"Cancelled",IF(OR(AC90="Completed / Handover",Y90&lt;&gt;"",Z90&gt;=100),"Completed — on track",IF(O90="Not awarded",IF(U90="",IF(X90="","No planned date",IF(TODAY()&gt;X90,"Behind — past planned date",IF(X90-TODAY()&lt;=30,"At risk — close to off track","On track"))),IF(TODAY()&gt;U90,"Behind — award date passed",IF(U90-TODAY()&lt;=30,"At risk — close to off track","On track"))),IF(X90="","No planned date",IF(AND(TODAY()&gt;X90,OR(Z90="",Z90&lt;100)),"Behind — past end date",IF(AND(T90&lt;&gt;"",X90&lt;&gt;"",Z90&lt;&gt;"",(Z90&lt;100),((TODAY()-T90)/MAX(X90-T90,1)*100)-Z90&gt;15),"Behind — progress lag",IF(AND(X90-TODAY()&lt;=30,X90-TODAY()&gt;=0,OR(Z90="",Z90&lt;90)),"At risk — close to off track","On track"))))))))</t>
        </is>
      </c>
      <c r="AH90" s="49" t="inlineStr">
        <is>
          <t>IF(OR(F90="",AC90="Completed / Handover",AC90="Cancelled"),"",IF(O90="Not awarded",IF(U90&lt;&gt;"",U90-TODAY(),IF(X90="","",X90-TODAY())),IF(X90="","",X90-TODAY())))</t>
        </is>
      </c>
      <c r="AI90" s="54" t="n"/>
      <c r="AJ90" s="54" t="n"/>
      <c r="AK90" s="54" t="n"/>
      <c r="AL90" s="54" t="n"/>
      <c r="AM90" s="54" t="n"/>
      <c r="AN90" s="54" t="n"/>
      <c r="AO90" s="54" t="n"/>
      <c r="AP90" s="54" t="n"/>
      <c r="AQ90" s="54" t="n"/>
      <c r="AR90" s="54" t="n"/>
      <c r="AS90" s="54" t="n"/>
      <c r="AT90" s="50" t="n"/>
      <c r="AU90" s="50" t="n"/>
      <c r="AV90" s="50" t="n"/>
      <c r="AW90" s="49" t="inlineStr">
        <is>
          <t>IF(OR(F90="",AJ90=""),"",IF(COUNT(AI90:AI90)=0,"",AJ90-LOOKUP(2,1/(AI90:AI90&lt;&gt;""),AI90:AI90)))</t>
        </is>
      </c>
      <c r="AX90" s="49" t="inlineStr">
        <is>
          <t>IF(OR(F90="",AK90=""),"",IF(COUNT(AI90:AJ90)=0,"",AK90-LOOKUP(2,1/(AI90:AJ90&lt;&gt;""),AI90:AJ90)))</t>
        </is>
      </c>
      <c r="AY90" s="49" t="inlineStr">
        <is>
          <t>IF(OR(F90="",AL90=""),"",IF(COUNT(AI90:AK90)=0,"",AL90-LOOKUP(2,1/(AI90:AK90&lt;&gt;""),AI90:AK90)))</t>
        </is>
      </c>
      <c r="AZ90" s="49" t="inlineStr">
        <is>
          <t>IF(OR(F90="",AM90=""),"",IF(COUNT(AI90:AL90)=0,"",AM90-LOOKUP(2,1/(AI90:AL90&lt;&gt;""),AI90:AL90)))</t>
        </is>
      </c>
      <c r="BA90" s="49" t="inlineStr">
        <is>
          <t>IF(OR(F90="",AN90=""),"",IF(COUNT(AI90:AM90)=0,"",AN90-LOOKUP(2,1/(AI90:AM90&lt;&gt;""),AI90:AM90)))</t>
        </is>
      </c>
      <c r="BB90" s="49" t="inlineStr">
        <is>
          <t>IF(OR(F90="",AO90=""),"",IF(COUNT(AI90:AN90)=0,"",AO90-LOOKUP(2,1/(AI90:AN90&lt;&gt;""),AI90:AN90)))</t>
        </is>
      </c>
      <c r="BC90" s="49" t="inlineStr">
        <is>
          <t>IF(OR(F90="",AP90=""),"",IF(COUNT(AI90:AO90)=0,"",AP90-LOOKUP(2,1/(AI90:AO90&lt;&gt;""),AI90:AO90)))</t>
        </is>
      </c>
      <c r="BD90" s="49" t="inlineStr">
        <is>
          <t>IF(OR(F90="",AQ90=""),"",IF(COUNT(AI90:AP90)=0,"",AQ90-LOOKUP(2,1/(AI90:AP90&lt;&gt;""),AI90:AP90)))</t>
        </is>
      </c>
      <c r="BE90" s="49" t="inlineStr">
        <is>
          <t>IF(OR(F90="",AR90=""),"",IF(COUNT(AI90:AQ90)=0,"",AR90-LOOKUP(2,1/(AI90:AQ90&lt;&gt;""),AI90:AQ90)))</t>
        </is>
      </c>
      <c r="BF90" s="49" t="inlineStr">
        <is>
          <t>IF(OR(F90="",AS90=""),"",IF(COUNT(AI90:AR90)=0,"",AS90-LOOKUP(2,1/(AI90:AR90&lt;&gt;""),AI90:AR90)))</t>
        </is>
      </c>
      <c r="BG90" s="49" t="inlineStr">
        <is>
          <t>IF(OR(F90="",AT90=""),"",IF(COUNT(AI90:AS90)=0,"",AT90-LOOKUP(2,1/(AI90:AS90&lt;&gt;""),AI90:AS90)))</t>
        </is>
      </c>
      <c r="BH90" s="49" t="inlineStr">
        <is>
          <t>IF(OR(F90="",AU90=""),"",IF(COUNT(AI90:AT90)=0,"",AU90-LOOKUP(2,1/(AI90:AT90&lt;&gt;""),AI90:AT90)))</t>
        </is>
      </c>
      <c r="BI90" s="49" t="inlineStr">
        <is>
          <t>IF(OR(F90="",AV90=""),"",IF(COUNT(AI90:AU90)=0,"",AV90-LOOKUP(2,1/(AI90:AU90&lt;&gt;""),AI90:AU90)))</t>
        </is>
      </c>
      <c r="BJ90" s="51" t="inlineStr">
        <is>
          <t>IF(J90="","All_Provinces",IFERROR(VLOOKUP(J90,'09_Lookups'!$A$4:$B$20,2,FALSE),"All_Provinces"))</t>
        </is>
      </c>
      <c r="BK90" s="51" t="inlineStr">
        <is>
          <t>IF(K90="","All_Districts",IFERROR(VLOOKUP(K90,'09_Lookups'!$E$4:$F$42,2,FALSE),"All_Districts"))</t>
        </is>
      </c>
    </row>
    <row r="91" ht="18" customHeight="1">
      <c r="A91" s="42" t="inlineStr">
        <is>
          <t>IF(F91="","",ROW()-3)</t>
        </is>
      </c>
      <c r="B91" s="44" t="n"/>
      <c r="C91" s="44" t="n"/>
      <c r="D91" s="44" t="n"/>
      <c r="E91" s="44" t="n"/>
      <c r="F91" s="44" t="n"/>
      <c r="G91" s="44" t="n"/>
      <c r="H91" s="44" t="n"/>
      <c r="I91" s="44" t="n"/>
      <c r="J91" s="44" t="n"/>
      <c r="K91" s="44" t="n"/>
      <c r="L91" s="44" t="n"/>
      <c r="M91" s="44" t="n"/>
      <c r="N91" s="44" t="n"/>
      <c r="O91" s="44" t="n"/>
      <c r="P91" s="44" t="n"/>
      <c r="Q91" s="44" t="n"/>
      <c r="R91" s="44" t="n"/>
      <c r="S91" s="45" t="n"/>
      <c r="T91" s="46" t="inlineStr">
        <is>
          <t>IF(AQ91="","",AQ91)</t>
        </is>
      </c>
      <c r="U91" s="47" t="n"/>
      <c r="V91" s="48" t="n"/>
      <c r="W91" s="47" t="n"/>
      <c r="X91" s="46" t="inlineStr">
        <is>
          <t>IF(W91&lt;&gt;"",W91,IF(OR(T91="",V91=""),"",EDATE(T91,V91)))</t>
        </is>
      </c>
      <c r="Y91" s="47" t="n"/>
      <c r="Z91" s="48" t="n"/>
      <c r="AA91" s="44" t="n"/>
      <c r="AB91" s="44" t="n"/>
      <c r="AC91" s="42" t="inlineStr">
        <is>
          <t>IF(F91="","",IF(COUNT(AI91:AV91)=0,IF(AA91="","Not started",AA91),SUBSTITUTE(LOOKUP(2,1/(AI91:AV91&lt;&gt;""),$AI$3:$AV$3),"Date: ","")))</t>
        </is>
      </c>
      <c r="AD91" s="49" t="inlineStr">
        <is>
          <t>IF(OR(F91="",COUNT(AI91:AV91)=0),"",TODAY()-LOOKUP(2,1/(AI91:AV91&lt;&gt;""),AI91:AV91))</t>
        </is>
      </c>
      <c r="AE91" s="49" t="inlineStr">
        <is>
          <t>IF(OR(F91="",COUNT(AI91:AV91)&lt;2),"",LOOKUP(2,1/(AI91:AV91&lt;&gt;""),AI91:AV91)-MIN(AI91:AV91))</t>
        </is>
      </c>
      <c r="AF91" s="49" t="inlineStr">
        <is>
          <t>IF(OR(AD91="",AC91="Not started",AC91=""),"",IFERROR(AD91-IF(VLOOKUP(AC91,'06_Status_Pipeline'!$B$3:$E$20,4,FALSE)="",0,VLOOKUP(AC91,'06_Status_Pipeline'!$B$3:$E$20,4,FALSE)),""))</t>
        </is>
      </c>
      <c r="AG91" s="42" t="inlineStr">
        <is>
          <t>IF(F91="","",IF(OR(AA91="Cancelled",AC91="Cancelled"),"Cancelled",IF(OR(AC91="Completed / Handover",Y91&lt;&gt;"",Z91&gt;=100),"Completed — on track",IF(O91="Not awarded",IF(U91="",IF(X91="","No planned date",IF(TODAY()&gt;X91,"Behind — past planned date",IF(X91-TODAY()&lt;=30,"At risk — close to off track","On track"))),IF(TODAY()&gt;U91,"Behind — award date passed",IF(U91-TODAY()&lt;=30,"At risk — close to off track","On track"))),IF(X91="","No planned date",IF(AND(TODAY()&gt;X91,OR(Z91="",Z91&lt;100)),"Behind — past end date",IF(AND(T91&lt;&gt;"",X91&lt;&gt;"",Z91&lt;&gt;"",(Z91&lt;100),((TODAY()-T91)/MAX(X91-T91,1)*100)-Z91&gt;15),"Behind — progress lag",IF(AND(X91-TODAY()&lt;=30,X91-TODAY()&gt;=0,OR(Z91="",Z91&lt;90)),"At risk — close to off track","On track"))))))))</t>
        </is>
      </c>
      <c r="AH91" s="49" t="inlineStr">
        <is>
          <t>IF(OR(F91="",AC91="Completed / Handover",AC91="Cancelled"),"",IF(O91="Not awarded",IF(U91&lt;&gt;"",U91-TODAY(),IF(X91="","",X91-TODAY())),IF(X91="","",X91-TODAY())))</t>
        </is>
      </c>
      <c r="AI91" s="47" t="n"/>
      <c r="AJ91" s="47" t="n"/>
      <c r="AK91" s="47" t="n"/>
      <c r="AL91" s="47" t="n"/>
      <c r="AM91" s="47" t="n"/>
      <c r="AN91" s="47" t="n"/>
      <c r="AO91" s="47" t="n"/>
      <c r="AP91" s="47" t="n"/>
      <c r="AQ91" s="47" t="n"/>
      <c r="AR91" s="47" t="n"/>
      <c r="AS91" s="47" t="n"/>
      <c r="AT91" s="50" t="n"/>
      <c r="AU91" s="50" t="n"/>
      <c r="AV91" s="50" t="n"/>
      <c r="AW91" s="49" t="inlineStr">
        <is>
          <t>IF(OR(F91="",AJ91=""),"",IF(COUNT(AI91:AI91)=0,"",AJ91-LOOKUP(2,1/(AI91:AI91&lt;&gt;""),AI91:AI91)))</t>
        </is>
      </c>
      <c r="AX91" s="49" t="inlineStr">
        <is>
          <t>IF(OR(F91="",AK91=""),"",IF(COUNT(AI91:AJ91)=0,"",AK91-LOOKUP(2,1/(AI91:AJ91&lt;&gt;""),AI91:AJ91)))</t>
        </is>
      </c>
      <c r="AY91" s="49" t="inlineStr">
        <is>
          <t>IF(OR(F91="",AL91=""),"",IF(COUNT(AI91:AK91)=0,"",AL91-LOOKUP(2,1/(AI91:AK91&lt;&gt;""),AI91:AK91)))</t>
        </is>
      </c>
      <c r="AZ91" s="49" t="inlineStr">
        <is>
          <t>IF(OR(F91="",AM91=""),"",IF(COUNT(AI91:AL91)=0,"",AM91-LOOKUP(2,1/(AI91:AL91&lt;&gt;""),AI91:AL91)))</t>
        </is>
      </c>
      <c r="BA91" s="49" t="inlineStr">
        <is>
          <t>IF(OR(F91="",AN91=""),"",IF(COUNT(AI91:AM91)=0,"",AN91-LOOKUP(2,1/(AI91:AM91&lt;&gt;""),AI91:AM91)))</t>
        </is>
      </c>
      <c r="BB91" s="49" t="inlineStr">
        <is>
          <t>IF(OR(F91="",AO91=""),"",IF(COUNT(AI91:AN91)=0,"",AO91-LOOKUP(2,1/(AI91:AN91&lt;&gt;""),AI91:AN91)))</t>
        </is>
      </c>
      <c r="BC91" s="49" t="inlineStr">
        <is>
          <t>IF(OR(F91="",AP91=""),"",IF(COUNT(AI91:AO91)=0,"",AP91-LOOKUP(2,1/(AI91:AO91&lt;&gt;""),AI91:AO91)))</t>
        </is>
      </c>
      <c r="BD91" s="49" t="inlineStr">
        <is>
          <t>IF(OR(F91="",AQ91=""),"",IF(COUNT(AI91:AP91)=0,"",AQ91-LOOKUP(2,1/(AI91:AP91&lt;&gt;""),AI91:AP91)))</t>
        </is>
      </c>
      <c r="BE91" s="49" t="inlineStr">
        <is>
          <t>IF(OR(F91="",AR91=""),"",IF(COUNT(AI91:AQ91)=0,"",AR91-LOOKUP(2,1/(AI91:AQ91&lt;&gt;""),AI91:AQ91)))</t>
        </is>
      </c>
      <c r="BF91" s="49" t="inlineStr">
        <is>
          <t>IF(OR(F91="",AS91=""),"",IF(COUNT(AI91:AR91)=0,"",AS91-LOOKUP(2,1/(AI91:AR91&lt;&gt;""),AI91:AR91)))</t>
        </is>
      </c>
      <c r="BG91" s="49" t="inlineStr">
        <is>
          <t>IF(OR(F91="",AT91=""),"",IF(COUNT(AI91:AS91)=0,"",AT91-LOOKUP(2,1/(AI91:AS91&lt;&gt;""),AI91:AS91)))</t>
        </is>
      </c>
      <c r="BH91" s="49" t="inlineStr">
        <is>
          <t>IF(OR(F91="",AU91=""),"",IF(COUNT(AI91:AT91)=0,"",AU91-LOOKUP(2,1/(AI91:AT91&lt;&gt;""),AI91:AT91)))</t>
        </is>
      </c>
      <c r="BI91" s="49" t="inlineStr">
        <is>
          <t>IF(OR(F91="",AV91=""),"",IF(COUNT(AI91:AU91)=0,"",AV91-LOOKUP(2,1/(AI91:AU91&lt;&gt;""),AI91:AU91)))</t>
        </is>
      </c>
      <c r="BJ91" s="51" t="inlineStr">
        <is>
          <t>IF(J91="","All_Provinces",IFERROR(VLOOKUP(J91,'09_Lookups'!$A$4:$B$20,2,FALSE),"All_Provinces"))</t>
        </is>
      </c>
      <c r="BK91" s="51" t="inlineStr">
        <is>
          <t>IF(K91="","All_Districts",IFERROR(VLOOKUP(K91,'09_Lookups'!$E$4:$F$42,2,FALSE),"All_Districts"))</t>
        </is>
      </c>
    </row>
    <row r="92" ht="18" customHeight="1">
      <c r="A92" s="42" t="inlineStr">
        <is>
          <t>IF(F92="","",ROW()-3)</t>
        </is>
      </c>
      <c r="B92" s="52" t="n"/>
      <c r="C92" s="52" t="n"/>
      <c r="D92" s="52" t="n"/>
      <c r="E92" s="52" t="n"/>
      <c r="F92" s="52" t="n"/>
      <c r="G92" s="52" t="n"/>
      <c r="H92" s="52" t="n"/>
      <c r="I92" s="52" t="n"/>
      <c r="J92" s="52" t="n"/>
      <c r="K92" s="52" t="n"/>
      <c r="L92" s="52" t="n"/>
      <c r="M92" s="52" t="n"/>
      <c r="N92" s="52" t="n"/>
      <c r="O92" s="52" t="n"/>
      <c r="P92" s="52" t="n"/>
      <c r="Q92" s="52" t="n"/>
      <c r="R92" s="52" t="n"/>
      <c r="S92" s="53" t="n"/>
      <c r="T92" s="46" t="inlineStr">
        <is>
          <t>IF(AQ92="","",AQ92)</t>
        </is>
      </c>
      <c r="U92" s="54" t="n"/>
      <c r="V92" s="55" t="n"/>
      <c r="W92" s="54" t="n"/>
      <c r="X92" s="46" t="inlineStr">
        <is>
          <t>IF(W92&lt;&gt;"",W92,IF(OR(T92="",V92=""),"",EDATE(T92,V92)))</t>
        </is>
      </c>
      <c r="Y92" s="54" t="n"/>
      <c r="Z92" s="55" t="n"/>
      <c r="AA92" s="52" t="n"/>
      <c r="AB92" s="52" t="n"/>
      <c r="AC92" s="42" t="inlineStr">
        <is>
          <t>IF(F92="","",IF(COUNT(AI92:AV92)=0,IF(AA92="","Not started",AA92),SUBSTITUTE(LOOKUP(2,1/(AI92:AV92&lt;&gt;""),$AI$3:$AV$3),"Date: ","")))</t>
        </is>
      </c>
      <c r="AD92" s="49" t="inlineStr">
        <is>
          <t>IF(OR(F92="",COUNT(AI92:AV92)=0),"",TODAY()-LOOKUP(2,1/(AI92:AV92&lt;&gt;""),AI92:AV92))</t>
        </is>
      </c>
      <c r="AE92" s="49" t="inlineStr">
        <is>
          <t>IF(OR(F92="",COUNT(AI92:AV92)&lt;2),"",LOOKUP(2,1/(AI92:AV92&lt;&gt;""),AI92:AV92)-MIN(AI92:AV92))</t>
        </is>
      </c>
      <c r="AF92" s="49" t="inlineStr">
        <is>
          <t>IF(OR(AD92="",AC92="Not started",AC92=""),"",IFERROR(AD92-IF(VLOOKUP(AC92,'06_Status_Pipeline'!$B$3:$E$20,4,FALSE)="",0,VLOOKUP(AC92,'06_Status_Pipeline'!$B$3:$E$20,4,FALSE)),""))</t>
        </is>
      </c>
      <c r="AG92" s="42" t="inlineStr">
        <is>
          <t>IF(F92="","",IF(OR(AA92="Cancelled",AC92="Cancelled"),"Cancelled",IF(OR(AC92="Completed / Handover",Y92&lt;&gt;"",Z92&gt;=100),"Completed — on track",IF(O92="Not awarded",IF(U92="",IF(X92="","No planned date",IF(TODAY()&gt;X92,"Behind — past planned date",IF(X92-TODAY()&lt;=30,"At risk — close to off track","On track"))),IF(TODAY()&gt;U92,"Behind — award date passed",IF(U92-TODAY()&lt;=30,"At risk — close to off track","On track"))),IF(X92="","No planned date",IF(AND(TODAY()&gt;X92,OR(Z92="",Z92&lt;100)),"Behind — past end date",IF(AND(T92&lt;&gt;"",X92&lt;&gt;"",Z92&lt;&gt;"",(Z92&lt;100),((TODAY()-T92)/MAX(X92-T92,1)*100)-Z92&gt;15),"Behind — progress lag",IF(AND(X92-TODAY()&lt;=30,X92-TODAY()&gt;=0,OR(Z92="",Z92&lt;90)),"At risk — close to off track","On track"))))))))</t>
        </is>
      </c>
      <c r="AH92" s="49" t="inlineStr">
        <is>
          <t>IF(OR(F92="",AC92="Completed / Handover",AC92="Cancelled"),"",IF(O92="Not awarded",IF(U92&lt;&gt;"",U92-TODAY(),IF(X92="","",X92-TODAY())),IF(X92="","",X92-TODAY())))</t>
        </is>
      </c>
      <c r="AI92" s="54" t="n"/>
      <c r="AJ92" s="54" t="n"/>
      <c r="AK92" s="54" t="n"/>
      <c r="AL92" s="54" t="n"/>
      <c r="AM92" s="54" t="n"/>
      <c r="AN92" s="54" t="n"/>
      <c r="AO92" s="54" t="n"/>
      <c r="AP92" s="54" t="n"/>
      <c r="AQ92" s="54" t="n"/>
      <c r="AR92" s="54" t="n"/>
      <c r="AS92" s="54" t="n"/>
      <c r="AT92" s="50" t="n"/>
      <c r="AU92" s="50" t="n"/>
      <c r="AV92" s="50" t="n"/>
      <c r="AW92" s="49" t="inlineStr">
        <is>
          <t>IF(OR(F92="",AJ92=""),"",IF(COUNT(AI92:AI92)=0,"",AJ92-LOOKUP(2,1/(AI92:AI92&lt;&gt;""),AI92:AI92)))</t>
        </is>
      </c>
      <c r="AX92" s="49" t="inlineStr">
        <is>
          <t>IF(OR(F92="",AK92=""),"",IF(COUNT(AI92:AJ92)=0,"",AK92-LOOKUP(2,1/(AI92:AJ92&lt;&gt;""),AI92:AJ92)))</t>
        </is>
      </c>
      <c r="AY92" s="49" t="inlineStr">
        <is>
          <t>IF(OR(F92="",AL92=""),"",IF(COUNT(AI92:AK92)=0,"",AL92-LOOKUP(2,1/(AI92:AK92&lt;&gt;""),AI92:AK92)))</t>
        </is>
      </c>
      <c r="AZ92" s="49" t="inlineStr">
        <is>
          <t>IF(OR(F92="",AM92=""),"",IF(COUNT(AI92:AL92)=0,"",AM92-LOOKUP(2,1/(AI92:AL92&lt;&gt;""),AI92:AL92)))</t>
        </is>
      </c>
      <c r="BA92" s="49" t="inlineStr">
        <is>
          <t>IF(OR(F92="",AN92=""),"",IF(COUNT(AI92:AM92)=0,"",AN92-LOOKUP(2,1/(AI92:AM92&lt;&gt;""),AI92:AM92)))</t>
        </is>
      </c>
      <c r="BB92" s="49" t="inlineStr">
        <is>
          <t>IF(OR(F92="",AO92=""),"",IF(COUNT(AI92:AN92)=0,"",AO92-LOOKUP(2,1/(AI92:AN92&lt;&gt;""),AI92:AN92)))</t>
        </is>
      </c>
      <c r="BC92" s="49" t="inlineStr">
        <is>
          <t>IF(OR(F92="",AP92=""),"",IF(COUNT(AI92:AO92)=0,"",AP92-LOOKUP(2,1/(AI92:AO92&lt;&gt;""),AI92:AO92)))</t>
        </is>
      </c>
      <c r="BD92" s="49" t="inlineStr">
        <is>
          <t>IF(OR(F92="",AQ92=""),"",IF(COUNT(AI92:AP92)=0,"",AQ92-LOOKUP(2,1/(AI92:AP92&lt;&gt;""),AI92:AP92)))</t>
        </is>
      </c>
      <c r="BE92" s="49" t="inlineStr">
        <is>
          <t>IF(OR(F92="",AR92=""),"",IF(COUNT(AI92:AQ92)=0,"",AR92-LOOKUP(2,1/(AI92:AQ92&lt;&gt;""),AI92:AQ92)))</t>
        </is>
      </c>
      <c r="BF92" s="49" t="inlineStr">
        <is>
          <t>IF(OR(F92="",AS92=""),"",IF(COUNT(AI92:AR92)=0,"",AS92-LOOKUP(2,1/(AI92:AR92&lt;&gt;""),AI92:AR92)))</t>
        </is>
      </c>
      <c r="BG92" s="49" t="inlineStr">
        <is>
          <t>IF(OR(F92="",AT92=""),"",IF(COUNT(AI92:AS92)=0,"",AT92-LOOKUP(2,1/(AI92:AS92&lt;&gt;""),AI92:AS92)))</t>
        </is>
      </c>
      <c r="BH92" s="49" t="inlineStr">
        <is>
          <t>IF(OR(F92="",AU92=""),"",IF(COUNT(AI92:AT92)=0,"",AU92-LOOKUP(2,1/(AI92:AT92&lt;&gt;""),AI92:AT92)))</t>
        </is>
      </c>
      <c r="BI92" s="49" t="inlineStr">
        <is>
          <t>IF(OR(F92="",AV92=""),"",IF(COUNT(AI92:AU92)=0,"",AV92-LOOKUP(2,1/(AI92:AU92&lt;&gt;""),AI92:AU92)))</t>
        </is>
      </c>
      <c r="BJ92" s="51" t="inlineStr">
        <is>
          <t>IF(J92="","All_Provinces",IFERROR(VLOOKUP(J92,'09_Lookups'!$A$4:$B$20,2,FALSE),"All_Provinces"))</t>
        </is>
      </c>
      <c r="BK92" s="51" t="inlineStr">
        <is>
          <t>IF(K92="","All_Districts",IFERROR(VLOOKUP(K92,'09_Lookups'!$E$4:$F$42,2,FALSE),"All_Districts"))</t>
        </is>
      </c>
    </row>
    <row r="93" ht="18" customHeight="1">
      <c r="A93" s="42" t="inlineStr">
        <is>
          <t>IF(F93="","",ROW()-3)</t>
        </is>
      </c>
      <c r="B93" s="44" t="n"/>
      <c r="C93" s="44" t="n"/>
      <c r="D93" s="44" t="n"/>
      <c r="E93" s="44" t="n"/>
      <c r="F93" s="44" t="n"/>
      <c r="G93" s="44" t="n"/>
      <c r="H93" s="44" t="n"/>
      <c r="I93" s="44" t="n"/>
      <c r="J93" s="44" t="n"/>
      <c r="K93" s="44" t="n"/>
      <c r="L93" s="44" t="n"/>
      <c r="M93" s="44" t="n"/>
      <c r="N93" s="44" t="n"/>
      <c r="O93" s="44" t="n"/>
      <c r="P93" s="44" t="n"/>
      <c r="Q93" s="44" t="n"/>
      <c r="R93" s="44" t="n"/>
      <c r="S93" s="45" t="n"/>
      <c r="T93" s="46" t="inlineStr">
        <is>
          <t>IF(AQ93="","",AQ93)</t>
        </is>
      </c>
      <c r="U93" s="47" t="n"/>
      <c r="V93" s="48" t="n"/>
      <c r="W93" s="47" t="n"/>
      <c r="X93" s="46" t="inlineStr">
        <is>
          <t>IF(W93&lt;&gt;"",W93,IF(OR(T93="",V93=""),"",EDATE(T93,V93)))</t>
        </is>
      </c>
      <c r="Y93" s="47" t="n"/>
      <c r="Z93" s="48" t="n"/>
      <c r="AA93" s="44" t="n"/>
      <c r="AB93" s="44" t="n"/>
      <c r="AC93" s="42" t="inlineStr">
        <is>
          <t>IF(F93="","",IF(COUNT(AI93:AV93)=0,IF(AA93="","Not started",AA93),SUBSTITUTE(LOOKUP(2,1/(AI93:AV93&lt;&gt;""),$AI$3:$AV$3),"Date: ","")))</t>
        </is>
      </c>
      <c r="AD93" s="49" t="inlineStr">
        <is>
          <t>IF(OR(F93="",COUNT(AI93:AV93)=0),"",TODAY()-LOOKUP(2,1/(AI93:AV93&lt;&gt;""),AI93:AV93))</t>
        </is>
      </c>
      <c r="AE93" s="49" t="inlineStr">
        <is>
          <t>IF(OR(F93="",COUNT(AI93:AV93)&lt;2),"",LOOKUP(2,1/(AI93:AV93&lt;&gt;""),AI93:AV93)-MIN(AI93:AV93))</t>
        </is>
      </c>
      <c r="AF93" s="49" t="inlineStr">
        <is>
          <t>IF(OR(AD93="",AC93="Not started",AC93=""),"",IFERROR(AD93-IF(VLOOKUP(AC93,'06_Status_Pipeline'!$B$3:$E$20,4,FALSE)="",0,VLOOKUP(AC93,'06_Status_Pipeline'!$B$3:$E$20,4,FALSE)),""))</t>
        </is>
      </c>
      <c r="AG93" s="42" t="inlineStr">
        <is>
          <t>IF(F93="","",IF(OR(AA93="Cancelled",AC93="Cancelled"),"Cancelled",IF(OR(AC93="Completed / Handover",Y93&lt;&gt;"",Z93&gt;=100),"Completed — on track",IF(O93="Not awarded",IF(U93="",IF(X93="","No planned date",IF(TODAY()&gt;X93,"Behind — past planned date",IF(X93-TODAY()&lt;=30,"At risk — close to off track","On track"))),IF(TODAY()&gt;U93,"Behind — award date passed",IF(U93-TODAY()&lt;=30,"At risk — close to off track","On track"))),IF(X93="","No planned date",IF(AND(TODAY()&gt;X93,OR(Z93="",Z93&lt;100)),"Behind — past end date",IF(AND(T93&lt;&gt;"",X93&lt;&gt;"",Z93&lt;&gt;"",(Z93&lt;100),((TODAY()-T93)/MAX(X93-T93,1)*100)-Z93&gt;15),"Behind — progress lag",IF(AND(X93-TODAY()&lt;=30,X93-TODAY()&gt;=0,OR(Z93="",Z93&lt;90)),"At risk — close to off track","On track"))))))))</t>
        </is>
      </c>
      <c r="AH93" s="49" t="inlineStr">
        <is>
          <t>IF(OR(F93="",AC93="Completed / Handover",AC93="Cancelled"),"",IF(O93="Not awarded",IF(U93&lt;&gt;"",U93-TODAY(),IF(X93="","",X93-TODAY())),IF(X93="","",X93-TODAY())))</t>
        </is>
      </c>
      <c r="AI93" s="47" t="n"/>
      <c r="AJ93" s="47" t="n"/>
      <c r="AK93" s="47" t="n"/>
      <c r="AL93" s="47" t="n"/>
      <c r="AM93" s="47" t="n"/>
      <c r="AN93" s="47" t="n"/>
      <c r="AO93" s="47" t="n"/>
      <c r="AP93" s="47" t="n"/>
      <c r="AQ93" s="47" t="n"/>
      <c r="AR93" s="47" t="n"/>
      <c r="AS93" s="47" t="n"/>
      <c r="AT93" s="50" t="n"/>
      <c r="AU93" s="50" t="n"/>
      <c r="AV93" s="50" t="n"/>
      <c r="AW93" s="49" t="inlineStr">
        <is>
          <t>IF(OR(F93="",AJ93=""),"",IF(COUNT(AI93:AI93)=0,"",AJ93-LOOKUP(2,1/(AI93:AI93&lt;&gt;""),AI93:AI93)))</t>
        </is>
      </c>
      <c r="AX93" s="49" t="inlineStr">
        <is>
          <t>IF(OR(F93="",AK93=""),"",IF(COUNT(AI93:AJ93)=0,"",AK93-LOOKUP(2,1/(AI93:AJ93&lt;&gt;""),AI93:AJ93)))</t>
        </is>
      </c>
      <c r="AY93" s="49" t="inlineStr">
        <is>
          <t>IF(OR(F93="",AL93=""),"",IF(COUNT(AI93:AK93)=0,"",AL93-LOOKUP(2,1/(AI93:AK93&lt;&gt;""),AI93:AK93)))</t>
        </is>
      </c>
      <c r="AZ93" s="49" t="inlineStr">
        <is>
          <t>IF(OR(F93="",AM93=""),"",IF(COUNT(AI93:AL93)=0,"",AM93-LOOKUP(2,1/(AI93:AL93&lt;&gt;""),AI93:AL93)))</t>
        </is>
      </c>
      <c r="BA93" s="49" t="inlineStr">
        <is>
          <t>IF(OR(F93="",AN93=""),"",IF(COUNT(AI93:AM93)=0,"",AN93-LOOKUP(2,1/(AI93:AM93&lt;&gt;""),AI93:AM93)))</t>
        </is>
      </c>
      <c r="BB93" s="49" t="inlineStr">
        <is>
          <t>IF(OR(F93="",AO93=""),"",IF(COUNT(AI93:AN93)=0,"",AO93-LOOKUP(2,1/(AI93:AN93&lt;&gt;""),AI93:AN93)))</t>
        </is>
      </c>
      <c r="BC93" s="49" t="inlineStr">
        <is>
          <t>IF(OR(F93="",AP93=""),"",IF(COUNT(AI93:AO93)=0,"",AP93-LOOKUP(2,1/(AI93:AO93&lt;&gt;""),AI93:AO93)))</t>
        </is>
      </c>
      <c r="BD93" s="49" t="inlineStr">
        <is>
          <t>IF(OR(F93="",AQ93=""),"",IF(COUNT(AI93:AP93)=0,"",AQ93-LOOKUP(2,1/(AI93:AP93&lt;&gt;""),AI93:AP93)))</t>
        </is>
      </c>
      <c r="BE93" s="49" t="inlineStr">
        <is>
          <t>IF(OR(F93="",AR93=""),"",IF(COUNT(AI93:AQ93)=0,"",AR93-LOOKUP(2,1/(AI93:AQ93&lt;&gt;""),AI93:AQ93)))</t>
        </is>
      </c>
      <c r="BF93" s="49" t="inlineStr">
        <is>
          <t>IF(OR(F93="",AS93=""),"",IF(COUNT(AI93:AR93)=0,"",AS93-LOOKUP(2,1/(AI93:AR93&lt;&gt;""),AI93:AR93)))</t>
        </is>
      </c>
      <c r="BG93" s="49" t="inlineStr">
        <is>
          <t>IF(OR(F93="",AT93=""),"",IF(COUNT(AI93:AS93)=0,"",AT93-LOOKUP(2,1/(AI93:AS93&lt;&gt;""),AI93:AS93)))</t>
        </is>
      </c>
      <c r="BH93" s="49" t="inlineStr">
        <is>
          <t>IF(OR(F93="",AU93=""),"",IF(COUNT(AI93:AT93)=0,"",AU93-LOOKUP(2,1/(AI93:AT93&lt;&gt;""),AI93:AT93)))</t>
        </is>
      </c>
      <c r="BI93" s="49" t="inlineStr">
        <is>
          <t>IF(OR(F93="",AV93=""),"",IF(COUNT(AI93:AU93)=0,"",AV93-LOOKUP(2,1/(AI93:AU93&lt;&gt;""),AI93:AU93)))</t>
        </is>
      </c>
      <c r="BJ93" s="51" t="inlineStr">
        <is>
          <t>IF(J93="","All_Provinces",IFERROR(VLOOKUP(J93,'09_Lookups'!$A$4:$B$20,2,FALSE),"All_Provinces"))</t>
        </is>
      </c>
      <c r="BK93" s="51" t="inlineStr">
        <is>
          <t>IF(K93="","All_Districts",IFERROR(VLOOKUP(K93,'09_Lookups'!$E$4:$F$42,2,FALSE),"All_Districts"))</t>
        </is>
      </c>
    </row>
    <row r="94" ht="18" customHeight="1">
      <c r="A94" s="42" t="inlineStr">
        <is>
          <t>IF(F94="","",ROW()-3)</t>
        </is>
      </c>
      <c r="B94" s="52" t="n"/>
      <c r="C94" s="52" t="n"/>
      <c r="D94" s="52" t="n"/>
      <c r="E94" s="52" t="n"/>
      <c r="F94" s="52" t="n"/>
      <c r="G94" s="52" t="n"/>
      <c r="H94" s="52" t="n"/>
      <c r="I94" s="52" t="n"/>
      <c r="J94" s="52" t="n"/>
      <c r="K94" s="52" t="n"/>
      <c r="L94" s="52" t="n"/>
      <c r="M94" s="52" t="n"/>
      <c r="N94" s="52" t="n"/>
      <c r="O94" s="52" t="n"/>
      <c r="P94" s="52" t="n"/>
      <c r="Q94" s="52" t="n"/>
      <c r="R94" s="52" t="n"/>
      <c r="S94" s="53" t="n"/>
      <c r="T94" s="46" t="inlineStr">
        <is>
          <t>IF(AQ94="","",AQ94)</t>
        </is>
      </c>
      <c r="U94" s="54" t="n"/>
      <c r="V94" s="55" t="n"/>
      <c r="W94" s="54" t="n"/>
      <c r="X94" s="46" t="inlineStr">
        <is>
          <t>IF(W94&lt;&gt;"",W94,IF(OR(T94="",V94=""),"",EDATE(T94,V94)))</t>
        </is>
      </c>
      <c r="Y94" s="54" t="n"/>
      <c r="Z94" s="55" t="n"/>
      <c r="AA94" s="52" t="n"/>
      <c r="AB94" s="52" t="n"/>
      <c r="AC94" s="42" t="inlineStr">
        <is>
          <t>IF(F94="","",IF(COUNT(AI94:AV94)=0,IF(AA94="","Not started",AA94),SUBSTITUTE(LOOKUP(2,1/(AI94:AV94&lt;&gt;""),$AI$3:$AV$3),"Date: ","")))</t>
        </is>
      </c>
      <c r="AD94" s="49" t="inlineStr">
        <is>
          <t>IF(OR(F94="",COUNT(AI94:AV94)=0),"",TODAY()-LOOKUP(2,1/(AI94:AV94&lt;&gt;""),AI94:AV94))</t>
        </is>
      </c>
      <c r="AE94" s="49" t="inlineStr">
        <is>
          <t>IF(OR(F94="",COUNT(AI94:AV94)&lt;2),"",LOOKUP(2,1/(AI94:AV94&lt;&gt;""),AI94:AV94)-MIN(AI94:AV94))</t>
        </is>
      </c>
      <c r="AF94" s="49" t="inlineStr">
        <is>
          <t>IF(OR(AD94="",AC94="Not started",AC94=""),"",IFERROR(AD94-IF(VLOOKUP(AC94,'06_Status_Pipeline'!$B$3:$E$20,4,FALSE)="",0,VLOOKUP(AC94,'06_Status_Pipeline'!$B$3:$E$20,4,FALSE)),""))</t>
        </is>
      </c>
      <c r="AG94" s="42" t="inlineStr">
        <is>
          <t>IF(F94="","",IF(OR(AA94="Cancelled",AC94="Cancelled"),"Cancelled",IF(OR(AC94="Completed / Handover",Y94&lt;&gt;"",Z94&gt;=100),"Completed — on track",IF(O94="Not awarded",IF(U94="",IF(X94="","No planned date",IF(TODAY()&gt;X94,"Behind — past planned date",IF(X94-TODAY()&lt;=30,"At risk — close to off track","On track"))),IF(TODAY()&gt;U94,"Behind — award date passed",IF(U94-TODAY()&lt;=30,"At risk — close to off track","On track"))),IF(X94="","No planned date",IF(AND(TODAY()&gt;X94,OR(Z94="",Z94&lt;100)),"Behind — past end date",IF(AND(T94&lt;&gt;"",X94&lt;&gt;"",Z94&lt;&gt;"",(Z94&lt;100),((TODAY()-T94)/MAX(X94-T94,1)*100)-Z94&gt;15),"Behind — progress lag",IF(AND(X94-TODAY()&lt;=30,X94-TODAY()&gt;=0,OR(Z94="",Z94&lt;90)),"At risk — close to off track","On track"))))))))</t>
        </is>
      </c>
      <c r="AH94" s="49" t="inlineStr">
        <is>
          <t>IF(OR(F94="",AC94="Completed / Handover",AC94="Cancelled"),"",IF(O94="Not awarded",IF(U94&lt;&gt;"",U94-TODAY(),IF(X94="","",X94-TODAY())),IF(X94="","",X94-TODAY())))</t>
        </is>
      </c>
      <c r="AI94" s="54" t="n"/>
      <c r="AJ94" s="54" t="n"/>
      <c r="AK94" s="54" t="n"/>
      <c r="AL94" s="54" t="n"/>
      <c r="AM94" s="54" t="n"/>
      <c r="AN94" s="54" t="n"/>
      <c r="AO94" s="54" t="n"/>
      <c r="AP94" s="54" t="n"/>
      <c r="AQ94" s="54" t="n"/>
      <c r="AR94" s="54" t="n"/>
      <c r="AS94" s="54" t="n"/>
      <c r="AT94" s="50" t="n"/>
      <c r="AU94" s="50" t="n"/>
      <c r="AV94" s="50" t="n"/>
      <c r="AW94" s="49" t="inlineStr">
        <is>
          <t>IF(OR(F94="",AJ94=""),"",IF(COUNT(AI94:AI94)=0,"",AJ94-LOOKUP(2,1/(AI94:AI94&lt;&gt;""),AI94:AI94)))</t>
        </is>
      </c>
      <c r="AX94" s="49" t="inlineStr">
        <is>
          <t>IF(OR(F94="",AK94=""),"",IF(COUNT(AI94:AJ94)=0,"",AK94-LOOKUP(2,1/(AI94:AJ94&lt;&gt;""),AI94:AJ94)))</t>
        </is>
      </c>
      <c r="AY94" s="49" t="inlineStr">
        <is>
          <t>IF(OR(F94="",AL94=""),"",IF(COUNT(AI94:AK94)=0,"",AL94-LOOKUP(2,1/(AI94:AK94&lt;&gt;""),AI94:AK94)))</t>
        </is>
      </c>
      <c r="AZ94" s="49" t="inlineStr">
        <is>
          <t>IF(OR(F94="",AM94=""),"",IF(COUNT(AI94:AL94)=0,"",AM94-LOOKUP(2,1/(AI94:AL94&lt;&gt;""),AI94:AL94)))</t>
        </is>
      </c>
      <c r="BA94" s="49" t="inlineStr">
        <is>
          <t>IF(OR(F94="",AN94=""),"",IF(COUNT(AI94:AM94)=0,"",AN94-LOOKUP(2,1/(AI94:AM94&lt;&gt;""),AI94:AM94)))</t>
        </is>
      </c>
      <c r="BB94" s="49" t="inlineStr">
        <is>
          <t>IF(OR(F94="",AO94=""),"",IF(COUNT(AI94:AN94)=0,"",AO94-LOOKUP(2,1/(AI94:AN94&lt;&gt;""),AI94:AN94)))</t>
        </is>
      </c>
      <c r="BC94" s="49" t="inlineStr">
        <is>
          <t>IF(OR(F94="",AP94=""),"",IF(COUNT(AI94:AO94)=0,"",AP94-LOOKUP(2,1/(AI94:AO94&lt;&gt;""),AI94:AO94)))</t>
        </is>
      </c>
      <c r="BD94" s="49" t="inlineStr">
        <is>
          <t>IF(OR(F94="",AQ94=""),"",IF(COUNT(AI94:AP94)=0,"",AQ94-LOOKUP(2,1/(AI94:AP94&lt;&gt;""),AI94:AP94)))</t>
        </is>
      </c>
      <c r="BE94" s="49" t="inlineStr">
        <is>
          <t>IF(OR(F94="",AR94=""),"",IF(COUNT(AI94:AQ94)=0,"",AR94-LOOKUP(2,1/(AI94:AQ94&lt;&gt;""),AI94:AQ94)))</t>
        </is>
      </c>
      <c r="BF94" s="49" t="inlineStr">
        <is>
          <t>IF(OR(F94="",AS94=""),"",IF(COUNT(AI94:AR94)=0,"",AS94-LOOKUP(2,1/(AI94:AR94&lt;&gt;""),AI94:AR94)))</t>
        </is>
      </c>
      <c r="BG94" s="49" t="inlineStr">
        <is>
          <t>IF(OR(F94="",AT94=""),"",IF(COUNT(AI94:AS94)=0,"",AT94-LOOKUP(2,1/(AI94:AS94&lt;&gt;""),AI94:AS94)))</t>
        </is>
      </c>
      <c r="BH94" s="49" t="inlineStr">
        <is>
          <t>IF(OR(F94="",AU94=""),"",IF(COUNT(AI94:AT94)=0,"",AU94-LOOKUP(2,1/(AI94:AT94&lt;&gt;""),AI94:AT94)))</t>
        </is>
      </c>
      <c r="BI94" s="49" t="inlineStr">
        <is>
          <t>IF(OR(F94="",AV94=""),"",IF(COUNT(AI94:AU94)=0,"",AV94-LOOKUP(2,1/(AI94:AU94&lt;&gt;""),AI94:AU94)))</t>
        </is>
      </c>
      <c r="BJ94" s="51" t="inlineStr">
        <is>
          <t>IF(J94="","All_Provinces",IFERROR(VLOOKUP(J94,'09_Lookups'!$A$4:$B$20,2,FALSE),"All_Provinces"))</t>
        </is>
      </c>
      <c r="BK94" s="51" t="inlineStr">
        <is>
          <t>IF(K94="","All_Districts",IFERROR(VLOOKUP(K94,'09_Lookups'!$E$4:$F$42,2,FALSE),"All_Districts"))</t>
        </is>
      </c>
    </row>
    <row r="95" ht="18" customHeight="1">
      <c r="A95" s="42" t="inlineStr">
        <is>
          <t>IF(F95="","",ROW()-3)</t>
        </is>
      </c>
      <c r="B95" s="44" t="n"/>
      <c r="C95" s="44" t="n"/>
      <c r="D95" s="44" t="n"/>
      <c r="E95" s="44" t="n"/>
      <c r="F95" s="44" t="n"/>
      <c r="G95" s="44" t="n"/>
      <c r="H95" s="44" t="n"/>
      <c r="I95" s="44" t="n"/>
      <c r="J95" s="44" t="n"/>
      <c r="K95" s="44" t="n"/>
      <c r="L95" s="44" t="n"/>
      <c r="M95" s="44" t="n"/>
      <c r="N95" s="44" t="n"/>
      <c r="O95" s="44" t="n"/>
      <c r="P95" s="44" t="n"/>
      <c r="Q95" s="44" t="n"/>
      <c r="R95" s="44" t="n"/>
      <c r="S95" s="45" t="n"/>
      <c r="T95" s="46" t="inlineStr">
        <is>
          <t>IF(AQ95="","",AQ95)</t>
        </is>
      </c>
      <c r="U95" s="47" t="n"/>
      <c r="V95" s="48" t="n"/>
      <c r="W95" s="47" t="n"/>
      <c r="X95" s="46" t="inlineStr">
        <is>
          <t>IF(W95&lt;&gt;"",W95,IF(OR(T95="",V95=""),"",EDATE(T95,V95)))</t>
        </is>
      </c>
      <c r="Y95" s="47" t="n"/>
      <c r="Z95" s="48" t="n"/>
      <c r="AA95" s="44" t="n"/>
      <c r="AB95" s="44" t="n"/>
      <c r="AC95" s="42" t="inlineStr">
        <is>
          <t>IF(F95="","",IF(COUNT(AI95:AV95)=0,IF(AA95="","Not started",AA95),SUBSTITUTE(LOOKUP(2,1/(AI95:AV95&lt;&gt;""),$AI$3:$AV$3),"Date: ","")))</t>
        </is>
      </c>
      <c r="AD95" s="49" t="inlineStr">
        <is>
          <t>IF(OR(F95="",COUNT(AI95:AV95)=0),"",TODAY()-LOOKUP(2,1/(AI95:AV95&lt;&gt;""),AI95:AV95))</t>
        </is>
      </c>
      <c r="AE95" s="49" t="inlineStr">
        <is>
          <t>IF(OR(F95="",COUNT(AI95:AV95)&lt;2),"",LOOKUP(2,1/(AI95:AV95&lt;&gt;""),AI95:AV95)-MIN(AI95:AV95))</t>
        </is>
      </c>
      <c r="AF95" s="49" t="inlineStr">
        <is>
          <t>IF(OR(AD95="",AC95="Not started",AC95=""),"",IFERROR(AD95-IF(VLOOKUP(AC95,'06_Status_Pipeline'!$B$3:$E$20,4,FALSE)="",0,VLOOKUP(AC95,'06_Status_Pipeline'!$B$3:$E$20,4,FALSE)),""))</t>
        </is>
      </c>
      <c r="AG95" s="42" t="inlineStr">
        <is>
          <t>IF(F95="","",IF(OR(AA95="Cancelled",AC95="Cancelled"),"Cancelled",IF(OR(AC95="Completed / Handover",Y95&lt;&gt;"",Z95&gt;=100),"Completed — on track",IF(O95="Not awarded",IF(U95="",IF(X95="","No planned date",IF(TODAY()&gt;X95,"Behind — past planned date",IF(X95-TODAY()&lt;=30,"At risk — close to off track","On track"))),IF(TODAY()&gt;U95,"Behind — award date passed",IF(U95-TODAY()&lt;=30,"At risk — close to off track","On track"))),IF(X95="","No planned date",IF(AND(TODAY()&gt;X95,OR(Z95="",Z95&lt;100)),"Behind — past end date",IF(AND(T95&lt;&gt;"",X95&lt;&gt;"",Z95&lt;&gt;"",(Z95&lt;100),((TODAY()-T95)/MAX(X95-T95,1)*100)-Z95&gt;15),"Behind — progress lag",IF(AND(X95-TODAY()&lt;=30,X95-TODAY()&gt;=0,OR(Z95="",Z95&lt;90)),"At risk — close to off track","On track"))))))))</t>
        </is>
      </c>
      <c r="AH95" s="49" t="inlineStr">
        <is>
          <t>IF(OR(F95="",AC95="Completed / Handover",AC95="Cancelled"),"",IF(O95="Not awarded",IF(U95&lt;&gt;"",U95-TODAY(),IF(X95="","",X95-TODAY())),IF(X95="","",X95-TODAY())))</t>
        </is>
      </c>
      <c r="AI95" s="47" t="n"/>
      <c r="AJ95" s="47" t="n"/>
      <c r="AK95" s="47" t="n"/>
      <c r="AL95" s="47" t="n"/>
      <c r="AM95" s="47" t="n"/>
      <c r="AN95" s="47" t="n"/>
      <c r="AO95" s="47" t="n"/>
      <c r="AP95" s="47" t="n"/>
      <c r="AQ95" s="47" t="n"/>
      <c r="AR95" s="47" t="n"/>
      <c r="AS95" s="47" t="n"/>
      <c r="AT95" s="50" t="n"/>
      <c r="AU95" s="50" t="n"/>
      <c r="AV95" s="50" t="n"/>
      <c r="AW95" s="49" t="inlineStr">
        <is>
          <t>IF(OR(F95="",AJ95=""),"",IF(COUNT(AI95:AI95)=0,"",AJ95-LOOKUP(2,1/(AI95:AI95&lt;&gt;""),AI95:AI95)))</t>
        </is>
      </c>
      <c r="AX95" s="49" t="inlineStr">
        <is>
          <t>IF(OR(F95="",AK95=""),"",IF(COUNT(AI95:AJ95)=0,"",AK95-LOOKUP(2,1/(AI95:AJ95&lt;&gt;""),AI95:AJ95)))</t>
        </is>
      </c>
      <c r="AY95" s="49" t="inlineStr">
        <is>
          <t>IF(OR(F95="",AL95=""),"",IF(COUNT(AI95:AK95)=0,"",AL95-LOOKUP(2,1/(AI95:AK95&lt;&gt;""),AI95:AK95)))</t>
        </is>
      </c>
      <c r="AZ95" s="49" t="inlineStr">
        <is>
          <t>IF(OR(F95="",AM95=""),"",IF(COUNT(AI95:AL95)=0,"",AM95-LOOKUP(2,1/(AI95:AL95&lt;&gt;""),AI95:AL95)))</t>
        </is>
      </c>
      <c r="BA95" s="49" t="inlineStr">
        <is>
          <t>IF(OR(F95="",AN95=""),"",IF(COUNT(AI95:AM95)=0,"",AN95-LOOKUP(2,1/(AI95:AM95&lt;&gt;""),AI95:AM95)))</t>
        </is>
      </c>
      <c r="BB95" s="49" t="inlineStr">
        <is>
          <t>IF(OR(F95="",AO95=""),"",IF(COUNT(AI95:AN95)=0,"",AO95-LOOKUP(2,1/(AI95:AN95&lt;&gt;""),AI95:AN95)))</t>
        </is>
      </c>
      <c r="BC95" s="49" t="inlineStr">
        <is>
          <t>IF(OR(F95="",AP95=""),"",IF(COUNT(AI95:AO95)=0,"",AP95-LOOKUP(2,1/(AI95:AO95&lt;&gt;""),AI95:AO95)))</t>
        </is>
      </c>
      <c r="BD95" s="49" t="inlineStr">
        <is>
          <t>IF(OR(F95="",AQ95=""),"",IF(COUNT(AI95:AP95)=0,"",AQ95-LOOKUP(2,1/(AI95:AP95&lt;&gt;""),AI95:AP95)))</t>
        </is>
      </c>
      <c r="BE95" s="49" t="inlineStr">
        <is>
          <t>IF(OR(F95="",AR95=""),"",IF(COUNT(AI95:AQ95)=0,"",AR95-LOOKUP(2,1/(AI95:AQ95&lt;&gt;""),AI95:AQ95)))</t>
        </is>
      </c>
      <c r="BF95" s="49" t="inlineStr">
        <is>
          <t>IF(OR(F95="",AS95=""),"",IF(COUNT(AI95:AR95)=0,"",AS95-LOOKUP(2,1/(AI95:AR95&lt;&gt;""),AI95:AR95)))</t>
        </is>
      </c>
      <c r="BG95" s="49" t="inlineStr">
        <is>
          <t>IF(OR(F95="",AT95=""),"",IF(COUNT(AI95:AS95)=0,"",AT95-LOOKUP(2,1/(AI95:AS95&lt;&gt;""),AI95:AS95)))</t>
        </is>
      </c>
      <c r="BH95" s="49" t="inlineStr">
        <is>
          <t>IF(OR(F95="",AU95=""),"",IF(COUNT(AI95:AT95)=0,"",AU95-LOOKUP(2,1/(AI95:AT95&lt;&gt;""),AI95:AT95)))</t>
        </is>
      </c>
      <c r="BI95" s="49" t="inlineStr">
        <is>
          <t>IF(OR(F95="",AV95=""),"",IF(COUNT(AI95:AU95)=0,"",AV95-LOOKUP(2,1/(AI95:AU95&lt;&gt;""),AI95:AU95)))</t>
        </is>
      </c>
      <c r="BJ95" s="51" t="inlineStr">
        <is>
          <t>IF(J95="","All_Provinces",IFERROR(VLOOKUP(J95,'09_Lookups'!$A$4:$B$20,2,FALSE),"All_Provinces"))</t>
        </is>
      </c>
      <c r="BK95" s="51" t="inlineStr">
        <is>
          <t>IF(K95="","All_Districts",IFERROR(VLOOKUP(K95,'09_Lookups'!$E$4:$F$42,2,FALSE),"All_Districts"))</t>
        </is>
      </c>
    </row>
    <row r="96" ht="18" customHeight="1">
      <c r="A96" s="42" t="inlineStr">
        <is>
          <t>IF(F96="","",ROW()-3)</t>
        </is>
      </c>
      <c r="B96" s="52" t="n"/>
      <c r="C96" s="52" t="n"/>
      <c r="D96" s="52" t="n"/>
      <c r="E96" s="52" t="n"/>
      <c r="F96" s="52" t="n"/>
      <c r="G96" s="52" t="n"/>
      <c r="H96" s="52" t="n"/>
      <c r="I96" s="52" t="n"/>
      <c r="J96" s="52" t="n"/>
      <c r="K96" s="52" t="n"/>
      <c r="L96" s="52" t="n"/>
      <c r="M96" s="52" t="n"/>
      <c r="N96" s="52" t="n"/>
      <c r="O96" s="52" t="n"/>
      <c r="P96" s="52" t="n"/>
      <c r="Q96" s="52" t="n"/>
      <c r="R96" s="52" t="n"/>
      <c r="S96" s="53" t="n"/>
      <c r="T96" s="46" t="inlineStr">
        <is>
          <t>IF(AQ96="","",AQ96)</t>
        </is>
      </c>
      <c r="U96" s="54" t="n"/>
      <c r="V96" s="55" t="n"/>
      <c r="W96" s="54" t="n"/>
      <c r="X96" s="46" t="inlineStr">
        <is>
          <t>IF(W96&lt;&gt;"",W96,IF(OR(T96="",V96=""),"",EDATE(T96,V96)))</t>
        </is>
      </c>
      <c r="Y96" s="54" t="n"/>
      <c r="Z96" s="55" t="n"/>
      <c r="AA96" s="52" t="n"/>
      <c r="AB96" s="52" t="n"/>
      <c r="AC96" s="42" t="inlineStr">
        <is>
          <t>IF(F96="","",IF(COUNT(AI96:AV96)=0,IF(AA96="","Not started",AA96),SUBSTITUTE(LOOKUP(2,1/(AI96:AV96&lt;&gt;""),$AI$3:$AV$3),"Date: ","")))</t>
        </is>
      </c>
      <c r="AD96" s="49" t="inlineStr">
        <is>
          <t>IF(OR(F96="",COUNT(AI96:AV96)=0),"",TODAY()-LOOKUP(2,1/(AI96:AV96&lt;&gt;""),AI96:AV96))</t>
        </is>
      </c>
      <c r="AE96" s="49" t="inlineStr">
        <is>
          <t>IF(OR(F96="",COUNT(AI96:AV96)&lt;2),"",LOOKUP(2,1/(AI96:AV96&lt;&gt;""),AI96:AV96)-MIN(AI96:AV96))</t>
        </is>
      </c>
      <c r="AF96" s="49" t="inlineStr">
        <is>
          <t>IF(OR(AD96="",AC96="Not started",AC96=""),"",IFERROR(AD96-IF(VLOOKUP(AC96,'06_Status_Pipeline'!$B$3:$E$20,4,FALSE)="",0,VLOOKUP(AC96,'06_Status_Pipeline'!$B$3:$E$20,4,FALSE)),""))</t>
        </is>
      </c>
      <c r="AG96" s="42" t="inlineStr">
        <is>
          <t>IF(F96="","",IF(OR(AA96="Cancelled",AC96="Cancelled"),"Cancelled",IF(OR(AC96="Completed / Handover",Y96&lt;&gt;"",Z96&gt;=100),"Completed — on track",IF(O96="Not awarded",IF(U96="",IF(X96="","No planned date",IF(TODAY()&gt;X96,"Behind — past planned date",IF(X96-TODAY()&lt;=30,"At risk — close to off track","On track"))),IF(TODAY()&gt;U96,"Behind — award date passed",IF(U96-TODAY()&lt;=30,"At risk — close to off track","On track"))),IF(X96="","No planned date",IF(AND(TODAY()&gt;X96,OR(Z96="",Z96&lt;100)),"Behind — past end date",IF(AND(T96&lt;&gt;"",X96&lt;&gt;"",Z96&lt;&gt;"",(Z96&lt;100),((TODAY()-T96)/MAX(X96-T96,1)*100)-Z96&gt;15),"Behind — progress lag",IF(AND(X96-TODAY()&lt;=30,X96-TODAY()&gt;=0,OR(Z96="",Z96&lt;90)),"At risk — close to off track","On track"))))))))</t>
        </is>
      </c>
      <c r="AH96" s="49" t="inlineStr">
        <is>
          <t>IF(OR(F96="",AC96="Completed / Handover",AC96="Cancelled"),"",IF(O96="Not awarded",IF(U96&lt;&gt;"",U96-TODAY(),IF(X96="","",X96-TODAY())),IF(X96="","",X96-TODAY())))</t>
        </is>
      </c>
      <c r="AI96" s="54" t="n"/>
      <c r="AJ96" s="54" t="n"/>
      <c r="AK96" s="54" t="n"/>
      <c r="AL96" s="54" t="n"/>
      <c r="AM96" s="54" t="n"/>
      <c r="AN96" s="54" t="n"/>
      <c r="AO96" s="54" t="n"/>
      <c r="AP96" s="54" t="n"/>
      <c r="AQ96" s="54" t="n"/>
      <c r="AR96" s="54" t="n"/>
      <c r="AS96" s="54" t="n"/>
      <c r="AT96" s="50" t="n"/>
      <c r="AU96" s="50" t="n"/>
      <c r="AV96" s="50" t="n"/>
      <c r="AW96" s="49" t="inlineStr">
        <is>
          <t>IF(OR(F96="",AJ96=""),"",IF(COUNT(AI96:AI96)=0,"",AJ96-LOOKUP(2,1/(AI96:AI96&lt;&gt;""),AI96:AI96)))</t>
        </is>
      </c>
      <c r="AX96" s="49" t="inlineStr">
        <is>
          <t>IF(OR(F96="",AK96=""),"",IF(COUNT(AI96:AJ96)=0,"",AK96-LOOKUP(2,1/(AI96:AJ96&lt;&gt;""),AI96:AJ96)))</t>
        </is>
      </c>
      <c r="AY96" s="49" t="inlineStr">
        <is>
          <t>IF(OR(F96="",AL96=""),"",IF(COUNT(AI96:AK96)=0,"",AL96-LOOKUP(2,1/(AI96:AK96&lt;&gt;""),AI96:AK96)))</t>
        </is>
      </c>
      <c r="AZ96" s="49" t="inlineStr">
        <is>
          <t>IF(OR(F96="",AM96=""),"",IF(COUNT(AI96:AL96)=0,"",AM96-LOOKUP(2,1/(AI96:AL96&lt;&gt;""),AI96:AL96)))</t>
        </is>
      </c>
      <c r="BA96" s="49" t="inlineStr">
        <is>
          <t>IF(OR(F96="",AN96=""),"",IF(COUNT(AI96:AM96)=0,"",AN96-LOOKUP(2,1/(AI96:AM96&lt;&gt;""),AI96:AM96)))</t>
        </is>
      </c>
      <c r="BB96" s="49" t="inlineStr">
        <is>
          <t>IF(OR(F96="",AO96=""),"",IF(COUNT(AI96:AN96)=0,"",AO96-LOOKUP(2,1/(AI96:AN96&lt;&gt;""),AI96:AN96)))</t>
        </is>
      </c>
      <c r="BC96" s="49" t="inlineStr">
        <is>
          <t>IF(OR(F96="",AP96=""),"",IF(COUNT(AI96:AO96)=0,"",AP96-LOOKUP(2,1/(AI96:AO96&lt;&gt;""),AI96:AO96)))</t>
        </is>
      </c>
      <c r="BD96" s="49" t="inlineStr">
        <is>
          <t>IF(OR(F96="",AQ96=""),"",IF(COUNT(AI96:AP96)=0,"",AQ96-LOOKUP(2,1/(AI96:AP96&lt;&gt;""),AI96:AP96)))</t>
        </is>
      </c>
      <c r="BE96" s="49" t="inlineStr">
        <is>
          <t>IF(OR(F96="",AR96=""),"",IF(COUNT(AI96:AQ96)=0,"",AR96-LOOKUP(2,1/(AI96:AQ96&lt;&gt;""),AI96:AQ96)))</t>
        </is>
      </c>
      <c r="BF96" s="49" t="inlineStr">
        <is>
          <t>IF(OR(F96="",AS96=""),"",IF(COUNT(AI96:AR96)=0,"",AS96-LOOKUP(2,1/(AI96:AR96&lt;&gt;""),AI96:AR96)))</t>
        </is>
      </c>
      <c r="BG96" s="49" t="inlineStr">
        <is>
          <t>IF(OR(F96="",AT96=""),"",IF(COUNT(AI96:AS96)=0,"",AT96-LOOKUP(2,1/(AI96:AS96&lt;&gt;""),AI96:AS96)))</t>
        </is>
      </c>
      <c r="BH96" s="49" t="inlineStr">
        <is>
          <t>IF(OR(F96="",AU96=""),"",IF(COUNT(AI96:AT96)=0,"",AU96-LOOKUP(2,1/(AI96:AT96&lt;&gt;""),AI96:AT96)))</t>
        </is>
      </c>
      <c r="BI96" s="49" t="inlineStr">
        <is>
          <t>IF(OR(F96="",AV96=""),"",IF(COUNT(AI96:AU96)=0,"",AV96-LOOKUP(2,1/(AI96:AU96&lt;&gt;""),AI96:AU96)))</t>
        </is>
      </c>
      <c r="BJ96" s="51" t="inlineStr">
        <is>
          <t>IF(J96="","All_Provinces",IFERROR(VLOOKUP(J96,'09_Lookups'!$A$4:$B$20,2,FALSE),"All_Provinces"))</t>
        </is>
      </c>
      <c r="BK96" s="51" t="inlineStr">
        <is>
          <t>IF(K96="","All_Districts",IFERROR(VLOOKUP(K96,'09_Lookups'!$E$4:$F$42,2,FALSE),"All_Districts"))</t>
        </is>
      </c>
    </row>
    <row r="97" ht="18" customHeight="1">
      <c r="A97" s="42" t="inlineStr">
        <is>
          <t>IF(F97="","",ROW()-3)</t>
        </is>
      </c>
      <c r="B97" s="44" t="n"/>
      <c r="C97" s="44" t="n"/>
      <c r="D97" s="44" t="n"/>
      <c r="E97" s="44" t="n"/>
      <c r="F97" s="44" t="n"/>
      <c r="G97" s="44" t="n"/>
      <c r="H97" s="44" t="n"/>
      <c r="I97" s="44" t="n"/>
      <c r="J97" s="44" t="n"/>
      <c r="K97" s="44" t="n"/>
      <c r="L97" s="44" t="n"/>
      <c r="M97" s="44" t="n"/>
      <c r="N97" s="44" t="n"/>
      <c r="O97" s="44" t="n"/>
      <c r="P97" s="44" t="n"/>
      <c r="Q97" s="44" t="n"/>
      <c r="R97" s="44" t="n"/>
      <c r="S97" s="45" t="n"/>
      <c r="T97" s="46" t="inlineStr">
        <is>
          <t>IF(AQ97="","",AQ97)</t>
        </is>
      </c>
      <c r="U97" s="47" t="n"/>
      <c r="V97" s="48" t="n"/>
      <c r="W97" s="47" t="n"/>
      <c r="X97" s="46" t="inlineStr">
        <is>
          <t>IF(W97&lt;&gt;"",W97,IF(OR(T97="",V97=""),"",EDATE(T97,V97)))</t>
        </is>
      </c>
      <c r="Y97" s="47" t="n"/>
      <c r="Z97" s="48" t="n"/>
      <c r="AA97" s="44" t="n"/>
      <c r="AB97" s="44" t="n"/>
      <c r="AC97" s="42" t="inlineStr">
        <is>
          <t>IF(F97="","",IF(COUNT(AI97:AV97)=0,IF(AA97="","Not started",AA97),SUBSTITUTE(LOOKUP(2,1/(AI97:AV97&lt;&gt;""),$AI$3:$AV$3),"Date: ","")))</t>
        </is>
      </c>
      <c r="AD97" s="49" t="inlineStr">
        <is>
          <t>IF(OR(F97="",COUNT(AI97:AV97)=0),"",TODAY()-LOOKUP(2,1/(AI97:AV97&lt;&gt;""),AI97:AV97))</t>
        </is>
      </c>
      <c r="AE97" s="49" t="inlineStr">
        <is>
          <t>IF(OR(F97="",COUNT(AI97:AV97)&lt;2),"",LOOKUP(2,1/(AI97:AV97&lt;&gt;""),AI97:AV97)-MIN(AI97:AV97))</t>
        </is>
      </c>
      <c r="AF97" s="49" t="inlineStr">
        <is>
          <t>IF(OR(AD97="",AC97="Not started",AC97=""),"",IFERROR(AD97-IF(VLOOKUP(AC97,'06_Status_Pipeline'!$B$3:$E$20,4,FALSE)="",0,VLOOKUP(AC97,'06_Status_Pipeline'!$B$3:$E$20,4,FALSE)),""))</t>
        </is>
      </c>
      <c r="AG97" s="42" t="inlineStr">
        <is>
          <t>IF(F97="","",IF(OR(AA97="Cancelled",AC97="Cancelled"),"Cancelled",IF(OR(AC97="Completed / Handover",Y97&lt;&gt;"",Z97&gt;=100),"Completed — on track",IF(O97="Not awarded",IF(U97="",IF(X97="","No planned date",IF(TODAY()&gt;X97,"Behind — past planned date",IF(X97-TODAY()&lt;=30,"At risk — close to off track","On track"))),IF(TODAY()&gt;U97,"Behind — award date passed",IF(U97-TODAY()&lt;=30,"At risk — close to off track","On track"))),IF(X97="","No planned date",IF(AND(TODAY()&gt;X97,OR(Z97="",Z97&lt;100)),"Behind — past end date",IF(AND(T97&lt;&gt;"",X97&lt;&gt;"",Z97&lt;&gt;"",(Z97&lt;100),((TODAY()-T97)/MAX(X97-T97,1)*100)-Z97&gt;15),"Behind — progress lag",IF(AND(X97-TODAY()&lt;=30,X97-TODAY()&gt;=0,OR(Z97="",Z97&lt;90)),"At risk — close to off track","On track"))))))))</t>
        </is>
      </c>
      <c r="AH97" s="49" t="inlineStr">
        <is>
          <t>IF(OR(F97="",AC97="Completed / Handover",AC97="Cancelled"),"",IF(O97="Not awarded",IF(U97&lt;&gt;"",U97-TODAY(),IF(X97="","",X97-TODAY())),IF(X97="","",X97-TODAY())))</t>
        </is>
      </c>
      <c r="AI97" s="47" t="n"/>
      <c r="AJ97" s="47" t="n"/>
      <c r="AK97" s="47" t="n"/>
      <c r="AL97" s="47" t="n"/>
      <c r="AM97" s="47" t="n"/>
      <c r="AN97" s="47" t="n"/>
      <c r="AO97" s="47" t="n"/>
      <c r="AP97" s="47" t="n"/>
      <c r="AQ97" s="47" t="n"/>
      <c r="AR97" s="47" t="n"/>
      <c r="AS97" s="47" t="n"/>
      <c r="AT97" s="50" t="n"/>
      <c r="AU97" s="50" t="n"/>
      <c r="AV97" s="50" t="n"/>
      <c r="AW97" s="49" t="inlineStr">
        <is>
          <t>IF(OR(F97="",AJ97=""),"",IF(COUNT(AI97:AI97)=0,"",AJ97-LOOKUP(2,1/(AI97:AI97&lt;&gt;""),AI97:AI97)))</t>
        </is>
      </c>
      <c r="AX97" s="49" t="inlineStr">
        <is>
          <t>IF(OR(F97="",AK97=""),"",IF(COUNT(AI97:AJ97)=0,"",AK97-LOOKUP(2,1/(AI97:AJ97&lt;&gt;""),AI97:AJ97)))</t>
        </is>
      </c>
      <c r="AY97" s="49" t="inlineStr">
        <is>
          <t>IF(OR(F97="",AL97=""),"",IF(COUNT(AI97:AK97)=0,"",AL97-LOOKUP(2,1/(AI97:AK97&lt;&gt;""),AI97:AK97)))</t>
        </is>
      </c>
      <c r="AZ97" s="49" t="inlineStr">
        <is>
          <t>IF(OR(F97="",AM97=""),"",IF(COUNT(AI97:AL97)=0,"",AM97-LOOKUP(2,1/(AI97:AL97&lt;&gt;""),AI97:AL97)))</t>
        </is>
      </c>
      <c r="BA97" s="49" t="inlineStr">
        <is>
          <t>IF(OR(F97="",AN97=""),"",IF(COUNT(AI97:AM97)=0,"",AN97-LOOKUP(2,1/(AI97:AM97&lt;&gt;""),AI97:AM97)))</t>
        </is>
      </c>
      <c r="BB97" s="49" t="inlineStr">
        <is>
          <t>IF(OR(F97="",AO97=""),"",IF(COUNT(AI97:AN97)=0,"",AO97-LOOKUP(2,1/(AI97:AN97&lt;&gt;""),AI97:AN97)))</t>
        </is>
      </c>
      <c r="BC97" s="49" t="inlineStr">
        <is>
          <t>IF(OR(F97="",AP97=""),"",IF(COUNT(AI97:AO97)=0,"",AP97-LOOKUP(2,1/(AI97:AO97&lt;&gt;""),AI97:AO97)))</t>
        </is>
      </c>
      <c r="BD97" s="49" t="inlineStr">
        <is>
          <t>IF(OR(F97="",AQ97=""),"",IF(COUNT(AI97:AP97)=0,"",AQ97-LOOKUP(2,1/(AI97:AP97&lt;&gt;""),AI97:AP97)))</t>
        </is>
      </c>
      <c r="BE97" s="49" t="inlineStr">
        <is>
          <t>IF(OR(F97="",AR97=""),"",IF(COUNT(AI97:AQ97)=0,"",AR97-LOOKUP(2,1/(AI97:AQ97&lt;&gt;""),AI97:AQ97)))</t>
        </is>
      </c>
      <c r="BF97" s="49" t="inlineStr">
        <is>
          <t>IF(OR(F97="",AS97=""),"",IF(COUNT(AI97:AR97)=0,"",AS97-LOOKUP(2,1/(AI97:AR97&lt;&gt;""),AI97:AR97)))</t>
        </is>
      </c>
      <c r="BG97" s="49" t="inlineStr">
        <is>
          <t>IF(OR(F97="",AT97=""),"",IF(COUNT(AI97:AS97)=0,"",AT97-LOOKUP(2,1/(AI97:AS97&lt;&gt;""),AI97:AS97)))</t>
        </is>
      </c>
      <c r="BH97" s="49" t="inlineStr">
        <is>
          <t>IF(OR(F97="",AU97=""),"",IF(COUNT(AI97:AT97)=0,"",AU97-LOOKUP(2,1/(AI97:AT97&lt;&gt;""),AI97:AT97)))</t>
        </is>
      </c>
      <c r="BI97" s="49" t="inlineStr">
        <is>
          <t>IF(OR(F97="",AV97=""),"",IF(COUNT(AI97:AU97)=0,"",AV97-LOOKUP(2,1/(AI97:AU97&lt;&gt;""),AI97:AU97)))</t>
        </is>
      </c>
      <c r="BJ97" s="51" t="inlineStr">
        <is>
          <t>IF(J97="","All_Provinces",IFERROR(VLOOKUP(J97,'09_Lookups'!$A$4:$B$20,2,FALSE),"All_Provinces"))</t>
        </is>
      </c>
      <c r="BK97" s="51" t="inlineStr">
        <is>
          <t>IF(K97="","All_Districts",IFERROR(VLOOKUP(K97,'09_Lookups'!$E$4:$F$42,2,FALSE),"All_Districts"))</t>
        </is>
      </c>
    </row>
    <row r="98" ht="18" customHeight="1">
      <c r="A98" s="42" t="inlineStr">
        <is>
          <t>IF(F98="","",ROW()-3)</t>
        </is>
      </c>
      <c r="B98" s="52" t="n"/>
      <c r="C98" s="52" t="n"/>
      <c r="D98" s="52" t="n"/>
      <c r="E98" s="52" t="n"/>
      <c r="F98" s="52" t="n"/>
      <c r="G98" s="52" t="n"/>
      <c r="H98" s="52" t="n"/>
      <c r="I98" s="52" t="n"/>
      <c r="J98" s="52" t="n"/>
      <c r="K98" s="52" t="n"/>
      <c r="L98" s="52" t="n"/>
      <c r="M98" s="52" t="n"/>
      <c r="N98" s="52" t="n"/>
      <c r="O98" s="52" t="n"/>
      <c r="P98" s="52" t="n"/>
      <c r="Q98" s="52" t="n"/>
      <c r="R98" s="52" t="n"/>
      <c r="S98" s="53" t="n"/>
      <c r="T98" s="46" t="inlineStr">
        <is>
          <t>IF(AQ98="","",AQ98)</t>
        </is>
      </c>
      <c r="U98" s="54" t="n"/>
      <c r="V98" s="55" t="n"/>
      <c r="W98" s="54" t="n"/>
      <c r="X98" s="46" t="inlineStr">
        <is>
          <t>IF(W98&lt;&gt;"",W98,IF(OR(T98="",V98=""),"",EDATE(T98,V98)))</t>
        </is>
      </c>
      <c r="Y98" s="54" t="n"/>
      <c r="Z98" s="55" t="n"/>
      <c r="AA98" s="52" t="n"/>
      <c r="AB98" s="52" t="n"/>
      <c r="AC98" s="42" t="inlineStr">
        <is>
          <t>IF(F98="","",IF(COUNT(AI98:AV98)=0,IF(AA98="","Not started",AA98),SUBSTITUTE(LOOKUP(2,1/(AI98:AV98&lt;&gt;""),$AI$3:$AV$3),"Date: ","")))</t>
        </is>
      </c>
      <c r="AD98" s="49" t="inlineStr">
        <is>
          <t>IF(OR(F98="",COUNT(AI98:AV98)=0),"",TODAY()-LOOKUP(2,1/(AI98:AV98&lt;&gt;""),AI98:AV98))</t>
        </is>
      </c>
      <c r="AE98" s="49" t="inlineStr">
        <is>
          <t>IF(OR(F98="",COUNT(AI98:AV98)&lt;2),"",LOOKUP(2,1/(AI98:AV98&lt;&gt;""),AI98:AV98)-MIN(AI98:AV98))</t>
        </is>
      </c>
      <c r="AF98" s="49" t="inlineStr">
        <is>
          <t>IF(OR(AD98="",AC98="Not started",AC98=""),"",IFERROR(AD98-IF(VLOOKUP(AC98,'06_Status_Pipeline'!$B$3:$E$20,4,FALSE)="",0,VLOOKUP(AC98,'06_Status_Pipeline'!$B$3:$E$20,4,FALSE)),""))</t>
        </is>
      </c>
      <c r="AG98" s="42" t="inlineStr">
        <is>
          <t>IF(F98="","",IF(OR(AA98="Cancelled",AC98="Cancelled"),"Cancelled",IF(OR(AC98="Completed / Handover",Y98&lt;&gt;"",Z98&gt;=100),"Completed — on track",IF(O98="Not awarded",IF(U98="",IF(X98="","No planned date",IF(TODAY()&gt;X98,"Behind — past planned date",IF(X98-TODAY()&lt;=30,"At risk — close to off track","On track"))),IF(TODAY()&gt;U98,"Behind — award date passed",IF(U98-TODAY()&lt;=30,"At risk — close to off track","On track"))),IF(X98="","No planned date",IF(AND(TODAY()&gt;X98,OR(Z98="",Z98&lt;100)),"Behind — past end date",IF(AND(T98&lt;&gt;"",X98&lt;&gt;"",Z98&lt;&gt;"",(Z98&lt;100),((TODAY()-T98)/MAX(X98-T98,1)*100)-Z98&gt;15),"Behind — progress lag",IF(AND(X98-TODAY()&lt;=30,X98-TODAY()&gt;=0,OR(Z98="",Z98&lt;90)),"At risk — close to off track","On track"))))))))</t>
        </is>
      </c>
      <c r="AH98" s="49" t="inlineStr">
        <is>
          <t>IF(OR(F98="",AC98="Completed / Handover",AC98="Cancelled"),"",IF(O98="Not awarded",IF(U98&lt;&gt;"",U98-TODAY(),IF(X98="","",X98-TODAY())),IF(X98="","",X98-TODAY())))</t>
        </is>
      </c>
      <c r="AI98" s="54" t="n"/>
      <c r="AJ98" s="54" t="n"/>
      <c r="AK98" s="54" t="n"/>
      <c r="AL98" s="54" t="n"/>
      <c r="AM98" s="54" t="n"/>
      <c r="AN98" s="54" t="n"/>
      <c r="AO98" s="54" t="n"/>
      <c r="AP98" s="54" t="n"/>
      <c r="AQ98" s="54" t="n"/>
      <c r="AR98" s="54" t="n"/>
      <c r="AS98" s="54" t="n"/>
      <c r="AT98" s="50" t="n"/>
      <c r="AU98" s="50" t="n"/>
      <c r="AV98" s="50" t="n"/>
      <c r="AW98" s="49" t="inlineStr">
        <is>
          <t>IF(OR(F98="",AJ98=""),"",IF(COUNT(AI98:AI98)=0,"",AJ98-LOOKUP(2,1/(AI98:AI98&lt;&gt;""),AI98:AI98)))</t>
        </is>
      </c>
      <c r="AX98" s="49" t="inlineStr">
        <is>
          <t>IF(OR(F98="",AK98=""),"",IF(COUNT(AI98:AJ98)=0,"",AK98-LOOKUP(2,1/(AI98:AJ98&lt;&gt;""),AI98:AJ98)))</t>
        </is>
      </c>
      <c r="AY98" s="49" t="inlineStr">
        <is>
          <t>IF(OR(F98="",AL98=""),"",IF(COUNT(AI98:AK98)=0,"",AL98-LOOKUP(2,1/(AI98:AK98&lt;&gt;""),AI98:AK98)))</t>
        </is>
      </c>
      <c r="AZ98" s="49" t="inlineStr">
        <is>
          <t>IF(OR(F98="",AM98=""),"",IF(COUNT(AI98:AL98)=0,"",AM98-LOOKUP(2,1/(AI98:AL98&lt;&gt;""),AI98:AL98)))</t>
        </is>
      </c>
      <c r="BA98" s="49" t="inlineStr">
        <is>
          <t>IF(OR(F98="",AN98=""),"",IF(COUNT(AI98:AM98)=0,"",AN98-LOOKUP(2,1/(AI98:AM98&lt;&gt;""),AI98:AM98)))</t>
        </is>
      </c>
      <c r="BB98" s="49" t="inlineStr">
        <is>
          <t>IF(OR(F98="",AO98=""),"",IF(COUNT(AI98:AN98)=0,"",AO98-LOOKUP(2,1/(AI98:AN98&lt;&gt;""),AI98:AN98)))</t>
        </is>
      </c>
      <c r="BC98" s="49" t="inlineStr">
        <is>
          <t>IF(OR(F98="",AP98=""),"",IF(COUNT(AI98:AO98)=0,"",AP98-LOOKUP(2,1/(AI98:AO98&lt;&gt;""),AI98:AO98)))</t>
        </is>
      </c>
      <c r="BD98" s="49" t="inlineStr">
        <is>
          <t>IF(OR(F98="",AQ98=""),"",IF(COUNT(AI98:AP98)=0,"",AQ98-LOOKUP(2,1/(AI98:AP98&lt;&gt;""),AI98:AP98)))</t>
        </is>
      </c>
      <c r="BE98" s="49" t="inlineStr">
        <is>
          <t>IF(OR(F98="",AR98=""),"",IF(COUNT(AI98:AQ98)=0,"",AR98-LOOKUP(2,1/(AI98:AQ98&lt;&gt;""),AI98:AQ98)))</t>
        </is>
      </c>
      <c r="BF98" s="49" t="inlineStr">
        <is>
          <t>IF(OR(F98="",AS98=""),"",IF(COUNT(AI98:AR98)=0,"",AS98-LOOKUP(2,1/(AI98:AR98&lt;&gt;""),AI98:AR98)))</t>
        </is>
      </c>
      <c r="BG98" s="49" t="inlineStr">
        <is>
          <t>IF(OR(F98="",AT98=""),"",IF(COUNT(AI98:AS98)=0,"",AT98-LOOKUP(2,1/(AI98:AS98&lt;&gt;""),AI98:AS98)))</t>
        </is>
      </c>
      <c r="BH98" s="49" t="inlineStr">
        <is>
          <t>IF(OR(F98="",AU98=""),"",IF(COUNT(AI98:AT98)=0,"",AU98-LOOKUP(2,1/(AI98:AT98&lt;&gt;""),AI98:AT98)))</t>
        </is>
      </c>
      <c r="BI98" s="49" t="inlineStr">
        <is>
          <t>IF(OR(F98="",AV98=""),"",IF(COUNT(AI98:AU98)=0,"",AV98-LOOKUP(2,1/(AI98:AU98&lt;&gt;""),AI98:AU98)))</t>
        </is>
      </c>
      <c r="BJ98" s="51" t="inlineStr">
        <is>
          <t>IF(J98="","All_Provinces",IFERROR(VLOOKUP(J98,'09_Lookups'!$A$4:$B$20,2,FALSE),"All_Provinces"))</t>
        </is>
      </c>
      <c r="BK98" s="51" t="inlineStr">
        <is>
          <t>IF(K98="","All_Districts",IFERROR(VLOOKUP(K98,'09_Lookups'!$E$4:$F$42,2,FALSE),"All_Districts"))</t>
        </is>
      </c>
    </row>
    <row r="99" ht="18" customHeight="1">
      <c r="A99" s="42" t="inlineStr">
        <is>
          <t>IF(F99="","",ROW()-3)</t>
        </is>
      </c>
      <c r="B99" s="44" t="n"/>
      <c r="C99" s="44" t="n"/>
      <c r="D99" s="44" t="n"/>
      <c r="E99" s="44" t="n"/>
      <c r="F99" s="44" t="n"/>
      <c r="G99" s="44" t="n"/>
      <c r="H99" s="44" t="n"/>
      <c r="I99" s="44" t="n"/>
      <c r="J99" s="44" t="n"/>
      <c r="K99" s="44" t="n"/>
      <c r="L99" s="44" t="n"/>
      <c r="M99" s="44" t="n"/>
      <c r="N99" s="44" t="n"/>
      <c r="O99" s="44" t="n"/>
      <c r="P99" s="44" t="n"/>
      <c r="Q99" s="44" t="n"/>
      <c r="R99" s="44" t="n"/>
      <c r="S99" s="45" t="n"/>
      <c r="T99" s="46" t="inlineStr">
        <is>
          <t>IF(AQ99="","",AQ99)</t>
        </is>
      </c>
      <c r="U99" s="47" t="n"/>
      <c r="V99" s="48" t="n"/>
      <c r="W99" s="47" t="n"/>
      <c r="X99" s="46" t="inlineStr">
        <is>
          <t>IF(W99&lt;&gt;"",W99,IF(OR(T99="",V99=""),"",EDATE(T99,V99)))</t>
        </is>
      </c>
      <c r="Y99" s="47" t="n"/>
      <c r="Z99" s="48" t="n"/>
      <c r="AA99" s="44" t="n"/>
      <c r="AB99" s="44" t="n"/>
      <c r="AC99" s="42" t="inlineStr">
        <is>
          <t>IF(F99="","",IF(COUNT(AI99:AV99)=0,IF(AA99="","Not started",AA99),SUBSTITUTE(LOOKUP(2,1/(AI99:AV99&lt;&gt;""),$AI$3:$AV$3),"Date: ","")))</t>
        </is>
      </c>
      <c r="AD99" s="49" t="inlineStr">
        <is>
          <t>IF(OR(F99="",COUNT(AI99:AV99)=0),"",TODAY()-LOOKUP(2,1/(AI99:AV99&lt;&gt;""),AI99:AV99))</t>
        </is>
      </c>
      <c r="AE99" s="49" t="inlineStr">
        <is>
          <t>IF(OR(F99="",COUNT(AI99:AV99)&lt;2),"",LOOKUP(2,1/(AI99:AV99&lt;&gt;""),AI99:AV99)-MIN(AI99:AV99))</t>
        </is>
      </c>
      <c r="AF99" s="49" t="inlineStr">
        <is>
          <t>IF(OR(AD99="",AC99="Not started",AC99=""),"",IFERROR(AD99-IF(VLOOKUP(AC99,'06_Status_Pipeline'!$B$3:$E$20,4,FALSE)="",0,VLOOKUP(AC99,'06_Status_Pipeline'!$B$3:$E$20,4,FALSE)),""))</t>
        </is>
      </c>
      <c r="AG99" s="42" t="inlineStr">
        <is>
          <t>IF(F99="","",IF(OR(AA99="Cancelled",AC99="Cancelled"),"Cancelled",IF(OR(AC99="Completed / Handover",Y99&lt;&gt;"",Z99&gt;=100),"Completed — on track",IF(O99="Not awarded",IF(U99="",IF(X99="","No planned date",IF(TODAY()&gt;X99,"Behind — past planned date",IF(X99-TODAY()&lt;=30,"At risk — close to off track","On track"))),IF(TODAY()&gt;U99,"Behind — award date passed",IF(U99-TODAY()&lt;=30,"At risk — close to off track","On track"))),IF(X99="","No planned date",IF(AND(TODAY()&gt;X99,OR(Z99="",Z99&lt;100)),"Behind — past end date",IF(AND(T99&lt;&gt;"",X99&lt;&gt;"",Z99&lt;&gt;"",(Z99&lt;100),((TODAY()-T99)/MAX(X99-T99,1)*100)-Z99&gt;15),"Behind — progress lag",IF(AND(X99-TODAY()&lt;=30,X99-TODAY()&gt;=0,OR(Z99="",Z99&lt;90)),"At risk — close to off track","On track"))))))))</t>
        </is>
      </c>
      <c r="AH99" s="49" t="inlineStr">
        <is>
          <t>IF(OR(F99="",AC99="Completed / Handover",AC99="Cancelled"),"",IF(O99="Not awarded",IF(U99&lt;&gt;"",U99-TODAY(),IF(X99="","",X99-TODAY())),IF(X99="","",X99-TODAY())))</t>
        </is>
      </c>
      <c r="AI99" s="47" t="n"/>
      <c r="AJ99" s="47" t="n"/>
      <c r="AK99" s="47" t="n"/>
      <c r="AL99" s="47" t="n"/>
      <c r="AM99" s="47" t="n"/>
      <c r="AN99" s="47" t="n"/>
      <c r="AO99" s="47" t="n"/>
      <c r="AP99" s="47" t="n"/>
      <c r="AQ99" s="47" t="n"/>
      <c r="AR99" s="47" t="n"/>
      <c r="AS99" s="47" t="n"/>
      <c r="AT99" s="50" t="n"/>
      <c r="AU99" s="50" t="n"/>
      <c r="AV99" s="50" t="n"/>
      <c r="AW99" s="49" t="inlineStr">
        <is>
          <t>IF(OR(F99="",AJ99=""),"",IF(COUNT(AI99:AI99)=0,"",AJ99-LOOKUP(2,1/(AI99:AI99&lt;&gt;""),AI99:AI99)))</t>
        </is>
      </c>
      <c r="AX99" s="49" t="inlineStr">
        <is>
          <t>IF(OR(F99="",AK99=""),"",IF(COUNT(AI99:AJ99)=0,"",AK99-LOOKUP(2,1/(AI99:AJ99&lt;&gt;""),AI99:AJ99)))</t>
        </is>
      </c>
      <c r="AY99" s="49" t="inlineStr">
        <is>
          <t>IF(OR(F99="",AL99=""),"",IF(COUNT(AI99:AK99)=0,"",AL99-LOOKUP(2,1/(AI99:AK99&lt;&gt;""),AI99:AK99)))</t>
        </is>
      </c>
      <c r="AZ99" s="49" t="inlineStr">
        <is>
          <t>IF(OR(F99="",AM99=""),"",IF(COUNT(AI99:AL99)=0,"",AM99-LOOKUP(2,1/(AI99:AL99&lt;&gt;""),AI99:AL99)))</t>
        </is>
      </c>
      <c r="BA99" s="49" t="inlineStr">
        <is>
          <t>IF(OR(F99="",AN99=""),"",IF(COUNT(AI99:AM99)=0,"",AN99-LOOKUP(2,1/(AI99:AM99&lt;&gt;""),AI99:AM99)))</t>
        </is>
      </c>
      <c r="BB99" s="49" t="inlineStr">
        <is>
          <t>IF(OR(F99="",AO99=""),"",IF(COUNT(AI99:AN99)=0,"",AO99-LOOKUP(2,1/(AI99:AN99&lt;&gt;""),AI99:AN99)))</t>
        </is>
      </c>
      <c r="BC99" s="49" t="inlineStr">
        <is>
          <t>IF(OR(F99="",AP99=""),"",IF(COUNT(AI99:AO99)=0,"",AP99-LOOKUP(2,1/(AI99:AO99&lt;&gt;""),AI99:AO99)))</t>
        </is>
      </c>
      <c r="BD99" s="49" t="inlineStr">
        <is>
          <t>IF(OR(F99="",AQ99=""),"",IF(COUNT(AI99:AP99)=0,"",AQ99-LOOKUP(2,1/(AI99:AP99&lt;&gt;""),AI99:AP99)))</t>
        </is>
      </c>
      <c r="BE99" s="49" t="inlineStr">
        <is>
          <t>IF(OR(F99="",AR99=""),"",IF(COUNT(AI99:AQ99)=0,"",AR99-LOOKUP(2,1/(AI99:AQ99&lt;&gt;""),AI99:AQ99)))</t>
        </is>
      </c>
      <c r="BF99" s="49" t="inlineStr">
        <is>
          <t>IF(OR(F99="",AS99=""),"",IF(COUNT(AI99:AR99)=0,"",AS99-LOOKUP(2,1/(AI99:AR99&lt;&gt;""),AI99:AR99)))</t>
        </is>
      </c>
      <c r="BG99" s="49" t="inlineStr">
        <is>
          <t>IF(OR(F99="",AT99=""),"",IF(COUNT(AI99:AS99)=0,"",AT99-LOOKUP(2,1/(AI99:AS99&lt;&gt;""),AI99:AS99)))</t>
        </is>
      </c>
      <c r="BH99" s="49" t="inlineStr">
        <is>
          <t>IF(OR(F99="",AU99=""),"",IF(COUNT(AI99:AT99)=0,"",AU99-LOOKUP(2,1/(AI99:AT99&lt;&gt;""),AI99:AT99)))</t>
        </is>
      </c>
      <c r="BI99" s="49" t="inlineStr">
        <is>
          <t>IF(OR(F99="",AV99=""),"",IF(COUNT(AI99:AU99)=0,"",AV99-LOOKUP(2,1/(AI99:AU99&lt;&gt;""),AI99:AU99)))</t>
        </is>
      </c>
      <c r="BJ99" s="51" t="inlineStr">
        <is>
          <t>IF(J99="","All_Provinces",IFERROR(VLOOKUP(J99,'09_Lookups'!$A$4:$B$20,2,FALSE),"All_Provinces"))</t>
        </is>
      </c>
      <c r="BK99" s="51" t="inlineStr">
        <is>
          <t>IF(K99="","All_Districts",IFERROR(VLOOKUP(K99,'09_Lookups'!$E$4:$F$42,2,FALSE),"All_Districts"))</t>
        </is>
      </c>
    </row>
    <row r="100" ht="18" customHeight="1">
      <c r="A100" s="42" t="inlineStr">
        <is>
          <t>IF(F100="","",ROW()-3)</t>
        </is>
      </c>
      <c r="B100" s="52" t="n"/>
      <c r="C100" s="52" t="n"/>
      <c r="D100" s="52" t="n"/>
      <c r="E100" s="52" t="n"/>
      <c r="F100" s="52" t="n"/>
      <c r="G100" s="52" t="n"/>
      <c r="H100" s="52" t="n"/>
      <c r="I100" s="52" t="n"/>
      <c r="J100" s="52" t="n"/>
      <c r="K100" s="52" t="n"/>
      <c r="L100" s="52" t="n"/>
      <c r="M100" s="52" t="n"/>
      <c r="N100" s="52" t="n"/>
      <c r="O100" s="52" t="n"/>
      <c r="P100" s="52" t="n"/>
      <c r="Q100" s="52" t="n"/>
      <c r="R100" s="52" t="n"/>
      <c r="S100" s="53" t="n"/>
      <c r="T100" s="46" t="inlineStr">
        <is>
          <t>IF(AQ100="","",AQ100)</t>
        </is>
      </c>
      <c r="U100" s="54" t="n"/>
      <c r="V100" s="55" t="n"/>
      <c r="W100" s="54" t="n"/>
      <c r="X100" s="46" t="inlineStr">
        <is>
          <t>IF(W100&lt;&gt;"",W100,IF(OR(T100="",V100=""),"",EDATE(T100,V100)))</t>
        </is>
      </c>
      <c r="Y100" s="54" t="n"/>
      <c r="Z100" s="55" t="n"/>
      <c r="AA100" s="52" t="n"/>
      <c r="AB100" s="52" t="n"/>
      <c r="AC100" s="42" t="inlineStr">
        <is>
          <t>IF(F100="","",IF(COUNT(AI100:AV100)=0,IF(AA100="","Not started",AA100),SUBSTITUTE(LOOKUP(2,1/(AI100:AV100&lt;&gt;""),$AI$3:$AV$3),"Date: ","")))</t>
        </is>
      </c>
      <c r="AD100" s="49" t="inlineStr">
        <is>
          <t>IF(OR(F100="",COUNT(AI100:AV100)=0),"",TODAY()-LOOKUP(2,1/(AI100:AV100&lt;&gt;""),AI100:AV100))</t>
        </is>
      </c>
      <c r="AE100" s="49" t="inlineStr">
        <is>
          <t>IF(OR(F100="",COUNT(AI100:AV100)&lt;2),"",LOOKUP(2,1/(AI100:AV100&lt;&gt;""),AI100:AV100)-MIN(AI100:AV100))</t>
        </is>
      </c>
      <c r="AF100" s="49" t="inlineStr">
        <is>
          <t>IF(OR(AD100="",AC100="Not started",AC100=""),"",IFERROR(AD100-IF(VLOOKUP(AC100,'06_Status_Pipeline'!$B$3:$E$20,4,FALSE)="",0,VLOOKUP(AC100,'06_Status_Pipeline'!$B$3:$E$20,4,FALSE)),""))</t>
        </is>
      </c>
      <c r="AG100" s="42" t="inlineStr">
        <is>
          <t>IF(F100="","",IF(OR(AA100="Cancelled",AC100="Cancelled"),"Cancelled",IF(OR(AC100="Completed / Handover",Y100&lt;&gt;"",Z100&gt;=100),"Completed — on track",IF(O100="Not awarded",IF(U100="",IF(X100="","No planned date",IF(TODAY()&gt;X100,"Behind — past planned date",IF(X100-TODAY()&lt;=30,"At risk — close to off track","On track"))),IF(TODAY()&gt;U100,"Behind — award date passed",IF(U100-TODAY()&lt;=30,"At risk — close to off track","On track"))),IF(X100="","No planned date",IF(AND(TODAY()&gt;X100,OR(Z100="",Z100&lt;100)),"Behind — past end date",IF(AND(T100&lt;&gt;"",X100&lt;&gt;"",Z100&lt;&gt;"",(Z100&lt;100),((TODAY()-T100)/MAX(X100-T100,1)*100)-Z100&gt;15),"Behind — progress lag",IF(AND(X100-TODAY()&lt;=30,X100-TODAY()&gt;=0,OR(Z100="",Z100&lt;90)),"At risk — close to off track","On track"))))))))</t>
        </is>
      </c>
      <c r="AH100" s="49" t="inlineStr">
        <is>
          <t>IF(OR(F100="",AC100="Completed / Handover",AC100="Cancelled"),"",IF(O100="Not awarded",IF(U100&lt;&gt;"",U100-TODAY(),IF(X100="","",X100-TODAY())),IF(X100="","",X100-TODAY())))</t>
        </is>
      </c>
      <c r="AI100" s="54" t="n"/>
      <c r="AJ100" s="54" t="n"/>
      <c r="AK100" s="54" t="n"/>
      <c r="AL100" s="54" t="n"/>
      <c r="AM100" s="54" t="n"/>
      <c r="AN100" s="54" t="n"/>
      <c r="AO100" s="54" t="n"/>
      <c r="AP100" s="54" t="n"/>
      <c r="AQ100" s="54" t="n"/>
      <c r="AR100" s="54" t="n"/>
      <c r="AS100" s="54" t="n"/>
      <c r="AT100" s="50" t="n"/>
      <c r="AU100" s="50" t="n"/>
      <c r="AV100" s="50" t="n"/>
      <c r="AW100" s="49" t="inlineStr">
        <is>
          <t>IF(OR(F100="",AJ100=""),"",IF(COUNT(AI100:AI100)=0,"",AJ100-LOOKUP(2,1/(AI100:AI100&lt;&gt;""),AI100:AI100)))</t>
        </is>
      </c>
      <c r="AX100" s="49" t="inlineStr">
        <is>
          <t>IF(OR(F100="",AK100=""),"",IF(COUNT(AI100:AJ100)=0,"",AK100-LOOKUP(2,1/(AI100:AJ100&lt;&gt;""),AI100:AJ100)))</t>
        </is>
      </c>
      <c r="AY100" s="49" t="inlineStr">
        <is>
          <t>IF(OR(F100="",AL100=""),"",IF(COUNT(AI100:AK100)=0,"",AL100-LOOKUP(2,1/(AI100:AK100&lt;&gt;""),AI100:AK100)))</t>
        </is>
      </c>
      <c r="AZ100" s="49" t="inlineStr">
        <is>
          <t>IF(OR(F100="",AM100=""),"",IF(COUNT(AI100:AL100)=0,"",AM100-LOOKUP(2,1/(AI100:AL100&lt;&gt;""),AI100:AL100)))</t>
        </is>
      </c>
      <c r="BA100" s="49" t="inlineStr">
        <is>
          <t>IF(OR(F100="",AN100=""),"",IF(COUNT(AI100:AM100)=0,"",AN100-LOOKUP(2,1/(AI100:AM100&lt;&gt;""),AI100:AM100)))</t>
        </is>
      </c>
      <c r="BB100" s="49" t="inlineStr">
        <is>
          <t>IF(OR(F100="",AO100=""),"",IF(COUNT(AI100:AN100)=0,"",AO100-LOOKUP(2,1/(AI100:AN100&lt;&gt;""),AI100:AN100)))</t>
        </is>
      </c>
      <c r="BC100" s="49" t="inlineStr">
        <is>
          <t>IF(OR(F100="",AP100=""),"",IF(COUNT(AI100:AO100)=0,"",AP100-LOOKUP(2,1/(AI100:AO100&lt;&gt;""),AI100:AO100)))</t>
        </is>
      </c>
      <c r="BD100" s="49" t="inlineStr">
        <is>
          <t>IF(OR(F100="",AQ100=""),"",IF(COUNT(AI100:AP100)=0,"",AQ100-LOOKUP(2,1/(AI100:AP100&lt;&gt;""),AI100:AP100)))</t>
        </is>
      </c>
      <c r="BE100" s="49" t="inlineStr">
        <is>
          <t>IF(OR(F100="",AR100=""),"",IF(COUNT(AI100:AQ100)=0,"",AR100-LOOKUP(2,1/(AI100:AQ100&lt;&gt;""),AI100:AQ100)))</t>
        </is>
      </c>
      <c r="BF100" s="49" t="inlineStr">
        <is>
          <t>IF(OR(F100="",AS100=""),"",IF(COUNT(AI100:AR100)=0,"",AS100-LOOKUP(2,1/(AI100:AR100&lt;&gt;""),AI100:AR100)))</t>
        </is>
      </c>
      <c r="BG100" s="49" t="inlineStr">
        <is>
          <t>IF(OR(F100="",AT100=""),"",IF(COUNT(AI100:AS100)=0,"",AT100-LOOKUP(2,1/(AI100:AS100&lt;&gt;""),AI100:AS100)))</t>
        </is>
      </c>
      <c r="BH100" s="49" t="inlineStr">
        <is>
          <t>IF(OR(F100="",AU100=""),"",IF(COUNT(AI100:AT100)=0,"",AU100-LOOKUP(2,1/(AI100:AT100&lt;&gt;""),AI100:AT100)))</t>
        </is>
      </c>
      <c r="BI100" s="49" t="inlineStr">
        <is>
          <t>IF(OR(F100="",AV100=""),"",IF(COUNT(AI100:AU100)=0,"",AV100-LOOKUP(2,1/(AI100:AU100&lt;&gt;""),AI100:AU100)))</t>
        </is>
      </c>
      <c r="BJ100" s="51" t="inlineStr">
        <is>
          <t>IF(J100="","All_Provinces",IFERROR(VLOOKUP(J100,'09_Lookups'!$A$4:$B$20,2,FALSE),"All_Provinces"))</t>
        </is>
      </c>
      <c r="BK100" s="51" t="inlineStr">
        <is>
          <t>IF(K100="","All_Districts",IFERROR(VLOOKUP(K100,'09_Lookups'!$E$4:$F$42,2,FALSE),"All_Districts"))</t>
        </is>
      </c>
    </row>
    <row r="101" ht="18" customHeight="1">
      <c r="A101" s="42" t="inlineStr">
        <is>
          <t>IF(F101="","",ROW()-3)</t>
        </is>
      </c>
      <c r="B101" s="44" t="n"/>
      <c r="C101" s="44" t="n"/>
      <c r="D101" s="44" t="n"/>
      <c r="E101" s="44" t="n"/>
      <c r="F101" s="44" t="n"/>
      <c r="G101" s="44" t="n"/>
      <c r="H101" s="44" t="n"/>
      <c r="I101" s="44" t="n"/>
      <c r="J101" s="44" t="n"/>
      <c r="K101" s="44" t="n"/>
      <c r="L101" s="44" t="n"/>
      <c r="M101" s="44" t="n"/>
      <c r="N101" s="44" t="n"/>
      <c r="O101" s="44" t="n"/>
      <c r="P101" s="44" t="n"/>
      <c r="Q101" s="44" t="n"/>
      <c r="R101" s="44" t="n"/>
      <c r="S101" s="45" t="n"/>
      <c r="T101" s="46" t="inlineStr">
        <is>
          <t>IF(AQ101="","",AQ101)</t>
        </is>
      </c>
      <c r="U101" s="47" t="n"/>
      <c r="V101" s="48" t="n"/>
      <c r="W101" s="47" t="n"/>
      <c r="X101" s="46" t="inlineStr">
        <is>
          <t>IF(W101&lt;&gt;"",W101,IF(OR(T101="",V101=""),"",EDATE(T101,V101)))</t>
        </is>
      </c>
      <c r="Y101" s="47" t="n"/>
      <c r="Z101" s="48" t="n"/>
      <c r="AA101" s="44" t="n"/>
      <c r="AB101" s="44" t="n"/>
      <c r="AC101" s="42" t="inlineStr">
        <is>
          <t>IF(F101="","",IF(COUNT(AI101:AV101)=0,IF(AA101="","Not started",AA101),SUBSTITUTE(LOOKUP(2,1/(AI101:AV101&lt;&gt;""),$AI$3:$AV$3),"Date: ","")))</t>
        </is>
      </c>
      <c r="AD101" s="49" t="inlineStr">
        <is>
          <t>IF(OR(F101="",COUNT(AI101:AV101)=0),"",TODAY()-LOOKUP(2,1/(AI101:AV101&lt;&gt;""),AI101:AV101))</t>
        </is>
      </c>
      <c r="AE101" s="49" t="inlineStr">
        <is>
          <t>IF(OR(F101="",COUNT(AI101:AV101)&lt;2),"",LOOKUP(2,1/(AI101:AV101&lt;&gt;""),AI101:AV101)-MIN(AI101:AV101))</t>
        </is>
      </c>
      <c r="AF101" s="49" t="inlineStr">
        <is>
          <t>IF(OR(AD101="",AC101="Not started",AC101=""),"",IFERROR(AD101-IF(VLOOKUP(AC101,'06_Status_Pipeline'!$B$3:$E$20,4,FALSE)="",0,VLOOKUP(AC101,'06_Status_Pipeline'!$B$3:$E$20,4,FALSE)),""))</t>
        </is>
      </c>
      <c r="AG101" s="42" t="inlineStr">
        <is>
          <t>IF(F101="","",IF(OR(AA101="Cancelled",AC101="Cancelled"),"Cancelled",IF(OR(AC101="Completed / Handover",Y101&lt;&gt;"",Z101&gt;=100),"Completed — on track",IF(O101="Not awarded",IF(U101="",IF(X101="","No planned date",IF(TODAY()&gt;X101,"Behind — past planned date",IF(X101-TODAY()&lt;=30,"At risk — close to off track","On track"))),IF(TODAY()&gt;U101,"Behind — award date passed",IF(U101-TODAY()&lt;=30,"At risk — close to off track","On track"))),IF(X101="","No planned date",IF(AND(TODAY()&gt;X101,OR(Z101="",Z101&lt;100)),"Behind — past end date",IF(AND(T101&lt;&gt;"",X101&lt;&gt;"",Z101&lt;&gt;"",(Z101&lt;100),((TODAY()-T101)/MAX(X101-T101,1)*100)-Z101&gt;15),"Behind — progress lag",IF(AND(X101-TODAY()&lt;=30,X101-TODAY()&gt;=0,OR(Z101="",Z101&lt;90)),"At risk — close to off track","On track"))))))))</t>
        </is>
      </c>
      <c r="AH101" s="49" t="inlineStr">
        <is>
          <t>IF(OR(F101="",AC101="Completed / Handover",AC101="Cancelled"),"",IF(O101="Not awarded",IF(U101&lt;&gt;"",U101-TODAY(),IF(X101="","",X101-TODAY())),IF(X101="","",X101-TODAY())))</t>
        </is>
      </c>
      <c r="AI101" s="47" t="n"/>
      <c r="AJ101" s="47" t="n"/>
      <c r="AK101" s="47" t="n"/>
      <c r="AL101" s="47" t="n"/>
      <c r="AM101" s="47" t="n"/>
      <c r="AN101" s="47" t="n"/>
      <c r="AO101" s="47" t="n"/>
      <c r="AP101" s="47" t="n"/>
      <c r="AQ101" s="47" t="n"/>
      <c r="AR101" s="47" t="n"/>
      <c r="AS101" s="47" t="n"/>
      <c r="AT101" s="50" t="n"/>
      <c r="AU101" s="50" t="n"/>
      <c r="AV101" s="50" t="n"/>
      <c r="AW101" s="49" t="inlineStr">
        <is>
          <t>IF(OR(F101="",AJ101=""),"",IF(COUNT(AI101:AI101)=0,"",AJ101-LOOKUP(2,1/(AI101:AI101&lt;&gt;""),AI101:AI101)))</t>
        </is>
      </c>
      <c r="AX101" s="49" t="inlineStr">
        <is>
          <t>IF(OR(F101="",AK101=""),"",IF(COUNT(AI101:AJ101)=0,"",AK101-LOOKUP(2,1/(AI101:AJ101&lt;&gt;""),AI101:AJ101)))</t>
        </is>
      </c>
      <c r="AY101" s="49" t="inlineStr">
        <is>
          <t>IF(OR(F101="",AL101=""),"",IF(COUNT(AI101:AK101)=0,"",AL101-LOOKUP(2,1/(AI101:AK101&lt;&gt;""),AI101:AK101)))</t>
        </is>
      </c>
      <c r="AZ101" s="49" t="inlineStr">
        <is>
          <t>IF(OR(F101="",AM101=""),"",IF(COUNT(AI101:AL101)=0,"",AM101-LOOKUP(2,1/(AI101:AL101&lt;&gt;""),AI101:AL101)))</t>
        </is>
      </c>
      <c r="BA101" s="49" t="inlineStr">
        <is>
          <t>IF(OR(F101="",AN101=""),"",IF(COUNT(AI101:AM101)=0,"",AN101-LOOKUP(2,1/(AI101:AM101&lt;&gt;""),AI101:AM101)))</t>
        </is>
      </c>
      <c r="BB101" s="49" t="inlineStr">
        <is>
          <t>IF(OR(F101="",AO101=""),"",IF(COUNT(AI101:AN101)=0,"",AO101-LOOKUP(2,1/(AI101:AN101&lt;&gt;""),AI101:AN101)))</t>
        </is>
      </c>
      <c r="BC101" s="49" t="inlineStr">
        <is>
          <t>IF(OR(F101="",AP101=""),"",IF(COUNT(AI101:AO101)=0,"",AP101-LOOKUP(2,1/(AI101:AO101&lt;&gt;""),AI101:AO101)))</t>
        </is>
      </c>
      <c r="BD101" s="49" t="inlineStr">
        <is>
          <t>IF(OR(F101="",AQ101=""),"",IF(COUNT(AI101:AP101)=0,"",AQ101-LOOKUP(2,1/(AI101:AP101&lt;&gt;""),AI101:AP101)))</t>
        </is>
      </c>
      <c r="BE101" s="49" t="inlineStr">
        <is>
          <t>IF(OR(F101="",AR101=""),"",IF(COUNT(AI101:AQ101)=0,"",AR101-LOOKUP(2,1/(AI101:AQ101&lt;&gt;""),AI101:AQ101)))</t>
        </is>
      </c>
      <c r="BF101" s="49" t="inlineStr">
        <is>
          <t>IF(OR(F101="",AS101=""),"",IF(COUNT(AI101:AR101)=0,"",AS101-LOOKUP(2,1/(AI101:AR101&lt;&gt;""),AI101:AR101)))</t>
        </is>
      </c>
      <c r="BG101" s="49" t="inlineStr">
        <is>
          <t>IF(OR(F101="",AT101=""),"",IF(COUNT(AI101:AS101)=0,"",AT101-LOOKUP(2,1/(AI101:AS101&lt;&gt;""),AI101:AS101)))</t>
        </is>
      </c>
      <c r="BH101" s="49" t="inlineStr">
        <is>
          <t>IF(OR(F101="",AU101=""),"",IF(COUNT(AI101:AT101)=0,"",AU101-LOOKUP(2,1/(AI101:AT101&lt;&gt;""),AI101:AT101)))</t>
        </is>
      </c>
      <c r="BI101" s="49" t="inlineStr">
        <is>
          <t>IF(OR(F101="",AV101=""),"",IF(COUNT(AI101:AU101)=0,"",AV101-LOOKUP(2,1/(AI101:AU101&lt;&gt;""),AI101:AU101)))</t>
        </is>
      </c>
      <c r="BJ101" s="51" t="inlineStr">
        <is>
          <t>IF(J101="","All_Provinces",IFERROR(VLOOKUP(J101,'09_Lookups'!$A$4:$B$20,2,FALSE),"All_Provinces"))</t>
        </is>
      </c>
      <c r="BK101" s="51" t="inlineStr">
        <is>
          <t>IF(K101="","All_Districts",IFERROR(VLOOKUP(K101,'09_Lookups'!$E$4:$F$42,2,FALSE),"All_Districts"))</t>
        </is>
      </c>
    </row>
    <row r="102" ht="18" customHeight="1">
      <c r="A102" s="42" t="inlineStr">
        <is>
          <t>IF(F102="","",ROW()-3)</t>
        </is>
      </c>
      <c r="B102" s="52" t="n"/>
      <c r="C102" s="52" t="n"/>
      <c r="D102" s="52" t="n"/>
      <c r="E102" s="52" t="n"/>
      <c r="F102" s="52" t="n"/>
      <c r="G102" s="52" t="n"/>
      <c r="H102" s="52" t="n"/>
      <c r="I102" s="52" t="n"/>
      <c r="J102" s="52" t="n"/>
      <c r="K102" s="52" t="n"/>
      <c r="L102" s="52" t="n"/>
      <c r="M102" s="52" t="n"/>
      <c r="N102" s="52" t="n"/>
      <c r="O102" s="52" t="n"/>
      <c r="P102" s="52" t="n"/>
      <c r="Q102" s="52" t="n"/>
      <c r="R102" s="52" t="n"/>
      <c r="S102" s="53" t="n"/>
      <c r="T102" s="46" t="inlineStr">
        <is>
          <t>IF(AQ102="","",AQ102)</t>
        </is>
      </c>
      <c r="U102" s="54" t="n"/>
      <c r="V102" s="55" t="n"/>
      <c r="W102" s="54" t="n"/>
      <c r="X102" s="46" t="inlineStr">
        <is>
          <t>IF(W102&lt;&gt;"",W102,IF(OR(T102="",V102=""),"",EDATE(T102,V102)))</t>
        </is>
      </c>
      <c r="Y102" s="54" t="n"/>
      <c r="Z102" s="55" t="n"/>
      <c r="AA102" s="52" t="n"/>
      <c r="AB102" s="52" t="n"/>
      <c r="AC102" s="42" t="inlineStr">
        <is>
          <t>IF(F102="","",IF(COUNT(AI102:AV102)=0,IF(AA102="","Not started",AA102),SUBSTITUTE(LOOKUP(2,1/(AI102:AV102&lt;&gt;""),$AI$3:$AV$3),"Date: ","")))</t>
        </is>
      </c>
      <c r="AD102" s="49" t="inlineStr">
        <is>
          <t>IF(OR(F102="",COUNT(AI102:AV102)=0),"",TODAY()-LOOKUP(2,1/(AI102:AV102&lt;&gt;""),AI102:AV102))</t>
        </is>
      </c>
      <c r="AE102" s="49" t="inlineStr">
        <is>
          <t>IF(OR(F102="",COUNT(AI102:AV102)&lt;2),"",LOOKUP(2,1/(AI102:AV102&lt;&gt;""),AI102:AV102)-MIN(AI102:AV102))</t>
        </is>
      </c>
      <c r="AF102" s="49" t="inlineStr">
        <is>
          <t>IF(OR(AD102="",AC102="Not started",AC102=""),"",IFERROR(AD102-IF(VLOOKUP(AC102,'06_Status_Pipeline'!$B$3:$E$20,4,FALSE)="",0,VLOOKUP(AC102,'06_Status_Pipeline'!$B$3:$E$20,4,FALSE)),""))</t>
        </is>
      </c>
      <c r="AG102" s="42" t="inlineStr">
        <is>
          <t>IF(F102="","",IF(OR(AA102="Cancelled",AC102="Cancelled"),"Cancelled",IF(OR(AC102="Completed / Handover",Y102&lt;&gt;"",Z102&gt;=100),"Completed — on track",IF(O102="Not awarded",IF(U102="",IF(X102="","No planned date",IF(TODAY()&gt;X102,"Behind — past planned date",IF(X102-TODAY()&lt;=30,"At risk — close to off track","On track"))),IF(TODAY()&gt;U102,"Behind — award date passed",IF(U102-TODAY()&lt;=30,"At risk — close to off track","On track"))),IF(X102="","No planned date",IF(AND(TODAY()&gt;X102,OR(Z102="",Z102&lt;100)),"Behind — past end date",IF(AND(T102&lt;&gt;"",X102&lt;&gt;"",Z102&lt;&gt;"",(Z102&lt;100),((TODAY()-T102)/MAX(X102-T102,1)*100)-Z102&gt;15),"Behind — progress lag",IF(AND(X102-TODAY()&lt;=30,X102-TODAY()&gt;=0,OR(Z102="",Z102&lt;90)),"At risk — close to off track","On track"))))))))</t>
        </is>
      </c>
      <c r="AH102" s="49" t="inlineStr">
        <is>
          <t>IF(OR(F102="",AC102="Completed / Handover",AC102="Cancelled"),"",IF(O102="Not awarded",IF(U102&lt;&gt;"",U102-TODAY(),IF(X102="","",X102-TODAY())),IF(X102="","",X102-TODAY())))</t>
        </is>
      </c>
      <c r="AI102" s="54" t="n"/>
      <c r="AJ102" s="54" t="n"/>
      <c r="AK102" s="54" t="n"/>
      <c r="AL102" s="54" t="n"/>
      <c r="AM102" s="54" t="n"/>
      <c r="AN102" s="54" t="n"/>
      <c r="AO102" s="54" t="n"/>
      <c r="AP102" s="54" t="n"/>
      <c r="AQ102" s="54" t="n"/>
      <c r="AR102" s="54" t="n"/>
      <c r="AS102" s="54" t="n"/>
      <c r="AT102" s="50" t="n"/>
      <c r="AU102" s="50" t="n"/>
      <c r="AV102" s="50" t="n"/>
      <c r="AW102" s="49" t="inlineStr">
        <is>
          <t>IF(OR(F102="",AJ102=""),"",IF(COUNT(AI102:AI102)=0,"",AJ102-LOOKUP(2,1/(AI102:AI102&lt;&gt;""),AI102:AI102)))</t>
        </is>
      </c>
      <c r="AX102" s="49" t="inlineStr">
        <is>
          <t>IF(OR(F102="",AK102=""),"",IF(COUNT(AI102:AJ102)=0,"",AK102-LOOKUP(2,1/(AI102:AJ102&lt;&gt;""),AI102:AJ102)))</t>
        </is>
      </c>
      <c r="AY102" s="49" t="inlineStr">
        <is>
          <t>IF(OR(F102="",AL102=""),"",IF(COUNT(AI102:AK102)=0,"",AL102-LOOKUP(2,1/(AI102:AK102&lt;&gt;""),AI102:AK102)))</t>
        </is>
      </c>
      <c r="AZ102" s="49" t="inlineStr">
        <is>
          <t>IF(OR(F102="",AM102=""),"",IF(COUNT(AI102:AL102)=0,"",AM102-LOOKUP(2,1/(AI102:AL102&lt;&gt;""),AI102:AL102)))</t>
        </is>
      </c>
      <c r="BA102" s="49" t="inlineStr">
        <is>
          <t>IF(OR(F102="",AN102=""),"",IF(COUNT(AI102:AM102)=0,"",AN102-LOOKUP(2,1/(AI102:AM102&lt;&gt;""),AI102:AM102)))</t>
        </is>
      </c>
      <c r="BB102" s="49" t="inlineStr">
        <is>
          <t>IF(OR(F102="",AO102=""),"",IF(COUNT(AI102:AN102)=0,"",AO102-LOOKUP(2,1/(AI102:AN102&lt;&gt;""),AI102:AN102)))</t>
        </is>
      </c>
      <c r="BC102" s="49" t="inlineStr">
        <is>
          <t>IF(OR(F102="",AP102=""),"",IF(COUNT(AI102:AO102)=0,"",AP102-LOOKUP(2,1/(AI102:AO102&lt;&gt;""),AI102:AO102)))</t>
        </is>
      </c>
      <c r="BD102" s="49" t="inlineStr">
        <is>
          <t>IF(OR(F102="",AQ102=""),"",IF(COUNT(AI102:AP102)=0,"",AQ102-LOOKUP(2,1/(AI102:AP102&lt;&gt;""),AI102:AP102)))</t>
        </is>
      </c>
      <c r="BE102" s="49" t="inlineStr">
        <is>
          <t>IF(OR(F102="",AR102=""),"",IF(COUNT(AI102:AQ102)=0,"",AR102-LOOKUP(2,1/(AI102:AQ102&lt;&gt;""),AI102:AQ102)))</t>
        </is>
      </c>
      <c r="BF102" s="49" t="inlineStr">
        <is>
          <t>IF(OR(F102="",AS102=""),"",IF(COUNT(AI102:AR102)=0,"",AS102-LOOKUP(2,1/(AI102:AR102&lt;&gt;""),AI102:AR102)))</t>
        </is>
      </c>
      <c r="BG102" s="49" t="inlineStr">
        <is>
          <t>IF(OR(F102="",AT102=""),"",IF(COUNT(AI102:AS102)=0,"",AT102-LOOKUP(2,1/(AI102:AS102&lt;&gt;""),AI102:AS102)))</t>
        </is>
      </c>
      <c r="BH102" s="49" t="inlineStr">
        <is>
          <t>IF(OR(F102="",AU102=""),"",IF(COUNT(AI102:AT102)=0,"",AU102-LOOKUP(2,1/(AI102:AT102&lt;&gt;""),AI102:AT102)))</t>
        </is>
      </c>
      <c r="BI102" s="49" t="inlineStr">
        <is>
          <t>IF(OR(F102="",AV102=""),"",IF(COUNT(AI102:AU102)=0,"",AV102-LOOKUP(2,1/(AI102:AU102&lt;&gt;""),AI102:AU102)))</t>
        </is>
      </c>
      <c r="BJ102" s="51" t="inlineStr">
        <is>
          <t>IF(J102="","All_Provinces",IFERROR(VLOOKUP(J102,'09_Lookups'!$A$4:$B$20,2,FALSE),"All_Provinces"))</t>
        </is>
      </c>
      <c r="BK102" s="51" t="inlineStr">
        <is>
          <t>IF(K102="","All_Districts",IFERROR(VLOOKUP(K102,'09_Lookups'!$E$4:$F$42,2,FALSE),"All_Districts"))</t>
        </is>
      </c>
    </row>
    <row r="103" ht="18" customHeight="1">
      <c r="A103" s="42" t="inlineStr">
        <is>
          <t>IF(F103="","",ROW()-3)</t>
        </is>
      </c>
      <c r="B103" s="44" t="n"/>
      <c r="C103" s="44" t="n"/>
      <c r="D103" s="44" t="n"/>
      <c r="E103" s="44" t="n"/>
      <c r="F103" s="44" t="n"/>
      <c r="G103" s="44" t="n"/>
      <c r="H103" s="44" t="n"/>
      <c r="I103" s="44" t="n"/>
      <c r="J103" s="44" t="n"/>
      <c r="K103" s="44" t="n"/>
      <c r="L103" s="44" t="n"/>
      <c r="M103" s="44" t="n"/>
      <c r="N103" s="44" t="n"/>
      <c r="O103" s="44" t="n"/>
      <c r="P103" s="44" t="n"/>
      <c r="Q103" s="44" t="n"/>
      <c r="R103" s="44" t="n"/>
      <c r="S103" s="45" t="n"/>
      <c r="T103" s="46" t="inlineStr">
        <is>
          <t>IF(AQ103="","",AQ103)</t>
        </is>
      </c>
      <c r="U103" s="47" t="n"/>
      <c r="V103" s="48" t="n"/>
      <c r="W103" s="47" t="n"/>
      <c r="X103" s="46" t="inlineStr">
        <is>
          <t>IF(W103&lt;&gt;"",W103,IF(OR(T103="",V103=""),"",EDATE(T103,V103)))</t>
        </is>
      </c>
      <c r="Y103" s="47" t="n"/>
      <c r="Z103" s="48" t="n"/>
      <c r="AA103" s="44" t="n"/>
      <c r="AB103" s="44" t="n"/>
      <c r="AC103" s="42" t="inlineStr">
        <is>
          <t>IF(F103="","",IF(COUNT(AI103:AV103)=0,IF(AA103="","Not started",AA103),SUBSTITUTE(LOOKUP(2,1/(AI103:AV103&lt;&gt;""),$AI$3:$AV$3),"Date: ","")))</t>
        </is>
      </c>
      <c r="AD103" s="49" t="inlineStr">
        <is>
          <t>IF(OR(F103="",COUNT(AI103:AV103)=0),"",TODAY()-LOOKUP(2,1/(AI103:AV103&lt;&gt;""),AI103:AV103))</t>
        </is>
      </c>
      <c r="AE103" s="49" t="inlineStr">
        <is>
          <t>IF(OR(F103="",COUNT(AI103:AV103)&lt;2),"",LOOKUP(2,1/(AI103:AV103&lt;&gt;""),AI103:AV103)-MIN(AI103:AV103))</t>
        </is>
      </c>
      <c r="AF103" s="49" t="inlineStr">
        <is>
          <t>IF(OR(AD103="",AC103="Not started",AC103=""),"",IFERROR(AD103-IF(VLOOKUP(AC103,'06_Status_Pipeline'!$B$3:$E$20,4,FALSE)="",0,VLOOKUP(AC103,'06_Status_Pipeline'!$B$3:$E$20,4,FALSE)),""))</t>
        </is>
      </c>
      <c r="AG103" s="42" t="inlineStr">
        <is>
          <t>IF(F103="","",IF(OR(AA103="Cancelled",AC103="Cancelled"),"Cancelled",IF(OR(AC103="Completed / Handover",Y103&lt;&gt;"",Z103&gt;=100),"Completed — on track",IF(O103="Not awarded",IF(U103="",IF(X103="","No planned date",IF(TODAY()&gt;X103,"Behind — past planned date",IF(X103-TODAY()&lt;=30,"At risk — close to off track","On track"))),IF(TODAY()&gt;U103,"Behind — award date passed",IF(U103-TODAY()&lt;=30,"At risk — close to off track","On track"))),IF(X103="","No planned date",IF(AND(TODAY()&gt;X103,OR(Z103="",Z103&lt;100)),"Behind — past end date",IF(AND(T103&lt;&gt;"",X103&lt;&gt;"",Z103&lt;&gt;"",(Z103&lt;100),((TODAY()-T103)/MAX(X103-T103,1)*100)-Z103&gt;15),"Behind — progress lag",IF(AND(X103-TODAY()&lt;=30,X103-TODAY()&gt;=0,OR(Z103="",Z103&lt;90)),"At risk — close to off track","On track"))))))))</t>
        </is>
      </c>
      <c r="AH103" s="49" t="inlineStr">
        <is>
          <t>IF(OR(F103="",AC103="Completed / Handover",AC103="Cancelled"),"",IF(O103="Not awarded",IF(U103&lt;&gt;"",U103-TODAY(),IF(X103="","",X103-TODAY())),IF(X103="","",X103-TODAY())))</t>
        </is>
      </c>
      <c r="AI103" s="47" t="n"/>
      <c r="AJ103" s="47" t="n"/>
      <c r="AK103" s="47" t="n"/>
      <c r="AL103" s="47" t="n"/>
      <c r="AM103" s="47" t="n"/>
      <c r="AN103" s="47" t="n"/>
      <c r="AO103" s="47" t="n"/>
      <c r="AP103" s="47" t="n"/>
      <c r="AQ103" s="47" t="n"/>
      <c r="AR103" s="47" t="n"/>
      <c r="AS103" s="47" t="n"/>
      <c r="AT103" s="50" t="n"/>
      <c r="AU103" s="50" t="n"/>
      <c r="AV103" s="50" t="n"/>
      <c r="AW103" s="49" t="inlineStr">
        <is>
          <t>IF(OR(F103="",AJ103=""),"",IF(COUNT(AI103:AI103)=0,"",AJ103-LOOKUP(2,1/(AI103:AI103&lt;&gt;""),AI103:AI103)))</t>
        </is>
      </c>
      <c r="AX103" s="49" t="inlineStr">
        <is>
          <t>IF(OR(F103="",AK103=""),"",IF(COUNT(AI103:AJ103)=0,"",AK103-LOOKUP(2,1/(AI103:AJ103&lt;&gt;""),AI103:AJ103)))</t>
        </is>
      </c>
      <c r="AY103" s="49" t="inlineStr">
        <is>
          <t>IF(OR(F103="",AL103=""),"",IF(COUNT(AI103:AK103)=0,"",AL103-LOOKUP(2,1/(AI103:AK103&lt;&gt;""),AI103:AK103)))</t>
        </is>
      </c>
      <c r="AZ103" s="49" t="inlineStr">
        <is>
          <t>IF(OR(F103="",AM103=""),"",IF(COUNT(AI103:AL103)=0,"",AM103-LOOKUP(2,1/(AI103:AL103&lt;&gt;""),AI103:AL103)))</t>
        </is>
      </c>
      <c r="BA103" s="49" t="inlineStr">
        <is>
          <t>IF(OR(F103="",AN103=""),"",IF(COUNT(AI103:AM103)=0,"",AN103-LOOKUP(2,1/(AI103:AM103&lt;&gt;""),AI103:AM103)))</t>
        </is>
      </c>
      <c r="BB103" s="49" t="inlineStr">
        <is>
          <t>IF(OR(F103="",AO103=""),"",IF(COUNT(AI103:AN103)=0,"",AO103-LOOKUP(2,1/(AI103:AN103&lt;&gt;""),AI103:AN103)))</t>
        </is>
      </c>
      <c r="BC103" s="49" t="inlineStr">
        <is>
          <t>IF(OR(F103="",AP103=""),"",IF(COUNT(AI103:AO103)=0,"",AP103-LOOKUP(2,1/(AI103:AO103&lt;&gt;""),AI103:AO103)))</t>
        </is>
      </c>
      <c r="BD103" s="49" t="inlineStr">
        <is>
          <t>IF(OR(F103="",AQ103=""),"",IF(COUNT(AI103:AP103)=0,"",AQ103-LOOKUP(2,1/(AI103:AP103&lt;&gt;""),AI103:AP103)))</t>
        </is>
      </c>
      <c r="BE103" s="49" t="inlineStr">
        <is>
          <t>IF(OR(F103="",AR103=""),"",IF(COUNT(AI103:AQ103)=0,"",AR103-LOOKUP(2,1/(AI103:AQ103&lt;&gt;""),AI103:AQ103)))</t>
        </is>
      </c>
      <c r="BF103" s="49" t="inlineStr">
        <is>
          <t>IF(OR(F103="",AS103=""),"",IF(COUNT(AI103:AR103)=0,"",AS103-LOOKUP(2,1/(AI103:AR103&lt;&gt;""),AI103:AR103)))</t>
        </is>
      </c>
      <c r="BG103" s="49" t="inlineStr">
        <is>
          <t>IF(OR(F103="",AT103=""),"",IF(COUNT(AI103:AS103)=0,"",AT103-LOOKUP(2,1/(AI103:AS103&lt;&gt;""),AI103:AS103)))</t>
        </is>
      </c>
      <c r="BH103" s="49" t="inlineStr">
        <is>
          <t>IF(OR(F103="",AU103=""),"",IF(COUNT(AI103:AT103)=0,"",AU103-LOOKUP(2,1/(AI103:AT103&lt;&gt;""),AI103:AT103)))</t>
        </is>
      </c>
      <c r="BI103" s="49" t="inlineStr">
        <is>
          <t>IF(OR(F103="",AV103=""),"",IF(COUNT(AI103:AU103)=0,"",AV103-LOOKUP(2,1/(AI103:AU103&lt;&gt;""),AI103:AU103)))</t>
        </is>
      </c>
      <c r="BJ103" s="51" t="inlineStr">
        <is>
          <t>IF(J103="","All_Provinces",IFERROR(VLOOKUP(J103,'09_Lookups'!$A$4:$B$20,2,FALSE),"All_Provinces"))</t>
        </is>
      </c>
      <c r="BK103" s="51" t="inlineStr">
        <is>
          <t>IF(K103="","All_Districts",IFERROR(VLOOKUP(K103,'09_Lookups'!$E$4:$F$42,2,FALSE),"All_Districts"))</t>
        </is>
      </c>
    </row>
    <row r="104" ht="18" customHeight="1">
      <c r="A104" s="42" t="inlineStr">
        <is>
          <t>IF(F104="","",ROW()-3)</t>
        </is>
      </c>
      <c r="B104" s="52" t="n"/>
      <c r="C104" s="52" t="n"/>
      <c r="D104" s="52" t="n"/>
      <c r="E104" s="52" t="n"/>
      <c r="F104" s="52" t="n"/>
      <c r="G104" s="52" t="n"/>
      <c r="H104" s="52" t="n"/>
      <c r="I104" s="52" t="n"/>
      <c r="J104" s="52" t="n"/>
      <c r="K104" s="52" t="n"/>
      <c r="L104" s="52" t="n"/>
      <c r="M104" s="52" t="n"/>
      <c r="N104" s="52" t="n"/>
      <c r="O104" s="52" t="n"/>
      <c r="P104" s="52" t="n"/>
      <c r="Q104" s="52" t="n"/>
      <c r="R104" s="52" t="n"/>
      <c r="S104" s="53" t="n"/>
      <c r="T104" s="46" t="inlineStr">
        <is>
          <t>IF(AQ104="","",AQ104)</t>
        </is>
      </c>
      <c r="U104" s="54" t="n"/>
      <c r="V104" s="55" t="n"/>
      <c r="W104" s="54" t="n"/>
      <c r="X104" s="46" t="inlineStr">
        <is>
          <t>IF(W104&lt;&gt;"",W104,IF(OR(T104="",V104=""),"",EDATE(T104,V104)))</t>
        </is>
      </c>
      <c r="Y104" s="54" t="n"/>
      <c r="Z104" s="55" t="n"/>
      <c r="AA104" s="52" t="n"/>
      <c r="AB104" s="52" t="n"/>
      <c r="AC104" s="42" t="inlineStr">
        <is>
          <t>IF(F104="","",IF(COUNT(AI104:AV104)=0,IF(AA104="","Not started",AA104),SUBSTITUTE(LOOKUP(2,1/(AI104:AV104&lt;&gt;""),$AI$3:$AV$3),"Date: ","")))</t>
        </is>
      </c>
      <c r="AD104" s="49" t="inlineStr">
        <is>
          <t>IF(OR(F104="",COUNT(AI104:AV104)=0),"",TODAY()-LOOKUP(2,1/(AI104:AV104&lt;&gt;""),AI104:AV104))</t>
        </is>
      </c>
      <c r="AE104" s="49" t="inlineStr">
        <is>
          <t>IF(OR(F104="",COUNT(AI104:AV104)&lt;2),"",LOOKUP(2,1/(AI104:AV104&lt;&gt;""),AI104:AV104)-MIN(AI104:AV104))</t>
        </is>
      </c>
      <c r="AF104" s="49" t="inlineStr">
        <is>
          <t>IF(OR(AD104="",AC104="Not started",AC104=""),"",IFERROR(AD104-IF(VLOOKUP(AC104,'06_Status_Pipeline'!$B$3:$E$20,4,FALSE)="",0,VLOOKUP(AC104,'06_Status_Pipeline'!$B$3:$E$20,4,FALSE)),""))</t>
        </is>
      </c>
      <c r="AG104" s="42" t="inlineStr">
        <is>
          <t>IF(F104="","",IF(OR(AA104="Cancelled",AC104="Cancelled"),"Cancelled",IF(OR(AC104="Completed / Handover",Y104&lt;&gt;"",Z104&gt;=100),"Completed — on track",IF(O104="Not awarded",IF(U104="",IF(X104="","No planned date",IF(TODAY()&gt;X104,"Behind — past planned date",IF(X104-TODAY()&lt;=30,"At risk — close to off track","On track"))),IF(TODAY()&gt;U104,"Behind — award date passed",IF(U104-TODAY()&lt;=30,"At risk — close to off track","On track"))),IF(X104="","No planned date",IF(AND(TODAY()&gt;X104,OR(Z104="",Z104&lt;100)),"Behind — past end date",IF(AND(T104&lt;&gt;"",X104&lt;&gt;"",Z104&lt;&gt;"",(Z104&lt;100),((TODAY()-T104)/MAX(X104-T104,1)*100)-Z104&gt;15),"Behind — progress lag",IF(AND(X104-TODAY()&lt;=30,X104-TODAY()&gt;=0,OR(Z104="",Z104&lt;90)),"At risk — close to off track","On track"))))))))</t>
        </is>
      </c>
      <c r="AH104" s="49" t="inlineStr">
        <is>
          <t>IF(OR(F104="",AC104="Completed / Handover",AC104="Cancelled"),"",IF(O104="Not awarded",IF(U104&lt;&gt;"",U104-TODAY(),IF(X104="","",X104-TODAY())),IF(X104="","",X104-TODAY())))</t>
        </is>
      </c>
      <c r="AI104" s="54" t="n"/>
      <c r="AJ104" s="54" t="n"/>
      <c r="AK104" s="54" t="n"/>
      <c r="AL104" s="54" t="n"/>
      <c r="AM104" s="54" t="n"/>
      <c r="AN104" s="54" t="n"/>
      <c r="AO104" s="54" t="n"/>
      <c r="AP104" s="54" t="n"/>
      <c r="AQ104" s="54" t="n"/>
      <c r="AR104" s="54" t="n"/>
      <c r="AS104" s="54" t="n"/>
      <c r="AT104" s="50" t="n"/>
      <c r="AU104" s="50" t="n"/>
      <c r="AV104" s="50" t="n"/>
      <c r="AW104" s="49" t="inlineStr">
        <is>
          <t>IF(OR(F104="",AJ104=""),"",IF(COUNT(AI104:AI104)=0,"",AJ104-LOOKUP(2,1/(AI104:AI104&lt;&gt;""),AI104:AI104)))</t>
        </is>
      </c>
      <c r="AX104" s="49" t="inlineStr">
        <is>
          <t>IF(OR(F104="",AK104=""),"",IF(COUNT(AI104:AJ104)=0,"",AK104-LOOKUP(2,1/(AI104:AJ104&lt;&gt;""),AI104:AJ104)))</t>
        </is>
      </c>
      <c r="AY104" s="49" t="inlineStr">
        <is>
          <t>IF(OR(F104="",AL104=""),"",IF(COUNT(AI104:AK104)=0,"",AL104-LOOKUP(2,1/(AI104:AK104&lt;&gt;""),AI104:AK104)))</t>
        </is>
      </c>
      <c r="AZ104" s="49" t="inlineStr">
        <is>
          <t>IF(OR(F104="",AM104=""),"",IF(COUNT(AI104:AL104)=0,"",AM104-LOOKUP(2,1/(AI104:AL104&lt;&gt;""),AI104:AL104)))</t>
        </is>
      </c>
      <c r="BA104" s="49" t="inlineStr">
        <is>
          <t>IF(OR(F104="",AN104=""),"",IF(COUNT(AI104:AM104)=0,"",AN104-LOOKUP(2,1/(AI104:AM104&lt;&gt;""),AI104:AM104)))</t>
        </is>
      </c>
      <c r="BB104" s="49" t="inlineStr">
        <is>
          <t>IF(OR(F104="",AO104=""),"",IF(COUNT(AI104:AN104)=0,"",AO104-LOOKUP(2,1/(AI104:AN104&lt;&gt;""),AI104:AN104)))</t>
        </is>
      </c>
      <c r="BC104" s="49" t="inlineStr">
        <is>
          <t>IF(OR(F104="",AP104=""),"",IF(COUNT(AI104:AO104)=0,"",AP104-LOOKUP(2,1/(AI104:AO104&lt;&gt;""),AI104:AO104)))</t>
        </is>
      </c>
      <c r="BD104" s="49" t="inlineStr">
        <is>
          <t>IF(OR(F104="",AQ104=""),"",IF(COUNT(AI104:AP104)=0,"",AQ104-LOOKUP(2,1/(AI104:AP104&lt;&gt;""),AI104:AP104)))</t>
        </is>
      </c>
      <c r="BE104" s="49" t="inlineStr">
        <is>
          <t>IF(OR(F104="",AR104=""),"",IF(COUNT(AI104:AQ104)=0,"",AR104-LOOKUP(2,1/(AI104:AQ104&lt;&gt;""),AI104:AQ104)))</t>
        </is>
      </c>
      <c r="BF104" s="49" t="inlineStr">
        <is>
          <t>IF(OR(F104="",AS104=""),"",IF(COUNT(AI104:AR104)=0,"",AS104-LOOKUP(2,1/(AI104:AR104&lt;&gt;""),AI104:AR104)))</t>
        </is>
      </c>
      <c r="BG104" s="49" t="inlineStr">
        <is>
          <t>IF(OR(F104="",AT104=""),"",IF(COUNT(AI104:AS104)=0,"",AT104-LOOKUP(2,1/(AI104:AS104&lt;&gt;""),AI104:AS104)))</t>
        </is>
      </c>
      <c r="BH104" s="49" t="inlineStr">
        <is>
          <t>IF(OR(F104="",AU104=""),"",IF(COUNT(AI104:AT104)=0,"",AU104-LOOKUP(2,1/(AI104:AT104&lt;&gt;""),AI104:AT104)))</t>
        </is>
      </c>
      <c r="BI104" s="49" t="inlineStr">
        <is>
          <t>IF(OR(F104="",AV104=""),"",IF(COUNT(AI104:AU104)=0,"",AV104-LOOKUP(2,1/(AI104:AU104&lt;&gt;""),AI104:AU104)))</t>
        </is>
      </c>
      <c r="BJ104" s="51" t="inlineStr">
        <is>
          <t>IF(J104="","All_Provinces",IFERROR(VLOOKUP(J104,'09_Lookups'!$A$4:$B$20,2,FALSE),"All_Provinces"))</t>
        </is>
      </c>
      <c r="BK104" s="51" t="inlineStr">
        <is>
          <t>IF(K104="","All_Districts",IFERROR(VLOOKUP(K104,'09_Lookups'!$E$4:$F$42,2,FALSE),"All_Districts"))</t>
        </is>
      </c>
    </row>
    <row r="105" ht="18" customHeight="1">
      <c r="A105" s="42" t="inlineStr">
        <is>
          <t>IF(F105="","",ROW()-3)</t>
        </is>
      </c>
      <c r="B105" s="44" t="n"/>
      <c r="C105" s="44" t="n"/>
      <c r="D105" s="44" t="n"/>
      <c r="E105" s="44" t="n"/>
      <c r="F105" s="44" t="n"/>
      <c r="G105" s="44" t="n"/>
      <c r="H105" s="44" t="n"/>
      <c r="I105" s="44" t="n"/>
      <c r="J105" s="44" t="n"/>
      <c r="K105" s="44" t="n"/>
      <c r="L105" s="44" t="n"/>
      <c r="M105" s="44" t="n"/>
      <c r="N105" s="44" t="n"/>
      <c r="O105" s="44" t="n"/>
      <c r="P105" s="44" t="n"/>
      <c r="Q105" s="44" t="n"/>
      <c r="R105" s="44" t="n"/>
      <c r="S105" s="45" t="n"/>
      <c r="T105" s="46" t="inlineStr">
        <is>
          <t>IF(AQ105="","",AQ105)</t>
        </is>
      </c>
      <c r="U105" s="47" t="n"/>
      <c r="V105" s="48" t="n"/>
      <c r="W105" s="47" t="n"/>
      <c r="X105" s="46" t="inlineStr">
        <is>
          <t>IF(W105&lt;&gt;"",W105,IF(OR(T105="",V105=""),"",EDATE(T105,V105)))</t>
        </is>
      </c>
      <c r="Y105" s="47" t="n"/>
      <c r="Z105" s="48" t="n"/>
      <c r="AA105" s="44" t="n"/>
      <c r="AB105" s="44" t="n"/>
      <c r="AC105" s="42" t="inlineStr">
        <is>
          <t>IF(F105="","",IF(COUNT(AI105:AV105)=0,IF(AA105="","Not started",AA105),SUBSTITUTE(LOOKUP(2,1/(AI105:AV105&lt;&gt;""),$AI$3:$AV$3),"Date: ","")))</t>
        </is>
      </c>
      <c r="AD105" s="49" t="inlineStr">
        <is>
          <t>IF(OR(F105="",COUNT(AI105:AV105)=0),"",TODAY()-LOOKUP(2,1/(AI105:AV105&lt;&gt;""),AI105:AV105))</t>
        </is>
      </c>
      <c r="AE105" s="49" t="inlineStr">
        <is>
          <t>IF(OR(F105="",COUNT(AI105:AV105)&lt;2),"",LOOKUP(2,1/(AI105:AV105&lt;&gt;""),AI105:AV105)-MIN(AI105:AV105))</t>
        </is>
      </c>
      <c r="AF105" s="49" t="inlineStr">
        <is>
          <t>IF(OR(AD105="",AC105="Not started",AC105=""),"",IFERROR(AD105-IF(VLOOKUP(AC105,'06_Status_Pipeline'!$B$3:$E$20,4,FALSE)="",0,VLOOKUP(AC105,'06_Status_Pipeline'!$B$3:$E$20,4,FALSE)),""))</t>
        </is>
      </c>
      <c r="AG105" s="42" t="inlineStr">
        <is>
          <t>IF(F105="","",IF(OR(AA105="Cancelled",AC105="Cancelled"),"Cancelled",IF(OR(AC105="Completed / Handover",Y105&lt;&gt;"",Z105&gt;=100),"Completed — on track",IF(O105="Not awarded",IF(U105="",IF(X105="","No planned date",IF(TODAY()&gt;X105,"Behind — past planned date",IF(X105-TODAY()&lt;=30,"At risk — close to off track","On track"))),IF(TODAY()&gt;U105,"Behind — award date passed",IF(U105-TODAY()&lt;=30,"At risk — close to off track","On track"))),IF(X105="","No planned date",IF(AND(TODAY()&gt;X105,OR(Z105="",Z105&lt;100)),"Behind — past end date",IF(AND(T105&lt;&gt;"",X105&lt;&gt;"",Z105&lt;&gt;"",(Z105&lt;100),((TODAY()-T105)/MAX(X105-T105,1)*100)-Z105&gt;15),"Behind — progress lag",IF(AND(X105-TODAY()&lt;=30,X105-TODAY()&gt;=0,OR(Z105="",Z105&lt;90)),"At risk — close to off track","On track"))))))))</t>
        </is>
      </c>
      <c r="AH105" s="49" t="inlineStr">
        <is>
          <t>IF(OR(F105="",AC105="Completed / Handover",AC105="Cancelled"),"",IF(O105="Not awarded",IF(U105&lt;&gt;"",U105-TODAY(),IF(X105="","",X105-TODAY())),IF(X105="","",X105-TODAY())))</t>
        </is>
      </c>
      <c r="AI105" s="47" t="n"/>
      <c r="AJ105" s="47" t="n"/>
      <c r="AK105" s="47" t="n"/>
      <c r="AL105" s="47" t="n"/>
      <c r="AM105" s="47" t="n"/>
      <c r="AN105" s="47" t="n"/>
      <c r="AO105" s="47" t="n"/>
      <c r="AP105" s="47" t="n"/>
      <c r="AQ105" s="47" t="n"/>
      <c r="AR105" s="47" t="n"/>
      <c r="AS105" s="47" t="n"/>
      <c r="AT105" s="50" t="n"/>
      <c r="AU105" s="50" t="n"/>
      <c r="AV105" s="50" t="n"/>
      <c r="AW105" s="49" t="inlineStr">
        <is>
          <t>IF(OR(F105="",AJ105=""),"",IF(COUNT(AI105:AI105)=0,"",AJ105-LOOKUP(2,1/(AI105:AI105&lt;&gt;""),AI105:AI105)))</t>
        </is>
      </c>
      <c r="AX105" s="49" t="inlineStr">
        <is>
          <t>IF(OR(F105="",AK105=""),"",IF(COUNT(AI105:AJ105)=0,"",AK105-LOOKUP(2,1/(AI105:AJ105&lt;&gt;""),AI105:AJ105)))</t>
        </is>
      </c>
      <c r="AY105" s="49" t="inlineStr">
        <is>
          <t>IF(OR(F105="",AL105=""),"",IF(COUNT(AI105:AK105)=0,"",AL105-LOOKUP(2,1/(AI105:AK105&lt;&gt;""),AI105:AK105)))</t>
        </is>
      </c>
      <c r="AZ105" s="49" t="inlineStr">
        <is>
          <t>IF(OR(F105="",AM105=""),"",IF(COUNT(AI105:AL105)=0,"",AM105-LOOKUP(2,1/(AI105:AL105&lt;&gt;""),AI105:AL105)))</t>
        </is>
      </c>
      <c r="BA105" s="49" t="inlineStr">
        <is>
          <t>IF(OR(F105="",AN105=""),"",IF(COUNT(AI105:AM105)=0,"",AN105-LOOKUP(2,1/(AI105:AM105&lt;&gt;""),AI105:AM105)))</t>
        </is>
      </c>
      <c r="BB105" s="49" t="inlineStr">
        <is>
          <t>IF(OR(F105="",AO105=""),"",IF(COUNT(AI105:AN105)=0,"",AO105-LOOKUP(2,1/(AI105:AN105&lt;&gt;""),AI105:AN105)))</t>
        </is>
      </c>
      <c r="BC105" s="49" t="inlineStr">
        <is>
          <t>IF(OR(F105="",AP105=""),"",IF(COUNT(AI105:AO105)=0,"",AP105-LOOKUP(2,1/(AI105:AO105&lt;&gt;""),AI105:AO105)))</t>
        </is>
      </c>
      <c r="BD105" s="49" t="inlineStr">
        <is>
          <t>IF(OR(F105="",AQ105=""),"",IF(COUNT(AI105:AP105)=0,"",AQ105-LOOKUP(2,1/(AI105:AP105&lt;&gt;""),AI105:AP105)))</t>
        </is>
      </c>
      <c r="BE105" s="49" t="inlineStr">
        <is>
          <t>IF(OR(F105="",AR105=""),"",IF(COUNT(AI105:AQ105)=0,"",AR105-LOOKUP(2,1/(AI105:AQ105&lt;&gt;""),AI105:AQ105)))</t>
        </is>
      </c>
      <c r="BF105" s="49" t="inlineStr">
        <is>
          <t>IF(OR(F105="",AS105=""),"",IF(COUNT(AI105:AR105)=0,"",AS105-LOOKUP(2,1/(AI105:AR105&lt;&gt;""),AI105:AR105)))</t>
        </is>
      </c>
      <c r="BG105" s="49" t="inlineStr">
        <is>
          <t>IF(OR(F105="",AT105=""),"",IF(COUNT(AI105:AS105)=0,"",AT105-LOOKUP(2,1/(AI105:AS105&lt;&gt;""),AI105:AS105)))</t>
        </is>
      </c>
      <c r="BH105" s="49" t="inlineStr">
        <is>
          <t>IF(OR(F105="",AU105=""),"",IF(COUNT(AI105:AT105)=0,"",AU105-LOOKUP(2,1/(AI105:AT105&lt;&gt;""),AI105:AT105)))</t>
        </is>
      </c>
      <c r="BI105" s="49" t="inlineStr">
        <is>
          <t>IF(OR(F105="",AV105=""),"",IF(COUNT(AI105:AU105)=0,"",AV105-LOOKUP(2,1/(AI105:AU105&lt;&gt;""),AI105:AU105)))</t>
        </is>
      </c>
      <c r="BJ105" s="51" t="inlineStr">
        <is>
          <t>IF(J105="","All_Provinces",IFERROR(VLOOKUP(J105,'09_Lookups'!$A$4:$B$20,2,FALSE),"All_Provinces"))</t>
        </is>
      </c>
      <c r="BK105" s="51" t="inlineStr">
        <is>
          <t>IF(K105="","All_Districts",IFERROR(VLOOKUP(K105,'09_Lookups'!$E$4:$F$42,2,FALSE),"All_Districts"))</t>
        </is>
      </c>
    </row>
    <row r="106" ht="18" customHeight="1">
      <c r="A106" s="42" t="inlineStr">
        <is>
          <t>IF(F106="","",ROW()-3)</t>
        </is>
      </c>
      <c r="B106" s="52" t="n"/>
      <c r="C106" s="52" t="n"/>
      <c r="D106" s="52" t="n"/>
      <c r="E106" s="52" t="n"/>
      <c r="F106" s="52" t="n"/>
      <c r="G106" s="52" t="n"/>
      <c r="H106" s="52" t="n"/>
      <c r="I106" s="52" t="n"/>
      <c r="J106" s="52" t="n"/>
      <c r="K106" s="52" t="n"/>
      <c r="L106" s="52" t="n"/>
      <c r="M106" s="52" t="n"/>
      <c r="N106" s="52" t="n"/>
      <c r="O106" s="52" t="n"/>
      <c r="P106" s="52" t="n"/>
      <c r="Q106" s="52" t="n"/>
      <c r="R106" s="52" t="n"/>
      <c r="S106" s="53" t="n"/>
      <c r="T106" s="46" t="inlineStr">
        <is>
          <t>IF(AQ106="","",AQ106)</t>
        </is>
      </c>
      <c r="U106" s="54" t="n"/>
      <c r="V106" s="55" t="n"/>
      <c r="W106" s="54" t="n"/>
      <c r="X106" s="46" t="inlineStr">
        <is>
          <t>IF(W106&lt;&gt;"",W106,IF(OR(T106="",V106=""),"",EDATE(T106,V106)))</t>
        </is>
      </c>
      <c r="Y106" s="54" t="n"/>
      <c r="Z106" s="55" t="n"/>
      <c r="AA106" s="52" t="n"/>
      <c r="AB106" s="52" t="n"/>
      <c r="AC106" s="42" t="inlineStr">
        <is>
          <t>IF(F106="","",IF(COUNT(AI106:AV106)=0,IF(AA106="","Not started",AA106),SUBSTITUTE(LOOKUP(2,1/(AI106:AV106&lt;&gt;""),$AI$3:$AV$3),"Date: ","")))</t>
        </is>
      </c>
      <c r="AD106" s="49" t="inlineStr">
        <is>
          <t>IF(OR(F106="",COUNT(AI106:AV106)=0),"",TODAY()-LOOKUP(2,1/(AI106:AV106&lt;&gt;""),AI106:AV106))</t>
        </is>
      </c>
      <c r="AE106" s="49" t="inlineStr">
        <is>
          <t>IF(OR(F106="",COUNT(AI106:AV106)&lt;2),"",LOOKUP(2,1/(AI106:AV106&lt;&gt;""),AI106:AV106)-MIN(AI106:AV106))</t>
        </is>
      </c>
      <c r="AF106" s="49" t="inlineStr">
        <is>
          <t>IF(OR(AD106="",AC106="Not started",AC106=""),"",IFERROR(AD106-IF(VLOOKUP(AC106,'06_Status_Pipeline'!$B$3:$E$20,4,FALSE)="",0,VLOOKUP(AC106,'06_Status_Pipeline'!$B$3:$E$20,4,FALSE)),""))</t>
        </is>
      </c>
      <c r="AG106" s="42" t="inlineStr">
        <is>
          <t>IF(F106="","",IF(OR(AA106="Cancelled",AC106="Cancelled"),"Cancelled",IF(OR(AC106="Completed / Handover",Y106&lt;&gt;"",Z106&gt;=100),"Completed — on track",IF(O106="Not awarded",IF(U106="",IF(X106="","No planned date",IF(TODAY()&gt;X106,"Behind — past planned date",IF(X106-TODAY()&lt;=30,"At risk — close to off track","On track"))),IF(TODAY()&gt;U106,"Behind — award date passed",IF(U106-TODAY()&lt;=30,"At risk — close to off track","On track"))),IF(X106="","No planned date",IF(AND(TODAY()&gt;X106,OR(Z106="",Z106&lt;100)),"Behind — past end date",IF(AND(T106&lt;&gt;"",X106&lt;&gt;"",Z106&lt;&gt;"",(Z106&lt;100),((TODAY()-T106)/MAX(X106-T106,1)*100)-Z106&gt;15),"Behind — progress lag",IF(AND(X106-TODAY()&lt;=30,X106-TODAY()&gt;=0,OR(Z106="",Z106&lt;90)),"At risk — close to off track","On track"))))))))</t>
        </is>
      </c>
      <c r="AH106" s="49" t="inlineStr">
        <is>
          <t>IF(OR(F106="",AC106="Completed / Handover",AC106="Cancelled"),"",IF(O106="Not awarded",IF(U106&lt;&gt;"",U106-TODAY(),IF(X106="","",X106-TODAY())),IF(X106="","",X106-TODAY())))</t>
        </is>
      </c>
      <c r="AI106" s="54" t="n"/>
      <c r="AJ106" s="54" t="n"/>
      <c r="AK106" s="54" t="n"/>
      <c r="AL106" s="54" t="n"/>
      <c r="AM106" s="54" t="n"/>
      <c r="AN106" s="54" t="n"/>
      <c r="AO106" s="54" t="n"/>
      <c r="AP106" s="54" t="n"/>
      <c r="AQ106" s="54" t="n"/>
      <c r="AR106" s="54" t="n"/>
      <c r="AS106" s="54" t="n"/>
      <c r="AT106" s="50" t="n"/>
      <c r="AU106" s="50" t="n"/>
      <c r="AV106" s="50" t="n"/>
      <c r="AW106" s="49" t="inlineStr">
        <is>
          <t>IF(OR(F106="",AJ106=""),"",IF(COUNT(AI106:AI106)=0,"",AJ106-LOOKUP(2,1/(AI106:AI106&lt;&gt;""),AI106:AI106)))</t>
        </is>
      </c>
      <c r="AX106" s="49" t="inlineStr">
        <is>
          <t>IF(OR(F106="",AK106=""),"",IF(COUNT(AI106:AJ106)=0,"",AK106-LOOKUP(2,1/(AI106:AJ106&lt;&gt;""),AI106:AJ106)))</t>
        </is>
      </c>
      <c r="AY106" s="49" t="inlineStr">
        <is>
          <t>IF(OR(F106="",AL106=""),"",IF(COUNT(AI106:AK106)=0,"",AL106-LOOKUP(2,1/(AI106:AK106&lt;&gt;""),AI106:AK106)))</t>
        </is>
      </c>
      <c r="AZ106" s="49" t="inlineStr">
        <is>
          <t>IF(OR(F106="",AM106=""),"",IF(COUNT(AI106:AL106)=0,"",AM106-LOOKUP(2,1/(AI106:AL106&lt;&gt;""),AI106:AL106)))</t>
        </is>
      </c>
      <c r="BA106" s="49" t="inlineStr">
        <is>
          <t>IF(OR(F106="",AN106=""),"",IF(COUNT(AI106:AM106)=0,"",AN106-LOOKUP(2,1/(AI106:AM106&lt;&gt;""),AI106:AM106)))</t>
        </is>
      </c>
      <c r="BB106" s="49" t="inlineStr">
        <is>
          <t>IF(OR(F106="",AO106=""),"",IF(COUNT(AI106:AN106)=0,"",AO106-LOOKUP(2,1/(AI106:AN106&lt;&gt;""),AI106:AN106)))</t>
        </is>
      </c>
      <c r="BC106" s="49" t="inlineStr">
        <is>
          <t>IF(OR(F106="",AP106=""),"",IF(COUNT(AI106:AO106)=0,"",AP106-LOOKUP(2,1/(AI106:AO106&lt;&gt;""),AI106:AO106)))</t>
        </is>
      </c>
      <c r="BD106" s="49" t="inlineStr">
        <is>
          <t>IF(OR(F106="",AQ106=""),"",IF(COUNT(AI106:AP106)=0,"",AQ106-LOOKUP(2,1/(AI106:AP106&lt;&gt;""),AI106:AP106)))</t>
        </is>
      </c>
      <c r="BE106" s="49" t="inlineStr">
        <is>
          <t>IF(OR(F106="",AR106=""),"",IF(COUNT(AI106:AQ106)=0,"",AR106-LOOKUP(2,1/(AI106:AQ106&lt;&gt;""),AI106:AQ106)))</t>
        </is>
      </c>
      <c r="BF106" s="49" t="inlineStr">
        <is>
          <t>IF(OR(F106="",AS106=""),"",IF(COUNT(AI106:AR106)=0,"",AS106-LOOKUP(2,1/(AI106:AR106&lt;&gt;""),AI106:AR106)))</t>
        </is>
      </c>
      <c r="BG106" s="49" t="inlineStr">
        <is>
          <t>IF(OR(F106="",AT106=""),"",IF(COUNT(AI106:AS106)=0,"",AT106-LOOKUP(2,1/(AI106:AS106&lt;&gt;""),AI106:AS106)))</t>
        </is>
      </c>
      <c r="BH106" s="49" t="inlineStr">
        <is>
          <t>IF(OR(F106="",AU106=""),"",IF(COUNT(AI106:AT106)=0,"",AU106-LOOKUP(2,1/(AI106:AT106&lt;&gt;""),AI106:AT106)))</t>
        </is>
      </c>
      <c r="BI106" s="49" t="inlineStr">
        <is>
          <t>IF(OR(F106="",AV106=""),"",IF(COUNT(AI106:AU106)=0,"",AV106-LOOKUP(2,1/(AI106:AU106&lt;&gt;""),AI106:AU106)))</t>
        </is>
      </c>
      <c r="BJ106" s="51" t="inlineStr">
        <is>
          <t>IF(J106="","All_Provinces",IFERROR(VLOOKUP(J106,'09_Lookups'!$A$4:$B$20,2,FALSE),"All_Provinces"))</t>
        </is>
      </c>
      <c r="BK106" s="51" t="inlineStr">
        <is>
          <t>IF(K106="","All_Districts",IFERROR(VLOOKUP(K106,'09_Lookups'!$E$4:$F$42,2,FALSE),"All_Districts"))</t>
        </is>
      </c>
    </row>
    <row r="107" ht="18" customHeight="1">
      <c r="A107" s="42" t="inlineStr">
        <is>
          <t>IF(F107="","",ROW()-3)</t>
        </is>
      </c>
      <c r="B107" s="44" t="n"/>
      <c r="C107" s="44" t="n"/>
      <c r="D107" s="44" t="n"/>
      <c r="E107" s="44" t="n"/>
      <c r="F107" s="44" t="n"/>
      <c r="G107" s="44" t="n"/>
      <c r="H107" s="44" t="n"/>
      <c r="I107" s="44" t="n"/>
      <c r="J107" s="44" t="n"/>
      <c r="K107" s="44" t="n"/>
      <c r="L107" s="44" t="n"/>
      <c r="M107" s="44" t="n"/>
      <c r="N107" s="44" t="n"/>
      <c r="O107" s="44" t="n"/>
      <c r="P107" s="44" t="n"/>
      <c r="Q107" s="44" t="n"/>
      <c r="R107" s="44" t="n"/>
      <c r="S107" s="45" t="n"/>
      <c r="T107" s="46" t="inlineStr">
        <is>
          <t>IF(AQ107="","",AQ107)</t>
        </is>
      </c>
      <c r="U107" s="47" t="n"/>
      <c r="V107" s="48" t="n"/>
      <c r="W107" s="47" t="n"/>
      <c r="X107" s="46" t="inlineStr">
        <is>
          <t>IF(W107&lt;&gt;"",W107,IF(OR(T107="",V107=""),"",EDATE(T107,V107)))</t>
        </is>
      </c>
      <c r="Y107" s="47" t="n"/>
      <c r="Z107" s="48" t="n"/>
      <c r="AA107" s="44" t="n"/>
      <c r="AB107" s="44" t="n"/>
      <c r="AC107" s="42" t="inlineStr">
        <is>
          <t>IF(F107="","",IF(COUNT(AI107:AV107)=0,IF(AA107="","Not started",AA107),SUBSTITUTE(LOOKUP(2,1/(AI107:AV107&lt;&gt;""),$AI$3:$AV$3),"Date: ","")))</t>
        </is>
      </c>
      <c r="AD107" s="49" t="inlineStr">
        <is>
          <t>IF(OR(F107="",COUNT(AI107:AV107)=0),"",TODAY()-LOOKUP(2,1/(AI107:AV107&lt;&gt;""),AI107:AV107))</t>
        </is>
      </c>
      <c r="AE107" s="49" t="inlineStr">
        <is>
          <t>IF(OR(F107="",COUNT(AI107:AV107)&lt;2),"",LOOKUP(2,1/(AI107:AV107&lt;&gt;""),AI107:AV107)-MIN(AI107:AV107))</t>
        </is>
      </c>
      <c r="AF107" s="49" t="inlineStr">
        <is>
          <t>IF(OR(AD107="",AC107="Not started",AC107=""),"",IFERROR(AD107-IF(VLOOKUP(AC107,'06_Status_Pipeline'!$B$3:$E$20,4,FALSE)="",0,VLOOKUP(AC107,'06_Status_Pipeline'!$B$3:$E$20,4,FALSE)),""))</t>
        </is>
      </c>
      <c r="AG107" s="42" t="inlineStr">
        <is>
          <t>IF(F107="","",IF(OR(AA107="Cancelled",AC107="Cancelled"),"Cancelled",IF(OR(AC107="Completed / Handover",Y107&lt;&gt;"",Z107&gt;=100),"Completed — on track",IF(O107="Not awarded",IF(U107="",IF(X107="","No planned date",IF(TODAY()&gt;X107,"Behind — past planned date",IF(X107-TODAY()&lt;=30,"At risk — close to off track","On track"))),IF(TODAY()&gt;U107,"Behind — award date passed",IF(U107-TODAY()&lt;=30,"At risk — close to off track","On track"))),IF(X107="","No planned date",IF(AND(TODAY()&gt;X107,OR(Z107="",Z107&lt;100)),"Behind — past end date",IF(AND(T107&lt;&gt;"",X107&lt;&gt;"",Z107&lt;&gt;"",(Z107&lt;100),((TODAY()-T107)/MAX(X107-T107,1)*100)-Z107&gt;15),"Behind — progress lag",IF(AND(X107-TODAY()&lt;=30,X107-TODAY()&gt;=0,OR(Z107="",Z107&lt;90)),"At risk — close to off track","On track"))))))))</t>
        </is>
      </c>
      <c r="AH107" s="49" t="inlineStr">
        <is>
          <t>IF(OR(F107="",AC107="Completed / Handover",AC107="Cancelled"),"",IF(O107="Not awarded",IF(U107&lt;&gt;"",U107-TODAY(),IF(X107="","",X107-TODAY())),IF(X107="","",X107-TODAY())))</t>
        </is>
      </c>
      <c r="AI107" s="47" t="n"/>
      <c r="AJ107" s="47" t="n"/>
      <c r="AK107" s="47" t="n"/>
      <c r="AL107" s="47" t="n"/>
      <c r="AM107" s="47" t="n"/>
      <c r="AN107" s="47" t="n"/>
      <c r="AO107" s="47" t="n"/>
      <c r="AP107" s="47" t="n"/>
      <c r="AQ107" s="47" t="n"/>
      <c r="AR107" s="47" t="n"/>
      <c r="AS107" s="47" t="n"/>
      <c r="AT107" s="50" t="n"/>
      <c r="AU107" s="50" t="n"/>
      <c r="AV107" s="50" t="n"/>
      <c r="AW107" s="49" t="inlineStr">
        <is>
          <t>IF(OR(F107="",AJ107=""),"",IF(COUNT(AI107:AI107)=0,"",AJ107-LOOKUP(2,1/(AI107:AI107&lt;&gt;""),AI107:AI107)))</t>
        </is>
      </c>
      <c r="AX107" s="49" t="inlineStr">
        <is>
          <t>IF(OR(F107="",AK107=""),"",IF(COUNT(AI107:AJ107)=0,"",AK107-LOOKUP(2,1/(AI107:AJ107&lt;&gt;""),AI107:AJ107)))</t>
        </is>
      </c>
      <c r="AY107" s="49" t="inlineStr">
        <is>
          <t>IF(OR(F107="",AL107=""),"",IF(COUNT(AI107:AK107)=0,"",AL107-LOOKUP(2,1/(AI107:AK107&lt;&gt;""),AI107:AK107)))</t>
        </is>
      </c>
      <c r="AZ107" s="49" t="inlineStr">
        <is>
          <t>IF(OR(F107="",AM107=""),"",IF(COUNT(AI107:AL107)=0,"",AM107-LOOKUP(2,1/(AI107:AL107&lt;&gt;""),AI107:AL107)))</t>
        </is>
      </c>
      <c r="BA107" s="49" t="inlineStr">
        <is>
          <t>IF(OR(F107="",AN107=""),"",IF(COUNT(AI107:AM107)=0,"",AN107-LOOKUP(2,1/(AI107:AM107&lt;&gt;""),AI107:AM107)))</t>
        </is>
      </c>
      <c r="BB107" s="49" t="inlineStr">
        <is>
          <t>IF(OR(F107="",AO107=""),"",IF(COUNT(AI107:AN107)=0,"",AO107-LOOKUP(2,1/(AI107:AN107&lt;&gt;""),AI107:AN107)))</t>
        </is>
      </c>
      <c r="BC107" s="49" t="inlineStr">
        <is>
          <t>IF(OR(F107="",AP107=""),"",IF(COUNT(AI107:AO107)=0,"",AP107-LOOKUP(2,1/(AI107:AO107&lt;&gt;""),AI107:AO107)))</t>
        </is>
      </c>
      <c r="BD107" s="49" t="inlineStr">
        <is>
          <t>IF(OR(F107="",AQ107=""),"",IF(COUNT(AI107:AP107)=0,"",AQ107-LOOKUP(2,1/(AI107:AP107&lt;&gt;""),AI107:AP107)))</t>
        </is>
      </c>
      <c r="BE107" s="49" t="inlineStr">
        <is>
          <t>IF(OR(F107="",AR107=""),"",IF(COUNT(AI107:AQ107)=0,"",AR107-LOOKUP(2,1/(AI107:AQ107&lt;&gt;""),AI107:AQ107)))</t>
        </is>
      </c>
      <c r="BF107" s="49" t="inlineStr">
        <is>
          <t>IF(OR(F107="",AS107=""),"",IF(COUNT(AI107:AR107)=0,"",AS107-LOOKUP(2,1/(AI107:AR107&lt;&gt;""),AI107:AR107)))</t>
        </is>
      </c>
      <c r="BG107" s="49" t="inlineStr">
        <is>
          <t>IF(OR(F107="",AT107=""),"",IF(COUNT(AI107:AS107)=0,"",AT107-LOOKUP(2,1/(AI107:AS107&lt;&gt;""),AI107:AS107)))</t>
        </is>
      </c>
      <c r="BH107" s="49" t="inlineStr">
        <is>
          <t>IF(OR(F107="",AU107=""),"",IF(COUNT(AI107:AT107)=0,"",AU107-LOOKUP(2,1/(AI107:AT107&lt;&gt;""),AI107:AT107)))</t>
        </is>
      </c>
      <c r="BI107" s="49" t="inlineStr">
        <is>
          <t>IF(OR(F107="",AV107=""),"",IF(COUNT(AI107:AU107)=0,"",AV107-LOOKUP(2,1/(AI107:AU107&lt;&gt;""),AI107:AU107)))</t>
        </is>
      </c>
      <c r="BJ107" s="51" t="inlineStr">
        <is>
          <t>IF(J107="","All_Provinces",IFERROR(VLOOKUP(J107,'09_Lookups'!$A$4:$B$20,2,FALSE),"All_Provinces"))</t>
        </is>
      </c>
      <c r="BK107" s="51" t="inlineStr">
        <is>
          <t>IF(K107="","All_Districts",IFERROR(VLOOKUP(K107,'09_Lookups'!$E$4:$F$42,2,FALSE),"All_Districts"))</t>
        </is>
      </c>
    </row>
    <row r="108" ht="18" customHeight="1">
      <c r="A108" s="42" t="inlineStr">
        <is>
          <t>IF(F108="","",ROW()-3)</t>
        </is>
      </c>
      <c r="B108" s="52" t="n"/>
      <c r="C108" s="52" t="n"/>
      <c r="D108" s="52" t="n"/>
      <c r="E108" s="52" t="n"/>
      <c r="F108" s="52" t="n"/>
      <c r="G108" s="52" t="n"/>
      <c r="H108" s="52" t="n"/>
      <c r="I108" s="52" t="n"/>
      <c r="J108" s="52" t="n"/>
      <c r="K108" s="52" t="n"/>
      <c r="L108" s="52" t="n"/>
      <c r="M108" s="52" t="n"/>
      <c r="N108" s="52" t="n"/>
      <c r="O108" s="52" t="n"/>
      <c r="P108" s="52" t="n"/>
      <c r="Q108" s="52" t="n"/>
      <c r="R108" s="52" t="n"/>
      <c r="S108" s="53" t="n"/>
      <c r="T108" s="46" t="inlineStr">
        <is>
          <t>IF(AQ108="","",AQ108)</t>
        </is>
      </c>
      <c r="U108" s="54" t="n"/>
      <c r="V108" s="55" t="n"/>
      <c r="W108" s="54" t="n"/>
      <c r="X108" s="46" t="inlineStr">
        <is>
          <t>IF(W108&lt;&gt;"",W108,IF(OR(T108="",V108=""),"",EDATE(T108,V108)))</t>
        </is>
      </c>
      <c r="Y108" s="54" t="n"/>
      <c r="Z108" s="55" t="n"/>
      <c r="AA108" s="52" t="n"/>
      <c r="AB108" s="52" t="n"/>
      <c r="AC108" s="42" t="inlineStr">
        <is>
          <t>IF(F108="","",IF(COUNT(AI108:AV108)=0,IF(AA108="","Not started",AA108),SUBSTITUTE(LOOKUP(2,1/(AI108:AV108&lt;&gt;""),$AI$3:$AV$3),"Date: ","")))</t>
        </is>
      </c>
      <c r="AD108" s="49" t="inlineStr">
        <is>
          <t>IF(OR(F108="",COUNT(AI108:AV108)=0),"",TODAY()-LOOKUP(2,1/(AI108:AV108&lt;&gt;""),AI108:AV108))</t>
        </is>
      </c>
      <c r="AE108" s="49" t="inlineStr">
        <is>
          <t>IF(OR(F108="",COUNT(AI108:AV108)&lt;2),"",LOOKUP(2,1/(AI108:AV108&lt;&gt;""),AI108:AV108)-MIN(AI108:AV108))</t>
        </is>
      </c>
      <c r="AF108" s="49" t="inlineStr">
        <is>
          <t>IF(OR(AD108="",AC108="Not started",AC108=""),"",IFERROR(AD108-IF(VLOOKUP(AC108,'06_Status_Pipeline'!$B$3:$E$20,4,FALSE)="",0,VLOOKUP(AC108,'06_Status_Pipeline'!$B$3:$E$20,4,FALSE)),""))</t>
        </is>
      </c>
      <c r="AG108" s="42" t="inlineStr">
        <is>
          <t>IF(F108="","",IF(OR(AA108="Cancelled",AC108="Cancelled"),"Cancelled",IF(OR(AC108="Completed / Handover",Y108&lt;&gt;"",Z108&gt;=100),"Completed — on track",IF(O108="Not awarded",IF(U108="",IF(X108="","No planned date",IF(TODAY()&gt;X108,"Behind — past planned date",IF(X108-TODAY()&lt;=30,"At risk — close to off track","On track"))),IF(TODAY()&gt;U108,"Behind — award date passed",IF(U108-TODAY()&lt;=30,"At risk — close to off track","On track"))),IF(X108="","No planned date",IF(AND(TODAY()&gt;X108,OR(Z108="",Z108&lt;100)),"Behind — past end date",IF(AND(T108&lt;&gt;"",X108&lt;&gt;"",Z108&lt;&gt;"",(Z108&lt;100),((TODAY()-T108)/MAX(X108-T108,1)*100)-Z108&gt;15),"Behind — progress lag",IF(AND(X108-TODAY()&lt;=30,X108-TODAY()&gt;=0,OR(Z108="",Z108&lt;90)),"At risk — close to off track","On track"))))))))</t>
        </is>
      </c>
      <c r="AH108" s="49" t="inlineStr">
        <is>
          <t>IF(OR(F108="",AC108="Completed / Handover",AC108="Cancelled"),"",IF(O108="Not awarded",IF(U108&lt;&gt;"",U108-TODAY(),IF(X108="","",X108-TODAY())),IF(X108="","",X108-TODAY())))</t>
        </is>
      </c>
      <c r="AI108" s="54" t="n"/>
      <c r="AJ108" s="54" t="n"/>
      <c r="AK108" s="54" t="n"/>
      <c r="AL108" s="54" t="n"/>
      <c r="AM108" s="54" t="n"/>
      <c r="AN108" s="54" t="n"/>
      <c r="AO108" s="54" t="n"/>
      <c r="AP108" s="54" t="n"/>
      <c r="AQ108" s="54" t="n"/>
      <c r="AR108" s="54" t="n"/>
      <c r="AS108" s="54" t="n"/>
      <c r="AT108" s="50" t="n"/>
      <c r="AU108" s="50" t="n"/>
      <c r="AV108" s="50" t="n"/>
      <c r="AW108" s="49" t="inlineStr">
        <is>
          <t>IF(OR(F108="",AJ108=""),"",IF(COUNT(AI108:AI108)=0,"",AJ108-LOOKUP(2,1/(AI108:AI108&lt;&gt;""),AI108:AI108)))</t>
        </is>
      </c>
      <c r="AX108" s="49" t="inlineStr">
        <is>
          <t>IF(OR(F108="",AK108=""),"",IF(COUNT(AI108:AJ108)=0,"",AK108-LOOKUP(2,1/(AI108:AJ108&lt;&gt;""),AI108:AJ108)))</t>
        </is>
      </c>
      <c r="AY108" s="49" t="inlineStr">
        <is>
          <t>IF(OR(F108="",AL108=""),"",IF(COUNT(AI108:AK108)=0,"",AL108-LOOKUP(2,1/(AI108:AK108&lt;&gt;""),AI108:AK108)))</t>
        </is>
      </c>
      <c r="AZ108" s="49" t="inlineStr">
        <is>
          <t>IF(OR(F108="",AM108=""),"",IF(COUNT(AI108:AL108)=0,"",AM108-LOOKUP(2,1/(AI108:AL108&lt;&gt;""),AI108:AL108)))</t>
        </is>
      </c>
      <c r="BA108" s="49" t="inlineStr">
        <is>
          <t>IF(OR(F108="",AN108=""),"",IF(COUNT(AI108:AM108)=0,"",AN108-LOOKUP(2,1/(AI108:AM108&lt;&gt;""),AI108:AM108)))</t>
        </is>
      </c>
      <c r="BB108" s="49" t="inlineStr">
        <is>
          <t>IF(OR(F108="",AO108=""),"",IF(COUNT(AI108:AN108)=0,"",AO108-LOOKUP(2,1/(AI108:AN108&lt;&gt;""),AI108:AN108)))</t>
        </is>
      </c>
      <c r="BC108" s="49" t="inlineStr">
        <is>
          <t>IF(OR(F108="",AP108=""),"",IF(COUNT(AI108:AO108)=0,"",AP108-LOOKUP(2,1/(AI108:AO108&lt;&gt;""),AI108:AO108)))</t>
        </is>
      </c>
      <c r="BD108" s="49" t="inlineStr">
        <is>
          <t>IF(OR(F108="",AQ108=""),"",IF(COUNT(AI108:AP108)=0,"",AQ108-LOOKUP(2,1/(AI108:AP108&lt;&gt;""),AI108:AP108)))</t>
        </is>
      </c>
      <c r="BE108" s="49" t="inlineStr">
        <is>
          <t>IF(OR(F108="",AR108=""),"",IF(COUNT(AI108:AQ108)=0,"",AR108-LOOKUP(2,1/(AI108:AQ108&lt;&gt;""),AI108:AQ108)))</t>
        </is>
      </c>
      <c r="BF108" s="49" t="inlineStr">
        <is>
          <t>IF(OR(F108="",AS108=""),"",IF(COUNT(AI108:AR108)=0,"",AS108-LOOKUP(2,1/(AI108:AR108&lt;&gt;""),AI108:AR108)))</t>
        </is>
      </c>
      <c r="BG108" s="49" t="inlineStr">
        <is>
          <t>IF(OR(F108="",AT108=""),"",IF(COUNT(AI108:AS108)=0,"",AT108-LOOKUP(2,1/(AI108:AS108&lt;&gt;""),AI108:AS108)))</t>
        </is>
      </c>
      <c r="BH108" s="49" t="inlineStr">
        <is>
          <t>IF(OR(F108="",AU108=""),"",IF(COUNT(AI108:AT108)=0,"",AU108-LOOKUP(2,1/(AI108:AT108&lt;&gt;""),AI108:AT108)))</t>
        </is>
      </c>
      <c r="BI108" s="49" t="inlineStr">
        <is>
          <t>IF(OR(F108="",AV108=""),"",IF(COUNT(AI108:AU108)=0,"",AV108-LOOKUP(2,1/(AI108:AU108&lt;&gt;""),AI108:AU108)))</t>
        </is>
      </c>
      <c r="BJ108" s="51" t="inlineStr">
        <is>
          <t>IF(J108="","All_Provinces",IFERROR(VLOOKUP(J108,'09_Lookups'!$A$4:$B$20,2,FALSE),"All_Provinces"))</t>
        </is>
      </c>
      <c r="BK108" s="51" t="inlineStr">
        <is>
          <t>IF(K108="","All_Districts",IFERROR(VLOOKUP(K108,'09_Lookups'!$E$4:$F$42,2,FALSE),"All_Districts"))</t>
        </is>
      </c>
    </row>
    <row r="109" ht="18" customHeight="1">
      <c r="A109" s="42" t="inlineStr">
        <is>
          <t>IF(F109="","",ROW()-3)</t>
        </is>
      </c>
      <c r="B109" s="44" t="n"/>
      <c r="C109" s="44" t="n"/>
      <c r="D109" s="44" t="n"/>
      <c r="E109" s="44" t="n"/>
      <c r="F109" s="44" t="n"/>
      <c r="G109" s="44" t="n"/>
      <c r="H109" s="44" t="n"/>
      <c r="I109" s="44" t="n"/>
      <c r="J109" s="44" t="n"/>
      <c r="K109" s="44" t="n"/>
      <c r="L109" s="44" t="n"/>
      <c r="M109" s="44" t="n"/>
      <c r="N109" s="44" t="n"/>
      <c r="O109" s="44" t="n"/>
      <c r="P109" s="44" t="n"/>
      <c r="Q109" s="44" t="n"/>
      <c r="R109" s="44" t="n"/>
      <c r="S109" s="45" t="n"/>
      <c r="T109" s="46" t="inlineStr">
        <is>
          <t>IF(AQ109="","",AQ109)</t>
        </is>
      </c>
      <c r="U109" s="47" t="n"/>
      <c r="V109" s="48" t="n"/>
      <c r="W109" s="47" t="n"/>
      <c r="X109" s="46" t="inlineStr">
        <is>
          <t>IF(W109&lt;&gt;"",W109,IF(OR(T109="",V109=""),"",EDATE(T109,V109)))</t>
        </is>
      </c>
      <c r="Y109" s="47" t="n"/>
      <c r="Z109" s="48" t="n"/>
      <c r="AA109" s="44" t="n"/>
      <c r="AB109" s="44" t="n"/>
      <c r="AC109" s="42" t="inlineStr">
        <is>
          <t>IF(F109="","",IF(COUNT(AI109:AV109)=0,IF(AA109="","Not started",AA109),SUBSTITUTE(LOOKUP(2,1/(AI109:AV109&lt;&gt;""),$AI$3:$AV$3),"Date: ","")))</t>
        </is>
      </c>
      <c r="AD109" s="49" t="inlineStr">
        <is>
          <t>IF(OR(F109="",COUNT(AI109:AV109)=0),"",TODAY()-LOOKUP(2,1/(AI109:AV109&lt;&gt;""),AI109:AV109))</t>
        </is>
      </c>
      <c r="AE109" s="49" t="inlineStr">
        <is>
          <t>IF(OR(F109="",COUNT(AI109:AV109)&lt;2),"",LOOKUP(2,1/(AI109:AV109&lt;&gt;""),AI109:AV109)-MIN(AI109:AV109))</t>
        </is>
      </c>
      <c r="AF109" s="49" t="inlineStr">
        <is>
          <t>IF(OR(AD109="",AC109="Not started",AC109=""),"",IFERROR(AD109-IF(VLOOKUP(AC109,'06_Status_Pipeline'!$B$3:$E$20,4,FALSE)="",0,VLOOKUP(AC109,'06_Status_Pipeline'!$B$3:$E$20,4,FALSE)),""))</t>
        </is>
      </c>
      <c r="AG109" s="42" t="inlineStr">
        <is>
          <t>IF(F109="","",IF(OR(AA109="Cancelled",AC109="Cancelled"),"Cancelled",IF(OR(AC109="Completed / Handover",Y109&lt;&gt;"",Z109&gt;=100),"Completed — on track",IF(O109="Not awarded",IF(U109="",IF(X109="","No planned date",IF(TODAY()&gt;X109,"Behind — past planned date",IF(X109-TODAY()&lt;=30,"At risk — close to off track","On track"))),IF(TODAY()&gt;U109,"Behind — award date passed",IF(U109-TODAY()&lt;=30,"At risk — close to off track","On track"))),IF(X109="","No planned date",IF(AND(TODAY()&gt;X109,OR(Z109="",Z109&lt;100)),"Behind — past end date",IF(AND(T109&lt;&gt;"",X109&lt;&gt;"",Z109&lt;&gt;"",(Z109&lt;100),((TODAY()-T109)/MAX(X109-T109,1)*100)-Z109&gt;15),"Behind — progress lag",IF(AND(X109-TODAY()&lt;=30,X109-TODAY()&gt;=0,OR(Z109="",Z109&lt;90)),"At risk — close to off track","On track"))))))))</t>
        </is>
      </c>
      <c r="AH109" s="49" t="inlineStr">
        <is>
          <t>IF(OR(F109="",AC109="Completed / Handover",AC109="Cancelled"),"",IF(O109="Not awarded",IF(U109&lt;&gt;"",U109-TODAY(),IF(X109="","",X109-TODAY())),IF(X109="","",X109-TODAY())))</t>
        </is>
      </c>
      <c r="AI109" s="47" t="n"/>
      <c r="AJ109" s="47" t="n"/>
      <c r="AK109" s="47" t="n"/>
      <c r="AL109" s="47" t="n"/>
      <c r="AM109" s="47" t="n"/>
      <c r="AN109" s="47" t="n"/>
      <c r="AO109" s="47" t="n"/>
      <c r="AP109" s="47" t="n"/>
      <c r="AQ109" s="47" t="n"/>
      <c r="AR109" s="47" t="n"/>
      <c r="AS109" s="47" t="n"/>
      <c r="AT109" s="50" t="n"/>
      <c r="AU109" s="50" t="n"/>
      <c r="AV109" s="50" t="n"/>
      <c r="AW109" s="49" t="inlineStr">
        <is>
          <t>IF(OR(F109="",AJ109=""),"",IF(COUNT(AI109:AI109)=0,"",AJ109-LOOKUP(2,1/(AI109:AI109&lt;&gt;""),AI109:AI109)))</t>
        </is>
      </c>
      <c r="AX109" s="49" t="inlineStr">
        <is>
          <t>IF(OR(F109="",AK109=""),"",IF(COUNT(AI109:AJ109)=0,"",AK109-LOOKUP(2,1/(AI109:AJ109&lt;&gt;""),AI109:AJ109)))</t>
        </is>
      </c>
      <c r="AY109" s="49" t="inlineStr">
        <is>
          <t>IF(OR(F109="",AL109=""),"",IF(COUNT(AI109:AK109)=0,"",AL109-LOOKUP(2,1/(AI109:AK109&lt;&gt;""),AI109:AK109)))</t>
        </is>
      </c>
      <c r="AZ109" s="49" t="inlineStr">
        <is>
          <t>IF(OR(F109="",AM109=""),"",IF(COUNT(AI109:AL109)=0,"",AM109-LOOKUP(2,1/(AI109:AL109&lt;&gt;""),AI109:AL109)))</t>
        </is>
      </c>
      <c r="BA109" s="49" t="inlineStr">
        <is>
          <t>IF(OR(F109="",AN109=""),"",IF(COUNT(AI109:AM109)=0,"",AN109-LOOKUP(2,1/(AI109:AM109&lt;&gt;""),AI109:AM109)))</t>
        </is>
      </c>
      <c r="BB109" s="49" t="inlineStr">
        <is>
          <t>IF(OR(F109="",AO109=""),"",IF(COUNT(AI109:AN109)=0,"",AO109-LOOKUP(2,1/(AI109:AN109&lt;&gt;""),AI109:AN109)))</t>
        </is>
      </c>
      <c r="BC109" s="49" t="inlineStr">
        <is>
          <t>IF(OR(F109="",AP109=""),"",IF(COUNT(AI109:AO109)=0,"",AP109-LOOKUP(2,1/(AI109:AO109&lt;&gt;""),AI109:AO109)))</t>
        </is>
      </c>
      <c r="BD109" s="49" t="inlineStr">
        <is>
          <t>IF(OR(F109="",AQ109=""),"",IF(COUNT(AI109:AP109)=0,"",AQ109-LOOKUP(2,1/(AI109:AP109&lt;&gt;""),AI109:AP109)))</t>
        </is>
      </c>
      <c r="BE109" s="49" t="inlineStr">
        <is>
          <t>IF(OR(F109="",AR109=""),"",IF(COUNT(AI109:AQ109)=0,"",AR109-LOOKUP(2,1/(AI109:AQ109&lt;&gt;""),AI109:AQ109)))</t>
        </is>
      </c>
      <c r="BF109" s="49" t="inlineStr">
        <is>
          <t>IF(OR(F109="",AS109=""),"",IF(COUNT(AI109:AR109)=0,"",AS109-LOOKUP(2,1/(AI109:AR109&lt;&gt;""),AI109:AR109)))</t>
        </is>
      </c>
      <c r="BG109" s="49" t="inlineStr">
        <is>
          <t>IF(OR(F109="",AT109=""),"",IF(COUNT(AI109:AS109)=0,"",AT109-LOOKUP(2,1/(AI109:AS109&lt;&gt;""),AI109:AS109)))</t>
        </is>
      </c>
      <c r="BH109" s="49" t="inlineStr">
        <is>
          <t>IF(OR(F109="",AU109=""),"",IF(COUNT(AI109:AT109)=0,"",AU109-LOOKUP(2,1/(AI109:AT109&lt;&gt;""),AI109:AT109)))</t>
        </is>
      </c>
      <c r="BI109" s="49" t="inlineStr">
        <is>
          <t>IF(OR(F109="",AV109=""),"",IF(COUNT(AI109:AU109)=0,"",AV109-LOOKUP(2,1/(AI109:AU109&lt;&gt;""),AI109:AU109)))</t>
        </is>
      </c>
      <c r="BJ109" s="51" t="inlineStr">
        <is>
          <t>IF(J109="","All_Provinces",IFERROR(VLOOKUP(J109,'09_Lookups'!$A$4:$B$20,2,FALSE),"All_Provinces"))</t>
        </is>
      </c>
      <c r="BK109" s="51" t="inlineStr">
        <is>
          <t>IF(K109="","All_Districts",IFERROR(VLOOKUP(K109,'09_Lookups'!$E$4:$F$42,2,FALSE),"All_Districts"))</t>
        </is>
      </c>
    </row>
    <row r="110" ht="18" customHeight="1">
      <c r="A110" s="42" t="inlineStr">
        <is>
          <t>IF(F110="","",ROW()-3)</t>
        </is>
      </c>
      <c r="B110" s="52" t="n"/>
      <c r="C110" s="52" t="n"/>
      <c r="D110" s="52" t="n"/>
      <c r="E110" s="52" t="n"/>
      <c r="F110" s="52" t="n"/>
      <c r="G110" s="52" t="n"/>
      <c r="H110" s="52" t="n"/>
      <c r="I110" s="52" t="n"/>
      <c r="J110" s="52" t="n"/>
      <c r="K110" s="52" t="n"/>
      <c r="L110" s="52" t="n"/>
      <c r="M110" s="52" t="n"/>
      <c r="N110" s="52" t="n"/>
      <c r="O110" s="52" t="n"/>
      <c r="P110" s="52" t="n"/>
      <c r="Q110" s="52" t="n"/>
      <c r="R110" s="52" t="n"/>
      <c r="S110" s="53" t="n"/>
      <c r="T110" s="46" t="inlineStr">
        <is>
          <t>IF(AQ110="","",AQ110)</t>
        </is>
      </c>
      <c r="U110" s="54" t="n"/>
      <c r="V110" s="55" t="n"/>
      <c r="W110" s="54" t="n"/>
      <c r="X110" s="46" t="inlineStr">
        <is>
          <t>IF(W110&lt;&gt;"",W110,IF(OR(T110="",V110=""),"",EDATE(T110,V110)))</t>
        </is>
      </c>
      <c r="Y110" s="54" t="n"/>
      <c r="Z110" s="55" t="n"/>
      <c r="AA110" s="52" t="n"/>
      <c r="AB110" s="52" t="n"/>
      <c r="AC110" s="42" t="inlineStr">
        <is>
          <t>IF(F110="","",IF(COUNT(AI110:AV110)=0,IF(AA110="","Not started",AA110),SUBSTITUTE(LOOKUP(2,1/(AI110:AV110&lt;&gt;""),$AI$3:$AV$3),"Date: ","")))</t>
        </is>
      </c>
      <c r="AD110" s="49" t="inlineStr">
        <is>
          <t>IF(OR(F110="",COUNT(AI110:AV110)=0),"",TODAY()-LOOKUP(2,1/(AI110:AV110&lt;&gt;""),AI110:AV110))</t>
        </is>
      </c>
      <c r="AE110" s="49" t="inlineStr">
        <is>
          <t>IF(OR(F110="",COUNT(AI110:AV110)&lt;2),"",LOOKUP(2,1/(AI110:AV110&lt;&gt;""),AI110:AV110)-MIN(AI110:AV110))</t>
        </is>
      </c>
      <c r="AF110" s="49" t="inlineStr">
        <is>
          <t>IF(OR(AD110="",AC110="Not started",AC110=""),"",IFERROR(AD110-IF(VLOOKUP(AC110,'06_Status_Pipeline'!$B$3:$E$20,4,FALSE)="",0,VLOOKUP(AC110,'06_Status_Pipeline'!$B$3:$E$20,4,FALSE)),""))</t>
        </is>
      </c>
      <c r="AG110" s="42" t="inlineStr">
        <is>
          <t>IF(F110="","",IF(OR(AA110="Cancelled",AC110="Cancelled"),"Cancelled",IF(OR(AC110="Completed / Handover",Y110&lt;&gt;"",Z110&gt;=100),"Completed — on track",IF(O110="Not awarded",IF(U110="",IF(X110="","No planned date",IF(TODAY()&gt;X110,"Behind — past planned date",IF(X110-TODAY()&lt;=30,"At risk — close to off track","On track"))),IF(TODAY()&gt;U110,"Behind — award date passed",IF(U110-TODAY()&lt;=30,"At risk — close to off track","On track"))),IF(X110="","No planned date",IF(AND(TODAY()&gt;X110,OR(Z110="",Z110&lt;100)),"Behind — past end date",IF(AND(T110&lt;&gt;"",X110&lt;&gt;"",Z110&lt;&gt;"",(Z110&lt;100),((TODAY()-T110)/MAX(X110-T110,1)*100)-Z110&gt;15),"Behind — progress lag",IF(AND(X110-TODAY()&lt;=30,X110-TODAY()&gt;=0,OR(Z110="",Z110&lt;90)),"At risk — close to off track","On track"))))))))</t>
        </is>
      </c>
      <c r="AH110" s="49" t="inlineStr">
        <is>
          <t>IF(OR(F110="",AC110="Completed / Handover",AC110="Cancelled"),"",IF(O110="Not awarded",IF(U110&lt;&gt;"",U110-TODAY(),IF(X110="","",X110-TODAY())),IF(X110="","",X110-TODAY())))</t>
        </is>
      </c>
      <c r="AI110" s="54" t="n"/>
      <c r="AJ110" s="54" t="n"/>
      <c r="AK110" s="54" t="n"/>
      <c r="AL110" s="54" t="n"/>
      <c r="AM110" s="54" t="n"/>
      <c r="AN110" s="54" t="n"/>
      <c r="AO110" s="54" t="n"/>
      <c r="AP110" s="54" t="n"/>
      <c r="AQ110" s="54" t="n"/>
      <c r="AR110" s="54" t="n"/>
      <c r="AS110" s="54" t="n"/>
      <c r="AT110" s="50" t="n"/>
      <c r="AU110" s="50" t="n"/>
      <c r="AV110" s="50" t="n"/>
      <c r="AW110" s="49" t="inlineStr">
        <is>
          <t>IF(OR(F110="",AJ110=""),"",IF(COUNT(AI110:AI110)=0,"",AJ110-LOOKUP(2,1/(AI110:AI110&lt;&gt;""),AI110:AI110)))</t>
        </is>
      </c>
      <c r="AX110" s="49" t="inlineStr">
        <is>
          <t>IF(OR(F110="",AK110=""),"",IF(COUNT(AI110:AJ110)=0,"",AK110-LOOKUP(2,1/(AI110:AJ110&lt;&gt;""),AI110:AJ110)))</t>
        </is>
      </c>
      <c r="AY110" s="49" t="inlineStr">
        <is>
          <t>IF(OR(F110="",AL110=""),"",IF(COUNT(AI110:AK110)=0,"",AL110-LOOKUP(2,1/(AI110:AK110&lt;&gt;""),AI110:AK110)))</t>
        </is>
      </c>
      <c r="AZ110" s="49" t="inlineStr">
        <is>
          <t>IF(OR(F110="",AM110=""),"",IF(COUNT(AI110:AL110)=0,"",AM110-LOOKUP(2,1/(AI110:AL110&lt;&gt;""),AI110:AL110)))</t>
        </is>
      </c>
      <c r="BA110" s="49" t="inlineStr">
        <is>
          <t>IF(OR(F110="",AN110=""),"",IF(COUNT(AI110:AM110)=0,"",AN110-LOOKUP(2,1/(AI110:AM110&lt;&gt;""),AI110:AM110)))</t>
        </is>
      </c>
      <c r="BB110" s="49" t="inlineStr">
        <is>
          <t>IF(OR(F110="",AO110=""),"",IF(COUNT(AI110:AN110)=0,"",AO110-LOOKUP(2,1/(AI110:AN110&lt;&gt;""),AI110:AN110)))</t>
        </is>
      </c>
      <c r="BC110" s="49" t="inlineStr">
        <is>
          <t>IF(OR(F110="",AP110=""),"",IF(COUNT(AI110:AO110)=0,"",AP110-LOOKUP(2,1/(AI110:AO110&lt;&gt;""),AI110:AO110)))</t>
        </is>
      </c>
      <c r="BD110" s="49" t="inlineStr">
        <is>
          <t>IF(OR(F110="",AQ110=""),"",IF(COUNT(AI110:AP110)=0,"",AQ110-LOOKUP(2,1/(AI110:AP110&lt;&gt;""),AI110:AP110)))</t>
        </is>
      </c>
      <c r="BE110" s="49" t="inlineStr">
        <is>
          <t>IF(OR(F110="",AR110=""),"",IF(COUNT(AI110:AQ110)=0,"",AR110-LOOKUP(2,1/(AI110:AQ110&lt;&gt;""),AI110:AQ110)))</t>
        </is>
      </c>
      <c r="BF110" s="49" t="inlineStr">
        <is>
          <t>IF(OR(F110="",AS110=""),"",IF(COUNT(AI110:AR110)=0,"",AS110-LOOKUP(2,1/(AI110:AR110&lt;&gt;""),AI110:AR110)))</t>
        </is>
      </c>
      <c r="BG110" s="49" t="inlineStr">
        <is>
          <t>IF(OR(F110="",AT110=""),"",IF(COUNT(AI110:AS110)=0,"",AT110-LOOKUP(2,1/(AI110:AS110&lt;&gt;""),AI110:AS110)))</t>
        </is>
      </c>
      <c r="BH110" s="49" t="inlineStr">
        <is>
          <t>IF(OR(F110="",AU110=""),"",IF(COUNT(AI110:AT110)=0,"",AU110-LOOKUP(2,1/(AI110:AT110&lt;&gt;""),AI110:AT110)))</t>
        </is>
      </c>
      <c r="BI110" s="49" t="inlineStr">
        <is>
          <t>IF(OR(F110="",AV110=""),"",IF(COUNT(AI110:AU110)=0,"",AV110-LOOKUP(2,1/(AI110:AU110&lt;&gt;""),AI110:AU110)))</t>
        </is>
      </c>
      <c r="BJ110" s="51" t="inlineStr">
        <is>
          <t>IF(J110="","All_Provinces",IFERROR(VLOOKUP(J110,'09_Lookups'!$A$4:$B$20,2,FALSE),"All_Provinces"))</t>
        </is>
      </c>
      <c r="BK110" s="51" t="inlineStr">
        <is>
          <t>IF(K110="","All_Districts",IFERROR(VLOOKUP(K110,'09_Lookups'!$E$4:$F$42,2,FALSE),"All_Districts"))</t>
        </is>
      </c>
    </row>
    <row r="111" ht="18" customHeight="1">
      <c r="A111" s="42" t="inlineStr">
        <is>
          <t>IF(F111="","",ROW()-3)</t>
        </is>
      </c>
      <c r="B111" s="44" t="n"/>
      <c r="C111" s="44" t="n"/>
      <c r="D111" s="44" t="n"/>
      <c r="E111" s="44" t="n"/>
      <c r="F111" s="44" t="n"/>
      <c r="G111" s="44" t="n"/>
      <c r="H111" s="44" t="n"/>
      <c r="I111" s="44" t="n"/>
      <c r="J111" s="44" t="n"/>
      <c r="K111" s="44" t="n"/>
      <c r="L111" s="44" t="n"/>
      <c r="M111" s="44" t="n"/>
      <c r="N111" s="44" t="n"/>
      <c r="O111" s="44" t="n"/>
      <c r="P111" s="44" t="n"/>
      <c r="Q111" s="44" t="n"/>
      <c r="R111" s="44" t="n"/>
      <c r="S111" s="45" t="n"/>
      <c r="T111" s="46" t="inlineStr">
        <is>
          <t>IF(AQ111="","",AQ111)</t>
        </is>
      </c>
      <c r="U111" s="47" t="n"/>
      <c r="V111" s="48" t="n"/>
      <c r="W111" s="47" t="n"/>
      <c r="X111" s="46" t="inlineStr">
        <is>
          <t>IF(W111&lt;&gt;"",W111,IF(OR(T111="",V111=""),"",EDATE(T111,V111)))</t>
        </is>
      </c>
      <c r="Y111" s="47" t="n"/>
      <c r="Z111" s="48" t="n"/>
      <c r="AA111" s="44" t="n"/>
      <c r="AB111" s="44" t="n"/>
      <c r="AC111" s="42" t="inlineStr">
        <is>
          <t>IF(F111="","",IF(COUNT(AI111:AV111)=0,IF(AA111="","Not started",AA111),SUBSTITUTE(LOOKUP(2,1/(AI111:AV111&lt;&gt;""),$AI$3:$AV$3),"Date: ","")))</t>
        </is>
      </c>
      <c r="AD111" s="49" t="inlineStr">
        <is>
          <t>IF(OR(F111="",COUNT(AI111:AV111)=0),"",TODAY()-LOOKUP(2,1/(AI111:AV111&lt;&gt;""),AI111:AV111))</t>
        </is>
      </c>
      <c r="AE111" s="49" t="inlineStr">
        <is>
          <t>IF(OR(F111="",COUNT(AI111:AV111)&lt;2),"",LOOKUP(2,1/(AI111:AV111&lt;&gt;""),AI111:AV111)-MIN(AI111:AV111))</t>
        </is>
      </c>
      <c r="AF111" s="49" t="inlineStr">
        <is>
          <t>IF(OR(AD111="",AC111="Not started",AC111=""),"",IFERROR(AD111-IF(VLOOKUP(AC111,'06_Status_Pipeline'!$B$3:$E$20,4,FALSE)="",0,VLOOKUP(AC111,'06_Status_Pipeline'!$B$3:$E$20,4,FALSE)),""))</t>
        </is>
      </c>
      <c r="AG111" s="42" t="inlineStr">
        <is>
          <t>IF(F111="","",IF(OR(AA111="Cancelled",AC111="Cancelled"),"Cancelled",IF(OR(AC111="Completed / Handover",Y111&lt;&gt;"",Z111&gt;=100),"Completed — on track",IF(O111="Not awarded",IF(U111="",IF(X111="","No planned date",IF(TODAY()&gt;X111,"Behind — past planned date",IF(X111-TODAY()&lt;=30,"At risk — close to off track","On track"))),IF(TODAY()&gt;U111,"Behind — award date passed",IF(U111-TODAY()&lt;=30,"At risk — close to off track","On track"))),IF(X111="","No planned date",IF(AND(TODAY()&gt;X111,OR(Z111="",Z111&lt;100)),"Behind — past end date",IF(AND(T111&lt;&gt;"",X111&lt;&gt;"",Z111&lt;&gt;"",(Z111&lt;100),((TODAY()-T111)/MAX(X111-T111,1)*100)-Z111&gt;15),"Behind — progress lag",IF(AND(X111-TODAY()&lt;=30,X111-TODAY()&gt;=0,OR(Z111="",Z111&lt;90)),"At risk — close to off track","On track"))))))))</t>
        </is>
      </c>
      <c r="AH111" s="49" t="inlineStr">
        <is>
          <t>IF(OR(F111="",AC111="Completed / Handover",AC111="Cancelled"),"",IF(O111="Not awarded",IF(U111&lt;&gt;"",U111-TODAY(),IF(X111="","",X111-TODAY())),IF(X111="","",X111-TODAY())))</t>
        </is>
      </c>
      <c r="AI111" s="47" t="n"/>
      <c r="AJ111" s="47" t="n"/>
      <c r="AK111" s="47" t="n"/>
      <c r="AL111" s="47" t="n"/>
      <c r="AM111" s="47" t="n"/>
      <c r="AN111" s="47" t="n"/>
      <c r="AO111" s="47" t="n"/>
      <c r="AP111" s="47" t="n"/>
      <c r="AQ111" s="47" t="n"/>
      <c r="AR111" s="47" t="n"/>
      <c r="AS111" s="47" t="n"/>
      <c r="AT111" s="50" t="n"/>
      <c r="AU111" s="50" t="n"/>
      <c r="AV111" s="50" t="n"/>
      <c r="AW111" s="49" t="inlineStr">
        <is>
          <t>IF(OR(F111="",AJ111=""),"",IF(COUNT(AI111:AI111)=0,"",AJ111-LOOKUP(2,1/(AI111:AI111&lt;&gt;""),AI111:AI111)))</t>
        </is>
      </c>
      <c r="AX111" s="49" t="inlineStr">
        <is>
          <t>IF(OR(F111="",AK111=""),"",IF(COUNT(AI111:AJ111)=0,"",AK111-LOOKUP(2,1/(AI111:AJ111&lt;&gt;""),AI111:AJ111)))</t>
        </is>
      </c>
      <c r="AY111" s="49" t="inlineStr">
        <is>
          <t>IF(OR(F111="",AL111=""),"",IF(COUNT(AI111:AK111)=0,"",AL111-LOOKUP(2,1/(AI111:AK111&lt;&gt;""),AI111:AK111)))</t>
        </is>
      </c>
      <c r="AZ111" s="49" t="inlineStr">
        <is>
          <t>IF(OR(F111="",AM111=""),"",IF(COUNT(AI111:AL111)=0,"",AM111-LOOKUP(2,1/(AI111:AL111&lt;&gt;""),AI111:AL111)))</t>
        </is>
      </c>
      <c r="BA111" s="49" t="inlineStr">
        <is>
          <t>IF(OR(F111="",AN111=""),"",IF(COUNT(AI111:AM111)=0,"",AN111-LOOKUP(2,1/(AI111:AM111&lt;&gt;""),AI111:AM111)))</t>
        </is>
      </c>
      <c r="BB111" s="49" t="inlineStr">
        <is>
          <t>IF(OR(F111="",AO111=""),"",IF(COUNT(AI111:AN111)=0,"",AO111-LOOKUP(2,1/(AI111:AN111&lt;&gt;""),AI111:AN111)))</t>
        </is>
      </c>
      <c r="BC111" s="49" t="inlineStr">
        <is>
          <t>IF(OR(F111="",AP111=""),"",IF(COUNT(AI111:AO111)=0,"",AP111-LOOKUP(2,1/(AI111:AO111&lt;&gt;""),AI111:AO111)))</t>
        </is>
      </c>
      <c r="BD111" s="49" t="inlineStr">
        <is>
          <t>IF(OR(F111="",AQ111=""),"",IF(COUNT(AI111:AP111)=0,"",AQ111-LOOKUP(2,1/(AI111:AP111&lt;&gt;""),AI111:AP111)))</t>
        </is>
      </c>
      <c r="BE111" s="49" t="inlineStr">
        <is>
          <t>IF(OR(F111="",AR111=""),"",IF(COUNT(AI111:AQ111)=0,"",AR111-LOOKUP(2,1/(AI111:AQ111&lt;&gt;""),AI111:AQ111)))</t>
        </is>
      </c>
      <c r="BF111" s="49" t="inlineStr">
        <is>
          <t>IF(OR(F111="",AS111=""),"",IF(COUNT(AI111:AR111)=0,"",AS111-LOOKUP(2,1/(AI111:AR111&lt;&gt;""),AI111:AR111)))</t>
        </is>
      </c>
      <c r="BG111" s="49" t="inlineStr">
        <is>
          <t>IF(OR(F111="",AT111=""),"",IF(COUNT(AI111:AS111)=0,"",AT111-LOOKUP(2,1/(AI111:AS111&lt;&gt;""),AI111:AS111)))</t>
        </is>
      </c>
      <c r="BH111" s="49" t="inlineStr">
        <is>
          <t>IF(OR(F111="",AU111=""),"",IF(COUNT(AI111:AT111)=0,"",AU111-LOOKUP(2,1/(AI111:AT111&lt;&gt;""),AI111:AT111)))</t>
        </is>
      </c>
      <c r="BI111" s="49" t="inlineStr">
        <is>
          <t>IF(OR(F111="",AV111=""),"",IF(COUNT(AI111:AU111)=0,"",AV111-LOOKUP(2,1/(AI111:AU111&lt;&gt;""),AI111:AU111)))</t>
        </is>
      </c>
      <c r="BJ111" s="51" t="inlineStr">
        <is>
          <t>IF(J111="","All_Provinces",IFERROR(VLOOKUP(J111,'09_Lookups'!$A$4:$B$20,2,FALSE),"All_Provinces"))</t>
        </is>
      </c>
      <c r="BK111" s="51" t="inlineStr">
        <is>
          <t>IF(K111="","All_Districts",IFERROR(VLOOKUP(K111,'09_Lookups'!$E$4:$F$42,2,FALSE),"All_Districts"))</t>
        </is>
      </c>
    </row>
    <row r="112" ht="18" customHeight="1">
      <c r="A112" s="42" t="inlineStr">
        <is>
          <t>IF(F112="","",ROW()-3)</t>
        </is>
      </c>
      <c r="B112" s="52" t="n"/>
      <c r="C112" s="52" t="n"/>
      <c r="D112" s="52" t="n"/>
      <c r="E112" s="52" t="n"/>
      <c r="F112" s="52" t="n"/>
      <c r="G112" s="52" t="n"/>
      <c r="H112" s="52" t="n"/>
      <c r="I112" s="52" t="n"/>
      <c r="J112" s="52" t="n"/>
      <c r="K112" s="52" t="n"/>
      <c r="L112" s="52" t="n"/>
      <c r="M112" s="52" t="n"/>
      <c r="N112" s="52" t="n"/>
      <c r="O112" s="52" t="n"/>
      <c r="P112" s="52" t="n"/>
      <c r="Q112" s="52" t="n"/>
      <c r="R112" s="52" t="n"/>
      <c r="S112" s="53" t="n"/>
      <c r="T112" s="46" t="inlineStr">
        <is>
          <t>IF(AQ112="","",AQ112)</t>
        </is>
      </c>
      <c r="U112" s="54" t="n"/>
      <c r="V112" s="55" t="n"/>
      <c r="W112" s="54" t="n"/>
      <c r="X112" s="46" t="inlineStr">
        <is>
          <t>IF(W112&lt;&gt;"",W112,IF(OR(T112="",V112=""),"",EDATE(T112,V112)))</t>
        </is>
      </c>
      <c r="Y112" s="54" t="n"/>
      <c r="Z112" s="55" t="n"/>
      <c r="AA112" s="52" t="n"/>
      <c r="AB112" s="52" t="n"/>
      <c r="AC112" s="42" t="inlineStr">
        <is>
          <t>IF(F112="","",IF(COUNT(AI112:AV112)=0,IF(AA112="","Not started",AA112),SUBSTITUTE(LOOKUP(2,1/(AI112:AV112&lt;&gt;""),$AI$3:$AV$3),"Date: ","")))</t>
        </is>
      </c>
      <c r="AD112" s="49" t="inlineStr">
        <is>
          <t>IF(OR(F112="",COUNT(AI112:AV112)=0),"",TODAY()-LOOKUP(2,1/(AI112:AV112&lt;&gt;""),AI112:AV112))</t>
        </is>
      </c>
      <c r="AE112" s="49" t="inlineStr">
        <is>
          <t>IF(OR(F112="",COUNT(AI112:AV112)&lt;2),"",LOOKUP(2,1/(AI112:AV112&lt;&gt;""),AI112:AV112)-MIN(AI112:AV112))</t>
        </is>
      </c>
      <c r="AF112" s="49" t="inlineStr">
        <is>
          <t>IF(OR(AD112="",AC112="Not started",AC112=""),"",IFERROR(AD112-IF(VLOOKUP(AC112,'06_Status_Pipeline'!$B$3:$E$20,4,FALSE)="",0,VLOOKUP(AC112,'06_Status_Pipeline'!$B$3:$E$20,4,FALSE)),""))</t>
        </is>
      </c>
      <c r="AG112" s="42" t="inlineStr">
        <is>
          <t>IF(F112="","",IF(OR(AA112="Cancelled",AC112="Cancelled"),"Cancelled",IF(OR(AC112="Completed / Handover",Y112&lt;&gt;"",Z112&gt;=100),"Completed — on track",IF(O112="Not awarded",IF(U112="",IF(X112="","No planned date",IF(TODAY()&gt;X112,"Behind — past planned date",IF(X112-TODAY()&lt;=30,"At risk — close to off track","On track"))),IF(TODAY()&gt;U112,"Behind — award date passed",IF(U112-TODAY()&lt;=30,"At risk — close to off track","On track"))),IF(X112="","No planned date",IF(AND(TODAY()&gt;X112,OR(Z112="",Z112&lt;100)),"Behind — past end date",IF(AND(T112&lt;&gt;"",X112&lt;&gt;"",Z112&lt;&gt;"",(Z112&lt;100),((TODAY()-T112)/MAX(X112-T112,1)*100)-Z112&gt;15),"Behind — progress lag",IF(AND(X112-TODAY()&lt;=30,X112-TODAY()&gt;=0,OR(Z112="",Z112&lt;90)),"At risk — close to off track","On track"))))))))</t>
        </is>
      </c>
      <c r="AH112" s="49" t="inlineStr">
        <is>
          <t>IF(OR(F112="",AC112="Completed / Handover",AC112="Cancelled"),"",IF(O112="Not awarded",IF(U112&lt;&gt;"",U112-TODAY(),IF(X112="","",X112-TODAY())),IF(X112="","",X112-TODAY())))</t>
        </is>
      </c>
      <c r="AI112" s="54" t="n"/>
      <c r="AJ112" s="54" t="n"/>
      <c r="AK112" s="54" t="n"/>
      <c r="AL112" s="54" t="n"/>
      <c r="AM112" s="54" t="n"/>
      <c r="AN112" s="54" t="n"/>
      <c r="AO112" s="54" t="n"/>
      <c r="AP112" s="54" t="n"/>
      <c r="AQ112" s="54" t="n"/>
      <c r="AR112" s="54" t="n"/>
      <c r="AS112" s="54" t="n"/>
      <c r="AT112" s="50" t="n"/>
      <c r="AU112" s="50" t="n"/>
      <c r="AV112" s="50" t="n"/>
      <c r="AW112" s="49" t="inlineStr">
        <is>
          <t>IF(OR(F112="",AJ112=""),"",IF(COUNT(AI112:AI112)=0,"",AJ112-LOOKUP(2,1/(AI112:AI112&lt;&gt;""),AI112:AI112)))</t>
        </is>
      </c>
      <c r="AX112" s="49" t="inlineStr">
        <is>
          <t>IF(OR(F112="",AK112=""),"",IF(COUNT(AI112:AJ112)=0,"",AK112-LOOKUP(2,1/(AI112:AJ112&lt;&gt;""),AI112:AJ112)))</t>
        </is>
      </c>
      <c r="AY112" s="49" t="inlineStr">
        <is>
          <t>IF(OR(F112="",AL112=""),"",IF(COUNT(AI112:AK112)=0,"",AL112-LOOKUP(2,1/(AI112:AK112&lt;&gt;""),AI112:AK112)))</t>
        </is>
      </c>
      <c r="AZ112" s="49" t="inlineStr">
        <is>
          <t>IF(OR(F112="",AM112=""),"",IF(COUNT(AI112:AL112)=0,"",AM112-LOOKUP(2,1/(AI112:AL112&lt;&gt;""),AI112:AL112)))</t>
        </is>
      </c>
      <c r="BA112" s="49" t="inlineStr">
        <is>
          <t>IF(OR(F112="",AN112=""),"",IF(COUNT(AI112:AM112)=0,"",AN112-LOOKUP(2,1/(AI112:AM112&lt;&gt;""),AI112:AM112)))</t>
        </is>
      </c>
      <c r="BB112" s="49" t="inlineStr">
        <is>
          <t>IF(OR(F112="",AO112=""),"",IF(COUNT(AI112:AN112)=0,"",AO112-LOOKUP(2,1/(AI112:AN112&lt;&gt;""),AI112:AN112)))</t>
        </is>
      </c>
      <c r="BC112" s="49" t="inlineStr">
        <is>
          <t>IF(OR(F112="",AP112=""),"",IF(COUNT(AI112:AO112)=0,"",AP112-LOOKUP(2,1/(AI112:AO112&lt;&gt;""),AI112:AO112)))</t>
        </is>
      </c>
      <c r="BD112" s="49" t="inlineStr">
        <is>
          <t>IF(OR(F112="",AQ112=""),"",IF(COUNT(AI112:AP112)=0,"",AQ112-LOOKUP(2,1/(AI112:AP112&lt;&gt;""),AI112:AP112)))</t>
        </is>
      </c>
      <c r="BE112" s="49" t="inlineStr">
        <is>
          <t>IF(OR(F112="",AR112=""),"",IF(COUNT(AI112:AQ112)=0,"",AR112-LOOKUP(2,1/(AI112:AQ112&lt;&gt;""),AI112:AQ112)))</t>
        </is>
      </c>
      <c r="BF112" s="49" t="inlineStr">
        <is>
          <t>IF(OR(F112="",AS112=""),"",IF(COUNT(AI112:AR112)=0,"",AS112-LOOKUP(2,1/(AI112:AR112&lt;&gt;""),AI112:AR112)))</t>
        </is>
      </c>
      <c r="BG112" s="49" t="inlineStr">
        <is>
          <t>IF(OR(F112="",AT112=""),"",IF(COUNT(AI112:AS112)=0,"",AT112-LOOKUP(2,1/(AI112:AS112&lt;&gt;""),AI112:AS112)))</t>
        </is>
      </c>
      <c r="BH112" s="49" t="inlineStr">
        <is>
          <t>IF(OR(F112="",AU112=""),"",IF(COUNT(AI112:AT112)=0,"",AU112-LOOKUP(2,1/(AI112:AT112&lt;&gt;""),AI112:AT112)))</t>
        </is>
      </c>
      <c r="BI112" s="49" t="inlineStr">
        <is>
          <t>IF(OR(F112="",AV112=""),"",IF(COUNT(AI112:AU112)=0,"",AV112-LOOKUP(2,1/(AI112:AU112&lt;&gt;""),AI112:AU112)))</t>
        </is>
      </c>
      <c r="BJ112" s="51" t="inlineStr">
        <is>
          <t>IF(J112="","All_Provinces",IFERROR(VLOOKUP(J112,'09_Lookups'!$A$4:$B$20,2,FALSE),"All_Provinces"))</t>
        </is>
      </c>
      <c r="BK112" s="51" t="inlineStr">
        <is>
          <t>IF(K112="","All_Districts",IFERROR(VLOOKUP(K112,'09_Lookups'!$E$4:$F$42,2,FALSE),"All_Districts"))</t>
        </is>
      </c>
    </row>
    <row r="113" ht="18" customHeight="1">
      <c r="A113" s="42" t="inlineStr">
        <is>
          <t>IF(F113="","",ROW()-3)</t>
        </is>
      </c>
      <c r="B113" s="44" t="n"/>
      <c r="C113" s="44" t="n"/>
      <c r="D113" s="44" t="n"/>
      <c r="E113" s="44" t="n"/>
      <c r="F113" s="44" t="n"/>
      <c r="G113" s="44" t="n"/>
      <c r="H113" s="44" t="n"/>
      <c r="I113" s="44" t="n"/>
      <c r="J113" s="44" t="n"/>
      <c r="K113" s="44" t="n"/>
      <c r="L113" s="44" t="n"/>
      <c r="M113" s="44" t="n"/>
      <c r="N113" s="44" t="n"/>
      <c r="O113" s="44" t="n"/>
      <c r="P113" s="44" t="n"/>
      <c r="Q113" s="44" t="n"/>
      <c r="R113" s="44" t="n"/>
      <c r="S113" s="45" t="n"/>
      <c r="T113" s="46" t="inlineStr">
        <is>
          <t>IF(AQ113="","",AQ113)</t>
        </is>
      </c>
      <c r="U113" s="47" t="n"/>
      <c r="V113" s="48" t="n"/>
      <c r="W113" s="47" t="n"/>
      <c r="X113" s="46" t="inlineStr">
        <is>
          <t>IF(W113&lt;&gt;"",W113,IF(OR(T113="",V113=""),"",EDATE(T113,V113)))</t>
        </is>
      </c>
      <c r="Y113" s="47" t="n"/>
      <c r="Z113" s="48" t="n"/>
      <c r="AA113" s="44" t="n"/>
      <c r="AB113" s="44" t="n"/>
      <c r="AC113" s="42" t="inlineStr">
        <is>
          <t>IF(F113="","",IF(COUNT(AI113:AV113)=0,IF(AA113="","Not started",AA113),SUBSTITUTE(LOOKUP(2,1/(AI113:AV113&lt;&gt;""),$AI$3:$AV$3),"Date: ","")))</t>
        </is>
      </c>
      <c r="AD113" s="49" t="inlineStr">
        <is>
          <t>IF(OR(F113="",COUNT(AI113:AV113)=0),"",TODAY()-LOOKUP(2,1/(AI113:AV113&lt;&gt;""),AI113:AV113))</t>
        </is>
      </c>
      <c r="AE113" s="49" t="inlineStr">
        <is>
          <t>IF(OR(F113="",COUNT(AI113:AV113)&lt;2),"",LOOKUP(2,1/(AI113:AV113&lt;&gt;""),AI113:AV113)-MIN(AI113:AV113))</t>
        </is>
      </c>
      <c r="AF113" s="49" t="inlineStr">
        <is>
          <t>IF(OR(AD113="",AC113="Not started",AC113=""),"",IFERROR(AD113-IF(VLOOKUP(AC113,'06_Status_Pipeline'!$B$3:$E$20,4,FALSE)="",0,VLOOKUP(AC113,'06_Status_Pipeline'!$B$3:$E$20,4,FALSE)),""))</t>
        </is>
      </c>
      <c r="AG113" s="42" t="inlineStr">
        <is>
          <t>IF(F113="","",IF(OR(AA113="Cancelled",AC113="Cancelled"),"Cancelled",IF(OR(AC113="Completed / Handover",Y113&lt;&gt;"",Z113&gt;=100),"Completed — on track",IF(O113="Not awarded",IF(U113="",IF(X113="","No planned date",IF(TODAY()&gt;X113,"Behind — past planned date",IF(X113-TODAY()&lt;=30,"At risk — close to off track","On track"))),IF(TODAY()&gt;U113,"Behind — award date passed",IF(U113-TODAY()&lt;=30,"At risk — close to off track","On track"))),IF(X113="","No planned date",IF(AND(TODAY()&gt;X113,OR(Z113="",Z113&lt;100)),"Behind — past end date",IF(AND(T113&lt;&gt;"",X113&lt;&gt;"",Z113&lt;&gt;"",(Z113&lt;100),((TODAY()-T113)/MAX(X113-T113,1)*100)-Z113&gt;15),"Behind — progress lag",IF(AND(X113-TODAY()&lt;=30,X113-TODAY()&gt;=0,OR(Z113="",Z113&lt;90)),"At risk — close to off track","On track"))))))))</t>
        </is>
      </c>
      <c r="AH113" s="49" t="inlineStr">
        <is>
          <t>IF(OR(F113="",AC113="Completed / Handover",AC113="Cancelled"),"",IF(O113="Not awarded",IF(U113&lt;&gt;"",U113-TODAY(),IF(X113="","",X113-TODAY())),IF(X113="","",X113-TODAY())))</t>
        </is>
      </c>
      <c r="AI113" s="47" t="n"/>
      <c r="AJ113" s="47" t="n"/>
      <c r="AK113" s="47" t="n"/>
      <c r="AL113" s="47" t="n"/>
      <c r="AM113" s="47" t="n"/>
      <c r="AN113" s="47" t="n"/>
      <c r="AO113" s="47" t="n"/>
      <c r="AP113" s="47" t="n"/>
      <c r="AQ113" s="47" t="n"/>
      <c r="AR113" s="47" t="n"/>
      <c r="AS113" s="47" t="n"/>
      <c r="AT113" s="50" t="n"/>
      <c r="AU113" s="50" t="n"/>
      <c r="AV113" s="50" t="n"/>
      <c r="AW113" s="49" t="inlineStr">
        <is>
          <t>IF(OR(F113="",AJ113=""),"",IF(COUNT(AI113:AI113)=0,"",AJ113-LOOKUP(2,1/(AI113:AI113&lt;&gt;""),AI113:AI113)))</t>
        </is>
      </c>
      <c r="AX113" s="49" t="inlineStr">
        <is>
          <t>IF(OR(F113="",AK113=""),"",IF(COUNT(AI113:AJ113)=0,"",AK113-LOOKUP(2,1/(AI113:AJ113&lt;&gt;""),AI113:AJ113)))</t>
        </is>
      </c>
      <c r="AY113" s="49" t="inlineStr">
        <is>
          <t>IF(OR(F113="",AL113=""),"",IF(COUNT(AI113:AK113)=0,"",AL113-LOOKUP(2,1/(AI113:AK113&lt;&gt;""),AI113:AK113)))</t>
        </is>
      </c>
      <c r="AZ113" s="49" t="inlineStr">
        <is>
          <t>IF(OR(F113="",AM113=""),"",IF(COUNT(AI113:AL113)=0,"",AM113-LOOKUP(2,1/(AI113:AL113&lt;&gt;""),AI113:AL113)))</t>
        </is>
      </c>
      <c r="BA113" s="49" t="inlineStr">
        <is>
          <t>IF(OR(F113="",AN113=""),"",IF(COUNT(AI113:AM113)=0,"",AN113-LOOKUP(2,1/(AI113:AM113&lt;&gt;""),AI113:AM113)))</t>
        </is>
      </c>
      <c r="BB113" s="49" t="inlineStr">
        <is>
          <t>IF(OR(F113="",AO113=""),"",IF(COUNT(AI113:AN113)=0,"",AO113-LOOKUP(2,1/(AI113:AN113&lt;&gt;""),AI113:AN113)))</t>
        </is>
      </c>
      <c r="BC113" s="49" t="inlineStr">
        <is>
          <t>IF(OR(F113="",AP113=""),"",IF(COUNT(AI113:AO113)=0,"",AP113-LOOKUP(2,1/(AI113:AO113&lt;&gt;""),AI113:AO113)))</t>
        </is>
      </c>
      <c r="BD113" s="49" t="inlineStr">
        <is>
          <t>IF(OR(F113="",AQ113=""),"",IF(COUNT(AI113:AP113)=0,"",AQ113-LOOKUP(2,1/(AI113:AP113&lt;&gt;""),AI113:AP113)))</t>
        </is>
      </c>
      <c r="BE113" s="49" t="inlineStr">
        <is>
          <t>IF(OR(F113="",AR113=""),"",IF(COUNT(AI113:AQ113)=0,"",AR113-LOOKUP(2,1/(AI113:AQ113&lt;&gt;""),AI113:AQ113)))</t>
        </is>
      </c>
      <c r="BF113" s="49" t="inlineStr">
        <is>
          <t>IF(OR(F113="",AS113=""),"",IF(COUNT(AI113:AR113)=0,"",AS113-LOOKUP(2,1/(AI113:AR113&lt;&gt;""),AI113:AR113)))</t>
        </is>
      </c>
      <c r="BG113" s="49" t="inlineStr">
        <is>
          <t>IF(OR(F113="",AT113=""),"",IF(COUNT(AI113:AS113)=0,"",AT113-LOOKUP(2,1/(AI113:AS113&lt;&gt;""),AI113:AS113)))</t>
        </is>
      </c>
      <c r="BH113" s="49" t="inlineStr">
        <is>
          <t>IF(OR(F113="",AU113=""),"",IF(COUNT(AI113:AT113)=0,"",AU113-LOOKUP(2,1/(AI113:AT113&lt;&gt;""),AI113:AT113)))</t>
        </is>
      </c>
      <c r="BI113" s="49" t="inlineStr">
        <is>
          <t>IF(OR(F113="",AV113=""),"",IF(COUNT(AI113:AU113)=0,"",AV113-LOOKUP(2,1/(AI113:AU113&lt;&gt;""),AI113:AU113)))</t>
        </is>
      </c>
      <c r="BJ113" s="51" t="inlineStr">
        <is>
          <t>IF(J113="","All_Provinces",IFERROR(VLOOKUP(J113,'09_Lookups'!$A$4:$B$20,2,FALSE),"All_Provinces"))</t>
        </is>
      </c>
      <c r="BK113" s="51" t="inlineStr">
        <is>
          <t>IF(K113="","All_Districts",IFERROR(VLOOKUP(K113,'09_Lookups'!$E$4:$F$42,2,FALSE),"All_Districts"))</t>
        </is>
      </c>
    </row>
    <row r="114" ht="18" customHeight="1">
      <c r="A114" s="42" t="inlineStr">
        <is>
          <t>IF(F114="","",ROW()-3)</t>
        </is>
      </c>
      <c r="B114" s="52" t="n"/>
      <c r="C114" s="52" t="n"/>
      <c r="D114" s="52" t="n"/>
      <c r="E114" s="52" t="n"/>
      <c r="F114" s="52" t="n"/>
      <c r="G114" s="52" t="n"/>
      <c r="H114" s="52" t="n"/>
      <c r="I114" s="52" t="n"/>
      <c r="J114" s="52" t="n"/>
      <c r="K114" s="52" t="n"/>
      <c r="L114" s="52" t="n"/>
      <c r="M114" s="52" t="n"/>
      <c r="N114" s="52" t="n"/>
      <c r="O114" s="52" t="n"/>
      <c r="P114" s="52" t="n"/>
      <c r="Q114" s="52" t="n"/>
      <c r="R114" s="52" t="n"/>
      <c r="S114" s="53" t="n"/>
      <c r="T114" s="46" t="inlineStr">
        <is>
          <t>IF(AQ114="","",AQ114)</t>
        </is>
      </c>
      <c r="U114" s="54" t="n"/>
      <c r="V114" s="55" t="n"/>
      <c r="W114" s="54" t="n"/>
      <c r="X114" s="46" t="inlineStr">
        <is>
          <t>IF(W114&lt;&gt;"",W114,IF(OR(T114="",V114=""),"",EDATE(T114,V114)))</t>
        </is>
      </c>
      <c r="Y114" s="54" t="n"/>
      <c r="Z114" s="55" t="n"/>
      <c r="AA114" s="52" t="n"/>
      <c r="AB114" s="52" t="n"/>
      <c r="AC114" s="42" t="inlineStr">
        <is>
          <t>IF(F114="","",IF(COUNT(AI114:AV114)=0,IF(AA114="","Not started",AA114),SUBSTITUTE(LOOKUP(2,1/(AI114:AV114&lt;&gt;""),$AI$3:$AV$3),"Date: ","")))</t>
        </is>
      </c>
      <c r="AD114" s="49" t="inlineStr">
        <is>
          <t>IF(OR(F114="",COUNT(AI114:AV114)=0),"",TODAY()-LOOKUP(2,1/(AI114:AV114&lt;&gt;""),AI114:AV114))</t>
        </is>
      </c>
      <c r="AE114" s="49" t="inlineStr">
        <is>
          <t>IF(OR(F114="",COUNT(AI114:AV114)&lt;2),"",LOOKUP(2,1/(AI114:AV114&lt;&gt;""),AI114:AV114)-MIN(AI114:AV114))</t>
        </is>
      </c>
      <c r="AF114" s="49" t="inlineStr">
        <is>
          <t>IF(OR(AD114="",AC114="Not started",AC114=""),"",IFERROR(AD114-IF(VLOOKUP(AC114,'06_Status_Pipeline'!$B$3:$E$20,4,FALSE)="",0,VLOOKUP(AC114,'06_Status_Pipeline'!$B$3:$E$20,4,FALSE)),""))</t>
        </is>
      </c>
      <c r="AG114" s="42" t="inlineStr">
        <is>
          <t>IF(F114="","",IF(OR(AA114="Cancelled",AC114="Cancelled"),"Cancelled",IF(OR(AC114="Completed / Handover",Y114&lt;&gt;"",Z114&gt;=100),"Completed — on track",IF(O114="Not awarded",IF(U114="",IF(X114="","No planned date",IF(TODAY()&gt;X114,"Behind — past planned date",IF(X114-TODAY()&lt;=30,"At risk — close to off track","On track"))),IF(TODAY()&gt;U114,"Behind — award date passed",IF(U114-TODAY()&lt;=30,"At risk — close to off track","On track"))),IF(X114="","No planned date",IF(AND(TODAY()&gt;X114,OR(Z114="",Z114&lt;100)),"Behind — past end date",IF(AND(T114&lt;&gt;"",X114&lt;&gt;"",Z114&lt;&gt;"",(Z114&lt;100),((TODAY()-T114)/MAX(X114-T114,1)*100)-Z114&gt;15),"Behind — progress lag",IF(AND(X114-TODAY()&lt;=30,X114-TODAY()&gt;=0,OR(Z114="",Z114&lt;90)),"At risk — close to off track","On track"))))))))</t>
        </is>
      </c>
      <c r="AH114" s="49" t="inlineStr">
        <is>
          <t>IF(OR(F114="",AC114="Completed / Handover",AC114="Cancelled"),"",IF(O114="Not awarded",IF(U114&lt;&gt;"",U114-TODAY(),IF(X114="","",X114-TODAY())),IF(X114="","",X114-TODAY())))</t>
        </is>
      </c>
      <c r="AI114" s="54" t="n"/>
      <c r="AJ114" s="54" t="n"/>
      <c r="AK114" s="54" t="n"/>
      <c r="AL114" s="54" t="n"/>
      <c r="AM114" s="54" t="n"/>
      <c r="AN114" s="54" t="n"/>
      <c r="AO114" s="54" t="n"/>
      <c r="AP114" s="54" t="n"/>
      <c r="AQ114" s="54" t="n"/>
      <c r="AR114" s="54" t="n"/>
      <c r="AS114" s="54" t="n"/>
      <c r="AT114" s="50" t="n"/>
      <c r="AU114" s="50" t="n"/>
      <c r="AV114" s="50" t="n"/>
      <c r="AW114" s="49" t="inlineStr">
        <is>
          <t>IF(OR(F114="",AJ114=""),"",IF(COUNT(AI114:AI114)=0,"",AJ114-LOOKUP(2,1/(AI114:AI114&lt;&gt;""),AI114:AI114)))</t>
        </is>
      </c>
      <c r="AX114" s="49" t="inlineStr">
        <is>
          <t>IF(OR(F114="",AK114=""),"",IF(COUNT(AI114:AJ114)=0,"",AK114-LOOKUP(2,1/(AI114:AJ114&lt;&gt;""),AI114:AJ114)))</t>
        </is>
      </c>
      <c r="AY114" s="49" t="inlineStr">
        <is>
          <t>IF(OR(F114="",AL114=""),"",IF(COUNT(AI114:AK114)=0,"",AL114-LOOKUP(2,1/(AI114:AK114&lt;&gt;""),AI114:AK114)))</t>
        </is>
      </c>
      <c r="AZ114" s="49" t="inlineStr">
        <is>
          <t>IF(OR(F114="",AM114=""),"",IF(COUNT(AI114:AL114)=0,"",AM114-LOOKUP(2,1/(AI114:AL114&lt;&gt;""),AI114:AL114)))</t>
        </is>
      </c>
      <c r="BA114" s="49" t="inlineStr">
        <is>
          <t>IF(OR(F114="",AN114=""),"",IF(COUNT(AI114:AM114)=0,"",AN114-LOOKUP(2,1/(AI114:AM114&lt;&gt;""),AI114:AM114)))</t>
        </is>
      </c>
      <c r="BB114" s="49" t="inlineStr">
        <is>
          <t>IF(OR(F114="",AO114=""),"",IF(COUNT(AI114:AN114)=0,"",AO114-LOOKUP(2,1/(AI114:AN114&lt;&gt;""),AI114:AN114)))</t>
        </is>
      </c>
      <c r="BC114" s="49" t="inlineStr">
        <is>
          <t>IF(OR(F114="",AP114=""),"",IF(COUNT(AI114:AO114)=0,"",AP114-LOOKUP(2,1/(AI114:AO114&lt;&gt;""),AI114:AO114)))</t>
        </is>
      </c>
      <c r="BD114" s="49" t="inlineStr">
        <is>
          <t>IF(OR(F114="",AQ114=""),"",IF(COUNT(AI114:AP114)=0,"",AQ114-LOOKUP(2,1/(AI114:AP114&lt;&gt;""),AI114:AP114)))</t>
        </is>
      </c>
      <c r="BE114" s="49" t="inlineStr">
        <is>
          <t>IF(OR(F114="",AR114=""),"",IF(COUNT(AI114:AQ114)=0,"",AR114-LOOKUP(2,1/(AI114:AQ114&lt;&gt;""),AI114:AQ114)))</t>
        </is>
      </c>
      <c r="BF114" s="49" t="inlineStr">
        <is>
          <t>IF(OR(F114="",AS114=""),"",IF(COUNT(AI114:AR114)=0,"",AS114-LOOKUP(2,1/(AI114:AR114&lt;&gt;""),AI114:AR114)))</t>
        </is>
      </c>
      <c r="BG114" s="49" t="inlineStr">
        <is>
          <t>IF(OR(F114="",AT114=""),"",IF(COUNT(AI114:AS114)=0,"",AT114-LOOKUP(2,1/(AI114:AS114&lt;&gt;""),AI114:AS114)))</t>
        </is>
      </c>
      <c r="BH114" s="49" t="inlineStr">
        <is>
          <t>IF(OR(F114="",AU114=""),"",IF(COUNT(AI114:AT114)=0,"",AU114-LOOKUP(2,1/(AI114:AT114&lt;&gt;""),AI114:AT114)))</t>
        </is>
      </c>
      <c r="BI114" s="49" t="inlineStr">
        <is>
          <t>IF(OR(F114="",AV114=""),"",IF(COUNT(AI114:AU114)=0,"",AV114-LOOKUP(2,1/(AI114:AU114&lt;&gt;""),AI114:AU114)))</t>
        </is>
      </c>
      <c r="BJ114" s="51" t="inlineStr">
        <is>
          <t>IF(J114="","All_Provinces",IFERROR(VLOOKUP(J114,'09_Lookups'!$A$4:$B$20,2,FALSE),"All_Provinces"))</t>
        </is>
      </c>
      <c r="BK114" s="51" t="inlineStr">
        <is>
          <t>IF(K114="","All_Districts",IFERROR(VLOOKUP(K114,'09_Lookups'!$E$4:$F$42,2,FALSE),"All_Districts"))</t>
        </is>
      </c>
    </row>
    <row r="115" ht="18" customHeight="1">
      <c r="A115" s="42" t="inlineStr">
        <is>
          <t>IF(F115="","",ROW()-3)</t>
        </is>
      </c>
      <c r="B115" s="44" t="n"/>
      <c r="C115" s="44" t="n"/>
      <c r="D115" s="44" t="n"/>
      <c r="E115" s="44" t="n"/>
      <c r="F115" s="44" t="n"/>
      <c r="G115" s="44" t="n"/>
      <c r="H115" s="44" t="n"/>
      <c r="I115" s="44" t="n"/>
      <c r="J115" s="44" t="n"/>
      <c r="K115" s="44" t="n"/>
      <c r="L115" s="44" t="n"/>
      <c r="M115" s="44" t="n"/>
      <c r="N115" s="44" t="n"/>
      <c r="O115" s="44" t="n"/>
      <c r="P115" s="44" t="n"/>
      <c r="Q115" s="44" t="n"/>
      <c r="R115" s="44" t="n"/>
      <c r="S115" s="45" t="n"/>
      <c r="T115" s="46" t="inlineStr">
        <is>
          <t>IF(AQ115="","",AQ115)</t>
        </is>
      </c>
      <c r="U115" s="47" t="n"/>
      <c r="V115" s="48" t="n"/>
      <c r="W115" s="47" t="n"/>
      <c r="X115" s="46" t="inlineStr">
        <is>
          <t>IF(W115&lt;&gt;"",W115,IF(OR(T115="",V115=""),"",EDATE(T115,V115)))</t>
        </is>
      </c>
      <c r="Y115" s="47" t="n"/>
      <c r="Z115" s="48" t="n"/>
      <c r="AA115" s="44" t="n"/>
      <c r="AB115" s="44" t="n"/>
      <c r="AC115" s="42" t="inlineStr">
        <is>
          <t>IF(F115="","",IF(COUNT(AI115:AV115)=0,IF(AA115="","Not started",AA115),SUBSTITUTE(LOOKUP(2,1/(AI115:AV115&lt;&gt;""),$AI$3:$AV$3),"Date: ","")))</t>
        </is>
      </c>
      <c r="AD115" s="49" t="inlineStr">
        <is>
          <t>IF(OR(F115="",COUNT(AI115:AV115)=0),"",TODAY()-LOOKUP(2,1/(AI115:AV115&lt;&gt;""),AI115:AV115))</t>
        </is>
      </c>
      <c r="AE115" s="49" t="inlineStr">
        <is>
          <t>IF(OR(F115="",COUNT(AI115:AV115)&lt;2),"",LOOKUP(2,1/(AI115:AV115&lt;&gt;""),AI115:AV115)-MIN(AI115:AV115))</t>
        </is>
      </c>
      <c r="AF115" s="49" t="inlineStr">
        <is>
          <t>IF(OR(AD115="",AC115="Not started",AC115=""),"",IFERROR(AD115-IF(VLOOKUP(AC115,'06_Status_Pipeline'!$B$3:$E$20,4,FALSE)="",0,VLOOKUP(AC115,'06_Status_Pipeline'!$B$3:$E$20,4,FALSE)),""))</t>
        </is>
      </c>
      <c r="AG115" s="42" t="inlineStr">
        <is>
          <t>IF(F115="","",IF(OR(AA115="Cancelled",AC115="Cancelled"),"Cancelled",IF(OR(AC115="Completed / Handover",Y115&lt;&gt;"",Z115&gt;=100),"Completed — on track",IF(O115="Not awarded",IF(U115="",IF(X115="","No planned date",IF(TODAY()&gt;X115,"Behind — past planned date",IF(X115-TODAY()&lt;=30,"At risk — close to off track","On track"))),IF(TODAY()&gt;U115,"Behind — award date passed",IF(U115-TODAY()&lt;=30,"At risk — close to off track","On track"))),IF(X115="","No planned date",IF(AND(TODAY()&gt;X115,OR(Z115="",Z115&lt;100)),"Behind — past end date",IF(AND(T115&lt;&gt;"",X115&lt;&gt;"",Z115&lt;&gt;"",(Z115&lt;100),((TODAY()-T115)/MAX(X115-T115,1)*100)-Z115&gt;15),"Behind — progress lag",IF(AND(X115-TODAY()&lt;=30,X115-TODAY()&gt;=0,OR(Z115="",Z115&lt;90)),"At risk — close to off track","On track"))))))))</t>
        </is>
      </c>
      <c r="AH115" s="49" t="inlineStr">
        <is>
          <t>IF(OR(F115="",AC115="Completed / Handover",AC115="Cancelled"),"",IF(O115="Not awarded",IF(U115&lt;&gt;"",U115-TODAY(),IF(X115="","",X115-TODAY())),IF(X115="","",X115-TODAY())))</t>
        </is>
      </c>
      <c r="AI115" s="47" t="n"/>
      <c r="AJ115" s="47" t="n"/>
      <c r="AK115" s="47" t="n"/>
      <c r="AL115" s="47" t="n"/>
      <c r="AM115" s="47" t="n"/>
      <c r="AN115" s="47" t="n"/>
      <c r="AO115" s="47" t="n"/>
      <c r="AP115" s="47" t="n"/>
      <c r="AQ115" s="47" t="n"/>
      <c r="AR115" s="47" t="n"/>
      <c r="AS115" s="47" t="n"/>
      <c r="AT115" s="50" t="n"/>
      <c r="AU115" s="50" t="n"/>
      <c r="AV115" s="50" t="n"/>
      <c r="AW115" s="49" t="inlineStr">
        <is>
          <t>IF(OR(F115="",AJ115=""),"",IF(COUNT(AI115:AI115)=0,"",AJ115-LOOKUP(2,1/(AI115:AI115&lt;&gt;""),AI115:AI115)))</t>
        </is>
      </c>
      <c r="AX115" s="49" t="inlineStr">
        <is>
          <t>IF(OR(F115="",AK115=""),"",IF(COUNT(AI115:AJ115)=0,"",AK115-LOOKUP(2,1/(AI115:AJ115&lt;&gt;""),AI115:AJ115)))</t>
        </is>
      </c>
      <c r="AY115" s="49" t="inlineStr">
        <is>
          <t>IF(OR(F115="",AL115=""),"",IF(COUNT(AI115:AK115)=0,"",AL115-LOOKUP(2,1/(AI115:AK115&lt;&gt;""),AI115:AK115)))</t>
        </is>
      </c>
      <c r="AZ115" s="49" t="inlineStr">
        <is>
          <t>IF(OR(F115="",AM115=""),"",IF(COUNT(AI115:AL115)=0,"",AM115-LOOKUP(2,1/(AI115:AL115&lt;&gt;""),AI115:AL115)))</t>
        </is>
      </c>
      <c r="BA115" s="49" t="inlineStr">
        <is>
          <t>IF(OR(F115="",AN115=""),"",IF(COUNT(AI115:AM115)=0,"",AN115-LOOKUP(2,1/(AI115:AM115&lt;&gt;""),AI115:AM115)))</t>
        </is>
      </c>
      <c r="BB115" s="49" t="inlineStr">
        <is>
          <t>IF(OR(F115="",AO115=""),"",IF(COUNT(AI115:AN115)=0,"",AO115-LOOKUP(2,1/(AI115:AN115&lt;&gt;""),AI115:AN115)))</t>
        </is>
      </c>
      <c r="BC115" s="49" t="inlineStr">
        <is>
          <t>IF(OR(F115="",AP115=""),"",IF(COUNT(AI115:AO115)=0,"",AP115-LOOKUP(2,1/(AI115:AO115&lt;&gt;""),AI115:AO115)))</t>
        </is>
      </c>
      <c r="BD115" s="49" t="inlineStr">
        <is>
          <t>IF(OR(F115="",AQ115=""),"",IF(COUNT(AI115:AP115)=0,"",AQ115-LOOKUP(2,1/(AI115:AP115&lt;&gt;""),AI115:AP115)))</t>
        </is>
      </c>
      <c r="BE115" s="49" t="inlineStr">
        <is>
          <t>IF(OR(F115="",AR115=""),"",IF(COUNT(AI115:AQ115)=0,"",AR115-LOOKUP(2,1/(AI115:AQ115&lt;&gt;""),AI115:AQ115)))</t>
        </is>
      </c>
      <c r="BF115" s="49" t="inlineStr">
        <is>
          <t>IF(OR(F115="",AS115=""),"",IF(COUNT(AI115:AR115)=0,"",AS115-LOOKUP(2,1/(AI115:AR115&lt;&gt;""),AI115:AR115)))</t>
        </is>
      </c>
      <c r="BG115" s="49" t="inlineStr">
        <is>
          <t>IF(OR(F115="",AT115=""),"",IF(COUNT(AI115:AS115)=0,"",AT115-LOOKUP(2,1/(AI115:AS115&lt;&gt;""),AI115:AS115)))</t>
        </is>
      </c>
      <c r="BH115" s="49" t="inlineStr">
        <is>
          <t>IF(OR(F115="",AU115=""),"",IF(COUNT(AI115:AT115)=0,"",AU115-LOOKUP(2,1/(AI115:AT115&lt;&gt;""),AI115:AT115)))</t>
        </is>
      </c>
      <c r="BI115" s="49" t="inlineStr">
        <is>
          <t>IF(OR(F115="",AV115=""),"",IF(COUNT(AI115:AU115)=0,"",AV115-LOOKUP(2,1/(AI115:AU115&lt;&gt;""),AI115:AU115)))</t>
        </is>
      </c>
      <c r="BJ115" s="51" t="inlineStr">
        <is>
          <t>IF(J115="","All_Provinces",IFERROR(VLOOKUP(J115,'09_Lookups'!$A$4:$B$20,2,FALSE),"All_Provinces"))</t>
        </is>
      </c>
      <c r="BK115" s="51" t="inlineStr">
        <is>
          <t>IF(K115="","All_Districts",IFERROR(VLOOKUP(K115,'09_Lookups'!$E$4:$F$42,2,FALSE),"All_Districts"))</t>
        </is>
      </c>
    </row>
    <row r="116" ht="18" customHeight="1">
      <c r="A116" s="42" t="inlineStr">
        <is>
          <t>IF(F116="","",ROW()-3)</t>
        </is>
      </c>
      <c r="B116" s="52" t="n"/>
      <c r="C116" s="52" t="n"/>
      <c r="D116" s="52" t="n"/>
      <c r="E116" s="52" t="n"/>
      <c r="F116" s="52" t="n"/>
      <c r="G116" s="52" t="n"/>
      <c r="H116" s="52" t="n"/>
      <c r="I116" s="52" t="n"/>
      <c r="J116" s="52" t="n"/>
      <c r="K116" s="52" t="n"/>
      <c r="L116" s="52" t="n"/>
      <c r="M116" s="52" t="n"/>
      <c r="N116" s="52" t="n"/>
      <c r="O116" s="52" t="n"/>
      <c r="P116" s="52" t="n"/>
      <c r="Q116" s="52" t="n"/>
      <c r="R116" s="52" t="n"/>
      <c r="S116" s="53" t="n"/>
      <c r="T116" s="46" t="inlineStr">
        <is>
          <t>IF(AQ116="","",AQ116)</t>
        </is>
      </c>
      <c r="U116" s="54" t="n"/>
      <c r="V116" s="55" t="n"/>
      <c r="W116" s="54" t="n"/>
      <c r="X116" s="46" t="inlineStr">
        <is>
          <t>IF(W116&lt;&gt;"",W116,IF(OR(T116="",V116=""),"",EDATE(T116,V116)))</t>
        </is>
      </c>
      <c r="Y116" s="54" t="n"/>
      <c r="Z116" s="55" t="n"/>
      <c r="AA116" s="52" t="n"/>
      <c r="AB116" s="52" t="n"/>
      <c r="AC116" s="42" t="inlineStr">
        <is>
          <t>IF(F116="","",IF(COUNT(AI116:AV116)=0,IF(AA116="","Not started",AA116),SUBSTITUTE(LOOKUP(2,1/(AI116:AV116&lt;&gt;""),$AI$3:$AV$3),"Date: ","")))</t>
        </is>
      </c>
      <c r="AD116" s="49" t="inlineStr">
        <is>
          <t>IF(OR(F116="",COUNT(AI116:AV116)=0),"",TODAY()-LOOKUP(2,1/(AI116:AV116&lt;&gt;""),AI116:AV116))</t>
        </is>
      </c>
      <c r="AE116" s="49" t="inlineStr">
        <is>
          <t>IF(OR(F116="",COUNT(AI116:AV116)&lt;2),"",LOOKUP(2,1/(AI116:AV116&lt;&gt;""),AI116:AV116)-MIN(AI116:AV116))</t>
        </is>
      </c>
      <c r="AF116" s="49" t="inlineStr">
        <is>
          <t>IF(OR(AD116="",AC116="Not started",AC116=""),"",IFERROR(AD116-IF(VLOOKUP(AC116,'06_Status_Pipeline'!$B$3:$E$20,4,FALSE)="",0,VLOOKUP(AC116,'06_Status_Pipeline'!$B$3:$E$20,4,FALSE)),""))</t>
        </is>
      </c>
      <c r="AG116" s="42" t="inlineStr">
        <is>
          <t>IF(F116="","",IF(OR(AA116="Cancelled",AC116="Cancelled"),"Cancelled",IF(OR(AC116="Completed / Handover",Y116&lt;&gt;"",Z116&gt;=100),"Completed — on track",IF(O116="Not awarded",IF(U116="",IF(X116="","No planned date",IF(TODAY()&gt;X116,"Behind — past planned date",IF(X116-TODAY()&lt;=30,"At risk — close to off track","On track"))),IF(TODAY()&gt;U116,"Behind — award date passed",IF(U116-TODAY()&lt;=30,"At risk — close to off track","On track"))),IF(X116="","No planned date",IF(AND(TODAY()&gt;X116,OR(Z116="",Z116&lt;100)),"Behind — past end date",IF(AND(T116&lt;&gt;"",X116&lt;&gt;"",Z116&lt;&gt;"",(Z116&lt;100),((TODAY()-T116)/MAX(X116-T116,1)*100)-Z116&gt;15),"Behind — progress lag",IF(AND(X116-TODAY()&lt;=30,X116-TODAY()&gt;=0,OR(Z116="",Z116&lt;90)),"At risk — close to off track","On track"))))))))</t>
        </is>
      </c>
      <c r="AH116" s="49" t="inlineStr">
        <is>
          <t>IF(OR(F116="",AC116="Completed / Handover",AC116="Cancelled"),"",IF(O116="Not awarded",IF(U116&lt;&gt;"",U116-TODAY(),IF(X116="","",X116-TODAY())),IF(X116="","",X116-TODAY())))</t>
        </is>
      </c>
      <c r="AI116" s="54" t="n"/>
      <c r="AJ116" s="54" t="n"/>
      <c r="AK116" s="54" t="n"/>
      <c r="AL116" s="54" t="n"/>
      <c r="AM116" s="54" t="n"/>
      <c r="AN116" s="54" t="n"/>
      <c r="AO116" s="54" t="n"/>
      <c r="AP116" s="54" t="n"/>
      <c r="AQ116" s="54" t="n"/>
      <c r="AR116" s="54" t="n"/>
      <c r="AS116" s="54" t="n"/>
      <c r="AT116" s="50" t="n"/>
      <c r="AU116" s="50" t="n"/>
      <c r="AV116" s="50" t="n"/>
      <c r="AW116" s="49" t="inlineStr">
        <is>
          <t>IF(OR(F116="",AJ116=""),"",IF(COUNT(AI116:AI116)=0,"",AJ116-LOOKUP(2,1/(AI116:AI116&lt;&gt;""),AI116:AI116)))</t>
        </is>
      </c>
      <c r="AX116" s="49" t="inlineStr">
        <is>
          <t>IF(OR(F116="",AK116=""),"",IF(COUNT(AI116:AJ116)=0,"",AK116-LOOKUP(2,1/(AI116:AJ116&lt;&gt;""),AI116:AJ116)))</t>
        </is>
      </c>
      <c r="AY116" s="49" t="inlineStr">
        <is>
          <t>IF(OR(F116="",AL116=""),"",IF(COUNT(AI116:AK116)=0,"",AL116-LOOKUP(2,1/(AI116:AK116&lt;&gt;""),AI116:AK116)))</t>
        </is>
      </c>
      <c r="AZ116" s="49" t="inlineStr">
        <is>
          <t>IF(OR(F116="",AM116=""),"",IF(COUNT(AI116:AL116)=0,"",AM116-LOOKUP(2,1/(AI116:AL116&lt;&gt;""),AI116:AL116)))</t>
        </is>
      </c>
      <c r="BA116" s="49" t="inlineStr">
        <is>
          <t>IF(OR(F116="",AN116=""),"",IF(COUNT(AI116:AM116)=0,"",AN116-LOOKUP(2,1/(AI116:AM116&lt;&gt;""),AI116:AM116)))</t>
        </is>
      </c>
      <c r="BB116" s="49" t="inlineStr">
        <is>
          <t>IF(OR(F116="",AO116=""),"",IF(COUNT(AI116:AN116)=0,"",AO116-LOOKUP(2,1/(AI116:AN116&lt;&gt;""),AI116:AN116)))</t>
        </is>
      </c>
      <c r="BC116" s="49" t="inlineStr">
        <is>
          <t>IF(OR(F116="",AP116=""),"",IF(COUNT(AI116:AO116)=0,"",AP116-LOOKUP(2,1/(AI116:AO116&lt;&gt;""),AI116:AO116)))</t>
        </is>
      </c>
      <c r="BD116" s="49" t="inlineStr">
        <is>
          <t>IF(OR(F116="",AQ116=""),"",IF(COUNT(AI116:AP116)=0,"",AQ116-LOOKUP(2,1/(AI116:AP116&lt;&gt;""),AI116:AP116)))</t>
        </is>
      </c>
      <c r="BE116" s="49" t="inlineStr">
        <is>
          <t>IF(OR(F116="",AR116=""),"",IF(COUNT(AI116:AQ116)=0,"",AR116-LOOKUP(2,1/(AI116:AQ116&lt;&gt;""),AI116:AQ116)))</t>
        </is>
      </c>
      <c r="BF116" s="49" t="inlineStr">
        <is>
          <t>IF(OR(F116="",AS116=""),"",IF(COUNT(AI116:AR116)=0,"",AS116-LOOKUP(2,1/(AI116:AR116&lt;&gt;""),AI116:AR116)))</t>
        </is>
      </c>
      <c r="BG116" s="49" t="inlineStr">
        <is>
          <t>IF(OR(F116="",AT116=""),"",IF(COUNT(AI116:AS116)=0,"",AT116-LOOKUP(2,1/(AI116:AS116&lt;&gt;""),AI116:AS116)))</t>
        </is>
      </c>
      <c r="BH116" s="49" t="inlineStr">
        <is>
          <t>IF(OR(F116="",AU116=""),"",IF(COUNT(AI116:AT116)=0,"",AU116-LOOKUP(2,1/(AI116:AT116&lt;&gt;""),AI116:AT116)))</t>
        </is>
      </c>
      <c r="BI116" s="49" t="inlineStr">
        <is>
          <t>IF(OR(F116="",AV116=""),"",IF(COUNT(AI116:AU116)=0,"",AV116-LOOKUP(2,1/(AI116:AU116&lt;&gt;""),AI116:AU116)))</t>
        </is>
      </c>
      <c r="BJ116" s="51" t="inlineStr">
        <is>
          <t>IF(J116="","All_Provinces",IFERROR(VLOOKUP(J116,'09_Lookups'!$A$4:$B$20,2,FALSE),"All_Provinces"))</t>
        </is>
      </c>
      <c r="BK116" s="51" t="inlineStr">
        <is>
          <t>IF(K116="","All_Districts",IFERROR(VLOOKUP(K116,'09_Lookups'!$E$4:$F$42,2,FALSE),"All_Districts"))</t>
        </is>
      </c>
    </row>
    <row r="117" ht="18" customHeight="1">
      <c r="A117" s="42" t="inlineStr">
        <is>
          <t>IF(F117="","",ROW()-3)</t>
        </is>
      </c>
      <c r="B117" s="44" t="n"/>
      <c r="C117" s="44" t="n"/>
      <c r="D117" s="44" t="n"/>
      <c r="E117" s="44" t="n"/>
      <c r="F117" s="44" t="n"/>
      <c r="G117" s="44" t="n"/>
      <c r="H117" s="44" t="n"/>
      <c r="I117" s="44" t="n"/>
      <c r="J117" s="44" t="n"/>
      <c r="K117" s="44" t="n"/>
      <c r="L117" s="44" t="n"/>
      <c r="M117" s="44" t="n"/>
      <c r="N117" s="44" t="n"/>
      <c r="O117" s="44" t="n"/>
      <c r="P117" s="44" t="n"/>
      <c r="Q117" s="44" t="n"/>
      <c r="R117" s="44" t="n"/>
      <c r="S117" s="45" t="n"/>
      <c r="T117" s="46" t="inlineStr">
        <is>
          <t>IF(AQ117="","",AQ117)</t>
        </is>
      </c>
      <c r="U117" s="47" t="n"/>
      <c r="V117" s="48" t="n"/>
      <c r="W117" s="47" t="n"/>
      <c r="X117" s="46" t="inlineStr">
        <is>
          <t>IF(W117&lt;&gt;"",W117,IF(OR(T117="",V117=""),"",EDATE(T117,V117)))</t>
        </is>
      </c>
      <c r="Y117" s="47" t="n"/>
      <c r="Z117" s="48" t="n"/>
      <c r="AA117" s="44" t="n"/>
      <c r="AB117" s="44" t="n"/>
      <c r="AC117" s="42" t="inlineStr">
        <is>
          <t>IF(F117="","",IF(COUNT(AI117:AV117)=0,IF(AA117="","Not started",AA117),SUBSTITUTE(LOOKUP(2,1/(AI117:AV117&lt;&gt;""),$AI$3:$AV$3),"Date: ","")))</t>
        </is>
      </c>
      <c r="AD117" s="49" t="inlineStr">
        <is>
          <t>IF(OR(F117="",COUNT(AI117:AV117)=0),"",TODAY()-LOOKUP(2,1/(AI117:AV117&lt;&gt;""),AI117:AV117))</t>
        </is>
      </c>
      <c r="AE117" s="49" t="inlineStr">
        <is>
          <t>IF(OR(F117="",COUNT(AI117:AV117)&lt;2),"",LOOKUP(2,1/(AI117:AV117&lt;&gt;""),AI117:AV117)-MIN(AI117:AV117))</t>
        </is>
      </c>
      <c r="AF117" s="49" t="inlineStr">
        <is>
          <t>IF(OR(AD117="",AC117="Not started",AC117=""),"",IFERROR(AD117-IF(VLOOKUP(AC117,'06_Status_Pipeline'!$B$3:$E$20,4,FALSE)="",0,VLOOKUP(AC117,'06_Status_Pipeline'!$B$3:$E$20,4,FALSE)),""))</t>
        </is>
      </c>
      <c r="AG117" s="42" t="inlineStr">
        <is>
          <t>IF(F117="","",IF(OR(AA117="Cancelled",AC117="Cancelled"),"Cancelled",IF(OR(AC117="Completed / Handover",Y117&lt;&gt;"",Z117&gt;=100),"Completed — on track",IF(O117="Not awarded",IF(U117="",IF(X117="","No planned date",IF(TODAY()&gt;X117,"Behind — past planned date",IF(X117-TODAY()&lt;=30,"At risk — close to off track","On track"))),IF(TODAY()&gt;U117,"Behind — award date passed",IF(U117-TODAY()&lt;=30,"At risk — close to off track","On track"))),IF(X117="","No planned date",IF(AND(TODAY()&gt;X117,OR(Z117="",Z117&lt;100)),"Behind — past end date",IF(AND(T117&lt;&gt;"",X117&lt;&gt;"",Z117&lt;&gt;"",(Z117&lt;100),((TODAY()-T117)/MAX(X117-T117,1)*100)-Z117&gt;15),"Behind — progress lag",IF(AND(X117-TODAY()&lt;=30,X117-TODAY()&gt;=0,OR(Z117="",Z117&lt;90)),"At risk — close to off track","On track"))))))))</t>
        </is>
      </c>
      <c r="AH117" s="49" t="inlineStr">
        <is>
          <t>IF(OR(F117="",AC117="Completed / Handover",AC117="Cancelled"),"",IF(O117="Not awarded",IF(U117&lt;&gt;"",U117-TODAY(),IF(X117="","",X117-TODAY())),IF(X117="","",X117-TODAY())))</t>
        </is>
      </c>
      <c r="AI117" s="47" t="n"/>
      <c r="AJ117" s="47" t="n"/>
      <c r="AK117" s="47" t="n"/>
      <c r="AL117" s="47" t="n"/>
      <c r="AM117" s="47" t="n"/>
      <c r="AN117" s="47" t="n"/>
      <c r="AO117" s="47" t="n"/>
      <c r="AP117" s="47" t="n"/>
      <c r="AQ117" s="47" t="n"/>
      <c r="AR117" s="47" t="n"/>
      <c r="AS117" s="47" t="n"/>
      <c r="AT117" s="50" t="n"/>
      <c r="AU117" s="50" t="n"/>
      <c r="AV117" s="50" t="n"/>
      <c r="AW117" s="49" t="inlineStr">
        <is>
          <t>IF(OR(F117="",AJ117=""),"",IF(COUNT(AI117:AI117)=0,"",AJ117-LOOKUP(2,1/(AI117:AI117&lt;&gt;""),AI117:AI117)))</t>
        </is>
      </c>
      <c r="AX117" s="49" t="inlineStr">
        <is>
          <t>IF(OR(F117="",AK117=""),"",IF(COUNT(AI117:AJ117)=0,"",AK117-LOOKUP(2,1/(AI117:AJ117&lt;&gt;""),AI117:AJ117)))</t>
        </is>
      </c>
      <c r="AY117" s="49" t="inlineStr">
        <is>
          <t>IF(OR(F117="",AL117=""),"",IF(COUNT(AI117:AK117)=0,"",AL117-LOOKUP(2,1/(AI117:AK117&lt;&gt;""),AI117:AK117)))</t>
        </is>
      </c>
      <c r="AZ117" s="49" t="inlineStr">
        <is>
          <t>IF(OR(F117="",AM117=""),"",IF(COUNT(AI117:AL117)=0,"",AM117-LOOKUP(2,1/(AI117:AL117&lt;&gt;""),AI117:AL117)))</t>
        </is>
      </c>
      <c r="BA117" s="49" t="inlineStr">
        <is>
          <t>IF(OR(F117="",AN117=""),"",IF(COUNT(AI117:AM117)=0,"",AN117-LOOKUP(2,1/(AI117:AM117&lt;&gt;""),AI117:AM117)))</t>
        </is>
      </c>
      <c r="BB117" s="49" t="inlineStr">
        <is>
          <t>IF(OR(F117="",AO117=""),"",IF(COUNT(AI117:AN117)=0,"",AO117-LOOKUP(2,1/(AI117:AN117&lt;&gt;""),AI117:AN117)))</t>
        </is>
      </c>
      <c r="BC117" s="49" t="inlineStr">
        <is>
          <t>IF(OR(F117="",AP117=""),"",IF(COUNT(AI117:AO117)=0,"",AP117-LOOKUP(2,1/(AI117:AO117&lt;&gt;""),AI117:AO117)))</t>
        </is>
      </c>
      <c r="BD117" s="49" t="inlineStr">
        <is>
          <t>IF(OR(F117="",AQ117=""),"",IF(COUNT(AI117:AP117)=0,"",AQ117-LOOKUP(2,1/(AI117:AP117&lt;&gt;""),AI117:AP117)))</t>
        </is>
      </c>
      <c r="BE117" s="49" t="inlineStr">
        <is>
          <t>IF(OR(F117="",AR117=""),"",IF(COUNT(AI117:AQ117)=0,"",AR117-LOOKUP(2,1/(AI117:AQ117&lt;&gt;""),AI117:AQ117)))</t>
        </is>
      </c>
      <c r="BF117" s="49" t="inlineStr">
        <is>
          <t>IF(OR(F117="",AS117=""),"",IF(COUNT(AI117:AR117)=0,"",AS117-LOOKUP(2,1/(AI117:AR117&lt;&gt;""),AI117:AR117)))</t>
        </is>
      </c>
      <c r="BG117" s="49" t="inlineStr">
        <is>
          <t>IF(OR(F117="",AT117=""),"",IF(COUNT(AI117:AS117)=0,"",AT117-LOOKUP(2,1/(AI117:AS117&lt;&gt;""),AI117:AS117)))</t>
        </is>
      </c>
      <c r="BH117" s="49" t="inlineStr">
        <is>
          <t>IF(OR(F117="",AU117=""),"",IF(COUNT(AI117:AT117)=0,"",AU117-LOOKUP(2,1/(AI117:AT117&lt;&gt;""),AI117:AT117)))</t>
        </is>
      </c>
      <c r="BI117" s="49" t="inlineStr">
        <is>
          <t>IF(OR(F117="",AV117=""),"",IF(COUNT(AI117:AU117)=0,"",AV117-LOOKUP(2,1/(AI117:AU117&lt;&gt;""),AI117:AU117)))</t>
        </is>
      </c>
      <c r="BJ117" s="51" t="inlineStr">
        <is>
          <t>IF(J117="","All_Provinces",IFERROR(VLOOKUP(J117,'09_Lookups'!$A$4:$B$20,2,FALSE),"All_Provinces"))</t>
        </is>
      </c>
      <c r="BK117" s="51" t="inlineStr">
        <is>
          <t>IF(K117="","All_Districts",IFERROR(VLOOKUP(K117,'09_Lookups'!$E$4:$F$42,2,FALSE),"All_Districts"))</t>
        </is>
      </c>
    </row>
    <row r="118" ht="18" customHeight="1">
      <c r="A118" s="42" t="inlineStr">
        <is>
          <t>IF(F118="","",ROW()-3)</t>
        </is>
      </c>
      <c r="B118" s="52" t="n"/>
      <c r="C118" s="52" t="n"/>
      <c r="D118" s="52" t="n"/>
      <c r="E118" s="52" t="n"/>
      <c r="F118" s="52" t="n"/>
      <c r="G118" s="52" t="n"/>
      <c r="H118" s="52" t="n"/>
      <c r="I118" s="52" t="n"/>
      <c r="J118" s="52" t="n"/>
      <c r="K118" s="52" t="n"/>
      <c r="L118" s="52" t="n"/>
      <c r="M118" s="52" t="n"/>
      <c r="N118" s="52" t="n"/>
      <c r="O118" s="52" t="n"/>
      <c r="P118" s="52" t="n"/>
      <c r="Q118" s="52" t="n"/>
      <c r="R118" s="52" t="n"/>
      <c r="S118" s="53" t="n"/>
      <c r="T118" s="46" t="inlineStr">
        <is>
          <t>IF(AQ118="","",AQ118)</t>
        </is>
      </c>
      <c r="U118" s="54" t="n"/>
      <c r="V118" s="55" t="n"/>
      <c r="W118" s="54" t="n"/>
      <c r="X118" s="46" t="inlineStr">
        <is>
          <t>IF(W118&lt;&gt;"",W118,IF(OR(T118="",V118=""),"",EDATE(T118,V118)))</t>
        </is>
      </c>
      <c r="Y118" s="54" t="n"/>
      <c r="Z118" s="55" t="n"/>
      <c r="AA118" s="52" t="n"/>
      <c r="AB118" s="52" t="n"/>
      <c r="AC118" s="42" t="inlineStr">
        <is>
          <t>IF(F118="","",IF(COUNT(AI118:AV118)=0,IF(AA118="","Not started",AA118),SUBSTITUTE(LOOKUP(2,1/(AI118:AV118&lt;&gt;""),$AI$3:$AV$3),"Date: ","")))</t>
        </is>
      </c>
      <c r="AD118" s="49" t="inlineStr">
        <is>
          <t>IF(OR(F118="",COUNT(AI118:AV118)=0),"",TODAY()-LOOKUP(2,1/(AI118:AV118&lt;&gt;""),AI118:AV118))</t>
        </is>
      </c>
      <c r="AE118" s="49" t="inlineStr">
        <is>
          <t>IF(OR(F118="",COUNT(AI118:AV118)&lt;2),"",LOOKUP(2,1/(AI118:AV118&lt;&gt;""),AI118:AV118)-MIN(AI118:AV118))</t>
        </is>
      </c>
      <c r="AF118" s="49" t="inlineStr">
        <is>
          <t>IF(OR(AD118="",AC118="Not started",AC118=""),"",IFERROR(AD118-IF(VLOOKUP(AC118,'06_Status_Pipeline'!$B$3:$E$20,4,FALSE)="",0,VLOOKUP(AC118,'06_Status_Pipeline'!$B$3:$E$20,4,FALSE)),""))</t>
        </is>
      </c>
      <c r="AG118" s="42" t="inlineStr">
        <is>
          <t>IF(F118="","",IF(OR(AA118="Cancelled",AC118="Cancelled"),"Cancelled",IF(OR(AC118="Completed / Handover",Y118&lt;&gt;"",Z118&gt;=100),"Completed — on track",IF(O118="Not awarded",IF(U118="",IF(X118="","No planned date",IF(TODAY()&gt;X118,"Behind — past planned date",IF(X118-TODAY()&lt;=30,"At risk — close to off track","On track"))),IF(TODAY()&gt;U118,"Behind — award date passed",IF(U118-TODAY()&lt;=30,"At risk — close to off track","On track"))),IF(X118="","No planned date",IF(AND(TODAY()&gt;X118,OR(Z118="",Z118&lt;100)),"Behind — past end date",IF(AND(T118&lt;&gt;"",X118&lt;&gt;"",Z118&lt;&gt;"",(Z118&lt;100),((TODAY()-T118)/MAX(X118-T118,1)*100)-Z118&gt;15),"Behind — progress lag",IF(AND(X118-TODAY()&lt;=30,X118-TODAY()&gt;=0,OR(Z118="",Z118&lt;90)),"At risk — close to off track","On track"))))))))</t>
        </is>
      </c>
      <c r="AH118" s="49" t="inlineStr">
        <is>
          <t>IF(OR(F118="",AC118="Completed / Handover",AC118="Cancelled"),"",IF(O118="Not awarded",IF(U118&lt;&gt;"",U118-TODAY(),IF(X118="","",X118-TODAY())),IF(X118="","",X118-TODAY())))</t>
        </is>
      </c>
      <c r="AI118" s="54" t="n"/>
      <c r="AJ118" s="54" t="n"/>
      <c r="AK118" s="54" t="n"/>
      <c r="AL118" s="54" t="n"/>
      <c r="AM118" s="54" t="n"/>
      <c r="AN118" s="54" t="n"/>
      <c r="AO118" s="54" t="n"/>
      <c r="AP118" s="54" t="n"/>
      <c r="AQ118" s="54" t="n"/>
      <c r="AR118" s="54" t="n"/>
      <c r="AS118" s="54" t="n"/>
      <c r="AT118" s="50" t="n"/>
      <c r="AU118" s="50" t="n"/>
      <c r="AV118" s="50" t="n"/>
      <c r="AW118" s="49" t="inlineStr">
        <is>
          <t>IF(OR(F118="",AJ118=""),"",IF(COUNT(AI118:AI118)=0,"",AJ118-LOOKUP(2,1/(AI118:AI118&lt;&gt;""),AI118:AI118)))</t>
        </is>
      </c>
      <c r="AX118" s="49" t="inlineStr">
        <is>
          <t>IF(OR(F118="",AK118=""),"",IF(COUNT(AI118:AJ118)=0,"",AK118-LOOKUP(2,1/(AI118:AJ118&lt;&gt;""),AI118:AJ118)))</t>
        </is>
      </c>
      <c r="AY118" s="49" t="inlineStr">
        <is>
          <t>IF(OR(F118="",AL118=""),"",IF(COUNT(AI118:AK118)=0,"",AL118-LOOKUP(2,1/(AI118:AK118&lt;&gt;""),AI118:AK118)))</t>
        </is>
      </c>
      <c r="AZ118" s="49" t="inlineStr">
        <is>
          <t>IF(OR(F118="",AM118=""),"",IF(COUNT(AI118:AL118)=0,"",AM118-LOOKUP(2,1/(AI118:AL118&lt;&gt;""),AI118:AL118)))</t>
        </is>
      </c>
      <c r="BA118" s="49" t="inlineStr">
        <is>
          <t>IF(OR(F118="",AN118=""),"",IF(COUNT(AI118:AM118)=0,"",AN118-LOOKUP(2,1/(AI118:AM118&lt;&gt;""),AI118:AM118)))</t>
        </is>
      </c>
      <c r="BB118" s="49" t="inlineStr">
        <is>
          <t>IF(OR(F118="",AO118=""),"",IF(COUNT(AI118:AN118)=0,"",AO118-LOOKUP(2,1/(AI118:AN118&lt;&gt;""),AI118:AN118)))</t>
        </is>
      </c>
      <c r="BC118" s="49" t="inlineStr">
        <is>
          <t>IF(OR(F118="",AP118=""),"",IF(COUNT(AI118:AO118)=0,"",AP118-LOOKUP(2,1/(AI118:AO118&lt;&gt;""),AI118:AO118)))</t>
        </is>
      </c>
      <c r="BD118" s="49" t="inlineStr">
        <is>
          <t>IF(OR(F118="",AQ118=""),"",IF(COUNT(AI118:AP118)=0,"",AQ118-LOOKUP(2,1/(AI118:AP118&lt;&gt;""),AI118:AP118)))</t>
        </is>
      </c>
      <c r="BE118" s="49" t="inlineStr">
        <is>
          <t>IF(OR(F118="",AR118=""),"",IF(COUNT(AI118:AQ118)=0,"",AR118-LOOKUP(2,1/(AI118:AQ118&lt;&gt;""),AI118:AQ118)))</t>
        </is>
      </c>
      <c r="BF118" s="49" t="inlineStr">
        <is>
          <t>IF(OR(F118="",AS118=""),"",IF(COUNT(AI118:AR118)=0,"",AS118-LOOKUP(2,1/(AI118:AR118&lt;&gt;""),AI118:AR118)))</t>
        </is>
      </c>
      <c r="BG118" s="49" t="inlineStr">
        <is>
          <t>IF(OR(F118="",AT118=""),"",IF(COUNT(AI118:AS118)=0,"",AT118-LOOKUP(2,1/(AI118:AS118&lt;&gt;""),AI118:AS118)))</t>
        </is>
      </c>
      <c r="BH118" s="49" t="inlineStr">
        <is>
          <t>IF(OR(F118="",AU118=""),"",IF(COUNT(AI118:AT118)=0,"",AU118-LOOKUP(2,1/(AI118:AT118&lt;&gt;""),AI118:AT118)))</t>
        </is>
      </c>
      <c r="BI118" s="49" t="inlineStr">
        <is>
          <t>IF(OR(F118="",AV118=""),"",IF(COUNT(AI118:AU118)=0,"",AV118-LOOKUP(2,1/(AI118:AU118&lt;&gt;""),AI118:AU118)))</t>
        </is>
      </c>
      <c r="BJ118" s="51" t="inlineStr">
        <is>
          <t>IF(J118="","All_Provinces",IFERROR(VLOOKUP(J118,'09_Lookups'!$A$4:$B$20,2,FALSE),"All_Provinces"))</t>
        </is>
      </c>
      <c r="BK118" s="51" t="inlineStr">
        <is>
          <t>IF(K118="","All_Districts",IFERROR(VLOOKUP(K118,'09_Lookups'!$E$4:$F$42,2,FALSE),"All_Districts"))</t>
        </is>
      </c>
    </row>
    <row r="119" ht="18" customHeight="1">
      <c r="A119" s="42" t="inlineStr">
        <is>
          <t>IF(F119="","",ROW()-3)</t>
        </is>
      </c>
      <c r="B119" s="44" t="n"/>
      <c r="C119" s="44" t="n"/>
      <c r="D119" s="44" t="n"/>
      <c r="E119" s="44" t="n"/>
      <c r="F119" s="44" t="n"/>
      <c r="G119" s="44" t="n"/>
      <c r="H119" s="44" t="n"/>
      <c r="I119" s="44" t="n"/>
      <c r="J119" s="44" t="n"/>
      <c r="K119" s="44" t="n"/>
      <c r="L119" s="44" t="n"/>
      <c r="M119" s="44" t="n"/>
      <c r="N119" s="44" t="n"/>
      <c r="O119" s="44" t="n"/>
      <c r="P119" s="44" t="n"/>
      <c r="Q119" s="44" t="n"/>
      <c r="R119" s="44" t="n"/>
      <c r="S119" s="45" t="n"/>
      <c r="T119" s="46" t="inlineStr">
        <is>
          <t>IF(AQ119="","",AQ119)</t>
        </is>
      </c>
      <c r="U119" s="47" t="n"/>
      <c r="V119" s="48" t="n"/>
      <c r="W119" s="47" t="n"/>
      <c r="X119" s="46" t="inlineStr">
        <is>
          <t>IF(W119&lt;&gt;"",W119,IF(OR(T119="",V119=""),"",EDATE(T119,V119)))</t>
        </is>
      </c>
      <c r="Y119" s="47" t="n"/>
      <c r="Z119" s="48" t="n"/>
      <c r="AA119" s="44" t="n"/>
      <c r="AB119" s="44" t="n"/>
      <c r="AC119" s="42" t="inlineStr">
        <is>
          <t>IF(F119="","",IF(COUNT(AI119:AV119)=0,IF(AA119="","Not started",AA119),SUBSTITUTE(LOOKUP(2,1/(AI119:AV119&lt;&gt;""),$AI$3:$AV$3),"Date: ","")))</t>
        </is>
      </c>
      <c r="AD119" s="49" t="inlineStr">
        <is>
          <t>IF(OR(F119="",COUNT(AI119:AV119)=0),"",TODAY()-LOOKUP(2,1/(AI119:AV119&lt;&gt;""),AI119:AV119))</t>
        </is>
      </c>
      <c r="AE119" s="49" t="inlineStr">
        <is>
          <t>IF(OR(F119="",COUNT(AI119:AV119)&lt;2),"",LOOKUP(2,1/(AI119:AV119&lt;&gt;""),AI119:AV119)-MIN(AI119:AV119))</t>
        </is>
      </c>
      <c r="AF119" s="49" t="inlineStr">
        <is>
          <t>IF(OR(AD119="",AC119="Not started",AC119=""),"",IFERROR(AD119-IF(VLOOKUP(AC119,'06_Status_Pipeline'!$B$3:$E$20,4,FALSE)="",0,VLOOKUP(AC119,'06_Status_Pipeline'!$B$3:$E$20,4,FALSE)),""))</t>
        </is>
      </c>
      <c r="AG119" s="42" t="inlineStr">
        <is>
          <t>IF(F119="","",IF(OR(AA119="Cancelled",AC119="Cancelled"),"Cancelled",IF(OR(AC119="Completed / Handover",Y119&lt;&gt;"",Z119&gt;=100),"Completed — on track",IF(O119="Not awarded",IF(U119="",IF(X119="","No planned date",IF(TODAY()&gt;X119,"Behind — past planned date",IF(X119-TODAY()&lt;=30,"At risk — close to off track","On track"))),IF(TODAY()&gt;U119,"Behind — award date passed",IF(U119-TODAY()&lt;=30,"At risk — close to off track","On track"))),IF(X119="","No planned date",IF(AND(TODAY()&gt;X119,OR(Z119="",Z119&lt;100)),"Behind — past end date",IF(AND(T119&lt;&gt;"",X119&lt;&gt;"",Z119&lt;&gt;"",(Z119&lt;100),((TODAY()-T119)/MAX(X119-T119,1)*100)-Z119&gt;15),"Behind — progress lag",IF(AND(X119-TODAY()&lt;=30,X119-TODAY()&gt;=0,OR(Z119="",Z119&lt;90)),"At risk — close to off track","On track"))))))))</t>
        </is>
      </c>
      <c r="AH119" s="49" t="inlineStr">
        <is>
          <t>IF(OR(F119="",AC119="Completed / Handover",AC119="Cancelled"),"",IF(O119="Not awarded",IF(U119&lt;&gt;"",U119-TODAY(),IF(X119="","",X119-TODAY())),IF(X119="","",X119-TODAY())))</t>
        </is>
      </c>
      <c r="AI119" s="47" t="n"/>
      <c r="AJ119" s="47" t="n"/>
      <c r="AK119" s="47" t="n"/>
      <c r="AL119" s="47" t="n"/>
      <c r="AM119" s="47" t="n"/>
      <c r="AN119" s="47" t="n"/>
      <c r="AO119" s="47" t="n"/>
      <c r="AP119" s="47" t="n"/>
      <c r="AQ119" s="47" t="n"/>
      <c r="AR119" s="47" t="n"/>
      <c r="AS119" s="47" t="n"/>
      <c r="AT119" s="50" t="n"/>
      <c r="AU119" s="50" t="n"/>
      <c r="AV119" s="50" t="n"/>
      <c r="AW119" s="49" t="inlineStr">
        <is>
          <t>IF(OR(F119="",AJ119=""),"",IF(COUNT(AI119:AI119)=0,"",AJ119-LOOKUP(2,1/(AI119:AI119&lt;&gt;""),AI119:AI119)))</t>
        </is>
      </c>
      <c r="AX119" s="49" t="inlineStr">
        <is>
          <t>IF(OR(F119="",AK119=""),"",IF(COUNT(AI119:AJ119)=0,"",AK119-LOOKUP(2,1/(AI119:AJ119&lt;&gt;""),AI119:AJ119)))</t>
        </is>
      </c>
      <c r="AY119" s="49" t="inlineStr">
        <is>
          <t>IF(OR(F119="",AL119=""),"",IF(COUNT(AI119:AK119)=0,"",AL119-LOOKUP(2,1/(AI119:AK119&lt;&gt;""),AI119:AK119)))</t>
        </is>
      </c>
      <c r="AZ119" s="49" t="inlineStr">
        <is>
          <t>IF(OR(F119="",AM119=""),"",IF(COUNT(AI119:AL119)=0,"",AM119-LOOKUP(2,1/(AI119:AL119&lt;&gt;""),AI119:AL119)))</t>
        </is>
      </c>
      <c r="BA119" s="49" t="inlineStr">
        <is>
          <t>IF(OR(F119="",AN119=""),"",IF(COUNT(AI119:AM119)=0,"",AN119-LOOKUP(2,1/(AI119:AM119&lt;&gt;""),AI119:AM119)))</t>
        </is>
      </c>
      <c r="BB119" s="49" t="inlineStr">
        <is>
          <t>IF(OR(F119="",AO119=""),"",IF(COUNT(AI119:AN119)=0,"",AO119-LOOKUP(2,1/(AI119:AN119&lt;&gt;""),AI119:AN119)))</t>
        </is>
      </c>
      <c r="BC119" s="49" t="inlineStr">
        <is>
          <t>IF(OR(F119="",AP119=""),"",IF(COUNT(AI119:AO119)=0,"",AP119-LOOKUP(2,1/(AI119:AO119&lt;&gt;""),AI119:AO119)))</t>
        </is>
      </c>
      <c r="BD119" s="49" t="inlineStr">
        <is>
          <t>IF(OR(F119="",AQ119=""),"",IF(COUNT(AI119:AP119)=0,"",AQ119-LOOKUP(2,1/(AI119:AP119&lt;&gt;""),AI119:AP119)))</t>
        </is>
      </c>
      <c r="BE119" s="49" t="inlineStr">
        <is>
          <t>IF(OR(F119="",AR119=""),"",IF(COUNT(AI119:AQ119)=0,"",AR119-LOOKUP(2,1/(AI119:AQ119&lt;&gt;""),AI119:AQ119)))</t>
        </is>
      </c>
      <c r="BF119" s="49" t="inlineStr">
        <is>
          <t>IF(OR(F119="",AS119=""),"",IF(COUNT(AI119:AR119)=0,"",AS119-LOOKUP(2,1/(AI119:AR119&lt;&gt;""),AI119:AR119)))</t>
        </is>
      </c>
      <c r="BG119" s="49" t="inlineStr">
        <is>
          <t>IF(OR(F119="",AT119=""),"",IF(COUNT(AI119:AS119)=0,"",AT119-LOOKUP(2,1/(AI119:AS119&lt;&gt;""),AI119:AS119)))</t>
        </is>
      </c>
      <c r="BH119" s="49" t="inlineStr">
        <is>
          <t>IF(OR(F119="",AU119=""),"",IF(COUNT(AI119:AT119)=0,"",AU119-LOOKUP(2,1/(AI119:AT119&lt;&gt;""),AI119:AT119)))</t>
        </is>
      </c>
      <c r="BI119" s="49" t="inlineStr">
        <is>
          <t>IF(OR(F119="",AV119=""),"",IF(COUNT(AI119:AU119)=0,"",AV119-LOOKUP(2,1/(AI119:AU119&lt;&gt;""),AI119:AU119)))</t>
        </is>
      </c>
      <c r="BJ119" s="51" t="inlineStr">
        <is>
          <t>IF(J119="","All_Provinces",IFERROR(VLOOKUP(J119,'09_Lookups'!$A$4:$B$20,2,FALSE),"All_Provinces"))</t>
        </is>
      </c>
      <c r="BK119" s="51" t="inlineStr">
        <is>
          <t>IF(K119="","All_Districts",IFERROR(VLOOKUP(K119,'09_Lookups'!$E$4:$F$42,2,FALSE),"All_Districts"))</t>
        </is>
      </c>
    </row>
    <row r="120" ht="18" customHeight="1">
      <c r="A120" s="42" t="inlineStr">
        <is>
          <t>IF(F120="","",ROW()-3)</t>
        </is>
      </c>
      <c r="B120" s="52" t="n"/>
      <c r="C120" s="52" t="n"/>
      <c r="D120" s="52" t="n"/>
      <c r="E120" s="52" t="n"/>
      <c r="F120" s="52" t="n"/>
      <c r="G120" s="52" t="n"/>
      <c r="H120" s="52" t="n"/>
      <c r="I120" s="52" t="n"/>
      <c r="J120" s="52" t="n"/>
      <c r="K120" s="52" t="n"/>
      <c r="L120" s="52" t="n"/>
      <c r="M120" s="52" t="n"/>
      <c r="N120" s="52" t="n"/>
      <c r="O120" s="52" t="n"/>
      <c r="P120" s="52" t="n"/>
      <c r="Q120" s="52" t="n"/>
      <c r="R120" s="52" t="n"/>
      <c r="S120" s="53" t="n"/>
      <c r="T120" s="46" t="inlineStr">
        <is>
          <t>IF(AQ120="","",AQ120)</t>
        </is>
      </c>
      <c r="U120" s="54" t="n"/>
      <c r="V120" s="55" t="n"/>
      <c r="W120" s="54" t="n"/>
      <c r="X120" s="46" t="inlineStr">
        <is>
          <t>IF(W120&lt;&gt;"",W120,IF(OR(T120="",V120=""),"",EDATE(T120,V120)))</t>
        </is>
      </c>
      <c r="Y120" s="54" t="n"/>
      <c r="Z120" s="55" t="n"/>
      <c r="AA120" s="52" t="n"/>
      <c r="AB120" s="52" t="n"/>
      <c r="AC120" s="42" t="inlineStr">
        <is>
          <t>IF(F120="","",IF(COUNT(AI120:AV120)=0,IF(AA120="","Not started",AA120),SUBSTITUTE(LOOKUP(2,1/(AI120:AV120&lt;&gt;""),$AI$3:$AV$3),"Date: ","")))</t>
        </is>
      </c>
      <c r="AD120" s="49" t="inlineStr">
        <is>
          <t>IF(OR(F120="",COUNT(AI120:AV120)=0),"",TODAY()-LOOKUP(2,1/(AI120:AV120&lt;&gt;""),AI120:AV120))</t>
        </is>
      </c>
      <c r="AE120" s="49" t="inlineStr">
        <is>
          <t>IF(OR(F120="",COUNT(AI120:AV120)&lt;2),"",LOOKUP(2,1/(AI120:AV120&lt;&gt;""),AI120:AV120)-MIN(AI120:AV120))</t>
        </is>
      </c>
      <c r="AF120" s="49" t="inlineStr">
        <is>
          <t>IF(OR(AD120="",AC120="Not started",AC120=""),"",IFERROR(AD120-IF(VLOOKUP(AC120,'06_Status_Pipeline'!$B$3:$E$20,4,FALSE)="",0,VLOOKUP(AC120,'06_Status_Pipeline'!$B$3:$E$20,4,FALSE)),""))</t>
        </is>
      </c>
      <c r="AG120" s="42" t="inlineStr">
        <is>
          <t>IF(F120="","",IF(OR(AA120="Cancelled",AC120="Cancelled"),"Cancelled",IF(OR(AC120="Completed / Handover",Y120&lt;&gt;"",Z120&gt;=100),"Completed — on track",IF(O120="Not awarded",IF(U120="",IF(X120="","No planned date",IF(TODAY()&gt;X120,"Behind — past planned date",IF(X120-TODAY()&lt;=30,"At risk — close to off track","On track"))),IF(TODAY()&gt;U120,"Behind — award date passed",IF(U120-TODAY()&lt;=30,"At risk — close to off track","On track"))),IF(X120="","No planned date",IF(AND(TODAY()&gt;X120,OR(Z120="",Z120&lt;100)),"Behind — past end date",IF(AND(T120&lt;&gt;"",X120&lt;&gt;"",Z120&lt;&gt;"",(Z120&lt;100),((TODAY()-T120)/MAX(X120-T120,1)*100)-Z120&gt;15),"Behind — progress lag",IF(AND(X120-TODAY()&lt;=30,X120-TODAY()&gt;=0,OR(Z120="",Z120&lt;90)),"At risk — close to off track","On track"))))))))</t>
        </is>
      </c>
      <c r="AH120" s="49" t="inlineStr">
        <is>
          <t>IF(OR(F120="",AC120="Completed / Handover",AC120="Cancelled"),"",IF(O120="Not awarded",IF(U120&lt;&gt;"",U120-TODAY(),IF(X120="","",X120-TODAY())),IF(X120="","",X120-TODAY())))</t>
        </is>
      </c>
      <c r="AI120" s="54" t="n"/>
      <c r="AJ120" s="54" t="n"/>
      <c r="AK120" s="54" t="n"/>
      <c r="AL120" s="54" t="n"/>
      <c r="AM120" s="54" t="n"/>
      <c r="AN120" s="54" t="n"/>
      <c r="AO120" s="54" t="n"/>
      <c r="AP120" s="54" t="n"/>
      <c r="AQ120" s="54" t="n"/>
      <c r="AR120" s="54" t="n"/>
      <c r="AS120" s="54" t="n"/>
      <c r="AT120" s="50" t="n"/>
      <c r="AU120" s="50" t="n"/>
      <c r="AV120" s="50" t="n"/>
      <c r="AW120" s="49" t="inlineStr">
        <is>
          <t>IF(OR(F120="",AJ120=""),"",IF(COUNT(AI120:AI120)=0,"",AJ120-LOOKUP(2,1/(AI120:AI120&lt;&gt;""),AI120:AI120)))</t>
        </is>
      </c>
      <c r="AX120" s="49" t="inlineStr">
        <is>
          <t>IF(OR(F120="",AK120=""),"",IF(COUNT(AI120:AJ120)=0,"",AK120-LOOKUP(2,1/(AI120:AJ120&lt;&gt;""),AI120:AJ120)))</t>
        </is>
      </c>
      <c r="AY120" s="49" t="inlineStr">
        <is>
          <t>IF(OR(F120="",AL120=""),"",IF(COUNT(AI120:AK120)=0,"",AL120-LOOKUP(2,1/(AI120:AK120&lt;&gt;""),AI120:AK120)))</t>
        </is>
      </c>
      <c r="AZ120" s="49" t="inlineStr">
        <is>
          <t>IF(OR(F120="",AM120=""),"",IF(COUNT(AI120:AL120)=0,"",AM120-LOOKUP(2,1/(AI120:AL120&lt;&gt;""),AI120:AL120)))</t>
        </is>
      </c>
      <c r="BA120" s="49" t="inlineStr">
        <is>
          <t>IF(OR(F120="",AN120=""),"",IF(COUNT(AI120:AM120)=0,"",AN120-LOOKUP(2,1/(AI120:AM120&lt;&gt;""),AI120:AM120)))</t>
        </is>
      </c>
      <c r="BB120" s="49" t="inlineStr">
        <is>
          <t>IF(OR(F120="",AO120=""),"",IF(COUNT(AI120:AN120)=0,"",AO120-LOOKUP(2,1/(AI120:AN120&lt;&gt;""),AI120:AN120)))</t>
        </is>
      </c>
      <c r="BC120" s="49" t="inlineStr">
        <is>
          <t>IF(OR(F120="",AP120=""),"",IF(COUNT(AI120:AO120)=0,"",AP120-LOOKUP(2,1/(AI120:AO120&lt;&gt;""),AI120:AO120)))</t>
        </is>
      </c>
      <c r="BD120" s="49" t="inlineStr">
        <is>
          <t>IF(OR(F120="",AQ120=""),"",IF(COUNT(AI120:AP120)=0,"",AQ120-LOOKUP(2,1/(AI120:AP120&lt;&gt;""),AI120:AP120)))</t>
        </is>
      </c>
      <c r="BE120" s="49" t="inlineStr">
        <is>
          <t>IF(OR(F120="",AR120=""),"",IF(COUNT(AI120:AQ120)=0,"",AR120-LOOKUP(2,1/(AI120:AQ120&lt;&gt;""),AI120:AQ120)))</t>
        </is>
      </c>
      <c r="BF120" s="49" t="inlineStr">
        <is>
          <t>IF(OR(F120="",AS120=""),"",IF(COUNT(AI120:AR120)=0,"",AS120-LOOKUP(2,1/(AI120:AR120&lt;&gt;""),AI120:AR120)))</t>
        </is>
      </c>
      <c r="BG120" s="49" t="inlineStr">
        <is>
          <t>IF(OR(F120="",AT120=""),"",IF(COUNT(AI120:AS120)=0,"",AT120-LOOKUP(2,1/(AI120:AS120&lt;&gt;""),AI120:AS120)))</t>
        </is>
      </c>
      <c r="BH120" s="49" t="inlineStr">
        <is>
          <t>IF(OR(F120="",AU120=""),"",IF(COUNT(AI120:AT120)=0,"",AU120-LOOKUP(2,1/(AI120:AT120&lt;&gt;""),AI120:AT120)))</t>
        </is>
      </c>
      <c r="BI120" s="49" t="inlineStr">
        <is>
          <t>IF(OR(F120="",AV120=""),"",IF(COUNT(AI120:AU120)=0,"",AV120-LOOKUP(2,1/(AI120:AU120&lt;&gt;""),AI120:AU120)))</t>
        </is>
      </c>
      <c r="BJ120" s="51" t="inlineStr">
        <is>
          <t>IF(J120="","All_Provinces",IFERROR(VLOOKUP(J120,'09_Lookups'!$A$4:$B$20,2,FALSE),"All_Provinces"))</t>
        </is>
      </c>
      <c r="BK120" s="51" t="inlineStr">
        <is>
          <t>IF(K120="","All_Districts",IFERROR(VLOOKUP(K120,'09_Lookups'!$E$4:$F$42,2,FALSE),"All_Districts"))</t>
        </is>
      </c>
    </row>
    <row r="121" ht="18" customHeight="1">
      <c r="A121" s="42" t="inlineStr">
        <is>
          <t>IF(F121="","",ROW()-3)</t>
        </is>
      </c>
      <c r="B121" s="44" t="n"/>
      <c r="C121" s="44" t="n"/>
      <c r="D121" s="44" t="n"/>
      <c r="E121" s="44" t="n"/>
      <c r="F121" s="44" t="n"/>
      <c r="G121" s="44" t="n"/>
      <c r="H121" s="44" t="n"/>
      <c r="I121" s="44" t="n"/>
      <c r="J121" s="44" t="n"/>
      <c r="K121" s="44" t="n"/>
      <c r="L121" s="44" t="n"/>
      <c r="M121" s="44" t="n"/>
      <c r="N121" s="44" t="n"/>
      <c r="O121" s="44" t="n"/>
      <c r="P121" s="44" t="n"/>
      <c r="Q121" s="44" t="n"/>
      <c r="R121" s="44" t="n"/>
      <c r="S121" s="45" t="n"/>
      <c r="T121" s="46" t="inlineStr">
        <is>
          <t>IF(AQ121="","",AQ121)</t>
        </is>
      </c>
      <c r="U121" s="47" t="n"/>
      <c r="V121" s="48" t="n"/>
      <c r="W121" s="47" t="n"/>
      <c r="X121" s="46" t="inlineStr">
        <is>
          <t>IF(W121&lt;&gt;"",W121,IF(OR(T121="",V121=""),"",EDATE(T121,V121)))</t>
        </is>
      </c>
      <c r="Y121" s="47" t="n"/>
      <c r="Z121" s="48" t="n"/>
      <c r="AA121" s="44" t="n"/>
      <c r="AB121" s="44" t="n"/>
      <c r="AC121" s="42" t="inlineStr">
        <is>
          <t>IF(F121="","",IF(COUNT(AI121:AV121)=0,IF(AA121="","Not started",AA121),SUBSTITUTE(LOOKUP(2,1/(AI121:AV121&lt;&gt;""),$AI$3:$AV$3),"Date: ","")))</t>
        </is>
      </c>
      <c r="AD121" s="49" t="inlineStr">
        <is>
          <t>IF(OR(F121="",COUNT(AI121:AV121)=0),"",TODAY()-LOOKUP(2,1/(AI121:AV121&lt;&gt;""),AI121:AV121))</t>
        </is>
      </c>
      <c r="AE121" s="49" t="inlineStr">
        <is>
          <t>IF(OR(F121="",COUNT(AI121:AV121)&lt;2),"",LOOKUP(2,1/(AI121:AV121&lt;&gt;""),AI121:AV121)-MIN(AI121:AV121))</t>
        </is>
      </c>
      <c r="AF121" s="49" t="inlineStr">
        <is>
          <t>IF(OR(AD121="",AC121="Not started",AC121=""),"",IFERROR(AD121-IF(VLOOKUP(AC121,'06_Status_Pipeline'!$B$3:$E$20,4,FALSE)="",0,VLOOKUP(AC121,'06_Status_Pipeline'!$B$3:$E$20,4,FALSE)),""))</t>
        </is>
      </c>
      <c r="AG121" s="42" t="inlineStr">
        <is>
          <t>IF(F121="","",IF(OR(AA121="Cancelled",AC121="Cancelled"),"Cancelled",IF(OR(AC121="Completed / Handover",Y121&lt;&gt;"",Z121&gt;=100),"Completed — on track",IF(O121="Not awarded",IF(U121="",IF(X121="","No planned date",IF(TODAY()&gt;X121,"Behind — past planned date",IF(X121-TODAY()&lt;=30,"At risk — close to off track","On track"))),IF(TODAY()&gt;U121,"Behind — award date passed",IF(U121-TODAY()&lt;=30,"At risk — close to off track","On track"))),IF(X121="","No planned date",IF(AND(TODAY()&gt;X121,OR(Z121="",Z121&lt;100)),"Behind — past end date",IF(AND(T121&lt;&gt;"",X121&lt;&gt;"",Z121&lt;&gt;"",(Z121&lt;100),((TODAY()-T121)/MAX(X121-T121,1)*100)-Z121&gt;15),"Behind — progress lag",IF(AND(X121-TODAY()&lt;=30,X121-TODAY()&gt;=0,OR(Z121="",Z121&lt;90)),"At risk — close to off track","On track"))))))))</t>
        </is>
      </c>
      <c r="AH121" s="49" t="inlineStr">
        <is>
          <t>IF(OR(F121="",AC121="Completed / Handover",AC121="Cancelled"),"",IF(O121="Not awarded",IF(U121&lt;&gt;"",U121-TODAY(),IF(X121="","",X121-TODAY())),IF(X121="","",X121-TODAY())))</t>
        </is>
      </c>
      <c r="AI121" s="47" t="n"/>
      <c r="AJ121" s="47" t="n"/>
      <c r="AK121" s="47" t="n"/>
      <c r="AL121" s="47" t="n"/>
      <c r="AM121" s="47" t="n"/>
      <c r="AN121" s="47" t="n"/>
      <c r="AO121" s="47" t="n"/>
      <c r="AP121" s="47" t="n"/>
      <c r="AQ121" s="47" t="n"/>
      <c r="AR121" s="47" t="n"/>
      <c r="AS121" s="47" t="n"/>
      <c r="AT121" s="50" t="n"/>
      <c r="AU121" s="50" t="n"/>
      <c r="AV121" s="50" t="n"/>
      <c r="AW121" s="49" t="inlineStr">
        <is>
          <t>IF(OR(F121="",AJ121=""),"",IF(COUNT(AI121:AI121)=0,"",AJ121-LOOKUP(2,1/(AI121:AI121&lt;&gt;""),AI121:AI121)))</t>
        </is>
      </c>
      <c r="AX121" s="49" t="inlineStr">
        <is>
          <t>IF(OR(F121="",AK121=""),"",IF(COUNT(AI121:AJ121)=0,"",AK121-LOOKUP(2,1/(AI121:AJ121&lt;&gt;""),AI121:AJ121)))</t>
        </is>
      </c>
      <c r="AY121" s="49" t="inlineStr">
        <is>
          <t>IF(OR(F121="",AL121=""),"",IF(COUNT(AI121:AK121)=0,"",AL121-LOOKUP(2,1/(AI121:AK121&lt;&gt;""),AI121:AK121)))</t>
        </is>
      </c>
      <c r="AZ121" s="49" t="inlineStr">
        <is>
          <t>IF(OR(F121="",AM121=""),"",IF(COUNT(AI121:AL121)=0,"",AM121-LOOKUP(2,1/(AI121:AL121&lt;&gt;""),AI121:AL121)))</t>
        </is>
      </c>
      <c r="BA121" s="49" t="inlineStr">
        <is>
          <t>IF(OR(F121="",AN121=""),"",IF(COUNT(AI121:AM121)=0,"",AN121-LOOKUP(2,1/(AI121:AM121&lt;&gt;""),AI121:AM121)))</t>
        </is>
      </c>
      <c r="BB121" s="49" t="inlineStr">
        <is>
          <t>IF(OR(F121="",AO121=""),"",IF(COUNT(AI121:AN121)=0,"",AO121-LOOKUP(2,1/(AI121:AN121&lt;&gt;""),AI121:AN121)))</t>
        </is>
      </c>
      <c r="BC121" s="49" t="inlineStr">
        <is>
          <t>IF(OR(F121="",AP121=""),"",IF(COUNT(AI121:AO121)=0,"",AP121-LOOKUP(2,1/(AI121:AO121&lt;&gt;""),AI121:AO121)))</t>
        </is>
      </c>
      <c r="BD121" s="49" t="inlineStr">
        <is>
          <t>IF(OR(F121="",AQ121=""),"",IF(COUNT(AI121:AP121)=0,"",AQ121-LOOKUP(2,1/(AI121:AP121&lt;&gt;""),AI121:AP121)))</t>
        </is>
      </c>
      <c r="BE121" s="49" t="inlineStr">
        <is>
          <t>IF(OR(F121="",AR121=""),"",IF(COUNT(AI121:AQ121)=0,"",AR121-LOOKUP(2,1/(AI121:AQ121&lt;&gt;""),AI121:AQ121)))</t>
        </is>
      </c>
      <c r="BF121" s="49" t="inlineStr">
        <is>
          <t>IF(OR(F121="",AS121=""),"",IF(COUNT(AI121:AR121)=0,"",AS121-LOOKUP(2,1/(AI121:AR121&lt;&gt;""),AI121:AR121)))</t>
        </is>
      </c>
      <c r="BG121" s="49" t="inlineStr">
        <is>
          <t>IF(OR(F121="",AT121=""),"",IF(COUNT(AI121:AS121)=0,"",AT121-LOOKUP(2,1/(AI121:AS121&lt;&gt;""),AI121:AS121)))</t>
        </is>
      </c>
      <c r="BH121" s="49" t="inlineStr">
        <is>
          <t>IF(OR(F121="",AU121=""),"",IF(COUNT(AI121:AT121)=0,"",AU121-LOOKUP(2,1/(AI121:AT121&lt;&gt;""),AI121:AT121)))</t>
        </is>
      </c>
      <c r="BI121" s="49" t="inlineStr">
        <is>
          <t>IF(OR(F121="",AV121=""),"",IF(COUNT(AI121:AU121)=0,"",AV121-LOOKUP(2,1/(AI121:AU121&lt;&gt;""),AI121:AU121)))</t>
        </is>
      </c>
      <c r="BJ121" s="51" t="inlineStr">
        <is>
          <t>IF(J121="","All_Provinces",IFERROR(VLOOKUP(J121,'09_Lookups'!$A$4:$B$20,2,FALSE),"All_Provinces"))</t>
        </is>
      </c>
      <c r="BK121" s="51" t="inlineStr">
        <is>
          <t>IF(K121="","All_Districts",IFERROR(VLOOKUP(K121,'09_Lookups'!$E$4:$F$42,2,FALSE),"All_Districts"))</t>
        </is>
      </c>
    </row>
    <row r="122" ht="18" customHeight="1">
      <c r="A122" s="42" t="inlineStr">
        <is>
          <t>IF(F122="","",ROW()-3)</t>
        </is>
      </c>
      <c r="B122" s="52" t="n"/>
      <c r="C122" s="52" t="n"/>
      <c r="D122" s="52" t="n"/>
      <c r="E122" s="52" t="n"/>
      <c r="F122" s="52" t="n"/>
      <c r="G122" s="52" t="n"/>
      <c r="H122" s="52" t="n"/>
      <c r="I122" s="52" t="n"/>
      <c r="J122" s="52" t="n"/>
      <c r="K122" s="52" t="n"/>
      <c r="L122" s="52" t="n"/>
      <c r="M122" s="52" t="n"/>
      <c r="N122" s="52" t="n"/>
      <c r="O122" s="52" t="n"/>
      <c r="P122" s="52" t="n"/>
      <c r="Q122" s="52" t="n"/>
      <c r="R122" s="52" t="n"/>
      <c r="S122" s="53" t="n"/>
      <c r="T122" s="46" t="inlineStr">
        <is>
          <t>IF(AQ122="","",AQ122)</t>
        </is>
      </c>
      <c r="U122" s="54" t="n"/>
      <c r="V122" s="55" t="n"/>
      <c r="W122" s="54" t="n"/>
      <c r="X122" s="46" t="inlineStr">
        <is>
          <t>IF(W122&lt;&gt;"",W122,IF(OR(T122="",V122=""),"",EDATE(T122,V122)))</t>
        </is>
      </c>
      <c r="Y122" s="54" t="n"/>
      <c r="Z122" s="55" t="n"/>
      <c r="AA122" s="52" t="n"/>
      <c r="AB122" s="52" t="n"/>
      <c r="AC122" s="42" t="inlineStr">
        <is>
          <t>IF(F122="","",IF(COUNT(AI122:AV122)=0,IF(AA122="","Not started",AA122),SUBSTITUTE(LOOKUP(2,1/(AI122:AV122&lt;&gt;""),$AI$3:$AV$3),"Date: ","")))</t>
        </is>
      </c>
      <c r="AD122" s="49" t="inlineStr">
        <is>
          <t>IF(OR(F122="",COUNT(AI122:AV122)=0),"",TODAY()-LOOKUP(2,1/(AI122:AV122&lt;&gt;""),AI122:AV122))</t>
        </is>
      </c>
      <c r="AE122" s="49" t="inlineStr">
        <is>
          <t>IF(OR(F122="",COUNT(AI122:AV122)&lt;2),"",LOOKUP(2,1/(AI122:AV122&lt;&gt;""),AI122:AV122)-MIN(AI122:AV122))</t>
        </is>
      </c>
      <c r="AF122" s="49" t="inlineStr">
        <is>
          <t>IF(OR(AD122="",AC122="Not started",AC122=""),"",IFERROR(AD122-IF(VLOOKUP(AC122,'06_Status_Pipeline'!$B$3:$E$20,4,FALSE)="",0,VLOOKUP(AC122,'06_Status_Pipeline'!$B$3:$E$20,4,FALSE)),""))</t>
        </is>
      </c>
      <c r="AG122" s="42" t="inlineStr">
        <is>
          <t>IF(F122="","",IF(OR(AA122="Cancelled",AC122="Cancelled"),"Cancelled",IF(OR(AC122="Completed / Handover",Y122&lt;&gt;"",Z122&gt;=100),"Completed — on track",IF(O122="Not awarded",IF(U122="",IF(X122="","No planned date",IF(TODAY()&gt;X122,"Behind — past planned date",IF(X122-TODAY()&lt;=30,"At risk — close to off track","On track"))),IF(TODAY()&gt;U122,"Behind — award date passed",IF(U122-TODAY()&lt;=30,"At risk — close to off track","On track"))),IF(X122="","No planned date",IF(AND(TODAY()&gt;X122,OR(Z122="",Z122&lt;100)),"Behind — past end date",IF(AND(T122&lt;&gt;"",X122&lt;&gt;"",Z122&lt;&gt;"",(Z122&lt;100),((TODAY()-T122)/MAX(X122-T122,1)*100)-Z122&gt;15),"Behind — progress lag",IF(AND(X122-TODAY()&lt;=30,X122-TODAY()&gt;=0,OR(Z122="",Z122&lt;90)),"At risk — close to off track","On track"))))))))</t>
        </is>
      </c>
      <c r="AH122" s="49" t="inlineStr">
        <is>
          <t>IF(OR(F122="",AC122="Completed / Handover",AC122="Cancelled"),"",IF(O122="Not awarded",IF(U122&lt;&gt;"",U122-TODAY(),IF(X122="","",X122-TODAY())),IF(X122="","",X122-TODAY())))</t>
        </is>
      </c>
      <c r="AI122" s="54" t="n"/>
      <c r="AJ122" s="54" t="n"/>
      <c r="AK122" s="54" t="n"/>
      <c r="AL122" s="54" t="n"/>
      <c r="AM122" s="54" t="n"/>
      <c r="AN122" s="54" t="n"/>
      <c r="AO122" s="54" t="n"/>
      <c r="AP122" s="54" t="n"/>
      <c r="AQ122" s="54" t="n"/>
      <c r="AR122" s="54" t="n"/>
      <c r="AS122" s="54" t="n"/>
      <c r="AT122" s="50" t="n"/>
      <c r="AU122" s="50" t="n"/>
      <c r="AV122" s="50" t="n"/>
      <c r="AW122" s="49" t="inlineStr">
        <is>
          <t>IF(OR(F122="",AJ122=""),"",IF(COUNT(AI122:AI122)=0,"",AJ122-LOOKUP(2,1/(AI122:AI122&lt;&gt;""),AI122:AI122)))</t>
        </is>
      </c>
      <c r="AX122" s="49" t="inlineStr">
        <is>
          <t>IF(OR(F122="",AK122=""),"",IF(COUNT(AI122:AJ122)=0,"",AK122-LOOKUP(2,1/(AI122:AJ122&lt;&gt;""),AI122:AJ122)))</t>
        </is>
      </c>
      <c r="AY122" s="49" t="inlineStr">
        <is>
          <t>IF(OR(F122="",AL122=""),"",IF(COUNT(AI122:AK122)=0,"",AL122-LOOKUP(2,1/(AI122:AK122&lt;&gt;""),AI122:AK122)))</t>
        </is>
      </c>
      <c r="AZ122" s="49" t="inlineStr">
        <is>
          <t>IF(OR(F122="",AM122=""),"",IF(COUNT(AI122:AL122)=0,"",AM122-LOOKUP(2,1/(AI122:AL122&lt;&gt;""),AI122:AL122)))</t>
        </is>
      </c>
      <c r="BA122" s="49" t="inlineStr">
        <is>
          <t>IF(OR(F122="",AN122=""),"",IF(COUNT(AI122:AM122)=0,"",AN122-LOOKUP(2,1/(AI122:AM122&lt;&gt;""),AI122:AM122)))</t>
        </is>
      </c>
      <c r="BB122" s="49" t="inlineStr">
        <is>
          <t>IF(OR(F122="",AO122=""),"",IF(COUNT(AI122:AN122)=0,"",AO122-LOOKUP(2,1/(AI122:AN122&lt;&gt;""),AI122:AN122)))</t>
        </is>
      </c>
      <c r="BC122" s="49" t="inlineStr">
        <is>
          <t>IF(OR(F122="",AP122=""),"",IF(COUNT(AI122:AO122)=0,"",AP122-LOOKUP(2,1/(AI122:AO122&lt;&gt;""),AI122:AO122)))</t>
        </is>
      </c>
      <c r="BD122" s="49" t="inlineStr">
        <is>
          <t>IF(OR(F122="",AQ122=""),"",IF(COUNT(AI122:AP122)=0,"",AQ122-LOOKUP(2,1/(AI122:AP122&lt;&gt;""),AI122:AP122)))</t>
        </is>
      </c>
      <c r="BE122" s="49" t="inlineStr">
        <is>
          <t>IF(OR(F122="",AR122=""),"",IF(COUNT(AI122:AQ122)=0,"",AR122-LOOKUP(2,1/(AI122:AQ122&lt;&gt;""),AI122:AQ122)))</t>
        </is>
      </c>
      <c r="BF122" s="49" t="inlineStr">
        <is>
          <t>IF(OR(F122="",AS122=""),"",IF(COUNT(AI122:AR122)=0,"",AS122-LOOKUP(2,1/(AI122:AR122&lt;&gt;""),AI122:AR122)))</t>
        </is>
      </c>
      <c r="BG122" s="49" t="inlineStr">
        <is>
          <t>IF(OR(F122="",AT122=""),"",IF(COUNT(AI122:AS122)=0,"",AT122-LOOKUP(2,1/(AI122:AS122&lt;&gt;""),AI122:AS122)))</t>
        </is>
      </c>
      <c r="BH122" s="49" t="inlineStr">
        <is>
          <t>IF(OR(F122="",AU122=""),"",IF(COUNT(AI122:AT122)=0,"",AU122-LOOKUP(2,1/(AI122:AT122&lt;&gt;""),AI122:AT122)))</t>
        </is>
      </c>
      <c r="BI122" s="49" t="inlineStr">
        <is>
          <t>IF(OR(F122="",AV122=""),"",IF(COUNT(AI122:AU122)=0,"",AV122-LOOKUP(2,1/(AI122:AU122&lt;&gt;""),AI122:AU122)))</t>
        </is>
      </c>
      <c r="BJ122" s="51" t="inlineStr">
        <is>
          <t>IF(J122="","All_Provinces",IFERROR(VLOOKUP(J122,'09_Lookups'!$A$4:$B$20,2,FALSE),"All_Provinces"))</t>
        </is>
      </c>
      <c r="BK122" s="51" t="inlineStr">
        <is>
          <t>IF(K122="","All_Districts",IFERROR(VLOOKUP(K122,'09_Lookups'!$E$4:$F$42,2,FALSE),"All_Districts"))</t>
        </is>
      </c>
    </row>
    <row r="123" ht="18" customHeight="1">
      <c r="A123" s="42" t="inlineStr">
        <is>
          <t>IF(F123="","",ROW()-3)</t>
        </is>
      </c>
      <c r="B123" s="44" t="n"/>
      <c r="C123" s="44" t="n"/>
      <c r="D123" s="44" t="n"/>
      <c r="E123" s="44" t="n"/>
      <c r="F123" s="44" t="n"/>
      <c r="G123" s="44" t="n"/>
      <c r="H123" s="44" t="n"/>
      <c r="I123" s="44" t="n"/>
      <c r="J123" s="44" t="n"/>
      <c r="K123" s="44" t="n"/>
      <c r="L123" s="44" t="n"/>
      <c r="M123" s="44" t="n"/>
      <c r="N123" s="44" t="n"/>
      <c r="O123" s="44" t="n"/>
      <c r="P123" s="44" t="n"/>
      <c r="Q123" s="44" t="n"/>
      <c r="R123" s="44" t="n"/>
      <c r="S123" s="45" t="n"/>
      <c r="T123" s="46" t="inlineStr">
        <is>
          <t>IF(AQ123="","",AQ123)</t>
        </is>
      </c>
      <c r="U123" s="47" t="n"/>
      <c r="V123" s="48" t="n"/>
      <c r="W123" s="47" t="n"/>
      <c r="X123" s="46" t="inlineStr">
        <is>
          <t>IF(W123&lt;&gt;"",W123,IF(OR(T123="",V123=""),"",EDATE(T123,V123)))</t>
        </is>
      </c>
      <c r="Y123" s="47" t="n"/>
      <c r="Z123" s="48" t="n"/>
      <c r="AA123" s="44" t="n"/>
      <c r="AB123" s="44" t="n"/>
      <c r="AC123" s="42" t="inlineStr">
        <is>
          <t>IF(F123="","",IF(COUNT(AI123:AV123)=0,IF(AA123="","Not started",AA123),SUBSTITUTE(LOOKUP(2,1/(AI123:AV123&lt;&gt;""),$AI$3:$AV$3),"Date: ","")))</t>
        </is>
      </c>
      <c r="AD123" s="49" t="inlineStr">
        <is>
          <t>IF(OR(F123="",COUNT(AI123:AV123)=0),"",TODAY()-LOOKUP(2,1/(AI123:AV123&lt;&gt;""),AI123:AV123))</t>
        </is>
      </c>
      <c r="AE123" s="49" t="inlineStr">
        <is>
          <t>IF(OR(F123="",COUNT(AI123:AV123)&lt;2),"",LOOKUP(2,1/(AI123:AV123&lt;&gt;""),AI123:AV123)-MIN(AI123:AV123))</t>
        </is>
      </c>
      <c r="AF123" s="49" t="inlineStr">
        <is>
          <t>IF(OR(AD123="",AC123="Not started",AC123=""),"",IFERROR(AD123-IF(VLOOKUP(AC123,'06_Status_Pipeline'!$B$3:$E$20,4,FALSE)="",0,VLOOKUP(AC123,'06_Status_Pipeline'!$B$3:$E$20,4,FALSE)),""))</t>
        </is>
      </c>
      <c r="AG123" s="42" t="inlineStr">
        <is>
          <t>IF(F123="","",IF(OR(AA123="Cancelled",AC123="Cancelled"),"Cancelled",IF(OR(AC123="Completed / Handover",Y123&lt;&gt;"",Z123&gt;=100),"Completed — on track",IF(O123="Not awarded",IF(U123="",IF(X123="","No planned date",IF(TODAY()&gt;X123,"Behind — past planned date",IF(X123-TODAY()&lt;=30,"At risk — close to off track","On track"))),IF(TODAY()&gt;U123,"Behind — award date passed",IF(U123-TODAY()&lt;=30,"At risk — close to off track","On track"))),IF(X123="","No planned date",IF(AND(TODAY()&gt;X123,OR(Z123="",Z123&lt;100)),"Behind — past end date",IF(AND(T123&lt;&gt;"",X123&lt;&gt;"",Z123&lt;&gt;"",(Z123&lt;100),((TODAY()-T123)/MAX(X123-T123,1)*100)-Z123&gt;15),"Behind — progress lag",IF(AND(X123-TODAY()&lt;=30,X123-TODAY()&gt;=0,OR(Z123="",Z123&lt;90)),"At risk — close to off track","On track"))))))))</t>
        </is>
      </c>
      <c r="AH123" s="49" t="inlineStr">
        <is>
          <t>IF(OR(F123="",AC123="Completed / Handover",AC123="Cancelled"),"",IF(O123="Not awarded",IF(U123&lt;&gt;"",U123-TODAY(),IF(X123="","",X123-TODAY())),IF(X123="","",X123-TODAY())))</t>
        </is>
      </c>
      <c r="AI123" s="47" t="n"/>
      <c r="AJ123" s="47" t="n"/>
      <c r="AK123" s="47" t="n"/>
      <c r="AL123" s="47" t="n"/>
      <c r="AM123" s="47" t="n"/>
      <c r="AN123" s="47" t="n"/>
      <c r="AO123" s="47" t="n"/>
      <c r="AP123" s="47" t="n"/>
      <c r="AQ123" s="47" t="n"/>
      <c r="AR123" s="47" t="n"/>
      <c r="AS123" s="47" t="n"/>
      <c r="AT123" s="50" t="n"/>
      <c r="AU123" s="50" t="n"/>
      <c r="AV123" s="50" t="n"/>
      <c r="AW123" s="49" t="inlineStr">
        <is>
          <t>IF(OR(F123="",AJ123=""),"",IF(COUNT(AI123:AI123)=0,"",AJ123-LOOKUP(2,1/(AI123:AI123&lt;&gt;""),AI123:AI123)))</t>
        </is>
      </c>
      <c r="AX123" s="49" t="inlineStr">
        <is>
          <t>IF(OR(F123="",AK123=""),"",IF(COUNT(AI123:AJ123)=0,"",AK123-LOOKUP(2,1/(AI123:AJ123&lt;&gt;""),AI123:AJ123)))</t>
        </is>
      </c>
      <c r="AY123" s="49" t="inlineStr">
        <is>
          <t>IF(OR(F123="",AL123=""),"",IF(COUNT(AI123:AK123)=0,"",AL123-LOOKUP(2,1/(AI123:AK123&lt;&gt;""),AI123:AK123)))</t>
        </is>
      </c>
      <c r="AZ123" s="49" t="inlineStr">
        <is>
          <t>IF(OR(F123="",AM123=""),"",IF(COUNT(AI123:AL123)=0,"",AM123-LOOKUP(2,1/(AI123:AL123&lt;&gt;""),AI123:AL123)))</t>
        </is>
      </c>
      <c r="BA123" s="49" t="inlineStr">
        <is>
          <t>IF(OR(F123="",AN123=""),"",IF(COUNT(AI123:AM123)=0,"",AN123-LOOKUP(2,1/(AI123:AM123&lt;&gt;""),AI123:AM123)))</t>
        </is>
      </c>
      <c r="BB123" s="49" t="inlineStr">
        <is>
          <t>IF(OR(F123="",AO123=""),"",IF(COUNT(AI123:AN123)=0,"",AO123-LOOKUP(2,1/(AI123:AN123&lt;&gt;""),AI123:AN123)))</t>
        </is>
      </c>
      <c r="BC123" s="49" t="inlineStr">
        <is>
          <t>IF(OR(F123="",AP123=""),"",IF(COUNT(AI123:AO123)=0,"",AP123-LOOKUP(2,1/(AI123:AO123&lt;&gt;""),AI123:AO123)))</t>
        </is>
      </c>
      <c r="BD123" s="49" t="inlineStr">
        <is>
          <t>IF(OR(F123="",AQ123=""),"",IF(COUNT(AI123:AP123)=0,"",AQ123-LOOKUP(2,1/(AI123:AP123&lt;&gt;""),AI123:AP123)))</t>
        </is>
      </c>
      <c r="BE123" s="49" t="inlineStr">
        <is>
          <t>IF(OR(F123="",AR123=""),"",IF(COUNT(AI123:AQ123)=0,"",AR123-LOOKUP(2,1/(AI123:AQ123&lt;&gt;""),AI123:AQ123)))</t>
        </is>
      </c>
      <c r="BF123" s="49" t="inlineStr">
        <is>
          <t>IF(OR(F123="",AS123=""),"",IF(COUNT(AI123:AR123)=0,"",AS123-LOOKUP(2,1/(AI123:AR123&lt;&gt;""),AI123:AR123)))</t>
        </is>
      </c>
      <c r="BG123" s="49" t="inlineStr">
        <is>
          <t>IF(OR(F123="",AT123=""),"",IF(COUNT(AI123:AS123)=0,"",AT123-LOOKUP(2,1/(AI123:AS123&lt;&gt;""),AI123:AS123)))</t>
        </is>
      </c>
      <c r="BH123" s="49" t="inlineStr">
        <is>
          <t>IF(OR(F123="",AU123=""),"",IF(COUNT(AI123:AT123)=0,"",AU123-LOOKUP(2,1/(AI123:AT123&lt;&gt;""),AI123:AT123)))</t>
        </is>
      </c>
      <c r="BI123" s="49" t="inlineStr">
        <is>
          <t>IF(OR(F123="",AV123=""),"",IF(COUNT(AI123:AU123)=0,"",AV123-LOOKUP(2,1/(AI123:AU123&lt;&gt;""),AI123:AU123)))</t>
        </is>
      </c>
      <c r="BJ123" s="51" t="inlineStr">
        <is>
          <t>IF(J123="","All_Provinces",IFERROR(VLOOKUP(J123,'09_Lookups'!$A$4:$B$20,2,FALSE),"All_Provinces"))</t>
        </is>
      </c>
      <c r="BK123" s="51" t="inlineStr">
        <is>
          <t>IF(K123="","All_Districts",IFERROR(VLOOKUP(K123,'09_Lookups'!$E$4:$F$42,2,FALSE),"All_Districts"))</t>
        </is>
      </c>
    </row>
    <row r="124" ht="18" customHeight="1">
      <c r="A124" s="42" t="inlineStr">
        <is>
          <t>IF(F124="","",ROW()-3)</t>
        </is>
      </c>
      <c r="B124" s="52" t="n"/>
      <c r="C124" s="52" t="n"/>
      <c r="D124" s="52" t="n"/>
      <c r="E124" s="52" t="n"/>
      <c r="F124" s="52" t="n"/>
      <c r="G124" s="52" t="n"/>
      <c r="H124" s="52" t="n"/>
      <c r="I124" s="52" t="n"/>
      <c r="J124" s="52" t="n"/>
      <c r="K124" s="52" t="n"/>
      <c r="L124" s="52" t="n"/>
      <c r="M124" s="52" t="n"/>
      <c r="N124" s="52" t="n"/>
      <c r="O124" s="52" t="n"/>
      <c r="P124" s="52" t="n"/>
      <c r="Q124" s="52" t="n"/>
      <c r="R124" s="52" t="n"/>
      <c r="S124" s="53" t="n"/>
      <c r="T124" s="46" t="inlineStr">
        <is>
          <t>IF(AQ124="","",AQ124)</t>
        </is>
      </c>
      <c r="U124" s="54" t="n"/>
      <c r="V124" s="55" t="n"/>
      <c r="W124" s="54" t="n"/>
      <c r="X124" s="46" t="inlineStr">
        <is>
          <t>IF(W124&lt;&gt;"",W124,IF(OR(T124="",V124=""),"",EDATE(T124,V124)))</t>
        </is>
      </c>
      <c r="Y124" s="54" t="n"/>
      <c r="Z124" s="55" t="n"/>
      <c r="AA124" s="52" t="n"/>
      <c r="AB124" s="52" t="n"/>
      <c r="AC124" s="42" t="inlineStr">
        <is>
          <t>IF(F124="","",IF(COUNT(AI124:AV124)=0,IF(AA124="","Not started",AA124),SUBSTITUTE(LOOKUP(2,1/(AI124:AV124&lt;&gt;""),$AI$3:$AV$3),"Date: ","")))</t>
        </is>
      </c>
      <c r="AD124" s="49" t="inlineStr">
        <is>
          <t>IF(OR(F124="",COUNT(AI124:AV124)=0),"",TODAY()-LOOKUP(2,1/(AI124:AV124&lt;&gt;""),AI124:AV124))</t>
        </is>
      </c>
      <c r="AE124" s="49" t="inlineStr">
        <is>
          <t>IF(OR(F124="",COUNT(AI124:AV124)&lt;2),"",LOOKUP(2,1/(AI124:AV124&lt;&gt;""),AI124:AV124)-MIN(AI124:AV124))</t>
        </is>
      </c>
      <c r="AF124" s="49" t="inlineStr">
        <is>
          <t>IF(OR(AD124="",AC124="Not started",AC124=""),"",IFERROR(AD124-IF(VLOOKUP(AC124,'06_Status_Pipeline'!$B$3:$E$20,4,FALSE)="",0,VLOOKUP(AC124,'06_Status_Pipeline'!$B$3:$E$20,4,FALSE)),""))</t>
        </is>
      </c>
      <c r="AG124" s="42" t="inlineStr">
        <is>
          <t>IF(F124="","",IF(OR(AA124="Cancelled",AC124="Cancelled"),"Cancelled",IF(OR(AC124="Completed / Handover",Y124&lt;&gt;"",Z124&gt;=100),"Completed — on track",IF(O124="Not awarded",IF(U124="",IF(X124="","No planned date",IF(TODAY()&gt;X124,"Behind — past planned date",IF(X124-TODAY()&lt;=30,"At risk — close to off track","On track"))),IF(TODAY()&gt;U124,"Behind — award date passed",IF(U124-TODAY()&lt;=30,"At risk — close to off track","On track"))),IF(X124="","No planned date",IF(AND(TODAY()&gt;X124,OR(Z124="",Z124&lt;100)),"Behind — past end date",IF(AND(T124&lt;&gt;"",X124&lt;&gt;"",Z124&lt;&gt;"",(Z124&lt;100),((TODAY()-T124)/MAX(X124-T124,1)*100)-Z124&gt;15),"Behind — progress lag",IF(AND(X124-TODAY()&lt;=30,X124-TODAY()&gt;=0,OR(Z124="",Z124&lt;90)),"At risk — close to off track","On track"))))))))</t>
        </is>
      </c>
      <c r="AH124" s="49" t="inlineStr">
        <is>
          <t>IF(OR(F124="",AC124="Completed / Handover",AC124="Cancelled"),"",IF(O124="Not awarded",IF(U124&lt;&gt;"",U124-TODAY(),IF(X124="","",X124-TODAY())),IF(X124="","",X124-TODAY())))</t>
        </is>
      </c>
      <c r="AI124" s="54" t="n"/>
      <c r="AJ124" s="54" t="n"/>
      <c r="AK124" s="54" t="n"/>
      <c r="AL124" s="54" t="n"/>
      <c r="AM124" s="54" t="n"/>
      <c r="AN124" s="54" t="n"/>
      <c r="AO124" s="54" t="n"/>
      <c r="AP124" s="54" t="n"/>
      <c r="AQ124" s="54" t="n"/>
      <c r="AR124" s="54" t="n"/>
      <c r="AS124" s="54" t="n"/>
      <c r="AT124" s="50" t="n"/>
      <c r="AU124" s="50" t="n"/>
      <c r="AV124" s="50" t="n"/>
      <c r="AW124" s="49" t="inlineStr">
        <is>
          <t>IF(OR(F124="",AJ124=""),"",IF(COUNT(AI124:AI124)=0,"",AJ124-LOOKUP(2,1/(AI124:AI124&lt;&gt;""),AI124:AI124)))</t>
        </is>
      </c>
      <c r="AX124" s="49" t="inlineStr">
        <is>
          <t>IF(OR(F124="",AK124=""),"",IF(COUNT(AI124:AJ124)=0,"",AK124-LOOKUP(2,1/(AI124:AJ124&lt;&gt;""),AI124:AJ124)))</t>
        </is>
      </c>
      <c r="AY124" s="49" t="inlineStr">
        <is>
          <t>IF(OR(F124="",AL124=""),"",IF(COUNT(AI124:AK124)=0,"",AL124-LOOKUP(2,1/(AI124:AK124&lt;&gt;""),AI124:AK124)))</t>
        </is>
      </c>
      <c r="AZ124" s="49" t="inlineStr">
        <is>
          <t>IF(OR(F124="",AM124=""),"",IF(COUNT(AI124:AL124)=0,"",AM124-LOOKUP(2,1/(AI124:AL124&lt;&gt;""),AI124:AL124)))</t>
        </is>
      </c>
      <c r="BA124" s="49" t="inlineStr">
        <is>
          <t>IF(OR(F124="",AN124=""),"",IF(COUNT(AI124:AM124)=0,"",AN124-LOOKUP(2,1/(AI124:AM124&lt;&gt;""),AI124:AM124)))</t>
        </is>
      </c>
      <c r="BB124" s="49" t="inlineStr">
        <is>
          <t>IF(OR(F124="",AO124=""),"",IF(COUNT(AI124:AN124)=0,"",AO124-LOOKUP(2,1/(AI124:AN124&lt;&gt;""),AI124:AN124)))</t>
        </is>
      </c>
      <c r="BC124" s="49" t="inlineStr">
        <is>
          <t>IF(OR(F124="",AP124=""),"",IF(COUNT(AI124:AO124)=0,"",AP124-LOOKUP(2,1/(AI124:AO124&lt;&gt;""),AI124:AO124)))</t>
        </is>
      </c>
      <c r="BD124" s="49" t="inlineStr">
        <is>
          <t>IF(OR(F124="",AQ124=""),"",IF(COUNT(AI124:AP124)=0,"",AQ124-LOOKUP(2,1/(AI124:AP124&lt;&gt;""),AI124:AP124)))</t>
        </is>
      </c>
      <c r="BE124" s="49" t="inlineStr">
        <is>
          <t>IF(OR(F124="",AR124=""),"",IF(COUNT(AI124:AQ124)=0,"",AR124-LOOKUP(2,1/(AI124:AQ124&lt;&gt;""),AI124:AQ124)))</t>
        </is>
      </c>
      <c r="BF124" s="49" t="inlineStr">
        <is>
          <t>IF(OR(F124="",AS124=""),"",IF(COUNT(AI124:AR124)=0,"",AS124-LOOKUP(2,1/(AI124:AR124&lt;&gt;""),AI124:AR124)))</t>
        </is>
      </c>
      <c r="BG124" s="49" t="inlineStr">
        <is>
          <t>IF(OR(F124="",AT124=""),"",IF(COUNT(AI124:AS124)=0,"",AT124-LOOKUP(2,1/(AI124:AS124&lt;&gt;""),AI124:AS124)))</t>
        </is>
      </c>
      <c r="BH124" s="49" t="inlineStr">
        <is>
          <t>IF(OR(F124="",AU124=""),"",IF(COUNT(AI124:AT124)=0,"",AU124-LOOKUP(2,1/(AI124:AT124&lt;&gt;""),AI124:AT124)))</t>
        </is>
      </c>
      <c r="BI124" s="49" t="inlineStr">
        <is>
          <t>IF(OR(F124="",AV124=""),"",IF(COUNT(AI124:AU124)=0,"",AV124-LOOKUP(2,1/(AI124:AU124&lt;&gt;""),AI124:AU124)))</t>
        </is>
      </c>
      <c r="BJ124" s="51" t="inlineStr">
        <is>
          <t>IF(J124="","All_Provinces",IFERROR(VLOOKUP(J124,'09_Lookups'!$A$4:$B$20,2,FALSE),"All_Provinces"))</t>
        </is>
      </c>
      <c r="BK124" s="51" t="inlineStr">
        <is>
          <t>IF(K124="","All_Districts",IFERROR(VLOOKUP(K124,'09_Lookups'!$E$4:$F$42,2,FALSE),"All_Districts"))</t>
        </is>
      </c>
    </row>
    <row r="125" ht="18" customHeight="1">
      <c r="A125" s="42" t="inlineStr">
        <is>
          <t>IF(F125="","",ROW()-3)</t>
        </is>
      </c>
      <c r="B125" s="44" t="n"/>
      <c r="C125" s="44" t="n"/>
      <c r="D125" s="44" t="n"/>
      <c r="E125" s="44" t="n"/>
      <c r="F125" s="44" t="n"/>
      <c r="G125" s="44" t="n"/>
      <c r="H125" s="44" t="n"/>
      <c r="I125" s="44" t="n"/>
      <c r="J125" s="44" t="n"/>
      <c r="K125" s="44" t="n"/>
      <c r="L125" s="44" t="n"/>
      <c r="M125" s="44" t="n"/>
      <c r="N125" s="44" t="n"/>
      <c r="O125" s="44" t="n"/>
      <c r="P125" s="44" t="n"/>
      <c r="Q125" s="44" t="n"/>
      <c r="R125" s="44" t="n"/>
      <c r="S125" s="45" t="n"/>
      <c r="T125" s="46" t="inlineStr">
        <is>
          <t>IF(AQ125="","",AQ125)</t>
        </is>
      </c>
      <c r="U125" s="47" t="n"/>
      <c r="V125" s="48" t="n"/>
      <c r="W125" s="47" t="n"/>
      <c r="X125" s="46" t="inlineStr">
        <is>
          <t>IF(W125&lt;&gt;"",W125,IF(OR(T125="",V125=""),"",EDATE(T125,V125)))</t>
        </is>
      </c>
      <c r="Y125" s="47" t="n"/>
      <c r="Z125" s="48" t="n"/>
      <c r="AA125" s="44" t="n"/>
      <c r="AB125" s="44" t="n"/>
      <c r="AC125" s="42" t="inlineStr">
        <is>
          <t>IF(F125="","",IF(COUNT(AI125:AV125)=0,IF(AA125="","Not started",AA125),SUBSTITUTE(LOOKUP(2,1/(AI125:AV125&lt;&gt;""),$AI$3:$AV$3),"Date: ","")))</t>
        </is>
      </c>
      <c r="AD125" s="49" t="inlineStr">
        <is>
          <t>IF(OR(F125="",COUNT(AI125:AV125)=0),"",TODAY()-LOOKUP(2,1/(AI125:AV125&lt;&gt;""),AI125:AV125))</t>
        </is>
      </c>
      <c r="AE125" s="49" t="inlineStr">
        <is>
          <t>IF(OR(F125="",COUNT(AI125:AV125)&lt;2),"",LOOKUP(2,1/(AI125:AV125&lt;&gt;""),AI125:AV125)-MIN(AI125:AV125))</t>
        </is>
      </c>
      <c r="AF125" s="49" t="inlineStr">
        <is>
          <t>IF(OR(AD125="",AC125="Not started",AC125=""),"",IFERROR(AD125-IF(VLOOKUP(AC125,'06_Status_Pipeline'!$B$3:$E$20,4,FALSE)="",0,VLOOKUP(AC125,'06_Status_Pipeline'!$B$3:$E$20,4,FALSE)),""))</t>
        </is>
      </c>
      <c r="AG125" s="42" t="inlineStr">
        <is>
          <t>IF(F125="","",IF(OR(AA125="Cancelled",AC125="Cancelled"),"Cancelled",IF(OR(AC125="Completed / Handover",Y125&lt;&gt;"",Z125&gt;=100),"Completed — on track",IF(O125="Not awarded",IF(U125="",IF(X125="","No planned date",IF(TODAY()&gt;X125,"Behind — past planned date",IF(X125-TODAY()&lt;=30,"At risk — close to off track","On track"))),IF(TODAY()&gt;U125,"Behind — award date passed",IF(U125-TODAY()&lt;=30,"At risk — close to off track","On track"))),IF(X125="","No planned date",IF(AND(TODAY()&gt;X125,OR(Z125="",Z125&lt;100)),"Behind — past end date",IF(AND(T125&lt;&gt;"",X125&lt;&gt;"",Z125&lt;&gt;"",(Z125&lt;100),((TODAY()-T125)/MAX(X125-T125,1)*100)-Z125&gt;15),"Behind — progress lag",IF(AND(X125-TODAY()&lt;=30,X125-TODAY()&gt;=0,OR(Z125="",Z125&lt;90)),"At risk — close to off track","On track"))))))))</t>
        </is>
      </c>
      <c r="AH125" s="49" t="inlineStr">
        <is>
          <t>IF(OR(F125="",AC125="Completed / Handover",AC125="Cancelled"),"",IF(O125="Not awarded",IF(U125&lt;&gt;"",U125-TODAY(),IF(X125="","",X125-TODAY())),IF(X125="","",X125-TODAY())))</t>
        </is>
      </c>
      <c r="AI125" s="47" t="n"/>
      <c r="AJ125" s="47" t="n"/>
      <c r="AK125" s="47" t="n"/>
      <c r="AL125" s="47" t="n"/>
      <c r="AM125" s="47" t="n"/>
      <c r="AN125" s="47" t="n"/>
      <c r="AO125" s="47" t="n"/>
      <c r="AP125" s="47" t="n"/>
      <c r="AQ125" s="47" t="n"/>
      <c r="AR125" s="47" t="n"/>
      <c r="AS125" s="47" t="n"/>
      <c r="AT125" s="50" t="n"/>
      <c r="AU125" s="50" t="n"/>
      <c r="AV125" s="50" t="n"/>
      <c r="AW125" s="49" t="inlineStr">
        <is>
          <t>IF(OR(F125="",AJ125=""),"",IF(COUNT(AI125:AI125)=0,"",AJ125-LOOKUP(2,1/(AI125:AI125&lt;&gt;""),AI125:AI125)))</t>
        </is>
      </c>
      <c r="AX125" s="49" t="inlineStr">
        <is>
          <t>IF(OR(F125="",AK125=""),"",IF(COUNT(AI125:AJ125)=0,"",AK125-LOOKUP(2,1/(AI125:AJ125&lt;&gt;""),AI125:AJ125)))</t>
        </is>
      </c>
      <c r="AY125" s="49" t="inlineStr">
        <is>
          <t>IF(OR(F125="",AL125=""),"",IF(COUNT(AI125:AK125)=0,"",AL125-LOOKUP(2,1/(AI125:AK125&lt;&gt;""),AI125:AK125)))</t>
        </is>
      </c>
      <c r="AZ125" s="49" t="inlineStr">
        <is>
          <t>IF(OR(F125="",AM125=""),"",IF(COUNT(AI125:AL125)=0,"",AM125-LOOKUP(2,1/(AI125:AL125&lt;&gt;""),AI125:AL125)))</t>
        </is>
      </c>
      <c r="BA125" s="49" t="inlineStr">
        <is>
          <t>IF(OR(F125="",AN125=""),"",IF(COUNT(AI125:AM125)=0,"",AN125-LOOKUP(2,1/(AI125:AM125&lt;&gt;""),AI125:AM125)))</t>
        </is>
      </c>
      <c r="BB125" s="49" t="inlineStr">
        <is>
          <t>IF(OR(F125="",AO125=""),"",IF(COUNT(AI125:AN125)=0,"",AO125-LOOKUP(2,1/(AI125:AN125&lt;&gt;""),AI125:AN125)))</t>
        </is>
      </c>
      <c r="BC125" s="49" t="inlineStr">
        <is>
          <t>IF(OR(F125="",AP125=""),"",IF(COUNT(AI125:AO125)=0,"",AP125-LOOKUP(2,1/(AI125:AO125&lt;&gt;""),AI125:AO125)))</t>
        </is>
      </c>
      <c r="BD125" s="49" t="inlineStr">
        <is>
          <t>IF(OR(F125="",AQ125=""),"",IF(COUNT(AI125:AP125)=0,"",AQ125-LOOKUP(2,1/(AI125:AP125&lt;&gt;""),AI125:AP125)))</t>
        </is>
      </c>
      <c r="BE125" s="49" t="inlineStr">
        <is>
          <t>IF(OR(F125="",AR125=""),"",IF(COUNT(AI125:AQ125)=0,"",AR125-LOOKUP(2,1/(AI125:AQ125&lt;&gt;""),AI125:AQ125)))</t>
        </is>
      </c>
      <c r="BF125" s="49" t="inlineStr">
        <is>
          <t>IF(OR(F125="",AS125=""),"",IF(COUNT(AI125:AR125)=0,"",AS125-LOOKUP(2,1/(AI125:AR125&lt;&gt;""),AI125:AR125)))</t>
        </is>
      </c>
      <c r="BG125" s="49" t="inlineStr">
        <is>
          <t>IF(OR(F125="",AT125=""),"",IF(COUNT(AI125:AS125)=0,"",AT125-LOOKUP(2,1/(AI125:AS125&lt;&gt;""),AI125:AS125)))</t>
        </is>
      </c>
      <c r="BH125" s="49" t="inlineStr">
        <is>
          <t>IF(OR(F125="",AU125=""),"",IF(COUNT(AI125:AT125)=0,"",AU125-LOOKUP(2,1/(AI125:AT125&lt;&gt;""),AI125:AT125)))</t>
        </is>
      </c>
      <c r="BI125" s="49" t="inlineStr">
        <is>
          <t>IF(OR(F125="",AV125=""),"",IF(COUNT(AI125:AU125)=0,"",AV125-LOOKUP(2,1/(AI125:AU125&lt;&gt;""),AI125:AU125)))</t>
        </is>
      </c>
      <c r="BJ125" s="51" t="inlineStr">
        <is>
          <t>IF(J125="","All_Provinces",IFERROR(VLOOKUP(J125,'09_Lookups'!$A$4:$B$20,2,FALSE),"All_Provinces"))</t>
        </is>
      </c>
      <c r="BK125" s="51" t="inlineStr">
        <is>
          <t>IF(K125="","All_Districts",IFERROR(VLOOKUP(K125,'09_Lookups'!$E$4:$F$42,2,FALSE),"All_Districts"))</t>
        </is>
      </c>
    </row>
    <row r="126" ht="18" customHeight="1">
      <c r="A126" s="42" t="inlineStr">
        <is>
          <t>IF(F126="","",ROW()-3)</t>
        </is>
      </c>
      <c r="B126" s="52" t="n"/>
      <c r="C126" s="52" t="n"/>
      <c r="D126" s="52" t="n"/>
      <c r="E126" s="52" t="n"/>
      <c r="F126" s="52" t="n"/>
      <c r="G126" s="52" t="n"/>
      <c r="H126" s="52" t="n"/>
      <c r="I126" s="52" t="n"/>
      <c r="J126" s="52" t="n"/>
      <c r="K126" s="52" t="n"/>
      <c r="L126" s="52" t="n"/>
      <c r="M126" s="52" t="n"/>
      <c r="N126" s="52" t="n"/>
      <c r="O126" s="52" t="n"/>
      <c r="P126" s="52" t="n"/>
      <c r="Q126" s="52" t="n"/>
      <c r="R126" s="52" t="n"/>
      <c r="S126" s="53" t="n"/>
      <c r="T126" s="46" t="inlineStr">
        <is>
          <t>IF(AQ126="","",AQ126)</t>
        </is>
      </c>
      <c r="U126" s="54" t="n"/>
      <c r="V126" s="55" t="n"/>
      <c r="W126" s="54" t="n"/>
      <c r="X126" s="46" t="inlineStr">
        <is>
          <t>IF(W126&lt;&gt;"",W126,IF(OR(T126="",V126=""),"",EDATE(T126,V126)))</t>
        </is>
      </c>
      <c r="Y126" s="54" t="n"/>
      <c r="Z126" s="55" t="n"/>
      <c r="AA126" s="52" t="n"/>
      <c r="AB126" s="52" t="n"/>
      <c r="AC126" s="42" t="inlineStr">
        <is>
          <t>IF(F126="","",IF(COUNT(AI126:AV126)=0,IF(AA126="","Not started",AA126),SUBSTITUTE(LOOKUP(2,1/(AI126:AV126&lt;&gt;""),$AI$3:$AV$3),"Date: ","")))</t>
        </is>
      </c>
      <c r="AD126" s="49" t="inlineStr">
        <is>
          <t>IF(OR(F126="",COUNT(AI126:AV126)=0),"",TODAY()-LOOKUP(2,1/(AI126:AV126&lt;&gt;""),AI126:AV126))</t>
        </is>
      </c>
      <c r="AE126" s="49" t="inlineStr">
        <is>
          <t>IF(OR(F126="",COUNT(AI126:AV126)&lt;2),"",LOOKUP(2,1/(AI126:AV126&lt;&gt;""),AI126:AV126)-MIN(AI126:AV126))</t>
        </is>
      </c>
      <c r="AF126" s="49" t="inlineStr">
        <is>
          <t>IF(OR(AD126="",AC126="Not started",AC126=""),"",IFERROR(AD126-IF(VLOOKUP(AC126,'06_Status_Pipeline'!$B$3:$E$20,4,FALSE)="",0,VLOOKUP(AC126,'06_Status_Pipeline'!$B$3:$E$20,4,FALSE)),""))</t>
        </is>
      </c>
      <c r="AG126" s="42" t="inlineStr">
        <is>
          <t>IF(F126="","",IF(OR(AA126="Cancelled",AC126="Cancelled"),"Cancelled",IF(OR(AC126="Completed / Handover",Y126&lt;&gt;"",Z126&gt;=100),"Completed — on track",IF(O126="Not awarded",IF(U126="",IF(X126="","No planned date",IF(TODAY()&gt;X126,"Behind — past planned date",IF(X126-TODAY()&lt;=30,"At risk — close to off track","On track"))),IF(TODAY()&gt;U126,"Behind — award date passed",IF(U126-TODAY()&lt;=30,"At risk — close to off track","On track"))),IF(X126="","No planned date",IF(AND(TODAY()&gt;X126,OR(Z126="",Z126&lt;100)),"Behind — past end date",IF(AND(T126&lt;&gt;"",X126&lt;&gt;"",Z126&lt;&gt;"",(Z126&lt;100),((TODAY()-T126)/MAX(X126-T126,1)*100)-Z126&gt;15),"Behind — progress lag",IF(AND(X126-TODAY()&lt;=30,X126-TODAY()&gt;=0,OR(Z126="",Z126&lt;90)),"At risk — close to off track","On track"))))))))</t>
        </is>
      </c>
      <c r="AH126" s="49" t="inlineStr">
        <is>
          <t>IF(OR(F126="",AC126="Completed / Handover",AC126="Cancelled"),"",IF(O126="Not awarded",IF(U126&lt;&gt;"",U126-TODAY(),IF(X126="","",X126-TODAY())),IF(X126="","",X126-TODAY())))</t>
        </is>
      </c>
      <c r="AI126" s="54" t="n"/>
      <c r="AJ126" s="54" t="n"/>
      <c r="AK126" s="54" t="n"/>
      <c r="AL126" s="54" t="n"/>
      <c r="AM126" s="54" t="n"/>
      <c r="AN126" s="54" t="n"/>
      <c r="AO126" s="54" t="n"/>
      <c r="AP126" s="54" t="n"/>
      <c r="AQ126" s="54" t="n"/>
      <c r="AR126" s="54" t="n"/>
      <c r="AS126" s="54" t="n"/>
      <c r="AT126" s="50" t="n"/>
      <c r="AU126" s="50" t="n"/>
      <c r="AV126" s="50" t="n"/>
      <c r="AW126" s="49" t="inlineStr">
        <is>
          <t>IF(OR(F126="",AJ126=""),"",IF(COUNT(AI126:AI126)=0,"",AJ126-LOOKUP(2,1/(AI126:AI126&lt;&gt;""),AI126:AI126)))</t>
        </is>
      </c>
      <c r="AX126" s="49" t="inlineStr">
        <is>
          <t>IF(OR(F126="",AK126=""),"",IF(COUNT(AI126:AJ126)=0,"",AK126-LOOKUP(2,1/(AI126:AJ126&lt;&gt;""),AI126:AJ126)))</t>
        </is>
      </c>
      <c r="AY126" s="49" t="inlineStr">
        <is>
          <t>IF(OR(F126="",AL126=""),"",IF(COUNT(AI126:AK126)=0,"",AL126-LOOKUP(2,1/(AI126:AK126&lt;&gt;""),AI126:AK126)))</t>
        </is>
      </c>
      <c r="AZ126" s="49" t="inlineStr">
        <is>
          <t>IF(OR(F126="",AM126=""),"",IF(COUNT(AI126:AL126)=0,"",AM126-LOOKUP(2,1/(AI126:AL126&lt;&gt;""),AI126:AL126)))</t>
        </is>
      </c>
      <c r="BA126" s="49" t="inlineStr">
        <is>
          <t>IF(OR(F126="",AN126=""),"",IF(COUNT(AI126:AM126)=0,"",AN126-LOOKUP(2,1/(AI126:AM126&lt;&gt;""),AI126:AM126)))</t>
        </is>
      </c>
      <c r="BB126" s="49" t="inlineStr">
        <is>
          <t>IF(OR(F126="",AO126=""),"",IF(COUNT(AI126:AN126)=0,"",AO126-LOOKUP(2,1/(AI126:AN126&lt;&gt;""),AI126:AN126)))</t>
        </is>
      </c>
      <c r="BC126" s="49" t="inlineStr">
        <is>
          <t>IF(OR(F126="",AP126=""),"",IF(COUNT(AI126:AO126)=0,"",AP126-LOOKUP(2,1/(AI126:AO126&lt;&gt;""),AI126:AO126)))</t>
        </is>
      </c>
      <c r="BD126" s="49" t="inlineStr">
        <is>
          <t>IF(OR(F126="",AQ126=""),"",IF(COUNT(AI126:AP126)=0,"",AQ126-LOOKUP(2,1/(AI126:AP126&lt;&gt;""),AI126:AP126)))</t>
        </is>
      </c>
      <c r="BE126" s="49" t="inlineStr">
        <is>
          <t>IF(OR(F126="",AR126=""),"",IF(COUNT(AI126:AQ126)=0,"",AR126-LOOKUP(2,1/(AI126:AQ126&lt;&gt;""),AI126:AQ126)))</t>
        </is>
      </c>
      <c r="BF126" s="49" t="inlineStr">
        <is>
          <t>IF(OR(F126="",AS126=""),"",IF(COUNT(AI126:AR126)=0,"",AS126-LOOKUP(2,1/(AI126:AR126&lt;&gt;""),AI126:AR126)))</t>
        </is>
      </c>
      <c r="BG126" s="49" t="inlineStr">
        <is>
          <t>IF(OR(F126="",AT126=""),"",IF(COUNT(AI126:AS126)=0,"",AT126-LOOKUP(2,1/(AI126:AS126&lt;&gt;""),AI126:AS126)))</t>
        </is>
      </c>
      <c r="BH126" s="49" t="inlineStr">
        <is>
          <t>IF(OR(F126="",AU126=""),"",IF(COUNT(AI126:AT126)=0,"",AU126-LOOKUP(2,1/(AI126:AT126&lt;&gt;""),AI126:AT126)))</t>
        </is>
      </c>
      <c r="BI126" s="49" t="inlineStr">
        <is>
          <t>IF(OR(F126="",AV126=""),"",IF(COUNT(AI126:AU126)=0,"",AV126-LOOKUP(2,1/(AI126:AU126&lt;&gt;""),AI126:AU126)))</t>
        </is>
      </c>
      <c r="BJ126" s="51" t="inlineStr">
        <is>
          <t>IF(J126="","All_Provinces",IFERROR(VLOOKUP(J126,'09_Lookups'!$A$4:$B$20,2,FALSE),"All_Provinces"))</t>
        </is>
      </c>
      <c r="BK126" s="51" t="inlineStr">
        <is>
          <t>IF(K126="","All_Districts",IFERROR(VLOOKUP(K126,'09_Lookups'!$E$4:$F$42,2,FALSE),"All_Districts"))</t>
        </is>
      </c>
    </row>
    <row r="127" ht="18" customHeight="1">
      <c r="A127" s="42" t="inlineStr">
        <is>
          <t>IF(F127="","",ROW()-3)</t>
        </is>
      </c>
      <c r="B127" s="44" t="n"/>
      <c r="C127" s="44" t="n"/>
      <c r="D127" s="44" t="n"/>
      <c r="E127" s="44" t="n"/>
      <c r="F127" s="44" t="n"/>
      <c r="G127" s="44" t="n"/>
      <c r="H127" s="44" t="n"/>
      <c r="I127" s="44" t="n"/>
      <c r="J127" s="44" t="n"/>
      <c r="K127" s="44" t="n"/>
      <c r="L127" s="44" t="n"/>
      <c r="M127" s="44" t="n"/>
      <c r="N127" s="44" t="n"/>
      <c r="O127" s="44" t="n"/>
      <c r="P127" s="44" t="n"/>
      <c r="Q127" s="44" t="n"/>
      <c r="R127" s="44" t="n"/>
      <c r="S127" s="45" t="n"/>
      <c r="T127" s="46" t="inlineStr">
        <is>
          <t>IF(AQ127="","",AQ127)</t>
        </is>
      </c>
      <c r="U127" s="47" t="n"/>
      <c r="V127" s="48" t="n"/>
      <c r="W127" s="47" t="n"/>
      <c r="X127" s="46" t="inlineStr">
        <is>
          <t>IF(W127&lt;&gt;"",W127,IF(OR(T127="",V127=""),"",EDATE(T127,V127)))</t>
        </is>
      </c>
      <c r="Y127" s="47" t="n"/>
      <c r="Z127" s="48" t="n"/>
      <c r="AA127" s="44" t="n"/>
      <c r="AB127" s="44" t="n"/>
      <c r="AC127" s="42" t="inlineStr">
        <is>
          <t>IF(F127="","",IF(COUNT(AI127:AV127)=0,IF(AA127="","Not started",AA127),SUBSTITUTE(LOOKUP(2,1/(AI127:AV127&lt;&gt;""),$AI$3:$AV$3),"Date: ","")))</t>
        </is>
      </c>
      <c r="AD127" s="49" t="inlineStr">
        <is>
          <t>IF(OR(F127="",COUNT(AI127:AV127)=0),"",TODAY()-LOOKUP(2,1/(AI127:AV127&lt;&gt;""),AI127:AV127))</t>
        </is>
      </c>
      <c r="AE127" s="49" t="inlineStr">
        <is>
          <t>IF(OR(F127="",COUNT(AI127:AV127)&lt;2),"",LOOKUP(2,1/(AI127:AV127&lt;&gt;""),AI127:AV127)-MIN(AI127:AV127))</t>
        </is>
      </c>
      <c r="AF127" s="49" t="inlineStr">
        <is>
          <t>IF(OR(AD127="",AC127="Not started",AC127=""),"",IFERROR(AD127-IF(VLOOKUP(AC127,'06_Status_Pipeline'!$B$3:$E$20,4,FALSE)="",0,VLOOKUP(AC127,'06_Status_Pipeline'!$B$3:$E$20,4,FALSE)),""))</t>
        </is>
      </c>
      <c r="AG127" s="42" t="inlineStr">
        <is>
          <t>IF(F127="","",IF(OR(AA127="Cancelled",AC127="Cancelled"),"Cancelled",IF(OR(AC127="Completed / Handover",Y127&lt;&gt;"",Z127&gt;=100),"Completed — on track",IF(O127="Not awarded",IF(U127="",IF(X127="","No planned date",IF(TODAY()&gt;X127,"Behind — past planned date",IF(X127-TODAY()&lt;=30,"At risk — close to off track","On track"))),IF(TODAY()&gt;U127,"Behind — award date passed",IF(U127-TODAY()&lt;=30,"At risk — close to off track","On track"))),IF(X127="","No planned date",IF(AND(TODAY()&gt;X127,OR(Z127="",Z127&lt;100)),"Behind — past end date",IF(AND(T127&lt;&gt;"",X127&lt;&gt;"",Z127&lt;&gt;"",(Z127&lt;100),((TODAY()-T127)/MAX(X127-T127,1)*100)-Z127&gt;15),"Behind — progress lag",IF(AND(X127-TODAY()&lt;=30,X127-TODAY()&gt;=0,OR(Z127="",Z127&lt;90)),"At risk — close to off track","On track"))))))))</t>
        </is>
      </c>
      <c r="AH127" s="49" t="inlineStr">
        <is>
          <t>IF(OR(F127="",AC127="Completed / Handover",AC127="Cancelled"),"",IF(O127="Not awarded",IF(U127&lt;&gt;"",U127-TODAY(),IF(X127="","",X127-TODAY())),IF(X127="","",X127-TODAY())))</t>
        </is>
      </c>
      <c r="AI127" s="47" t="n"/>
      <c r="AJ127" s="47" t="n"/>
      <c r="AK127" s="47" t="n"/>
      <c r="AL127" s="47" t="n"/>
      <c r="AM127" s="47" t="n"/>
      <c r="AN127" s="47" t="n"/>
      <c r="AO127" s="47" t="n"/>
      <c r="AP127" s="47" t="n"/>
      <c r="AQ127" s="47" t="n"/>
      <c r="AR127" s="47" t="n"/>
      <c r="AS127" s="47" t="n"/>
      <c r="AT127" s="50" t="n"/>
      <c r="AU127" s="50" t="n"/>
      <c r="AV127" s="50" t="n"/>
      <c r="AW127" s="49" t="inlineStr">
        <is>
          <t>IF(OR(F127="",AJ127=""),"",IF(COUNT(AI127:AI127)=0,"",AJ127-LOOKUP(2,1/(AI127:AI127&lt;&gt;""),AI127:AI127)))</t>
        </is>
      </c>
      <c r="AX127" s="49" t="inlineStr">
        <is>
          <t>IF(OR(F127="",AK127=""),"",IF(COUNT(AI127:AJ127)=0,"",AK127-LOOKUP(2,1/(AI127:AJ127&lt;&gt;""),AI127:AJ127)))</t>
        </is>
      </c>
      <c r="AY127" s="49" t="inlineStr">
        <is>
          <t>IF(OR(F127="",AL127=""),"",IF(COUNT(AI127:AK127)=0,"",AL127-LOOKUP(2,1/(AI127:AK127&lt;&gt;""),AI127:AK127)))</t>
        </is>
      </c>
      <c r="AZ127" s="49" t="inlineStr">
        <is>
          <t>IF(OR(F127="",AM127=""),"",IF(COUNT(AI127:AL127)=0,"",AM127-LOOKUP(2,1/(AI127:AL127&lt;&gt;""),AI127:AL127)))</t>
        </is>
      </c>
      <c r="BA127" s="49" t="inlineStr">
        <is>
          <t>IF(OR(F127="",AN127=""),"",IF(COUNT(AI127:AM127)=0,"",AN127-LOOKUP(2,1/(AI127:AM127&lt;&gt;""),AI127:AM127)))</t>
        </is>
      </c>
      <c r="BB127" s="49" t="inlineStr">
        <is>
          <t>IF(OR(F127="",AO127=""),"",IF(COUNT(AI127:AN127)=0,"",AO127-LOOKUP(2,1/(AI127:AN127&lt;&gt;""),AI127:AN127)))</t>
        </is>
      </c>
      <c r="BC127" s="49" t="inlineStr">
        <is>
          <t>IF(OR(F127="",AP127=""),"",IF(COUNT(AI127:AO127)=0,"",AP127-LOOKUP(2,1/(AI127:AO127&lt;&gt;""),AI127:AO127)))</t>
        </is>
      </c>
      <c r="BD127" s="49" t="inlineStr">
        <is>
          <t>IF(OR(F127="",AQ127=""),"",IF(COUNT(AI127:AP127)=0,"",AQ127-LOOKUP(2,1/(AI127:AP127&lt;&gt;""),AI127:AP127)))</t>
        </is>
      </c>
      <c r="BE127" s="49" t="inlineStr">
        <is>
          <t>IF(OR(F127="",AR127=""),"",IF(COUNT(AI127:AQ127)=0,"",AR127-LOOKUP(2,1/(AI127:AQ127&lt;&gt;""),AI127:AQ127)))</t>
        </is>
      </c>
      <c r="BF127" s="49" t="inlineStr">
        <is>
          <t>IF(OR(F127="",AS127=""),"",IF(COUNT(AI127:AR127)=0,"",AS127-LOOKUP(2,1/(AI127:AR127&lt;&gt;""),AI127:AR127)))</t>
        </is>
      </c>
      <c r="BG127" s="49" t="inlineStr">
        <is>
          <t>IF(OR(F127="",AT127=""),"",IF(COUNT(AI127:AS127)=0,"",AT127-LOOKUP(2,1/(AI127:AS127&lt;&gt;""),AI127:AS127)))</t>
        </is>
      </c>
      <c r="BH127" s="49" t="inlineStr">
        <is>
          <t>IF(OR(F127="",AU127=""),"",IF(COUNT(AI127:AT127)=0,"",AU127-LOOKUP(2,1/(AI127:AT127&lt;&gt;""),AI127:AT127)))</t>
        </is>
      </c>
      <c r="BI127" s="49" t="inlineStr">
        <is>
          <t>IF(OR(F127="",AV127=""),"",IF(COUNT(AI127:AU127)=0,"",AV127-LOOKUP(2,1/(AI127:AU127&lt;&gt;""),AI127:AU127)))</t>
        </is>
      </c>
      <c r="BJ127" s="51" t="inlineStr">
        <is>
          <t>IF(J127="","All_Provinces",IFERROR(VLOOKUP(J127,'09_Lookups'!$A$4:$B$20,2,FALSE),"All_Provinces"))</t>
        </is>
      </c>
      <c r="BK127" s="51" t="inlineStr">
        <is>
          <t>IF(K127="","All_Districts",IFERROR(VLOOKUP(K127,'09_Lookups'!$E$4:$F$42,2,FALSE),"All_Districts"))</t>
        </is>
      </c>
    </row>
    <row r="128" ht="18" customHeight="1">
      <c r="A128" s="42" t="inlineStr">
        <is>
          <t>IF(F128="","",ROW()-3)</t>
        </is>
      </c>
      <c r="B128" s="52" t="n"/>
      <c r="C128" s="52" t="n"/>
      <c r="D128" s="52" t="n"/>
      <c r="E128" s="52" t="n"/>
      <c r="F128" s="52" t="n"/>
      <c r="G128" s="52" t="n"/>
      <c r="H128" s="52" t="n"/>
      <c r="I128" s="52" t="n"/>
      <c r="J128" s="52" t="n"/>
      <c r="K128" s="52" t="n"/>
      <c r="L128" s="52" t="n"/>
      <c r="M128" s="52" t="n"/>
      <c r="N128" s="52" t="n"/>
      <c r="O128" s="52" t="n"/>
      <c r="P128" s="52" t="n"/>
      <c r="Q128" s="52" t="n"/>
      <c r="R128" s="52" t="n"/>
      <c r="S128" s="53" t="n"/>
      <c r="T128" s="46" t="inlineStr">
        <is>
          <t>IF(AQ128="","",AQ128)</t>
        </is>
      </c>
      <c r="U128" s="54" t="n"/>
      <c r="V128" s="55" t="n"/>
      <c r="W128" s="54" t="n"/>
      <c r="X128" s="46" t="inlineStr">
        <is>
          <t>IF(W128&lt;&gt;"",W128,IF(OR(T128="",V128=""),"",EDATE(T128,V128)))</t>
        </is>
      </c>
      <c r="Y128" s="54" t="n"/>
      <c r="Z128" s="55" t="n"/>
      <c r="AA128" s="52" t="n"/>
      <c r="AB128" s="52" t="n"/>
      <c r="AC128" s="42" t="inlineStr">
        <is>
          <t>IF(F128="","",IF(COUNT(AI128:AV128)=0,IF(AA128="","Not started",AA128),SUBSTITUTE(LOOKUP(2,1/(AI128:AV128&lt;&gt;""),$AI$3:$AV$3),"Date: ","")))</t>
        </is>
      </c>
      <c r="AD128" s="49" t="inlineStr">
        <is>
          <t>IF(OR(F128="",COUNT(AI128:AV128)=0),"",TODAY()-LOOKUP(2,1/(AI128:AV128&lt;&gt;""),AI128:AV128))</t>
        </is>
      </c>
      <c r="AE128" s="49" t="inlineStr">
        <is>
          <t>IF(OR(F128="",COUNT(AI128:AV128)&lt;2),"",LOOKUP(2,1/(AI128:AV128&lt;&gt;""),AI128:AV128)-MIN(AI128:AV128))</t>
        </is>
      </c>
      <c r="AF128" s="49" t="inlineStr">
        <is>
          <t>IF(OR(AD128="",AC128="Not started",AC128=""),"",IFERROR(AD128-IF(VLOOKUP(AC128,'06_Status_Pipeline'!$B$3:$E$20,4,FALSE)="",0,VLOOKUP(AC128,'06_Status_Pipeline'!$B$3:$E$20,4,FALSE)),""))</t>
        </is>
      </c>
      <c r="AG128" s="42" t="inlineStr">
        <is>
          <t>IF(F128="","",IF(OR(AA128="Cancelled",AC128="Cancelled"),"Cancelled",IF(OR(AC128="Completed / Handover",Y128&lt;&gt;"",Z128&gt;=100),"Completed — on track",IF(O128="Not awarded",IF(U128="",IF(X128="","No planned date",IF(TODAY()&gt;X128,"Behind — past planned date",IF(X128-TODAY()&lt;=30,"At risk — close to off track","On track"))),IF(TODAY()&gt;U128,"Behind — award date passed",IF(U128-TODAY()&lt;=30,"At risk — close to off track","On track"))),IF(X128="","No planned date",IF(AND(TODAY()&gt;X128,OR(Z128="",Z128&lt;100)),"Behind — past end date",IF(AND(T128&lt;&gt;"",X128&lt;&gt;"",Z128&lt;&gt;"",(Z128&lt;100),((TODAY()-T128)/MAX(X128-T128,1)*100)-Z128&gt;15),"Behind — progress lag",IF(AND(X128-TODAY()&lt;=30,X128-TODAY()&gt;=0,OR(Z128="",Z128&lt;90)),"At risk — close to off track","On track"))))))))</t>
        </is>
      </c>
      <c r="AH128" s="49" t="inlineStr">
        <is>
          <t>IF(OR(F128="",AC128="Completed / Handover",AC128="Cancelled"),"",IF(O128="Not awarded",IF(U128&lt;&gt;"",U128-TODAY(),IF(X128="","",X128-TODAY())),IF(X128="","",X128-TODAY())))</t>
        </is>
      </c>
      <c r="AI128" s="54" t="n"/>
      <c r="AJ128" s="54" t="n"/>
      <c r="AK128" s="54" t="n"/>
      <c r="AL128" s="54" t="n"/>
      <c r="AM128" s="54" t="n"/>
      <c r="AN128" s="54" t="n"/>
      <c r="AO128" s="54" t="n"/>
      <c r="AP128" s="54" t="n"/>
      <c r="AQ128" s="54" t="n"/>
      <c r="AR128" s="54" t="n"/>
      <c r="AS128" s="54" t="n"/>
      <c r="AT128" s="50" t="n"/>
      <c r="AU128" s="50" t="n"/>
      <c r="AV128" s="50" t="n"/>
      <c r="AW128" s="49" t="inlineStr">
        <is>
          <t>IF(OR(F128="",AJ128=""),"",IF(COUNT(AI128:AI128)=0,"",AJ128-LOOKUP(2,1/(AI128:AI128&lt;&gt;""),AI128:AI128)))</t>
        </is>
      </c>
      <c r="AX128" s="49" t="inlineStr">
        <is>
          <t>IF(OR(F128="",AK128=""),"",IF(COUNT(AI128:AJ128)=0,"",AK128-LOOKUP(2,1/(AI128:AJ128&lt;&gt;""),AI128:AJ128)))</t>
        </is>
      </c>
      <c r="AY128" s="49" t="inlineStr">
        <is>
          <t>IF(OR(F128="",AL128=""),"",IF(COUNT(AI128:AK128)=0,"",AL128-LOOKUP(2,1/(AI128:AK128&lt;&gt;""),AI128:AK128)))</t>
        </is>
      </c>
      <c r="AZ128" s="49" t="inlineStr">
        <is>
          <t>IF(OR(F128="",AM128=""),"",IF(COUNT(AI128:AL128)=0,"",AM128-LOOKUP(2,1/(AI128:AL128&lt;&gt;""),AI128:AL128)))</t>
        </is>
      </c>
      <c r="BA128" s="49" t="inlineStr">
        <is>
          <t>IF(OR(F128="",AN128=""),"",IF(COUNT(AI128:AM128)=0,"",AN128-LOOKUP(2,1/(AI128:AM128&lt;&gt;""),AI128:AM128)))</t>
        </is>
      </c>
      <c r="BB128" s="49" t="inlineStr">
        <is>
          <t>IF(OR(F128="",AO128=""),"",IF(COUNT(AI128:AN128)=0,"",AO128-LOOKUP(2,1/(AI128:AN128&lt;&gt;""),AI128:AN128)))</t>
        </is>
      </c>
      <c r="BC128" s="49" t="inlineStr">
        <is>
          <t>IF(OR(F128="",AP128=""),"",IF(COUNT(AI128:AO128)=0,"",AP128-LOOKUP(2,1/(AI128:AO128&lt;&gt;""),AI128:AO128)))</t>
        </is>
      </c>
      <c r="BD128" s="49" t="inlineStr">
        <is>
          <t>IF(OR(F128="",AQ128=""),"",IF(COUNT(AI128:AP128)=0,"",AQ128-LOOKUP(2,1/(AI128:AP128&lt;&gt;""),AI128:AP128)))</t>
        </is>
      </c>
      <c r="BE128" s="49" t="inlineStr">
        <is>
          <t>IF(OR(F128="",AR128=""),"",IF(COUNT(AI128:AQ128)=0,"",AR128-LOOKUP(2,1/(AI128:AQ128&lt;&gt;""),AI128:AQ128)))</t>
        </is>
      </c>
      <c r="BF128" s="49" t="inlineStr">
        <is>
          <t>IF(OR(F128="",AS128=""),"",IF(COUNT(AI128:AR128)=0,"",AS128-LOOKUP(2,1/(AI128:AR128&lt;&gt;""),AI128:AR128)))</t>
        </is>
      </c>
      <c r="BG128" s="49" t="inlineStr">
        <is>
          <t>IF(OR(F128="",AT128=""),"",IF(COUNT(AI128:AS128)=0,"",AT128-LOOKUP(2,1/(AI128:AS128&lt;&gt;""),AI128:AS128)))</t>
        </is>
      </c>
      <c r="BH128" s="49" t="inlineStr">
        <is>
          <t>IF(OR(F128="",AU128=""),"",IF(COUNT(AI128:AT128)=0,"",AU128-LOOKUP(2,1/(AI128:AT128&lt;&gt;""),AI128:AT128)))</t>
        </is>
      </c>
      <c r="BI128" s="49" t="inlineStr">
        <is>
          <t>IF(OR(F128="",AV128=""),"",IF(COUNT(AI128:AU128)=0,"",AV128-LOOKUP(2,1/(AI128:AU128&lt;&gt;""),AI128:AU128)))</t>
        </is>
      </c>
      <c r="BJ128" s="51" t="inlineStr">
        <is>
          <t>IF(J128="","All_Provinces",IFERROR(VLOOKUP(J128,'09_Lookups'!$A$4:$B$20,2,FALSE),"All_Provinces"))</t>
        </is>
      </c>
      <c r="BK128" s="51" t="inlineStr">
        <is>
          <t>IF(K128="","All_Districts",IFERROR(VLOOKUP(K128,'09_Lookups'!$E$4:$F$42,2,FALSE),"All_Districts"))</t>
        </is>
      </c>
    </row>
    <row r="129" ht="18" customHeight="1">
      <c r="A129" s="42" t="inlineStr">
        <is>
          <t>IF(F129="","",ROW()-3)</t>
        </is>
      </c>
      <c r="B129" s="44" t="n"/>
      <c r="C129" s="44" t="n"/>
      <c r="D129" s="44" t="n"/>
      <c r="E129" s="44" t="n"/>
      <c r="F129" s="44" t="n"/>
      <c r="G129" s="44" t="n"/>
      <c r="H129" s="44" t="n"/>
      <c r="I129" s="44" t="n"/>
      <c r="J129" s="44" t="n"/>
      <c r="K129" s="44" t="n"/>
      <c r="L129" s="44" t="n"/>
      <c r="M129" s="44" t="n"/>
      <c r="N129" s="44" t="n"/>
      <c r="O129" s="44" t="n"/>
      <c r="P129" s="44" t="n"/>
      <c r="Q129" s="44" t="n"/>
      <c r="R129" s="44" t="n"/>
      <c r="S129" s="45" t="n"/>
      <c r="T129" s="46" t="inlineStr">
        <is>
          <t>IF(AQ129="","",AQ129)</t>
        </is>
      </c>
      <c r="U129" s="47" t="n"/>
      <c r="V129" s="48" t="n"/>
      <c r="W129" s="47" t="n"/>
      <c r="X129" s="46" t="inlineStr">
        <is>
          <t>IF(W129&lt;&gt;"",W129,IF(OR(T129="",V129=""),"",EDATE(T129,V129)))</t>
        </is>
      </c>
      <c r="Y129" s="47" t="n"/>
      <c r="Z129" s="48" t="n"/>
      <c r="AA129" s="44" t="n"/>
      <c r="AB129" s="44" t="n"/>
      <c r="AC129" s="42" t="inlineStr">
        <is>
          <t>IF(F129="","",IF(COUNT(AI129:AV129)=0,IF(AA129="","Not started",AA129),SUBSTITUTE(LOOKUP(2,1/(AI129:AV129&lt;&gt;""),$AI$3:$AV$3),"Date: ","")))</t>
        </is>
      </c>
      <c r="AD129" s="49" t="inlineStr">
        <is>
          <t>IF(OR(F129="",COUNT(AI129:AV129)=0),"",TODAY()-LOOKUP(2,1/(AI129:AV129&lt;&gt;""),AI129:AV129))</t>
        </is>
      </c>
      <c r="AE129" s="49" t="inlineStr">
        <is>
          <t>IF(OR(F129="",COUNT(AI129:AV129)&lt;2),"",LOOKUP(2,1/(AI129:AV129&lt;&gt;""),AI129:AV129)-MIN(AI129:AV129))</t>
        </is>
      </c>
      <c r="AF129" s="49" t="inlineStr">
        <is>
          <t>IF(OR(AD129="",AC129="Not started",AC129=""),"",IFERROR(AD129-IF(VLOOKUP(AC129,'06_Status_Pipeline'!$B$3:$E$20,4,FALSE)="",0,VLOOKUP(AC129,'06_Status_Pipeline'!$B$3:$E$20,4,FALSE)),""))</t>
        </is>
      </c>
      <c r="AG129" s="42" t="inlineStr">
        <is>
          <t>IF(F129="","",IF(OR(AA129="Cancelled",AC129="Cancelled"),"Cancelled",IF(OR(AC129="Completed / Handover",Y129&lt;&gt;"",Z129&gt;=100),"Completed — on track",IF(O129="Not awarded",IF(U129="",IF(X129="","No planned date",IF(TODAY()&gt;X129,"Behind — past planned date",IF(X129-TODAY()&lt;=30,"At risk — close to off track","On track"))),IF(TODAY()&gt;U129,"Behind — award date passed",IF(U129-TODAY()&lt;=30,"At risk — close to off track","On track"))),IF(X129="","No planned date",IF(AND(TODAY()&gt;X129,OR(Z129="",Z129&lt;100)),"Behind — past end date",IF(AND(T129&lt;&gt;"",X129&lt;&gt;"",Z129&lt;&gt;"",(Z129&lt;100),((TODAY()-T129)/MAX(X129-T129,1)*100)-Z129&gt;15),"Behind — progress lag",IF(AND(X129-TODAY()&lt;=30,X129-TODAY()&gt;=0,OR(Z129="",Z129&lt;90)),"At risk — close to off track","On track"))))))))</t>
        </is>
      </c>
      <c r="AH129" s="49" t="inlineStr">
        <is>
          <t>IF(OR(F129="",AC129="Completed / Handover",AC129="Cancelled"),"",IF(O129="Not awarded",IF(U129&lt;&gt;"",U129-TODAY(),IF(X129="","",X129-TODAY())),IF(X129="","",X129-TODAY())))</t>
        </is>
      </c>
      <c r="AI129" s="47" t="n"/>
      <c r="AJ129" s="47" t="n"/>
      <c r="AK129" s="47" t="n"/>
      <c r="AL129" s="47" t="n"/>
      <c r="AM129" s="47" t="n"/>
      <c r="AN129" s="47" t="n"/>
      <c r="AO129" s="47" t="n"/>
      <c r="AP129" s="47" t="n"/>
      <c r="AQ129" s="47" t="n"/>
      <c r="AR129" s="47" t="n"/>
      <c r="AS129" s="47" t="n"/>
      <c r="AT129" s="50" t="n"/>
      <c r="AU129" s="50" t="n"/>
      <c r="AV129" s="50" t="n"/>
      <c r="AW129" s="49" t="inlineStr">
        <is>
          <t>IF(OR(F129="",AJ129=""),"",IF(COUNT(AI129:AI129)=0,"",AJ129-LOOKUP(2,1/(AI129:AI129&lt;&gt;""),AI129:AI129)))</t>
        </is>
      </c>
      <c r="AX129" s="49" t="inlineStr">
        <is>
          <t>IF(OR(F129="",AK129=""),"",IF(COUNT(AI129:AJ129)=0,"",AK129-LOOKUP(2,1/(AI129:AJ129&lt;&gt;""),AI129:AJ129)))</t>
        </is>
      </c>
      <c r="AY129" s="49" t="inlineStr">
        <is>
          <t>IF(OR(F129="",AL129=""),"",IF(COUNT(AI129:AK129)=0,"",AL129-LOOKUP(2,1/(AI129:AK129&lt;&gt;""),AI129:AK129)))</t>
        </is>
      </c>
      <c r="AZ129" s="49" t="inlineStr">
        <is>
          <t>IF(OR(F129="",AM129=""),"",IF(COUNT(AI129:AL129)=0,"",AM129-LOOKUP(2,1/(AI129:AL129&lt;&gt;""),AI129:AL129)))</t>
        </is>
      </c>
      <c r="BA129" s="49" t="inlineStr">
        <is>
          <t>IF(OR(F129="",AN129=""),"",IF(COUNT(AI129:AM129)=0,"",AN129-LOOKUP(2,1/(AI129:AM129&lt;&gt;""),AI129:AM129)))</t>
        </is>
      </c>
      <c r="BB129" s="49" t="inlineStr">
        <is>
          <t>IF(OR(F129="",AO129=""),"",IF(COUNT(AI129:AN129)=0,"",AO129-LOOKUP(2,1/(AI129:AN129&lt;&gt;""),AI129:AN129)))</t>
        </is>
      </c>
      <c r="BC129" s="49" t="inlineStr">
        <is>
          <t>IF(OR(F129="",AP129=""),"",IF(COUNT(AI129:AO129)=0,"",AP129-LOOKUP(2,1/(AI129:AO129&lt;&gt;""),AI129:AO129)))</t>
        </is>
      </c>
      <c r="BD129" s="49" t="inlineStr">
        <is>
          <t>IF(OR(F129="",AQ129=""),"",IF(COUNT(AI129:AP129)=0,"",AQ129-LOOKUP(2,1/(AI129:AP129&lt;&gt;""),AI129:AP129)))</t>
        </is>
      </c>
      <c r="BE129" s="49" t="inlineStr">
        <is>
          <t>IF(OR(F129="",AR129=""),"",IF(COUNT(AI129:AQ129)=0,"",AR129-LOOKUP(2,1/(AI129:AQ129&lt;&gt;""),AI129:AQ129)))</t>
        </is>
      </c>
      <c r="BF129" s="49" t="inlineStr">
        <is>
          <t>IF(OR(F129="",AS129=""),"",IF(COUNT(AI129:AR129)=0,"",AS129-LOOKUP(2,1/(AI129:AR129&lt;&gt;""),AI129:AR129)))</t>
        </is>
      </c>
      <c r="BG129" s="49" t="inlineStr">
        <is>
          <t>IF(OR(F129="",AT129=""),"",IF(COUNT(AI129:AS129)=0,"",AT129-LOOKUP(2,1/(AI129:AS129&lt;&gt;""),AI129:AS129)))</t>
        </is>
      </c>
      <c r="BH129" s="49" t="inlineStr">
        <is>
          <t>IF(OR(F129="",AU129=""),"",IF(COUNT(AI129:AT129)=0,"",AU129-LOOKUP(2,1/(AI129:AT129&lt;&gt;""),AI129:AT129)))</t>
        </is>
      </c>
      <c r="BI129" s="49" t="inlineStr">
        <is>
          <t>IF(OR(F129="",AV129=""),"",IF(COUNT(AI129:AU129)=0,"",AV129-LOOKUP(2,1/(AI129:AU129&lt;&gt;""),AI129:AU129)))</t>
        </is>
      </c>
      <c r="BJ129" s="51" t="inlineStr">
        <is>
          <t>IF(J129="","All_Provinces",IFERROR(VLOOKUP(J129,'09_Lookups'!$A$4:$B$20,2,FALSE),"All_Provinces"))</t>
        </is>
      </c>
      <c r="BK129" s="51" t="inlineStr">
        <is>
          <t>IF(K129="","All_Districts",IFERROR(VLOOKUP(K129,'09_Lookups'!$E$4:$F$42,2,FALSE),"All_Districts"))</t>
        </is>
      </c>
    </row>
    <row r="130" ht="18" customHeight="1">
      <c r="A130" s="42" t="inlineStr">
        <is>
          <t>IF(F130="","",ROW()-3)</t>
        </is>
      </c>
      <c r="B130" s="52" t="n"/>
      <c r="C130" s="52" t="n"/>
      <c r="D130" s="52" t="n"/>
      <c r="E130" s="52" t="n"/>
      <c r="F130" s="52" t="n"/>
      <c r="G130" s="52" t="n"/>
      <c r="H130" s="52" t="n"/>
      <c r="I130" s="52" t="n"/>
      <c r="J130" s="52" t="n"/>
      <c r="K130" s="52" t="n"/>
      <c r="L130" s="52" t="n"/>
      <c r="M130" s="52" t="n"/>
      <c r="N130" s="52" t="n"/>
      <c r="O130" s="52" t="n"/>
      <c r="P130" s="52" t="n"/>
      <c r="Q130" s="52" t="n"/>
      <c r="R130" s="52" t="n"/>
      <c r="S130" s="53" t="n"/>
      <c r="T130" s="46" t="inlineStr">
        <is>
          <t>IF(AQ130="","",AQ130)</t>
        </is>
      </c>
      <c r="U130" s="54" t="n"/>
      <c r="V130" s="55" t="n"/>
      <c r="W130" s="54" t="n"/>
      <c r="X130" s="46" t="inlineStr">
        <is>
          <t>IF(W130&lt;&gt;"",W130,IF(OR(T130="",V130=""),"",EDATE(T130,V130)))</t>
        </is>
      </c>
      <c r="Y130" s="54" t="n"/>
      <c r="Z130" s="55" t="n"/>
      <c r="AA130" s="52" t="n"/>
      <c r="AB130" s="52" t="n"/>
      <c r="AC130" s="42" t="inlineStr">
        <is>
          <t>IF(F130="","",IF(COUNT(AI130:AV130)=0,IF(AA130="","Not started",AA130),SUBSTITUTE(LOOKUP(2,1/(AI130:AV130&lt;&gt;""),$AI$3:$AV$3),"Date: ","")))</t>
        </is>
      </c>
      <c r="AD130" s="49" t="inlineStr">
        <is>
          <t>IF(OR(F130="",COUNT(AI130:AV130)=0),"",TODAY()-LOOKUP(2,1/(AI130:AV130&lt;&gt;""),AI130:AV130))</t>
        </is>
      </c>
      <c r="AE130" s="49" t="inlineStr">
        <is>
          <t>IF(OR(F130="",COUNT(AI130:AV130)&lt;2),"",LOOKUP(2,1/(AI130:AV130&lt;&gt;""),AI130:AV130)-MIN(AI130:AV130))</t>
        </is>
      </c>
      <c r="AF130" s="49" t="inlineStr">
        <is>
          <t>IF(OR(AD130="",AC130="Not started",AC130=""),"",IFERROR(AD130-IF(VLOOKUP(AC130,'06_Status_Pipeline'!$B$3:$E$20,4,FALSE)="",0,VLOOKUP(AC130,'06_Status_Pipeline'!$B$3:$E$20,4,FALSE)),""))</t>
        </is>
      </c>
      <c r="AG130" s="42" t="inlineStr">
        <is>
          <t>IF(F130="","",IF(OR(AA130="Cancelled",AC130="Cancelled"),"Cancelled",IF(OR(AC130="Completed / Handover",Y130&lt;&gt;"",Z130&gt;=100),"Completed — on track",IF(O130="Not awarded",IF(U130="",IF(X130="","No planned date",IF(TODAY()&gt;X130,"Behind — past planned date",IF(X130-TODAY()&lt;=30,"At risk — close to off track","On track"))),IF(TODAY()&gt;U130,"Behind — award date passed",IF(U130-TODAY()&lt;=30,"At risk — close to off track","On track"))),IF(X130="","No planned date",IF(AND(TODAY()&gt;X130,OR(Z130="",Z130&lt;100)),"Behind — past end date",IF(AND(T130&lt;&gt;"",X130&lt;&gt;"",Z130&lt;&gt;"",(Z130&lt;100),((TODAY()-T130)/MAX(X130-T130,1)*100)-Z130&gt;15),"Behind — progress lag",IF(AND(X130-TODAY()&lt;=30,X130-TODAY()&gt;=0,OR(Z130="",Z130&lt;90)),"At risk — close to off track","On track"))))))))</t>
        </is>
      </c>
      <c r="AH130" s="49" t="inlineStr">
        <is>
          <t>IF(OR(F130="",AC130="Completed / Handover",AC130="Cancelled"),"",IF(O130="Not awarded",IF(U130&lt;&gt;"",U130-TODAY(),IF(X130="","",X130-TODAY())),IF(X130="","",X130-TODAY())))</t>
        </is>
      </c>
      <c r="AI130" s="54" t="n"/>
      <c r="AJ130" s="54" t="n"/>
      <c r="AK130" s="54" t="n"/>
      <c r="AL130" s="54" t="n"/>
      <c r="AM130" s="54" t="n"/>
      <c r="AN130" s="54" t="n"/>
      <c r="AO130" s="54" t="n"/>
      <c r="AP130" s="54" t="n"/>
      <c r="AQ130" s="54" t="n"/>
      <c r="AR130" s="54" t="n"/>
      <c r="AS130" s="54" t="n"/>
      <c r="AT130" s="50" t="n"/>
      <c r="AU130" s="50" t="n"/>
      <c r="AV130" s="50" t="n"/>
      <c r="AW130" s="49" t="inlineStr">
        <is>
          <t>IF(OR(F130="",AJ130=""),"",IF(COUNT(AI130:AI130)=0,"",AJ130-LOOKUP(2,1/(AI130:AI130&lt;&gt;""),AI130:AI130)))</t>
        </is>
      </c>
      <c r="AX130" s="49" t="inlineStr">
        <is>
          <t>IF(OR(F130="",AK130=""),"",IF(COUNT(AI130:AJ130)=0,"",AK130-LOOKUP(2,1/(AI130:AJ130&lt;&gt;""),AI130:AJ130)))</t>
        </is>
      </c>
      <c r="AY130" s="49" t="inlineStr">
        <is>
          <t>IF(OR(F130="",AL130=""),"",IF(COUNT(AI130:AK130)=0,"",AL130-LOOKUP(2,1/(AI130:AK130&lt;&gt;""),AI130:AK130)))</t>
        </is>
      </c>
      <c r="AZ130" s="49" t="inlineStr">
        <is>
          <t>IF(OR(F130="",AM130=""),"",IF(COUNT(AI130:AL130)=0,"",AM130-LOOKUP(2,1/(AI130:AL130&lt;&gt;""),AI130:AL130)))</t>
        </is>
      </c>
      <c r="BA130" s="49" t="inlineStr">
        <is>
          <t>IF(OR(F130="",AN130=""),"",IF(COUNT(AI130:AM130)=0,"",AN130-LOOKUP(2,1/(AI130:AM130&lt;&gt;""),AI130:AM130)))</t>
        </is>
      </c>
      <c r="BB130" s="49" t="inlineStr">
        <is>
          <t>IF(OR(F130="",AO130=""),"",IF(COUNT(AI130:AN130)=0,"",AO130-LOOKUP(2,1/(AI130:AN130&lt;&gt;""),AI130:AN130)))</t>
        </is>
      </c>
      <c r="BC130" s="49" t="inlineStr">
        <is>
          <t>IF(OR(F130="",AP130=""),"",IF(COUNT(AI130:AO130)=0,"",AP130-LOOKUP(2,1/(AI130:AO130&lt;&gt;""),AI130:AO130)))</t>
        </is>
      </c>
      <c r="BD130" s="49" t="inlineStr">
        <is>
          <t>IF(OR(F130="",AQ130=""),"",IF(COUNT(AI130:AP130)=0,"",AQ130-LOOKUP(2,1/(AI130:AP130&lt;&gt;""),AI130:AP130)))</t>
        </is>
      </c>
      <c r="BE130" s="49" t="inlineStr">
        <is>
          <t>IF(OR(F130="",AR130=""),"",IF(COUNT(AI130:AQ130)=0,"",AR130-LOOKUP(2,1/(AI130:AQ130&lt;&gt;""),AI130:AQ130)))</t>
        </is>
      </c>
      <c r="BF130" s="49" t="inlineStr">
        <is>
          <t>IF(OR(F130="",AS130=""),"",IF(COUNT(AI130:AR130)=0,"",AS130-LOOKUP(2,1/(AI130:AR130&lt;&gt;""),AI130:AR130)))</t>
        </is>
      </c>
      <c r="BG130" s="49" t="inlineStr">
        <is>
          <t>IF(OR(F130="",AT130=""),"",IF(COUNT(AI130:AS130)=0,"",AT130-LOOKUP(2,1/(AI130:AS130&lt;&gt;""),AI130:AS130)))</t>
        </is>
      </c>
      <c r="BH130" s="49" t="inlineStr">
        <is>
          <t>IF(OR(F130="",AU130=""),"",IF(COUNT(AI130:AT130)=0,"",AU130-LOOKUP(2,1/(AI130:AT130&lt;&gt;""),AI130:AT130)))</t>
        </is>
      </c>
      <c r="BI130" s="49" t="inlineStr">
        <is>
          <t>IF(OR(F130="",AV130=""),"",IF(COUNT(AI130:AU130)=0,"",AV130-LOOKUP(2,1/(AI130:AU130&lt;&gt;""),AI130:AU130)))</t>
        </is>
      </c>
      <c r="BJ130" s="51" t="inlineStr">
        <is>
          <t>IF(J130="","All_Provinces",IFERROR(VLOOKUP(J130,'09_Lookups'!$A$4:$B$20,2,FALSE),"All_Provinces"))</t>
        </is>
      </c>
      <c r="BK130" s="51" t="inlineStr">
        <is>
          <t>IF(K130="","All_Districts",IFERROR(VLOOKUP(K130,'09_Lookups'!$E$4:$F$42,2,FALSE),"All_Districts"))</t>
        </is>
      </c>
    </row>
    <row r="131" ht="18" customHeight="1">
      <c r="A131" s="42" t="inlineStr">
        <is>
          <t>IF(F131="","",ROW()-3)</t>
        </is>
      </c>
      <c r="B131" s="44" t="n"/>
      <c r="C131" s="44" t="n"/>
      <c r="D131" s="44" t="n"/>
      <c r="E131" s="44" t="n"/>
      <c r="F131" s="44" t="n"/>
      <c r="G131" s="44" t="n"/>
      <c r="H131" s="44" t="n"/>
      <c r="I131" s="44" t="n"/>
      <c r="J131" s="44" t="n"/>
      <c r="K131" s="44" t="n"/>
      <c r="L131" s="44" t="n"/>
      <c r="M131" s="44" t="n"/>
      <c r="N131" s="44" t="n"/>
      <c r="O131" s="44" t="n"/>
      <c r="P131" s="44" t="n"/>
      <c r="Q131" s="44" t="n"/>
      <c r="R131" s="44" t="n"/>
      <c r="S131" s="45" t="n"/>
      <c r="T131" s="46" t="inlineStr">
        <is>
          <t>IF(AQ131="","",AQ131)</t>
        </is>
      </c>
      <c r="U131" s="47" t="n"/>
      <c r="V131" s="48" t="n"/>
      <c r="W131" s="47" t="n"/>
      <c r="X131" s="46" t="inlineStr">
        <is>
          <t>IF(W131&lt;&gt;"",W131,IF(OR(T131="",V131=""),"",EDATE(T131,V131)))</t>
        </is>
      </c>
      <c r="Y131" s="47" t="n"/>
      <c r="Z131" s="48" t="n"/>
      <c r="AA131" s="44" t="n"/>
      <c r="AB131" s="44" t="n"/>
      <c r="AC131" s="42" t="inlineStr">
        <is>
          <t>IF(F131="","",IF(COUNT(AI131:AV131)=0,IF(AA131="","Not started",AA131),SUBSTITUTE(LOOKUP(2,1/(AI131:AV131&lt;&gt;""),$AI$3:$AV$3),"Date: ","")))</t>
        </is>
      </c>
      <c r="AD131" s="49" t="inlineStr">
        <is>
          <t>IF(OR(F131="",COUNT(AI131:AV131)=0),"",TODAY()-LOOKUP(2,1/(AI131:AV131&lt;&gt;""),AI131:AV131))</t>
        </is>
      </c>
      <c r="AE131" s="49" t="inlineStr">
        <is>
          <t>IF(OR(F131="",COUNT(AI131:AV131)&lt;2),"",LOOKUP(2,1/(AI131:AV131&lt;&gt;""),AI131:AV131)-MIN(AI131:AV131))</t>
        </is>
      </c>
      <c r="AF131" s="49" t="inlineStr">
        <is>
          <t>IF(OR(AD131="",AC131="Not started",AC131=""),"",IFERROR(AD131-IF(VLOOKUP(AC131,'06_Status_Pipeline'!$B$3:$E$20,4,FALSE)="",0,VLOOKUP(AC131,'06_Status_Pipeline'!$B$3:$E$20,4,FALSE)),""))</t>
        </is>
      </c>
      <c r="AG131" s="42" t="inlineStr">
        <is>
          <t>IF(F131="","",IF(OR(AA131="Cancelled",AC131="Cancelled"),"Cancelled",IF(OR(AC131="Completed / Handover",Y131&lt;&gt;"",Z131&gt;=100),"Completed — on track",IF(O131="Not awarded",IF(U131="",IF(X131="","No planned date",IF(TODAY()&gt;X131,"Behind — past planned date",IF(X131-TODAY()&lt;=30,"At risk — close to off track","On track"))),IF(TODAY()&gt;U131,"Behind — award date passed",IF(U131-TODAY()&lt;=30,"At risk — close to off track","On track"))),IF(X131="","No planned date",IF(AND(TODAY()&gt;X131,OR(Z131="",Z131&lt;100)),"Behind — past end date",IF(AND(T131&lt;&gt;"",X131&lt;&gt;"",Z131&lt;&gt;"",(Z131&lt;100),((TODAY()-T131)/MAX(X131-T131,1)*100)-Z131&gt;15),"Behind — progress lag",IF(AND(X131-TODAY()&lt;=30,X131-TODAY()&gt;=0,OR(Z131="",Z131&lt;90)),"At risk — close to off track","On track"))))))))</t>
        </is>
      </c>
      <c r="AH131" s="49" t="inlineStr">
        <is>
          <t>IF(OR(F131="",AC131="Completed / Handover",AC131="Cancelled"),"",IF(O131="Not awarded",IF(U131&lt;&gt;"",U131-TODAY(),IF(X131="","",X131-TODAY())),IF(X131="","",X131-TODAY())))</t>
        </is>
      </c>
      <c r="AI131" s="47" t="n"/>
      <c r="AJ131" s="47" t="n"/>
      <c r="AK131" s="47" t="n"/>
      <c r="AL131" s="47" t="n"/>
      <c r="AM131" s="47" t="n"/>
      <c r="AN131" s="47" t="n"/>
      <c r="AO131" s="47" t="n"/>
      <c r="AP131" s="47" t="n"/>
      <c r="AQ131" s="47" t="n"/>
      <c r="AR131" s="47" t="n"/>
      <c r="AS131" s="47" t="n"/>
      <c r="AT131" s="50" t="n"/>
      <c r="AU131" s="50" t="n"/>
      <c r="AV131" s="50" t="n"/>
      <c r="AW131" s="49" t="inlineStr">
        <is>
          <t>IF(OR(F131="",AJ131=""),"",IF(COUNT(AI131:AI131)=0,"",AJ131-LOOKUP(2,1/(AI131:AI131&lt;&gt;""),AI131:AI131)))</t>
        </is>
      </c>
      <c r="AX131" s="49" t="inlineStr">
        <is>
          <t>IF(OR(F131="",AK131=""),"",IF(COUNT(AI131:AJ131)=0,"",AK131-LOOKUP(2,1/(AI131:AJ131&lt;&gt;""),AI131:AJ131)))</t>
        </is>
      </c>
      <c r="AY131" s="49" t="inlineStr">
        <is>
          <t>IF(OR(F131="",AL131=""),"",IF(COUNT(AI131:AK131)=0,"",AL131-LOOKUP(2,1/(AI131:AK131&lt;&gt;""),AI131:AK131)))</t>
        </is>
      </c>
      <c r="AZ131" s="49" t="inlineStr">
        <is>
          <t>IF(OR(F131="",AM131=""),"",IF(COUNT(AI131:AL131)=0,"",AM131-LOOKUP(2,1/(AI131:AL131&lt;&gt;""),AI131:AL131)))</t>
        </is>
      </c>
      <c r="BA131" s="49" t="inlineStr">
        <is>
          <t>IF(OR(F131="",AN131=""),"",IF(COUNT(AI131:AM131)=0,"",AN131-LOOKUP(2,1/(AI131:AM131&lt;&gt;""),AI131:AM131)))</t>
        </is>
      </c>
      <c r="BB131" s="49" t="inlineStr">
        <is>
          <t>IF(OR(F131="",AO131=""),"",IF(COUNT(AI131:AN131)=0,"",AO131-LOOKUP(2,1/(AI131:AN131&lt;&gt;""),AI131:AN131)))</t>
        </is>
      </c>
      <c r="BC131" s="49" t="inlineStr">
        <is>
          <t>IF(OR(F131="",AP131=""),"",IF(COUNT(AI131:AO131)=0,"",AP131-LOOKUP(2,1/(AI131:AO131&lt;&gt;""),AI131:AO131)))</t>
        </is>
      </c>
      <c r="BD131" s="49" t="inlineStr">
        <is>
          <t>IF(OR(F131="",AQ131=""),"",IF(COUNT(AI131:AP131)=0,"",AQ131-LOOKUP(2,1/(AI131:AP131&lt;&gt;""),AI131:AP131)))</t>
        </is>
      </c>
      <c r="BE131" s="49" t="inlineStr">
        <is>
          <t>IF(OR(F131="",AR131=""),"",IF(COUNT(AI131:AQ131)=0,"",AR131-LOOKUP(2,1/(AI131:AQ131&lt;&gt;""),AI131:AQ131)))</t>
        </is>
      </c>
      <c r="BF131" s="49" t="inlineStr">
        <is>
          <t>IF(OR(F131="",AS131=""),"",IF(COUNT(AI131:AR131)=0,"",AS131-LOOKUP(2,1/(AI131:AR131&lt;&gt;""),AI131:AR131)))</t>
        </is>
      </c>
      <c r="BG131" s="49" t="inlineStr">
        <is>
          <t>IF(OR(F131="",AT131=""),"",IF(COUNT(AI131:AS131)=0,"",AT131-LOOKUP(2,1/(AI131:AS131&lt;&gt;""),AI131:AS131)))</t>
        </is>
      </c>
      <c r="BH131" s="49" t="inlineStr">
        <is>
          <t>IF(OR(F131="",AU131=""),"",IF(COUNT(AI131:AT131)=0,"",AU131-LOOKUP(2,1/(AI131:AT131&lt;&gt;""),AI131:AT131)))</t>
        </is>
      </c>
      <c r="BI131" s="49" t="inlineStr">
        <is>
          <t>IF(OR(F131="",AV131=""),"",IF(COUNT(AI131:AU131)=0,"",AV131-LOOKUP(2,1/(AI131:AU131&lt;&gt;""),AI131:AU131)))</t>
        </is>
      </c>
      <c r="BJ131" s="51" t="inlineStr">
        <is>
          <t>IF(J131="","All_Provinces",IFERROR(VLOOKUP(J131,'09_Lookups'!$A$4:$B$20,2,FALSE),"All_Provinces"))</t>
        </is>
      </c>
      <c r="BK131" s="51" t="inlineStr">
        <is>
          <t>IF(K131="","All_Districts",IFERROR(VLOOKUP(K131,'09_Lookups'!$E$4:$F$42,2,FALSE),"All_Districts"))</t>
        </is>
      </c>
    </row>
    <row r="132" ht="18" customHeight="1">
      <c r="A132" s="42" t="inlineStr">
        <is>
          <t>IF(F132="","",ROW()-3)</t>
        </is>
      </c>
      <c r="B132" s="52" t="n"/>
      <c r="C132" s="52" t="n"/>
      <c r="D132" s="52" t="n"/>
      <c r="E132" s="52" t="n"/>
      <c r="F132" s="52" t="n"/>
      <c r="G132" s="52" t="n"/>
      <c r="H132" s="52" t="n"/>
      <c r="I132" s="52" t="n"/>
      <c r="J132" s="52" t="n"/>
      <c r="K132" s="52" t="n"/>
      <c r="L132" s="52" t="n"/>
      <c r="M132" s="52" t="n"/>
      <c r="N132" s="52" t="n"/>
      <c r="O132" s="52" t="n"/>
      <c r="P132" s="52" t="n"/>
      <c r="Q132" s="52" t="n"/>
      <c r="R132" s="52" t="n"/>
      <c r="S132" s="53" t="n"/>
      <c r="T132" s="46" t="inlineStr">
        <is>
          <t>IF(AQ132="","",AQ132)</t>
        </is>
      </c>
      <c r="U132" s="54" t="n"/>
      <c r="V132" s="55" t="n"/>
      <c r="W132" s="54" t="n"/>
      <c r="X132" s="46" t="inlineStr">
        <is>
          <t>IF(W132&lt;&gt;"",W132,IF(OR(T132="",V132=""),"",EDATE(T132,V132)))</t>
        </is>
      </c>
      <c r="Y132" s="54" t="n"/>
      <c r="Z132" s="55" t="n"/>
      <c r="AA132" s="52" t="n"/>
      <c r="AB132" s="52" t="n"/>
      <c r="AC132" s="42" t="inlineStr">
        <is>
          <t>IF(F132="","",IF(COUNT(AI132:AV132)=0,IF(AA132="","Not started",AA132),SUBSTITUTE(LOOKUP(2,1/(AI132:AV132&lt;&gt;""),$AI$3:$AV$3),"Date: ","")))</t>
        </is>
      </c>
      <c r="AD132" s="49" t="inlineStr">
        <is>
          <t>IF(OR(F132="",COUNT(AI132:AV132)=0),"",TODAY()-LOOKUP(2,1/(AI132:AV132&lt;&gt;""),AI132:AV132))</t>
        </is>
      </c>
      <c r="AE132" s="49" t="inlineStr">
        <is>
          <t>IF(OR(F132="",COUNT(AI132:AV132)&lt;2),"",LOOKUP(2,1/(AI132:AV132&lt;&gt;""),AI132:AV132)-MIN(AI132:AV132))</t>
        </is>
      </c>
      <c r="AF132" s="49" t="inlineStr">
        <is>
          <t>IF(OR(AD132="",AC132="Not started",AC132=""),"",IFERROR(AD132-IF(VLOOKUP(AC132,'06_Status_Pipeline'!$B$3:$E$20,4,FALSE)="",0,VLOOKUP(AC132,'06_Status_Pipeline'!$B$3:$E$20,4,FALSE)),""))</t>
        </is>
      </c>
      <c r="AG132" s="42" t="inlineStr">
        <is>
          <t>IF(F132="","",IF(OR(AA132="Cancelled",AC132="Cancelled"),"Cancelled",IF(OR(AC132="Completed / Handover",Y132&lt;&gt;"",Z132&gt;=100),"Completed — on track",IF(O132="Not awarded",IF(U132="",IF(X132="","No planned date",IF(TODAY()&gt;X132,"Behind — past planned date",IF(X132-TODAY()&lt;=30,"At risk — close to off track","On track"))),IF(TODAY()&gt;U132,"Behind — award date passed",IF(U132-TODAY()&lt;=30,"At risk — close to off track","On track"))),IF(X132="","No planned date",IF(AND(TODAY()&gt;X132,OR(Z132="",Z132&lt;100)),"Behind — past end date",IF(AND(T132&lt;&gt;"",X132&lt;&gt;"",Z132&lt;&gt;"",(Z132&lt;100),((TODAY()-T132)/MAX(X132-T132,1)*100)-Z132&gt;15),"Behind — progress lag",IF(AND(X132-TODAY()&lt;=30,X132-TODAY()&gt;=0,OR(Z132="",Z132&lt;90)),"At risk — close to off track","On track"))))))))</t>
        </is>
      </c>
      <c r="AH132" s="49" t="inlineStr">
        <is>
          <t>IF(OR(F132="",AC132="Completed / Handover",AC132="Cancelled"),"",IF(O132="Not awarded",IF(U132&lt;&gt;"",U132-TODAY(),IF(X132="","",X132-TODAY())),IF(X132="","",X132-TODAY())))</t>
        </is>
      </c>
      <c r="AI132" s="54" t="n"/>
      <c r="AJ132" s="54" t="n"/>
      <c r="AK132" s="54" t="n"/>
      <c r="AL132" s="54" t="n"/>
      <c r="AM132" s="54" t="n"/>
      <c r="AN132" s="54" t="n"/>
      <c r="AO132" s="54" t="n"/>
      <c r="AP132" s="54" t="n"/>
      <c r="AQ132" s="54" t="n"/>
      <c r="AR132" s="54" t="n"/>
      <c r="AS132" s="54" t="n"/>
      <c r="AT132" s="50" t="n"/>
      <c r="AU132" s="50" t="n"/>
      <c r="AV132" s="50" t="n"/>
      <c r="AW132" s="49" t="inlineStr">
        <is>
          <t>IF(OR(F132="",AJ132=""),"",IF(COUNT(AI132:AI132)=0,"",AJ132-LOOKUP(2,1/(AI132:AI132&lt;&gt;""),AI132:AI132)))</t>
        </is>
      </c>
      <c r="AX132" s="49" t="inlineStr">
        <is>
          <t>IF(OR(F132="",AK132=""),"",IF(COUNT(AI132:AJ132)=0,"",AK132-LOOKUP(2,1/(AI132:AJ132&lt;&gt;""),AI132:AJ132)))</t>
        </is>
      </c>
      <c r="AY132" s="49" t="inlineStr">
        <is>
          <t>IF(OR(F132="",AL132=""),"",IF(COUNT(AI132:AK132)=0,"",AL132-LOOKUP(2,1/(AI132:AK132&lt;&gt;""),AI132:AK132)))</t>
        </is>
      </c>
      <c r="AZ132" s="49" t="inlineStr">
        <is>
          <t>IF(OR(F132="",AM132=""),"",IF(COUNT(AI132:AL132)=0,"",AM132-LOOKUP(2,1/(AI132:AL132&lt;&gt;""),AI132:AL132)))</t>
        </is>
      </c>
      <c r="BA132" s="49" t="inlineStr">
        <is>
          <t>IF(OR(F132="",AN132=""),"",IF(COUNT(AI132:AM132)=0,"",AN132-LOOKUP(2,1/(AI132:AM132&lt;&gt;""),AI132:AM132)))</t>
        </is>
      </c>
      <c r="BB132" s="49" t="inlineStr">
        <is>
          <t>IF(OR(F132="",AO132=""),"",IF(COUNT(AI132:AN132)=0,"",AO132-LOOKUP(2,1/(AI132:AN132&lt;&gt;""),AI132:AN132)))</t>
        </is>
      </c>
      <c r="BC132" s="49" t="inlineStr">
        <is>
          <t>IF(OR(F132="",AP132=""),"",IF(COUNT(AI132:AO132)=0,"",AP132-LOOKUP(2,1/(AI132:AO132&lt;&gt;""),AI132:AO132)))</t>
        </is>
      </c>
      <c r="BD132" s="49" t="inlineStr">
        <is>
          <t>IF(OR(F132="",AQ132=""),"",IF(COUNT(AI132:AP132)=0,"",AQ132-LOOKUP(2,1/(AI132:AP132&lt;&gt;""),AI132:AP132)))</t>
        </is>
      </c>
      <c r="BE132" s="49" t="inlineStr">
        <is>
          <t>IF(OR(F132="",AR132=""),"",IF(COUNT(AI132:AQ132)=0,"",AR132-LOOKUP(2,1/(AI132:AQ132&lt;&gt;""),AI132:AQ132)))</t>
        </is>
      </c>
      <c r="BF132" s="49" t="inlineStr">
        <is>
          <t>IF(OR(F132="",AS132=""),"",IF(COUNT(AI132:AR132)=0,"",AS132-LOOKUP(2,1/(AI132:AR132&lt;&gt;""),AI132:AR132)))</t>
        </is>
      </c>
      <c r="BG132" s="49" t="inlineStr">
        <is>
          <t>IF(OR(F132="",AT132=""),"",IF(COUNT(AI132:AS132)=0,"",AT132-LOOKUP(2,1/(AI132:AS132&lt;&gt;""),AI132:AS132)))</t>
        </is>
      </c>
      <c r="BH132" s="49" t="inlineStr">
        <is>
          <t>IF(OR(F132="",AU132=""),"",IF(COUNT(AI132:AT132)=0,"",AU132-LOOKUP(2,1/(AI132:AT132&lt;&gt;""),AI132:AT132)))</t>
        </is>
      </c>
      <c r="BI132" s="49" t="inlineStr">
        <is>
          <t>IF(OR(F132="",AV132=""),"",IF(COUNT(AI132:AU132)=0,"",AV132-LOOKUP(2,1/(AI132:AU132&lt;&gt;""),AI132:AU132)))</t>
        </is>
      </c>
      <c r="BJ132" s="51" t="inlineStr">
        <is>
          <t>IF(J132="","All_Provinces",IFERROR(VLOOKUP(J132,'09_Lookups'!$A$4:$B$20,2,FALSE),"All_Provinces"))</t>
        </is>
      </c>
      <c r="BK132" s="51" t="inlineStr">
        <is>
          <t>IF(K132="","All_Districts",IFERROR(VLOOKUP(K132,'09_Lookups'!$E$4:$F$42,2,FALSE),"All_Districts"))</t>
        </is>
      </c>
    </row>
    <row r="133" ht="18" customHeight="1">
      <c r="A133" s="42" t="inlineStr">
        <is>
          <t>IF(F133="","",ROW()-3)</t>
        </is>
      </c>
      <c r="B133" s="44" t="n"/>
      <c r="C133" s="44" t="n"/>
      <c r="D133" s="44" t="n"/>
      <c r="E133" s="44" t="n"/>
      <c r="F133" s="44" t="n"/>
      <c r="G133" s="44" t="n"/>
      <c r="H133" s="44" t="n"/>
      <c r="I133" s="44" t="n"/>
      <c r="J133" s="44" t="n"/>
      <c r="K133" s="44" t="n"/>
      <c r="L133" s="44" t="n"/>
      <c r="M133" s="44" t="n"/>
      <c r="N133" s="44" t="n"/>
      <c r="O133" s="44" t="n"/>
      <c r="P133" s="44" t="n"/>
      <c r="Q133" s="44" t="n"/>
      <c r="R133" s="44" t="n"/>
      <c r="S133" s="45" t="n"/>
      <c r="T133" s="46" t="inlineStr">
        <is>
          <t>IF(AQ133="","",AQ133)</t>
        </is>
      </c>
      <c r="U133" s="47" t="n"/>
      <c r="V133" s="48" t="n"/>
      <c r="W133" s="47" t="n"/>
      <c r="X133" s="46" t="inlineStr">
        <is>
          <t>IF(W133&lt;&gt;"",W133,IF(OR(T133="",V133=""),"",EDATE(T133,V133)))</t>
        </is>
      </c>
      <c r="Y133" s="47" t="n"/>
      <c r="Z133" s="48" t="n"/>
      <c r="AA133" s="44" t="n"/>
      <c r="AB133" s="44" t="n"/>
      <c r="AC133" s="42" t="inlineStr">
        <is>
          <t>IF(F133="","",IF(COUNT(AI133:AV133)=0,IF(AA133="","Not started",AA133),SUBSTITUTE(LOOKUP(2,1/(AI133:AV133&lt;&gt;""),$AI$3:$AV$3),"Date: ","")))</t>
        </is>
      </c>
      <c r="AD133" s="49" t="inlineStr">
        <is>
          <t>IF(OR(F133="",COUNT(AI133:AV133)=0),"",TODAY()-LOOKUP(2,1/(AI133:AV133&lt;&gt;""),AI133:AV133))</t>
        </is>
      </c>
      <c r="AE133" s="49" t="inlineStr">
        <is>
          <t>IF(OR(F133="",COUNT(AI133:AV133)&lt;2),"",LOOKUP(2,1/(AI133:AV133&lt;&gt;""),AI133:AV133)-MIN(AI133:AV133))</t>
        </is>
      </c>
      <c r="AF133" s="49" t="inlineStr">
        <is>
          <t>IF(OR(AD133="",AC133="Not started",AC133=""),"",IFERROR(AD133-IF(VLOOKUP(AC133,'06_Status_Pipeline'!$B$3:$E$20,4,FALSE)="",0,VLOOKUP(AC133,'06_Status_Pipeline'!$B$3:$E$20,4,FALSE)),""))</t>
        </is>
      </c>
      <c r="AG133" s="42" t="inlineStr">
        <is>
          <t>IF(F133="","",IF(OR(AA133="Cancelled",AC133="Cancelled"),"Cancelled",IF(OR(AC133="Completed / Handover",Y133&lt;&gt;"",Z133&gt;=100),"Completed — on track",IF(O133="Not awarded",IF(U133="",IF(X133="","No planned date",IF(TODAY()&gt;X133,"Behind — past planned date",IF(X133-TODAY()&lt;=30,"At risk — close to off track","On track"))),IF(TODAY()&gt;U133,"Behind — award date passed",IF(U133-TODAY()&lt;=30,"At risk — close to off track","On track"))),IF(X133="","No planned date",IF(AND(TODAY()&gt;X133,OR(Z133="",Z133&lt;100)),"Behind — past end date",IF(AND(T133&lt;&gt;"",X133&lt;&gt;"",Z133&lt;&gt;"",(Z133&lt;100),((TODAY()-T133)/MAX(X133-T133,1)*100)-Z133&gt;15),"Behind — progress lag",IF(AND(X133-TODAY()&lt;=30,X133-TODAY()&gt;=0,OR(Z133="",Z133&lt;90)),"At risk — close to off track","On track"))))))))</t>
        </is>
      </c>
      <c r="AH133" s="49" t="inlineStr">
        <is>
          <t>IF(OR(F133="",AC133="Completed / Handover",AC133="Cancelled"),"",IF(O133="Not awarded",IF(U133&lt;&gt;"",U133-TODAY(),IF(X133="","",X133-TODAY())),IF(X133="","",X133-TODAY())))</t>
        </is>
      </c>
      <c r="AI133" s="47" t="n"/>
      <c r="AJ133" s="47" t="n"/>
      <c r="AK133" s="47" t="n"/>
      <c r="AL133" s="47" t="n"/>
      <c r="AM133" s="47" t="n"/>
      <c r="AN133" s="47" t="n"/>
      <c r="AO133" s="47" t="n"/>
      <c r="AP133" s="47" t="n"/>
      <c r="AQ133" s="47" t="n"/>
      <c r="AR133" s="47" t="n"/>
      <c r="AS133" s="47" t="n"/>
      <c r="AT133" s="50" t="n"/>
      <c r="AU133" s="50" t="n"/>
      <c r="AV133" s="50" t="n"/>
      <c r="AW133" s="49" t="inlineStr">
        <is>
          <t>IF(OR(F133="",AJ133=""),"",IF(COUNT(AI133:AI133)=0,"",AJ133-LOOKUP(2,1/(AI133:AI133&lt;&gt;""),AI133:AI133)))</t>
        </is>
      </c>
      <c r="AX133" s="49" t="inlineStr">
        <is>
          <t>IF(OR(F133="",AK133=""),"",IF(COUNT(AI133:AJ133)=0,"",AK133-LOOKUP(2,1/(AI133:AJ133&lt;&gt;""),AI133:AJ133)))</t>
        </is>
      </c>
      <c r="AY133" s="49" t="inlineStr">
        <is>
          <t>IF(OR(F133="",AL133=""),"",IF(COUNT(AI133:AK133)=0,"",AL133-LOOKUP(2,1/(AI133:AK133&lt;&gt;""),AI133:AK133)))</t>
        </is>
      </c>
      <c r="AZ133" s="49" t="inlineStr">
        <is>
          <t>IF(OR(F133="",AM133=""),"",IF(COUNT(AI133:AL133)=0,"",AM133-LOOKUP(2,1/(AI133:AL133&lt;&gt;""),AI133:AL133)))</t>
        </is>
      </c>
      <c r="BA133" s="49" t="inlineStr">
        <is>
          <t>IF(OR(F133="",AN133=""),"",IF(COUNT(AI133:AM133)=0,"",AN133-LOOKUP(2,1/(AI133:AM133&lt;&gt;""),AI133:AM133)))</t>
        </is>
      </c>
      <c r="BB133" s="49" t="inlineStr">
        <is>
          <t>IF(OR(F133="",AO133=""),"",IF(COUNT(AI133:AN133)=0,"",AO133-LOOKUP(2,1/(AI133:AN133&lt;&gt;""),AI133:AN133)))</t>
        </is>
      </c>
      <c r="BC133" s="49" t="inlineStr">
        <is>
          <t>IF(OR(F133="",AP133=""),"",IF(COUNT(AI133:AO133)=0,"",AP133-LOOKUP(2,1/(AI133:AO133&lt;&gt;""),AI133:AO133)))</t>
        </is>
      </c>
      <c r="BD133" s="49" t="inlineStr">
        <is>
          <t>IF(OR(F133="",AQ133=""),"",IF(COUNT(AI133:AP133)=0,"",AQ133-LOOKUP(2,1/(AI133:AP133&lt;&gt;""),AI133:AP133)))</t>
        </is>
      </c>
      <c r="BE133" s="49" t="inlineStr">
        <is>
          <t>IF(OR(F133="",AR133=""),"",IF(COUNT(AI133:AQ133)=0,"",AR133-LOOKUP(2,1/(AI133:AQ133&lt;&gt;""),AI133:AQ133)))</t>
        </is>
      </c>
      <c r="BF133" s="49" t="inlineStr">
        <is>
          <t>IF(OR(F133="",AS133=""),"",IF(COUNT(AI133:AR133)=0,"",AS133-LOOKUP(2,1/(AI133:AR133&lt;&gt;""),AI133:AR133)))</t>
        </is>
      </c>
      <c r="BG133" s="49" t="inlineStr">
        <is>
          <t>IF(OR(F133="",AT133=""),"",IF(COUNT(AI133:AS133)=0,"",AT133-LOOKUP(2,1/(AI133:AS133&lt;&gt;""),AI133:AS133)))</t>
        </is>
      </c>
      <c r="BH133" s="49" t="inlineStr">
        <is>
          <t>IF(OR(F133="",AU133=""),"",IF(COUNT(AI133:AT133)=0,"",AU133-LOOKUP(2,1/(AI133:AT133&lt;&gt;""),AI133:AT133)))</t>
        </is>
      </c>
      <c r="BI133" s="49" t="inlineStr">
        <is>
          <t>IF(OR(F133="",AV133=""),"",IF(COUNT(AI133:AU133)=0,"",AV133-LOOKUP(2,1/(AI133:AU133&lt;&gt;""),AI133:AU133)))</t>
        </is>
      </c>
      <c r="BJ133" s="51" t="inlineStr">
        <is>
          <t>IF(J133="","All_Provinces",IFERROR(VLOOKUP(J133,'09_Lookups'!$A$4:$B$20,2,FALSE),"All_Provinces"))</t>
        </is>
      </c>
      <c r="BK133" s="51" t="inlineStr">
        <is>
          <t>IF(K133="","All_Districts",IFERROR(VLOOKUP(K133,'09_Lookups'!$E$4:$F$42,2,FALSE),"All_Districts"))</t>
        </is>
      </c>
    </row>
    <row r="134" ht="18" customHeight="1">
      <c r="A134" s="42" t="inlineStr">
        <is>
          <t>IF(F134="","",ROW()-3)</t>
        </is>
      </c>
      <c r="B134" s="52" t="n"/>
      <c r="C134" s="52" t="n"/>
      <c r="D134" s="52" t="n"/>
      <c r="E134" s="52" t="n"/>
      <c r="F134" s="52" t="n"/>
      <c r="G134" s="52" t="n"/>
      <c r="H134" s="52" t="n"/>
      <c r="I134" s="52" t="n"/>
      <c r="J134" s="52" t="n"/>
      <c r="K134" s="52" t="n"/>
      <c r="L134" s="52" t="n"/>
      <c r="M134" s="52" t="n"/>
      <c r="N134" s="52" t="n"/>
      <c r="O134" s="52" t="n"/>
      <c r="P134" s="52" t="n"/>
      <c r="Q134" s="52" t="n"/>
      <c r="R134" s="52" t="n"/>
      <c r="S134" s="53" t="n"/>
      <c r="T134" s="46" t="inlineStr">
        <is>
          <t>IF(AQ134="","",AQ134)</t>
        </is>
      </c>
      <c r="U134" s="54" t="n"/>
      <c r="V134" s="55" t="n"/>
      <c r="W134" s="54" t="n"/>
      <c r="X134" s="46" t="inlineStr">
        <is>
          <t>IF(W134&lt;&gt;"",W134,IF(OR(T134="",V134=""),"",EDATE(T134,V134)))</t>
        </is>
      </c>
      <c r="Y134" s="54" t="n"/>
      <c r="Z134" s="55" t="n"/>
      <c r="AA134" s="52" t="n"/>
      <c r="AB134" s="52" t="n"/>
      <c r="AC134" s="42" t="inlineStr">
        <is>
          <t>IF(F134="","",IF(COUNT(AI134:AV134)=0,IF(AA134="","Not started",AA134),SUBSTITUTE(LOOKUP(2,1/(AI134:AV134&lt;&gt;""),$AI$3:$AV$3),"Date: ","")))</t>
        </is>
      </c>
      <c r="AD134" s="49" t="inlineStr">
        <is>
          <t>IF(OR(F134="",COUNT(AI134:AV134)=0),"",TODAY()-LOOKUP(2,1/(AI134:AV134&lt;&gt;""),AI134:AV134))</t>
        </is>
      </c>
      <c r="AE134" s="49" t="inlineStr">
        <is>
          <t>IF(OR(F134="",COUNT(AI134:AV134)&lt;2),"",LOOKUP(2,1/(AI134:AV134&lt;&gt;""),AI134:AV134)-MIN(AI134:AV134))</t>
        </is>
      </c>
      <c r="AF134" s="49" t="inlineStr">
        <is>
          <t>IF(OR(AD134="",AC134="Not started",AC134=""),"",IFERROR(AD134-IF(VLOOKUP(AC134,'06_Status_Pipeline'!$B$3:$E$20,4,FALSE)="",0,VLOOKUP(AC134,'06_Status_Pipeline'!$B$3:$E$20,4,FALSE)),""))</t>
        </is>
      </c>
      <c r="AG134" s="42" t="inlineStr">
        <is>
          <t>IF(F134="","",IF(OR(AA134="Cancelled",AC134="Cancelled"),"Cancelled",IF(OR(AC134="Completed / Handover",Y134&lt;&gt;"",Z134&gt;=100),"Completed — on track",IF(O134="Not awarded",IF(U134="",IF(X134="","No planned date",IF(TODAY()&gt;X134,"Behind — past planned date",IF(X134-TODAY()&lt;=30,"At risk — close to off track","On track"))),IF(TODAY()&gt;U134,"Behind — award date passed",IF(U134-TODAY()&lt;=30,"At risk — close to off track","On track"))),IF(X134="","No planned date",IF(AND(TODAY()&gt;X134,OR(Z134="",Z134&lt;100)),"Behind — past end date",IF(AND(T134&lt;&gt;"",X134&lt;&gt;"",Z134&lt;&gt;"",(Z134&lt;100),((TODAY()-T134)/MAX(X134-T134,1)*100)-Z134&gt;15),"Behind — progress lag",IF(AND(X134-TODAY()&lt;=30,X134-TODAY()&gt;=0,OR(Z134="",Z134&lt;90)),"At risk — close to off track","On track"))))))))</t>
        </is>
      </c>
      <c r="AH134" s="49" t="inlineStr">
        <is>
          <t>IF(OR(F134="",AC134="Completed / Handover",AC134="Cancelled"),"",IF(O134="Not awarded",IF(U134&lt;&gt;"",U134-TODAY(),IF(X134="","",X134-TODAY())),IF(X134="","",X134-TODAY())))</t>
        </is>
      </c>
      <c r="AI134" s="54" t="n"/>
      <c r="AJ134" s="54" t="n"/>
      <c r="AK134" s="54" t="n"/>
      <c r="AL134" s="54" t="n"/>
      <c r="AM134" s="54" t="n"/>
      <c r="AN134" s="54" t="n"/>
      <c r="AO134" s="54" t="n"/>
      <c r="AP134" s="54" t="n"/>
      <c r="AQ134" s="54" t="n"/>
      <c r="AR134" s="54" t="n"/>
      <c r="AS134" s="54" t="n"/>
      <c r="AT134" s="50" t="n"/>
      <c r="AU134" s="50" t="n"/>
      <c r="AV134" s="50" t="n"/>
      <c r="AW134" s="49" t="inlineStr">
        <is>
          <t>IF(OR(F134="",AJ134=""),"",IF(COUNT(AI134:AI134)=0,"",AJ134-LOOKUP(2,1/(AI134:AI134&lt;&gt;""),AI134:AI134)))</t>
        </is>
      </c>
      <c r="AX134" s="49" t="inlineStr">
        <is>
          <t>IF(OR(F134="",AK134=""),"",IF(COUNT(AI134:AJ134)=0,"",AK134-LOOKUP(2,1/(AI134:AJ134&lt;&gt;""),AI134:AJ134)))</t>
        </is>
      </c>
      <c r="AY134" s="49" t="inlineStr">
        <is>
          <t>IF(OR(F134="",AL134=""),"",IF(COUNT(AI134:AK134)=0,"",AL134-LOOKUP(2,1/(AI134:AK134&lt;&gt;""),AI134:AK134)))</t>
        </is>
      </c>
      <c r="AZ134" s="49" t="inlineStr">
        <is>
          <t>IF(OR(F134="",AM134=""),"",IF(COUNT(AI134:AL134)=0,"",AM134-LOOKUP(2,1/(AI134:AL134&lt;&gt;""),AI134:AL134)))</t>
        </is>
      </c>
      <c r="BA134" s="49" t="inlineStr">
        <is>
          <t>IF(OR(F134="",AN134=""),"",IF(COUNT(AI134:AM134)=0,"",AN134-LOOKUP(2,1/(AI134:AM134&lt;&gt;""),AI134:AM134)))</t>
        </is>
      </c>
      <c r="BB134" s="49" t="inlineStr">
        <is>
          <t>IF(OR(F134="",AO134=""),"",IF(COUNT(AI134:AN134)=0,"",AO134-LOOKUP(2,1/(AI134:AN134&lt;&gt;""),AI134:AN134)))</t>
        </is>
      </c>
      <c r="BC134" s="49" t="inlineStr">
        <is>
          <t>IF(OR(F134="",AP134=""),"",IF(COUNT(AI134:AO134)=0,"",AP134-LOOKUP(2,1/(AI134:AO134&lt;&gt;""),AI134:AO134)))</t>
        </is>
      </c>
      <c r="BD134" s="49" t="inlineStr">
        <is>
          <t>IF(OR(F134="",AQ134=""),"",IF(COUNT(AI134:AP134)=0,"",AQ134-LOOKUP(2,1/(AI134:AP134&lt;&gt;""),AI134:AP134)))</t>
        </is>
      </c>
      <c r="BE134" s="49" t="inlineStr">
        <is>
          <t>IF(OR(F134="",AR134=""),"",IF(COUNT(AI134:AQ134)=0,"",AR134-LOOKUP(2,1/(AI134:AQ134&lt;&gt;""),AI134:AQ134)))</t>
        </is>
      </c>
      <c r="BF134" s="49" t="inlineStr">
        <is>
          <t>IF(OR(F134="",AS134=""),"",IF(COUNT(AI134:AR134)=0,"",AS134-LOOKUP(2,1/(AI134:AR134&lt;&gt;""),AI134:AR134)))</t>
        </is>
      </c>
      <c r="BG134" s="49" t="inlineStr">
        <is>
          <t>IF(OR(F134="",AT134=""),"",IF(COUNT(AI134:AS134)=0,"",AT134-LOOKUP(2,1/(AI134:AS134&lt;&gt;""),AI134:AS134)))</t>
        </is>
      </c>
      <c r="BH134" s="49" t="inlineStr">
        <is>
          <t>IF(OR(F134="",AU134=""),"",IF(COUNT(AI134:AT134)=0,"",AU134-LOOKUP(2,1/(AI134:AT134&lt;&gt;""),AI134:AT134)))</t>
        </is>
      </c>
      <c r="BI134" s="49" t="inlineStr">
        <is>
          <t>IF(OR(F134="",AV134=""),"",IF(COUNT(AI134:AU134)=0,"",AV134-LOOKUP(2,1/(AI134:AU134&lt;&gt;""),AI134:AU134)))</t>
        </is>
      </c>
      <c r="BJ134" s="51" t="inlineStr">
        <is>
          <t>IF(J134="","All_Provinces",IFERROR(VLOOKUP(J134,'09_Lookups'!$A$4:$B$20,2,FALSE),"All_Provinces"))</t>
        </is>
      </c>
      <c r="BK134" s="51" t="inlineStr">
        <is>
          <t>IF(K134="","All_Districts",IFERROR(VLOOKUP(K134,'09_Lookups'!$E$4:$F$42,2,FALSE),"All_Districts"))</t>
        </is>
      </c>
    </row>
    <row r="135" ht="18" customHeight="1">
      <c r="A135" s="42" t="inlineStr">
        <is>
          <t>IF(F135="","",ROW()-3)</t>
        </is>
      </c>
      <c r="B135" s="44" t="n"/>
      <c r="C135" s="44" t="n"/>
      <c r="D135" s="44" t="n"/>
      <c r="E135" s="44" t="n"/>
      <c r="F135" s="44" t="n"/>
      <c r="G135" s="44" t="n"/>
      <c r="H135" s="44" t="n"/>
      <c r="I135" s="44" t="n"/>
      <c r="J135" s="44" t="n"/>
      <c r="K135" s="44" t="n"/>
      <c r="L135" s="44" t="n"/>
      <c r="M135" s="44" t="n"/>
      <c r="N135" s="44" t="n"/>
      <c r="O135" s="44" t="n"/>
      <c r="P135" s="44" t="n"/>
      <c r="Q135" s="44" t="n"/>
      <c r="R135" s="44" t="n"/>
      <c r="S135" s="45" t="n"/>
      <c r="T135" s="46" t="inlineStr">
        <is>
          <t>IF(AQ135="","",AQ135)</t>
        </is>
      </c>
      <c r="U135" s="47" t="n"/>
      <c r="V135" s="48" t="n"/>
      <c r="W135" s="47" t="n"/>
      <c r="X135" s="46" t="inlineStr">
        <is>
          <t>IF(W135&lt;&gt;"",W135,IF(OR(T135="",V135=""),"",EDATE(T135,V135)))</t>
        </is>
      </c>
      <c r="Y135" s="47" t="n"/>
      <c r="Z135" s="48" t="n"/>
      <c r="AA135" s="44" t="n"/>
      <c r="AB135" s="44" t="n"/>
      <c r="AC135" s="42" t="inlineStr">
        <is>
          <t>IF(F135="","",IF(COUNT(AI135:AV135)=0,IF(AA135="","Not started",AA135),SUBSTITUTE(LOOKUP(2,1/(AI135:AV135&lt;&gt;""),$AI$3:$AV$3),"Date: ","")))</t>
        </is>
      </c>
      <c r="AD135" s="49" t="inlineStr">
        <is>
          <t>IF(OR(F135="",COUNT(AI135:AV135)=0),"",TODAY()-LOOKUP(2,1/(AI135:AV135&lt;&gt;""),AI135:AV135))</t>
        </is>
      </c>
      <c r="AE135" s="49" t="inlineStr">
        <is>
          <t>IF(OR(F135="",COUNT(AI135:AV135)&lt;2),"",LOOKUP(2,1/(AI135:AV135&lt;&gt;""),AI135:AV135)-MIN(AI135:AV135))</t>
        </is>
      </c>
      <c r="AF135" s="49" t="inlineStr">
        <is>
          <t>IF(OR(AD135="",AC135="Not started",AC135=""),"",IFERROR(AD135-IF(VLOOKUP(AC135,'06_Status_Pipeline'!$B$3:$E$20,4,FALSE)="",0,VLOOKUP(AC135,'06_Status_Pipeline'!$B$3:$E$20,4,FALSE)),""))</t>
        </is>
      </c>
      <c r="AG135" s="42" t="inlineStr">
        <is>
          <t>IF(F135="","",IF(OR(AA135="Cancelled",AC135="Cancelled"),"Cancelled",IF(OR(AC135="Completed / Handover",Y135&lt;&gt;"",Z135&gt;=100),"Completed — on track",IF(O135="Not awarded",IF(U135="",IF(X135="","No planned date",IF(TODAY()&gt;X135,"Behind — past planned date",IF(X135-TODAY()&lt;=30,"At risk — close to off track","On track"))),IF(TODAY()&gt;U135,"Behind — award date passed",IF(U135-TODAY()&lt;=30,"At risk — close to off track","On track"))),IF(X135="","No planned date",IF(AND(TODAY()&gt;X135,OR(Z135="",Z135&lt;100)),"Behind — past end date",IF(AND(T135&lt;&gt;"",X135&lt;&gt;"",Z135&lt;&gt;"",(Z135&lt;100),((TODAY()-T135)/MAX(X135-T135,1)*100)-Z135&gt;15),"Behind — progress lag",IF(AND(X135-TODAY()&lt;=30,X135-TODAY()&gt;=0,OR(Z135="",Z135&lt;90)),"At risk — close to off track","On track"))))))))</t>
        </is>
      </c>
      <c r="AH135" s="49" t="inlineStr">
        <is>
          <t>IF(OR(F135="",AC135="Completed / Handover",AC135="Cancelled"),"",IF(O135="Not awarded",IF(U135&lt;&gt;"",U135-TODAY(),IF(X135="","",X135-TODAY())),IF(X135="","",X135-TODAY())))</t>
        </is>
      </c>
      <c r="AI135" s="47" t="n"/>
      <c r="AJ135" s="47" t="n"/>
      <c r="AK135" s="47" t="n"/>
      <c r="AL135" s="47" t="n"/>
      <c r="AM135" s="47" t="n"/>
      <c r="AN135" s="47" t="n"/>
      <c r="AO135" s="47" t="n"/>
      <c r="AP135" s="47" t="n"/>
      <c r="AQ135" s="47" t="n"/>
      <c r="AR135" s="47" t="n"/>
      <c r="AS135" s="47" t="n"/>
      <c r="AT135" s="50" t="n"/>
      <c r="AU135" s="50" t="n"/>
      <c r="AV135" s="50" t="n"/>
      <c r="AW135" s="49" t="inlineStr">
        <is>
          <t>IF(OR(F135="",AJ135=""),"",IF(COUNT(AI135:AI135)=0,"",AJ135-LOOKUP(2,1/(AI135:AI135&lt;&gt;""),AI135:AI135)))</t>
        </is>
      </c>
      <c r="AX135" s="49" t="inlineStr">
        <is>
          <t>IF(OR(F135="",AK135=""),"",IF(COUNT(AI135:AJ135)=0,"",AK135-LOOKUP(2,1/(AI135:AJ135&lt;&gt;""),AI135:AJ135)))</t>
        </is>
      </c>
      <c r="AY135" s="49" t="inlineStr">
        <is>
          <t>IF(OR(F135="",AL135=""),"",IF(COUNT(AI135:AK135)=0,"",AL135-LOOKUP(2,1/(AI135:AK135&lt;&gt;""),AI135:AK135)))</t>
        </is>
      </c>
      <c r="AZ135" s="49" t="inlineStr">
        <is>
          <t>IF(OR(F135="",AM135=""),"",IF(COUNT(AI135:AL135)=0,"",AM135-LOOKUP(2,1/(AI135:AL135&lt;&gt;""),AI135:AL135)))</t>
        </is>
      </c>
      <c r="BA135" s="49" t="inlineStr">
        <is>
          <t>IF(OR(F135="",AN135=""),"",IF(COUNT(AI135:AM135)=0,"",AN135-LOOKUP(2,1/(AI135:AM135&lt;&gt;""),AI135:AM135)))</t>
        </is>
      </c>
      <c r="BB135" s="49" t="inlineStr">
        <is>
          <t>IF(OR(F135="",AO135=""),"",IF(COUNT(AI135:AN135)=0,"",AO135-LOOKUP(2,1/(AI135:AN135&lt;&gt;""),AI135:AN135)))</t>
        </is>
      </c>
      <c r="BC135" s="49" t="inlineStr">
        <is>
          <t>IF(OR(F135="",AP135=""),"",IF(COUNT(AI135:AO135)=0,"",AP135-LOOKUP(2,1/(AI135:AO135&lt;&gt;""),AI135:AO135)))</t>
        </is>
      </c>
      <c r="BD135" s="49" t="inlineStr">
        <is>
          <t>IF(OR(F135="",AQ135=""),"",IF(COUNT(AI135:AP135)=0,"",AQ135-LOOKUP(2,1/(AI135:AP135&lt;&gt;""),AI135:AP135)))</t>
        </is>
      </c>
      <c r="BE135" s="49" t="inlineStr">
        <is>
          <t>IF(OR(F135="",AR135=""),"",IF(COUNT(AI135:AQ135)=0,"",AR135-LOOKUP(2,1/(AI135:AQ135&lt;&gt;""),AI135:AQ135)))</t>
        </is>
      </c>
      <c r="BF135" s="49" t="inlineStr">
        <is>
          <t>IF(OR(F135="",AS135=""),"",IF(COUNT(AI135:AR135)=0,"",AS135-LOOKUP(2,1/(AI135:AR135&lt;&gt;""),AI135:AR135)))</t>
        </is>
      </c>
      <c r="BG135" s="49" t="inlineStr">
        <is>
          <t>IF(OR(F135="",AT135=""),"",IF(COUNT(AI135:AS135)=0,"",AT135-LOOKUP(2,1/(AI135:AS135&lt;&gt;""),AI135:AS135)))</t>
        </is>
      </c>
      <c r="BH135" s="49" t="inlineStr">
        <is>
          <t>IF(OR(F135="",AU135=""),"",IF(COUNT(AI135:AT135)=0,"",AU135-LOOKUP(2,1/(AI135:AT135&lt;&gt;""),AI135:AT135)))</t>
        </is>
      </c>
      <c r="BI135" s="49" t="inlineStr">
        <is>
          <t>IF(OR(F135="",AV135=""),"",IF(COUNT(AI135:AU135)=0,"",AV135-LOOKUP(2,1/(AI135:AU135&lt;&gt;""),AI135:AU135)))</t>
        </is>
      </c>
      <c r="BJ135" s="51" t="inlineStr">
        <is>
          <t>IF(J135="","All_Provinces",IFERROR(VLOOKUP(J135,'09_Lookups'!$A$4:$B$20,2,FALSE),"All_Provinces"))</t>
        </is>
      </c>
      <c r="BK135" s="51" t="inlineStr">
        <is>
          <t>IF(K135="","All_Districts",IFERROR(VLOOKUP(K135,'09_Lookups'!$E$4:$F$42,2,FALSE),"All_Districts"))</t>
        </is>
      </c>
    </row>
    <row r="136" ht="18" customHeight="1">
      <c r="A136" s="42" t="inlineStr">
        <is>
          <t>IF(F136="","",ROW()-3)</t>
        </is>
      </c>
      <c r="B136" s="52" t="n"/>
      <c r="C136" s="52" t="n"/>
      <c r="D136" s="52" t="n"/>
      <c r="E136" s="52" t="n"/>
      <c r="F136" s="52" t="n"/>
      <c r="G136" s="52" t="n"/>
      <c r="H136" s="52" t="n"/>
      <c r="I136" s="52" t="n"/>
      <c r="J136" s="52" t="n"/>
      <c r="K136" s="52" t="n"/>
      <c r="L136" s="52" t="n"/>
      <c r="M136" s="52" t="n"/>
      <c r="N136" s="52" t="n"/>
      <c r="O136" s="52" t="n"/>
      <c r="P136" s="52" t="n"/>
      <c r="Q136" s="52" t="n"/>
      <c r="R136" s="52" t="n"/>
      <c r="S136" s="53" t="n"/>
      <c r="T136" s="46" t="inlineStr">
        <is>
          <t>IF(AQ136="","",AQ136)</t>
        </is>
      </c>
      <c r="U136" s="54" t="n"/>
      <c r="V136" s="55" t="n"/>
      <c r="W136" s="54" t="n"/>
      <c r="X136" s="46" t="inlineStr">
        <is>
          <t>IF(W136&lt;&gt;"",W136,IF(OR(T136="",V136=""),"",EDATE(T136,V136)))</t>
        </is>
      </c>
      <c r="Y136" s="54" t="n"/>
      <c r="Z136" s="55" t="n"/>
      <c r="AA136" s="52" t="n"/>
      <c r="AB136" s="52" t="n"/>
      <c r="AC136" s="42" t="inlineStr">
        <is>
          <t>IF(F136="","",IF(COUNT(AI136:AV136)=0,IF(AA136="","Not started",AA136),SUBSTITUTE(LOOKUP(2,1/(AI136:AV136&lt;&gt;""),$AI$3:$AV$3),"Date: ","")))</t>
        </is>
      </c>
      <c r="AD136" s="49" t="inlineStr">
        <is>
          <t>IF(OR(F136="",COUNT(AI136:AV136)=0),"",TODAY()-LOOKUP(2,1/(AI136:AV136&lt;&gt;""),AI136:AV136))</t>
        </is>
      </c>
      <c r="AE136" s="49" t="inlineStr">
        <is>
          <t>IF(OR(F136="",COUNT(AI136:AV136)&lt;2),"",LOOKUP(2,1/(AI136:AV136&lt;&gt;""),AI136:AV136)-MIN(AI136:AV136))</t>
        </is>
      </c>
      <c r="AF136" s="49" t="inlineStr">
        <is>
          <t>IF(OR(AD136="",AC136="Not started",AC136=""),"",IFERROR(AD136-IF(VLOOKUP(AC136,'06_Status_Pipeline'!$B$3:$E$20,4,FALSE)="",0,VLOOKUP(AC136,'06_Status_Pipeline'!$B$3:$E$20,4,FALSE)),""))</t>
        </is>
      </c>
      <c r="AG136" s="42" t="inlineStr">
        <is>
          <t>IF(F136="","",IF(OR(AA136="Cancelled",AC136="Cancelled"),"Cancelled",IF(OR(AC136="Completed / Handover",Y136&lt;&gt;"",Z136&gt;=100),"Completed — on track",IF(O136="Not awarded",IF(U136="",IF(X136="","No planned date",IF(TODAY()&gt;X136,"Behind — past planned date",IF(X136-TODAY()&lt;=30,"At risk — close to off track","On track"))),IF(TODAY()&gt;U136,"Behind — award date passed",IF(U136-TODAY()&lt;=30,"At risk — close to off track","On track"))),IF(X136="","No planned date",IF(AND(TODAY()&gt;X136,OR(Z136="",Z136&lt;100)),"Behind — past end date",IF(AND(T136&lt;&gt;"",X136&lt;&gt;"",Z136&lt;&gt;"",(Z136&lt;100),((TODAY()-T136)/MAX(X136-T136,1)*100)-Z136&gt;15),"Behind — progress lag",IF(AND(X136-TODAY()&lt;=30,X136-TODAY()&gt;=0,OR(Z136="",Z136&lt;90)),"At risk — close to off track","On track"))))))))</t>
        </is>
      </c>
      <c r="AH136" s="49" t="inlineStr">
        <is>
          <t>IF(OR(F136="",AC136="Completed / Handover",AC136="Cancelled"),"",IF(O136="Not awarded",IF(U136&lt;&gt;"",U136-TODAY(),IF(X136="","",X136-TODAY())),IF(X136="","",X136-TODAY())))</t>
        </is>
      </c>
      <c r="AI136" s="54" t="n"/>
      <c r="AJ136" s="54" t="n"/>
      <c r="AK136" s="54" t="n"/>
      <c r="AL136" s="54" t="n"/>
      <c r="AM136" s="54" t="n"/>
      <c r="AN136" s="54" t="n"/>
      <c r="AO136" s="54" t="n"/>
      <c r="AP136" s="54" t="n"/>
      <c r="AQ136" s="54" t="n"/>
      <c r="AR136" s="54" t="n"/>
      <c r="AS136" s="54" t="n"/>
      <c r="AT136" s="50" t="n"/>
      <c r="AU136" s="50" t="n"/>
      <c r="AV136" s="50" t="n"/>
      <c r="AW136" s="49" t="inlineStr">
        <is>
          <t>IF(OR(F136="",AJ136=""),"",IF(COUNT(AI136:AI136)=0,"",AJ136-LOOKUP(2,1/(AI136:AI136&lt;&gt;""),AI136:AI136)))</t>
        </is>
      </c>
      <c r="AX136" s="49" t="inlineStr">
        <is>
          <t>IF(OR(F136="",AK136=""),"",IF(COUNT(AI136:AJ136)=0,"",AK136-LOOKUP(2,1/(AI136:AJ136&lt;&gt;""),AI136:AJ136)))</t>
        </is>
      </c>
      <c r="AY136" s="49" t="inlineStr">
        <is>
          <t>IF(OR(F136="",AL136=""),"",IF(COUNT(AI136:AK136)=0,"",AL136-LOOKUP(2,1/(AI136:AK136&lt;&gt;""),AI136:AK136)))</t>
        </is>
      </c>
      <c r="AZ136" s="49" t="inlineStr">
        <is>
          <t>IF(OR(F136="",AM136=""),"",IF(COUNT(AI136:AL136)=0,"",AM136-LOOKUP(2,1/(AI136:AL136&lt;&gt;""),AI136:AL136)))</t>
        </is>
      </c>
      <c r="BA136" s="49" t="inlineStr">
        <is>
          <t>IF(OR(F136="",AN136=""),"",IF(COUNT(AI136:AM136)=0,"",AN136-LOOKUP(2,1/(AI136:AM136&lt;&gt;""),AI136:AM136)))</t>
        </is>
      </c>
      <c r="BB136" s="49" t="inlineStr">
        <is>
          <t>IF(OR(F136="",AO136=""),"",IF(COUNT(AI136:AN136)=0,"",AO136-LOOKUP(2,1/(AI136:AN136&lt;&gt;""),AI136:AN136)))</t>
        </is>
      </c>
      <c r="BC136" s="49" t="inlineStr">
        <is>
          <t>IF(OR(F136="",AP136=""),"",IF(COUNT(AI136:AO136)=0,"",AP136-LOOKUP(2,1/(AI136:AO136&lt;&gt;""),AI136:AO136)))</t>
        </is>
      </c>
      <c r="BD136" s="49" t="inlineStr">
        <is>
          <t>IF(OR(F136="",AQ136=""),"",IF(COUNT(AI136:AP136)=0,"",AQ136-LOOKUP(2,1/(AI136:AP136&lt;&gt;""),AI136:AP136)))</t>
        </is>
      </c>
      <c r="BE136" s="49" t="inlineStr">
        <is>
          <t>IF(OR(F136="",AR136=""),"",IF(COUNT(AI136:AQ136)=0,"",AR136-LOOKUP(2,1/(AI136:AQ136&lt;&gt;""),AI136:AQ136)))</t>
        </is>
      </c>
      <c r="BF136" s="49" t="inlineStr">
        <is>
          <t>IF(OR(F136="",AS136=""),"",IF(COUNT(AI136:AR136)=0,"",AS136-LOOKUP(2,1/(AI136:AR136&lt;&gt;""),AI136:AR136)))</t>
        </is>
      </c>
      <c r="BG136" s="49" t="inlineStr">
        <is>
          <t>IF(OR(F136="",AT136=""),"",IF(COUNT(AI136:AS136)=0,"",AT136-LOOKUP(2,1/(AI136:AS136&lt;&gt;""),AI136:AS136)))</t>
        </is>
      </c>
      <c r="BH136" s="49" t="inlineStr">
        <is>
          <t>IF(OR(F136="",AU136=""),"",IF(COUNT(AI136:AT136)=0,"",AU136-LOOKUP(2,1/(AI136:AT136&lt;&gt;""),AI136:AT136)))</t>
        </is>
      </c>
      <c r="BI136" s="49" t="inlineStr">
        <is>
          <t>IF(OR(F136="",AV136=""),"",IF(COUNT(AI136:AU136)=0,"",AV136-LOOKUP(2,1/(AI136:AU136&lt;&gt;""),AI136:AU136)))</t>
        </is>
      </c>
      <c r="BJ136" s="51" t="inlineStr">
        <is>
          <t>IF(J136="","All_Provinces",IFERROR(VLOOKUP(J136,'09_Lookups'!$A$4:$B$20,2,FALSE),"All_Provinces"))</t>
        </is>
      </c>
      <c r="BK136" s="51" t="inlineStr">
        <is>
          <t>IF(K136="","All_Districts",IFERROR(VLOOKUP(K136,'09_Lookups'!$E$4:$F$42,2,FALSE),"All_Districts"))</t>
        </is>
      </c>
    </row>
    <row r="137" ht="18" customHeight="1">
      <c r="A137" s="42" t="inlineStr">
        <is>
          <t>IF(F137="","",ROW()-3)</t>
        </is>
      </c>
      <c r="B137" s="44" t="n"/>
      <c r="C137" s="44" t="n"/>
      <c r="D137" s="44" t="n"/>
      <c r="E137" s="44" t="n"/>
      <c r="F137" s="44" t="n"/>
      <c r="G137" s="44" t="n"/>
      <c r="H137" s="44" t="n"/>
      <c r="I137" s="44" t="n"/>
      <c r="J137" s="44" t="n"/>
      <c r="K137" s="44" t="n"/>
      <c r="L137" s="44" t="n"/>
      <c r="M137" s="44" t="n"/>
      <c r="N137" s="44" t="n"/>
      <c r="O137" s="44" t="n"/>
      <c r="P137" s="44" t="n"/>
      <c r="Q137" s="44" t="n"/>
      <c r="R137" s="44" t="n"/>
      <c r="S137" s="45" t="n"/>
      <c r="T137" s="46" t="inlineStr">
        <is>
          <t>IF(AQ137="","",AQ137)</t>
        </is>
      </c>
      <c r="U137" s="47" t="n"/>
      <c r="V137" s="48" t="n"/>
      <c r="W137" s="47" t="n"/>
      <c r="X137" s="46" t="inlineStr">
        <is>
          <t>IF(W137&lt;&gt;"",W137,IF(OR(T137="",V137=""),"",EDATE(T137,V137)))</t>
        </is>
      </c>
      <c r="Y137" s="47" t="n"/>
      <c r="Z137" s="48" t="n"/>
      <c r="AA137" s="44" t="n"/>
      <c r="AB137" s="44" t="n"/>
      <c r="AC137" s="42" t="inlineStr">
        <is>
          <t>IF(F137="","",IF(COUNT(AI137:AV137)=0,IF(AA137="","Not started",AA137),SUBSTITUTE(LOOKUP(2,1/(AI137:AV137&lt;&gt;""),$AI$3:$AV$3),"Date: ","")))</t>
        </is>
      </c>
      <c r="AD137" s="49" t="inlineStr">
        <is>
          <t>IF(OR(F137="",COUNT(AI137:AV137)=0),"",TODAY()-LOOKUP(2,1/(AI137:AV137&lt;&gt;""),AI137:AV137))</t>
        </is>
      </c>
      <c r="AE137" s="49" t="inlineStr">
        <is>
          <t>IF(OR(F137="",COUNT(AI137:AV137)&lt;2),"",LOOKUP(2,1/(AI137:AV137&lt;&gt;""),AI137:AV137)-MIN(AI137:AV137))</t>
        </is>
      </c>
      <c r="AF137" s="49" t="inlineStr">
        <is>
          <t>IF(OR(AD137="",AC137="Not started",AC137=""),"",IFERROR(AD137-IF(VLOOKUP(AC137,'06_Status_Pipeline'!$B$3:$E$20,4,FALSE)="",0,VLOOKUP(AC137,'06_Status_Pipeline'!$B$3:$E$20,4,FALSE)),""))</t>
        </is>
      </c>
      <c r="AG137" s="42" t="inlineStr">
        <is>
          <t>IF(F137="","",IF(OR(AA137="Cancelled",AC137="Cancelled"),"Cancelled",IF(OR(AC137="Completed / Handover",Y137&lt;&gt;"",Z137&gt;=100),"Completed — on track",IF(O137="Not awarded",IF(U137="",IF(X137="","No planned date",IF(TODAY()&gt;X137,"Behind — past planned date",IF(X137-TODAY()&lt;=30,"At risk — close to off track","On track"))),IF(TODAY()&gt;U137,"Behind — award date passed",IF(U137-TODAY()&lt;=30,"At risk — close to off track","On track"))),IF(X137="","No planned date",IF(AND(TODAY()&gt;X137,OR(Z137="",Z137&lt;100)),"Behind — past end date",IF(AND(T137&lt;&gt;"",X137&lt;&gt;"",Z137&lt;&gt;"",(Z137&lt;100),((TODAY()-T137)/MAX(X137-T137,1)*100)-Z137&gt;15),"Behind — progress lag",IF(AND(X137-TODAY()&lt;=30,X137-TODAY()&gt;=0,OR(Z137="",Z137&lt;90)),"At risk — close to off track","On track"))))))))</t>
        </is>
      </c>
      <c r="AH137" s="49" t="inlineStr">
        <is>
          <t>IF(OR(F137="",AC137="Completed / Handover",AC137="Cancelled"),"",IF(O137="Not awarded",IF(U137&lt;&gt;"",U137-TODAY(),IF(X137="","",X137-TODAY())),IF(X137="","",X137-TODAY())))</t>
        </is>
      </c>
      <c r="AI137" s="47" t="n"/>
      <c r="AJ137" s="47" t="n"/>
      <c r="AK137" s="47" t="n"/>
      <c r="AL137" s="47" t="n"/>
      <c r="AM137" s="47" t="n"/>
      <c r="AN137" s="47" t="n"/>
      <c r="AO137" s="47" t="n"/>
      <c r="AP137" s="47" t="n"/>
      <c r="AQ137" s="47" t="n"/>
      <c r="AR137" s="47" t="n"/>
      <c r="AS137" s="47" t="n"/>
      <c r="AT137" s="50" t="n"/>
      <c r="AU137" s="50" t="n"/>
      <c r="AV137" s="50" t="n"/>
      <c r="AW137" s="49" t="inlineStr">
        <is>
          <t>IF(OR(F137="",AJ137=""),"",IF(COUNT(AI137:AI137)=0,"",AJ137-LOOKUP(2,1/(AI137:AI137&lt;&gt;""),AI137:AI137)))</t>
        </is>
      </c>
      <c r="AX137" s="49" t="inlineStr">
        <is>
          <t>IF(OR(F137="",AK137=""),"",IF(COUNT(AI137:AJ137)=0,"",AK137-LOOKUP(2,1/(AI137:AJ137&lt;&gt;""),AI137:AJ137)))</t>
        </is>
      </c>
      <c r="AY137" s="49" t="inlineStr">
        <is>
          <t>IF(OR(F137="",AL137=""),"",IF(COUNT(AI137:AK137)=0,"",AL137-LOOKUP(2,1/(AI137:AK137&lt;&gt;""),AI137:AK137)))</t>
        </is>
      </c>
      <c r="AZ137" s="49" t="inlineStr">
        <is>
          <t>IF(OR(F137="",AM137=""),"",IF(COUNT(AI137:AL137)=0,"",AM137-LOOKUP(2,1/(AI137:AL137&lt;&gt;""),AI137:AL137)))</t>
        </is>
      </c>
      <c r="BA137" s="49" t="inlineStr">
        <is>
          <t>IF(OR(F137="",AN137=""),"",IF(COUNT(AI137:AM137)=0,"",AN137-LOOKUP(2,1/(AI137:AM137&lt;&gt;""),AI137:AM137)))</t>
        </is>
      </c>
      <c r="BB137" s="49" t="inlineStr">
        <is>
          <t>IF(OR(F137="",AO137=""),"",IF(COUNT(AI137:AN137)=0,"",AO137-LOOKUP(2,1/(AI137:AN137&lt;&gt;""),AI137:AN137)))</t>
        </is>
      </c>
      <c r="BC137" s="49" t="inlineStr">
        <is>
          <t>IF(OR(F137="",AP137=""),"",IF(COUNT(AI137:AO137)=0,"",AP137-LOOKUP(2,1/(AI137:AO137&lt;&gt;""),AI137:AO137)))</t>
        </is>
      </c>
      <c r="BD137" s="49" t="inlineStr">
        <is>
          <t>IF(OR(F137="",AQ137=""),"",IF(COUNT(AI137:AP137)=0,"",AQ137-LOOKUP(2,1/(AI137:AP137&lt;&gt;""),AI137:AP137)))</t>
        </is>
      </c>
      <c r="BE137" s="49" t="inlineStr">
        <is>
          <t>IF(OR(F137="",AR137=""),"",IF(COUNT(AI137:AQ137)=0,"",AR137-LOOKUP(2,1/(AI137:AQ137&lt;&gt;""),AI137:AQ137)))</t>
        </is>
      </c>
      <c r="BF137" s="49" t="inlineStr">
        <is>
          <t>IF(OR(F137="",AS137=""),"",IF(COUNT(AI137:AR137)=0,"",AS137-LOOKUP(2,1/(AI137:AR137&lt;&gt;""),AI137:AR137)))</t>
        </is>
      </c>
      <c r="BG137" s="49" t="inlineStr">
        <is>
          <t>IF(OR(F137="",AT137=""),"",IF(COUNT(AI137:AS137)=0,"",AT137-LOOKUP(2,1/(AI137:AS137&lt;&gt;""),AI137:AS137)))</t>
        </is>
      </c>
      <c r="BH137" s="49" t="inlineStr">
        <is>
          <t>IF(OR(F137="",AU137=""),"",IF(COUNT(AI137:AT137)=0,"",AU137-LOOKUP(2,1/(AI137:AT137&lt;&gt;""),AI137:AT137)))</t>
        </is>
      </c>
      <c r="BI137" s="49" t="inlineStr">
        <is>
          <t>IF(OR(F137="",AV137=""),"",IF(COUNT(AI137:AU137)=0,"",AV137-LOOKUP(2,1/(AI137:AU137&lt;&gt;""),AI137:AU137)))</t>
        </is>
      </c>
      <c r="BJ137" s="51" t="inlineStr">
        <is>
          <t>IF(J137="","All_Provinces",IFERROR(VLOOKUP(J137,'09_Lookups'!$A$4:$B$20,2,FALSE),"All_Provinces"))</t>
        </is>
      </c>
      <c r="BK137" s="51" t="inlineStr">
        <is>
          <t>IF(K137="","All_Districts",IFERROR(VLOOKUP(K137,'09_Lookups'!$E$4:$F$42,2,FALSE),"All_Districts"))</t>
        </is>
      </c>
    </row>
    <row r="138" ht="18" customHeight="1">
      <c r="A138" s="42" t="inlineStr">
        <is>
          <t>IF(F138="","",ROW()-3)</t>
        </is>
      </c>
      <c r="B138" s="52" t="n"/>
      <c r="C138" s="52" t="n"/>
      <c r="D138" s="52" t="n"/>
      <c r="E138" s="52" t="n"/>
      <c r="F138" s="52" t="n"/>
      <c r="G138" s="52" t="n"/>
      <c r="H138" s="52" t="n"/>
      <c r="I138" s="52" t="n"/>
      <c r="J138" s="52" t="n"/>
      <c r="K138" s="52" t="n"/>
      <c r="L138" s="52" t="n"/>
      <c r="M138" s="52" t="n"/>
      <c r="N138" s="52" t="n"/>
      <c r="O138" s="52" t="n"/>
      <c r="P138" s="52" t="n"/>
      <c r="Q138" s="52" t="n"/>
      <c r="R138" s="52" t="n"/>
      <c r="S138" s="53" t="n"/>
      <c r="T138" s="46" t="inlineStr">
        <is>
          <t>IF(AQ138="","",AQ138)</t>
        </is>
      </c>
      <c r="U138" s="54" t="n"/>
      <c r="V138" s="55" t="n"/>
      <c r="W138" s="54" t="n"/>
      <c r="X138" s="46" t="inlineStr">
        <is>
          <t>IF(W138&lt;&gt;"",W138,IF(OR(T138="",V138=""),"",EDATE(T138,V138)))</t>
        </is>
      </c>
      <c r="Y138" s="54" t="n"/>
      <c r="Z138" s="55" t="n"/>
      <c r="AA138" s="52" t="n"/>
      <c r="AB138" s="52" t="n"/>
      <c r="AC138" s="42" t="inlineStr">
        <is>
          <t>IF(F138="","",IF(COUNT(AI138:AV138)=0,IF(AA138="","Not started",AA138),SUBSTITUTE(LOOKUP(2,1/(AI138:AV138&lt;&gt;""),$AI$3:$AV$3),"Date: ","")))</t>
        </is>
      </c>
      <c r="AD138" s="49" t="inlineStr">
        <is>
          <t>IF(OR(F138="",COUNT(AI138:AV138)=0),"",TODAY()-LOOKUP(2,1/(AI138:AV138&lt;&gt;""),AI138:AV138))</t>
        </is>
      </c>
      <c r="AE138" s="49" t="inlineStr">
        <is>
          <t>IF(OR(F138="",COUNT(AI138:AV138)&lt;2),"",LOOKUP(2,1/(AI138:AV138&lt;&gt;""),AI138:AV138)-MIN(AI138:AV138))</t>
        </is>
      </c>
      <c r="AF138" s="49" t="inlineStr">
        <is>
          <t>IF(OR(AD138="",AC138="Not started",AC138=""),"",IFERROR(AD138-IF(VLOOKUP(AC138,'06_Status_Pipeline'!$B$3:$E$20,4,FALSE)="",0,VLOOKUP(AC138,'06_Status_Pipeline'!$B$3:$E$20,4,FALSE)),""))</t>
        </is>
      </c>
      <c r="AG138" s="42" t="inlineStr">
        <is>
          <t>IF(F138="","",IF(OR(AA138="Cancelled",AC138="Cancelled"),"Cancelled",IF(OR(AC138="Completed / Handover",Y138&lt;&gt;"",Z138&gt;=100),"Completed — on track",IF(O138="Not awarded",IF(U138="",IF(X138="","No planned date",IF(TODAY()&gt;X138,"Behind — past planned date",IF(X138-TODAY()&lt;=30,"At risk — close to off track","On track"))),IF(TODAY()&gt;U138,"Behind — award date passed",IF(U138-TODAY()&lt;=30,"At risk — close to off track","On track"))),IF(X138="","No planned date",IF(AND(TODAY()&gt;X138,OR(Z138="",Z138&lt;100)),"Behind — past end date",IF(AND(T138&lt;&gt;"",X138&lt;&gt;"",Z138&lt;&gt;"",(Z138&lt;100),((TODAY()-T138)/MAX(X138-T138,1)*100)-Z138&gt;15),"Behind — progress lag",IF(AND(X138-TODAY()&lt;=30,X138-TODAY()&gt;=0,OR(Z138="",Z138&lt;90)),"At risk — close to off track","On track"))))))))</t>
        </is>
      </c>
      <c r="AH138" s="49" t="inlineStr">
        <is>
          <t>IF(OR(F138="",AC138="Completed / Handover",AC138="Cancelled"),"",IF(O138="Not awarded",IF(U138&lt;&gt;"",U138-TODAY(),IF(X138="","",X138-TODAY())),IF(X138="","",X138-TODAY())))</t>
        </is>
      </c>
      <c r="AI138" s="54" t="n"/>
      <c r="AJ138" s="54" t="n"/>
      <c r="AK138" s="54" t="n"/>
      <c r="AL138" s="54" t="n"/>
      <c r="AM138" s="54" t="n"/>
      <c r="AN138" s="54" t="n"/>
      <c r="AO138" s="54" t="n"/>
      <c r="AP138" s="54" t="n"/>
      <c r="AQ138" s="54" t="n"/>
      <c r="AR138" s="54" t="n"/>
      <c r="AS138" s="54" t="n"/>
      <c r="AT138" s="50" t="n"/>
      <c r="AU138" s="50" t="n"/>
      <c r="AV138" s="50" t="n"/>
      <c r="AW138" s="49" t="inlineStr">
        <is>
          <t>IF(OR(F138="",AJ138=""),"",IF(COUNT(AI138:AI138)=0,"",AJ138-LOOKUP(2,1/(AI138:AI138&lt;&gt;""),AI138:AI138)))</t>
        </is>
      </c>
      <c r="AX138" s="49" t="inlineStr">
        <is>
          <t>IF(OR(F138="",AK138=""),"",IF(COUNT(AI138:AJ138)=0,"",AK138-LOOKUP(2,1/(AI138:AJ138&lt;&gt;""),AI138:AJ138)))</t>
        </is>
      </c>
      <c r="AY138" s="49" t="inlineStr">
        <is>
          <t>IF(OR(F138="",AL138=""),"",IF(COUNT(AI138:AK138)=0,"",AL138-LOOKUP(2,1/(AI138:AK138&lt;&gt;""),AI138:AK138)))</t>
        </is>
      </c>
      <c r="AZ138" s="49" t="inlineStr">
        <is>
          <t>IF(OR(F138="",AM138=""),"",IF(COUNT(AI138:AL138)=0,"",AM138-LOOKUP(2,1/(AI138:AL138&lt;&gt;""),AI138:AL138)))</t>
        </is>
      </c>
      <c r="BA138" s="49" t="inlineStr">
        <is>
          <t>IF(OR(F138="",AN138=""),"",IF(COUNT(AI138:AM138)=0,"",AN138-LOOKUP(2,1/(AI138:AM138&lt;&gt;""),AI138:AM138)))</t>
        </is>
      </c>
      <c r="BB138" s="49" t="inlineStr">
        <is>
          <t>IF(OR(F138="",AO138=""),"",IF(COUNT(AI138:AN138)=0,"",AO138-LOOKUP(2,1/(AI138:AN138&lt;&gt;""),AI138:AN138)))</t>
        </is>
      </c>
      <c r="BC138" s="49" t="inlineStr">
        <is>
          <t>IF(OR(F138="",AP138=""),"",IF(COUNT(AI138:AO138)=0,"",AP138-LOOKUP(2,1/(AI138:AO138&lt;&gt;""),AI138:AO138)))</t>
        </is>
      </c>
      <c r="BD138" s="49" t="inlineStr">
        <is>
          <t>IF(OR(F138="",AQ138=""),"",IF(COUNT(AI138:AP138)=0,"",AQ138-LOOKUP(2,1/(AI138:AP138&lt;&gt;""),AI138:AP138)))</t>
        </is>
      </c>
      <c r="BE138" s="49" t="inlineStr">
        <is>
          <t>IF(OR(F138="",AR138=""),"",IF(COUNT(AI138:AQ138)=0,"",AR138-LOOKUP(2,1/(AI138:AQ138&lt;&gt;""),AI138:AQ138)))</t>
        </is>
      </c>
      <c r="BF138" s="49" t="inlineStr">
        <is>
          <t>IF(OR(F138="",AS138=""),"",IF(COUNT(AI138:AR138)=0,"",AS138-LOOKUP(2,1/(AI138:AR138&lt;&gt;""),AI138:AR138)))</t>
        </is>
      </c>
      <c r="BG138" s="49" t="inlineStr">
        <is>
          <t>IF(OR(F138="",AT138=""),"",IF(COUNT(AI138:AS138)=0,"",AT138-LOOKUP(2,1/(AI138:AS138&lt;&gt;""),AI138:AS138)))</t>
        </is>
      </c>
      <c r="BH138" s="49" t="inlineStr">
        <is>
          <t>IF(OR(F138="",AU138=""),"",IF(COUNT(AI138:AT138)=0,"",AU138-LOOKUP(2,1/(AI138:AT138&lt;&gt;""),AI138:AT138)))</t>
        </is>
      </c>
      <c r="BI138" s="49" t="inlineStr">
        <is>
          <t>IF(OR(F138="",AV138=""),"",IF(COUNT(AI138:AU138)=0,"",AV138-LOOKUP(2,1/(AI138:AU138&lt;&gt;""),AI138:AU138)))</t>
        </is>
      </c>
      <c r="BJ138" s="51" t="inlineStr">
        <is>
          <t>IF(J138="","All_Provinces",IFERROR(VLOOKUP(J138,'09_Lookups'!$A$4:$B$20,2,FALSE),"All_Provinces"))</t>
        </is>
      </c>
      <c r="BK138" s="51" t="inlineStr">
        <is>
          <t>IF(K138="","All_Districts",IFERROR(VLOOKUP(K138,'09_Lookups'!$E$4:$F$42,2,FALSE),"All_Districts"))</t>
        </is>
      </c>
    </row>
    <row r="139" ht="18" customHeight="1">
      <c r="A139" s="42" t="inlineStr">
        <is>
          <t>IF(F139="","",ROW()-3)</t>
        </is>
      </c>
      <c r="B139" s="44" t="n"/>
      <c r="C139" s="44" t="n"/>
      <c r="D139" s="44" t="n"/>
      <c r="E139" s="44" t="n"/>
      <c r="F139" s="44" t="n"/>
      <c r="G139" s="44" t="n"/>
      <c r="H139" s="44" t="n"/>
      <c r="I139" s="44" t="n"/>
      <c r="J139" s="44" t="n"/>
      <c r="K139" s="44" t="n"/>
      <c r="L139" s="44" t="n"/>
      <c r="M139" s="44" t="n"/>
      <c r="N139" s="44" t="n"/>
      <c r="O139" s="44" t="n"/>
      <c r="P139" s="44" t="n"/>
      <c r="Q139" s="44" t="n"/>
      <c r="R139" s="44" t="n"/>
      <c r="S139" s="45" t="n"/>
      <c r="T139" s="46" t="inlineStr">
        <is>
          <t>IF(AQ139="","",AQ139)</t>
        </is>
      </c>
      <c r="U139" s="47" t="n"/>
      <c r="V139" s="48" t="n"/>
      <c r="W139" s="47" t="n"/>
      <c r="X139" s="46" t="inlineStr">
        <is>
          <t>IF(W139&lt;&gt;"",W139,IF(OR(T139="",V139=""),"",EDATE(T139,V139)))</t>
        </is>
      </c>
      <c r="Y139" s="47" t="n"/>
      <c r="Z139" s="48" t="n"/>
      <c r="AA139" s="44" t="n"/>
      <c r="AB139" s="44" t="n"/>
      <c r="AC139" s="42" t="inlineStr">
        <is>
          <t>IF(F139="","",IF(COUNT(AI139:AV139)=0,IF(AA139="","Not started",AA139),SUBSTITUTE(LOOKUP(2,1/(AI139:AV139&lt;&gt;""),$AI$3:$AV$3),"Date: ","")))</t>
        </is>
      </c>
      <c r="AD139" s="49" t="inlineStr">
        <is>
          <t>IF(OR(F139="",COUNT(AI139:AV139)=0),"",TODAY()-LOOKUP(2,1/(AI139:AV139&lt;&gt;""),AI139:AV139))</t>
        </is>
      </c>
      <c r="AE139" s="49" t="inlineStr">
        <is>
          <t>IF(OR(F139="",COUNT(AI139:AV139)&lt;2),"",LOOKUP(2,1/(AI139:AV139&lt;&gt;""),AI139:AV139)-MIN(AI139:AV139))</t>
        </is>
      </c>
      <c r="AF139" s="49" t="inlineStr">
        <is>
          <t>IF(OR(AD139="",AC139="Not started",AC139=""),"",IFERROR(AD139-IF(VLOOKUP(AC139,'06_Status_Pipeline'!$B$3:$E$20,4,FALSE)="",0,VLOOKUP(AC139,'06_Status_Pipeline'!$B$3:$E$20,4,FALSE)),""))</t>
        </is>
      </c>
      <c r="AG139" s="42" t="inlineStr">
        <is>
          <t>IF(F139="","",IF(OR(AA139="Cancelled",AC139="Cancelled"),"Cancelled",IF(OR(AC139="Completed / Handover",Y139&lt;&gt;"",Z139&gt;=100),"Completed — on track",IF(O139="Not awarded",IF(U139="",IF(X139="","No planned date",IF(TODAY()&gt;X139,"Behind — past planned date",IF(X139-TODAY()&lt;=30,"At risk — close to off track","On track"))),IF(TODAY()&gt;U139,"Behind — award date passed",IF(U139-TODAY()&lt;=30,"At risk — close to off track","On track"))),IF(X139="","No planned date",IF(AND(TODAY()&gt;X139,OR(Z139="",Z139&lt;100)),"Behind — past end date",IF(AND(T139&lt;&gt;"",X139&lt;&gt;"",Z139&lt;&gt;"",(Z139&lt;100),((TODAY()-T139)/MAX(X139-T139,1)*100)-Z139&gt;15),"Behind — progress lag",IF(AND(X139-TODAY()&lt;=30,X139-TODAY()&gt;=0,OR(Z139="",Z139&lt;90)),"At risk — close to off track","On track"))))))))</t>
        </is>
      </c>
      <c r="AH139" s="49" t="inlineStr">
        <is>
          <t>IF(OR(F139="",AC139="Completed / Handover",AC139="Cancelled"),"",IF(O139="Not awarded",IF(U139&lt;&gt;"",U139-TODAY(),IF(X139="","",X139-TODAY())),IF(X139="","",X139-TODAY())))</t>
        </is>
      </c>
      <c r="AI139" s="47" t="n"/>
      <c r="AJ139" s="47" t="n"/>
      <c r="AK139" s="47" t="n"/>
      <c r="AL139" s="47" t="n"/>
      <c r="AM139" s="47" t="n"/>
      <c r="AN139" s="47" t="n"/>
      <c r="AO139" s="47" t="n"/>
      <c r="AP139" s="47" t="n"/>
      <c r="AQ139" s="47" t="n"/>
      <c r="AR139" s="47" t="n"/>
      <c r="AS139" s="47" t="n"/>
      <c r="AT139" s="50" t="n"/>
      <c r="AU139" s="50" t="n"/>
      <c r="AV139" s="50" t="n"/>
      <c r="AW139" s="49" t="inlineStr">
        <is>
          <t>IF(OR(F139="",AJ139=""),"",IF(COUNT(AI139:AI139)=0,"",AJ139-LOOKUP(2,1/(AI139:AI139&lt;&gt;""),AI139:AI139)))</t>
        </is>
      </c>
      <c r="AX139" s="49" t="inlineStr">
        <is>
          <t>IF(OR(F139="",AK139=""),"",IF(COUNT(AI139:AJ139)=0,"",AK139-LOOKUP(2,1/(AI139:AJ139&lt;&gt;""),AI139:AJ139)))</t>
        </is>
      </c>
      <c r="AY139" s="49" t="inlineStr">
        <is>
          <t>IF(OR(F139="",AL139=""),"",IF(COUNT(AI139:AK139)=0,"",AL139-LOOKUP(2,1/(AI139:AK139&lt;&gt;""),AI139:AK139)))</t>
        </is>
      </c>
      <c r="AZ139" s="49" t="inlineStr">
        <is>
          <t>IF(OR(F139="",AM139=""),"",IF(COUNT(AI139:AL139)=0,"",AM139-LOOKUP(2,1/(AI139:AL139&lt;&gt;""),AI139:AL139)))</t>
        </is>
      </c>
      <c r="BA139" s="49" t="inlineStr">
        <is>
          <t>IF(OR(F139="",AN139=""),"",IF(COUNT(AI139:AM139)=0,"",AN139-LOOKUP(2,1/(AI139:AM139&lt;&gt;""),AI139:AM139)))</t>
        </is>
      </c>
      <c r="BB139" s="49" t="inlineStr">
        <is>
          <t>IF(OR(F139="",AO139=""),"",IF(COUNT(AI139:AN139)=0,"",AO139-LOOKUP(2,1/(AI139:AN139&lt;&gt;""),AI139:AN139)))</t>
        </is>
      </c>
      <c r="BC139" s="49" t="inlineStr">
        <is>
          <t>IF(OR(F139="",AP139=""),"",IF(COUNT(AI139:AO139)=0,"",AP139-LOOKUP(2,1/(AI139:AO139&lt;&gt;""),AI139:AO139)))</t>
        </is>
      </c>
      <c r="BD139" s="49" t="inlineStr">
        <is>
          <t>IF(OR(F139="",AQ139=""),"",IF(COUNT(AI139:AP139)=0,"",AQ139-LOOKUP(2,1/(AI139:AP139&lt;&gt;""),AI139:AP139)))</t>
        </is>
      </c>
      <c r="BE139" s="49" t="inlineStr">
        <is>
          <t>IF(OR(F139="",AR139=""),"",IF(COUNT(AI139:AQ139)=0,"",AR139-LOOKUP(2,1/(AI139:AQ139&lt;&gt;""),AI139:AQ139)))</t>
        </is>
      </c>
      <c r="BF139" s="49" t="inlineStr">
        <is>
          <t>IF(OR(F139="",AS139=""),"",IF(COUNT(AI139:AR139)=0,"",AS139-LOOKUP(2,1/(AI139:AR139&lt;&gt;""),AI139:AR139)))</t>
        </is>
      </c>
      <c r="BG139" s="49" t="inlineStr">
        <is>
          <t>IF(OR(F139="",AT139=""),"",IF(COUNT(AI139:AS139)=0,"",AT139-LOOKUP(2,1/(AI139:AS139&lt;&gt;""),AI139:AS139)))</t>
        </is>
      </c>
      <c r="BH139" s="49" t="inlineStr">
        <is>
          <t>IF(OR(F139="",AU139=""),"",IF(COUNT(AI139:AT139)=0,"",AU139-LOOKUP(2,1/(AI139:AT139&lt;&gt;""),AI139:AT139)))</t>
        </is>
      </c>
      <c r="BI139" s="49" t="inlineStr">
        <is>
          <t>IF(OR(F139="",AV139=""),"",IF(COUNT(AI139:AU139)=0,"",AV139-LOOKUP(2,1/(AI139:AU139&lt;&gt;""),AI139:AU139)))</t>
        </is>
      </c>
      <c r="BJ139" s="51" t="inlineStr">
        <is>
          <t>IF(J139="","All_Provinces",IFERROR(VLOOKUP(J139,'09_Lookups'!$A$4:$B$20,2,FALSE),"All_Provinces"))</t>
        </is>
      </c>
      <c r="BK139" s="51" t="inlineStr">
        <is>
          <t>IF(K139="","All_Districts",IFERROR(VLOOKUP(K139,'09_Lookups'!$E$4:$F$42,2,FALSE),"All_Districts"))</t>
        </is>
      </c>
    </row>
    <row r="140" ht="18" customHeight="1">
      <c r="A140" s="42" t="inlineStr">
        <is>
          <t>IF(F140="","",ROW()-3)</t>
        </is>
      </c>
      <c r="B140" s="52" t="n"/>
      <c r="C140" s="52" t="n"/>
      <c r="D140" s="52" t="n"/>
      <c r="E140" s="52" t="n"/>
      <c r="F140" s="52" t="n"/>
      <c r="G140" s="52" t="n"/>
      <c r="H140" s="52" t="n"/>
      <c r="I140" s="52" t="n"/>
      <c r="J140" s="52" t="n"/>
      <c r="K140" s="52" t="n"/>
      <c r="L140" s="52" t="n"/>
      <c r="M140" s="52" t="n"/>
      <c r="N140" s="52" t="n"/>
      <c r="O140" s="52" t="n"/>
      <c r="P140" s="52" t="n"/>
      <c r="Q140" s="52" t="n"/>
      <c r="R140" s="52" t="n"/>
      <c r="S140" s="53" t="n"/>
      <c r="T140" s="46" t="inlineStr">
        <is>
          <t>IF(AQ140="","",AQ140)</t>
        </is>
      </c>
      <c r="U140" s="54" t="n"/>
      <c r="V140" s="55" t="n"/>
      <c r="W140" s="54" t="n"/>
      <c r="X140" s="46" t="inlineStr">
        <is>
          <t>IF(W140&lt;&gt;"",W140,IF(OR(T140="",V140=""),"",EDATE(T140,V140)))</t>
        </is>
      </c>
      <c r="Y140" s="54" t="n"/>
      <c r="Z140" s="55" t="n"/>
      <c r="AA140" s="52" t="n"/>
      <c r="AB140" s="52" t="n"/>
      <c r="AC140" s="42" t="inlineStr">
        <is>
          <t>IF(F140="","",IF(COUNT(AI140:AV140)=0,IF(AA140="","Not started",AA140),SUBSTITUTE(LOOKUP(2,1/(AI140:AV140&lt;&gt;""),$AI$3:$AV$3),"Date: ","")))</t>
        </is>
      </c>
      <c r="AD140" s="49" t="inlineStr">
        <is>
          <t>IF(OR(F140="",COUNT(AI140:AV140)=0),"",TODAY()-LOOKUP(2,1/(AI140:AV140&lt;&gt;""),AI140:AV140))</t>
        </is>
      </c>
      <c r="AE140" s="49" t="inlineStr">
        <is>
          <t>IF(OR(F140="",COUNT(AI140:AV140)&lt;2),"",LOOKUP(2,1/(AI140:AV140&lt;&gt;""),AI140:AV140)-MIN(AI140:AV140))</t>
        </is>
      </c>
      <c r="AF140" s="49" t="inlineStr">
        <is>
          <t>IF(OR(AD140="",AC140="Not started",AC140=""),"",IFERROR(AD140-IF(VLOOKUP(AC140,'06_Status_Pipeline'!$B$3:$E$20,4,FALSE)="",0,VLOOKUP(AC140,'06_Status_Pipeline'!$B$3:$E$20,4,FALSE)),""))</t>
        </is>
      </c>
      <c r="AG140" s="42" t="inlineStr">
        <is>
          <t>IF(F140="","",IF(OR(AA140="Cancelled",AC140="Cancelled"),"Cancelled",IF(OR(AC140="Completed / Handover",Y140&lt;&gt;"",Z140&gt;=100),"Completed — on track",IF(O140="Not awarded",IF(U140="",IF(X140="","No planned date",IF(TODAY()&gt;X140,"Behind — past planned date",IF(X140-TODAY()&lt;=30,"At risk — close to off track","On track"))),IF(TODAY()&gt;U140,"Behind — award date passed",IF(U140-TODAY()&lt;=30,"At risk — close to off track","On track"))),IF(X140="","No planned date",IF(AND(TODAY()&gt;X140,OR(Z140="",Z140&lt;100)),"Behind — past end date",IF(AND(T140&lt;&gt;"",X140&lt;&gt;"",Z140&lt;&gt;"",(Z140&lt;100),((TODAY()-T140)/MAX(X140-T140,1)*100)-Z140&gt;15),"Behind — progress lag",IF(AND(X140-TODAY()&lt;=30,X140-TODAY()&gt;=0,OR(Z140="",Z140&lt;90)),"At risk — close to off track","On track"))))))))</t>
        </is>
      </c>
      <c r="AH140" s="49" t="inlineStr">
        <is>
          <t>IF(OR(F140="",AC140="Completed / Handover",AC140="Cancelled"),"",IF(O140="Not awarded",IF(U140&lt;&gt;"",U140-TODAY(),IF(X140="","",X140-TODAY())),IF(X140="","",X140-TODAY())))</t>
        </is>
      </c>
      <c r="AI140" s="54" t="n"/>
      <c r="AJ140" s="54" t="n"/>
      <c r="AK140" s="54" t="n"/>
      <c r="AL140" s="54" t="n"/>
      <c r="AM140" s="54" t="n"/>
      <c r="AN140" s="54" t="n"/>
      <c r="AO140" s="54" t="n"/>
      <c r="AP140" s="54" t="n"/>
      <c r="AQ140" s="54" t="n"/>
      <c r="AR140" s="54" t="n"/>
      <c r="AS140" s="54" t="n"/>
      <c r="AT140" s="50" t="n"/>
      <c r="AU140" s="50" t="n"/>
      <c r="AV140" s="50" t="n"/>
      <c r="AW140" s="49" t="inlineStr">
        <is>
          <t>IF(OR(F140="",AJ140=""),"",IF(COUNT(AI140:AI140)=0,"",AJ140-LOOKUP(2,1/(AI140:AI140&lt;&gt;""),AI140:AI140)))</t>
        </is>
      </c>
      <c r="AX140" s="49" t="inlineStr">
        <is>
          <t>IF(OR(F140="",AK140=""),"",IF(COUNT(AI140:AJ140)=0,"",AK140-LOOKUP(2,1/(AI140:AJ140&lt;&gt;""),AI140:AJ140)))</t>
        </is>
      </c>
      <c r="AY140" s="49" t="inlineStr">
        <is>
          <t>IF(OR(F140="",AL140=""),"",IF(COUNT(AI140:AK140)=0,"",AL140-LOOKUP(2,1/(AI140:AK140&lt;&gt;""),AI140:AK140)))</t>
        </is>
      </c>
      <c r="AZ140" s="49" t="inlineStr">
        <is>
          <t>IF(OR(F140="",AM140=""),"",IF(COUNT(AI140:AL140)=0,"",AM140-LOOKUP(2,1/(AI140:AL140&lt;&gt;""),AI140:AL140)))</t>
        </is>
      </c>
      <c r="BA140" s="49" t="inlineStr">
        <is>
          <t>IF(OR(F140="",AN140=""),"",IF(COUNT(AI140:AM140)=0,"",AN140-LOOKUP(2,1/(AI140:AM140&lt;&gt;""),AI140:AM140)))</t>
        </is>
      </c>
      <c r="BB140" s="49" t="inlineStr">
        <is>
          <t>IF(OR(F140="",AO140=""),"",IF(COUNT(AI140:AN140)=0,"",AO140-LOOKUP(2,1/(AI140:AN140&lt;&gt;""),AI140:AN140)))</t>
        </is>
      </c>
      <c r="BC140" s="49" t="inlineStr">
        <is>
          <t>IF(OR(F140="",AP140=""),"",IF(COUNT(AI140:AO140)=0,"",AP140-LOOKUP(2,1/(AI140:AO140&lt;&gt;""),AI140:AO140)))</t>
        </is>
      </c>
      <c r="BD140" s="49" t="inlineStr">
        <is>
          <t>IF(OR(F140="",AQ140=""),"",IF(COUNT(AI140:AP140)=0,"",AQ140-LOOKUP(2,1/(AI140:AP140&lt;&gt;""),AI140:AP140)))</t>
        </is>
      </c>
      <c r="BE140" s="49" t="inlineStr">
        <is>
          <t>IF(OR(F140="",AR140=""),"",IF(COUNT(AI140:AQ140)=0,"",AR140-LOOKUP(2,1/(AI140:AQ140&lt;&gt;""),AI140:AQ140)))</t>
        </is>
      </c>
      <c r="BF140" s="49" t="inlineStr">
        <is>
          <t>IF(OR(F140="",AS140=""),"",IF(COUNT(AI140:AR140)=0,"",AS140-LOOKUP(2,1/(AI140:AR140&lt;&gt;""),AI140:AR140)))</t>
        </is>
      </c>
      <c r="BG140" s="49" t="inlineStr">
        <is>
          <t>IF(OR(F140="",AT140=""),"",IF(COUNT(AI140:AS140)=0,"",AT140-LOOKUP(2,1/(AI140:AS140&lt;&gt;""),AI140:AS140)))</t>
        </is>
      </c>
      <c r="BH140" s="49" t="inlineStr">
        <is>
          <t>IF(OR(F140="",AU140=""),"",IF(COUNT(AI140:AT140)=0,"",AU140-LOOKUP(2,1/(AI140:AT140&lt;&gt;""),AI140:AT140)))</t>
        </is>
      </c>
      <c r="BI140" s="49" t="inlineStr">
        <is>
          <t>IF(OR(F140="",AV140=""),"",IF(COUNT(AI140:AU140)=0,"",AV140-LOOKUP(2,1/(AI140:AU140&lt;&gt;""),AI140:AU140)))</t>
        </is>
      </c>
      <c r="BJ140" s="51" t="inlineStr">
        <is>
          <t>IF(J140="","All_Provinces",IFERROR(VLOOKUP(J140,'09_Lookups'!$A$4:$B$20,2,FALSE),"All_Provinces"))</t>
        </is>
      </c>
      <c r="BK140" s="51" t="inlineStr">
        <is>
          <t>IF(K140="","All_Districts",IFERROR(VLOOKUP(K140,'09_Lookups'!$E$4:$F$42,2,FALSE),"All_Districts"))</t>
        </is>
      </c>
    </row>
    <row r="141" ht="18" customHeight="1">
      <c r="A141" s="42" t="inlineStr">
        <is>
          <t>IF(F141="","",ROW()-3)</t>
        </is>
      </c>
      <c r="B141" s="44" t="n"/>
      <c r="C141" s="44" t="n"/>
      <c r="D141" s="44" t="n"/>
      <c r="E141" s="44" t="n"/>
      <c r="F141" s="44" t="n"/>
      <c r="G141" s="44" t="n"/>
      <c r="H141" s="44" t="n"/>
      <c r="I141" s="44" t="n"/>
      <c r="J141" s="44" t="n"/>
      <c r="K141" s="44" t="n"/>
      <c r="L141" s="44" t="n"/>
      <c r="M141" s="44" t="n"/>
      <c r="N141" s="44" t="n"/>
      <c r="O141" s="44" t="n"/>
      <c r="P141" s="44" t="n"/>
      <c r="Q141" s="44" t="n"/>
      <c r="R141" s="44" t="n"/>
      <c r="S141" s="45" t="n"/>
      <c r="T141" s="46" t="inlineStr">
        <is>
          <t>IF(AQ141="","",AQ141)</t>
        </is>
      </c>
      <c r="U141" s="47" t="n"/>
      <c r="V141" s="48" t="n"/>
      <c r="W141" s="47" t="n"/>
      <c r="X141" s="46" t="inlineStr">
        <is>
          <t>IF(W141&lt;&gt;"",W141,IF(OR(T141="",V141=""),"",EDATE(T141,V141)))</t>
        </is>
      </c>
      <c r="Y141" s="47" t="n"/>
      <c r="Z141" s="48" t="n"/>
      <c r="AA141" s="44" t="n"/>
      <c r="AB141" s="44" t="n"/>
      <c r="AC141" s="42" t="inlineStr">
        <is>
          <t>IF(F141="","",IF(COUNT(AI141:AV141)=0,IF(AA141="","Not started",AA141),SUBSTITUTE(LOOKUP(2,1/(AI141:AV141&lt;&gt;""),$AI$3:$AV$3),"Date: ","")))</t>
        </is>
      </c>
      <c r="AD141" s="49" t="inlineStr">
        <is>
          <t>IF(OR(F141="",COUNT(AI141:AV141)=0),"",TODAY()-LOOKUP(2,1/(AI141:AV141&lt;&gt;""),AI141:AV141))</t>
        </is>
      </c>
      <c r="AE141" s="49" t="inlineStr">
        <is>
          <t>IF(OR(F141="",COUNT(AI141:AV141)&lt;2),"",LOOKUP(2,1/(AI141:AV141&lt;&gt;""),AI141:AV141)-MIN(AI141:AV141))</t>
        </is>
      </c>
      <c r="AF141" s="49" t="inlineStr">
        <is>
          <t>IF(OR(AD141="",AC141="Not started",AC141=""),"",IFERROR(AD141-IF(VLOOKUP(AC141,'06_Status_Pipeline'!$B$3:$E$20,4,FALSE)="",0,VLOOKUP(AC141,'06_Status_Pipeline'!$B$3:$E$20,4,FALSE)),""))</t>
        </is>
      </c>
      <c r="AG141" s="42" t="inlineStr">
        <is>
          <t>IF(F141="","",IF(OR(AA141="Cancelled",AC141="Cancelled"),"Cancelled",IF(OR(AC141="Completed / Handover",Y141&lt;&gt;"",Z141&gt;=100),"Completed — on track",IF(O141="Not awarded",IF(U141="",IF(X141="","No planned date",IF(TODAY()&gt;X141,"Behind — past planned date",IF(X141-TODAY()&lt;=30,"At risk — close to off track","On track"))),IF(TODAY()&gt;U141,"Behind — award date passed",IF(U141-TODAY()&lt;=30,"At risk — close to off track","On track"))),IF(X141="","No planned date",IF(AND(TODAY()&gt;X141,OR(Z141="",Z141&lt;100)),"Behind — past end date",IF(AND(T141&lt;&gt;"",X141&lt;&gt;"",Z141&lt;&gt;"",(Z141&lt;100),((TODAY()-T141)/MAX(X141-T141,1)*100)-Z141&gt;15),"Behind — progress lag",IF(AND(X141-TODAY()&lt;=30,X141-TODAY()&gt;=0,OR(Z141="",Z141&lt;90)),"At risk — close to off track","On track"))))))))</t>
        </is>
      </c>
      <c r="AH141" s="49" t="inlineStr">
        <is>
          <t>IF(OR(F141="",AC141="Completed / Handover",AC141="Cancelled"),"",IF(O141="Not awarded",IF(U141&lt;&gt;"",U141-TODAY(),IF(X141="","",X141-TODAY())),IF(X141="","",X141-TODAY())))</t>
        </is>
      </c>
      <c r="AI141" s="47" t="n"/>
      <c r="AJ141" s="47" t="n"/>
      <c r="AK141" s="47" t="n"/>
      <c r="AL141" s="47" t="n"/>
      <c r="AM141" s="47" t="n"/>
      <c r="AN141" s="47" t="n"/>
      <c r="AO141" s="47" t="n"/>
      <c r="AP141" s="47" t="n"/>
      <c r="AQ141" s="47" t="n"/>
      <c r="AR141" s="47" t="n"/>
      <c r="AS141" s="47" t="n"/>
      <c r="AT141" s="50" t="n"/>
      <c r="AU141" s="50" t="n"/>
      <c r="AV141" s="50" t="n"/>
      <c r="AW141" s="49" t="inlineStr">
        <is>
          <t>IF(OR(F141="",AJ141=""),"",IF(COUNT(AI141:AI141)=0,"",AJ141-LOOKUP(2,1/(AI141:AI141&lt;&gt;""),AI141:AI141)))</t>
        </is>
      </c>
      <c r="AX141" s="49" t="inlineStr">
        <is>
          <t>IF(OR(F141="",AK141=""),"",IF(COUNT(AI141:AJ141)=0,"",AK141-LOOKUP(2,1/(AI141:AJ141&lt;&gt;""),AI141:AJ141)))</t>
        </is>
      </c>
      <c r="AY141" s="49" t="inlineStr">
        <is>
          <t>IF(OR(F141="",AL141=""),"",IF(COUNT(AI141:AK141)=0,"",AL141-LOOKUP(2,1/(AI141:AK141&lt;&gt;""),AI141:AK141)))</t>
        </is>
      </c>
      <c r="AZ141" s="49" t="inlineStr">
        <is>
          <t>IF(OR(F141="",AM141=""),"",IF(COUNT(AI141:AL141)=0,"",AM141-LOOKUP(2,1/(AI141:AL141&lt;&gt;""),AI141:AL141)))</t>
        </is>
      </c>
      <c r="BA141" s="49" t="inlineStr">
        <is>
          <t>IF(OR(F141="",AN141=""),"",IF(COUNT(AI141:AM141)=0,"",AN141-LOOKUP(2,1/(AI141:AM141&lt;&gt;""),AI141:AM141)))</t>
        </is>
      </c>
      <c r="BB141" s="49" t="inlineStr">
        <is>
          <t>IF(OR(F141="",AO141=""),"",IF(COUNT(AI141:AN141)=0,"",AO141-LOOKUP(2,1/(AI141:AN141&lt;&gt;""),AI141:AN141)))</t>
        </is>
      </c>
      <c r="BC141" s="49" t="inlineStr">
        <is>
          <t>IF(OR(F141="",AP141=""),"",IF(COUNT(AI141:AO141)=0,"",AP141-LOOKUP(2,1/(AI141:AO141&lt;&gt;""),AI141:AO141)))</t>
        </is>
      </c>
      <c r="BD141" s="49" t="inlineStr">
        <is>
          <t>IF(OR(F141="",AQ141=""),"",IF(COUNT(AI141:AP141)=0,"",AQ141-LOOKUP(2,1/(AI141:AP141&lt;&gt;""),AI141:AP141)))</t>
        </is>
      </c>
      <c r="BE141" s="49" t="inlineStr">
        <is>
          <t>IF(OR(F141="",AR141=""),"",IF(COUNT(AI141:AQ141)=0,"",AR141-LOOKUP(2,1/(AI141:AQ141&lt;&gt;""),AI141:AQ141)))</t>
        </is>
      </c>
      <c r="BF141" s="49" t="inlineStr">
        <is>
          <t>IF(OR(F141="",AS141=""),"",IF(COUNT(AI141:AR141)=0,"",AS141-LOOKUP(2,1/(AI141:AR141&lt;&gt;""),AI141:AR141)))</t>
        </is>
      </c>
      <c r="BG141" s="49" t="inlineStr">
        <is>
          <t>IF(OR(F141="",AT141=""),"",IF(COUNT(AI141:AS141)=0,"",AT141-LOOKUP(2,1/(AI141:AS141&lt;&gt;""),AI141:AS141)))</t>
        </is>
      </c>
      <c r="BH141" s="49" t="inlineStr">
        <is>
          <t>IF(OR(F141="",AU141=""),"",IF(COUNT(AI141:AT141)=0,"",AU141-LOOKUP(2,1/(AI141:AT141&lt;&gt;""),AI141:AT141)))</t>
        </is>
      </c>
      <c r="BI141" s="49" t="inlineStr">
        <is>
          <t>IF(OR(F141="",AV141=""),"",IF(COUNT(AI141:AU141)=0,"",AV141-LOOKUP(2,1/(AI141:AU141&lt;&gt;""),AI141:AU141)))</t>
        </is>
      </c>
      <c r="BJ141" s="51" t="inlineStr">
        <is>
          <t>IF(J141="","All_Provinces",IFERROR(VLOOKUP(J141,'09_Lookups'!$A$4:$B$20,2,FALSE),"All_Provinces"))</t>
        </is>
      </c>
      <c r="BK141" s="51" t="inlineStr">
        <is>
          <t>IF(K141="","All_Districts",IFERROR(VLOOKUP(K141,'09_Lookups'!$E$4:$F$42,2,FALSE),"All_Districts"))</t>
        </is>
      </c>
    </row>
    <row r="142" ht="18" customHeight="1">
      <c r="A142" s="42" t="inlineStr">
        <is>
          <t>IF(F142="","",ROW()-3)</t>
        </is>
      </c>
      <c r="B142" s="52" t="n"/>
      <c r="C142" s="52" t="n"/>
      <c r="D142" s="52" t="n"/>
      <c r="E142" s="52" t="n"/>
      <c r="F142" s="52" t="n"/>
      <c r="G142" s="52" t="n"/>
      <c r="H142" s="52" t="n"/>
      <c r="I142" s="52" t="n"/>
      <c r="J142" s="52" t="n"/>
      <c r="K142" s="52" t="n"/>
      <c r="L142" s="52" t="n"/>
      <c r="M142" s="52" t="n"/>
      <c r="N142" s="52" t="n"/>
      <c r="O142" s="52" t="n"/>
      <c r="P142" s="52" t="n"/>
      <c r="Q142" s="52" t="n"/>
      <c r="R142" s="52" t="n"/>
      <c r="S142" s="53" t="n"/>
      <c r="T142" s="46" t="inlineStr">
        <is>
          <t>IF(AQ142="","",AQ142)</t>
        </is>
      </c>
      <c r="U142" s="54" t="n"/>
      <c r="V142" s="55" t="n"/>
      <c r="W142" s="54" t="n"/>
      <c r="X142" s="46" t="inlineStr">
        <is>
          <t>IF(W142&lt;&gt;"",W142,IF(OR(T142="",V142=""),"",EDATE(T142,V142)))</t>
        </is>
      </c>
      <c r="Y142" s="54" t="n"/>
      <c r="Z142" s="55" t="n"/>
      <c r="AA142" s="52" t="n"/>
      <c r="AB142" s="52" t="n"/>
      <c r="AC142" s="42" t="inlineStr">
        <is>
          <t>IF(F142="","",IF(COUNT(AI142:AV142)=0,IF(AA142="","Not started",AA142),SUBSTITUTE(LOOKUP(2,1/(AI142:AV142&lt;&gt;""),$AI$3:$AV$3),"Date: ","")))</t>
        </is>
      </c>
      <c r="AD142" s="49" t="inlineStr">
        <is>
          <t>IF(OR(F142="",COUNT(AI142:AV142)=0),"",TODAY()-LOOKUP(2,1/(AI142:AV142&lt;&gt;""),AI142:AV142))</t>
        </is>
      </c>
      <c r="AE142" s="49" t="inlineStr">
        <is>
          <t>IF(OR(F142="",COUNT(AI142:AV142)&lt;2),"",LOOKUP(2,1/(AI142:AV142&lt;&gt;""),AI142:AV142)-MIN(AI142:AV142))</t>
        </is>
      </c>
      <c r="AF142" s="49" t="inlineStr">
        <is>
          <t>IF(OR(AD142="",AC142="Not started",AC142=""),"",IFERROR(AD142-IF(VLOOKUP(AC142,'06_Status_Pipeline'!$B$3:$E$20,4,FALSE)="",0,VLOOKUP(AC142,'06_Status_Pipeline'!$B$3:$E$20,4,FALSE)),""))</t>
        </is>
      </c>
      <c r="AG142" s="42" t="inlineStr">
        <is>
          <t>IF(F142="","",IF(OR(AA142="Cancelled",AC142="Cancelled"),"Cancelled",IF(OR(AC142="Completed / Handover",Y142&lt;&gt;"",Z142&gt;=100),"Completed — on track",IF(O142="Not awarded",IF(U142="",IF(X142="","No planned date",IF(TODAY()&gt;X142,"Behind — past planned date",IF(X142-TODAY()&lt;=30,"At risk — close to off track","On track"))),IF(TODAY()&gt;U142,"Behind — award date passed",IF(U142-TODAY()&lt;=30,"At risk — close to off track","On track"))),IF(X142="","No planned date",IF(AND(TODAY()&gt;X142,OR(Z142="",Z142&lt;100)),"Behind — past end date",IF(AND(T142&lt;&gt;"",X142&lt;&gt;"",Z142&lt;&gt;"",(Z142&lt;100),((TODAY()-T142)/MAX(X142-T142,1)*100)-Z142&gt;15),"Behind — progress lag",IF(AND(X142-TODAY()&lt;=30,X142-TODAY()&gt;=0,OR(Z142="",Z142&lt;90)),"At risk — close to off track","On track"))))))))</t>
        </is>
      </c>
      <c r="AH142" s="49" t="inlineStr">
        <is>
          <t>IF(OR(F142="",AC142="Completed / Handover",AC142="Cancelled"),"",IF(O142="Not awarded",IF(U142&lt;&gt;"",U142-TODAY(),IF(X142="","",X142-TODAY())),IF(X142="","",X142-TODAY())))</t>
        </is>
      </c>
      <c r="AI142" s="54" t="n"/>
      <c r="AJ142" s="54" t="n"/>
      <c r="AK142" s="54" t="n"/>
      <c r="AL142" s="54" t="n"/>
      <c r="AM142" s="54" t="n"/>
      <c r="AN142" s="54" t="n"/>
      <c r="AO142" s="54" t="n"/>
      <c r="AP142" s="54" t="n"/>
      <c r="AQ142" s="54" t="n"/>
      <c r="AR142" s="54" t="n"/>
      <c r="AS142" s="54" t="n"/>
      <c r="AT142" s="50" t="n"/>
      <c r="AU142" s="50" t="n"/>
      <c r="AV142" s="50" t="n"/>
      <c r="AW142" s="49" t="inlineStr">
        <is>
          <t>IF(OR(F142="",AJ142=""),"",IF(COUNT(AI142:AI142)=0,"",AJ142-LOOKUP(2,1/(AI142:AI142&lt;&gt;""),AI142:AI142)))</t>
        </is>
      </c>
      <c r="AX142" s="49" t="inlineStr">
        <is>
          <t>IF(OR(F142="",AK142=""),"",IF(COUNT(AI142:AJ142)=0,"",AK142-LOOKUP(2,1/(AI142:AJ142&lt;&gt;""),AI142:AJ142)))</t>
        </is>
      </c>
      <c r="AY142" s="49" t="inlineStr">
        <is>
          <t>IF(OR(F142="",AL142=""),"",IF(COUNT(AI142:AK142)=0,"",AL142-LOOKUP(2,1/(AI142:AK142&lt;&gt;""),AI142:AK142)))</t>
        </is>
      </c>
      <c r="AZ142" s="49" t="inlineStr">
        <is>
          <t>IF(OR(F142="",AM142=""),"",IF(COUNT(AI142:AL142)=0,"",AM142-LOOKUP(2,1/(AI142:AL142&lt;&gt;""),AI142:AL142)))</t>
        </is>
      </c>
      <c r="BA142" s="49" t="inlineStr">
        <is>
          <t>IF(OR(F142="",AN142=""),"",IF(COUNT(AI142:AM142)=0,"",AN142-LOOKUP(2,1/(AI142:AM142&lt;&gt;""),AI142:AM142)))</t>
        </is>
      </c>
      <c r="BB142" s="49" t="inlineStr">
        <is>
          <t>IF(OR(F142="",AO142=""),"",IF(COUNT(AI142:AN142)=0,"",AO142-LOOKUP(2,1/(AI142:AN142&lt;&gt;""),AI142:AN142)))</t>
        </is>
      </c>
      <c r="BC142" s="49" t="inlineStr">
        <is>
          <t>IF(OR(F142="",AP142=""),"",IF(COUNT(AI142:AO142)=0,"",AP142-LOOKUP(2,1/(AI142:AO142&lt;&gt;""),AI142:AO142)))</t>
        </is>
      </c>
      <c r="BD142" s="49" t="inlineStr">
        <is>
          <t>IF(OR(F142="",AQ142=""),"",IF(COUNT(AI142:AP142)=0,"",AQ142-LOOKUP(2,1/(AI142:AP142&lt;&gt;""),AI142:AP142)))</t>
        </is>
      </c>
      <c r="BE142" s="49" t="inlineStr">
        <is>
          <t>IF(OR(F142="",AR142=""),"",IF(COUNT(AI142:AQ142)=0,"",AR142-LOOKUP(2,1/(AI142:AQ142&lt;&gt;""),AI142:AQ142)))</t>
        </is>
      </c>
      <c r="BF142" s="49" t="inlineStr">
        <is>
          <t>IF(OR(F142="",AS142=""),"",IF(COUNT(AI142:AR142)=0,"",AS142-LOOKUP(2,1/(AI142:AR142&lt;&gt;""),AI142:AR142)))</t>
        </is>
      </c>
      <c r="BG142" s="49" t="inlineStr">
        <is>
          <t>IF(OR(F142="",AT142=""),"",IF(COUNT(AI142:AS142)=0,"",AT142-LOOKUP(2,1/(AI142:AS142&lt;&gt;""),AI142:AS142)))</t>
        </is>
      </c>
      <c r="BH142" s="49" t="inlineStr">
        <is>
          <t>IF(OR(F142="",AU142=""),"",IF(COUNT(AI142:AT142)=0,"",AU142-LOOKUP(2,1/(AI142:AT142&lt;&gt;""),AI142:AT142)))</t>
        </is>
      </c>
      <c r="BI142" s="49" t="inlineStr">
        <is>
          <t>IF(OR(F142="",AV142=""),"",IF(COUNT(AI142:AU142)=0,"",AV142-LOOKUP(2,1/(AI142:AU142&lt;&gt;""),AI142:AU142)))</t>
        </is>
      </c>
      <c r="BJ142" s="51" t="inlineStr">
        <is>
          <t>IF(J142="","All_Provinces",IFERROR(VLOOKUP(J142,'09_Lookups'!$A$4:$B$20,2,FALSE),"All_Provinces"))</t>
        </is>
      </c>
      <c r="BK142" s="51" t="inlineStr">
        <is>
          <t>IF(K142="","All_Districts",IFERROR(VLOOKUP(K142,'09_Lookups'!$E$4:$F$42,2,FALSE),"All_Districts"))</t>
        </is>
      </c>
    </row>
    <row r="143" ht="18" customHeight="1">
      <c r="A143" s="42" t="inlineStr">
        <is>
          <t>IF(F143="","",ROW()-3)</t>
        </is>
      </c>
      <c r="B143" s="44" t="n"/>
      <c r="C143" s="44" t="n"/>
      <c r="D143" s="44" t="n"/>
      <c r="E143" s="44" t="n"/>
      <c r="F143" s="44" t="n"/>
      <c r="G143" s="44" t="n"/>
      <c r="H143" s="44" t="n"/>
      <c r="I143" s="44" t="n"/>
      <c r="J143" s="44" t="n"/>
      <c r="K143" s="44" t="n"/>
      <c r="L143" s="44" t="n"/>
      <c r="M143" s="44" t="n"/>
      <c r="N143" s="44" t="n"/>
      <c r="O143" s="44" t="n"/>
      <c r="P143" s="44" t="n"/>
      <c r="Q143" s="44" t="n"/>
      <c r="R143" s="44" t="n"/>
      <c r="S143" s="45" t="n"/>
      <c r="T143" s="46" t="inlineStr">
        <is>
          <t>IF(AQ143="","",AQ143)</t>
        </is>
      </c>
      <c r="U143" s="47" t="n"/>
      <c r="V143" s="48" t="n"/>
      <c r="W143" s="47" t="n"/>
      <c r="X143" s="46" t="inlineStr">
        <is>
          <t>IF(W143&lt;&gt;"",W143,IF(OR(T143="",V143=""),"",EDATE(T143,V143)))</t>
        </is>
      </c>
      <c r="Y143" s="47" t="n"/>
      <c r="Z143" s="48" t="n"/>
      <c r="AA143" s="44" t="n"/>
      <c r="AB143" s="44" t="n"/>
      <c r="AC143" s="42" t="inlineStr">
        <is>
          <t>IF(F143="","",IF(COUNT(AI143:AV143)=0,IF(AA143="","Not started",AA143),SUBSTITUTE(LOOKUP(2,1/(AI143:AV143&lt;&gt;""),$AI$3:$AV$3),"Date: ","")))</t>
        </is>
      </c>
      <c r="AD143" s="49" t="inlineStr">
        <is>
          <t>IF(OR(F143="",COUNT(AI143:AV143)=0),"",TODAY()-LOOKUP(2,1/(AI143:AV143&lt;&gt;""),AI143:AV143))</t>
        </is>
      </c>
      <c r="AE143" s="49" t="inlineStr">
        <is>
          <t>IF(OR(F143="",COUNT(AI143:AV143)&lt;2),"",LOOKUP(2,1/(AI143:AV143&lt;&gt;""),AI143:AV143)-MIN(AI143:AV143))</t>
        </is>
      </c>
      <c r="AF143" s="49" t="inlineStr">
        <is>
          <t>IF(OR(AD143="",AC143="Not started",AC143=""),"",IFERROR(AD143-IF(VLOOKUP(AC143,'06_Status_Pipeline'!$B$3:$E$20,4,FALSE)="",0,VLOOKUP(AC143,'06_Status_Pipeline'!$B$3:$E$20,4,FALSE)),""))</t>
        </is>
      </c>
      <c r="AG143" s="42" t="inlineStr">
        <is>
          <t>IF(F143="","",IF(OR(AA143="Cancelled",AC143="Cancelled"),"Cancelled",IF(OR(AC143="Completed / Handover",Y143&lt;&gt;"",Z143&gt;=100),"Completed — on track",IF(O143="Not awarded",IF(U143="",IF(X143="","No planned date",IF(TODAY()&gt;X143,"Behind — past planned date",IF(X143-TODAY()&lt;=30,"At risk — close to off track","On track"))),IF(TODAY()&gt;U143,"Behind — award date passed",IF(U143-TODAY()&lt;=30,"At risk — close to off track","On track"))),IF(X143="","No planned date",IF(AND(TODAY()&gt;X143,OR(Z143="",Z143&lt;100)),"Behind — past end date",IF(AND(T143&lt;&gt;"",X143&lt;&gt;"",Z143&lt;&gt;"",(Z143&lt;100),((TODAY()-T143)/MAX(X143-T143,1)*100)-Z143&gt;15),"Behind — progress lag",IF(AND(X143-TODAY()&lt;=30,X143-TODAY()&gt;=0,OR(Z143="",Z143&lt;90)),"At risk — close to off track","On track"))))))))</t>
        </is>
      </c>
      <c r="AH143" s="49" t="inlineStr">
        <is>
          <t>IF(OR(F143="",AC143="Completed / Handover",AC143="Cancelled"),"",IF(O143="Not awarded",IF(U143&lt;&gt;"",U143-TODAY(),IF(X143="","",X143-TODAY())),IF(X143="","",X143-TODAY())))</t>
        </is>
      </c>
      <c r="AI143" s="47" t="n"/>
      <c r="AJ143" s="47" t="n"/>
      <c r="AK143" s="47" t="n"/>
      <c r="AL143" s="47" t="n"/>
      <c r="AM143" s="47" t="n"/>
      <c r="AN143" s="47" t="n"/>
      <c r="AO143" s="47" t="n"/>
      <c r="AP143" s="47" t="n"/>
      <c r="AQ143" s="47" t="n"/>
      <c r="AR143" s="47" t="n"/>
      <c r="AS143" s="47" t="n"/>
      <c r="AT143" s="50" t="n"/>
      <c r="AU143" s="50" t="n"/>
      <c r="AV143" s="50" t="n"/>
      <c r="AW143" s="49" t="inlineStr">
        <is>
          <t>IF(OR(F143="",AJ143=""),"",IF(COUNT(AI143:AI143)=0,"",AJ143-LOOKUP(2,1/(AI143:AI143&lt;&gt;""),AI143:AI143)))</t>
        </is>
      </c>
      <c r="AX143" s="49" t="inlineStr">
        <is>
          <t>IF(OR(F143="",AK143=""),"",IF(COUNT(AI143:AJ143)=0,"",AK143-LOOKUP(2,1/(AI143:AJ143&lt;&gt;""),AI143:AJ143)))</t>
        </is>
      </c>
      <c r="AY143" s="49" t="inlineStr">
        <is>
          <t>IF(OR(F143="",AL143=""),"",IF(COUNT(AI143:AK143)=0,"",AL143-LOOKUP(2,1/(AI143:AK143&lt;&gt;""),AI143:AK143)))</t>
        </is>
      </c>
      <c r="AZ143" s="49" t="inlineStr">
        <is>
          <t>IF(OR(F143="",AM143=""),"",IF(COUNT(AI143:AL143)=0,"",AM143-LOOKUP(2,1/(AI143:AL143&lt;&gt;""),AI143:AL143)))</t>
        </is>
      </c>
      <c r="BA143" s="49" t="inlineStr">
        <is>
          <t>IF(OR(F143="",AN143=""),"",IF(COUNT(AI143:AM143)=0,"",AN143-LOOKUP(2,1/(AI143:AM143&lt;&gt;""),AI143:AM143)))</t>
        </is>
      </c>
      <c r="BB143" s="49" t="inlineStr">
        <is>
          <t>IF(OR(F143="",AO143=""),"",IF(COUNT(AI143:AN143)=0,"",AO143-LOOKUP(2,1/(AI143:AN143&lt;&gt;""),AI143:AN143)))</t>
        </is>
      </c>
      <c r="BC143" s="49" t="inlineStr">
        <is>
          <t>IF(OR(F143="",AP143=""),"",IF(COUNT(AI143:AO143)=0,"",AP143-LOOKUP(2,1/(AI143:AO143&lt;&gt;""),AI143:AO143)))</t>
        </is>
      </c>
      <c r="BD143" s="49" t="inlineStr">
        <is>
          <t>IF(OR(F143="",AQ143=""),"",IF(COUNT(AI143:AP143)=0,"",AQ143-LOOKUP(2,1/(AI143:AP143&lt;&gt;""),AI143:AP143)))</t>
        </is>
      </c>
      <c r="BE143" s="49" t="inlineStr">
        <is>
          <t>IF(OR(F143="",AR143=""),"",IF(COUNT(AI143:AQ143)=0,"",AR143-LOOKUP(2,1/(AI143:AQ143&lt;&gt;""),AI143:AQ143)))</t>
        </is>
      </c>
      <c r="BF143" s="49" t="inlineStr">
        <is>
          <t>IF(OR(F143="",AS143=""),"",IF(COUNT(AI143:AR143)=0,"",AS143-LOOKUP(2,1/(AI143:AR143&lt;&gt;""),AI143:AR143)))</t>
        </is>
      </c>
      <c r="BG143" s="49" t="inlineStr">
        <is>
          <t>IF(OR(F143="",AT143=""),"",IF(COUNT(AI143:AS143)=0,"",AT143-LOOKUP(2,1/(AI143:AS143&lt;&gt;""),AI143:AS143)))</t>
        </is>
      </c>
      <c r="BH143" s="49" t="inlineStr">
        <is>
          <t>IF(OR(F143="",AU143=""),"",IF(COUNT(AI143:AT143)=0,"",AU143-LOOKUP(2,1/(AI143:AT143&lt;&gt;""),AI143:AT143)))</t>
        </is>
      </c>
      <c r="BI143" s="49" t="inlineStr">
        <is>
          <t>IF(OR(F143="",AV143=""),"",IF(COUNT(AI143:AU143)=0,"",AV143-LOOKUP(2,1/(AI143:AU143&lt;&gt;""),AI143:AU143)))</t>
        </is>
      </c>
      <c r="BJ143" s="51" t="inlineStr">
        <is>
          <t>IF(J143="","All_Provinces",IFERROR(VLOOKUP(J143,'09_Lookups'!$A$4:$B$20,2,FALSE),"All_Provinces"))</t>
        </is>
      </c>
      <c r="BK143" s="51" t="inlineStr">
        <is>
          <t>IF(K143="","All_Districts",IFERROR(VLOOKUP(K143,'09_Lookups'!$E$4:$F$42,2,FALSE),"All_Districts"))</t>
        </is>
      </c>
    </row>
    <row r="144" ht="18" customHeight="1">
      <c r="A144" s="42" t="inlineStr">
        <is>
          <t>IF(F144="","",ROW()-3)</t>
        </is>
      </c>
      <c r="B144" s="52" t="n"/>
      <c r="C144" s="52" t="n"/>
      <c r="D144" s="52" t="n"/>
      <c r="E144" s="52" t="n"/>
      <c r="F144" s="52" t="n"/>
      <c r="G144" s="52" t="n"/>
      <c r="H144" s="52" t="n"/>
      <c r="I144" s="52" t="n"/>
      <c r="J144" s="52" t="n"/>
      <c r="K144" s="52" t="n"/>
      <c r="L144" s="52" t="n"/>
      <c r="M144" s="52" t="n"/>
      <c r="N144" s="52" t="n"/>
      <c r="O144" s="52" t="n"/>
      <c r="P144" s="52" t="n"/>
      <c r="Q144" s="52" t="n"/>
      <c r="R144" s="52" t="n"/>
      <c r="S144" s="53" t="n"/>
      <c r="T144" s="46" t="inlineStr">
        <is>
          <t>IF(AQ144="","",AQ144)</t>
        </is>
      </c>
      <c r="U144" s="54" t="n"/>
      <c r="V144" s="55" t="n"/>
      <c r="W144" s="54" t="n"/>
      <c r="X144" s="46" t="inlineStr">
        <is>
          <t>IF(W144&lt;&gt;"",W144,IF(OR(T144="",V144=""),"",EDATE(T144,V144)))</t>
        </is>
      </c>
      <c r="Y144" s="54" t="n"/>
      <c r="Z144" s="55" t="n"/>
      <c r="AA144" s="52" t="n"/>
      <c r="AB144" s="52" t="n"/>
      <c r="AC144" s="42" t="inlineStr">
        <is>
          <t>IF(F144="","",IF(COUNT(AI144:AV144)=0,IF(AA144="","Not started",AA144),SUBSTITUTE(LOOKUP(2,1/(AI144:AV144&lt;&gt;""),$AI$3:$AV$3),"Date: ","")))</t>
        </is>
      </c>
      <c r="AD144" s="49" t="inlineStr">
        <is>
          <t>IF(OR(F144="",COUNT(AI144:AV144)=0),"",TODAY()-LOOKUP(2,1/(AI144:AV144&lt;&gt;""),AI144:AV144))</t>
        </is>
      </c>
      <c r="AE144" s="49" t="inlineStr">
        <is>
          <t>IF(OR(F144="",COUNT(AI144:AV144)&lt;2),"",LOOKUP(2,1/(AI144:AV144&lt;&gt;""),AI144:AV144)-MIN(AI144:AV144))</t>
        </is>
      </c>
      <c r="AF144" s="49" t="inlineStr">
        <is>
          <t>IF(OR(AD144="",AC144="Not started",AC144=""),"",IFERROR(AD144-IF(VLOOKUP(AC144,'06_Status_Pipeline'!$B$3:$E$20,4,FALSE)="",0,VLOOKUP(AC144,'06_Status_Pipeline'!$B$3:$E$20,4,FALSE)),""))</t>
        </is>
      </c>
      <c r="AG144" s="42" t="inlineStr">
        <is>
          <t>IF(F144="","",IF(OR(AA144="Cancelled",AC144="Cancelled"),"Cancelled",IF(OR(AC144="Completed / Handover",Y144&lt;&gt;"",Z144&gt;=100),"Completed — on track",IF(O144="Not awarded",IF(U144="",IF(X144="","No planned date",IF(TODAY()&gt;X144,"Behind — past planned date",IF(X144-TODAY()&lt;=30,"At risk — close to off track","On track"))),IF(TODAY()&gt;U144,"Behind — award date passed",IF(U144-TODAY()&lt;=30,"At risk — close to off track","On track"))),IF(X144="","No planned date",IF(AND(TODAY()&gt;X144,OR(Z144="",Z144&lt;100)),"Behind — past end date",IF(AND(T144&lt;&gt;"",X144&lt;&gt;"",Z144&lt;&gt;"",(Z144&lt;100),((TODAY()-T144)/MAX(X144-T144,1)*100)-Z144&gt;15),"Behind — progress lag",IF(AND(X144-TODAY()&lt;=30,X144-TODAY()&gt;=0,OR(Z144="",Z144&lt;90)),"At risk — close to off track","On track"))))))))</t>
        </is>
      </c>
      <c r="AH144" s="49" t="inlineStr">
        <is>
          <t>IF(OR(F144="",AC144="Completed / Handover",AC144="Cancelled"),"",IF(O144="Not awarded",IF(U144&lt;&gt;"",U144-TODAY(),IF(X144="","",X144-TODAY())),IF(X144="","",X144-TODAY())))</t>
        </is>
      </c>
      <c r="AI144" s="54" t="n"/>
      <c r="AJ144" s="54" t="n"/>
      <c r="AK144" s="54" t="n"/>
      <c r="AL144" s="54" t="n"/>
      <c r="AM144" s="54" t="n"/>
      <c r="AN144" s="54" t="n"/>
      <c r="AO144" s="54" t="n"/>
      <c r="AP144" s="54" t="n"/>
      <c r="AQ144" s="54" t="n"/>
      <c r="AR144" s="54" t="n"/>
      <c r="AS144" s="54" t="n"/>
      <c r="AT144" s="50" t="n"/>
      <c r="AU144" s="50" t="n"/>
      <c r="AV144" s="50" t="n"/>
      <c r="AW144" s="49" t="inlineStr">
        <is>
          <t>IF(OR(F144="",AJ144=""),"",IF(COUNT(AI144:AI144)=0,"",AJ144-LOOKUP(2,1/(AI144:AI144&lt;&gt;""),AI144:AI144)))</t>
        </is>
      </c>
      <c r="AX144" s="49" t="inlineStr">
        <is>
          <t>IF(OR(F144="",AK144=""),"",IF(COUNT(AI144:AJ144)=0,"",AK144-LOOKUP(2,1/(AI144:AJ144&lt;&gt;""),AI144:AJ144)))</t>
        </is>
      </c>
      <c r="AY144" s="49" t="inlineStr">
        <is>
          <t>IF(OR(F144="",AL144=""),"",IF(COUNT(AI144:AK144)=0,"",AL144-LOOKUP(2,1/(AI144:AK144&lt;&gt;""),AI144:AK144)))</t>
        </is>
      </c>
      <c r="AZ144" s="49" t="inlineStr">
        <is>
          <t>IF(OR(F144="",AM144=""),"",IF(COUNT(AI144:AL144)=0,"",AM144-LOOKUP(2,1/(AI144:AL144&lt;&gt;""),AI144:AL144)))</t>
        </is>
      </c>
      <c r="BA144" s="49" t="inlineStr">
        <is>
          <t>IF(OR(F144="",AN144=""),"",IF(COUNT(AI144:AM144)=0,"",AN144-LOOKUP(2,1/(AI144:AM144&lt;&gt;""),AI144:AM144)))</t>
        </is>
      </c>
      <c r="BB144" s="49" t="inlineStr">
        <is>
          <t>IF(OR(F144="",AO144=""),"",IF(COUNT(AI144:AN144)=0,"",AO144-LOOKUP(2,1/(AI144:AN144&lt;&gt;""),AI144:AN144)))</t>
        </is>
      </c>
      <c r="BC144" s="49" t="inlineStr">
        <is>
          <t>IF(OR(F144="",AP144=""),"",IF(COUNT(AI144:AO144)=0,"",AP144-LOOKUP(2,1/(AI144:AO144&lt;&gt;""),AI144:AO144)))</t>
        </is>
      </c>
      <c r="BD144" s="49" t="inlineStr">
        <is>
          <t>IF(OR(F144="",AQ144=""),"",IF(COUNT(AI144:AP144)=0,"",AQ144-LOOKUP(2,1/(AI144:AP144&lt;&gt;""),AI144:AP144)))</t>
        </is>
      </c>
      <c r="BE144" s="49" t="inlineStr">
        <is>
          <t>IF(OR(F144="",AR144=""),"",IF(COUNT(AI144:AQ144)=0,"",AR144-LOOKUP(2,1/(AI144:AQ144&lt;&gt;""),AI144:AQ144)))</t>
        </is>
      </c>
      <c r="BF144" s="49" t="inlineStr">
        <is>
          <t>IF(OR(F144="",AS144=""),"",IF(COUNT(AI144:AR144)=0,"",AS144-LOOKUP(2,1/(AI144:AR144&lt;&gt;""),AI144:AR144)))</t>
        </is>
      </c>
      <c r="BG144" s="49" t="inlineStr">
        <is>
          <t>IF(OR(F144="",AT144=""),"",IF(COUNT(AI144:AS144)=0,"",AT144-LOOKUP(2,1/(AI144:AS144&lt;&gt;""),AI144:AS144)))</t>
        </is>
      </c>
      <c r="BH144" s="49" t="inlineStr">
        <is>
          <t>IF(OR(F144="",AU144=""),"",IF(COUNT(AI144:AT144)=0,"",AU144-LOOKUP(2,1/(AI144:AT144&lt;&gt;""),AI144:AT144)))</t>
        </is>
      </c>
      <c r="BI144" s="49" t="inlineStr">
        <is>
          <t>IF(OR(F144="",AV144=""),"",IF(COUNT(AI144:AU144)=0,"",AV144-LOOKUP(2,1/(AI144:AU144&lt;&gt;""),AI144:AU144)))</t>
        </is>
      </c>
      <c r="BJ144" s="51" t="inlineStr">
        <is>
          <t>IF(J144="","All_Provinces",IFERROR(VLOOKUP(J144,'09_Lookups'!$A$4:$B$20,2,FALSE),"All_Provinces"))</t>
        </is>
      </c>
      <c r="BK144" s="51" t="inlineStr">
        <is>
          <t>IF(K144="","All_Districts",IFERROR(VLOOKUP(K144,'09_Lookups'!$E$4:$F$42,2,FALSE),"All_Districts"))</t>
        </is>
      </c>
    </row>
    <row r="145" ht="18" customHeight="1">
      <c r="A145" s="42" t="inlineStr">
        <is>
          <t>IF(F145="","",ROW()-3)</t>
        </is>
      </c>
      <c r="B145" s="44" t="n"/>
      <c r="C145" s="44" t="n"/>
      <c r="D145" s="44" t="n"/>
      <c r="E145" s="44" t="n"/>
      <c r="F145" s="44" t="n"/>
      <c r="G145" s="44" t="n"/>
      <c r="H145" s="44" t="n"/>
      <c r="I145" s="44" t="n"/>
      <c r="J145" s="44" t="n"/>
      <c r="K145" s="44" t="n"/>
      <c r="L145" s="44" t="n"/>
      <c r="M145" s="44" t="n"/>
      <c r="N145" s="44" t="n"/>
      <c r="O145" s="44" t="n"/>
      <c r="P145" s="44" t="n"/>
      <c r="Q145" s="44" t="n"/>
      <c r="R145" s="44" t="n"/>
      <c r="S145" s="45" t="n"/>
      <c r="T145" s="46" t="inlineStr">
        <is>
          <t>IF(AQ145="","",AQ145)</t>
        </is>
      </c>
      <c r="U145" s="47" t="n"/>
      <c r="V145" s="48" t="n"/>
      <c r="W145" s="47" t="n"/>
      <c r="X145" s="46" t="inlineStr">
        <is>
          <t>IF(W145&lt;&gt;"",W145,IF(OR(T145="",V145=""),"",EDATE(T145,V145)))</t>
        </is>
      </c>
      <c r="Y145" s="47" t="n"/>
      <c r="Z145" s="48" t="n"/>
      <c r="AA145" s="44" t="n"/>
      <c r="AB145" s="44" t="n"/>
      <c r="AC145" s="42" t="inlineStr">
        <is>
          <t>IF(F145="","",IF(COUNT(AI145:AV145)=0,IF(AA145="","Not started",AA145),SUBSTITUTE(LOOKUP(2,1/(AI145:AV145&lt;&gt;""),$AI$3:$AV$3),"Date: ","")))</t>
        </is>
      </c>
      <c r="AD145" s="49" t="inlineStr">
        <is>
          <t>IF(OR(F145="",COUNT(AI145:AV145)=0),"",TODAY()-LOOKUP(2,1/(AI145:AV145&lt;&gt;""),AI145:AV145))</t>
        </is>
      </c>
      <c r="AE145" s="49" t="inlineStr">
        <is>
          <t>IF(OR(F145="",COUNT(AI145:AV145)&lt;2),"",LOOKUP(2,1/(AI145:AV145&lt;&gt;""),AI145:AV145)-MIN(AI145:AV145))</t>
        </is>
      </c>
      <c r="AF145" s="49" t="inlineStr">
        <is>
          <t>IF(OR(AD145="",AC145="Not started",AC145=""),"",IFERROR(AD145-IF(VLOOKUP(AC145,'06_Status_Pipeline'!$B$3:$E$20,4,FALSE)="",0,VLOOKUP(AC145,'06_Status_Pipeline'!$B$3:$E$20,4,FALSE)),""))</t>
        </is>
      </c>
      <c r="AG145" s="42" t="inlineStr">
        <is>
          <t>IF(F145="","",IF(OR(AA145="Cancelled",AC145="Cancelled"),"Cancelled",IF(OR(AC145="Completed / Handover",Y145&lt;&gt;"",Z145&gt;=100),"Completed — on track",IF(O145="Not awarded",IF(U145="",IF(X145="","No planned date",IF(TODAY()&gt;X145,"Behind — past planned date",IF(X145-TODAY()&lt;=30,"At risk — close to off track","On track"))),IF(TODAY()&gt;U145,"Behind — award date passed",IF(U145-TODAY()&lt;=30,"At risk — close to off track","On track"))),IF(X145="","No planned date",IF(AND(TODAY()&gt;X145,OR(Z145="",Z145&lt;100)),"Behind — past end date",IF(AND(T145&lt;&gt;"",X145&lt;&gt;"",Z145&lt;&gt;"",(Z145&lt;100),((TODAY()-T145)/MAX(X145-T145,1)*100)-Z145&gt;15),"Behind — progress lag",IF(AND(X145-TODAY()&lt;=30,X145-TODAY()&gt;=0,OR(Z145="",Z145&lt;90)),"At risk — close to off track","On track"))))))))</t>
        </is>
      </c>
      <c r="AH145" s="49" t="inlineStr">
        <is>
          <t>IF(OR(F145="",AC145="Completed / Handover",AC145="Cancelled"),"",IF(O145="Not awarded",IF(U145&lt;&gt;"",U145-TODAY(),IF(X145="","",X145-TODAY())),IF(X145="","",X145-TODAY())))</t>
        </is>
      </c>
      <c r="AI145" s="47" t="n"/>
      <c r="AJ145" s="47" t="n"/>
      <c r="AK145" s="47" t="n"/>
      <c r="AL145" s="47" t="n"/>
      <c r="AM145" s="47" t="n"/>
      <c r="AN145" s="47" t="n"/>
      <c r="AO145" s="47" t="n"/>
      <c r="AP145" s="47" t="n"/>
      <c r="AQ145" s="47" t="n"/>
      <c r="AR145" s="47" t="n"/>
      <c r="AS145" s="47" t="n"/>
      <c r="AT145" s="50" t="n"/>
      <c r="AU145" s="50" t="n"/>
      <c r="AV145" s="50" t="n"/>
      <c r="AW145" s="49" t="inlineStr">
        <is>
          <t>IF(OR(F145="",AJ145=""),"",IF(COUNT(AI145:AI145)=0,"",AJ145-LOOKUP(2,1/(AI145:AI145&lt;&gt;""),AI145:AI145)))</t>
        </is>
      </c>
      <c r="AX145" s="49" t="inlineStr">
        <is>
          <t>IF(OR(F145="",AK145=""),"",IF(COUNT(AI145:AJ145)=0,"",AK145-LOOKUP(2,1/(AI145:AJ145&lt;&gt;""),AI145:AJ145)))</t>
        </is>
      </c>
      <c r="AY145" s="49" t="inlineStr">
        <is>
          <t>IF(OR(F145="",AL145=""),"",IF(COUNT(AI145:AK145)=0,"",AL145-LOOKUP(2,1/(AI145:AK145&lt;&gt;""),AI145:AK145)))</t>
        </is>
      </c>
      <c r="AZ145" s="49" t="inlineStr">
        <is>
          <t>IF(OR(F145="",AM145=""),"",IF(COUNT(AI145:AL145)=0,"",AM145-LOOKUP(2,1/(AI145:AL145&lt;&gt;""),AI145:AL145)))</t>
        </is>
      </c>
      <c r="BA145" s="49" t="inlineStr">
        <is>
          <t>IF(OR(F145="",AN145=""),"",IF(COUNT(AI145:AM145)=0,"",AN145-LOOKUP(2,1/(AI145:AM145&lt;&gt;""),AI145:AM145)))</t>
        </is>
      </c>
      <c r="BB145" s="49" t="inlineStr">
        <is>
          <t>IF(OR(F145="",AO145=""),"",IF(COUNT(AI145:AN145)=0,"",AO145-LOOKUP(2,1/(AI145:AN145&lt;&gt;""),AI145:AN145)))</t>
        </is>
      </c>
      <c r="BC145" s="49" t="inlineStr">
        <is>
          <t>IF(OR(F145="",AP145=""),"",IF(COUNT(AI145:AO145)=0,"",AP145-LOOKUP(2,1/(AI145:AO145&lt;&gt;""),AI145:AO145)))</t>
        </is>
      </c>
      <c r="BD145" s="49" t="inlineStr">
        <is>
          <t>IF(OR(F145="",AQ145=""),"",IF(COUNT(AI145:AP145)=0,"",AQ145-LOOKUP(2,1/(AI145:AP145&lt;&gt;""),AI145:AP145)))</t>
        </is>
      </c>
      <c r="BE145" s="49" t="inlineStr">
        <is>
          <t>IF(OR(F145="",AR145=""),"",IF(COUNT(AI145:AQ145)=0,"",AR145-LOOKUP(2,1/(AI145:AQ145&lt;&gt;""),AI145:AQ145)))</t>
        </is>
      </c>
      <c r="BF145" s="49" t="inlineStr">
        <is>
          <t>IF(OR(F145="",AS145=""),"",IF(COUNT(AI145:AR145)=0,"",AS145-LOOKUP(2,1/(AI145:AR145&lt;&gt;""),AI145:AR145)))</t>
        </is>
      </c>
      <c r="BG145" s="49" t="inlineStr">
        <is>
          <t>IF(OR(F145="",AT145=""),"",IF(COUNT(AI145:AS145)=0,"",AT145-LOOKUP(2,1/(AI145:AS145&lt;&gt;""),AI145:AS145)))</t>
        </is>
      </c>
      <c r="BH145" s="49" t="inlineStr">
        <is>
          <t>IF(OR(F145="",AU145=""),"",IF(COUNT(AI145:AT145)=0,"",AU145-LOOKUP(2,1/(AI145:AT145&lt;&gt;""),AI145:AT145)))</t>
        </is>
      </c>
      <c r="BI145" s="49" t="inlineStr">
        <is>
          <t>IF(OR(F145="",AV145=""),"",IF(COUNT(AI145:AU145)=0,"",AV145-LOOKUP(2,1/(AI145:AU145&lt;&gt;""),AI145:AU145)))</t>
        </is>
      </c>
      <c r="BJ145" s="51" t="inlineStr">
        <is>
          <t>IF(J145="","All_Provinces",IFERROR(VLOOKUP(J145,'09_Lookups'!$A$4:$B$20,2,FALSE),"All_Provinces"))</t>
        </is>
      </c>
      <c r="BK145" s="51" t="inlineStr">
        <is>
          <t>IF(K145="","All_Districts",IFERROR(VLOOKUP(K145,'09_Lookups'!$E$4:$F$42,2,FALSE),"All_Districts"))</t>
        </is>
      </c>
    </row>
    <row r="146" ht="18" customHeight="1">
      <c r="A146" s="42" t="inlineStr">
        <is>
          <t>IF(F146="","",ROW()-3)</t>
        </is>
      </c>
      <c r="B146" s="52" t="n"/>
      <c r="C146" s="52" t="n"/>
      <c r="D146" s="52" t="n"/>
      <c r="E146" s="52" t="n"/>
      <c r="F146" s="52" t="n"/>
      <c r="G146" s="52" t="n"/>
      <c r="H146" s="52" t="n"/>
      <c r="I146" s="52" t="n"/>
      <c r="J146" s="52" t="n"/>
      <c r="K146" s="52" t="n"/>
      <c r="L146" s="52" t="n"/>
      <c r="M146" s="52" t="n"/>
      <c r="N146" s="52" t="n"/>
      <c r="O146" s="52" t="n"/>
      <c r="P146" s="52" t="n"/>
      <c r="Q146" s="52" t="n"/>
      <c r="R146" s="52" t="n"/>
      <c r="S146" s="53" t="n"/>
      <c r="T146" s="46" t="inlineStr">
        <is>
          <t>IF(AQ146="","",AQ146)</t>
        </is>
      </c>
      <c r="U146" s="54" t="n"/>
      <c r="V146" s="55" t="n"/>
      <c r="W146" s="54" t="n"/>
      <c r="X146" s="46" t="inlineStr">
        <is>
          <t>IF(W146&lt;&gt;"",W146,IF(OR(T146="",V146=""),"",EDATE(T146,V146)))</t>
        </is>
      </c>
      <c r="Y146" s="54" t="n"/>
      <c r="Z146" s="55" t="n"/>
      <c r="AA146" s="52" t="n"/>
      <c r="AB146" s="52" t="n"/>
      <c r="AC146" s="42" t="inlineStr">
        <is>
          <t>IF(F146="","",IF(COUNT(AI146:AV146)=0,IF(AA146="","Not started",AA146),SUBSTITUTE(LOOKUP(2,1/(AI146:AV146&lt;&gt;""),$AI$3:$AV$3),"Date: ","")))</t>
        </is>
      </c>
      <c r="AD146" s="49" t="inlineStr">
        <is>
          <t>IF(OR(F146="",COUNT(AI146:AV146)=0),"",TODAY()-LOOKUP(2,1/(AI146:AV146&lt;&gt;""),AI146:AV146))</t>
        </is>
      </c>
      <c r="AE146" s="49" t="inlineStr">
        <is>
          <t>IF(OR(F146="",COUNT(AI146:AV146)&lt;2),"",LOOKUP(2,1/(AI146:AV146&lt;&gt;""),AI146:AV146)-MIN(AI146:AV146))</t>
        </is>
      </c>
      <c r="AF146" s="49" t="inlineStr">
        <is>
          <t>IF(OR(AD146="",AC146="Not started",AC146=""),"",IFERROR(AD146-IF(VLOOKUP(AC146,'06_Status_Pipeline'!$B$3:$E$20,4,FALSE)="",0,VLOOKUP(AC146,'06_Status_Pipeline'!$B$3:$E$20,4,FALSE)),""))</t>
        </is>
      </c>
      <c r="AG146" s="42" t="inlineStr">
        <is>
          <t>IF(F146="","",IF(OR(AA146="Cancelled",AC146="Cancelled"),"Cancelled",IF(OR(AC146="Completed / Handover",Y146&lt;&gt;"",Z146&gt;=100),"Completed — on track",IF(O146="Not awarded",IF(U146="",IF(X146="","No planned date",IF(TODAY()&gt;X146,"Behind — past planned date",IF(X146-TODAY()&lt;=30,"At risk — close to off track","On track"))),IF(TODAY()&gt;U146,"Behind — award date passed",IF(U146-TODAY()&lt;=30,"At risk — close to off track","On track"))),IF(X146="","No planned date",IF(AND(TODAY()&gt;X146,OR(Z146="",Z146&lt;100)),"Behind — past end date",IF(AND(T146&lt;&gt;"",X146&lt;&gt;"",Z146&lt;&gt;"",(Z146&lt;100),((TODAY()-T146)/MAX(X146-T146,1)*100)-Z146&gt;15),"Behind — progress lag",IF(AND(X146-TODAY()&lt;=30,X146-TODAY()&gt;=0,OR(Z146="",Z146&lt;90)),"At risk — close to off track","On track"))))))))</t>
        </is>
      </c>
      <c r="AH146" s="49" t="inlineStr">
        <is>
          <t>IF(OR(F146="",AC146="Completed / Handover",AC146="Cancelled"),"",IF(O146="Not awarded",IF(U146&lt;&gt;"",U146-TODAY(),IF(X146="","",X146-TODAY())),IF(X146="","",X146-TODAY())))</t>
        </is>
      </c>
      <c r="AI146" s="54" t="n"/>
      <c r="AJ146" s="54" t="n"/>
      <c r="AK146" s="54" t="n"/>
      <c r="AL146" s="54" t="n"/>
      <c r="AM146" s="54" t="n"/>
      <c r="AN146" s="54" t="n"/>
      <c r="AO146" s="54" t="n"/>
      <c r="AP146" s="54" t="n"/>
      <c r="AQ146" s="54" t="n"/>
      <c r="AR146" s="54" t="n"/>
      <c r="AS146" s="54" t="n"/>
      <c r="AT146" s="50" t="n"/>
      <c r="AU146" s="50" t="n"/>
      <c r="AV146" s="50" t="n"/>
      <c r="AW146" s="49" t="inlineStr">
        <is>
          <t>IF(OR(F146="",AJ146=""),"",IF(COUNT(AI146:AI146)=0,"",AJ146-LOOKUP(2,1/(AI146:AI146&lt;&gt;""),AI146:AI146)))</t>
        </is>
      </c>
      <c r="AX146" s="49" t="inlineStr">
        <is>
          <t>IF(OR(F146="",AK146=""),"",IF(COUNT(AI146:AJ146)=0,"",AK146-LOOKUP(2,1/(AI146:AJ146&lt;&gt;""),AI146:AJ146)))</t>
        </is>
      </c>
      <c r="AY146" s="49" t="inlineStr">
        <is>
          <t>IF(OR(F146="",AL146=""),"",IF(COUNT(AI146:AK146)=0,"",AL146-LOOKUP(2,1/(AI146:AK146&lt;&gt;""),AI146:AK146)))</t>
        </is>
      </c>
      <c r="AZ146" s="49" t="inlineStr">
        <is>
          <t>IF(OR(F146="",AM146=""),"",IF(COUNT(AI146:AL146)=0,"",AM146-LOOKUP(2,1/(AI146:AL146&lt;&gt;""),AI146:AL146)))</t>
        </is>
      </c>
      <c r="BA146" s="49" t="inlineStr">
        <is>
          <t>IF(OR(F146="",AN146=""),"",IF(COUNT(AI146:AM146)=0,"",AN146-LOOKUP(2,1/(AI146:AM146&lt;&gt;""),AI146:AM146)))</t>
        </is>
      </c>
      <c r="BB146" s="49" t="inlineStr">
        <is>
          <t>IF(OR(F146="",AO146=""),"",IF(COUNT(AI146:AN146)=0,"",AO146-LOOKUP(2,1/(AI146:AN146&lt;&gt;""),AI146:AN146)))</t>
        </is>
      </c>
      <c r="BC146" s="49" t="inlineStr">
        <is>
          <t>IF(OR(F146="",AP146=""),"",IF(COUNT(AI146:AO146)=0,"",AP146-LOOKUP(2,1/(AI146:AO146&lt;&gt;""),AI146:AO146)))</t>
        </is>
      </c>
      <c r="BD146" s="49" t="inlineStr">
        <is>
          <t>IF(OR(F146="",AQ146=""),"",IF(COUNT(AI146:AP146)=0,"",AQ146-LOOKUP(2,1/(AI146:AP146&lt;&gt;""),AI146:AP146)))</t>
        </is>
      </c>
      <c r="BE146" s="49" t="inlineStr">
        <is>
          <t>IF(OR(F146="",AR146=""),"",IF(COUNT(AI146:AQ146)=0,"",AR146-LOOKUP(2,1/(AI146:AQ146&lt;&gt;""),AI146:AQ146)))</t>
        </is>
      </c>
      <c r="BF146" s="49" t="inlineStr">
        <is>
          <t>IF(OR(F146="",AS146=""),"",IF(COUNT(AI146:AR146)=0,"",AS146-LOOKUP(2,1/(AI146:AR146&lt;&gt;""),AI146:AR146)))</t>
        </is>
      </c>
      <c r="BG146" s="49" t="inlineStr">
        <is>
          <t>IF(OR(F146="",AT146=""),"",IF(COUNT(AI146:AS146)=0,"",AT146-LOOKUP(2,1/(AI146:AS146&lt;&gt;""),AI146:AS146)))</t>
        </is>
      </c>
      <c r="BH146" s="49" t="inlineStr">
        <is>
          <t>IF(OR(F146="",AU146=""),"",IF(COUNT(AI146:AT146)=0,"",AU146-LOOKUP(2,1/(AI146:AT146&lt;&gt;""),AI146:AT146)))</t>
        </is>
      </c>
      <c r="BI146" s="49" t="inlineStr">
        <is>
          <t>IF(OR(F146="",AV146=""),"",IF(COUNT(AI146:AU146)=0,"",AV146-LOOKUP(2,1/(AI146:AU146&lt;&gt;""),AI146:AU146)))</t>
        </is>
      </c>
      <c r="BJ146" s="51" t="inlineStr">
        <is>
          <t>IF(J146="","All_Provinces",IFERROR(VLOOKUP(J146,'09_Lookups'!$A$4:$B$20,2,FALSE),"All_Provinces"))</t>
        </is>
      </c>
      <c r="BK146" s="51" t="inlineStr">
        <is>
          <t>IF(K146="","All_Districts",IFERROR(VLOOKUP(K146,'09_Lookups'!$E$4:$F$42,2,FALSE),"All_Districts"))</t>
        </is>
      </c>
    </row>
    <row r="147" ht="18" customHeight="1">
      <c r="A147" s="42" t="inlineStr">
        <is>
          <t>IF(F147="","",ROW()-3)</t>
        </is>
      </c>
      <c r="B147" s="44" t="n"/>
      <c r="C147" s="44" t="n"/>
      <c r="D147" s="44" t="n"/>
      <c r="E147" s="44" t="n"/>
      <c r="F147" s="44" t="n"/>
      <c r="G147" s="44" t="n"/>
      <c r="H147" s="44" t="n"/>
      <c r="I147" s="44" t="n"/>
      <c r="J147" s="44" t="n"/>
      <c r="K147" s="44" t="n"/>
      <c r="L147" s="44" t="n"/>
      <c r="M147" s="44" t="n"/>
      <c r="N147" s="44" t="n"/>
      <c r="O147" s="44" t="n"/>
      <c r="P147" s="44" t="n"/>
      <c r="Q147" s="44" t="n"/>
      <c r="R147" s="44" t="n"/>
      <c r="S147" s="45" t="n"/>
      <c r="T147" s="46" t="inlineStr">
        <is>
          <t>IF(AQ147="","",AQ147)</t>
        </is>
      </c>
      <c r="U147" s="47" t="n"/>
      <c r="V147" s="48" t="n"/>
      <c r="W147" s="47" t="n"/>
      <c r="X147" s="46" t="inlineStr">
        <is>
          <t>IF(W147&lt;&gt;"",W147,IF(OR(T147="",V147=""),"",EDATE(T147,V147)))</t>
        </is>
      </c>
      <c r="Y147" s="47" t="n"/>
      <c r="Z147" s="48" t="n"/>
      <c r="AA147" s="44" t="n"/>
      <c r="AB147" s="44" t="n"/>
      <c r="AC147" s="42" t="inlineStr">
        <is>
          <t>IF(F147="","",IF(COUNT(AI147:AV147)=0,IF(AA147="","Not started",AA147),SUBSTITUTE(LOOKUP(2,1/(AI147:AV147&lt;&gt;""),$AI$3:$AV$3),"Date: ","")))</t>
        </is>
      </c>
      <c r="AD147" s="49" t="inlineStr">
        <is>
          <t>IF(OR(F147="",COUNT(AI147:AV147)=0),"",TODAY()-LOOKUP(2,1/(AI147:AV147&lt;&gt;""),AI147:AV147))</t>
        </is>
      </c>
      <c r="AE147" s="49" t="inlineStr">
        <is>
          <t>IF(OR(F147="",COUNT(AI147:AV147)&lt;2),"",LOOKUP(2,1/(AI147:AV147&lt;&gt;""),AI147:AV147)-MIN(AI147:AV147))</t>
        </is>
      </c>
      <c r="AF147" s="49" t="inlineStr">
        <is>
          <t>IF(OR(AD147="",AC147="Not started",AC147=""),"",IFERROR(AD147-IF(VLOOKUP(AC147,'06_Status_Pipeline'!$B$3:$E$20,4,FALSE)="",0,VLOOKUP(AC147,'06_Status_Pipeline'!$B$3:$E$20,4,FALSE)),""))</t>
        </is>
      </c>
      <c r="AG147" s="42" t="inlineStr">
        <is>
          <t>IF(F147="","",IF(OR(AA147="Cancelled",AC147="Cancelled"),"Cancelled",IF(OR(AC147="Completed / Handover",Y147&lt;&gt;"",Z147&gt;=100),"Completed — on track",IF(O147="Not awarded",IF(U147="",IF(X147="","No planned date",IF(TODAY()&gt;X147,"Behind — past planned date",IF(X147-TODAY()&lt;=30,"At risk — close to off track","On track"))),IF(TODAY()&gt;U147,"Behind — award date passed",IF(U147-TODAY()&lt;=30,"At risk — close to off track","On track"))),IF(X147="","No planned date",IF(AND(TODAY()&gt;X147,OR(Z147="",Z147&lt;100)),"Behind — past end date",IF(AND(T147&lt;&gt;"",X147&lt;&gt;"",Z147&lt;&gt;"",(Z147&lt;100),((TODAY()-T147)/MAX(X147-T147,1)*100)-Z147&gt;15),"Behind — progress lag",IF(AND(X147-TODAY()&lt;=30,X147-TODAY()&gt;=0,OR(Z147="",Z147&lt;90)),"At risk — close to off track","On track"))))))))</t>
        </is>
      </c>
      <c r="AH147" s="49" t="inlineStr">
        <is>
          <t>IF(OR(F147="",AC147="Completed / Handover",AC147="Cancelled"),"",IF(O147="Not awarded",IF(U147&lt;&gt;"",U147-TODAY(),IF(X147="","",X147-TODAY())),IF(X147="","",X147-TODAY())))</t>
        </is>
      </c>
      <c r="AI147" s="47" t="n"/>
      <c r="AJ147" s="47" t="n"/>
      <c r="AK147" s="47" t="n"/>
      <c r="AL147" s="47" t="n"/>
      <c r="AM147" s="47" t="n"/>
      <c r="AN147" s="47" t="n"/>
      <c r="AO147" s="47" t="n"/>
      <c r="AP147" s="47" t="n"/>
      <c r="AQ147" s="47" t="n"/>
      <c r="AR147" s="47" t="n"/>
      <c r="AS147" s="47" t="n"/>
      <c r="AT147" s="50" t="n"/>
      <c r="AU147" s="50" t="n"/>
      <c r="AV147" s="50" t="n"/>
      <c r="AW147" s="49" t="inlineStr">
        <is>
          <t>IF(OR(F147="",AJ147=""),"",IF(COUNT(AI147:AI147)=0,"",AJ147-LOOKUP(2,1/(AI147:AI147&lt;&gt;""),AI147:AI147)))</t>
        </is>
      </c>
      <c r="AX147" s="49" t="inlineStr">
        <is>
          <t>IF(OR(F147="",AK147=""),"",IF(COUNT(AI147:AJ147)=0,"",AK147-LOOKUP(2,1/(AI147:AJ147&lt;&gt;""),AI147:AJ147)))</t>
        </is>
      </c>
      <c r="AY147" s="49" t="inlineStr">
        <is>
          <t>IF(OR(F147="",AL147=""),"",IF(COUNT(AI147:AK147)=0,"",AL147-LOOKUP(2,1/(AI147:AK147&lt;&gt;""),AI147:AK147)))</t>
        </is>
      </c>
      <c r="AZ147" s="49" t="inlineStr">
        <is>
          <t>IF(OR(F147="",AM147=""),"",IF(COUNT(AI147:AL147)=0,"",AM147-LOOKUP(2,1/(AI147:AL147&lt;&gt;""),AI147:AL147)))</t>
        </is>
      </c>
      <c r="BA147" s="49" t="inlineStr">
        <is>
          <t>IF(OR(F147="",AN147=""),"",IF(COUNT(AI147:AM147)=0,"",AN147-LOOKUP(2,1/(AI147:AM147&lt;&gt;""),AI147:AM147)))</t>
        </is>
      </c>
      <c r="BB147" s="49" t="inlineStr">
        <is>
          <t>IF(OR(F147="",AO147=""),"",IF(COUNT(AI147:AN147)=0,"",AO147-LOOKUP(2,1/(AI147:AN147&lt;&gt;""),AI147:AN147)))</t>
        </is>
      </c>
      <c r="BC147" s="49" t="inlineStr">
        <is>
          <t>IF(OR(F147="",AP147=""),"",IF(COUNT(AI147:AO147)=0,"",AP147-LOOKUP(2,1/(AI147:AO147&lt;&gt;""),AI147:AO147)))</t>
        </is>
      </c>
      <c r="BD147" s="49" t="inlineStr">
        <is>
          <t>IF(OR(F147="",AQ147=""),"",IF(COUNT(AI147:AP147)=0,"",AQ147-LOOKUP(2,1/(AI147:AP147&lt;&gt;""),AI147:AP147)))</t>
        </is>
      </c>
      <c r="BE147" s="49" t="inlineStr">
        <is>
          <t>IF(OR(F147="",AR147=""),"",IF(COUNT(AI147:AQ147)=0,"",AR147-LOOKUP(2,1/(AI147:AQ147&lt;&gt;""),AI147:AQ147)))</t>
        </is>
      </c>
      <c r="BF147" s="49" t="inlineStr">
        <is>
          <t>IF(OR(F147="",AS147=""),"",IF(COUNT(AI147:AR147)=0,"",AS147-LOOKUP(2,1/(AI147:AR147&lt;&gt;""),AI147:AR147)))</t>
        </is>
      </c>
      <c r="BG147" s="49" t="inlineStr">
        <is>
          <t>IF(OR(F147="",AT147=""),"",IF(COUNT(AI147:AS147)=0,"",AT147-LOOKUP(2,1/(AI147:AS147&lt;&gt;""),AI147:AS147)))</t>
        </is>
      </c>
      <c r="BH147" s="49" t="inlineStr">
        <is>
          <t>IF(OR(F147="",AU147=""),"",IF(COUNT(AI147:AT147)=0,"",AU147-LOOKUP(2,1/(AI147:AT147&lt;&gt;""),AI147:AT147)))</t>
        </is>
      </c>
      <c r="BI147" s="49" t="inlineStr">
        <is>
          <t>IF(OR(F147="",AV147=""),"",IF(COUNT(AI147:AU147)=0,"",AV147-LOOKUP(2,1/(AI147:AU147&lt;&gt;""),AI147:AU147)))</t>
        </is>
      </c>
      <c r="BJ147" s="51" t="inlineStr">
        <is>
          <t>IF(J147="","All_Provinces",IFERROR(VLOOKUP(J147,'09_Lookups'!$A$4:$B$20,2,FALSE),"All_Provinces"))</t>
        </is>
      </c>
      <c r="BK147" s="51" t="inlineStr">
        <is>
          <t>IF(K147="","All_Districts",IFERROR(VLOOKUP(K147,'09_Lookups'!$E$4:$F$42,2,FALSE),"All_Districts"))</t>
        </is>
      </c>
    </row>
    <row r="148" ht="18" customHeight="1">
      <c r="A148" s="42" t="inlineStr">
        <is>
          <t>IF(F148="","",ROW()-3)</t>
        </is>
      </c>
      <c r="B148" s="52" t="n"/>
      <c r="C148" s="52" t="n"/>
      <c r="D148" s="52" t="n"/>
      <c r="E148" s="52" t="n"/>
      <c r="F148" s="52" t="n"/>
      <c r="G148" s="52" t="n"/>
      <c r="H148" s="52" t="n"/>
      <c r="I148" s="52" t="n"/>
      <c r="J148" s="52" t="n"/>
      <c r="K148" s="52" t="n"/>
      <c r="L148" s="52" t="n"/>
      <c r="M148" s="52" t="n"/>
      <c r="N148" s="52" t="n"/>
      <c r="O148" s="52" t="n"/>
      <c r="P148" s="52" t="n"/>
      <c r="Q148" s="52" t="n"/>
      <c r="R148" s="52" t="n"/>
      <c r="S148" s="53" t="n"/>
      <c r="T148" s="46" t="inlineStr">
        <is>
          <t>IF(AQ148="","",AQ148)</t>
        </is>
      </c>
      <c r="U148" s="54" t="n"/>
      <c r="V148" s="55" t="n"/>
      <c r="W148" s="54" t="n"/>
      <c r="X148" s="46" t="inlineStr">
        <is>
          <t>IF(W148&lt;&gt;"",W148,IF(OR(T148="",V148=""),"",EDATE(T148,V148)))</t>
        </is>
      </c>
      <c r="Y148" s="54" t="n"/>
      <c r="Z148" s="55" t="n"/>
      <c r="AA148" s="52" t="n"/>
      <c r="AB148" s="52" t="n"/>
      <c r="AC148" s="42" t="inlineStr">
        <is>
          <t>IF(F148="","",IF(COUNT(AI148:AV148)=0,IF(AA148="","Not started",AA148),SUBSTITUTE(LOOKUP(2,1/(AI148:AV148&lt;&gt;""),$AI$3:$AV$3),"Date: ","")))</t>
        </is>
      </c>
      <c r="AD148" s="49" t="inlineStr">
        <is>
          <t>IF(OR(F148="",COUNT(AI148:AV148)=0),"",TODAY()-LOOKUP(2,1/(AI148:AV148&lt;&gt;""),AI148:AV148))</t>
        </is>
      </c>
      <c r="AE148" s="49" t="inlineStr">
        <is>
          <t>IF(OR(F148="",COUNT(AI148:AV148)&lt;2),"",LOOKUP(2,1/(AI148:AV148&lt;&gt;""),AI148:AV148)-MIN(AI148:AV148))</t>
        </is>
      </c>
      <c r="AF148" s="49" t="inlineStr">
        <is>
          <t>IF(OR(AD148="",AC148="Not started",AC148=""),"",IFERROR(AD148-IF(VLOOKUP(AC148,'06_Status_Pipeline'!$B$3:$E$20,4,FALSE)="",0,VLOOKUP(AC148,'06_Status_Pipeline'!$B$3:$E$20,4,FALSE)),""))</t>
        </is>
      </c>
      <c r="AG148" s="42" t="inlineStr">
        <is>
          <t>IF(F148="","",IF(OR(AA148="Cancelled",AC148="Cancelled"),"Cancelled",IF(OR(AC148="Completed / Handover",Y148&lt;&gt;"",Z148&gt;=100),"Completed — on track",IF(O148="Not awarded",IF(U148="",IF(X148="","No planned date",IF(TODAY()&gt;X148,"Behind — past planned date",IF(X148-TODAY()&lt;=30,"At risk — close to off track","On track"))),IF(TODAY()&gt;U148,"Behind — award date passed",IF(U148-TODAY()&lt;=30,"At risk — close to off track","On track"))),IF(X148="","No planned date",IF(AND(TODAY()&gt;X148,OR(Z148="",Z148&lt;100)),"Behind — past end date",IF(AND(T148&lt;&gt;"",X148&lt;&gt;"",Z148&lt;&gt;"",(Z148&lt;100),((TODAY()-T148)/MAX(X148-T148,1)*100)-Z148&gt;15),"Behind — progress lag",IF(AND(X148-TODAY()&lt;=30,X148-TODAY()&gt;=0,OR(Z148="",Z148&lt;90)),"At risk — close to off track","On track"))))))))</t>
        </is>
      </c>
      <c r="AH148" s="49" t="inlineStr">
        <is>
          <t>IF(OR(F148="",AC148="Completed / Handover",AC148="Cancelled"),"",IF(O148="Not awarded",IF(U148&lt;&gt;"",U148-TODAY(),IF(X148="","",X148-TODAY())),IF(X148="","",X148-TODAY())))</t>
        </is>
      </c>
      <c r="AI148" s="54" t="n"/>
      <c r="AJ148" s="54" t="n"/>
      <c r="AK148" s="54" t="n"/>
      <c r="AL148" s="54" t="n"/>
      <c r="AM148" s="54" t="n"/>
      <c r="AN148" s="54" t="n"/>
      <c r="AO148" s="54" t="n"/>
      <c r="AP148" s="54" t="n"/>
      <c r="AQ148" s="54" t="n"/>
      <c r="AR148" s="54" t="n"/>
      <c r="AS148" s="54" t="n"/>
      <c r="AT148" s="50" t="n"/>
      <c r="AU148" s="50" t="n"/>
      <c r="AV148" s="50" t="n"/>
      <c r="AW148" s="49" t="inlineStr">
        <is>
          <t>IF(OR(F148="",AJ148=""),"",IF(COUNT(AI148:AI148)=0,"",AJ148-LOOKUP(2,1/(AI148:AI148&lt;&gt;""),AI148:AI148)))</t>
        </is>
      </c>
      <c r="AX148" s="49" t="inlineStr">
        <is>
          <t>IF(OR(F148="",AK148=""),"",IF(COUNT(AI148:AJ148)=0,"",AK148-LOOKUP(2,1/(AI148:AJ148&lt;&gt;""),AI148:AJ148)))</t>
        </is>
      </c>
      <c r="AY148" s="49" t="inlineStr">
        <is>
          <t>IF(OR(F148="",AL148=""),"",IF(COUNT(AI148:AK148)=0,"",AL148-LOOKUP(2,1/(AI148:AK148&lt;&gt;""),AI148:AK148)))</t>
        </is>
      </c>
      <c r="AZ148" s="49" t="inlineStr">
        <is>
          <t>IF(OR(F148="",AM148=""),"",IF(COUNT(AI148:AL148)=0,"",AM148-LOOKUP(2,1/(AI148:AL148&lt;&gt;""),AI148:AL148)))</t>
        </is>
      </c>
      <c r="BA148" s="49" t="inlineStr">
        <is>
          <t>IF(OR(F148="",AN148=""),"",IF(COUNT(AI148:AM148)=0,"",AN148-LOOKUP(2,1/(AI148:AM148&lt;&gt;""),AI148:AM148)))</t>
        </is>
      </c>
      <c r="BB148" s="49" t="inlineStr">
        <is>
          <t>IF(OR(F148="",AO148=""),"",IF(COUNT(AI148:AN148)=0,"",AO148-LOOKUP(2,1/(AI148:AN148&lt;&gt;""),AI148:AN148)))</t>
        </is>
      </c>
      <c r="BC148" s="49" t="inlineStr">
        <is>
          <t>IF(OR(F148="",AP148=""),"",IF(COUNT(AI148:AO148)=0,"",AP148-LOOKUP(2,1/(AI148:AO148&lt;&gt;""),AI148:AO148)))</t>
        </is>
      </c>
      <c r="BD148" s="49" t="inlineStr">
        <is>
          <t>IF(OR(F148="",AQ148=""),"",IF(COUNT(AI148:AP148)=0,"",AQ148-LOOKUP(2,1/(AI148:AP148&lt;&gt;""),AI148:AP148)))</t>
        </is>
      </c>
      <c r="BE148" s="49" t="inlineStr">
        <is>
          <t>IF(OR(F148="",AR148=""),"",IF(COUNT(AI148:AQ148)=0,"",AR148-LOOKUP(2,1/(AI148:AQ148&lt;&gt;""),AI148:AQ148)))</t>
        </is>
      </c>
      <c r="BF148" s="49" t="inlineStr">
        <is>
          <t>IF(OR(F148="",AS148=""),"",IF(COUNT(AI148:AR148)=0,"",AS148-LOOKUP(2,1/(AI148:AR148&lt;&gt;""),AI148:AR148)))</t>
        </is>
      </c>
      <c r="BG148" s="49" t="inlineStr">
        <is>
          <t>IF(OR(F148="",AT148=""),"",IF(COUNT(AI148:AS148)=0,"",AT148-LOOKUP(2,1/(AI148:AS148&lt;&gt;""),AI148:AS148)))</t>
        </is>
      </c>
      <c r="BH148" s="49" t="inlineStr">
        <is>
          <t>IF(OR(F148="",AU148=""),"",IF(COUNT(AI148:AT148)=0,"",AU148-LOOKUP(2,1/(AI148:AT148&lt;&gt;""),AI148:AT148)))</t>
        </is>
      </c>
      <c r="BI148" s="49" t="inlineStr">
        <is>
          <t>IF(OR(F148="",AV148=""),"",IF(COUNT(AI148:AU148)=0,"",AV148-LOOKUP(2,1/(AI148:AU148&lt;&gt;""),AI148:AU148)))</t>
        </is>
      </c>
      <c r="BJ148" s="51" t="inlineStr">
        <is>
          <t>IF(J148="","All_Provinces",IFERROR(VLOOKUP(J148,'09_Lookups'!$A$4:$B$20,2,FALSE),"All_Provinces"))</t>
        </is>
      </c>
      <c r="BK148" s="51" t="inlineStr">
        <is>
          <t>IF(K148="","All_Districts",IFERROR(VLOOKUP(K148,'09_Lookups'!$E$4:$F$42,2,FALSE),"All_Districts"))</t>
        </is>
      </c>
    </row>
    <row r="149" ht="18" customHeight="1">
      <c r="A149" s="42" t="inlineStr">
        <is>
          <t>IF(F149="","",ROW()-3)</t>
        </is>
      </c>
      <c r="B149" s="44" t="n"/>
      <c r="C149" s="44" t="n"/>
      <c r="D149" s="44" t="n"/>
      <c r="E149" s="44" t="n"/>
      <c r="F149" s="44" t="n"/>
      <c r="G149" s="44" t="n"/>
      <c r="H149" s="44" t="n"/>
      <c r="I149" s="44" t="n"/>
      <c r="J149" s="44" t="n"/>
      <c r="K149" s="44" t="n"/>
      <c r="L149" s="44" t="n"/>
      <c r="M149" s="44" t="n"/>
      <c r="N149" s="44" t="n"/>
      <c r="O149" s="44" t="n"/>
      <c r="P149" s="44" t="n"/>
      <c r="Q149" s="44" t="n"/>
      <c r="R149" s="44" t="n"/>
      <c r="S149" s="45" t="n"/>
      <c r="T149" s="46" t="inlineStr">
        <is>
          <t>IF(AQ149="","",AQ149)</t>
        </is>
      </c>
      <c r="U149" s="47" t="n"/>
      <c r="V149" s="48" t="n"/>
      <c r="W149" s="47" t="n"/>
      <c r="X149" s="46" t="inlineStr">
        <is>
          <t>IF(W149&lt;&gt;"",W149,IF(OR(T149="",V149=""),"",EDATE(T149,V149)))</t>
        </is>
      </c>
      <c r="Y149" s="47" t="n"/>
      <c r="Z149" s="48" t="n"/>
      <c r="AA149" s="44" t="n"/>
      <c r="AB149" s="44" t="n"/>
      <c r="AC149" s="42" t="inlineStr">
        <is>
          <t>IF(F149="","",IF(COUNT(AI149:AV149)=0,IF(AA149="","Not started",AA149),SUBSTITUTE(LOOKUP(2,1/(AI149:AV149&lt;&gt;""),$AI$3:$AV$3),"Date: ","")))</t>
        </is>
      </c>
      <c r="AD149" s="49" t="inlineStr">
        <is>
          <t>IF(OR(F149="",COUNT(AI149:AV149)=0),"",TODAY()-LOOKUP(2,1/(AI149:AV149&lt;&gt;""),AI149:AV149))</t>
        </is>
      </c>
      <c r="AE149" s="49" t="inlineStr">
        <is>
          <t>IF(OR(F149="",COUNT(AI149:AV149)&lt;2),"",LOOKUP(2,1/(AI149:AV149&lt;&gt;""),AI149:AV149)-MIN(AI149:AV149))</t>
        </is>
      </c>
      <c r="AF149" s="49" t="inlineStr">
        <is>
          <t>IF(OR(AD149="",AC149="Not started",AC149=""),"",IFERROR(AD149-IF(VLOOKUP(AC149,'06_Status_Pipeline'!$B$3:$E$20,4,FALSE)="",0,VLOOKUP(AC149,'06_Status_Pipeline'!$B$3:$E$20,4,FALSE)),""))</t>
        </is>
      </c>
      <c r="AG149" s="42" t="inlineStr">
        <is>
          <t>IF(F149="","",IF(OR(AA149="Cancelled",AC149="Cancelled"),"Cancelled",IF(OR(AC149="Completed / Handover",Y149&lt;&gt;"",Z149&gt;=100),"Completed — on track",IF(O149="Not awarded",IF(U149="",IF(X149="","No planned date",IF(TODAY()&gt;X149,"Behind — past planned date",IF(X149-TODAY()&lt;=30,"At risk — close to off track","On track"))),IF(TODAY()&gt;U149,"Behind — award date passed",IF(U149-TODAY()&lt;=30,"At risk — close to off track","On track"))),IF(X149="","No planned date",IF(AND(TODAY()&gt;X149,OR(Z149="",Z149&lt;100)),"Behind — past end date",IF(AND(T149&lt;&gt;"",X149&lt;&gt;"",Z149&lt;&gt;"",(Z149&lt;100),((TODAY()-T149)/MAX(X149-T149,1)*100)-Z149&gt;15),"Behind — progress lag",IF(AND(X149-TODAY()&lt;=30,X149-TODAY()&gt;=0,OR(Z149="",Z149&lt;90)),"At risk — close to off track","On track"))))))))</t>
        </is>
      </c>
      <c r="AH149" s="49" t="inlineStr">
        <is>
          <t>IF(OR(F149="",AC149="Completed / Handover",AC149="Cancelled"),"",IF(O149="Not awarded",IF(U149&lt;&gt;"",U149-TODAY(),IF(X149="","",X149-TODAY())),IF(X149="","",X149-TODAY())))</t>
        </is>
      </c>
      <c r="AI149" s="47" t="n"/>
      <c r="AJ149" s="47" t="n"/>
      <c r="AK149" s="47" t="n"/>
      <c r="AL149" s="47" t="n"/>
      <c r="AM149" s="47" t="n"/>
      <c r="AN149" s="47" t="n"/>
      <c r="AO149" s="47" t="n"/>
      <c r="AP149" s="47" t="n"/>
      <c r="AQ149" s="47" t="n"/>
      <c r="AR149" s="47" t="n"/>
      <c r="AS149" s="47" t="n"/>
      <c r="AT149" s="50" t="n"/>
      <c r="AU149" s="50" t="n"/>
      <c r="AV149" s="50" t="n"/>
      <c r="AW149" s="49" t="inlineStr">
        <is>
          <t>IF(OR(F149="",AJ149=""),"",IF(COUNT(AI149:AI149)=0,"",AJ149-LOOKUP(2,1/(AI149:AI149&lt;&gt;""),AI149:AI149)))</t>
        </is>
      </c>
      <c r="AX149" s="49" t="inlineStr">
        <is>
          <t>IF(OR(F149="",AK149=""),"",IF(COUNT(AI149:AJ149)=0,"",AK149-LOOKUP(2,1/(AI149:AJ149&lt;&gt;""),AI149:AJ149)))</t>
        </is>
      </c>
      <c r="AY149" s="49" t="inlineStr">
        <is>
          <t>IF(OR(F149="",AL149=""),"",IF(COUNT(AI149:AK149)=0,"",AL149-LOOKUP(2,1/(AI149:AK149&lt;&gt;""),AI149:AK149)))</t>
        </is>
      </c>
      <c r="AZ149" s="49" t="inlineStr">
        <is>
          <t>IF(OR(F149="",AM149=""),"",IF(COUNT(AI149:AL149)=0,"",AM149-LOOKUP(2,1/(AI149:AL149&lt;&gt;""),AI149:AL149)))</t>
        </is>
      </c>
      <c r="BA149" s="49" t="inlineStr">
        <is>
          <t>IF(OR(F149="",AN149=""),"",IF(COUNT(AI149:AM149)=0,"",AN149-LOOKUP(2,1/(AI149:AM149&lt;&gt;""),AI149:AM149)))</t>
        </is>
      </c>
      <c r="BB149" s="49" t="inlineStr">
        <is>
          <t>IF(OR(F149="",AO149=""),"",IF(COUNT(AI149:AN149)=0,"",AO149-LOOKUP(2,1/(AI149:AN149&lt;&gt;""),AI149:AN149)))</t>
        </is>
      </c>
      <c r="BC149" s="49" t="inlineStr">
        <is>
          <t>IF(OR(F149="",AP149=""),"",IF(COUNT(AI149:AO149)=0,"",AP149-LOOKUP(2,1/(AI149:AO149&lt;&gt;""),AI149:AO149)))</t>
        </is>
      </c>
      <c r="BD149" s="49" t="inlineStr">
        <is>
          <t>IF(OR(F149="",AQ149=""),"",IF(COUNT(AI149:AP149)=0,"",AQ149-LOOKUP(2,1/(AI149:AP149&lt;&gt;""),AI149:AP149)))</t>
        </is>
      </c>
      <c r="BE149" s="49" t="inlineStr">
        <is>
          <t>IF(OR(F149="",AR149=""),"",IF(COUNT(AI149:AQ149)=0,"",AR149-LOOKUP(2,1/(AI149:AQ149&lt;&gt;""),AI149:AQ149)))</t>
        </is>
      </c>
      <c r="BF149" s="49" t="inlineStr">
        <is>
          <t>IF(OR(F149="",AS149=""),"",IF(COUNT(AI149:AR149)=0,"",AS149-LOOKUP(2,1/(AI149:AR149&lt;&gt;""),AI149:AR149)))</t>
        </is>
      </c>
      <c r="BG149" s="49" t="inlineStr">
        <is>
          <t>IF(OR(F149="",AT149=""),"",IF(COUNT(AI149:AS149)=0,"",AT149-LOOKUP(2,1/(AI149:AS149&lt;&gt;""),AI149:AS149)))</t>
        </is>
      </c>
      <c r="BH149" s="49" t="inlineStr">
        <is>
          <t>IF(OR(F149="",AU149=""),"",IF(COUNT(AI149:AT149)=0,"",AU149-LOOKUP(2,1/(AI149:AT149&lt;&gt;""),AI149:AT149)))</t>
        </is>
      </c>
      <c r="BI149" s="49" t="inlineStr">
        <is>
          <t>IF(OR(F149="",AV149=""),"",IF(COUNT(AI149:AU149)=0,"",AV149-LOOKUP(2,1/(AI149:AU149&lt;&gt;""),AI149:AU149)))</t>
        </is>
      </c>
      <c r="BJ149" s="51" t="inlineStr">
        <is>
          <t>IF(J149="","All_Provinces",IFERROR(VLOOKUP(J149,'09_Lookups'!$A$4:$B$20,2,FALSE),"All_Provinces"))</t>
        </is>
      </c>
      <c r="BK149" s="51" t="inlineStr">
        <is>
          <t>IF(K149="","All_Districts",IFERROR(VLOOKUP(K149,'09_Lookups'!$E$4:$F$42,2,FALSE),"All_Districts"))</t>
        </is>
      </c>
    </row>
    <row r="150" ht="18" customHeight="1">
      <c r="A150" s="42" t="inlineStr">
        <is>
          <t>IF(F150="","",ROW()-3)</t>
        </is>
      </c>
      <c r="B150" s="52" t="n"/>
      <c r="C150" s="52" t="n"/>
      <c r="D150" s="52" t="n"/>
      <c r="E150" s="52" t="n"/>
      <c r="F150" s="52" t="n"/>
      <c r="G150" s="52" t="n"/>
      <c r="H150" s="52" t="n"/>
      <c r="I150" s="52" t="n"/>
      <c r="J150" s="52" t="n"/>
      <c r="K150" s="52" t="n"/>
      <c r="L150" s="52" t="n"/>
      <c r="M150" s="52" t="n"/>
      <c r="N150" s="52" t="n"/>
      <c r="O150" s="52" t="n"/>
      <c r="P150" s="52" t="n"/>
      <c r="Q150" s="52" t="n"/>
      <c r="R150" s="52" t="n"/>
      <c r="S150" s="53" t="n"/>
      <c r="T150" s="46" t="inlineStr">
        <is>
          <t>IF(AQ150="","",AQ150)</t>
        </is>
      </c>
      <c r="U150" s="54" t="n"/>
      <c r="V150" s="55" t="n"/>
      <c r="W150" s="54" t="n"/>
      <c r="X150" s="46" t="inlineStr">
        <is>
          <t>IF(W150&lt;&gt;"",W150,IF(OR(T150="",V150=""),"",EDATE(T150,V150)))</t>
        </is>
      </c>
      <c r="Y150" s="54" t="n"/>
      <c r="Z150" s="55" t="n"/>
      <c r="AA150" s="52" t="n"/>
      <c r="AB150" s="52" t="n"/>
      <c r="AC150" s="42" t="inlineStr">
        <is>
          <t>IF(F150="","",IF(COUNT(AI150:AV150)=0,IF(AA150="","Not started",AA150),SUBSTITUTE(LOOKUP(2,1/(AI150:AV150&lt;&gt;""),$AI$3:$AV$3),"Date: ","")))</t>
        </is>
      </c>
      <c r="AD150" s="49" t="inlineStr">
        <is>
          <t>IF(OR(F150="",COUNT(AI150:AV150)=0),"",TODAY()-LOOKUP(2,1/(AI150:AV150&lt;&gt;""),AI150:AV150))</t>
        </is>
      </c>
      <c r="AE150" s="49" t="inlineStr">
        <is>
          <t>IF(OR(F150="",COUNT(AI150:AV150)&lt;2),"",LOOKUP(2,1/(AI150:AV150&lt;&gt;""),AI150:AV150)-MIN(AI150:AV150))</t>
        </is>
      </c>
      <c r="AF150" s="49" t="inlineStr">
        <is>
          <t>IF(OR(AD150="",AC150="Not started",AC150=""),"",IFERROR(AD150-IF(VLOOKUP(AC150,'06_Status_Pipeline'!$B$3:$E$20,4,FALSE)="",0,VLOOKUP(AC150,'06_Status_Pipeline'!$B$3:$E$20,4,FALSE)),""))</t>
        </is>
      </c>
      <c r="AG150" s="42" t="inlineStr">
        <is>
          <t>IF(F150="","",IF(OR(AA150="Cancelled",AC150="Cancelled"),"Cancelled",IF(OR(AC150="Completed / Handover",Y150&lt;&gt;"",Z150&gt;=100),"Completed — on track",IF(O150="Not awarded",IF(U150="",IF(X150="","No planned date",IF(TODAY()&gt;X150,"Behind — past planned date",IF(X150-TODAY()&lt;=30,"At risk — close to off track","On track"))),IF(TODAY()&gt;U150,"Behind — award date passed",IF(U150-TODAY()&lt;=30,"At risk — close to off track","On track"))),IF(X150="","No planned date",IF(AND(TODAY()&gt;X150,OR(Z150="",Z150&lt;100)),"Behind — past end date",IF(AND(T150&lt;&gt;"",X150&lt;&gt;"",Z150&lt;&gt;"",(Z150&lt;100),((TODAY()-T150)/MAX(X150-T150,1)*100)-Z150&gt;15),"Behind — progress lag",IF(AND(X150-TODAY()&lt;=30,X150-TODAY()&gt;=0,OR(Z150="",Z150&lt;90)),"At risk — close to off track","On track"))))))))</t>
        </is>
      </c>
      <c r="AH150" s="49" t="inlineStr">
        <is>
          <t>IF(OR(F150="",AC150="Completed / Handover",AC150="Cancelled"),"",IF(O150="Not awarded",IF(U150&lt;&gt;"",U150-TODAY(),IF(X150="","",X150-TODAY())),IF(X150="","",X150-TODAY())))</t>
        </is>
      </c>
      <c r="AI150" s="54" t="n"/>
      <c r="AJ150" s="54" t="n"/>
      <c r="AK150" s="54" t="n"/>
      <c r="AL150" s="54" t="n"/>
      <c r="AM150" s="54" t="n"/>
      <c r="AN150" s="54" t="n"/>
      <c r="AO150" s="54" t="n"/>
      <c r="AP150" s="54" t="n"/>
      <c r="AQ150" s="54" t="n"/>
      <c r="AR150" s="54" t="n"/>
      <c r="AS150" s="54" t="n"/>
      <c r="AT150" s="50" t="n"/>
      <c r="AU150" s="50" t="n"/>
      <c r="AV150" s="50" t="n"/>
      <c r="AW150" s="49" t="inlineStr">
        <is>
          <t>IF(OR(F150="",AJ150=""),"",IF(COUNT(AI150:AI150)=0,"",AJ150-LOOKUP(2,1/(AI150:AI150&lt;&gt;""),AI150:AI150)))</t>
        </is>
      </c>
      <c r="AX150" s="49" t="inlineStr">
        <is>
          <t>IF(OR(F150="",AK150=""),"",IF(COUNT(AI150:AJ150)=0,"",AK150-LOOKUP(2,1/(AI150:AJ150&lt;&gt;""),AI150:AJ150)))</t>
        </is>
      </c>
      <c r="AY150" s="49" t="inlineStr">
        <is>
          <t>IF(OR(F150="",AL150=""),"",IF(COUNT(AI150:AK150)=0,"",AL150-LOOKUP(2,1/(AI150:AK150&lt;&gt;""),AI150:AK150)))</t>
        </is>
      </c>
      <c r="AZ150" s="49" t="inlineStr">
        <is>
          <t>IF(OR(F150="",AM150=""),"",IF(COUNT(AI150:AL150)=0,"",AM150-LOOKUP(2,1/(AI150:AL150&lt;&gt;""),AI150:AL150)))</t>
        </is>
      </c>
      <c r="BA150" s="49" t="inlineStr">
        <is>
          <t>IF(OR(F150="",AN150=""),"",IF(COUNT(AI150:AM150)=0,"",AN150-LOOKUP(2,1/(AI150:AM150&lt;&gt;""),AI150:AM150)))</t>
        </is>
      </c>
      <c r="BB150" s="49" t="inlineStr">
        <is>
          <t>IF(OR(F150="",AO150=""),"",IF(COUNT(AI150:AN150)=0,"",AO150-LOOKUP(2,1/(AI150:AN150&lt;&gt;""),AI150:AN150)))</t>
        </is>
      </c>
      <c r="BC150" s="49" t="inlineStr">
        <is>
          <t>IF(OR(F150="",AP150=""),"",IF(COUNT(AI150:AO150)=0,"",AP150-LOOKUP(2,1/(AI150:AO150&lt;&gt;""),AI150:AO150)))</t>
        </is>
      </c>
      <c r="BD150" s="49" t="inlineStr">
        <is>
          <t>IF(OR(F150="",AQ150=""),"",IF(COUNT(AI150:AP150)=0,"",AQ150-LOOKUP(2,1/(AI150:AP150&lt;&gt;""),AI150:AP150)))</t>
        </is>
      </c>
      <c r="BE150" s="49" t="inlineStr">
        <is>
          <t>IF(OR(F150="",AR150=""),"",IF(COUNT(AI150:AQ150)=0,"",AR150-LOOKUP(2,1/(AI150:AQ150&lt;&gt;""),AI150:AQ150)))</t>
        </is>
      </c>
      <c r="BF150" s="49" t="inlineStr">
        <is>
          <t>IF(OR(F150="",AS150=""),"",IF(COUNT(AI150:AR150)=0,"",AS150-LOOKUP(2,1/(AI150:AR150&lt;&gt;""),AI150:AR150)))</t>
        </is>
      </c>
      <c r="BG150" s="49" t="inlineStr">
        <is>
          <t>IF(OR(F150="",AT150=""),"",IF(COUNT(AI150:AS150)=0,"",AT150-LOOKUP(2,1/(AI150:AS150&lt;&gt;""),AI150:AS150)))</t>
        </is>
      </c>
      <c r="BH150" s="49" t="inlineStr">
        <is>
          <t>IF(OR(F150="",AU150=""),"",IF(COUNT(AI150:AT150)=0,"",AU150-LOOKUP(2,1/(AI150:AT150&lt;&gt;""),AI150:AT150)))</t>
        </is>
      </c>
      <c r="BI150" s="49" t="inlineStr">
        <is>
          <t>IF(OR(F150="",AV150=""),"",IF(COUNT(AI150:AU150)=0,"",AV150-LOOKUP(2,1/(AI150:AU150&lt;&gt;""),AI150:AU150)))</t>
        </is>
      </c>
      <c r="BJ150" s="51" t="inlineStr">
        <is>
          <t>IF(J150="","All_Provinces",IFERROR(VLOOKUP(J150,'09_Lookups'!$A$4:$B$20,2,FALSE),"All_Provinces"))</t>
        </is>
      </c>
      <c r="BK150" s="51" t="inlineStr">
        <is>
          <t>IF(K150="","All_Districts",IFERROR(VLOOKUP(K150,'09_Lookups'!$E$4:$F$42,2,FALSE),"All_Districts"))</t>
        </is>
      </c>
    </row>
    <row r="151" ht="18" customHeight="1">
      <c r="A151" s="42" t="inlineStr">
        <is>
          <t>IF(F151="","",ROW()-3)</t>
        </is>
      </c>
      <c r="B151" s="44" t="n"/>
      <c r="C151" s="44" t="n"/>
      <c r="D151" s="44" t="n"/>
      <c r="E151" s="44" t="n"/>
      <c r="F151" s="44" t="n"/>
      <c r="G151" s="44" t="n"/>
      <c r="H151" s="44" t="n"/>
      <c r="I151" s="44" t="n"/>
      <c r="J151" s="44" t="n"/>
      <c r="K151" s="44" t="n"/>
      <c r="L151" s="44" t="n"/>
      <c r="M151" s="44" t="n"/>
      <c r="N151" s="44" t="n"/>
      <c r="O151" s="44" t="n"/>
      <c r="P151" s="44" t="n"/>
      <c r="Q151" s="44" t="n"/>
      <c r="R151" s="44" t="n"/>
      <c r="S151" s="45" t="n"/>
      <c r="T151" s="46" t="inlineStr">
        <is>
          <t>IF(AQ151="","",AQ151)</t>
        </is>
      </c>
      <c r="U151" s="47" t="n"/>
      <c r="V151" s="48" t="n"/>
      <c r="W151" s="47" t="n"/>
      <c r="X151" s="46" t="inlineStr">
        <is>
          <t>IF(W151&lt;&gt;"",W151,IF(OR(T151="",V151=""),"",EDATE(T151,V151)))</t>
        </is>
      </c>
      <c r="Y151" s="47" t="n"/>
      <c r="Z151" s="48" t="n"/>
      <c r="AA151" s="44" t="n"/>
      <c r="AB151" s="44" t="n"/>
      <c r="AC151" s="42" t="inlineStr">
        <is>
          <t>IF(F151="","",IF(COUNT(AI151:AV151)=0,IF(AA151="","Not started",AA151),SUBSTITUTE(LOOKUP(2,1/(AI151:AV151&lt;&gt;""),$AI$3:$AV$3),"Date: ","")))</t>
        </is>
      </c>
      <c r="AD151" s="49" t="inlineStr">
        <is>
          <t>IF(OR(F151="",COUNT(AI151:AV151)=0),"",TODAY()-LOOKUP(2,1/(AI151:AV151&lt;&gt;""),AI151:AV151))</t>
        </is>
      </c>
      <c r="AE151" s="49" t="inlineStr">
        <is>
          <t>IF(OR(F151="",COUNT(AI151:AV151)&lt;2),"",LOOKUP(2,1/(AI151:AV151&lt;&gt;""),AI151:AV151)-MIN(AI151:AV151))</t>
        </is>
      </c>
      <c r="AF151" s="49" t="inlineStr">
        <is>
          <t>IF(OR(AD151="",AC151="Not started",AC151=""),"",IFERROR(AD151-IF(VLOOKUP(AC151,'06_Status_Pipeline'!$B$3:$E$20,4,FALSE)="",0,VLOOKUP(AC151,'06_Status_Pipeline'!$B$3:$E$20,4,FALSE)),""))</t>
        </is>
      </c>
      <c r="AG151" s="42" t="inlineStr">
        <is>
          <t>IF(F151="","",IF(OR(AA151="Cancelled",AC151="Cancelled"),"Cancelled",IF(OR(AC151="Completed / Handover",Y151&lt;&gt;"",Z151&gt;=100),"Completed — on track",IF(O151="Not awarded",IF(U151="",IF(X151="","No planned date",IF(TODAY()&gt;X151,"Behind — past planned date",IF(X151-TODAY()&lt;=30,"At risk — close to off track","On track"))),IF(TODAY()&gt;U151,"Behind — award date passed",IF(U151-TODAY()&lt;=30,"At risk — close to off track","On track"))),IF(X151="","No planned date",IF(AND(TODAY()&gt;X151,OR(Z151="",Z151&lt;100)),"Behind — past end date",IF(AND(T151&lt;&gt;"",X151&lt;&gt;"",Z151&lt;&gt;"",(Z151&lt;100),((TODAY()-T151)/MAX(X151-T151,1)*100)-Z151&gt;15),"Behind — progress lag",IF(AND(X151-TODAY()&lt;=30,X151-TODAY()&gt;=0,OR(Z151="",Z151&lt;90)),"At risk — close to off track","On track"))))))))</t>
        </is>
      </c>
      <c r="AH151" s="49" t="inlineStr">
        <is>
          <t>IF(OR(F151="",AC151="Completed / Handover",AC151="Cancelled"),"",IF(O151="Not awarded",IF(U151&lt;&gt;"",U151-TODAY(),IF(X151="","",X151-TODAY())),IF(X151="","",X151-TODAY())))</t>
        </is>
      </c>
      <c r="AI151" s="47" t="n"/>
      <c r="AJ151" s="47" t="n"/>
      <c r="AK151" s="47" t="n"/>
      <c r="AL151" s="47" t="n"/>
      <c r="AM151" s="47" t="n"/>
      <c r="AN151" s="47" t="n"/>
      <c r="AO151" s="47" t="n"/>
      <c r="AP151" s="47" t="n"/>
      <c r="AQ151" s="47" t="n"/>
      <c r="AR151" s="47" t="n"/>
      <c r="AS151" s="47" t="n"/>
      <c r="AT151" s="50" t="n"/>
      <c r="AU151" s="50" t="n"/>
      <c r="AV151" s="50" t="n"/>
      <c r="AW151" s="49" t="inlineStr">
        <is>
          <t>IF(OR(F151="",AJ151=""),"",IF(COUNT(AI151:AI151)=0,"",AJ151-LOOKUP(2,1/(AI151:AI151&lt;&gt;""),AI151:AI151)))</t>
        </is>
      </c>
      <c r="AX151" s="49" t="inlineStr">
        <is>
          <t>IF(OR(F151="",AK151=""),"",IF(COUNT(AI151:AJ151)=0,"",AK151-LOOKUP(2,1/(AI151:AJ151&lt;&gt;""),AI151:AJ151)))</t>
        </is>
      </c>
      <c r="AY151" s="49" t="inlineStr">
        <is>
          <t>IF(OR(F151="",AL151=""),"",IF(COUNT(AI151:AK151)=0,"",AL151-LOOKUP(2,1/(AI151:AK151&lt;&gt;""),AI151:AK151)))</t>
        </is>
      </c>
      <c r="AZ151" s="49" t="inlineStr">
        <is>
          <t>IF(OR(F151="",AM151=""),"",IF(COUNT(AI151:AL151)=0,"",AM151-LOOKUP(2,1/(AI151:AL151&lt;&gt;""),AI151:AL151)))</t>
        </is>
      </c>
      <c r="BA151" s="49" t="inlineStr">
        <is>
          <t>IF(OR(F151="",AN151=""),"",IF(COUNT(AI151:AM151)=0,"",AN151-LOOKUP(2,1/(AI151:AM151&lt;&gt;""),AI151:AM151)))</t>
        </is>
      </c>
      <c r="BB151" s="49" t="inlineStr">
        <is>
          <t>IF(OR(F151="",AO151=""),"",IF(COUNT(AI151:AN151)=0,"",AO151-LOOKUP(2,1/(AI151:AN151&lt;&gt;""),AI151:AN151)))</t>
        </is>
      </c>
      <c r="BC151" s="49" t="inlineStr">
        <is>
          <t>IF(OR(F151="",AP151=""),"",IF(COUNT(AI151:AO151)=0,"",AP151-LOOKUP(2,1/(AI151:AO151&lt;&gt;""),AI151:AO151)))</t>
        </is>
      </c>
      <c r="BD151" s="49" t="inlineStr">
        <is>
          <t>IF(OR(F151="",AQ151=""),"",IF(COUNT(AI151:AP151)=0,"",AQ151-LOOKUP(2,1/(AI151:AP151&lt;&gt;""),AI151:AP151)))</t>
        </is>
      </c>
      <c r="BE151" s="49" t="inlineStr">
        <is>
          <t>IF(OR(F151="",AR151=""),"",IF(COUNT(AI151:AQ151)=0,"",AR151-LOOKUP(2,1/(AI151:AQ151&lt;&gt;""),AI151:AQ151)))</t>
        </is>
      </c>
      <c r="BF151" s="49" t="inlineStr">
        <is>
          <t>IF(OR(F151="",AS151=""),"",IF(COUNT(AI151:AR151)=0,"",AS151-LOOKUP(2,1/(AI151:AR151&lt;&gt;""),AI151:AR151)))</t>
        </is>
      </c>
      <c r="BG151" s="49" t="inlineStr">
        <is>
          <t>IF(OR(F151="",AT151=""),"",IF(COUNT(AI151:AS151)=0,"",AT151-LOOKUP(2,1/(AI151:AS151&lt;&gt;""),AI151:AS151)))</t>
        </is>
      </c>
      <c r="BH151" s="49" t="inlineStr">
        <is>
          <t>IF(OR(F151="",AU151=""),"",IF(COUNT(AI151:AT151)=0,"",AU151-LOOKUP(2,1/(AI151:AT151&lt;&gt;""),AI151:AT151)))</t>
        </is>
      </c>
      <c r="BI151" s="49" t="inlineStr">
        <is>
          <t>IF(OR(F151="",AV151=""),"",IF(COUNT(AI151:AU151)=0,"",AV151-LOOKUP(2,1/(AI151:AU151&lt;&gt;""),AI151:AU151)))</t>
        </is>
      </c>
      <c r="BJ151" s="51" t="inlineStr">
        <is>
          <t>IF(J151="","All_Provinces",IFERROR(VLOOKUP(J151,'09_Lookups'!$A$4:$B$20,2,FALSE),"All_Provinces"))</t>
        </is>
      </c>
      <c r="BK151" s="51" t="inlineStr">
        <is>
          <t>IF(K151="","All_Districts",IFERROR(VLOOKUP(K151,'09_Lookups'!$E$4:$F$42,2,FALSE),"All_Districts"))</t>
        </is>
      </c>
    </row>
    <row r="152" ht="18" customHeight="1">
      <c r="A152" s="42" t="inlineStr">
        <is>
          <t>IF(F152="","",ROW()-3)</t>
        </is>
      </c>
      <c r="B152" s="52" t="n"/>
      <c r="C152" s="52" t="n"/>
      <c r="D152" s="52" t="n"/>
      <c r="E152" s="52" t="n"/>
      <c r="F152" s="52" t="n"/>
      <c r="G152" s="52" t="n"/>
      <c r="H152" s="52" t="n"/>
      <c r="I152" s="52" t="n"/>
      <c r="J152" s="52" t="n"/>
      <c r="K152" s="52" t="n"/>
      <c r="L152" s="52" t="n"/>
      <c r="M152" s="52" t="n"/>
      <c r="N152" s="52" t="n"/>
      <c r="O152" s="52" t="n"/>
      <c r="P152" s="52" t="n"/>
      <c r="Q152" s="52" t="n"/>
      <c r="R152" s="52" t="n"/>
      <c r="S152" s="53" t="n"/>
      <c r="T152" s="46" t="inlineStr">
        <is>
          <t>IF(AQ152="","",AQ152)</t>
        </is>
      </c>
      <c r="U152" s="54" t="n"/>
      <c r="V152" s="55" t="n"/>
      <c r="W152" s="54" t="n"/>
      <c r="X152" s="46" t="inlineStr">
        <is>
          <t>IF(W152&lt;&gt;"",W152,IF(OR(T152="",V152=""),"",EDATE(T152,V152)))</t>
        </is>
      </c>
      <c r="Y152" s="54" t="n"/>
      <c r="Z152" s="55" t="n"/>
      <c r="AA152" s="52" t="n"/>
      <c r="AB152" s="52" t="n"/>
      <c r="AC152" s="42" t="inlineStr">
        <is>
          <t>IF(F152="","",IF(COUNT(AI152:AV152)=0,IF(AA152="","Not started",AA152),SUBSTITUTE(LOOKUP(2,1/(AI152:AV152&lt;&gt;""),$AI$3:$AV$3),"Date: ","")))</t>
        </is>
      </c>
      <c r="AD152" s="49" t="inlineStr">
        <is>
          <t>IF(OR(F152="",COUNT(AI152:AV152)=0),"",TODAY()-LOOKUP(2,1/(AI152:AV152&lt;&gt;""),AI152:AV152))</t>
        </is>
      </c>
      <c r="AE152" s="49" t="inlineStr">
        <is>
          <t>IF(OR(F152="",COUNT(AI152:AV152)&lt;2),"",LOOKUP(2,1/(AI152:AV152&lt;&gt;""),AI152:AV152)-MIN(AI152:AV152))</t>
        </is>
      </c>
      <c r="AF152" s="49" t="inlineStr">
        <is>
          <t>IF(OR(AD152="",AC152="Not started",AC152=""),"",IFERROR(AD152-IF(VLOOKUP(AC152,'06_Status_Pipeline'!$B$3:$E$20,4,FALSE)="",0,VLOOKUP(AC152,'06_Status_Pipeline'!$B$3:$E$20,4,FALSE)),""))</t>
        </is>
      </c>
      <c r="AG152" s="42" t="inlineStr">
        <is>
          <t>IF(F152="","",IF(OR(AA152="Cancelled",AC152="Cancelled"),"Cancelled",IF(OR(AC152="Completed / Handover",Y152&lt;&gt;"",Z152&gt;=100),"Completed — on track",IF(O152="Not awarded",IF(U152="",IF(X152="","No planned date",IF(TODAY()&gt;X152,"Behind — past planned date",IF(X152-TODAY()&lt;=30,"At risk — close to off track","On track"))),IF(TODAY()&gt;U152,"Behind — award date passed",IF(U152-TODAY()&lt;=30,"At risk — close to off track","On track"))),IF(X152="","No planned date",IF(AND(TODAY()&gt;X152,OR(Z152="",Z152&lt;100)),"Behind — past end date",IF(AND(T152&lt;&gt;"",X152&lt;&gt;"",Z152&lt;&gt;"",(Z152&lt;100),((TODAY()-T152)/MAX(X152-T152,1)*100)-Z152&gt;15),"Behind — progress lag",IF(AND(X152-TODAY()&lt;=30,X152-TODAY()&gt;=0,OR(Z152="",Z152&lt;90)),"At risk — close to off track","On track"))))))))</t>
        </is>
      </c>
      <c r="AH152" s="49" t="inlineStr">
        <is>
          <t>IF(OR(F152="",AC152="Completed / Handover",AC152="Cancelled"),"",IF(O152="Not awarded",IF(U152&lt;&gt;"",U152-TODAY(),IF(X152="","",X152-TODAY())),IF(X152="","",X152-TODAY())))</t>
        </is>
      </c>
      <c r="AI152" s="54" t="n"/>
      <c r="AJ152" s="54" t="n"/>
      <c r="AK152" s="54" t="n"/>
      <c r="AL152" s="54" t="n"/>
      <c r="AM152" s="54" t="n"/>
      <c r="AN152" s="54" t="n"/>
      <c r="AO152" s="54" t="n"/>
      <c r="AP152" s="54" t="n"/>
      <c r="AQ152" s="54" t="n"/>
      <c r="AR152" s="54" t="n"/>
      <c r="AS152" s="54" t="n"/>
      <c r="AT152" s="50" t="n"/>
      <c r="AU152" s="50" t="n"/>
      <c r="AV152" s="50" t="n"/>
      <c r="AW152" s="49" t="inlineStr">
        <is>
          <t>IF(OR(F152="",AJ152=""),"",IF(COUNT(AI152:AI152)=0,"",AJ152-LOOKUP(2,1/(AI152:AI152&lt;&gt;""),AI152:AI152)))</t>
        </is>
      </c>
      <c r="AX152" s="49" t="inlineStr">
        <is>
          <t>IF(OR(F152="",AK152=""),"",IF(COUNT(AI152:AJ152)=0,"",AK152-LOOKUP(2,1/(AI152:AJ152&lt;&gt;""),AI152:AJ152)))</t>
        </is>
      </c>
      <c r="AY152" s="49" t="inlineStr">
        <is>
          <t>IF(OR(F152="",AL152=""),"",IF(COUNT(AI152:AK152)=0,"",AL152-LOOKUP(2,1/(AI152:AK152&lt;&gt;""),AI152:AK152)))</t>
        </is>
      </c>
      <c r="AZ152" s="49" t="inlineStr">
        <is>
          <t>IF(OR(F152="",AM152=""),"",IF(COUNT(AI152:AL152)=0,"",AM152-LOOKUP(2,1/(AI152:AL152&lt;&gt;""),AI152:AL152)))</t>
        </is>
      </c>
      <c r="BA152" s="49" t="inlineStr">
        <is>
          <t>IF(OR(F152="",AN152=""),"",IF(COUNT(AI152:AM152)=0,"",AN152-LOOKUP(2,1/(AI152:AM152&lt;&gt;""),AI152:AM152)))</t>
        </is>
      </c>
      <c r="BB152" s="49" t="inlineStr">
        <is>
          <t>IF(OR(F152="",AO152=""),"",IF(COUNT(AI152:AN152)=0,"",AO152-LOOKUP(2,1/(AI152:AN152&lt;&gt;""),AI152:AN152)))</t>
        </is>
      </c>
      <c r="BC152" s="49" t="inlineStr">
        <is>
          <t>IF(OR(F152="",AP152=""),"",IF(COUNT(AI152:AO152)=0,"",AP152-LOOKUP(2,1/(AI152:AO152&lt;&gt;""),AI152:AO152)))</t>
        </is>
      </c>
      <c r="BD152" s="49" t="inlineStr">
        <is>
          <t>IF(OR(F152="",AQ152=""),"",IF(COUNT(AI152:AP152)=0,"",AQ152-LOOKUP(2,1/(AI152:AP152&lt;&gt;""),AI152:AP152)))</t>
        </is>
      </c>
      <c r="BE152" s="49" t="inlineStr">
        <is>
          <t>IF(OR(F152="",AR152=""),"",IF(COUNT(AI152:AQ152)=0,"",AR152-LOOKUP(2,1/(AI152:AQ152&lt;&gt;""),AI152:AQ152)))</t>
        </is>
      </c>
      <c r="BF152" s="49" t="inlineStr">
        <is>
          <t>IF(OR(F152="",AS152=""),"",IF(COUNT(AI152:AR152)=0,"",AS152-LOOKUP(2,1/(AI152:AR152&lt;&gt;""),AI152:AR152)))</t>
        </is>
      </c>
      <c r="BG152" s="49" t="inlineStr">
        <is>
          <t>IF(OR(F152="",AT152=""),"",IF(COUNT(AI152:AS152)=0,"",AT152-LOOKUP(2,1/(AI152:AS152&lt;&gt;""),AI152:AS152)))</t>
        </is>
      </c>
      <c r="BH152" s="49" t="inlineStr">
        <is>
          <t>IF(OR(F152="",AU152=""),"",IF(COUNT(AI152:AT152)=0,"",AU152-LOOKUP(2,1/(AI152:AT152&lt;&gt;""),AI152:AT152)))</t>
        </is>
      </c>
      <c r="BI152" s="49" t="inlineStr">
        <is>
          <t>IF(OR(F152="",AV152=""),"",IF(COUNT(AI152:AU152)=0,"",AV152-LOOKUP(2,1/(AI152:AU152&lt;&gt;""),AI152:AU152)))</t>
        </is>
      </c>
      <c r="BJ152" s="51" t="inlineStr">
        <is>
          <t>IF(J152="","All_Provinces",IFERROR(VLOOKUP(J152,'09_Lookups'!$A$4:$B$20,2,FALSE),"All_Provinces"))</t>
        </is>
      </c>
      <c r="BK152" s="51" t="inlineStr">
        <is>
          <t>IF(K152="","All_Districts",IFERROR(VLOOKUP(K152,'09_Lookups'!$E$4:$F$42,2,FALSE),"All_Districts"))</t>
        </is>
      </c>
    </row>
    <row r="153" ht="18" customHeight="1">
      <c r="A153" s="42" t="inlineStr">
        <is>
          <t>IF(F153="","",ROW()-3)</t>
        </is>
      </c>
      <c r="B153" s="44" t="n"/>
      <c r="C153" s="44" t="n"/>
      <c r="D153" s="44" t="n"/>
      <c r="E153" s="44" t="n"/>
      <c r="F153" s="44" t="n"/>
      <c r="G153" s="44" t="n"/>
      <c r="H153" s="44" t="n"/>
      <c r="I153" s="44" t="n"/>
      <c r="J153" s="44" t="n"/>
      <c r="K153" s="44" t="n"/>
      <c r="L153" s="44" t="n"/>
      <c r="M153" s="44" t="n"/>
      <c r="N153" s="44" t="n"/>
      <c r="O153" s="44" t="n"/>
      <c r="P153" s="44" t="n"/>
      <c r="Q153" s="44" t="n"/>
      <c r="R153" s="44" t="n"/>
      <c r="S153" s="45" t="n"/>
      <c r="T153" s="46" t="inlineStr">
        <is>
          <t>IF(AQ153="","",AQ153)</t>
        </is>
      </c>
      <c r="U153" s="47" t="n"/>
      <c r="V153" s="48" t="n"/>
      <c r="W153" s="47" t="n"/>
      <c r="X153" s="46" t="inlineStr">
        <is>
          <t>IF(W153&lt;&gt;"",W153,IF(OR(T153="",V153=""),"",EDATE(T153,V153)))</t>
        </is>
      </c>
      <c r="Y153" s="47" t="n"/>
      <c r="Z153" s="48" t="n"/>
      <c r="AA153" s="44" t="n"/>
      <c r="AB153" s="44" t="n"/>
      <c r="AC153" s="42" t="inlineStr">
        <is>
          <t>IF(F153="","",IF(COUNT(AI153:AV153)=0,IF(AA153="","Not started",AA153),SUBSTITUTE(LOOKUP(2,1/(AI153:AV153&lt;&gt;""),$AI$3:$AV$3),"Date: ","")))</t>
        </is>
      </c>
      <c r="AD153" s="49" t="inlineStr">
        <is>
          <t>IF(OR(F153="",COUNT(AI153:AV153)=0),"",TODAY()-LOOKUP(2,1/(AI153:AV153&lt;&gt;""),AI153:AV153))</t>
        </is>
      </c>
      <c r="AE153" s="49" t="inlineStr">
        <is>
          <t>IF(OR(F153="",COUNT(AI153:AV153)&lt;2),"",LOOKUP(2,1/(AI153:AV153&lt;&gt;""),AI153:AV153)-MIN(AI153:AV153))</t>
        </is>
      </c>
      <c r="AF153" s="49" t="inlineStr">
        <is>
          <t>IF(OR(AD153="",AC153="Not started",AC153=""),"",IFERROR(AD153-IF(VLOOKUP(AC153,'06_Status_Pipeline'!$B$3:$E$20,4,FALSE)="",0,VLOOKUP(AC153,'06_Status_Pipeline'!$B$3:$E$20,4,FALSE)),""))</t>
        </is>
      </c>
      <c r="AG153" s="42" t="inlineStr">
        <is>
          <t>IF(F153="","",IF(OR(AA153="Cancelled",AC153="Cancelled"),"Cancelled",IF(OR(AC153="Completed / Handover",Y153&lt;&gt;"",Z153&gt;=100),"Completed — on track",IF(O153="Not awarded",IF(U153="",IF(X153="","No planned date",IF(TODAY()&gt;X153,"Behind — past planned date",IF(X153-TODAY()&lt;=30,"At risk — close to off track","On track"))),IF(TODAY()&gt;U153,"Behind — award date passed",IF(U153-TODAY()&lt;=30,"At risk — close to off track","On track"))),IF(X153="","No planned date",IF(AND(TODAY()&gt;X153,OR(Z153="",Z153&lt;100)),"Behind — past end date",IF(AND(T153&lt;&gt;"",X153&lt;&gt;"",Z153&lt;&gt;"",(Z153&lt;100),((TODAY()-T153)/MAX(X153-T153,1)*100)-Z153&gt;15),"Behind — progress lag",IF(AND(X153-TODAY()&lt;=30,X153-TODAY()&gt;=0,OR(Z153="",Z153&lt;90)),"At risk — close to off track","On track"))))))))</t>
        </is>
      </c>
      <c r="AH153" s="49" t="inlineStr">
        <is>
          <t>IF(OR(F153="",AC153="Completed / Handover",AC153="Cancelled"),"",IF(O153="Not awarded",IF(U153&lt;&gt;"",U153-TODAY(),IF(X153="","",X153-TODAY())),IF(X153="","",X153-TODAY())))</t>
        </is>
      </c>
      <c r="AI153" s="47" t="n"/>
      <c r="AJ153" s="47" t="n"/>
      <c r="AK153" s="47" t="n"/>
      <c r="AL153" s="47" t="n"/>
      <c r="AM153" s="47" t="n"/>
      <c r="AN153" s="47" t="n"/>
      <c r="AO153" s="47" t="n"/>
      <c r="AP153" s="47" t="n"/>
      <c r="AQ153" s="47" t="n"/>
      <c r="AR153" s="47" t="n"/>
      <c r="AS153" s="47" t="n"/>
      <c r="AT153" s="50" t="n"/>
      <c r="AU153" s="50" t="n"/>
      <c r="AV153" s="50" t="n"/>
      <c r="AW153" s="49" t="inlineStr">
        <is>
          <t>IF(OR(F153="",AJ153=""),"",IF(COUNT(AI153:AI153)=0,"",AJ153-LOOKUP(2,1/(AI153:AI153&lt;&gt;""),AI153:AI153)))</t>
        </is>
      </c>
      <c r="AX153" s="49" t="inlineStr">
        <is>
          <t>IF(OR(F153="",AK153=""),"",IF(COUNT(AI153:AJ153)=0,"",AK153-LOOKUP(2,1/(AI153:AJ153&lt;&gt;""),AI153:AJ153)))</t>
        </is>
      </c>
      <c r="AY153" s="49" t="inlineStr">
        <is>
          <t>IF(OR(F153="",AL153=""),"",IF(COUNT(AI153:AK153)=0,"",AL153-LOOKUP(2,1/(AI153:AK153&lt;&gt;""),AI153:AK153)))</t>
        </is>
      </c>
      <c r="AZ153" s="49" t="inlineStr">
        <is>
          <t>IF(OR(F153="",AM153=""),"",IF(COUNT(AI153:AL153)=0,"",AM153-LOOKUP(2,1/(AI153:AL153&lt;&gt;""),AI153:AL153)))</t>
        </is>
      </c>
      <c r="BA153" s="49" t="inlineStr">
        <is>
          <t>IF(OR(F153="",AN153=""),"",IF(COUNT(AI153:AM153)=0,"",AN153-LOOKUP(2,1/(AI153:AM153&lt;&gt;""),AI153:AM153)))</t>
        </is>
      </c>
      <c r="BB153" s="49" t="inlineStr">
        <is>
          <t>IF(OR(F153="",AO153=""),"",IF(COUNT(AI153:AN153)=0,"",AO153-LOOKUP(2,1/(AI153:AN153&lt;&gt;""),AI153:AN153)))</t>
        </is>
      </c>
      <c r="BC153" s="49" t="inlineStr">
        <is>
          <t>IF(OR(F153="",AP153=""),"",IF(COUNT(AI153:AO153)=0,"",AP153-LOOKUP(2,1/(AI153:AO153&lt;&gt;""),AI153:AO153)))</t>
        </is>
      </c>
      <c r="BD153" s="49" t="inlineStr">
        <is>
          <t>IF(OR(F153="",AQ153=""),"",IF(COUNT(AI153:AP153)=0,"",AQ153-LOOKUP(2,1/(AI153:AP153&lt;&gt;""),AI153:AP153)))</t>
        </is>
      </c>
      <c r="BE153" s="49" t="inlineStr">
        <is>
          <t>IF(OR(F153="",AR153=""),"",IF(COUNT(AI153:AQ153)=0,"",AR153-LOOKUP(2,1/(AI153:AQ153&lt;&gt;""),AI153:AQ153)))</t>
        </is>
      </c>
      <c r="BF153" s="49" t="inlineStr">
        <is>
          <t>IF(OR(F153="",AS153=""),"",IF(COUNT(AI153:AR153)=0,"",AS153-LOOKUP(2,1/(AI153:AR153&lt;&gt;""),AI153:AR153)))</t>
        </is>
      </c>
      <c r="BG153" s="49" t="inlineStr">
        <is>
          <t>IF(OR(F153="",AT153=""),"",IF(COUNT(AI153:AS153)=0,"",AT153-LOOKUP(2,1/(AI153:AS153&lt;&gt;""),AI153:AS153)))</t>
        </is>
      </c>
      <c r="BH153" s="49" t="inlineStr">
        <is>
          <t>IF(OR(F153="",AU153=""),"",IF(COUNT(AI153:AT153)=0,"",AU153-LOOKUP(2,1/(AI153:AT153&lt;&gt;""),AI153:AT153)))</t>
        </is>
      </c>
      <c r="BI153" s="49" t="inlineStr">
        <is>
          <t>IF(OR(F153="",AV153=""),"",IF(COUNT(AI153:AU153)=0,"",AV153-LOOKUP(2,1/(AI153:AU153&lt;&gt;""),AI153:AU153)))</t>
        </is>
      </c>
      <c r="BJ153" s="51" t="inlineStr">
        <is>
          <t>IF(J153="","All_Provinces",IFERROR(VLOOKUP(J153,'09_Lookups'!$A$4:$B$20,2,FALSE),"All_Provinces"))</t>
        </is>
      </c>
      <c r="BK153" s="51" t="inlineStr">
        <is>
          <t>IF(K153="","All_Districts",IFERROR(VLOOKUP(K153,'09_Lookups'!$E$4:$F$42,2,FALSE),"All_Districts"))</t>
        </is>
      </c>
    </row>
    <row r="154" ht="18" customHeight="1">
      <c r="A154" s="42" t="inlineStr">
        <is>
          <t>IF(F154="","",ROW()-3)</t>
        </is>
      </c>
      <c r="B154" s="52" t="n"/>
      <c r="C154" s="52" t="n"/>
      <c r="D154" s="52" t="n"/>
      <c r="E154" s="52" t="n"/>
      <c r="F154" s="52" t="n"/>
      <c r="G154" s="52" t="n"/>
      <c r="H154" s="52" t="n"/>
      <c r="I154" s="52" t="n"/>
      <c r="J154" s="52" t="n"/>
      <c r="K154" s="52" t="n"/>
      <c r="L154" s="52" t="n"/>
      <c r="M154" s="52" t="n"/>
      <c r="N154" s="52" t="n"/>
      <c r="O154" s="52" t="n"/>
      <c r="P154" s="52" t="n"/>
      <c r="Q154" s="52" t="n"/>
      <c r="R154" s="52" t="n"/>
      <c r="S154" s="53" t="n"/>
      <c r="T154" s="46" t="inlineStr">
        <is>
          <t>IF(AQ154="","",AQ154)</t>
        </is>
      </c>
      <c r="U154" s="54" t="n"/>
      <c r="V154" s="55" t="n"/>
      <c r="W154" s="54" t="n"/>
      <c r="X154" s="46" t="inlineStr">
        <is>
          <t>IF(W154&lt;&gt;"",W154,IF(OR(T154="",V154=""),"",EDATE(T154,V154)))</t>
        </is>
      </c>
      <c r="Y154" s="54" t="n"/>
      <c r="Z154" s="55" t="n"/>
      <c r="AA154" s="52" t="n"/>
      <c r="AB154" s="52" t="n"/>
      <c r="AC154" s="42" t="inlineStr">
        <is>
          <t>IF(F154="","",IF(COUNT(AI154:AV154)=0,IF(AA154="","Not started",AA154),SUBSTITUTE(LOOKUP(2,1/(AI154:AV154&lt;&gt;""),$AI$3:$AV$3),"Date: ","")))</t>
        </is>
      </c>
      <c r="AD154" s="49" t="inlineStr">
        <is>
          <t>IF(OR(F154="",COUNT(AI154:AV154)=0),"",TODAY()-LOOKUP(2,1/(AI154:AV154&lt;&gt;""),AI154:AV154))</t>
        </is>
      </c>
      <c r="AE154" s="49" t="inlineStr">
        <is>
          <t>IF(OR(F154="",COUNT(AI154:AV154)&lt;2),"",LOOKUP(2,1/(AI154:AV154&lt;&gt;""),AI154:AV154)-MIN(AI154:AV154))</t>
        </is>
      </c>
      <c r="AF154" s="49" t="inlineStr">
        <is>
          <t>IF(OR(AD154="",AC154="Not started",AC154=""),"",IFERROR(AD154-IF(VLOOKUP(AC154,'06_Status_Pipeline'!$B$3:$E$20,4,FALSE)="",0,VLOOKUP(AC154,'06_Status_Pipeline'!$B$3:$E$20,4,FALSE)),""))</t>
        </is>
      </c>
      <c r="AG154" s="42" t="inlineStr">
        <is>
          <t>IF(F154="","",IF(OR(AA154="Cancelled",AC154="Cancelled"),"Cancelled",IF(OR(AC154="Completed / Handover",Y154&lt;&gt;"",Z154&gt;=100),"Completed — on track",IF(O154="Not awarded",IF(U154="",IF(X154="","No planned date",IF(TODAY()&gt;X154,"Behind — past planned date",IF(X154-TODAY()&lt;=30,"At risk — close to off track","On track"))),IF(TODAY()&gt;U154,"Behind — award date passed",IF(U154-TODAY()&lt;=30,"At risk — close to off track","On track"))),IF(X154="","No planned date",IF(AND(TODAY()&gt;X154,OR(Z154="",Z154&lt;100)),"Behind — past end date",IF(AND(T154&lt;&gt;"",X154&lt;&gt;"",Z154&lt;&gt;"",(Z154&lt;100),((TODAY()-T154)/MAX(X154-T154,1)*100)-Z154&gt;15),"Behind — progress lag",IF(AND(X154-TODAY()&lt;=30,X154-TODAY()&gt;=0,OR(Z154="",Z154&lt;90)),"At risk — close to off track","On track"))))))))</t>
        </is>
      </c>
      <c r="AH154" s="49" t="inlineStr">
        <is>
          <t>IF(OR(F154="",AC154="Completed / Handover",AC154="Cancelled"),"",IF(O154="Not awarded",IF(U154&lt;&gt;"",U154-TODAY(),IF(X154="","",X154-TODAY())),IF(X154="","",X154-TODAY())))</t>
        </is>
      </c>
      <c r="AI154" s="54" t="n"/>
      <c r="AJ154" s="54" t="n"/>
      <c r="AK154" s="54" t="n"/>
      <c r="AL154" s="54" t="n"/>
      <c r="AM154" s="54" t="n"/>
      <c r="AN154" s="54" t="n"/>
      <c r="AO154" s="54" t="n"/>
      <c r="AP154" s="54" t="n"/>
      <c r="AQ154" s="54" t="n"/>
      <c r="AR154" s="54" t="n"/>
      <c r="AS154" s="54" t="n"/>
      <c r="AT154" s="50" t="n"/>
      <c r="AU154" s="50" t="n"/>
      <c r="AV154" s="50" t="n"/>
      <c r="AW154" s="49" t="inlineStr">
        <is>
          <t>IF(OR(F154="",AJ154=""),"",IF(COUNT(AI154:AI154)=0,"",AJ154-LOOKUP(2,1/(AI154:AI154&lt;&gt;""),AI154:AI154)))</t>
        </is>
      </c>
      <c r="AX154" s="49" t="inlineStr">
        <is>
          <t>IF(OR(F154="",AK154=""),"",IF(COUNT(AI154:AJ154)=0,"",AK154-LOOKUP(2,1/(AI154:AJ154&lt;&gt;""),AI154:AJ154)))</t>
        </is>
      </c>
      <c r="AY154" s="49" t="inlineStr">
        <is>
          <t>IF(OR(F154="",AL154=""),"",IF(COUNT(AI154:AK154)=0,"",AL154-LOOKUP(2,1/(AI154:AK154&lt;&gt;""),AI154:AK154)))</t>
        </is>
      </c>
      <c r="AZ154" s="49" t="inlineStr">
        <is>
          <t>IF(OR(F154="",AM154=""),"",IF(COUNT(AI154:AL154)=0,"",AM154-LOOKUP(2,1/(AI154:AL154&lt;&gt;""),AI154:AL154)))</t>
        </is>
      </c>
      <c r="BA154" s="49" t="inlineStr">
        <is>
          <t>IF(OR(F154="",AN154=""),"",IF(COUNT(AI154:AM154)=0,"",AN154-LOOKUP(2,1/(AI154:AM154&lt;&gt;""),AI154:AM154)))</t>
        </is>
      </c>
      <c r="BB154" s="49" t="inlineStr">
        <is>
          <t>IF(OR(F154="",AO154=""),"",IF(COUNT(AI154:AN154)=0,"",AO154-LOOKUP(2,1/(AI154:AN154&lt;&gt;""),AI154:AN154)))</t>
        </is>
      </c>
      <c r="BC154" s="49" t="inlineStr">
        <is>
          <t>IF(OR(F154="",AP154=""),"",IF(COUNT(AI154:AO154)=0,"",AP154-LOOKUP(2,1/(AI154:AO154&lt;&gt;""),AI154:AO154)))</t>
        </is>
      </c>
      <c r="BD154" s="49" t="inlineStr">
        <is>
          <t>IF(OR(F154="",AQ154=""),"",IF(COUNT(AI154:AP154)=0,"",AQ154-LOOKUP(2,1/(AI154:AP154&lt;&gt;""),AI154:AP154)))</t>
        </is>
      </c>
      <c r="BE154" s="49" t="inlineStr">
        <is>
          <t>IF(OR(F154="",AR154=""),"",IF(COUNT(AI154:AQ154)=0,"",AR154-LOOKUP(2,1/(AI154:AQ154&lt;&gt;""),AI154:AQ154)))</t>
        </is>
      </c>
      <c r="BF154" s="49" t="inlineStr">
        <is>
          <t>IF(OR(F154="",AS154=""),"",IF(COUNT(AI154:AR154)=0,"",AS154-LOOKUP(2,1/(AI154:AR154&lt;&gt;""),AI154:AR154)))</t>
        </is>
      </c>
      <c r="BG154" s="49" t="inlineStr">
        <is>
          <t>IF(OR(F154="",AT154=""),"",IF(COUNT(AI154:AS154)=0,"",AT154-LOOKUP(2,1/(AI154:AS154&lt;&gt;""),AI154:AS154)))</t>
        </is>
      </c>
      <c r="BH154" s="49" t="inlineStr">
        <is>
          <t>IF(OR(F154="",AU154=""),"",IF(COUNT(AI154:AT154)=0,"",AU154-LOOKUP(2,1/(AI154:AT154&lt;&gt;""),AI154:AT154)))</t>
        </is>
      </c>
      <c r="BI154" s="49" t="inlineStr">
        <is>
          <t>IF(OR(F154="",AV154=""),"",IF(COUNT(AI154:AU154)=0,"",AV154-LOOKUP(2,1/(AI154:AU154&lt;&gt;""),AI154:AU154)))</t>
        </is>
      </c>
      <c r="BJ154" s="51" t="inlineStr">
        <is>
          <t>IF(J154="","All_Provinces",IFERROR(VLOOKUP(J154,'09_Lookups'!$A$4:$B$20,2,FALSE),"All_Provinces"))</t>
        </is>
      </c>
      <c r="BK154" s="51" t="inlineStr">
        <is>
          <t>IF(K154="","All_Districts",IFERROR(VLOOKUP(K154,'09_Lookups'!$E$4:$F$42,2,FALSE),"All_Districts"))</t>
        </is>
      </c>
    </row>
    <row r="155" ht="18" customHeight="1">
      <c r="A155" s="42" t="inlineStr">
        <is>
          <t>IF(F155="","",ROW()-3)</t>
        </is>
      </c>
      <c r="B155" s="44" t="n"/>
      <c r="C155" s="44" t="n"/>
      <c r="D155" s="44" t="n"/>
      <c r="E155" s="44" t="n"/>
      <c r="F155" s="44" t="n"/>
      <c r="G155" s="44" t="n"/>
      <c r="H155" s="44" t="n"/>
      <c r="I155" s="44" t="n"/>
      <c r="J155" s="44" t="n"/>
      <c r="K155" s="44" t="n"/>
      <c r="L155" s="44" t="n"/>
      <c r="M155" s="44" t="n"/>
      <c r="N155" s="44" t="n"/>
      <c r="O155" s="44" t="n"/>
      <c r="P155" s="44" t="n"/>
      <c r="Q155" s="44" t="n"/>
      <c r="R155" s="44" t="n"/>
      <c r="S155" s="45" t="n"/>
      <c r="T155" s="46" t="inlineStr">
        <is>
          <t>IF(AQ155="","",AQ155)</t>
        </is>
      </c>
      <c r="U155" s="47" t="n"/>
      <c r="V155" s="48" t="n"/>
      <c r="W155" s="47" t="n"/>
      <c r="X155" s="46" t="inlineStr">
        <is>
          <t>IF(W155&lt;&gt;"",W155,IF(OR(T155="",V155=""),"",EDATE(T155,V155)))</t>
        </is>
      </c>
      <c r="Y155" s="47" t="n"/>
      <c r="Z155" s="48" t="n"/>
      <c r="AA155" s="44" t="n"/>
      <c r="AB155" s="44" t="n"/>
      <c r="AC155" s="42" t="inlineStr">
        <is>
          <t>IF(F155="","",IF(COUNT(AI155:AV155)=0,IF(AA155="","Not started",AA155),SUBSTITUTE(LOOKUP(2,1/(AI155:AV155&lt;&gt;""),$AI$3:$AV$3),"Date: ","")))</t>
        </is>
      </c>
      <c r="AD155" s="49" t="inlineStr">
        <is>
          <t>IF(OR(F155="",COUNT(AI155:AV155)=0),"",TODAY()-LOOKUP(2,1/(AI155:AV155&lt;&gt;""),AI155:AV155))</t>
        </is>
      </c>
      <c r="AE155" s="49" t="inlineStr">
        <is>
          <t>IF(OR(F155="",COUNT(AI155:AV155)&lt;2),"",LOOKUP(2,1/(AI155:AV155&lt;&gt;""),AI155:AV155)-MIN(AI155:AV155))</t>
        </is>
      </c>
      <c r="AF155" s="49" t="inlineStr">
        <is>
          <t>IF(OR(AD155="",AC155="Not started",AC155=""),"",IFERROR(AD155-IF(VLOOKUP(AC155,'06_Status_Pipeline'!$B$3:$E$20,4,FALSE)="",0,VLOOKUP(AC155,'06_Status_Pipeline'!$B$3:$E$20,4,FALSE)),""))</t>
        </is>
      </c>
      <c r="AG155" s="42" t="inlineStr">
        <is>
          <t>IF(F155="","",IF(OR(AA155="Cancelled",AC155="Cancelled"),"Cancelled",IF(OR(AC155="Completed / Handover",Y155&lt;&gt;"",Z155&gt;=100),"Completed — on track",IF(O155="Not awarded",IF(U155="",IF(X155="","No planned date",IF(TODAY()&gt;X155,"Behind — past planned date",IF(X155-TODAY()&lt;=30,"At risk — close to off track","On track"))),IF(TODAY()&gt;U155,"Behind — award date passed",IF(U155-TODAY()&lt;=30,"At risk — close to off track","On track"))),IF(X155="","No planned date",IF(AND(TODAY()&gt;X155,OR(Z155="",Z155&lt;100)),"Behind — past end date",IF(AND(T155&lt;&gt;"",X155&lt;&gt;"",Z155&lt;&gt;"",(Z155&lt;100),((TODAY()-T155)/MAX(X155-T155,1)*100)-Z155&gt;15),"Behind — progress lag",IF(AND(X155-TODAY()&lt;=30,X155-TODAY()&gt;=0,OR(Z155="",Z155&lt;90)),"At risk — close to off track","On track"))))))))</t>
        </is>
      </c>
      <c r="AH155" s="49" t="inlineStr">
        <is>
          <t>IF(OR(F155="",AC155="Completed / Handover",AC155="Cancelled"),"",IF(O155="Not awarded",IF(U155&lt;&gt;"",U155-TODAY(),IF(X155="","",X155-TODAY())),IF(X155="","",X155-TODAY())))</t>
        </is>
      </c>
      <c r="AI155" s="47" t="n"/>
      <c r="AJ155" s="47" t="n"/>
      <c r="AK155" s="47" t="n"/>
      <c r="AL155" s="47" t="n"/>
      <c r="AM155" s="47" t="n"/>
      <c r="AN155" s="47" t="n"/>
      <c r="AO155" s="47" t="n"/>
      <c r="AP155" s="47" t="n"/>
      <c r="AQ155" s="47" t="n"/>
      <c r="AR155" s="47" t="n"/>
      <c r="AS155" s="47" t="n"/>
      <c r="AT155" s="50" t="n"/>
      <c r="AU155" s="50" t="n"/>
      <c r="AV155" s="50" t="n"/>
      <c r="AW155" s="49" t="inlineStr">
        <is>
          <t>IF(OR(F155="",AJ155=""),"",IF(COUNT(AI155:AI155)=0,"",AJ155-LOOKUP(2,1/(AI155:AI155&lt;&gt;""),AI155:AI155)))</t>
        </is>
      </c>
      <c r="AX155" s="49" t="inlineStr">
        <is>
          <t>IF(OR(F155="",AK155=""),"",IF(COUNT(AI155:AJ155)=0,"",AK155-LOOKUP(2,1/(AI155:AJ155&lt;&gt;""),AI155:AJ155)))</t>
        </is>
      </c>
      <c r="AY155" s="49" t="inlineStr">
        <is>
          <t>IF(OR(F155="",AL155=""),"",IF(COUNT(AI155:AK155)=0,"",AL155-LOOKUP(2,1/(AI155:AK155&lt;&gt;""),AI155:AK155)))</t>
        </is>
      </c>
      <c r="AZ155" s="49" t="inlineStr">
        <is>
          <t>IF(OR(F155="",AM155=""),"",IF(COUNT(AI155:AL155)=0,"",AM155-LOOKUP(2,1/(AI155:AL155&lt;&gt;""),AI155:AL155)))</t>
        </is>
      </c>
      <c r="BA155" s="49" t="inlineStr">
        <is>
          <t>IF(OR(F155="",AN155=""),"",IF(COUNT(AI155:AM155)=0,"",AN155-LOOKUP(2,1/(AI155:AM155&lt;&gt;""),AI155:AM155)))</t>
        </is>
      </c>
      <c r="BB155" s="49" t="inlineStr">
        <is>
          <t>IF(OR(F155="",AO155=""),"",IF(COUNT(AI155:AN155)=0,"",AO155-LOOKUP(2,1/(AI155:AN155&lt;&gt;""),AI155:AN155)))</t>
        </is>
      </c>
      <c r="BC155" s="49" t="inlineStr">
        <is>
          <t>IF(OR(F155="",AP155=""),"",IF(COUNT(AI155:AO155)=0,"",AP155-LOOKUP(2,1/(AI155:AO155&lt;&gt;""),AI155:AO155)))</t>
        </is>
      </c>
      <c r="BD155" s="49" t="inlineStr">
        <is>
          <t>IF(OR(F155="",AQ155=""),"",IF(COUNT(AI155:AP155)=0,"",AQ155-LOOKUP(2,1/(AI155:AP155&lt;&gt;""),AI155:AP155)))</t>
        </is>
      </c>
      <c r="BE155" s="49" t="inlineStr">
        <is>
          <t>IF(OR(F155="",AR155=""),"",IF(COUNT(AI155:AQ155)=0,"",AR155-LOOKUP(2,1/(AI155:AQ155&lt;&gt;""),AI155:AQ155)))</t>
        </is>
      </c>
      <c r="BF155" s="49" t="inlineStr">
        <is>
          <t>IF(OR(F155="",AS155=""),"",IF(COUNT(AI155:AR155)=0,"",AS155-LOOKUP(2,1/(AI155:AR155&lt;&gt;""),AI155:AR155)))</t>
        </is>
      </c>
      <c r="BG155" s="49" t="inlineStr">
        <is>
          <t>IF(OR(F155="",AT155=""),"",IF(COUNT(AI155:AS155)=0,"",AT155-LOOKUP(2,1/(AI155:AS155&lt;&gt;""),AI155:AS155)))</t>
        </is>
      </c>
      <c r="BH155" s="49" t="inlineStr">
        <is>
          <t>IF(OR(F155="",AU155=""),"",IF(COUNT(AI155:AT155)=0,"",AU155-LOOKUP(2,1/(AI155:AT155&lt;&gt;""),AI155:AT155)))</t>
        </is>
      </c>
      <c r="BI155" s="49" t="inlineStr">
        <is>
          <t>IF(OR(F155="",AV155=""),"",IF(COUNT(AI155:AU155)=0,"",AV155-LOOKUP(2,1/(AI155:AU155&lt;&gt;""),AI155:AU155)))</t>
        </is>
      </c>
      <c r="BJ155" s="51" t="inlineStr">
        <is>
          <t>IF(J155="","All_Provinces",IFERROR(VLOOKUP(J155,'09_Lookups'!$A$4:$B$20,2,FALSE),"All_Provinces"))</t>
        </is>
      </c>
      <c r="BK155" s="51" t="inlineStr">
        <is>
          <t>IF(K155="","All_Districts",IFERROR(VLOOKUP(K155,'09_Lookups'!$E$4:$F$42,2,FALSE),"All_Districts"))</t>
        </is>
      </c>
    </row>
    <row r="156" ht="18" customHeight="1">
      <c r="A156" s="42" t="inlineStr">
        <is>
          <t>IF(F156="","",ROW()-3)</t>
        </is>
      </c>
      <c r="B156" s="52" t="n"/>
      <c r="C156" s="52" t="n"/>
      <c r="D156" s="52" t="n"/>
      <c r="E156" s="52" t="n"/>
      <c r="F156" s="52" t="n"/>
      <c r="G156" s="52" t="n"/>
      <c r="H156" s="52" t="n"/>
      <c r="I156" s="52" t="n"/>
      <c r="J156" s="52" t="n"/>
      <c r="K156" s="52" t="n"/>
      <c r="L156" s="52" t="n"/>
      <c r="M156" s="52" t="n"/>
      <c r="N156" s="52" t="n"/>
      <c r="O156" s="52" t="n"/>
      <c r="P156" s="52" t="n"/>
      <c r="Q156" s="52" t="n"/>
      <c r="R156" s="52" t="n"/>
      <c r="S156" s="53" t="n"/>
      <c r="T156" s="46" t="inlineStr">
        <is>
          <t>IF(AQ156="","",AQ156)</t>
        </is>
      </c>
      <c r="U156" s="54" t="n"/>
      <c r="V156" s="55" t="n"/>
      <c r="W156" s="54" t="n"/>
      <c r="X156" s="46" t="inlineStr">
        <is>
          <t>IF(W156&lt;&gt;"",W156,IF(OR(T156="",V156=""),"",EDATE(T156,V156)))</t>
        </is>
      </c>
      <c r="Y156" s="54" t="n"/>
      <c r="Z156" s="55" t="n"/>
      <c r="AA156" s="52" t="n"/>
      <c r="AB156" s="52" t="n"/>
      <c r="AC156" s="42" t="inlineStr">
        <is>
          <t>IF(F156="","",IF(COUNT(AI156:AV156)=0,IF(AA156="","Not started",AA156),SUBSTITUTE(LOOKUP(2,1/(AI156:AV156&lt;&gt;""),$AI$3:$AV$3),"Date: ","")))</t>
        </is>
      </c>
      <c r="AD156" s="49" t="inlineStr">
        <is>
          <t>IF(OR(F156="",COUNT(AI156:AV156)=0),"",TODAY()-LOOKUP(2,1/(AI156:AV156&lt;&gt;""),AI156:AV156))</t>
        </is>
      </c>
      <c r="AE156" s="49" t="inlineStr">
        <is>
          <t>IF(OR(F156="",COUNT(AI156:AV156)&lt;2),"",LOOKUP(2,1/(AI156:AV156&lt;&gt;""),AI156:AV156)-MIN(AI156:AV156))</t>
        </is>
      </c>
      <c r="AF156" s="49" t="inlineStr">
        <is>
          <t>IF(OR(AD156="",AC156="Not started",AC156=""),"",IFERROR(AD156-IF(VLOOKUP(AC156,'06_Status_Pipeline'!$B$3:$E$20,4,FALSE)="",0,VLOOKUP(AC156,'06_Status_Pipeline'!$B$3:$E$20,4,FALSE)),""))</t>
        </is>
      </c>
      <c r="AG156" s="42" t="inlineStr">
        <is>
          <t>IF(F156="","",IF(OR(AA156="Cancelled",AC156="Cancelled"),"Cancelled",IF(OR(AC156="Completed / Handover",Y156&lt;&gt;"",Z156&gt;=100),"Completed — on track",IF(O156="Not awarded",IF(U156="",IF(X156="","No planned date",IF(TODAY()&gt;X156,"Behind — past planned date",IF(X156-TODAY()&lt;=30,"At risk — close to off track","On track"))),IF(TODAY()&gt;U156,"Behind — award date passed",IF(U156-TODAY()&lt;=30,"At risk — close to off track","On track"))),IF(X156="","No planned date",IF(AND(TODAY()&gt;X156,OR(Z156="",Z156&lt;100)),"Behind — past end date",IF(AND(T156&lt;&gt;"",X156&lt;&gt;"",Z156&lt;&gt;"",(Z156&lt;100),((TODAY()-T156)/MAX(X156-T156,1)*100)-Z156&gt;15),"Behind — progress lag",IF(AND(X156-TODAY()&lt;=30,X156-TODAY()&gt;=0,OR(Z156="",Z156&lt;90)),"At risk — close to off track","On track"))))))))</t>
        </is>
      </c>
      <c r="AH156" s="49" t="inlineStr">
        <is>
          <t>IF(OR(F156="",AC156="Completed / Handover",AC156="Cancelled"),"",IF(O156="Not awarded",IF(U156&lt;&gt;"",U156-TODAY(),IF(X156="","",X156-TODAY())),IF(X156="","",X156-TODAY())))</t>
        </is>
      </c>
      <c r="AI156" s="54" t="n"/>
      <c r="AJ156" s="54" t="n"/>
      <c r="AK156" s="54" t="n"/>
      <c r="AL156" s="54" t="n"/>
      <c r="AM156" s="54" t="n"/>
      <c r="AN156" s="54" t="n"/>
      <c r="AO156" s="54" t="n"/>
      <c r="AP156" s="54" t="n"/>
      <c r="AQ156" s="54" t="n"/>
      <c r="AR156" s="54" t="n"/>
      <c r="AS156" s="54" t="n"/>
      <c r="AT156" s="50" t="n"/>
      <c r="AU156" s="50" t="n"/>
      <c r="AV156" s="50" t="n"/>
      <c r="AW156" s="49" t="inlineStr">
        <is>
          <t>IF(OR(F156="",AJ156=""),"",IF(COUNT(AI156:AI156)=0,"",AJ156-LOOKUP(2,1/(AI156:AI156&lt;&gt;""),AI156:AI156)))</t>
        </is>
      </c>
      <c r="AX156" s="49" t="inlineStr">
        <is>
          <t>IF(OR(F156="",AK156=""),"",IF(COUNT(AI156:AJ156)=0,"",AK156-LOOKUP(2,1/(AI156:AJ156&lt;&gt;""),AI156:AJ156)))</t>
        </is>
      </c>
      <c r="AY156" s="49" t="inlineStr">
        <is>
          <t>IF(OR(F156="",AL156=""),"",IF(COUNT(AI156:AK156)=0,"",AL156-LOOKUP(2,1/(AI156:AK156&lt;&gt;""),AI156:AK156)))</t>
        </is>
      </c>
      <c r="AZ156" s="49" t="inlineStr">
        <is>
          <t>IF(OR(F156="",AM156=""),"",IF(COUNT(AI156:AL156)=0,"",AM156-LOOKUP(2,1/(AI156:AL156&lt;&gt;""),AI156:AL156)))</t>
        </is>
      </c>
      <c r="BA156" s="49" t="inlineStr">
        <is>
          <t>IF(OR(F156="",AN156=""),"",IF(COUNT(AI156:AM156)=0,"",AN156-LOOKUP(2,1/(AI156:AM156&lt;&gt;""),AI156:AM156)))</t>
        </is>
      </c>
      <c r="BB156" s="49" t="inlineStr">
        <is>
          <t>IF(OR(F156="",AO156=""),"",IF(COUNT(AI156:AN156)=0,"",AO156-LOOKUP(2,1/(AI156:AN156&lt;&gt;""),AI156:AN156)))</t>
        </is>
      </c>
      <c r="BC156" s="49" t="inlineStr">
        <is>
          <t>IF(OR(F156="",AP156=""),"",IF(COUNT(AI156:AO156)=0,"",AP156-LOOKUP(2,1/(AI156:AO156&lt;&gt;""),AI156:AO156)))</t>
        </is>
      </c>
      <c r="BD156" s="49" t="inlineStr">
        <is>
          <t>IF(OR(F156="",AQ156=""),"",IF(COUNT(AI156:AP156)=0,"",AQ156-LOOKUP(2,1/(AI156:AP156&lt;&gt;""),AI156:AP156)))</t>
        </is>
      </c>
      <c r="BE156" s="49" t="inlineStr">
        <is>
          <t>IF(OR(F156="",AR156=""),"",IF(COUNT(AI156:AQ156)=0,"",AR156-LOOKUP(2,1/(AI156:AQ156&lt;&gt;""),AI156:AQ156)))</t>
        </is>
      </c>
      <c r="BF156" s="49" t="inlineStr">
        <is>
          <t>IF(OR(F156="",AS156=""),"",IF(COUNT(AI156:AR156)=0,"",AS156-LOOKUP(2,1/(AI156:AR156&lt;&gt;""),AI156:AR156)))</t>
        </is>
      </c>
      <c r="BG156" s="49" t="inlineStr">
        <is>
          <t>IF(OR(F156="",AT156=""),"",IF(COUNT(AI156:AS156)=0,"",AT156-LOOKUP(2,1/(AI156:AS156&lt;&gt;""),AI156:AS156)))</t>
        </is>
      </c>
      <c r="BH156" s="49" t="inlineStr">
        <is>
          <t>IF(OR(F156="",AU156=""),"",IF(COUNT(AI156:AT156)=0,"",AU156-LOOKUP(2,1/(AI156:AT156&lt;&gt;""),AI156:AT156)))</t>
        </is>
      </c>
      <c r="BI156" s="49" t="inlineStr">
        <is>
          <t>IF(OR(F156="",AV156=""),"",IF(COUNT(AI156:AU156)=0,"",AV156-LOOKUP(2,1/(AI156:AU156&lt;&gt;""),AI156:AU156)))</t>
        </is>
      </c>
      <c r="BJ156" s="51" t="inlineStr">
        <is>
          <t>IF(J156="","All_Provinces",IFERROR(VLOOKUP(J156,'09_Lookups'!$A$4:$B$20,2,FALSE),"All_Provinces"))</t>
        </is>
      </c>
      <c r="BK156" s="51" t="inlineStr">
        <is>
          <t>IF(K156="","All_Districts",IFERROR(VLOOKUP(K156,'09_Lookups'!$E$4:$F$42,2,FALSE),"All_Districts"))</t>
        </is>
      </c>
    </row>
    <row r="157" ht="18" customHeight="1">
      <c r="A157" s="42" t="inlineStr">
        <is>
          <t>IF(F157="","",ROW()-3)</t>
        </is>
      </c>
      <c r="B157" s="44" t="n"/>
      <c r="C157" s="44" t="n"/>
      <c r="D157" s="44" t="n"/>
      <c r="E157" s="44" t="n"/>
      <c r="F157" s="44" t="n"/>
      <c r="G157" s="44" t="n"/>
      <c r="H157" s="44" t="n"/>
      <c r="I157" s="44" t="n"/>
      <c r="J157" s="44" t="n"/>
      <c r="K157" s="44" t="n"/>
      <c r="L157" s="44" t="n"/>
      <c r="M157" s="44" t="n"/>
      <c r="N157" s="44" t="n"/>
      <c r="O157" s="44" t="n"/>
      <c r="P157" s="44" t="n"/>
      <c r="Q157" s="44" t="n"/>
      <c r="R157" s="44" t="n"/>
      <c r="S157" s="45" t="n"/>
      <c r="T157" s="46" t="inlineStr">
        <is>
          <t>IF(AQ157="","",AQ157)</t>
        </is>
      </c>
      <c r="U157" s="47" t="n"/>
      <c r="V157" s="48" t="n"/>
      <c r="W157" s="47" t="n"/>
      <c r="X157" s="46" t="inlineStr">
        <is>
          <t>IF(W157&lt;&gt;"",W157,IF(OR(T157="",V157=""),"",EDATE(T157,V157)))</t>
        </is>
      </c>
      <c r="Y157" s="47" t="n"/>
      <c r="Z157" s="48" t="n"/>
      <c r="AA157" s="44" t="n"/>
      <c r="AB157" s="44" t="n"/>
      <c r="AC157" s="42" t="inlineStr">
        <is>
          <t>IF(F157="","",IF(COUNT(AI157:AV157)=0,IF(AA157="","Not started",AA157),SUBSTITUTE(LOOKUP(2,1/(AI157:AV157&lt;&gt;""),$AI$3:$AV$3),"Date: ","")))</t>
        </is>
      </c>
      <c r="AD157" s="49" t="inlineStr">
        <is>
          <t>IF(OR(F157="",COUNT(AI157:AV157)=0),"",TODAY()-LOOKUP(2,1/(AI157:AV157&lt;&gt;""),AI157:AV157))</t>
        </is>
      </c>
      <c r="AE157" s="49" t="inlineStr">
        <is>
          <t>IF(OR(F157="",COUNT(AI157:AV157)&lt;2),"",LOOKUP(2,1/(AI157:AV157&lt;&gt;""),AI157:AV157)-MIN(AI157:AV157))</t>
        </is>
      </c>
      <c r="AF157" s="49" t="inlineStr">
        <is>
          <t>IF(OR(AD157="",AC157="Not started",AC157=""),"",IFERROR(AD157-IF(VLOOKUP(AC157,'06_Status_Pipeline'!$B$3:$E$20,4,FALSE)="",0,VLOOKUP(AC157,'06_Status_Pipeline'!$B$3:$E$20,4,FALSE)),""))</t>
        </is>
      </c>
      <c r="AG157" s="42" t="inlineStr">
        <is>
          <t>IF(F157="","",IF(OR(AA157="Cancelled",AC157="Cancelled"),"Cancelled",IF(OR(AC157="Completed / Handover",Y157&lt;&gt;"",Z157&gt;=100),"Completed — on track",IF(O157="Not awarded",IF(U157="",IF(X157="","No planned date",IF(TODAY()&gt;X157,"Behind — past planned date",IF(X157-TODAY()&lt;=30,"At risk — close to off track","On track"))),IF(TODAY()&gt;U157,"Behind — award date passed",IF(U157-TODAY()&lt;=30,"At risk — close to off track","On track"))),IF(X157="","No planned date",IF(AND(TODAY()&gt;X157,OR(Z157="",Z157&lt;100)),"Behind — past end date",IF(AND(T157&lt;&gt;"",X157&lt;&gt;"",Z157&lt;&gt;"",(Z157&lt;100),((TODAY()-T157)/MAX(X157-T157,1)*100)-Z157&gt;15),"Behind — progress lag",IF(AND(X157-TODAY()&lt;=30,X157-TODAY()&gt;=0,OR(Z157="",Z157&lt;90)),"At risk — close to off track","On track"))))))))</t>
        </is>
      </c>
      <c r="AH157" s="49" t="inlineStr">
        <is>
          <t>IF(OR(F157="",AC157="Completed / Handover",AC157="Cancelled"),"",IF(O157="Not awarded",IF(U157&lt;&gt;"",U157-TODAY(),IF(X157="","",X157-TODAY())),IF(X157="","",X157-TODAY())))</t>
        </is>
      </c>
      <c r="AI157" s="47" t="n"/>
      <c r="AJ157" s="47" t="n"/>
      <c r="AK157" s="47" t="n"/>
      <c r="AL157" s="47" t="n"/>
      <c r="AM157" s="47" t="n"/>
      <c r="AN157" s="47" t="n"/>
      <c r="AO157" s="47" t="n"/>
      <c r="AP157" s="47" t="n"/>
      <c r="AQ157" s="47" t="n"/>
      <c r="AR157" s="47" t="n"/>
      <c r="AS157" s="47" t="n"/>
      <c r="AT157" s="50" t="n"/>
      <c r="AU157" s="50" t="n"/>
      <c r="AV157" s="50" t="n"/>
      <c r="AW157" s="49" t="inlineStr">
        <is>
          <t>IF(OR(F157="",AJ157=""),"",IF(COUNT(AI157:AI157)=0,"",AJ157-LOOKUP(2,1/(AI157:AI157&lt;&gt;""),AI157:AI157)))</t>
        </is>
      </c>
      <c r="AX157" s="49" t="inlineStr">
        <is>
          <t>IF(OR(F157="",AK157=""),"",IF(COUNT(AI157:AJ157)=0,"",AK157-LOOKUP(2,1/(AI157:AJ157&lt;&gt;""),AI157:AJ157)))</t>
        </is>
      </c>
      <c r="AY157" s="49" t="inlineStr">
        <is>
          <t>IF(OR(F157="",AL157=""),"",IF(COUNT(AI157:AK157)=0,"",AL157-LOOKUP(2,1/(AI157:AK157&lt;&gt;""),AI157:AK157)))</t>
        </is>
      </c>
      <c r="AZ157" s="49" t="inlineStr">
        <is>
          <t>IF(OR(F157="",AM157=""),"",IF(COUNT(AI157:AL157)=0,"",AM157-LOOKUP(2,1/(AI157:AL157&lt;&gt;""),AI157:AL157)))</t>
        </is>
      </c>
      <c r="BA157" s="49" t="inlineStr">
        <is>
          <t>IF(OR(F157="",AN157=""),"",IF(COUNT(AI157:AM157)=0,"",AN157-LOOKUP(2,1/(AI157:AM157&lt;&gt;""),AI157:AM157)))</t>
        </is>
      </c>
      <c r="BB157" s="49" t="inlineStr">
        <is>
          <t>IF(OR(F157="",AO157=""),"",IF(COUNT(AI157:AN157)=0,"",AO157-LOOKUP(2,1/(AI157:AN157&lt;&gt;""),AI157:AN157)))</t>
        </is>
      </c>
      <c r="BC157" s="49" t="inlineStr">
        <is>
          <t>IF(OR(F157="",AP157=""),"",IF(COUNT(AI157:AO157)=0,"",AP157-LOOKUP(2,1/(AI157:AO157&lt;&gt;""),AI157:AO157)))</t>
        </is>
      </c>
      <c r="BD157" s="49" t="inlineStr">
        <is>
          <t>IF(OR(F157="",AQ157=""),"",IF(COUNT(AI157:AP157)=0,"",AQ157-LOOKUP(2,1/(AI157:AP157&lt;&gt;""),AI157:AP157)))</t>
        </is>
      </c>
      <c r="BE157" s="49" t="inlineStr">
        <is>
          <t>IF(OR(F157="",AR157=""),"",IF(COUNT(AI157:AQ157)=0,"",AR157-LOOKUP(2,1/(AI157:AQ157&lt;&gt;""),AI157:AQ157)))</t>
        </is>
      </c>
      <c r="BF157" s="49" t="inlineStr">
        <is>
          <t>IF(OR(F157="",AS157=""),"",IF(COUNT(AI157:AR157)=0,"",AS157-LOOKUP(2,1/(AI157:AR157&lt;&gt;""),AI157:AR157)))</t>
        </is>
      </c>
      <c r="BG157" s="49" t="inlineStr">
        <is>
          <t>IF(OR(F157="",AT157=""),"",IF(COUNT(AI157:AS157)=0,"",AT157-LOOKUP(2,1/(AI157:AS157&lt;&gt;""),AI157:AS157)))</t>
        </is>
      </c>
      <c r="BH157" s="49" t="inlineStr">
        <is>
          <t>IF(OR(F157="",AU157=""),"",IF(COUNT(AI157:AT157)=0,"",AU157-LOOKUP(2,1/(AI157:AT157&lt;&gt;""),AI157:AT157)))</t>
        </is>
      </c>
      <c r="BI157" s="49" t="inlineStr">
        <is>
          <t>IF(OR(F157="",AV157=""),"",IF(COUNT(AI157:AU157)=0,"",AV157-LOOKUP(2,1/(AI157:AU157&lt;&gt;""),AI157:AU157)))</t>
        </is>
      </c>
      <c r="BJ157" s="51" t="inlineStr">
        <is>
          <t>IF(J157="","All_Provinces",IFERROR(VLOOKUP(J157,'09_Lookups'!$A$4:$B$20,2,FALSE),"All_Provinces"))</t>
        </is>
      </c>
      <c r="BK157" s="51" t="inlineStr">
        <is>
          <t>IF(K157="","All_Districts",IFERROR(VLOOKUP(K157,'09_Lookups'!$E$4:$F$42,2,FALSE),"All_Districts"))</t>
        </is>
      </c>
    </row>
    <row r="158" ht="18" customHeight="1">
      <c r="A158" s="42" t="inlineStr">
        <is>
          <t>IF(F158="","",ROW()-3)</t>
        </is>
      </c>
      <c r="B158" s="52" t="n"/>
      <c r="C158" s="52" t="n"/>
      <c r="D158" s="52" t="n"/>
      <c r="E158" s="52" t="n"/>
      <c r="F158" s="52" t="n"/>
      <c r="G158" s="52" t="n"/>
      <c r="H158" s="52" t="n"/>
      <c r="I158" s="52" t="n"/>
      <c r="J158" s="52" t="n"/>
      <c r="K158" s="52" t="n"/>
      <c r="L158" s="52" t="n"/>
      <c r="M158" s="52" t="n"/>
      <c r="N158" s="52" t="n"/>
      <c r="O158" s="52" t="n"/>
      <c r="P158" s="52" t="n"/>
      <c r="Q158" s="52" t="n"/>
      <c r="R158" s="52" t="n"/>
      <c r="S158" s="53" t="n"/>
      <c r="T158" s="46" t="inlineStr">
        <is>
          <t>IF(AQ158="","",AQ158)</t>
        </is>
      </c>
      <c r="U158" s="54" t="n"/>
      <c r="V158" s="55" t="n"/>
      <c r="W158" s="54" t="n"/>
      <c r="X158" s="46" t="inlineStr">
        <is>
          <t>IF(W158&lt;&gt;"",W158,IF(OR(T158="",V158=""),"",EDATE(T158,V158)))</t>
        </is>
      </c>
      <c r="Y158" s="54" t="n"/>
      <c r="Z158" s="55" t="n"/>
      <c r="AA158" s="52" t="n"/>
      <c r="AB158" s="52" t="n"/>
      <c r="AC158" s="42" t="inlineStr">
        <is>
          <t>IF(F158="","",IF(COUNT(AI158:AV158)=0,IF(AA158="","Not started",AA158),SUBSTITUTE(LOOKUP(2,1/(AI158:AV158&lt;&gt;""),$AI$3:$AV$3),"Date: ","")))</t>
        </is>
      </c>
      <c r="AD158" s="49" t="inlineStr">
        <is>
          <t>IF(OR(F158="",COUNT(AI158:AV158)=0),"",TODAY()-LOOKUP(2,1/(AI158:AV158&lt;&gt;""),AI158:AV158))</t>
        </is>
      </c>
      <c r="AE158" s="49" t="inlineStr">
        <is>
          <t>IF(OR(F158="",COUNT(AI158:AV158)&lt;2),"",LOOKUP(2,1/(AI158:AV158&lt;&gt;""),AI158:AV158)-MIN(AI158:AV158))</t>
        </is>
      </c>
      <c r="AF158" s="49" t="inlineStr">
        <is>
          <t>IF(OR(AD158="",AC158="Not started",AC158=""),"",IFERROR(AD158-IF(VLOOKUP(AC158,'06_Status_Pipeline'!$B$3:$E$20,4,FALSE)="",0,VLOOKUP(AC158,'06_Status_Pipeline'!$B$3:$E$20,4,FALSE)),""))</t>
        </is>
      </c>
      <c r="AG158" s="42" t="inlineStr">
        <is>
          <t>IF(F158="","",IF(OR(AA158="Cancelled",AC158="Cancelled"),"Cancelled",IF(OR(AC158="Completed / Handover",Y158&lt;&gt;"",Z158&gt;=100),"Completed — on track",IF(O158="Not awarded",IF(U158="",IF(X158="","No planned date",IF(TODAY()&gt;X158,"Behind — past planned date",IF(X158-TODAY()&lt;=30,"At risk — close to off track","On track"))),IF(TODAY()&gt;U158,"Behind — award date passed",IF(U158-TODAY()&lt;=30,"At risk — close to off track","On track"))),IF(X158="","No planned date",IF(AND(TODAY()&gt;X158,OR(Z158="",Z158&lt;100)),"Behind — past end date",IF(AND(T158&lt;&gt;"",X158&lt;&gt;"",Z158&lt;&gt;"",(Z158&lt;100),((TODAY()-T158)/MAX(X158-T158,1)*100)-Z158&gt;15),"Behind — progress lag",IF(AND(X158-TODAY()&lt;=30,X158-TODAY()&gt;=0,OR(Z158="",Z158&lt;90)),"At risk — close to off track","On track"))))))))</t>
        </is>
      </c>
      <c r="AH158" s="49" t="inlineStr">
        <is>
          <t>IF(OR(F158="",AC158="Completed / Handover",AC158="Cancelled"),"",IF(O158="Not awarded",IF(U158&lt;&gt;"",U158-TODAY(),IF(X158="","",X158-TODAY())),IF(X158="","",X158-TODAY())))</t>
        </is>
      </c>
      <c r="AI158" s="54" t="n"/>
      <c r="AJ158" s="54" t="n"/>
      <c r="AK158" s="54" t="n"/>
      <c r="AL158" s="54" t="n"/>
      <c r="AM158" s="54" t="n"/>
      <c r="AN158" s="54" t="n"/>
      <c r="AO158" s="54" t="n"/>
      <c r="AP158" s="54" t="n"/>
      <c r="AQ158" s="54" t="n"/>
      <c r="AR158" s="54" t="n"/>
      <c r="AS158" s="54" t="n"/>
      <c r="AT158" s="50" t="n"/>
      <c r="AU158" s="50" t="n"/>
      <c r="AV158" s="50" t="n"/>
      <c r="AW158" s="49" t="inlineStr">
        <is>
          <t>IF(OR(F158="",AJ158=""),"",IF(COUNT(AI158:AI158)=0,"",AJ158-LOOKUP(2,1/(AI158:AI158&lt;&gt;""),AI158:AI158)))</t>
        </is>
      </c>
      <c r="AX158" s="49" t="inlineStr">
        <is>
          <t>IF(OR(F158="",AK158=""),"",IF(COUNT(AI158:AJ158)=0,"",AK158-LOOKUP(2,1/(AI158:AJ158&lt;&gt;""),AI158:AJ158)))</t>
        </is>
      </c>
      <c r="AY158" s="49" t="inlineStr">
        <is>
          <t>IF(OR(F158="",AL158=""),"",IF(COUNT(AI158:AK158)=0,"",AL158-LOOKUP(2,1/(AI158:AK158&lt;&gt;""),AI158:AK158)))</t>
        </is>
      </c>
      <c r="AZ158" s="49" t="inlineStr">
        <is>
          <t>IF(OR(F158="",AM158=""),"",IF(COUNT(AI158:AL158)=0,"",AM158-LOOKUP(2,1/(AI158:AL158&lt;&gt;""),AI158:AL158)))</t>
        </is>
      </c>
      <c r="BA158" s="49" t="inlineStr">
        <is>
          <t>IF(OR(F158="",AN158=""),"",IF(COUNT(AI158:AM158)=0,"",AN158-LOOKUP(2,1/(AI158:AM158&lt;&gt;""),AI158:AM158)))</t>
        </is>
      </c>
      <c r="BB158" s="49" t="inlineStr">
        <is>
          <t>IF(OR(F158="",AO158=""),"",IF(COUNT(AI158:AN158)=0,"",AO158-LOOKUP(2,1/(AI158:AN158&lt;&gt;""),AI158:AN158)))</t>
        </is>
      </c>
      <c r="BC158" s="49" t="inlineStr">
        <is>
          <t>IF(OR(F158="",AP158=""),"",IF(COUNT(AI158:AO158)=0,"",AP158-LOOKUP(2,1/(AI158:AO158&lt;&gt;""),AI158:AO158)))</t>
        </is>
      </c>
      <c r="BD158" s="49" t="inlineStr">
        <is>
          <t>IF(OR(F158="",AQ158=""),"",IF(COUNT(AI158:AP158)=0,"",AQ158-LOOKUP(2,1/(AI158:AP158&lt;&gt;""),AI158:AP158)))</t>
        </is>
      </c>
      <c r="BE158" s="49" t="inlineStr">
        <is>
          <t>IF(OR(F158="",AR158=""),"",IF(COUNT(AI158:AQ158)=0,"",AR158-LOOKUP(2,1/(AI158:AQ158&lt;&gt;""),AI158:AQ158)))</t>
        </is>
      </c>
      <c r="BF158" s="49" t="inlineStr">
        <is>
          <t>IF(OR(F158="",AS158=""),"",IF(COUNT(AI158:AR158)=0,"",AS158-LOOKUP(2,1/(AI158:AR158&lt;&gt;""),AI158:AR158)))</t>
        </is>
      </c>
      <c r="BG158" s="49" t="inlineStr">
        <is>
          <t>IF(OR(F158="",AT158=""),"",IF(COUNT(AI158:AS158)=0,"",AT158-LOOKUP(2,1/(AI158:AS158&lt;&gt;""),AI158:AS158)))</t>
        </is>
      </c>
      <c r="BH158" s="49" t="inlineStr">
        <is>
          <t>IF(OR(F158="",AU158=""),"",IF(COUNT(AI158:AT158)=0,"",AU158-LOOKUP(2,1/(AI158:AT158&lt;&gt;""),AI158:AT158)))</t>
        </is>
      </c>
      <c r="BI158" s="49" t="inlineStr">
        <is>
          <t>IF(OR(F158="",AV158=""),"",IF(COUNT(AI158:AU158)=0,"",AV158-LOOKUP(2,1/(AI158:AU158&lt;&gt;""),AI158:AU158)))</t>
        </is>
      </c>
      <c r="BJ158" s="51" t="inlineStr">
        <is>
          <t>IF(J158="","All_Provinces",IFERROR(VLOOKUP(J158,'09_Lookups'!$A$4:$B$20,2,FALSE),"All_Provinces"))</t>
        </is>
      </c>
      <c r="BK158" s="51" t="inlineStr">
        <is>
          <t>IF(K158="","All_Districts",IFERROR(VLOOKUP(K158,'09_Lookups'!$E$4:$F$42,2,FALSE),"All_Districts"))</t>
        </is>
      </c>
    </row>
    <row r="159" ht="18" customHeight="1">
      <c r="A159" s="42" t="inlineStr">
        <is>
          <t>IF(F159="","",ROW()-3)</t>
        </is>
      </c>
      <c r="B159" s="44" t="n"/>
      <c r="C159" s="44" t="n"/>
      <c r="D159" s="44" t="n"/>
      <c r="E159" s="44" t="n"/>
      <c r="F159" s="44" t="n"/>
      <c r="G159" s="44" t="n"/>
      <c r="H159" s="44" t="n"/>
      <c r="I159" s="44" t="n"/>
      <c r="J159" s="44" t="n"/>
      <c r="K159" s="44" t="n"/>
      <c r="L159" s="44" t="n"/>
      <c r="M159" s="44" t="n"/>
      <c r="N159" s="44" t="n"/>
      <c r="O159" s="44" t="n"/>
      <c r="P159" s="44" t="n"/>
      <c r="Q159" s="44" t="n"/>
      <c r="R159" s="44" t="n"/>
      <c r="S159" s="45" t="n"/>
      <c r="T159" s="46" t="inlineStr">
        <is>
          <t>IF(AQ159="","",AQ159)</t>
        </is>
      </c>
      <c r="U159" s="47" t="n"/>
      <c r="V159" s="48" t="n"/>
      <c r="W159" s="47" t="n"/>
      <c r="X159" s="46" t="inlineStr">
        <is>
          <t>IF(W159&lt;&gt;"",W159,IF(OR(T159="",V159=""),"",EDATE(T159,V159)))</t>
        </is>
      </c>
      <c r="Y159" s="47" t="n"/>
      <c r="Z159" s="48" t="n"/>
      <c r="AA159" s="44" t="n"/>
      <c r="AB159" s="44" t="n"/>
      <c r="AC159" s="42" t="inlineStr">
        <is>
          <t>IF(F159="","",IF(COUNT(AI159:AV159)=0,IF(AA159="","Not started",AA159),SUBSTITUTE(LOOKUP(2,1/(AI159:AV159&lt;&gt;""),$AI$3:$AV$3),"Date: ","")))</t>
        </is>
      </c>
      <c r="AD159" s="49" t="inlineStr">
        <is>
          <t>IF(OR(F159="",COUNT(AI159:AV159)=0),"",TODAY()-LOOKUP(2,1/(AI159:AV159&lt;&gt;""),AI159:AV159))</t>
        </is>
      </c>
      <c r="AE159" s="49" t="inlineStr">
        <is>
          <t>IF(OR(F159="",COUNT(AI159:AV159)&lt;2),"",LOOKUP(2,1/(AI159:AV159&lt;&gt;""),AI159:AV159)-MIN(AI159:AV159))</t>
        </is>
      </c>
      <c r="AF159" s="49" t="inlineStr">
        <is>
          <t>IF(OR(AD159="",AC159="Not started",AC159=""),"",IFERROR(AD159-IF(VLOOKUP(AC159,'06_Status_Pipeline'!$B$3:$E$20,4,FALSE)="",0,VLOOKUP(AC159,'06_Status_Pipeline'!$B$3:$E$20,4,FALSE)),""))</t>
        </is>
      </c>
      <c r="AG159" s="42" t="inlineStr">
        <is>
          <t>IF(F159="","",IF(OR(AA159="Cancelled",AC159="Cancelled"),"Cancelled",IF(OR(AC159="Completed / Handover",Y159&lt;&gt;"",Z159&gt;=100),"Completed — on track",IF(O159="Not awarded",IF(U159="",IF(X159="","No planned date",IF(TODAY()&gt;X159,"Behind — past planned date",IF(X159-TODAY()&lt;=30,"At risk — close to off track","On track"))),IF(TODAY()&gt;U159,"Behind — award date passed",IF(U159-TODAY()&lt;=30,"At risk — close to off track","On track"))),IF(X159="","No planned date",IF(AND(TODAY()&gt;X159,OR(Z159="",Z159&lt;100)),"Behind — past end date",IF(AND(T159&lt;&gt;"",X159&lt;&gt;"",Z159&lt;&gt;"",(Z159&lt;100),((TODAY()-T159)/MAX(X159-T159,1)*100)-Z159&gt;15),"Behind — progress lag",IF(AND(X159-TODAY()&lt;=30,X159-TODAY()&gt;=0,OR(Z159="",Z159&lt;90)),"At risk — close to off track","On track"))))))))</t>
        </is>
      </c>
      <c r="AH159" s="49" t="inlineStr">
        <is>
          <t>IF(OR(F159="",AC159="Completed / Handover",AC159="Cancelled"),"",IF(O159="Not awarded",IF(U159&lt;&gt;"",U159-TODAY(),IF(X159="","",X159-TODAY())),IF(X159="","",X159-TODAY())))</t>
        </is>
      </c>
      <c r="AI159" s="47" t="n"/>
      <c r="AJ159" s="47" t="n"/>
      <c r="AK159" s="47" t="n"/>
      <c r="AL159" s="47" t="n"/>
      <c r="AM159" s="47" t="n"/>
      <c r="AN159" s="47" t="n"/>
      <c r="AO159" s="47" t="n"/>
      <c r="AP159" s="47" t="n"/>
      <c r="AQ159" s="47" t="n"/>
      <c r="AR159" s="47" t="n"/>
      <c r="AS159" s="47" t="n"/>
      <c r="AT159" s="50" t="n"/>
      <c r="AU159" s="50" t="n"/>
      <c r="AV159" s="50" t="n"/>
      <c r="AW159" s="49" t="inlineStr">
        <is>
          <t>IF(OR(F159="",AJ159=""),"",IF(COUNT(AI159:AI159)=0,"",AJ159-LOOKUP(2,1/(AI159:AI159&lt;&gt;""),AI159:AI159)))</t>
        </is>
      </c>
      <c r="AX159" s="49" t="inlineStr">
        <is>
          <t>IF(OR(F159="",AK159=""),"",IF(COUNT(AI159:AJ159)=0,"",AK159-LOOKUP(2,1/(AI159:AJ159&lt;&gt;""),AI159:AJ159)))</t>
        </is>
      </c>
      <c r="AY159" s="49" t="inlineStr">
        <is>
          <t>IF(OR(F159="",AL159=""),"",IF(COUNT(AI159:AK159)=0,"",AL159-LOOKUP(2,1/(AI159:AK159&lt;&gt;""),AI159:AK159)))</t>
        </is>
      </c>
      <c r="AZ159" s="49" t="inlineStr">
        <is>
          <t>IF(OR(F159="",AM159=""),"",IF(COUNT(AI159:AL159)=0,"",AM159-LOOKUP(2,1/(AI159:AL159&lt;&gt;""),AI159:AL159)))</t>
        </is>
      </c>
      <c r="BA159" s="49" t="inlineStr">
        <is>
          <t>IF(OR(F159="",AN159=""),"",IF(COUNT(AI159:AM159)=0,"",AN159-LOOKUP(2,1/(AI159:AM159&lt;&gt;""),AI159:AM159)))</t>
        </is>
      </c>
      <c r="BB159" s="49" t="inlineStr">
        <is>
          <t>IF(OR(F159="",AO159=""),"",IF(COUNT(AI159:AN159)=0,"",AO159-LOOKUP(2,1/(AI159:AN159&lt;&gt;""),AI159:AN159)))</t>
        </is>
      </c>
      <c r="BC159" s="49" t="inlineStr">
        <is>
          <t>IF(OR(F159="",AP159=""),"",IF(COUNT(AI159:AO159)=0,"",AP159-LOOKUP(2,1/(AI159:AO159&lt;&gt;""),AI159:AO159)))</t>
        </is>
      </c>
      <c r="BD159" s="49" t="inlineStr">
        <is>
          <t>IF(OR(F159="",AQ159=""),"",IF(COUNT(AI159:AP159)=0,"",AQ159-LOOKUP(2,1/(AI159:AP159&lt;&gt;""),AI159:AP159)))</t>
        </is>
      </c>
      <c r="BE159" s="49" t="inlineStr">
        <is>
          <t>IF(OR(F159="",AR159=""),"",IF(COUNT(AI159:AQ159)=0,"",AR159-LOOKUP(2,1/(AI159:AQ159&lt;&gt;""),AI159:AQ159)))</t>
        </is>
      </c>
      <c r="BF159" s="49" t="inlineStr">
        <is>
          <t>IF(OR(F159="",AS159=""),"",IF(COUNT(AI159:AR159)=0,"",AS159-LOOKUP(2,1/(AI159:AR159&lt;&gt;""),AI159:AR159)))</t>
        </is>
      </c>
      <c r="BG159" s="49" t="inlineStr">
        <is>
          <t>IF(OR(F159="",AT159=""),"",IF(COUNT(AI159:AS159)=0,"",AT159-LOOKUP(2,1/(AI159:AS159&lt;&gt;""),AI159:AS159)))</t>
        </is>
      </c>
      <c r="BH159" s="49" t="inlineStr">
        <is>
          <t>IF(OR(F159="",AU159=""),"",IF(COUNT(AI159:AT159)=0,"",AU159-LOOKUP(2,1/(AI159:AT159&lt;&gt;""),AI159:AT159)))</t>
        </is>
      </c>
      <c r="BI159" s="49" t="inlineStr">
        <is>
          <t>IF(OR(F159="",AV159=""),"",IF(COUNT(AI159:AU159)=0,"",AV159-LOOKUP(2,1/(AI159:AU159&lt;&gt;""),AI159:AU159)))</t>
        </is>
      </c>
      <c r="BJ159" s="51" t="inlineStr">
        <is>
          <t>IF(J159="","All_Provinces",IFERROR(VLOOKUP(J159,'09_Lookups'!$A$4:$B$20,2,FALSE),"All_Provinces"))</t>
        </is>
      </c>
      <c r="BK159" s="51" t="inlineStr">
        <is>
          <t>IF(K159="","All_Districts",IFERROR(VLOOKUP(K159,'09_Lookups'!$E$4:$F$42,2,FALSE),"All_Districts"))</t>
        </is>
      </c>
    </row>
    <row r="160" ht="18" customHeight="1">
      <c r="A160" s="42" t="inlineStr">
        <is>
          <t>IF(F160="","",ROW()-3)</t>
        </is>
      </c>
      <c r="B160" s="52" t="n"/>
      <c r="C160" s="52" t="n"/>
      <c r="D160" s="52" t="n"/>
      <c r="E160" s="52" t="n"/>
      <c r="F160" s="52" t="n"/>
      <c r="G160" s="52" t="n"/>
      <c r="H160" s="52" t="n"/>
      <c r="I160" s="52" t="n"/>
      <c r="J160" s="52" t="n"/>
      <c r="K160" s="52" t="n"/>
      <c r="L160" s="52" t="n"/>
      <c r="M160" s="52" t="n"/>
      <c r="N160" s="52" t="n"/>
      <c r="O160" s="52" t="n"/>
      <c r="P160" s="52" t="n"/>
      <c r="Q160" s="52" t="n"/>
      <c r="R160" s="52" t="n"/>
      <c r="S160" s="53" t="n"/>
      <c r="T160" s="46" t="inlineStr">
        <is>
          <t>IF(AQ160="","",AQ160)</t>
        </is>
      </c>
      <c r="U160" s="54" t="n"/>
      <c r="V160" s="55" t="n"/>
      <c r="W160" s="54" t="n"/>
      <c r="X160" s="46" t="inlineStr">
        <is>
          <t>IF(W160&lt;&gt;"",W160,IF(OR(T160="",V160=""),"",EDATE(T160,V160)))</t>
        </is>
      </c>
      <c r="Y160" s="54" t="n"/>
      <c r="Z160" s="55" t="n"/>
      <c r="AA160" s="52" t="n"/>
      <c r="AB160" s="52" t="n"/>
      <c r="AC160" s="42" t="inlineStr">
        <is>
          <t>IF(F160="","",IF(COUNT(AI160:AV160)=0,IF(AA160="","Not started",AA160),SUBSTITUTE(LOOKUP(2,1/(AI160:AV160&lt;&gt;""),$AI$3:$AV$3),"Date: ","")))</t>
        </is>
      </c>
      <c r="AD160" s="49" t="inlineStr">
        <is>
          <t>IF(OR(F160="",COUNT(AI160:AV160)=0),"",TODAY()-LOOKUP(2,1/(AI160:AV160&lt;&gt;""),AI160:AV160))</t>
        </is>
      </c>
      <c r="AE160" s="49" t="inlineStr">
        <is>
          <t>IF(OR(F160="",COUNT(AI160:AV160)&lt;2),"",LOOKUP(2,1/(AI160:AV160&lt;&gt;""),AI160:AV160)-MIN(AI160:AV160))</t>
        </is>
      </c>
      <c r="AF160" s="49" t="inlineStr">
        <is>
          <t>IF(OR(AD160="",AC160="Not started",AC160=""),"",IFERROR(AD160-IF(VLOOKUP(AC160,'06_Status_Pipeline'!$B$3:$E$20,4,FALSE)="",0,VLOOKUP(AC160,'06_Status_Pipeline'!$B$3:$E$20,4,FALSE)),""))</t>
        </is>
      </c>
      <c r="AG160" s="42" t="inlineStr">
        <is>
          <t>IF(F160="","",IF(OR(AA160="Cancelled",AC160="Cancelled"),"Cancelled",IF(OR(AC160="Completed / Handover",Y160&lt;&gt;"",Z160&gt;=100),"Completed — on track",IF(O160="Not awarded",IF(U160="",IF(X160="","No planned date",IF(TODAY()&gt;X160,"Behind — past planned date",IF(X160-TODAY()&lt;=30,"At risk — close to off track","On track"))),IF(TODAY()&gt;U160,"Behind — award date passed",IF(U160-TODAY()&lt;=30,"At risk — close to off track","On track"))),IF(X160="","No planned date",IF(AND(TODAY()&gt;X160,OR(Z160="",Z160&lt;100)),"Behind — past end date",IF(AND(T160&lt;&gt;"",X160&lt;&gt;"",Z160&lt;&gt;"",(Z160&lt;100),((TODAY()-T160)/MAX(X160-T160,1)*100)-Z160&gt;15),"Behind — progress lag",IF(AND(X160-TODAY()&lt;=30,X160-TODAY()&gt;=0,OR(Z160="",Z160&lt;90)),"At risk — close to off track","On track"))))))))</t>
        </is>
      </c>
      <c r="AH160" s="49" t="inlineStr">
        <is>
          <t>IF(OR(F160="",AC160="Completed / Handover",AC160="Cancelled"),"",IF(O160="Not awarded",IF(U160&lt;&gt;"",U160-TODAY(),IF(X160="","",X160-TODAY())),IF(X160="","",X160-TODAY())))</t>
        </is>
      </c>
      <c r="AI160" s="54" t="n"/>
      <c r="AJ160" s="54" t="n"/>
      <c r="AK160" s="54" t="n"/>
      <c r="AL160" s="54" t="n"/>
      <c r="AM160" s="54" t="n"/>
      <c r="AN160" s="54" t="n"/>
      <c r="AO160" s="54" t="n"/>
      <c r="AP160" s="54" t="n"/>
      <c r="AQ160" s="54" t="n"/>
      <c r="AR160" s="54" t="n"/>
      <c r="AS160" s="54" t="n"/>
      <c r="AT160" s="50" t="n"/>
      <c r="AU160" s="50" t="n"/>
      <c r="AV160" s="50" t="n"/>
      <c r="AW160" s="49" t="inlineStr">
        <is>
          <t>IF(OR(F160="",AJ160=""),"",IF(COUNT(AI160:AI160)=0,"",AJ160-LOOKUP(2,1/(AI160:AI160&lt;&gt;""),AI160:AI160)))</t>
        </is>
      </c>
      <c r="AX160" s="49" t="inlineStr">
        <is>
          <t>IF(OR(F160="",AK160=""),"",IF(COUNT(AI160:AJ160)=0,"",AK160-LOOKUP(2,1/(AI160:AJ160&lt;&gt;""),AI160:AJ160)))</t>
        </is>
      </c>
      <c r="AY160" s="49" t="inlineStr">
        <is>
          <t>IF(OR(F160="",AL160=""),"",IF(COUNT(AI160:AK160)=0,"",AL160-LOOKUP(2,1/(AI160:AK160&lt;&gt;""),AI160:AK160)))</t>
        </is>
      </c>
      <c r="AZ160" s="49" t="inlineStr">
        <is>
          <t>IF(OR(F160="",AM160=""),"",IF(COUNT(AI160:AL160)=0,"",AM160-LOOKUP(2,1/(AI160:AL160&lt;&gt;""),AI160:AL160)))</t>
        </is>
      </c>
      <c r="BA160" s="49" t="inlineStr">
        <is>
          <t>IF(OR(F160="",AN160=""),"",IF(COUNT(AI160:AM160)=0,"",AN160-LOOKUP(2,1/(AI160:AM160&lt;&gt;""),AI160:AM160)))</t>
        </is>
      </c>
      <c r="BB160" s="49" t="inlineStr">
        <is>
          <t>IF(OR(F160="",AO160=""),"",IF(COUNT(AI160:AN160)=0,"",AO160-LOOKUP(2,1/(AI160:AN160&lt;&gt;""),AI160:AN160)))</t>
        </is>
      </c>
      <c r="BC160" s="49" t="inlineStr">
        <is>
          <t>IF(OR(F160="",AP160=""),"",IF(COUNT(AI160:AO160)=0,"",AP160-LOOKUP(2,1/(AI160:AO160&lt;&gt;""),AI160:AO160)))</t>
        </is>
      </c>
      <c r="BD160" s="49" t="inlineStr">
        <is>
          <t>IF(OR(F160="",AQ160=""),"",IF(COUNT(AI160:AP160)=0,"",AQ160-LOOKUP(2,1/(AI160:AP160&lt;&gt;""),AI160:AP160)))</t>
        </is>
      </c>
      <c r="BE160" s="49" t="inlineStr">
        <is>
          <t>IF(OR(F160="",AR160=""),"",IF(COUNT(AI160:AQ160)=0,"",AR160-LOOKUP(2,1/(AI160:AQ160&lt;&gt;""),AI160:AQ160)))</t>
        </is>
      </c>
      <c r="BF160" s="49" t="inlineStr">
        <is>
          <t>IF(OR(F160="",AS160=""),"",IF(COUNT(AI160:AR160)=0,"",AS160-LOOKUP(2,1/(AI160:AR160&lt;&gt;""),AI160:AR160)))</t>
        </is>
      </c>
      <c r="BG160" s="49" t="inlineStr">
        <is>
          <t>IF(OR(F160="",AT160=""),"",IF(COUNT(AI160:AS160)=0,"",AT160-LOOKUP(2,1/(AI160:AS160&lt;&gt;""),AI160:AS160)))</t>
        </is>
      </c>
      <c r="BH160" s="49" t="inlineStr">
        <is>
          <t>IF(OR(F160="",AU160=""),"",IF(COUNT(AI160:AT160)=0,"",AU160-LOOKUP(2,1/(AI160:AT160&lt;&gt;""),AI160:AT160)))</t>
        </is>
      </c>
      <c r="BI160" s="49" t="inlineStr">
        <is>
          <t>IF(OR(F160="",AV160=""),"",IF(COUNT(AI160:AU160)=0,"",AV160-LOOKUP(2,1/(AI160:AU160&lt;&gt;""),AI160:AU160)))</t>
        </is>
      </c>
      <c r="BJ160" s="51" t="inlineStr">
        <is>
          <t>IF(J160="","All_Provinces",IFERROR(VLOOKUP(J160,'09_Lookups'!$A$4:$B$20,2,FALSE),"All_Provinces"))</t>
        </is>
      </c>
      <c r="BK160" s="51" t="inlineStr">
        <is>
          <t>IF(K160="","All_Districts",IFERROR(VLOOKUP(K160,'09_Lookups'!$E$4:$F$42,2,FALSE),"All_Districts"))</t>
        </is>
      </c>
    </row>
    <row r="161" ht="18" customHeight="1">
      <c r="A161" s="42" t="inlineStr">
        <is>
          <t>IF(F161="","",ROW()-3)</t>
        </is>
      </c>
      <c r="B161" s="44" t="n"/>
      <c r="C161" s="44" t="n"/>
      <c r="D161" s="44" t="n"/>
      <c r="E161" s="44" t="n"/>
      <c r="F161" s="44" t="n"/>
      <c r="G161" s="44" t="n"/>
      <c r="H161" s="44" t="n"/>
      <c r="I161" s="44" t="n"/>
      <c r="J161" s="44" t="n"/>
      <c r="K161" s="44" t="n"/>
      <c r="L161" s="44" t="n"/>
      <c r="M161" s="44" t="n"/>
      <c r="N161" s="44" t="n"/>
      <c r="O161" s="44" t="n"/>
      <c r="P161" s="44" t="n"/>
      <c r="Q161" s="44" t="n"/>
      <c r="R161" s="44" t="n"/>
      <c r="S161" s="45" t="n"/>
      <c r="T161" s="46" t="inlineStr">
        <is>
          <t>IF(AQ161="","",AQ161)</t>
        </is>
      </c>
      <c r="U161" s="47" t="n"/>
      <c r="V161" s="48" t="n"/>
      <c r="W161" s="47" t="n"/>
      <c r="X161" s="46" t="inlineStr">
        <is>
          <t>IF(W161&lt;&gt;"",W161,IF(OR(T161="",V161=""),"",EDATE(T161,V161)))</t>
        </is>
      </c>
      <c r="Y161" s="47" t="n"/>
      <c r="Z161" s="48" t="n"/>
      <c r="AA161" s="44" t="n"/>
      <c r="AB161" s="44" t="n"/>
      <c r="AC161" s="42" t="inlineStr">
        <is>
          <t>IF(F161="","",IF(COUNT(AI161:AV161)=0,IF(AA161="","Not started",AA161),SUBSTITUTE(LOOKUP(2,1/(AI161:AV161&lt;&gt;""),$AI$3:$AV$3),"Date: ","")))</t>
        </is>
      </c>
      <c r="AD161" s="49" t="inlineStr">
        <is>
          <t>IF(OR(F161="",COUNT(AI161:AV161)=0),"",TODAY()-LOOKUP(2,1/(AI161:AV161&lt;&gt;""),AI161:AV161))</t>
        </is>
      </c>
      <c r="AE161" s="49" t="inlineStr">
        <is>
          <t>IF(OR(F161="",COUNT(AI161:AV161)&lt;2),"",LOOKUP(2,1/(AI161:AV161&lt;&gt;""),AI161:AV161)-MIN(AI161:AV161))</t>
        </is>
      </c>
      <c r="AF161" s="49" t="inlineStr">
        <is>
          <t>IF(OR(AD161="",AC161="Not started",AC161=""),"",IFERROR(AD161-IF(VLOOKUP(AC161,'06_Status_Pipeline'!$B$3:$E$20,4,FALSE)="",0,VLOOKUP(AC161,'06_Status_Pipeline'!$B$3:$E$20,4,FALSE)),""))</t>
        </is>
      </c>
      <c r="AG161" s="42" t="inlineStr">
        <is>
          <t>IF(F161="","",IF(OR(AA161="Cancelled",AC161="Cancelled"),"Cancelled",IF(OR(AC161="Completed / Handover",Y161&lt;&gt;"",Z161&gt;=100),"Completed — on track",IF(O161="Not awarded",IF(U161="",IF(X161="","No planned date",IF(TODAY()&gt;X161,"Behind — past planned date",IF(X161-TODAY()&lt;=30,"At risk — close to off track","On track"))),IF(TODAY()&gt;U161,"Behind — award date passed",IF(U161-TODAY()&lt;=30,"At risk — close to off track","On track"))),IF(X161="","No planned date",IF(AND(TODAY()&gt;X161,OR(Z161="",Z161&lt;100)),"Behind — past end date",IF(AND(T161&lt;&gt;"",X161&lt;&gt;"",Z161&lt;&gt;"",(Z161&lt;100),((TODAY()-T161)/MAX(X161-T161,1)*100)-Z161&gt;15),"Behind — progress lag",IF(AND(X161-TODAY()&lt;=30,X161-TODAY()&gt;=0,OR(Z161="",Z161&lt;90)),"At risk — close to off track","On track"))))))))</t>
        </is>
      </c>
      <c r="AH161" s="49" t="inlineStr">
        <is>
          <t>IF(OR(F161="",AC161="Completed / Handover",AC161="Cancelled"),"",IF(O161="Not awarded",IF(U161&lt;&gt;"",U161-TODAY(),IF(X161="","",X161-TODAY())),IF(X161="","",X161-TODAY())))</t>
        </is>
      </c>
      <c r="AI161" s="47" t="n"/>
      <c r="AJ161" s="47" t="n"/>
      <c r="AK161" s="47" t="n"/>
      <c r="AL161" s="47" t="n"/>
      <c r="AM161" s="47" t="n"/>
      <c r="AN161" s="47" t="n"/>
      <c r="AO161" s="47" t="n"/>
      <c r="AP161" s="47" t="n"/>
      <c r="AQ161" s="47" t="n"/>
      <c r="AR161" s="47" t="n"/>
      <c r="AS161" s="47" t="n"/>
      <c r="AT161" s="50" t="n"/>
      <c r="AU161" s="50" t="n"/>
      <c r="AV161" s="50" t="n"/>
      <c r="AW161" s="49" t="inlineStr">
        <is>
          <t>IF(OR(F161="",AJ161=""),"",IF(COUNT(AI161:AI161)=0,"",AJ161-LOOKUP(2,1/(AI161:AI161&lt;&gt;""),AI161:AI161)))</t>
        </is>
      </c>
      <c r="AX161" s="49" t="inlineStr">
        <is>
          <t>IF(OR(F161="",AK161=""),"",IF(COUNT(AI161:AJ161)=0,"",AK161-LOOKUP(2,1/(AI161:AJ161&lt;&gt;""),AI161:AJ161)))</t>
        </is>
      </c>
      <c r="AY161" s="49" t="inlineStr">
        <is>
          <t>IF(OR(F161="",AL161=""),"",IF(COUNT(AI161:AK161)=0,"",AL161-LOOKUP(2,1/(AI161:AK161&lt;&gt;""),AI161:AK161)))</t>
        </is>
      </c>
      <c r="AZ161" s="49" t="inlineStr">
        <is>
          <t>IF(OR(F161="",AM161=""),"",IF(COUNT(AI161:AL161)=0,"",AM161-LOOKUP(2,1/(AI161:AL161&lt;&gt;""),AI161:AL161)))</t>
        </is>
      </c>
      <c r="BA161" s="49" t="inlineStr">
        <is>
          <t>IF(OR(F161="",AN161=""),"",IF(COUNT(AI161:AM161)=0,"",AN161-LOOKUP(2,1/(AI161:AM161&lt;&gt;""),AI161:AM161)))</t>
        </is>
      </c>
      <c r="BB161" s="49" t="inlineStr">
        <is>
          <t>IF(OR(F161="",AO161=""),"",IF(COUNT(AI161:AN161)=0,"",AO161-LOOKUP(2,1/(AI161:AN161&lt;&gt;""),AI161:AN161)))</t>
        </is>
      </c>
      <c r="BC161" s="49" t="inlineStr">
        <is>
          <t>IF(OR(F161="",AP161=""),"",IF(COUNT(AI161:AO161)=0,"",AP161-LOOKUP(2,1/(AI161:AO161&lt;&gt;""),AI161:AO161)))</t>
        </is>
      </c>
      <c r="BD161" s="49" t="inlineStr">
        <is>
          <t>IF(OR(F161="",AQ161=""),"",IF(COUNT(AI161:AP161)=0,"",AQ161-LOOKUP(2,1/(AI161:AP161&lt;&gt;""),AI161:AP161)))</t>
        </is>
      </c>
      <c r="BE161" s="49" t="inlineStr">
        <is>
          <t>IF(OR(F161="",AR161=""),"",IF(COUNT(AI161:AQ161)=0,"",AR161-LOOKUP(2,1/(AI161:AQ161&lt;&gt;""),AI161:AQ161)))</t>
        </is>
      </c>
      <c r="BF161" s="49" t="inlineStr">
        <is>
          <t>IF(OR(F161="",AS161=""),"",IF(COUNT(AI161:AR161)=0,"",AS161-LOOKUP(2,1/(AI161:AR161&lt;&gt;""),AI161:AR161)))</t>
        </is>
      </c>
      <c r="BG161" s="49" t="inlineStr">
        <is>
          <t>IF(OR(F161="",AT161=""),"",IF(COUNT(AI161:AS161)=0,"",AT161-LOOKUP(2,1/(AI161:AS161&lt;&gt;""),AI161:AS161)))</t>
        </is>
      </c>
      <c r="BH161" s="49" t="inlineStr">
        <is>
          <t>IF(OR(F161="",AU161=""),"",IF(COUNT(AI161:AT161)=0,"",AU161-LOOKUP(2,1/(AI161:AT161&lt;&gt;""),AI161:AT161)))</t>
        </is>
      </c>
      <c r="BI161" s="49" t="inlineStr">
        <is>
          <t>IF(OR(F161="",AV161=""),"",IF(COUNT(AI161:AU161)=0,"",AV161-LOOKUP(2,1/(AI161:AU161&lt;&gt;""),AI161:AU161)))</t>
        </is>
      </c>
      <c r="BJ161" s="51" t="inlineStr">
        <is>
          <t>IF(J161="","All_Provinces",IFERROR(VLOOKUP(J161,'09_Lookups'!$A$4:$B$20,2,FALSE),"All_Provinces"))</t>
        </is>
      </c>
      <c r="BK161" s="51" t="inlineStr">
        <is>
          <t>IF(K161="","All_Districts",IFERROR(VLOOKUP(K161,'09_Lookups'!$E$4:$F$42,2,FALSE),"All_Districts"))</t>
        </is>
      </c>
    </row>
    <row r="162" ht="18" customHeight="1">
      <c r="A162" s="42" t="inlineStr">
        <is>
          <t>IF(F162="","",ROW()-3)</t>
        </is>
      </c>
      <c r="B162" s="52" t="n"/>
      <c r="C162" s="52" t="n"/>
      <c r="D162" s="52" t="n"/>
      <c r="E162" s="52" t="n"/>
      <c r="F162" s="52" t="n"/>
      <c r="G162" s="52" t="n"/>
      <c r="H162" s="52" t="n"/>
      <c r="I162" s="52" t="n"/>
      <c r="J162" s="52" t="n"/>
      <c r="K162" s="52" t="n"/>
      <c r="L162" s="52" t="n"/>
      <c r="M162" s="52" t="n"/>
      <c r="N162" s="52" t="n"/>
      <c r="O162" s="52" t="n"/>
      <c r="P162" s="52" t="n"/>
      <c r="Q162" s="52" t="n"/>
      <c r="R162" s="52" t="n"/>
      <c r="S162" s="53" t="n"/>
      <c r="T162" s="46" t="inlineStr">
        <is>
          <t>IF(AQ162="","",AQ162)</t>
        </is>
      </c>
      <c r="U162" s="54" t="n"/>
      <c r="V162" s="55" t="n"/>
      <c r="W162" s="54" t="n"/>
      <c r="X162" s="46" t="inlineStr">
        <is>
          <t>IF(W162&lt;&gt;"",W162,IF(OR(T162="",V162=""),"",EDATE(T162,V162)))</t>
        </is>
      </c>
      <c r="Y162" s="54" t="n"/>
      <c r="Z162" s="55" t="n"/>
      <c r="AA162" s="52" t="n"/>
      <c r="AB162" s="52" t="n"/>
      <c r="AC162" s="42" t="inlineStr">
        <is>
          <t>IF(F162="","",IF(COUNT(AI162:AV162)=0,IF(AA162="","Not started",AA162),SUBSTITUTE(LOOKUP(2,1/(AI162:AV162&lt;&gt;""),$AI$3:$AV$3),"Date: ","")))</t>
        </is>
      </c>
      <c r="AD162" s="49" t="inlineStr">
        <is>
          <t>IF(OR(F162="",COUNT(AI162:AV162)=0),"",TODAY()-LOOKUP(2,1/(AI162:AV162&lt;&gt;""),AI162:AV162))</t>
        </is>
      </c>
      <c r="AE162" s="49" t="inlineStr">
        <is>
          <t>IF(OR(F162="",COUNT(AI162:AV162)&lt;2),"",LOOKUP(2,1/(AI162:AV162&lt;&gt;""),AI162:AV162)-MIN(AI162:AV162))</t>
        </is>
      </c>
      <c r="AF162" s="49" t="inlineStr">
        <is>
          <t>IF(OR(AD162="",AC162="Not started",AC162=""),"",IFERROR(AD162-IF(VLOOKUP(AC162,'06_Status_Pipeline'!$B$3:$E$20,4,FALSE)="",0,VLOOKUP(AC162,'06_Status_Pipeline'!$B$3:$E$20,4,FALSE)),""))</t>
        </is>
      </c>
      <c r="AG162" s="42" t="inlineStr">
        <is>
          <t>IF(F162="","",IF(OR(AA162="Cancelled",AC162="Cancelled"),"Cancelled",IF(OR(AC162="Completed / Handover",Y162&lt;&gt;"",Z162&gt;=100),"Completed — on track",IF(O162="Not awarded",IF(U162="",IF(X162="","No planned date",IF(TODAY()&gt;X162,"Behind — past planned date",IF(X162-TODAY()&lt;=30,"At risk — close to off track","On track"))),IF(TODAY()&gt;U162,"Behind — award date passed",IF(U162-TODAY()&lt;=30,"At risk — close to off track","On track"))),IF(X162="","No planned date",IF(AND(TODAY()&gt;X162,OR(Z162="",Z162&lt;100)),"Behind — past end date",IF(AND(T162&lt;&gt;"",X162&lt;&gt;"",Z162&lt;&gt;"",(Z162&lt;100),((TODAY()-T162)/MAX(X162-T162,1)*100)-Z162&gt;15),"Behind — progress lag",IF(AND(X162-TODAY()&lt;=30,X162-TODAY()&gt;=0,OR(Z162="",Z162&lt;90)),"At risk — close to off track","On track"))))))))</t>
        </is>
      </c>
      <c r="AH162" s="49" t="inlineStr">
        <is>
          <t>IF(OR(F162="",AC162="Completed / Handover",AC162="Cancelled"),"",IF(O162="Not awarded",IF(U162&lt;&gt;"",U162-TODAY(),IF(X162="","",X162-TODAY())),IF(X162="","",X162-TODAY())))</t>
        </is>
      </c>
      <c r="AI162" s="54" t="n"/>
      <c r="AJ162" s="54" t="n"/>
      <c r="AK162" s="54" t="n"/>
      <c r="AL162" s="54" t="n"/>
      <c r="AM162" s="54" t="n"/>
      <c r="AN162" s="54" t="n"/>
      <c r="AO162" s="54" t="n"/>
      <c r="AP162" s="54" t="n"/>
      <c r="AQ162" s="54" t="n"/>
      <c r="AR162" s="54" t="n"/>
      <c r="AS162" s="54" t="n"/>
      <c r="AT162" s="50" t="n"/>
      <c r="AU162" s="50" t="n"/>
      <c r="AV162" s="50" t="n"/>
      <c r="AW162" s="49" t="inlineStr">
        <is>
          <t>IF(OR(F162="",AJ162=""),"",IF(COUNT(AI162:AI162)=0,"",AJ162-LOOKUP(2,1/(AI162:AI162&lt;&gt;""),AI162:AI162)))</t>
        </is>
      </c>
      <c r="AX162" s="49" t="inlineStr">
        <is>
          <t>IF(OR(F162="",AK162=""),"",IF(COUNT(AI162:AJ162)=0,"",AK162-LOOKUP(2,1/(AI162:AJ162&lt;&gt;""),AI162:AJ162)))</t>
        </is>
      </c>
      <c r="AY162" s="49" t="inlineStr">
        <is>
          <t>IF(OR(F162="",AL162=""),"",IF(COUNT(AI162:AK162)=0,"",AL162-LOOKUP(2,1/(AI162:AK162&lt;&gt;""),AI162:AK162)))</t>
        </is>
      </c>
      <c r="AZ162" s="49" t="inlineStr">
        <is>
          <t>IF(OR(F162="",AM162=""),"",IF(COUNT(AI162:AL162)=0,"",AM162-LOOKUP(2,1/(AI162:AL162&lt;&gt;""),AI162:AL162)))</t>
        </is>
      </c>
      <c r="BA162" s="49" t="inlineStr">
        <is>
          <t>IF(OR(F162="",AN162=""),"",IF(COUNT(AI162:AM162)=0,"",AN162-LOOKUP(2,1/(AI162:AM162&lt;&gt;""),AI162:AM162)))</t>
        </is>
      </c>
      <c r="BB162" s="49" t="inlineStr">
        <is>
          <t>IF(OR(F162="",AO162=""),"",IF(COUNT(AI162:AN162)=0,"",AO162-LOOKUP(2,1/(AI162:AN162&lt;&gt;""),AI162:AN162)))</t>
        </is>
      </c>
      <c r="BC162" s="49" t="inlineStr">
        <is>
          <t>IF(OR(F162="",AP162=""),"",IF(COUNT(AI162:AO162)=0,"",AP162-LOOKUP(2,1/(AI162:AO162&lt;&gt;""),AI162:AO162)))</t>
        </is>
      </c>
      <c r="BD162" s="49" t="inlineStr">
        <is>
          <t>IF(OR(F162="",AQ162=""),"",IF(COUNT(AI162:AP162)=0,"",AQ162-LOOKUP(2,1/(AI162:AP162&lt;&gt;""),AI162:AP162)))</t>
        </is>
      </c>
      <c r="BE162" s="49" t="inlineStr">
        <is>
          <t>IF(OR(F162="",AR162=""),"",IF(COUNT(AI162:AQ162)=0,"",AR162-LOOKUP(2,1/(AI162:AQ162&lt;&gt;""),AI162:AQ162)))</t>
        </is>
      </c>
      <c r="BF162" s="49" t="inlineStr">
        <is>
          <t>IF(OR(F162="",AS162=""),"",IF(COUNT(AI162:AR162)=0,"",AS162-LOOKUP(2,1/(AI162:AR162&lt;&gt;""),AI162:AR162)))</t>
        </is>
      </c>
      <c r="BG162" s="49" t="inlineStr">
        <is>
          <t>IF(OR(F162="",AT162=""),"",IF(COUNT(AI162:AS162)=0,"",AT162-LOOKUP(2,1/(AI162:AS162&lt;&gt;""),AI162:AS162)))</t>
        </is>
      </c>
      <c r="BH162" s="49" t="inlineStr">
        <is>
          <t>IF(OR(F162="",AU162=""),"",IF(COUNT(AI162:AT162)=0,"",AU162-LOOKUP(2,1/(AI162:AT162&lt;&gt;""),AI162:AT162)))</t>
        </is>
      </c>
      <c r="BI162" s="49" t="inlineStr">
        <is>
          <t>IF(OR(F162="",AV162=""),"",IF(COUNT(AI162:AU162)=0,"",AV162-LOOKUP(2,1/(AI162:AU162&lt;&gt;""),AI162:AU162)))</t>
        </is>
      </c>
      <c r="BJ162" s="51" t="inlineStr">
        <is>
          <t>IF(J162="","All_Provinces",IFERROR(VLOOKUP(J162,'09_Lookups'!$A$4:$B$20,2,FALSE),"All_Provinces"))</t>
        </is>
      </c>
      <c r="BK162" s="51" t="inlineStr">
        <is>
          <t>IF(K162="","All_Districts",IFERROR(VLOOKUP(K162,'09_Lookups'!$E$4:$F$42,2,FALSE),"All_Districts"))</t>
        </is>
      </c>
    </row>
    <row r="163" ht="18" customHeight="1">
      <c r="A163" s="42" t="inlineStr">
        <is>
          <t>IF(F163="","",ROW()-3)</t>
        </is>
      </c>
      <c r="B163" s="44" t="n"/>
      <c r="C163" s="44" t="n"/>
      <c r="D163" s="44" t="n"/>
      <c r="E163" s="44" t="n"/>
      <c r="F163" s="44" t="n"/>
      <c r="G163" s="44" t="n"/>
      <c r="H163" s="44" t="n"/>
      <c r="I163" s="44" t="n"/>
      <c r="J163" s="44" t="n"/>
      <c r="K163" s="44" t="n"/>
      <c r="L163" s="44" t="n"/>
      <c r="M163" s="44" t="n"/>
      <c r="N163" s="44" t="n"/>
      <c r="O163" s="44" t="n"/>
      <c r="P163" s="44" t="n"/>
      <c r="Q163" s="44" t="n"/>
      <c r="R163" s="44" t="n"/>
      <c r="S163" s="45" t="n"/>
      <c r="T163" s="46" t="inlineStr">
        <is>
          <t>IF(AQ163="","",AQ163)</t>
        </is>
      </c>
      <c r="U163" s="47" t="n"/>
      <c r="V163" s="48" t="n"/>
      <c r="W163" s="47" t="n"/>
      <c r="X163" s="46" t="inlineStr">
        <is>
          <t>IF(W163&lt;&gt;"",W163,IF(OR(T163="",V163=""),"",EDATE(T163,V163)))</t>
        </is>
      </c>
      <c r="Y163" s="47" t="n"/>
      <c r="Z163" s="48" t="n"/>
      <c r="AA163" s="44" t="n"/>
      <c r="AB163" s="44" t="n"/>
      <c r="AC163" s="42" t="inlineStr">
        <is>
          <t>IF(F163="","",IF(COUNT(AI163:AV163)=0,IF(AA163="","Not started",AA163),SUBSTITUTE(LOOKUP(2,1/(AI163:AV163&lt;&gt;""),$AI$3:$AV$3),"Date: ","")))</t>
        </is>
      </c>
      <c r="AD163" s="49" t="inlineStr">
        <is>
          <t>IF(OR(F163="",COUNT(AI163:AV163)=0),"",TODAY()-LOOKUP(2,1/(AI163:AV163&lt;&gt;""),AI163:AV163))</t>
        </is>
      </c>
      <c r="AE163" s="49" t="inlineStr">
        <is>
          <t>IF(OR(F163="",COUNT(AI163:AV163)&lt;2),"",LOOKUP(2,1/(AI163:AV163&lt;&gt;""),AI163:AV163)-MIN(AI163:AV163))</t>
        </is>
      </c>
      <c r="AF163" s="49" t="inlineStr">
        <is>
          <t>IF(OR(AD163="",AC163="Not started",AC163=""),"",IFERROR(AD163-IF(VLOOKUP(AC163,'06_Status_Pipeline'!$B$3:$E$20,4,FALSE)="",0,VLOOKUP(AC163,'06_Status_Pipeline'!$B$3:$E$20,4,FALSE)),""))</t>
        </is>
      </c>
      <c r="AG163" s="42" t="inlineStr">
        <is>
          <t>IF(F163="","",IF(OR(AA163="Cancelled",AC163="Cancelled"),"Cancelled",IF(OR(AC163="Completed / Handover",Y163&lt;&gt;"",Z163&gt;=100),"Completed — on track",IF(O163="Not awarded",IF(U163="",IF(X163="","No planned date",IF(TODAY()&gt;X163,"Behind — past planned date",IF(X163-TODAY()&lt;=30,"At risk — close to off track","On track"))),IF(TODAY()&gt;U163,"Behind — award date passed",IF(U163-TODAY()&lt;=30,"At risk — close to off track","On track"))),IF(X163="","No planned date",IF(AND(TODAY()&gt;X163,OR(Z163="",Z163&lt;100)),"Behind — past end date",IF(AND(T163&lt;&gt;"",X163&lt;&gt;"",Z163&lt;&gt;"",(Z163&lt;100),((TODAY()-T163)/MAX(X163-T163,1)*100)-Z163&gt;15),"Behind — progress lag",IF(AND(X163-TODAY()&lt;=30,X163-TODAY()&gt;=0,OR(Z163="",Z163&lt;90)),"At risk — close to off track","On track"))))))))</t>
        </is>
      </c>
      <c r="AH163" s="49" t="inlineStr">
        <is>
          <t>IF(OR(F163="",AC163="Completed / Handover",AC163="Cancelled"),"",IF(O163="Not awarded",IF(U163&lt;&gt;"",U163-TODAY(),IF(X163="","",X163-TODAY())),IF(X163="","",X163-TODAY())))</t>
        </is>
      </c>
      <c r="AI163" s="47" t="n"/>
      <c r="AJ163" s="47" t="n"/>
      <c r="AK163" s="47" t="n"/>
      <c r="AL163" s="47" t="n"/>
      <c r="AM163" s="47" t="n"/>
      <c r="AN163" s="47" t="n"/>
      <c r="AO163" s="47" t="n"/>
      <c r="AP163" s="47" t="n"/>
      <c r="AQ163" s="47" t="n"/>
      <c r="AR163" s="47" t="n"/>
      <c r="AS163" s="47" t="n"/>
      <c r="AT163" s="50" t="n"/>
      <c r="AU163" s="50" t="n"/>
      <c r="AV163" s="50" t="n"/>
      <c r="AW163" s="49" t="inlineStr">
        <is>
          <t>IF(OR(F163="",AJ163=""),"",IF(COUNT(AI163:AI163)=0,"",AJ163-LOOKUP(2,1/(AI163:AI163&lt;&gt;""),AI163:AI163)))</t>
        </is>
      </c>
      <c r="AX163" s="49" t="inlineStr">
        <is>
          <t>IF(OR(F163="",AK163=""),"",IF(COUNT(AI163:AJ163)=0,"",AK163-LOOKUP(2,1/(AI163:AJ163&lt;&gt;""),AI163:AJ163)))</t>
        </is>
      </c>
      <c r="AY163" s="49" t="inlineStr">
        <is>
          <t>IF(OR(F163="",AL163=""),"",IF(COUNT(AI163:AK163)=0,"",AL163-LOOKUP(2,1/(AI163:AK163&lt;&gt;""),AI163:AK163)))</t>
        </is>
      </c>
      <c r="AZ163" s="49" t="inlineStr">
        <is>
          <t>IF(OR(F163="",AM163=""),"",IF(COUNT(AI163:AL163)=0,"",AM163-LOOKUP(2,1/(AI163:AL163&lt;&gt;""),AI163:AL163)))</t>
        </is>
      </c>
      <c r="BA163" s="49" t="inlineStr">
        <is>
          <t>IF(OR(F163="",AN163=""),"",IF(COUNT(AI163:AM163)=0,"",AN163-LOOKUP(2,1/(AI163:AM163&lt;&gt;""),AI163:AM163)))</t>
        </is>
      </c>
      <c r="BB163" s="49" t="inlineStr">
        <is>
          <t>IF(OR(F163="",AO163=""),"",IF(COUNT(AI163:AN163)=0,"",AO163-LOOKUP(2,1/(AI163:AN163&lt;&gt;""),AI163:AN163)))</t>
        </is>
      </c>
      <c r="BC163" s="49" t="inlineStr">
        <is>
          <t>IF(OR(F163="",AP163=""),"",IF(COUNT(AI163:AO163)=0,"",AP163-LOOKUP(2,1/(AI163:AO163&lt;&gt;""),AI163:AO163)))</t>
        </is>
      </c>
      <c r="BD163" s="49" t="inlineStr">
        <is>
          <t>IF(OR(F163="",AQ163=""),"",IF(COUNT(AI163:AP163)=0,"",AQ163-LOOKUP(2,1/(AI163:AP163&lt;&gt;""),AI163:AP163)))</t>
        </is>
      </c>
      <c r="BE163" s="49" t="inlineStr">
        <is>
          <t>IF(OR(F163="",AR163=""),"",IF(COUNT(AI163:AQ163)=0,"",AR163-LOOKUP(2,1/(AI163:AQ163&lt;&gt;""),AI163:AQ163)))</t>
        </is>
      </c>
      <c r="BF163" s="49" t="inlineStr">
        <is>
          <t>IF(OR(F163="",AS163=""),"",IF(COUNT(AI163:AR163)=0,"",AS163-LOOKUP(2,1/(AI163:AR163&lt;&gt;""),AI163:AR163)))</t>
        </is>
      </c>
      <c r="BG163" s="49" t="inlineStr">
        <is>
          <t>IF(OR(F163="",AT163=""),"",IF(COUNT(AI163:AS163)=0,"",AT163-LOOKUP(2,1/(AI163:AS163&lt;&gt;""),AI163:AS163)))</t>
        </is>
      </c>
      <c r="BH163" s="49" t="inlineStr">
        <is>
          <t>IF(OR(F163="",AU163=""),"",IF(COUNT(AI163:AT163)=0,"",AU163-LOOKUP(2,1/(AI163:AT163&lt;&gt;""),AI163:AT163)))</t>
        </is>
      </c>
      <c r="BI163" s="49" t="inlineStr">
        <is>
          <t>IF(OR(F163="",AV163=""),"",IF(COUNT(AI163:AU163)=0,"",AV163-LOOKUP(2,1/(AI163:AU163&lt;&gt;""),AI163:AU163)))</t>
        </is>
      </c>
      <c r="BJ163" s="51" t="inlineStr">
        <is>
          <t>IF(J163="","All_Provinces",IFERROR(VLOOKUP(J163,'09_Lookups'!$A$4:$B$20,2,FALSE),"All_Provinces"))</t>
        </is>
      </c>
      <c r="BK163" s="51" t="inlineStr">
        <is>
          <t>IF(K163="","All_Districts",IFERROR(VLOOKUP(K163,'09_Lookups'!$E$4:$F$42,2,FALSE),"All_Districts"))</t>
        </is>
      </c>
    </row>
    <row r="164" ht="18" customHeight="1">
      <c r="A164" s="42" t="inlineStr">
        <is>
          <t>IF(F164="","",ROW()-3)</t>
        </is>
      </c>
      <c r="B164" s="52" t="n"/>
      <c r="C164" s="52" t="n"/>
      <c r="D164" s="52" t="n"/>
      <c r="E164" s="52" t="n"/>
      <c r="F164" s="52" t="n"/>
      <c r="G164" s="52" t="n"/>
      <c r="H164" s="52" t="n"/>
      <c r="I164" s="52" t="n"/>
      <c r="J164" s="52" t="n"/>
      <c r="K164" s="52" t="n"/>
      <c r="L164" s="52" t="n"/>
      <c r="M164" s="52" t="n"/>
      <c r="N164" s="52" t="n"/>
      <c r="O164" s="52" t="n"/>
      <c r="P164" s="52" t="n"/>
      <c r="Q164" s="52" t="n"/>
      <c r="R164" s="52" t="n"/>
      <c r="S164" s="53" t="n"/>
      <c r="T164" s="46" t="inlineStr">
        <is>
          <t>IF(AQ164="","",AQ164)</t>
        </is>
      </c>
      <c r="U164" s="54" t="n"/>
      <c r="V164" s="55" t="n"/>
      <c r="W164" s="54" t="n"/>
      <c r="X164" s="46" t="inlineStr">
        <is>
          <t>IF(W164&lt;&gt;"",W164,IF(OR(T164="",V164=""),"",EDATE(T164,V164)))</t>
        </is>
      </c>
      <c r="Y164" s="54" t="n"/>
      <c r="Z164" s="55" t="n"/>
      <c r="AA164" s="52" t="n"/>
      <c r="AB164" s="52" t="n"/>
      <c r="AC164" s="42" t="inlineStr">
        <is>
          <t>IF(F164="","",IF(COUNT(AI164:AV164)=0,IF(AA164="","Not started",AA164),SUBSTITUTE(LOOKUP(2,1/(AI164:AV164&lt;&gt;""),$AI$3:$AV$3),"Date: ","")))</t>
        </is>
      </c>
      <c r="AD164" s="49" t="inlineStr">
        <is>
          <t>IF(OR(F164="",COUNT(AI164:AV164)=0),"",TODAY()-LOOKUP(2,1/(AI164:AV164&lt;&gt;""),AI164:AV164))</t>
        </is>
      </c>
      <c r="AE164" s="49" t="inlineStr">
        <is>
          <t>IF(OR(F164="",COUNT(AI164:AV164)&lt;2),"",LOOKUP(2,1/(AI164:AV164&lt;&gt;""),AI164:AV164)-MIN(AI164:AV164))</t>
        </is>
      </c>
      <c r="AF164" s="49" t="inlineStr">
        <is>
          <t>IF(OR(AD164="",AC164="Not started",AC164=""),"",IFERROR(AD164-IF(VLOOKUP(AC164,'06_Status_Pipeline'!$B$3:$E$20,4,FALSE)="",0,VLOOKUP(AC164,'06_Status_Pipeline'!$B$3:$E$20,4,FALSE)),""))</t>
        </is>
      </c>
      <c r="AG164" s="42" t="inlineStr">
        <is>
          <t>IF(F164="","",IF(OR(AA164="Cancelled",AC164="Cancelled"),"Cancelled",IF(OR(AC164="Completed / Handover",Y164&lt;&gt;"",Z164&gt;=100),"Completed — on track",IF(O164="Not awarded",IF(U164="",IF(X164="","No planned date",IF(TODAY()&gt;X164,"Behind — past planned date",IF(X164-TODAY()&lt;=30,"At risk — close to off track","On track"))),IF(TODAY()&gt;U164,"Behind — award date passed",IF(U164-TODAY()&lt;=30,"At risk — close to off track","On track"))),IF(X164="","No planned date",IF(AND(TODAY()&gt;X164,OR(Z164="",Z164&lt;100)),"Behind — past end date",IF(AND(T164&lt;&gt;"",X164&lt;&gt;"",Z164&lt;&gt;"",(Z164&lt;100),((TODAY()-T164)/MAX(X164-T164,1)*100)-Z164&gt;15),"Behind — progress lag",IF(AND(X164-TODAY()&lt;=30,X164-TODAY()&gt;=0,OR(Z164="",Z164&lt;90)),"At risk — close to off track","On track"))))))))</t>
        </is>
      </c>
      <c r="AH164" s="49" t="inlineStr">
        <is>
          <t>IF(OR(F164="",AC164="Completed / Handover",AC164="Cancelled"),"",IF(O164="Not awarded",IF(U164&lt;&gt;"",U164-TODAY(),IF(X164="","",X164-TODAY())),IF(X164="","",X164-TODAY())))</t>
        </is>
      </c>
      <c r="AI164" s="54" t="n"/>
      <c r="AJ164" s="54" t="n"/>
      <c r="AK164" s="54" t="n"/>
      <c r="AL164" s="54" t="n"/>
      <c r="AM164" s="54" t="n"/>
      <c r="AN164" s="54" t="n"/>
      <c r="AO164" s="54" t="n"/>
      <c r="AP164" s="54" t="n"/>
      <c r="AQ164" s="54" t="n"/>
      <c r="AR164" s="54" t="n"/>
      <c r="AS164" s="54" t="n"/>
      <c r="AT164" s="50" t="n"/>
      <c r="AU164" s="50" t="n"/>
      <c r="AV164" s="50" t="n"/>
      <c r="AW164" s="49" t="inlineStr">
        <is>
          <t>IF(OR(F164="",AJ164=""),"",IF(COUNT(AI164:AI164)=0,"",AJ164-LOOKUP(2,1/(AI164:AI164&lt;&gt;""),AI164:AI164)))</t>
        </is>
      </c>
      <c r="AX164" s="49" t="inlineStr">
        <is>
          <t>IF(OR(F164="",AK164=""),"",IF(COUNT(AI164:AJ164)=0,"",AK164-LOOKUP(2,1/(AI164:AJ164&lt;&gt;""),AI164:AJ164)))</t>
        </is>
      </c>
      <c r="AY164" s="49" t="inlineStr">
        <is>
          <t>IF(OR(F164="",AL164=""),"",IF(COUNT(AI164:AK164)=0,"",AL164-LOOKUP(2,1/(AI164:AK164&lt;&gt;""),AI164:AK164)))</t>
        </is>
      </c>
      <c r="AZ164" s="49" t="inlineStr">
        <is>
          <t>IF(OR(F164="",AM164=""),"",IF(COUNT(AI164:AL164)=0,"",AM164-LOOKUP(2,1/(AI164:AL164&lt;&gt;""),AI164:AL164)))</t>
        </is>
      </c>
      <c r="BA164" s="49" t="inlineStr">
        <is>
          <t>IF(OR(F164="",AN164=""),"",IF(COUNT(AI164:AM164)=0,"",AN164-LOOKUP(2,1/(AI164:AM164&lt;&gt;""),AI164:AM164)))</t>
        </is>
      </c>
      <c r="BB164" s="49" t="inlineStr">
        <is>
          <t>IF(OR(F164="",AO164=""),"",IF(COUNT(AI164:AN164)=0,"",AO164-LOOKUP(2,1/(AI164:AN164&lt;&gt;""),AI164:AN164)))</t>
        </is>
      </c>
      <c r="BC164" s="49" t="inlineStr">
        <is>
          <t>IF(OR(F164="",AP164=""),"",IF(COUNT(AI164:AO164)=0,"",AP164-LOOKUP(2,1/(AI164:AO164&lt;&gt;""),AI164:AO164)))</t>
        </is>
      </c>
      <c r="BD164" s="49" t="inlineStr">
        <is>
          <t>IF(OR(F164="",AQ164=""),"",IF(COUNT(AI164:AP164)=0,"",AQ164-LOOKUP(2,1/(AI164:AP164&lt;&gt;""),AI164:AP164)))</t>
        </is>
      </c>
      <c r="BE164" s="49" t="inlineStr">
        <is>
          <t>IF(OR(F164="",AR164=""),"",IF(COUNT(AI164:AQ164)=0,"",AR164-LOOKUP(2,1/(AI164:AQ164&lt;&gt;""),AI164:AQ164)))</t>
        </is>
      </c>
      <c r="BF164" s="49" t="inlineStr">
        <is>
          <t>IF(OR(F164="",AS164=""),"",IF(COUNT(AI164:AR164)=0,"",AS164-LOOKUP(2,1/(AI164:AR164&lt;&gt;""),AI164:AR164)))</t>
        </is>
      </c>
      <c r="BG164" s="49" t="inlineStr">
        <is>
          <t>IF(OR(F164="",AT164=""),"",IF(COUNT(AI164:AS164)=0,"",AT164-LOOKUP(2,1/(AI164:AS164&lt;&gt;""),AI164:AS164)))</t>
        </is>
      </c>
      <c r="BH164" s="49" t="inlineStr">
        <is>
          <t>IF(OR(F164="",AU164=""),"",IF(COUNT(AI164:AT164)=0,"",AU164-LOOKUP(2,1/(AI164:AT164&lt;&gt;""),AI164:AT164)))</t>
        </is>
      </c>
      <c r="BI164" s="49" t="inlineStr">
        <is>
          <t>IF(OR(F164="",AV164=""),"",IF(COUNT(AI164:AU164)=0,"",AV164-LOOKUP(2,1/(AI164:AU164&lt;&gt;""),AI164:AU164)))</t>
        </is>
      </c>
      <c r="BJ164" s="51" t="inlineStr">
        <is>
          <t>IF(J164="","All_Provinces",IFERROR(VLOOKUP(J164,'09_Lookups'!$A$4:$B$20,2,FALSE),"All_Provinces"))</t>
        </is>
      </c>
      <c r="BK164" s="51" t="inlineStr">
        <is>
          <t>IF(K164="","All_Districts",IFERROR(VLOOKUP(K164,'09_Lookups'!$E$4:$F$42,2,FALSE),"All_Districts"))</t>
        </is>
      </c>
    </row>
    <row r="165" ht="18" customHeight="1">
      <c r="A165" s="42" t="inlineStr">
        <is>
          <t>IF(F165="","",ROW()-3)</t>
        </is>
      </c>
      <c r="B165" s="44" t="n"/>
      <c r="C165" s="44" t="n"/>
      <c r="D165" s="44" t="n"/>
      <c r="E165" s="44" t="n"/>
      <c r="F165" s="44" t="n"/>
      <c r="G165" s="44" t="n"/>
      <c r="H165" s="44" t="n"/>
      <c r="I165" s="44" t="n"/>
      <c r="J165" s="44" t="n"/>
      <c r="K165" s="44" t="n"/>
      <c r="L165" s="44" t="n"/>
      <c r="M165" s="44" t="n"/>
      <c r="N165" s="44" t="n"/>
      <c r="O165" s="44" t="n"/>
      <c r="P165" s="44" t="n"/>
      <c r="Q165" s="44" t="n"/>
      <c r="R165" s="44" t="n"/>
      <c r="S165" s="45" t="n"/>
      <c r="T165" s="46" t="inlineStr">
        <is>
          <t>IF(AQ165="","",AQ165)</t>
        </is>
      </c>
      <c r="U165" s="47" t="n"/>
      <c r="V165" s="48" t="n"/>
      <c r="W165" s="47" t="n"/>
      <c r="X165" s="46" t="inlineStr">
        <is>
          <t>IF(W165&lt;&gt;"",W165,IF(OR(T165="",V165=""),"",EDATE(T165,V165)))</t>
        </is>
      </c>
      <c r="Y165" s="47" t="n"/>
      <c r="Z165" s="48" t="n"/>
      <c r="AA165" s="44" t="n"/>
      <c r="AB165" s="44" t="n"/>
      <c r="AC165" s="42" t="inlineStr">
        <is>
          <t>IF(F165="","",IF(COUNT(AI165:AV165)=0,IF(AA165="","Not started",AA165),SUBSTITUTE(LOOKUP(2,1/(AI165:AV165&lt;&gt;""),$AI$3:$AV$3),"Date: ","")))</t>
        </is>
      </c>
      <c r="AD165" s="49" t="inlineStr">
        <is>
          <t>IF(OR(F165="",COUNT(AI165:AV165)=0),"",TODAY()-LOOKUP(2,1/(AI165:AV165&lt;&gt;""),AI165:AV165))</t>
        </is>
      </c>
      <c r="AE165" s="49" t="inlineStr">
        <is>
          <t>IF(OR(F165="",COUNT(AI165:AV165)&lt;2),"",LOOKUP(2,1/(AI165:AV165&lt;&gt;""),AI165:AV165)-MIN(AI165:AV165))</t>
        </is>
      </c>
      <c r="AF165" s="49" t="inlineStr">
        <is>
          <t>IF(OR(AD165="",AC165="Not started",AC165=""),"",IFERROR(AD165-IF(VLOOKUP(AC165,'06_Status_Pipeline'!$B$3:$E$20,4,FALSE)="",0,VLOOKUP(AC165,'06_Status_Pipeline'!$B$3:$E$20,4,FALSE)),""))</t>
        </is>
      </c>
      <c r="AG165" s="42" t="inlineStr">
        <is>
          <t>IF(F165="","",IF(OR(AA165="Cancelled",AC165="Cancelled"),"Cancelled",IF(OR(AC165="Completed / Handover",Y165&lt;&gt;"",Z165&gt;=100),"Completed — on track",IF(O165="Not awarded",IF(U165="",IF(X165="","No planned date",IF(TODAY()&gt;X165,"Behind — past planned date",IF(X165-TODAY()&lt;=30,"At risk — close to off track","On track"))),IF(TODAY()&gt;U165,"Behind — award date passed",IF(U165-TODAY()&lt;=30,"At risk — close to off track","On track"))),IF(X165="","No planned date",IF(AND(TODAY()&gt;X165,OR(Z165="",Z165&lt;100)),"Behind — past end date",IF(AND(T165&lt;&gt;"",X165&lt;&gt;"",Z165&lt;&gt;"",(Z165&lt;100),((TODAY()-T165)/MAX(X165-T165,1)*100)-Z165&gt;15),"Behind — progress lag",IF(AND(X165-TODAY()&lt;=30,X165-TODAY()&gt;=0,OR(Z165="",Z165&lt;90)),"At risk — close to off track","On track"))))))))</t>
        </is>
      </c>
      <c r="AH165" s="49" t="inlineStr">
        <is>
          <t>IF(OR(F165="",AC165="Completed / Handover",AC165="Cancelled"),"",IF(O165="Not awarded",IF(U165&lt;&gt;"",U165-TODAY(),IF(X165="","",X165-TODAY())),IF(X165="","",X165-TODAY())))</t>
        </is>
      </c>
      <c r="AI165" s="47" t="n"/>
      <c r="AJ165" s="47" t="n"/>
      <c r="AK165" s="47" t="n"/>
      <c r="AL165" s="47" t="n"/>
      <c r="AM165" s="47" t="n"/>
      <c r="AN165" s="47" t="n"/>
      <c r="AO165" s="47" t="n"/>
      <c r="AP165" s="47" t="n"/>
      <c r="AQ165" s="47" t="n"/>
      <c r="AR165" s="47" t="n"/>
      <c r="AS165" s="47" t="n"/>
      <c r="AT165" s="50" t="n"/>
      <c r="AU165" s="50" t="n"/>
      <c r="AV165" s="50" t="n"/>
      <c r="AW165" s="49" t="inlineStr">
        <is>
          <t>IF(OR(F165="",AJ165=""),"",IF(COUNT(AI165:AI165)=0,"",AJ165-LOOKUP(2,1/(AI165:AI165&lt;&gt;""),AI165:AI165)))</t>
        </is>
      </c>
      <c r="AX165" s="49" t="inlineStr">
        <is>
          <t>IF(OR(F165="",AK165=""),"",IF(COUNT(AI165:AJ165)=0,"",AK165-LOOKUP(2,1/(AI165:AJ165&lt;&gt;""),AI165:AJ165)))</t>
        </is>
      </c>
      <c r="AY165" s="49" t="inlineStr">
        <is>
          <t>IF(OR(F165="",AL165=""),"",IF(COUNT(AI165:AK165)=0,"",AL165-LOOKUP(2,1/(AI165:AK165&lt;&gt;""),AI165:AK165)))</t>
        </is>
      </c>
      <c r="AZ165" s="49" t="inlineStr">
        <is>
          <t>IF(OR(F165="",AM165=""),"",IF(COUNT(AI165:AL165)=0,"",AM165-LOOKUP(2,1/(AI165:AL165&lt;&gt;""),AI165:AL165)))</t>
        </is>
      </c>
      <c r="BA165" s="49" t="inlineStr">
        <is>
          <t>IF(OR(F165="",AN165=""),"",IF(COUNT(AI165:AM165)=0,"",AN165-LOOKUP(2,1/(AI165:AM165&lt;&gt;""),AI165:AM165)))</t>
        </is>
      </c>
      <c r="BB165" s="49" t="inlineStr">
        <is>
          <t>IF(OR(F165="",AO165=""),"",IF(COUNT(AI165:AN165)=0,"",AO165-LOOKUP(2,1/(AI165:AN165&lt;&gt;""),AI165:AN165)))</t>
        </is>
      </c>
      <c r="BC165" s="49" t="inlineStr">
        <is>
          <t>IF(OR(F165="",AP165=""),"",IF(COUNT(AI165:AO165)=0,"",AP165-LOOKUP(2,1/(AI165:AO165&lt;&gt;""),AI165:AO165)))</t>
        </is>
      </c>
      <c r="BD165" s="49" t="inlineStr">
        <is>
          <t>IF(OR(F165="",AQ165=""),"",IF(COUNT(AI165:AP165)=0,"",AQ165-LOOKUP(2,1/(AI165:AP165&lt;&gt;""),AI165:AP165)))</t>
        </is>
      </c>
      <c r="BE165" s="49" t="inlineStr">
        <is>
          <t>IF(OR(F165="",AR165=""),"",IF(COUNT(AI165:AQ165)=0,"",AR165-LOOKUP(2,1/(AI165:AQ165&lt;&gt;""),AI165:AQ165)))</t>
        </is>
      </c>
      <c r="BF165" s="49" t="inlineStr">
        <is>
          <t>IF(OR(F165="",AS165=""),"",IF(COUNT(AI165:AR165)=0,"",AS165-LOOKUP(2,1/(AI165:AR165&lt;&gt;""),AI165:AR165)))</t>
        </is>
      </c>
      <c r="BG165" s="49" t="inlineStr">
        <is>
          <t>IF(OR(F165="",AT165=""),"",IF(COUNT(AI165:AS165)=0,"",AT165-LOOKUP(2,1/(AI165:AS165&lt;&gt;""),AI165:AS165)))</t>
        </is>
      </c>
      <c r="BH165" s="49" t="inlineStr">
        <is>
          <t>IF(OR(F165="",AU165=""),"",IF(COUNT(AI165:AT165)=0,"",AU165-LOOKUP(2,1/(AI165:AT165&lt;&gt;""),AI165:AT165)))</t>
        </is>
      </c>
      <c r="BI165" s="49" t="inlineStr">
        <is>
          <t>IF(OR(F165="",AV165=""),"",IF(COUNT(AI165:AU165)=0,"",AV165-LOOKUP(2,1/(AI165:AU165&lt;&gt;""),AI165:AU165)))</t>
        </is>
      </c>
      <c r="BJ165" s="51" t="inlineStr">
        <is>
          <t>IF(J165="","All_Provinces",IFERROR(VLOOKUP(J165,'09_Lookups'!$A$4:$B$20,2,FALSE),"All_Provinces"))</t>
        </is>
      </c>
      <c r="BK165" s="51" t="inlineStr">
        <is>
          <t>IF(K165="","All_Districts",IFERROR(VLOOKUP(K165,'09_Lookups'!$E$4:$F$42,2,FALSE),"All_Districts"))</t>
        </is>
      </c>
    </row>
    <row r="166" ht="18" customHeight="1">
      <c r="A166" s="42" t="inlineStr">
        <is>
          <t>IF(F166="","",ROW()-3)</t>
        </is>
      </c>
      <c r="B166" s="52" t="n"/>
      <c r="C166" s="52" t="n"/>
      <c r="D166" s="52" t="n"/>
      <c r="E166" s="52" t="n"/>
      <c r="F166" s="52" t="n"/>
      <c r="G166" s="52" t="n"/>
      <c r="H166" s="52" t="n"/>
      <c r="I166" s="52" t="n"/>
      <c r="J166" s="52" t="n"/>
      <c r="K166" s="52" t="n"/>
      <c r="L166" s="52" t="n"/>
      <c r="M166" s="52" t="n"/>
      <c r="N166" s="52" t="n"/>
      <c r="O166" s="52" t="n"/>
      <c r="P166" s="52" t="n"/>
      <c r="Q166" s="52" t="n"/>
      <c r="R166" s="52" t="n"/>
      <c r="S166" s="53" t="n"/>
      <c r="T166" s="46" t="inlineStr">
        <is>
          <t>IF(AQ166="","",AQ166)</t>
        </is>
      </c>
      <c r="U166" s="54" t="n"/>
      <c r="V166" s="55" t="n"/>
      <c r="W166" s="54" t="n"/>
      <c r="X166" s="46" t="inlineStr">
        <is>
          <t>IF(W166&lt;&gt;"",W166,IF(OR(T166="",V166=""),"",EDATE(T166,V166)))</t>
        </is>
      </c>
      <c r="Y166" s="54" t="n"/>
      <c r="Z166" s="55" t="n"/>
      <c r="AA166" s="52" t="n"/>
      <c r="AB166" s="52" t="n"/>
      <c r="AC166" s="42" t="inlineStr">
        <is>
          <t>IF(F166="","",IF(COUNT(AI166:AV166)=0,IF(AA166="","Not started",AA166),SUBSTITUTE(LOOKUP(2,1/(AI166:AV166&lt;&gt;""),$AI$3:$AV$3),"Date: ","")))</t>
        </is>
      </c>
      <c r="AD166" s="49" t="inlineStr">
        <is>
          <t>IF(OR(F166="",COUNT(AI166:AV166)=0),"",TODAY()-LOOKUP(2,1/(AI166:AV166&lt;&gt;""),AI166:AV166))</t>
        </is>
      </c>
      <c r="AE166" s="49" t="inlineStr">
        <is>
          <t>IF(OR(F166="",COUNT(AI166:AV166)&lt;2),"",LOOKUP(2,1/(AI166:AV166&lt;&gt;""),AI166:AV166)-MIN(AI166:AV166))</t>
        </is>
      </c>
      <c r="AF166" s="49" t="inlineStr">
        <is>
          <t>IF(OR(AD166="",AC166="Not started",AC166=""),"",IFERROR(AD166-IF(VLOOKUP(AC166,'06_Status_Pipeline'!$B$3:$E$20,4,FALSE)="",0,VLOOKUP(AC166,'06_Status_Pipeline'!$B$3:$E$20,4,FALSE)),""))</t>
        </is>
      </c>
      <c r="AG166" s="42" t="inlineStr">
        <is>
          <t>IF(F166="","",IF(OR(AA166="Cancelled",AC166="Cancelled"),"Cancelled",IF(OR(AC166="Completed / Handover",Y166&lt;&gt;"",Z166&gt;=100),"Completed — on track",IF(O166="Not awarded",IF(U166="",IF(X166="","No planned date",IF(TODAY()&gt;X166,"Behind — past planned date",IF(X166-TODAY()&lt;=30,"At risk — close to off track","On track"))),IF(TODAY()&gt;U166,"Behind — award date passed",IF(U166-TODAY()&lt;=30,"At risk — close to off track","On track"))),IF(X166="","No planned date",IF(AND(TODAY()&gt;X166,OR(Z166="",Z166&lt;100)),"Behind — past end date",IF(AND(T166&lt;&gt;"",X166&lt;&gt;"",Z166&lt;&gt;"",(Z166&lt;100),((TODAY()-T166)/MAX(X166-T166,1)*100)-Z166&gt;15),"Behind — progress lag",IF(AND(X166-TODAY()&lt;=30,X166-TODAY()&gt;=0,OR(Z166="",Z166&lt;90)),"At risk — close to off track","On track"))))))))</t>
        </is>
      </c>
      <c r="AH166" s="49" t="inlineStr">
        <is>
          <t>IF(OR(F166="",AC166="Completed / Handover",AC166="Cancelled"),"",IF(O166="Not awarded",IF(U166&lt;&gt;"",U166-TODAY(),IF(X166="","",X166-TODAY())),IF(X166="","",X166-TODAY())))</t>
        </is>
      </c>
      <c r="AI166" s="54" t="n"/>
      <c r="AJ166" s="54" t="n"/>
      <c r="AK166" s="54" t="n"/>
      <c r="AL166" s="54" t="n"/>
      <c r="AM166" s="54" t="n"/>
      <c r="AN166" s="54" t="n"/>
      <c r="AO166" s="54" t="n"/>
      <c r="AP166" s="54" t="n"/>
      <c r="AQ166" s="54" t="n"/>
      <c r="AR166" s="54" t="n"/>
      <c r="AS166" s="54" t="n"/>
      <c r="AT166" s="50" t="n"/>
      <c r="AU166" s="50" t="n"/>
      <c r="AV166" s="50" t="n"/>
      <c r="AW166" s="49" t="inlineStr">
        <is>
          <t>IF(OR(F166="",AJ166=""),"",IF(COUNT(AI166:AI166)=0,"",AJ166-LOOKUP(2,1/(AI166:AI166&lt;&gt;""),AI166:AI166)))</t>
        </is>
      </c>
      <c r="AX166" s="49" t="inlineStr">
        <is>
          <t>IF(OR(F166="",AK166=""),"",IF(COUNT(AI166:AJ166)=0,"",AK166-LOOKUP(2,1/(AI166:AJ166&lt;&gt;""),AI166:AJ166)))</t>
        </is>
      </c>
      <c r="AY166" s="49" t="inlineStr">
        <is>
          <t>IF(OR(F166="",AL166=""),"",IF(COUNT(AI166:AK166)=0,"",AL166-LOOKUP(2,1/(AI166:AK166&lt;&gt;""),AI166:AK166)))</t>
        </is>
      </c>
      <c r="AZ166" s="49" t="inlineStr">
        <is>
          <t>IF(OR(F166="",AM166=""),"",IF(COUNT(AI166:AL166)=0,"",AM166-LOOKUP(2,1/(AI166:AL166&lt;&gt;""),AI166:AL166)))</t>
        </is>
      </c>
      <c r="BA166" s="49" t="inlineStr">
        <is>
          <t>IF(OR(F166="",AN166=""),"",IF(COUNT(AI166:AM166)=0,"",AN166-LOOKUP(2,1/(AI166:AM166&lt;&gt;""),AI166:AM166)))</t>
        </is>
      </c>
      <c r="BB166" s="49" t="inlineStr">
        <is>
          <t>IF(OR(F166="",AO166=""),"",IF(COUNT(AI166:AN166)=0,"",AO166-LOOKUP(2,1/(AI166:AN166&lt;&gt;""),AI166:AN166)))</t>
        </is>
      </c>
      <c r="BC166" s="49" t="inlineStr">
        <is>
          <t>IF(OR(F166="",AP166=""),"",IF(COUNT(AI166:AO166)=0,"",AP166-LOOKUP(2,1/(AI166:AO166&lt;&gt;""),AI166:AO166)))</t>
        </is>
      </c>
      <c r="BD166" s="49" t="inlineStr">
        <is>
          <t>IF(OR(F166="",AQ166=""),"",IF(COUNT(AI166:AP166)=0,"",AQ166-LOOKUP(2,1/(AI166:AP166&lt;&gt;""),AI166:AP166)))</t>
        </is>
      </c>
      <c r="BE166" s="49" t="inlineStr">
        <is>
          <t>IF(OR(F166="",AR166=""),"",IF(COUNT(AI166:AQ166)=0,"",AR166-LOOKUP(2,1/(AI166:AQ166&lt;&gt;""),AI166:AQ166)))</t>
        </is>
      </c>
      <c r="BF166" s="49" t="inlineStr">
        <is>
          <t>IF(OR(F166="",AS166=""),"",IF(COUNT(AI166:AR166)=0,"",AS166-LOOKUP(2,1/(AI166:AR166&lt;&gt;""),AI166:AR166)))</t>
        </is>
      </c>
      <c r="BG166" s="49" t="inlineStr">
        <is>
          <t>IF(OR(F166="",AT166=""),"",IF(COUNT(AI166:AS166)=0,"",AT166-LOOKUP(2,1/(AI166:AS166&lt;&gt;""),AI166:AS166)))</t>
        </is>
      </c>
      <c r="BH166" s="49" t="inlineStr">
        <is>
          <t>IF(OR(F166="",AU166=""),"",IF(COUNT(AI166:AT166)=0,"",AU166-LOOKUP(2,1/(AI166:AT166&lt;&gt;""),AI166:AT166)))</t>
        </is>
      </c>
      <c r="BI166" s="49" t="inlineStr">
        <is>
          <t>IF(OR(F166="",AV166=""),"",IF(COUNT(AI166:AU166)=0,"",AV166-LOOKUP(2,1/(AI166:AU166&lt;&gt;""),AI166:AU166)))</t>
        </is>
      </c>
      <c r="BJ166" s="51" t="inlineStr">
        <is>
          <t>IF(J166="","All_Provinces",IFERROR(VLOOKUP(J166,'09_Lookups'!$A$4:$B$20,2,FALSE),"All_Provinces"))</t>
        </is>
      </c>
      <c r="BK166" s="51" t="inlineStr">
        <is>
          <t>IF(K166="","All_Districts",IFERROR(VLOOKUP(K166,'09_Lookups'!$E$4:$F$42,2,FALSE),"All_Districts"))</t>
        </is>
      </c>
    </row>
    <row r="167" ht="18" customHeight="1">
      <c r="A167" s="42" t="inlineStr">
        <is>
          <t>IF(F167="","",ROW()-3)</t>
        </is>
      </c>
      <c r="B167" s="44" t="n"/>
      <c r="C167" s="44" t="n"/>
      <c r="D167" s="44" t="n"/>
      <c r="E167" s="44" t="n"/>
      <c r="F167" s="44" t="n"/>
      <c r="G167" s="44" t="n"/>
      <c r="H167" s="44" t="n"/>
      <c r="I167" s="44" t="n"/>
      <c r="J167" s="44" t="n"/>
      <c r="K167" s="44" t="n"/>
      <c r="L167" s="44" t="n"/>
      <c r="M167" s="44" t="n"/>
      <c r="N167" s="44" t="n"/>
      <c r="O167" s="44" t="n"/>
      <c r="P167" s="44" t="n"/>
      <c r="Q167" s="44" t="n"/>
      <c r="R167" s="44" t="n"/>
      <c r="S167" s="45" t="n"/>
      <c r="T167" s="46" t="inlineStr">
        <is>
          <t>IF(AQ167="","",AQ167)</t>
        </is>
      </c>
      <c r="U167" s="47" t="n"/>
      <c r="V167" s="48" t="n"/>
      <c r="W167" s="47" t="n"/>
      <c r="X167" s="46" t="inlineStr">
        <is>
          <t>IF(W167&lt;&gt;"",W167,IF(OR(T167="",V167=""),"",EDATE(T167,V167)))</t>
        </is>
      </c>
      <c r="Y167" s="47" t="n"/>
      <c r="Z167" s="48" t="n"/>
      <c r="AA167" s="44" t="n"/>
      <c r="AB167" s="44" t="n"/>
      <c r="AC167" s="42" t="inlineStr">
        <is>
          <t>IF(F167="","",IF(COUNT(AI167:AV167)=0,IF(AA167="","Not started",AA167),SUBSTITUTE(LOOKUP(2,1/(AI167:AV167&lt;&gt;""),$AI$3:$AV$3),"Date: ","")))</t>
        </is>
      </c>
      <c r="AD167" s="49" t="inlineStr">
        <is>
          <t>IF(OR(F167="",COUNT(AI167:AV167)=0),"",TODAY()-LOOKUP(2,1/(AI167:AV167&lt;&gt;""),AI167:AV167))</t>
        </is>
      </c>
      <c r="AE167" s="49" t="inlineStr">
        <is>
          <t>IF(OR(F167="",COUNT(AI167:AV167)&lt;2),"",LOOKUP(2,1/(AI167:AV167&lt;&gt;""),AI167:AV167)-MIN(AI167:AV167))</t>
        </is>
      </c>
      <c r="AF167" s="49" t="inlineStr">
        <is>
          <t>IF(OR(AD167="",AC167="Not started",AC167=""),"",IFERROR(AD167-IF(VLOOKUP(AC167,'06_Status_Pipeline'!$B$3:$E$20,4,FALSE)="",0,VLOOKUP(AC167,'06_Status_Pipeline'!$B$3:$E$20,4,FALSE)),""))</t>
        </is>
      </c>
      <c r="AG167" s="42" t="inlineStr">
        <is>
          <t>IF(F167="","",IF(OR(AA167="Cancelled",AC167="Cancelled"),"Cancelled",IF(OR(AC167="Completed / Handover",Y167&lt;&gt;"",Z167&gt;=100),"Completed — on track",IF(O167="Not awarded",IF(U167="",IF(X167="","No planned date",IF(TODAY()&gt;X167,"Behind — past planned date",IF(X167-TODAY()&lt;=30,"At risk — close to off track","On track"))),IF(TODAY()&gt;U167,"Behind — award date passed",IF(U167-TODAY()&lt;=30,"At risk — close to off track","On track"))),IF(X167="","No planned date",IF(AND(TODAY()&gt;X167,OR(Z167="",Z167&lt;100)),"Behind — past end date",IF(AND(T167&lt;&gt;"",X167&lt;&gt;"",Z167&lt;&gt;"",(Z167&lt;100),((TODAY()-T167)/MAX(X167-T167,1)*100)-Z167&gt;15),"Behind — progress lag",IF(AND(X167-TODAY()&lt;=30,X167-TODAY()&gt;=0,OR(Z167="",Z167&lt;90)),"At risk — close to off track","On track"))))))))</t>
        </is>
      </c>
      <c r="AH167" s="49" t="inlineStr">
        <is>
          <t>IF(OR(F167="",AC167="Completed / Handover",AC167="Cancelled"),"",IF(O167="Not awarded",IF(U167&lt;&gt;"",U167-TODAY(),IF(X167="","",X167-TODAY())),IF(X167="","",X167-TODAY())))</t>
        </is>
      </c>
      <c r="AI167" s="47" t="n"/>
      <c r="AJ167" s="47" t="n"/>
      <c r="AK167" s="47" t="n"/>
      <c r="AL167" s="47" t="n"/>
      <c r="AM167" s="47" t="n"/>
      <c r="AN167" s="47" t="n"/>
      <c r="AO167" s="47" t="n"/>
      <c r="AP167" s="47" t="n"/>
      <c r="AQ167" s="47" t="n"/>
      <c r="AR167" s="47" t="n"/>
      <c r="AS167" s="47" t="n"/>
      <c r="AT167" s="50" t="n"/>
      <c r="AU167" s="50" t="n"/>
      <c r="AV167" s="50" t="n"/>
      <c r="AW167" s="49" t="inlineStr">
        <is>
          <t>IF(OR(F167="",AJ167=""),"",IF(COUNT(AI167:AI167)=0,"",AJ167-LOOKUP(2,1/(AI167:AI167&lt;&gt;""),AI167:AI167)))</t>
        </is>
      </c>
      <c r="AX167" s="49" t="inlineStr">
        <is>
          <t>IF(OR(F167="",AK167=""),"",IF(COUNT(AI167:AJ167)=0,"",AK167-LOOKUP(2,1/(AI167:AJ167&lt;&gt;""),AI167:AJ167)))</t>
        </is>
      </c>
      <c r="AY167" s="49" t="inlineStr">
        <is>
          <t>IF(OR(F167="",AL167=""),"",IF(COUNT(AI167:AK167)=0,"",AL167-LOOKUP(2,1/(AI167:AK167&lt;&gt;""),AI167:AK167)))</t>
        </is>
      </c>
      <c r="AZ167" s="49" t="inlineStr">
        <is>
          <t>IF(OR(F167="",AM167=""),"",IF(COUNT(AI167:AL167)=0,"",AM167-LOOKUP(2,1/(AI167:AL167&lt;&gt;""),AI167:AL167)))</t>
        </is>
      </c>
      <c r="BA167" s="49" t="inlineStr">
        <is>
          <t>IF(OR(F167="",AN167=""),"",IF(COUNT(AI167:AM167)=0,"",AN167-LOOKUP(2,1/(AI167:AM167&lt;&gt;""),AI167:AM167)))</t>
        </is>
      </c>
      <c r="BB167" s="49" t="inlineStr">
        <is>
          <t>IF(OR(F167="",AO167=""),"",IF(COUNT(AI167:AN167)=0,"",AO167-LOOKUP(2,1/(AI167:AN167&lt;&gt;""),AI167:AN167)))</t>
        </is>
      </c>
      <c r="BC167" s="49" t="inlineStr">
        <is>
          <t>IF(OR(F167="",AP167=""),"",IF(COUNT(AI167:AO167)=0,"",AP167-LOOKUP(2,1/(AI167:AO167&lt;&gt;""),AI167:AO167)))</t>
        </is>
      </c>
      <c r="BD167" s="49" t="inlineStr">
        <is>
          <t>IF(OR(F167="",AQ167=""),"",IF(COUNT(AI167:AP167)=0,"",AQ167-LOOKUP(2,1/(AI167:AP167&lt;&gt;""),AI167:AP167)))</t>
        </is>
      </c>
      <c r="BE167" s="49" t="inlineStr">
        <is>
          <t>IF(OR(F167="",AR167=""),"",IF(COUNT(AI167:AQ167)=0,"",AR167-LOOKUP(2,1/(AI167:AQ167&lt;&gt;""),AI167:AQ167)))</t>
        </is>
      </c>
      <c r="BF167" s="49" t="inlineStr">
        <is>
          <t>IF(OR(F167="",AS167=""),"",IF(COUNT(AI167:AR167)=0,"",AS167-LOOKUP(2,1/(AI167:AR167&lt;&gt;""),AI167:AR167)))</t>
        </is>
      </c>
      <c r="BG167" s="49" t="inlineStr">
        <is>
          <t>IF(OR(F167="",AT167=""),"",IF(COUNT(AI167:AS167)=0,"",AT167-LOOKUP(2,1/(AI167:AS167&lt;&gt;""),AI167:AS167)))</t>
        </is>
      </c>
      <c r="BH167" s="49" t="inlineStr">
        <is>
          <t>IF(OR(F167="",AU167=""),"",IF(COUNT(AI167:AT167)=0,"",AU167-LOOKUP(2,1/(AI167:AT167&lt;&gt;""),AI167:AT167)))</t>
        </is>
      </c>
      <c r="BI167" s="49" t="inlineStr">
        <is>
          <t>IF(OR(F167="",AV167=""),"",IF(COUNT(AI167:AU167)=0,"",AV167-LOOKUP(2,1/(AI167:AU167&lt;&gt;""),AI167:AU167)))</t>
        </is>
      </c>
      <c r="BJ167" s="51" t="inlineStr">
        <is>
          <t>IF(J167="","All_Provinces",IFERROR(VLOOKUP(J167,'09_Lookups'!$A$4:$B$20,2,FALSE),"All_Provinces"))</t>
        </is>
      </c>
      <c r="BK167" s="51" t="inlineStr">
        <is>
          <t>IF(K167="","All_Districts",IFERROR(VLOOKUP(K167,'09_Lookups'!$E$4:$F$42,2,FALSE),"All_Districts"))</t>
        </is>
      </c>
    </row>
    <row r="168" ht="18" customHeight="1">
      <c r="A168" s="42" t="inlineStr">
        <is>
          <t>IF(F168="","",ROW()-3)</t>
        </is>
      </c>
      <c r="B168" s="52" t="n"/>
      <c r="C168" s="52" t="n"/>
      <c r="D168" s="52" t="n"/>
      <c r="E168" s="52" t="n"/>
      <c r="F168" s="52" t="n"/>
      <c r="G168" s="52" t="n"/>
      <c r="H168" s="52" t="n"/>
      <c r="I168" s="52" t="n"/>
      <c r="J168" s="52" t="n"/>
      <c r="K168" s="52" t="n"/>
      <c r="L168" s="52" t="n"/>
      <c r="M168" s="52" t="n"/>
      <c r="N168" s="52" t="n"/>
      <c r="O168" s="52" t="n"/>
      <c r="P168" s="52" t="n"/>
      <c r="Q168" s="52" t="n"/>
      <c r="R168" s="52" t="n"/>
      <c r="S168" s="53" t="n"/>
      <c r="T168" s="46" t="inlineStr">
        <is>
          <t>IF(AQ168="","",AQ168)</t>
        </is>
      </c>
      <c r="U168" s="54" t="n"/>
      <c r="V168" s="55" t="n"/>
      <c r="W168" s="54" t="n"/>
      <c r="X168" s="46" t="inlineStr">
        <is>
          <t>IF(W168&lt;&gt;"",W168,IF(OR(T168="",V168=""),"",EDATE(T168,V168)))</t>
        </is>
      </c>
      <c r="Y168" s="54" t="n"/>
      <c r="Z168" s="55" t="n"/>
      <c r="AA168" s="52" t="n"/>
      <c r="AB168" s="52" t="n"/>
      <c r="AC168" s="42" t="inlineStr">
        <is>
          <t>IF(F168="","",IF(COUNT(AI168:AV168)=0,IF(AA168="","Not started",AA168),SUBSTITUTE(LOOKUP(2,1/(AI168:AV168&lt;&gt;""),$AI$3:$AV$3),"Date: ","")))</t>
        </is>
      </c>
      <c r="AD168" s="49" t="inlineStr">
        <is>
          <t>IF(OR(F168="",COUNT(AI168:AV168)=0),"",TODAY()-LOOKUP(2,1/(AI168:AV168&lt;&gt;""),AI168:AV168))</t>
        </is>
      </c>
      <c r="AE168" s="49" t="inlineStr">
        <is>
          <t>IF(OR(F168="",COUNT(AI168:AV168)&lt;2),"",LOOKUP(2,1/(AI168:AV168&lt;&gt;""),AI168:AV168)-MIN(AI168:AV168))</t>
        </is>
      </c>
      <c r="AF168" s="49" t="inlineStr">
        <is>
          <t>IF(OR(AD168="",AC168="Not started",AC168=""),"",IFERROR(AD168-IF(VLOOKUP(AC168,'06_Status_Pipeline'!$B$3:$E$20,4,FALSE)="",0,VLOOKUP(AC168,'06_Status_Pipeline'!$B$3:$E$20,4,FALSE)),""))</t>
        </is>
      </c>
      <c r="AG168" s="42" t="inlineStr">
        <is>
          <t>IF(F168="","",IF(OR(AA168="Cancelled",AC168="Cancelled"),"Cancelled",IF(OR(AC168="Completed / Handover",Y168&lt;&gt;"",Z168&gt;=100),"Completed — on track",IF(O168="Not awarded",IF(U168="",IF(X168="","No planned date",IF(TODAY()&gt;X168,"Behind — past planned date",IF(X168-TODAY()&lt;=30,"At risk — close to off track","On track"))),IF(TODAY()&gt;U168,"Behind — award date passed",IF(U168-TODAY()&lt;=30,"At risk — close to off track","On track"))),IF(X168="","No planned date",IF(AND(TODAY()&gt;X168,OR(Z168="",Z168&lt;100)),"Behind — past end date",IF(AND(T168&lt;&gt;"",X168&lt;&gt;"",Z168&lt;&gt;"",(Z168&lt;100),((TODAY()-T168)/MAX(X168-T168,1)*100)-Z168&gt;15),"Behind — progress lag",IF(AND(X168-TODAY()&lt;=30,X168-TODAY()&gt;=0,OR(Z168="",Z168&lt;90)),"At risk — close to off track","On track"))))))))</t>
        </is>
      </c>
      <c r="AH168" s="49" t="inlineStr">
        <is>
          <t>IF(OR(F168="",AC168="Completed / Handover",AC168="Cancelled"),"",IF(O168="Not awarded",IF(U168&lt;&gt;"",U168-TODAY(),IF(X168="","",X168-TODAY())),IF(X168="","",X168-TODAY())))</t>
        </is>
      </c>
      <c r="AI168" s="54" t="n"/>
      <c r="AJ168" s="54" t="n"/>
      <c r="AK168" s="54" t="n"/>
      <c r="AL168" s="54" t="n"/>
      <c r="AM168" s="54" t="n"/>
      <c r="AN168" s="54" t="n"/>
      <c r="AO168" s="54" t="n"/>
      <c r="AP168" s="54" t="n"/>
      <c r="AQ168" s="54" t="n"/>
      <c r="AR168" s="54" t="n"/>
      <c r="AS168" s="54" t="n"/>
      <c r="AT168" s="50" t="n"/>
      <c r="AU168" s="50" t="n"/>
      <c r="AV168" s="50" t="n"/>
      <c r="AW168" s="49" t="inlineStr">
        <is>
          <t>IF(OR(F168="",AJ168=""),"",IF(COUNT(AI168:AI168)=0,"",AJ168-LOOKUP(2,1/(AI168:AI168&lt;&gt;""),AI168:AI168)))</t>
        </is>
      </c>
      <c r="AX168" s="49" t="inlineStr">
        <is>
          <t>IF(OR(F168="",AK168=""),"",IF(COUNT(AI168:AJ168)=0,"",AK168-LOOKUP(2,1/(AI168:AJ168&lt;&gt;""),AI168:AJ168)))</t>
        </is>
      </c>
      <c r="AY168" s="49" t="inlineStr">
        <is>
          <t>IF(OR(F168="",AL168=""),"",IF(COUNT(AI168:AK168)=0,"",AL168-LOOKUP(2,1/(AI168:AK168&lt;&gt;""),AI168:AK168)))</t>
        </is>
      </c>
      <c r="AZ168" s="49" t="inlineStr">
        <is>
          <t>IF(OR(F168="",AM168=""),"",IF(COUNT(AI168:AL168)=0,"",AM168-LOOKUP(2,1/(AI168:AL168&lt;&gt;""),AI168:AL168)))</t>
        </is>
      </c>
      <c r="BA168" s="49" t="inlineStr">
        <is>
          <t>IF(OR(F168="",AN168=""),"",IF(COUNT(AI168:AM168)=0,"",AN168-LOOKUP(2,1/(AI168:AM168&lt;&gt;""),AI168:AM168)))</t>
        </is>
      </c>
      <c r="BB168" s="49" t="inlineStr">
        <is>
          <t>IF(OR(F168="",AO168=""),"",IF(COUNT(AI168:AN168)=0,"",AO168-LOOKUP(2,1/(AI168:AN168&lt;&gt;""),AI168:AN168)))</t>
        </is>
      </c>
      <c r="BC168" s="49" t="inlineStr">
        <is>
          <t>IF(OR(F168="",AP168=""),"",IF(COUNT(AI168:AO168)=0,"",AP168-LOOKUP(2,1/(AI168:AO168&lt;&gt;""),AI168:AO168)))</t>
        </is>
      </c>
      <c r="BD168" s="49" t="inlineStr">
        <is>
          <t>IF(OR(F168="",AQ168=""),"",IF(COUNT(AI168:AP168)=0,"",AQ168-LOOKUP(2,1/(AI168:AP168&lt;&gt;""),AI168:AP168)))</t>
        </is>
      </c>
      <c r="BE168" s="49" t="inlineStr">
        <is>
          <t>IF(OR(F168="",AR168=""),"",IF(COUNT(AI168:AQ168)=0,"",AR168-LOOKUP(2,1/(AI168:AQ168&lt;&gt;""),AI168:AQ168)))</t>
        </is>
      </c>
      <c r="BF168" s="49" t="inlineStr">
        <is>
          <t>IF(OR(F168="",AS168=""),"",IF(COUNT(AI168:AR168)=0,"",AS168-LOOKUP(2,1/(AI168:AR168&lt;&gt;""),AI168:AR168)))</t>
        </is>
      </c>
      <c r="BG168" s="49" t="inlineStr">
        <is>
          <t>IF(OR(F168="",AT168=""),"",IF(COUNT(AI168:AS168)=0,"",AT168-LOOKUP(2,1/(AI168:AS168&lt;&gt;""),AI168:AS168)))</t>
        </is>
      </c>
      <c r="BH168" s="49" t="inlineStr">
        <is>
          <t>IF(OR(F168="",AU168=""),"",IF(COUNT(AI168:AT168)=0,"",AU168-LOOKUP(2,1/(AI168:AT168&lt;&gt;""),AI168:AT168)))</t>
        </is>
      </c>
      <c r="BI168" s="49" t="inlineStr">
        <is>
          <t>IF(OR(F168="",AV168=""),"",IF(COUNT(AI168:AU168)=0,"",AV168-LOOKUP(2,1/(AI168:AU168&lt;&gt;""),AI168:AU168)))</t>
        </is>
      </c>
      <c r="BJ168" s="51" t="inlineStr">
        <is>
          <t>IF(J168="","All_Provinces",IFERROR(VLOOKUP(J168,'09_Lookups'!$A$4:$B$20,2,FALSE),"All_Provinces"))</t>
        </is>
      </c>
      <c r="BK168" s="51" t="inlineStr">
        <is>
          <t>IF(K168="","All_Districts",IFERROR(VLOOKUP(K168,'09_Lookups'!$E$4:$F$42,2,FALSE),"All_Districts"))</t>
        </is>
      </c>
    </row>
    <row r="169" ht="18" customHeight="1">
      <c r="A169" s="42" t="inlineStr">
        <is>
          <t>IF(F169="","",ROW()-3)</t>
        </is>
      </c>
      <c r="B169" s="44" t="n"/>
      <c r="C169" s="44" t="n"/>
      <c r="D169" s="44" t="n"/>
      <c r="E169" s="44" t="n"/>
      <c r="F169" s="44" t="n"/>
      <c r="G169" s="44" t="n"/>
      <c r="H169" s="44" t="n"/>
      <c r="I169" s="44" t="n"/>
      <c r="J169" s="44" t="n"/>
      <c r="K169" s="44" t="n"/>
      <c r="L169" s="44" t="n"/>
      <c r="M169" s="44" t="n"/>
      <c r="N169" s="44" t="n"/>
      <c r="O169" s="44" t="n"/>
      <c r="P169" s="44" t="n"/>
      <c r="Q169" s="44" t="n"/>
      <c r="R169" s="44" t="n"/>
      <c r="S169" s="45" t="n"/>
      <c r="T169" s="46" t="inlineStr">
        <is>
          <t>IF(AQ169="","",AQ169)</t>
        </is>
      </c>
      <c r="U169" s="47" t="n"/>
      <c r="V169" s="48" t="n"/>
      <c r="W169" s="47" t="n"/>
      <c r="X169" s="46" t="inlineStr">
        <is>
          <t>IF(W169&lt;&gt;"",W169,IF(OR(T169="",V169=""),"",EDATE(T169,V169)))</t>
        </is>
      </c>
      <c r="Y169" s="47" t="n"/>
      <c r="Z169" s="48" t="n"/>
      <c r="AA169" s="44" t="n"/>
      <c r="AB169" s="44" t="n"/>
      <c r="AC169" s="42" t="inlineStr">
        <is>
          <t>IF(F169="","",IF(COUNT(AI169:AV169)=0,IF(AA169="","Not started",AA169),SUBSTITUTE(LOOKUP(2,1/(AI169:AV169&lt;&gt;""),$AI$3:$AV$3),"Date: ","")))</t>
        </is>
      </c>
      <c r="AD169" s="49" t="inlineStr">
        <is>
          <t>IF(OR(F169="",COUNT(AI169:AV169)=0),"",TODAY()-LOOKUP(2,1/(AI169:AV169&lt;&gt;""),AI169:AV169))</t>
        </is>
      </c>
      <c r="AE169" s="49" t="inlineStr">
        <is>
          <t>IF(OR(F169="",COUNT(AI169:AV169)&lt;2),"",LOOKUP(2,1/(AI169:AV169&lt;&gt;""),AI169:AV169)-MIN(AI169:AV169))</t>
        </is>
      </c>
      <c r="AF169" s="49" t="inlineStr">
        <is>
          <t>IF(OR(AD169="",AC169="Not started",AC169=""),"",IFERROR(AD169-IF(VLOOKUP(AC169,'06_Status_Pipeline'!$B$3:$E$20,4,FALSE)="",0,VLOOKUP(AC169,'06_Status_Pipeline'!$B$3:$E$20,4,FALSE)),""))</t>
        </is>
      </c>
      <c r="AG169" s="42" t="inlineStr">
        <is>
          <t>IF(F169="","",IF(OR(AA169="Cancelled",AC169="Cancelled"),"Cancelled",IF(OR(AC169="Completed / Handover",Y169&lt;&gt;"",Z169&gt;=100),"Completed — on track",IF(O169="Not awarded",IF(U169="",IF(X169="","No planned date",IF(TODAY()&gt;X169,"Behind — past planned date",IF(X169-TODAY()&lt;=30,"At risk — close to off track","On track"))),IF(TODAY()&gt;U169,"Behind — award date passed",IF(U169-TODAY()&lt;=30,"At risk — close to off track","On track"))),IF(X169="","No planned date",IF(AND(TODAY()&gt;X169,OR(Z169="",Z169&lt;100)),"Behind — past end date",IF(AND(T169&lt;&gt;"",X169&lt;&gt;"",Z169&lt;&gt;"",(Z169&lt;100),((TODAY()-T169)/MAX(X169-T169,1)*100)-Z169&gt;15),"Behind — progress lag",IF(AND(X169-TODAY()&lt;=30,X169-TODAY()&gt;=0,OR(Z169="",Z169&lt;90)),"At risk — close to off track","On track"))))))))</t>
        </is>
      </c>
      <c r="AH169" s="49" t="inlineStr">
        <is>
          <t>IF(OR(F169="",AC169="Completed / Handover",AC169="Cancelled"),"",IF(O169="Not awarded",IF(U169&lt;&gt;"",U169-TODAY(),IF(X169="","",X169-TODAY())),IF(X169="","",X169-TODAY())))</t>
        </is>
      </c>
      <c r="AI169" s="47" t="n"/>
      <c r="AJ169" s="47" t="n"/>
      <c r="AK169" s="47" t="n"/>
      <c r="AL169" s="47" t="n"/>
      <c r="AM169" s="47" t="n"/>
      <c r="AN169" s="47" t="n"/>
      <c r="AO169" s="47" t="n"/>
      <c r="AP169" s="47" t="n"/>
      <c r="AQ169" s="47" t="n"/>
      <c r="AR169" s="47" t="n"/>
      <c r="AS169" s="47" t="n"/>
      <c r="AT169" s="50" t="n"/>
      <c r="AU169" s="50" t="n"/>
      <c r="AV169" s="50" t="n"/>
      <c r="AW169" s="49" t="inlineStr">
        <is>
          <t>IF(OR(F169="",AJ169=""),"",IF(COUNT(AI169:AI169)=0,"",AJ169-LOOKUP(2,1/(AI169:AI169&lt;&gt;""),AI169:AI169)))</t>
        </is>
      </c>
      <c r="AX169" s="49" t="inlineStr">
        <is>
          <t>IF(OR(F169="",AK169=""),"",IF(COUNT(AI169:AJ169)=0,"",AK169-LOOKUP(2,1/(AI169:AJ169&lt;&gt;""),AI169:AJ169)))</t>
        </is>
      </c>
      <c r="AY169" s="49" t="inlineStr">
        <is>
          <t>IF(OR(F169="",AL169=""),"",IF(COUNT(AI169:AK169)=0,"",AL169-LOOKUP(2,1/(AI169:AK169&lt;&gt;""),AI169:AK169)))</t>
        </is>
      </c>
      <c r="AZ169" s="49" t="inlineStr">
        <is>
          <t>IF(OR(F169="",AM169=""),"",IF(COUNT(AI169:AL169)=0,"",AM169-LOOKUP(2,1/(AI169:AL169&lt;&gt;""),AI169:AL169)))</t>
        </is>
      </c>
      <c r="BA169" s="49" t="inlineStr">
        <is>
          <t>IF(OR(F169="",AN169=""),"",IF(COUNT(AI169:AM169)=0,"",AN169-LOOKUP(2,1/(AI169:AM169&lt;&gt;""),AI169:AM169)))</t>
        </is>
      </c>
      <c r="BB169" s="49" t="inlineStr">
        <is>
          <t>IF(OR(F169="",AO169=""),"",IF(COUNT(AI169:AN169)=0,"",AO169-LOOKUP(2,1/(AI169:AN169&lt;&gt;""),AI169:AN169)))</t>
        </is>
      </c>
      <c r="BC169" s="49" t="inlineStr">
        <is>
          <t>IF(OR(F169="",AP169=""),"",IF(COUNT(AI169:AO169)=0,"",AP169-LOOKUP(2,1/(AI169:AO169&lt;&gt;""),AI169:AO169)))</t>
        </is>
      </c>
      <c r="BD169" s="49" t="inlineStr">
        <is>
          <t>IF(OR(F169="",AQ169=""),"",IF(COUNT(AI169:AP169)=0,"",AQ169-LOOKUP(2,1/(AI169:AP169&lt;&gt;""),AI169:AP169)))</t>
        </is>
      </c>
      <c r="BE169" s="49" t="inlineStr">
        <is>
          <t>IF(OR(F169="",AR169=""),"",IF(COUNT(AI169:AQ169)=0,"",AR169-LOOKUP(2,1/(AI169:AQ169&lt;&gt;""),AI169:AQ169)))</t>
        </is>
      </c>
      <c r="BF169" s="49" t="inlineStr">
        <is>
          <t>IF(OR(F169="",AS169=""),"",IF(COUNT(AI169:AR169)=0,"",AS169-LOOKUP(2,1/(AI169:AR169&lt;&gt;""),AI169:AR169)))</t>
        </is>
      </c>
      <c r="BG169" s="49" t="inlineStr">
        <is>
          <t>IF(OR(F169="",AT169=""),"",IF(COUNT(AI169:AS169)=0,"",AT169-LOOKUP(2,1/(AI169:AS169&lt;&gt;""),AI169:AS169)))</t>
        </is>
      </c>
      <c r="BH169" s="49" t="inlineStr">
        <is>
          <t>IF(OR(F169="",AU169=""),"",IF(COUNT(AI169:AT169)=0,"",AU169-LOOKUP(2,1/(AI169:AT169&lt;&gt;""),AI169:AT169)))</t>
        </is>
      </c>
      <c r="BI169" s="49" t="inlineStr">
        <is>
          <t>IF(OR(F169="",AV169=""),"",IF(COUNT(AI169:AU169)=0,"",AV169-LOOKUP(2,1/(AI169:AU169&lt;&gt;""),AI169:AU169)))</t>
        </is>
      </c>
      <c r="BJ169" s="51" t="inlineStr">
        <is>
          <t>IF(J169="","All_Provinces",IFERROR(VLOOKUP(J169,'09_Lookups'!$A$4:$B$20,2,FALSE),"All_Provinces"))</t>
        </is>
      </c>
      <c r="BK169" s="51" t="inlineStr">
        <is>
          <t>IF(K169="","All_Districts",IFERROR(VLOOKUP(K169,'09_Lookups'!$E$4:$F$42,2,FALSE),"All_Districts"))</t>
        </is>
      </c>
    </row>
    <row r="170" ht="18" customHeight="1">
      <c r="A170" s="42" t="inlineStr">
        <is>
          <t>IF(F170="","",ROW()-3)</t>
        </is>
      </c>
      <c r="B170" s="52" t="n"/>
      <c r="C170" s="52" t="n"/>
      <c r="D170" s="52" t="n"/>
      <c r="E170" s="52" t="n"/>
      <c r="F170" s="52" t="n"/>
      <c r="G170" s="52" t="n"/>
      <c r="H170" s="52" t="n"/>
      <c r="I170" s="52" t="n"/>
      <c r="J170" s="52" t="n"/>
      <c r="K170" s="52" t="n"/>
      <c r="L170" s="52" t="n"/>
      <c r="M170" s="52" t="n"/>
      <c r="N170" s="52" t="n"/>
      <c r="O170" s="52" t="n"/>
      <c r="P170" s="52" t="n"/>
      <c r="Q170" s="52" t="n"/>
      <c r="R170" s="52" t="n"/>
      <c r="S170" s="53" t="n"/>
      <c r="T170" s="46" t="inlineStr">
        <is>
          <t>IF(AQ170="","",AQ170)</t>
        </is>
      </c>
      <c r="U170" s="54" t="n"/>
      <c r="V170" s="55" t="n"/>
      <c r="W170" s="54" t="n"/>
      <c r="X170" s="46" t="inlineStr">
        <is>
          <t>IF(W170&lt;&gt;"",W170,IF(OR(T170="",V170=""),"",EDATE(T170,V170)))</t>
        </is>
      </c>
      <c r="Y170" s="54" t="n"/>
      <c r="Z170" s="55" t="n"/>
      <c r="AA170" s="52" t="n"/>
      <c r="AB170" s="52" t="n"/>
      <c r="AC170" s="42" t="inlineStr">
        <is>
          <t>IF(F170="","",IF(COUNT(AI170:AV170)=0,IF(AA170="","Not started",AA170),SUBSTITUTE(LOOKUP(2,1/(AI170:AV170&lt;&gt;""),$AI$3:$AV$3),"Date: ","")))</t>
        </is>
      </c>
      <c r="AD170" s="49" t="inlineStr">
        <is>
          <t>IF(OR(F170="",COUNT(AI170:AV170)=0),"",TODAY()-LOOKUP(2,1/(AI170:AV170&lt;&gt;""),AI170:AV170))</t>
        </is>
      </c>
      <c r="AE170" s="49" t="inlineStr">
        <is>
          <t>IF(OR(F170="",COUNT(AI170:AV170)&lt;2),"",LOOKUP(2,1/(AI170:AV170&lt;&gt;""),AI170:AV170)-MIN(AI170:AV170))</t>
        </is>
      </c>
      <c r="AF170" s="49" t="inlineStr">
        <is>
          <t>IF(OR(AD170="",AC170="Not started",AC170=""),"",IFERROR(AD170-IF(VLOOKUP(AC170,'06_Status_Pipeline'!$B$3:$E$20,4,FALSE)="",0,VLOOKUP(AC170,'06_Status_Pipeline'!$B$3:$E$20,4,FALSE)),""))</t>
        </is>
      </c>
      <c r="AG170" s="42" t="inlineStr">
        <is>
          <t>IF(F170="","",IF(OR(AA170="Cancelled",AC170="Cancelled"),"Cancelled",IF(OR(AC170="Completed / Handover",Y170&lt;&gt;"",Z170&gt;=100),"Completed — on track",IF(O170="Not awarded",IF(U170="",IF(X170="","No planned date",IF(TODAY()&gt;X170,"Behind — past planned date",IF(X170-TODAY()&lt;=30,"At risk — close to off track","On track"))),IF(TODAY()&gt;U170,"Behind — award date passed",IF(U170-TODAY()&lt;=30,"At risk — close to off track","On track"))),IF(X170="","No planned date",IF(AND(TODAY()&gt;X170,OR(Z170="",Z170&lt;100)),"Behind — past end date",IF(AND(T170&lt;&gt;"",X170&lt;&gt;"",Z170&lt;&gt;"",(Z170&lt;100),((TODAY()-T170)/MAX(X170-T170,1)*100)-Z170&gt;15),"Behind — progress lag",IF(AND(X170-TODAY()&lt;=30,X170-TODAY()&gt;=0,OR(Z170="",Z170&lt;90)),"At risk — close to off track","On track"))))))))</t>
        </is>
      </c>
      <c r="AH170" s="49" t="inlineStr">
        <is>
          <t>IF(OR(F170="",AC170="Completed / Handover",AC170="Cancelled"),"",IF(O170="Not awarded",IF(U170&lt;&gt;"",U170-TODAY(),IF(X170="","",X170-TODAY())),IF(X170="","",X170-TODAY())))</t>
        </is>
      </c>
      <c r="AI170" s="54" t="n"/>
      <c r="AJ170" s="54" t="n"/>
      <c r="AK170" s="54" t="n"/>
      <c r="AL170" s="54" t="n"/>
      <c r="AM170" s="54" t="n"/>
      <c r="AN170" s="54" t="n"/>
      <c r="AO170" s="54" t="n"/>
      <c r="AP170" s="54" t="n"/>
      <c r="AQ170" s="54" t="n"/>
      <c r="AR170" s="54" t="n"/>
      <c r="AS170" s="54" t="n"/>
      <c r="AT170" s="50" t="n"/>
      <c r="AU170" s="50" t="n"/>
      <c r="AV170" s="50" t="n"/>
      <c r="AW170" s="49" t="inlineStr">
        <is>
          <t>IF(OR(F170="",AJ170=""),"",IF(COUNT(AI170:AI170)=0,"",AJ170-LOOKUP(2,1/(AI170:AI170&lt;&gt;""),AI170:AI170)))</t>
        </is>
      </c>
      <c r="AX170" s="49" t="inlineStr">
        <is>
          <t>IF(OR(F170="",AK170=""),"",IF(COUNT(AI170:AJ170)=0,"",AK170-LOOKUP(2,1/(AI170:AJ170&lt;&gt;""),AI170:AJ170)))</t>
        </is>
      </c>
      <c r="AY170" s="49" t="inlineStr">
        <is>
          <t>IF(OR(F170="",AL170=""),"",IF(COUNT(AI170:AK170)=0,"",AL170-LOOKUP(2,1/(AI170:AK170&lt;&gt;""),AI170:AK170)))</t>
        </is>
      </c>
      <c r="AZ170" s="49" t="inlineStr">
        <is>
          <t>IF(OR(F170="",AM170=""),"",IF(COUNT(AI170:AL170)=0,"",AM170-LOOKUP(2,1/(AI170:AL170&lt;&gt;""),AI170:AL170)))</t>
        </is>
      </c>
      <c r="BA170" s="49" t="inlineStr">
        <is>
          <t>IF(OR(F170="",AN170=""),"",IF(COUNT(AI170:AM170)=0,"",AN170-LOOKUP(2,1/(AI170:AM170&lt;&gt;""),AI170:AM170)))</t>
        </is>
      </c>
      <c r="BB170" s="49" t="inlineStr">
        <is>
          <t>IF(OR(F170="",AO170=""),"",IF(COUNT(AI170:AN170)=0,"",AO170-LOOKUP(2,1/(AI170:AN170&lt;&gt;""),AI170:AN170)))</t>
        </is>
      </c>
      <c r="BC170" s="49" t="inlineStr">
        <is>
          <t>IF(OR(F170="",AP170=""),"",IF(COUNT(AI170:AO170)=0,"",AP170-LOOKUP(2,1/(AI170:AO170&lt;&gt;""),AI170:AO170)))</t>
        </is>
      </c>
      <c r="BD170" s="49" t="inlineStr">
        <is>
          <t>IF(OR(F170="",AQ170=""),"",IF(COUNT(AI170:AP170)=0,"",AQ170-LOOKUP(2,1/(AI170:AP170&lt;&gt;""),AI170:AP170)))</t>
        </is>
      </c>
      <c r="BE170" s="49" t="inlineStr">
        <is>
          <t>IF(OR(F170="",AR170=""),"",IF(COUNT(AI170:AQ170)=0,"",AR170-LOOKUP(2,1/(AI170:AQ170&lt;&gt;""),AI170:AQ170)))</t>
        </is>
      </c>
      <c r="BF170" s="49" t="inlineStr">
        <is>
          <t>IF(OR(F170="",AS170=""),"",IF(COUNT(AI170:AR170)=0,"",AS170-LOOKUP(2,1/(AI170:AR170&lt;&gt;""),AI170:AR170)))</t>
        </is>
      </c>
      <c r="BG170" s="49" t="inlineStr">
        <is>
          <t>IF(OR(F170="",AT170=""),"",IF(COUNT(AI170:AS170)=0,"",AT170-LOOKUP(2,1/(AI170:AS170&lt;&gt;""),AI170:AS170)))</t>
        </is>
      </c>
      <c r="BH170" s="49" t="inlineStr">
        <is>
          <t>IF(OR(F170="",AU170=""),"",IF(COUNT(AI170:AT170)=0,"",AU170-LOOKUP(2,1/(AI170:AT170&lt;&gt;""),AI170:AT170)))</t>
        </is>
      </c>
      <c r="BI170" s="49" t="inlineStr">
        <is>
          <t>IF(OR(F170="",AV170=""),"",IF(COUNT(AI170:AU170)=0,"",AV170-LOOKUP(2,1/(AI170:AU170&lt;&gt;""),AI170:AU170)))</t>
        </is>
      </c>
      <c r="BJ170" s="51" t="inlineStr">
        <is>
          <t>IF(J170="","All_Provinces",IFERROR(VLOOKUP(J170,'09_Lookups'!$A$4:$B$20,2,FALSE),"All_Provinces"))</t>
        </is>
      </c>
      <c r="BK170" s="51" t="inlineStr">
        <is>
          <t>IF(K170="","All_Districts",IFERROR(VLOOKUP(K170,'09_Lookups'!$E$4:$F$42,2,FALSE),"All_Districts"))</t>
        </is>
      </c>
    </row>
    <row r="171" ht="18" customHeight="1">
      <c r="A171" s="42" t="inlineStr">
        <is>
          <t>IF(F171="","",ROW()-3)</t>
        </is>
      </c>
      <c r="B171" s="44" t="n"/>
      <c r="C171" s="44" t="n"/>
      <c r="D171" s="44" t="n"/>
      <c r="E171" s="44" t="n"/>
      <c r="F171" s="44" t="n"/>
      <c r="G171" s="44" t="n"/>
      <c r="H171" s="44" t="n"/>
      <c r="I171" s="44" t="n"/>
      <c r="J171" s="44" t="n"/>
      <c r="K171" s="44" t="n"/>
      <c r="L171" s="44" t="n"/>
      <c r="M171" s="44" t="n"/>
      <c r="N171" s="44" t="n"/>
      <c r="O171" s="44" t="n"/>
      <c r="P171" s="44" t="n"/>
      <c r="Q171" s="44" t="n"/>
      <c r="R171" s="44" t="n"/>
      <c r="S171" s="45" t="n"/>
      <c r="T171" s="46" t="inlineStr">
        <is>
          <t>IF(AQ171="","",AQ171)</t>
        </is>
      </c>
      <c r="U171" s="47" t="n"/>
      <c r="V171" s="48" t="n"/>
      <c r="W171" s="47" t="n"/>
      <c r="X171" s="46" t="inlineStr">
        <is>
          <t>IF(W171&lt;&gt;"",W171,IF(OR(T171="",V171=""),"",EDATE(T171,V171)))</t>
        </is>
      </c>
      <c r="Y171" s="47" t="n"/>
      <c r="Z171" s="48" t="n"/>
      <c r="AA171" s="44" t="n"/>
      <c r="AB171" s="44" t="n"/>
      <c r="AC171" s="42" t="inlineStr">
        <is>
          <t>IF(F171="","",IF(COUNT(AI171:AV171)=0,IF(AA171="","Not started",AA171),SUBSTITUTE(LOOKUP(2,1/(AI171:AV171&lt;&gt;""),$AI$3:$AV$3),"Date: ","")))</t>
        </is>
      </c>
      <c r="AD171" s="49" t="inlineStr">
        <is>
          <t>IF(OR(F171="",COUNT(AI171:AV171)=0),"",TODAY()-LOOKUP(2,1/(AI171:AV171&lt;&gt;""),AI171:AV171))</t>
        </is>
      </c>
      <c r="AE171" s="49" t="inlineStr">
        <is>
          <t>IF(OR(F171="",COUNT(AI171:AV171)&lt;2),"",LOOKUP(2,1/(AI171:AV171&lt;&gt;""),AI171:AV171)-MIN(AI171:AV171))</t>
        </is>
      </c>
      <c r="AF171" s="49" t="inlineStr">
        <is>
          <t>IF(OR(AD171="",AC171="Not started",AC171=""),"",IFERROR(AD171-IF(VLOOKUP(AC171,'06_Status_Pipeline'!$B$3:$E$20,4,FALSE)="",0,VLOOKUP(AC171,'06_Status_Pipeline'!$B$3:$E$20,4,FALSE)),""))</t>
        </is>
      </c>
      <c r="AG171" s="42" t="inlineStr">
        <is>
          <t>IF(F171="","",IF(OR(AA171="Cancelled",AC171="Cancelled"),"Cancelled",IF(OR(AC171="Completed / Handover",Y171&lt;&gt;"",Z171&gt;=100),"Completed — on track",IF(O171="Not awarded",IF(U171="",IF(X171="","No planned date",IF(TODAY()&gt;X171,"Behind — past planned date",IF(X171-TODAY()&lt;=30,"At risk — close to off track","On track"))),IF(TODAY()&gt;U171,"Behind — award date passed",IF(U171-TODAY()&lt;=30,"At risk — close to off track","On track"))),IF(X171="","No planned date",IF(AND(TODAY()&gt;X171,OR(Z171="",Z171&lt;100)),"Behind — past end date",IF(AND(T171&lt;&gt;"",X171&lt;&gt;"",Z171&lt;&gt;"",(Z171&lt;100),((TODAY()-T171)/MAX(X171-T171,1)*100)-Z171&gt;15),"Behind — progress lag",IF(AND(X171-TODAY()&lt;=30,X171-TODAY()&gt;=0,OR(Z171="",Z171&lt;90)),"At risk — close to off track","On track"))))))))</t>
        </is>
      </c>
      <c r="AH171" s="49" t="inlineStr">
        <is>
          <t>IF(OR(F171="",AC171="Completed / Handover",AC171="Cancelled"),"",IF(O171="Not awarded",IF(U171&lt;&gt;"",U171-TODAY(),IF(X171="","",X171-TODAY())),IF(X171="","",X171-TODAY())))</t>
        </is>
      </c>
      <c r="AI171" s="47" t="n"/>
      <c r="AJ171" s="47" t="n"/>
      <c r="AK171" s="47" t="n"/>
      <c r="AL171" s="47" t="n"/>
      <c r="AM171" s="47" t="n"/>
      <c r="AN171" s="47" t="n"/>
      <c r="AO171" s="47" t="n"/>
      <c r="AP171" s="47" t="n"/>
      <c r="AQ171" s="47" t="n"/>
      <c r="AR171" s="47" t="n"/>
      <c r="AS171" s="47" t="n"/>
      <c r="AT171" s="50" t="n"/>
      <c r="AU171" s="50" t="n"/>
      <c r="AV171" s="50" t="n"/>
      <c r="AW171" s="49" t="inlineStr">
        <is>
          <t>IF(OR(F171="",AJ171=""),"",IF(COUNT(AI171:AI171)=0,"",AJ171-LOOKUP(2,1/(AI171:AI171&lt;&gt;""),AI171:AI171)))</t>
        </is>
      </c>
      <c r="AX171" s="49" t="inlineStr">
        <is>
          <t>IF(OR(F171="",AK171=""),"",IF(COUNT(AI171:AJ171)=0,"",AK171-LOOKUP(2,1/(AI171:AJ171&lt;&gt;""),AI171:AJ171)))</t>
        </is>
      </c>
      <c r="AY171" s="49" t="inlineStr">
        <is>
          <t>IF(OR(F171="",AL171=""),"",IF(COUNT(AI171:AK171)=0,"",AL171-LOOKUP(2,1/(AI171:AK171&lt;&gt;""),AI171:AK171)))</t>
        </is>
      </c>
      <c r="AZ171" s="49" t="inlineStr">
        <is>
          <t>IF(OR(F171="",AM171=""),"",IF(COUNT(AI171:AL171)=0,"",AM171-LOOKUP(2,1/(AI171:AL171&lt;&gt;""),AI171:AL171)))</t>
        </is>
      </c>
      <c r="BA171" s="49" t="inlineStr">
        <is>
          <t>IF(OR(F171="",AN171=""),"",IF(COUNT(AI171:AM171)=0,"",AN171-LOOKUP(2,1/(AI171:AM171&lt;&gt;""),AI171:AM171)))</t>
        </is>
      </c>
      <c r="BB171" s="49" t="inlineStr">
        <is>
          <t>IF(OR(F171="",AO171=""),"",IF(COUNT(AI171:AN171)=0,"",AO171-LOOKUP(2,1/(AI171:AN171&lt;&gt;""),AI171:AN171)))</t>
        </is>
      </c>
      <c r="BC171" s="49" t="inlineStr">
        <is>
          <t>IF(OR(F171="",AP171=""),"",IF(COUNT(AI171:AO171)=0,"",AP171-LOOKUP(2,1/(AI171:AO171&lt;&gt;""),AI171:AO171)))</t>
        </is>
      </c>
      <c r="BD171" s="49" t="inlineStr">
        <is>
          <t>IF(OR(F171="",AQ171=""),"",IF(COUNT(AI171:AP171)=0,"",AQ171-LOOKUP(2,1/(AI171:AP171&lt;&gt;""),AI171:AP171)))</t>
        </is>
      </c>
      <c r="BE171" s="49" t="inlineStr">
        <is>
          <t>IF(OR(F171="",AR171=""),"",IF(COUNT(AI171:AQ171)=0,"",AR171-LOOKUP(2,1/(AI171:AQ171&lt;&gt;""),AI171:AQ171)))</t>
        </is>
      </c>
      <c r="BF171" s="49" t="inlineStr">
        <is>
          <t>IF(OR(F171="",AS171=""),"",IF(COUNT(AI171:AR171)=0,"",AS171-LOOKUP(2,1/(AI171:AR171&lt;&gt;""),AI171:AR171)))</t>
        </is>
      </c>
      <c r="BG171" s="49" t="inlineStr">
        <is>
          <t>IF(OR(F171="",AT171=""),"",IF(COUNT(AI171:AS171)=0,"",AT171-LOOKUP(2,1/(AI171:AS171&lt;&gt;""),AI171:AS171)))</t>
        </is>
      </c>
      <c r="BH171" s="49" t="inlineStr">
        <is>
          <t>IF(OR(F171="",AU171=""),"",IF(COUNT(AI171:AT171)=0,"",AU171-LOOKUP(2,1/(AI171:AT171&lt;&gt;""),AI171:AT171)))</t>
        </is>
      </c>
      <c r="BI171" s="49" t="inlineStr">
        <is>
          <t>IF(OR(F171="",AV171=""),"",IF(COUNT(AI171:AU171)=0,"",AV171-LOOKUP(2,1/(AI171:AU171&lt;&gt;""),AI171:AU171)))</t>
        </is>
      </c>
      <c r="BJ171" s="51" t="inlineStr">
        <is>
          <t>IF(J171="","All_Provinces",IFERROR(VLOOKUP(J171,'09_Lookups'!$A$4:$B$20,2,FALSE),"All_Provinces"))</t>
        </is>
      </c>
      <c r="BK171" s="51" t="inlineStr">
        <is>
          <t>IF(K171="","All_Districts",IFERROR(VLOOKUP(K171,'09_Lookups'!$E$4:$F$42,2,FALSE),"All_Districts"))</t>
        </is>
      </c>
    </row>
    <row r="172" ht="18" customHeight="1">
      <c r="A172" s="42" t="inlineStr">
        <is>
          <t>IF(F172="","",ROW()-3)</t>
        </is>
      </c>
      <c r="B172" s="52" t="n"/>
      <c r="C172" s="52" t="n"/>
      <c r="D172" s="52" t="n"/>
      <c r="E172" s="52" t="n"/>
      <c r="F172" s="52" t="n"/>
      <c r="G172" s="52" t="n"/>
      <c r="H172" s="52" t="n"/>
      <c r="I172" s="52" t="n"/>
      <c r="J172" s="52" t="n"/>
      <c r="K172" s="52" t="n"/>
      <c r="L172" s="52" t="n"/>
      <c r="M172" s="52" t="n"/>
      <c r="N172" s="52" t="n"/>
      <c r="O172" s="52" t="n"/>
      <c r="P172" s="52" t="n"/>
      <c r="Q172" s="52" t="n"/>
      <c r="R172" s="52" t="n"/>
      <c r="S172" s="53" t="n"/>
      <c r="T172" s="46" t="inlineStr">
        <is>
          <t>IF(AQ172="","",AQ172)</t>
        </is>
      </c>
      <c r="U172" s="54" t="n"/>
      <c r="V172" s="55" t="n"/>
      <c r="W172" s="54" t="n"/>
      <c r="X172" s="46" t="inlineStr">
        <is>
          <t>IF(W172&lt;&gt;"",W172,IF(OR(T172="",V172=""),"",EDATE(T172,V172)))</t>
        </is>
      </c>
      <c r="Y172" s="54" t="n"/>
      <c r="Z172" s="55" t="n"/>
      <c r="AA172" s="52" t="n"/>
      <c r="AB172" s="52" t="n"/>
      <c r="AC172" s="42" t="inlineStr">
        <is>
          <t>IF(F172="","",IF(COUNT(AI172:AV172)=0,IF(AA172="","Not started",AA172),SUBSTITUTE(LOOKUP(2,1/(AI172:AV172&lt;&gt;""),$AI$3:$AV$3),"Date: ","")))</t>
        </is>
      </c>
      <c r="AD172" s="49" t="inlineStr">
        <is>
          <t>IF(OR(F172="",COUNT(AI172:AV172)=0),"",TODAY()-LOOKUP(2,1/(AI172:AV172&lt;&gt;""),AI172:AV172))</t>
        </is>
      </c>
      <c r="AE172" s="49" t="inlineStr">
        <is>
          <t>IF(OR(F172="",COUNT(AI172:AV172)&lt;2),"",LOOKUP(2,1/(AI172:AV172&lt;&gt;""),AI172:AV172)-MIN(AI172:AV172))</t>
        </is>
      </c>
      <c r="AF172" s="49" t="inlineStr">
        <is>
          <t>IF(OR(AD172="",AC172="Not started",AC172=""),"",IFERROR(AD172-IF(VLOOKUP(AC172,'06_Status_Pipeline'!$B$3:$E$20,4,FALSE)="",0,VLOOKUP(AC172,'06_Status_Pipeline'!$B$3:$E$20,4,FALSE)),""))</t>
        </is>
      </c>
      <c r="AG172" s="42" t="inlineStr">
        <is>
          <t>IF(F172="","",IF(OR(AA172="Cancelled",AC172="Cancelled"),"Cancelled",IF(OR(AC172="Completed / Handover",Y172&lt;&gt;"",Z172&gt;=100),"Completed — on track",IF(O172="Not awarded",IF(U172="",IF(X172="","No planned date",IF(TODAY()&gt;X172,"Behind — past planned date",IF(X172-TODAY()&lt;=30,"At risk — close to off track","On track"))),IF(TODAY()&gt;U172,"Behind — award date passed",IF(U172-TODAY()&lt;=30,"At risk — close to off track","On track"))),IF(X172="","No planned date",IF(AND(TODAY()&gt;X172,OR(Z172="",Z172&lt;100)),"Behind — past end date",IF(AND(T172&lt;&gt;"",X172&lt;&gt;"",Z172&lt;&gt;"",(Z172&lt;100),((TODAY()-T172)/MAX(X172-T172,1)*100)-Z172&gt;15),"Behind — progress lag",IF(AND(X172-TODAY()&lt;=30,X172-TODAY()&gt;=0,OR(Z172="",Z172&lt;90)),"At risk — close to off track","On track"))))))))</t>
        </is>
      </c>
      <c r="AH172" s="49" t="inlineStr">
        <is>
          <t>IF(OR(F172="",AC172="Completed / Handover",AC172="Cancelled"),"",IF(O172="Not awarded",IF(U172&lt;&gt;"",U172-TODAY(),IF(X172="","",X172-TODAY())),IF(X172="","",X172-TODAY())))</t>
        </is>
      </c>
      <c r="AI172" s="54" t="n"/>
      <c r="AJ172" s="54" t="n"/>
      <c r="AK172" s="54" t="n"/>
      <c r="AL172" s="54" t="n"/>
      <c r="AM172" s="54" t="n"/>
      <c r="AN172" s="54" t="n"/>
      <c r="AO172" s="54" t="n"/>
      <c r="AP172" s="54" t="n"/>
      <c r="AQ172" s="54" t="n"/>
      <c r="AR172" s="54" t="n"/>
      <c r="AS172" s="54" t="n"/>
      <c r="AT172" s="50" t="n"/>
      <c r="AU172" s="50" t="n"/>
      <c r="AV172" s="50" t="n"/>
      <c r="AW172" s="49" t="inlineStr">
        <is>
          <t>IF(OR(F172="",AJ172=""),"",IF(COUNT(AI172:AI172)=0,"",AJ172-LOOKUP(2,1/(AI172:AI172&lt;&gt;""),AI172:AI172)))</t>
        </is>
      </c>
      <c r="AX172" s="49" t="inlineStr">
        <is>
          <t>IF(OR(F172="",AK172=""),"",IF(COUNT(AI172:AJ172)=0,"",AK172-LOOKUP(2,1/(AI172:AJ172&lt;&gt;""),AI172:AJ172)))</t>
        </is>
      </c>
      <c r="AY172" s="49" t="inlineStr">
        <is>
          <t>IF(OR(F172="",AL172=""),"",IF(COUNT(AI172:AK172)=0,"",AL172-LOOKUP(2,1/(AI172:AK172&lt;&gt;""),AI172:AK172)))</t>
        </is>
      </c>
      <c r="AZ172" s="49" t="inlineStr">
        <is>
          <t>IF(OR(F172="",AM172=""),"",IF(COUNT(AI172:AL172)=0,"",AM172-LOOKUP(2,1/(AI172:AL172&lt;&gt;""),AI172:AL172)))</t>
        </is>
      </c>
      <c r="BA172" s="49" t="inlineStr">
        <is>
          <t>IF(OR(F172="",AN172=""),"",IF(COUNT(AI172:AM172)=0,"",AN172-LOOKUP(2,1/(AI172:AM172&lt;&gt;""),AI172:AM172)))</t>
        </is>
      </c>
      <c r="BB172" s="49" t="inlineStr">
        <is>
          <t>IF(OR(F172="",AO172=""),"",IF(COUNT(AI172:AN172)=0,"",AO172-LOOKUP(2,1/(AI172:AN172&lt;&gt;""),AI172:AN172)))</t>
        </is>
      </c>
      <c r="BC172" s="49" t="inlineStr">
        <is>
          <t>IF(OR(F172="",AP172=""),"",IF(COUNT(AI172:AO172)=0,"",AP172-LOOKUP(2,1/(AI172:AO172&lt;&gt;""),AI172:AO172)))</t>
        </is>
      </c>
      <c r="BD172" s="49" t="inlineStr">
        <is>
          <t>IF(OR(F172="",AQ172=""),"",IF(COUNT(AI172:AP172)=0,"",AQ172-LOOKUP(2,1/(AI172:AP172&lt;&gt;""),AI172:AP172)))</t>
        </is>
      </c>
      <c r="BE172" s="49" t="inlineStr">
        <is>
          <t>IF(OR(F172="",AR172=""),"",IF(COUNT(AI172:AQ172)=0,"",AR172-LOOKUP(2,1/(AI172:AQ172&lt;&gt;""),AI172:AQ172)))</t>
        </is>
      </c>
      <c r="BF172" s="49" t="inlineStr">
        <is>
          <t>IF(OR(F172="",AS172=""),"",IF(COUNT(AI172:AR172)=0,"",AS172-LOOKUP(2,1/(AI172:AR172&lt;&gt;""),AI172:AR172)))</t>
        </is>
      </c>
      <c r="BG172" s="49" t="inlineStr">
        <is>
          <t>IF(OR(F172="",AT172=""),"",IF(COUNT(AI172:AS172)=0,"",AT172-LOOKUP(2,1/(AI172:AS172&lt;&gt;""),AI172:AS172)))</t>
        </is>
      </c>
      <c r="BH172" s="49" t="inlineStr">
        <is>
          <t>IF(OR(F172="",AU172=""),"",IF(COUNT(AI172:AT172)=0,"",AU172-LOOKUP(2,1/(AI172:AT172&lt;&gt;""),AI172:AT172)))</t>
        </is>
      </c>
      <c r="BI172" s="49" t="inlineStr">
        <is>
          <t>IF(OR(F172="",AV172=""),"",IF(COUNT(AI172:AU172)=0,"",AV172-LOOKUP(2,1/(AI172:AU172&lt;&gt;""),AI172:AU172)))</t>
        </is>
      </c>
      <c r="BJ172" s="51" t="inlineStr">
        <is>
          <t>IF(J172="","All_Provinces",IFERROR(VLOOKUP(J172,'09_Lookups'!$A$4:$B$20,2,FALSE),"All_Provinces"))</t>
        </is>
      </c>
      <c r="BK172" s="51" t="inlineStr">
        <is>
          <t>IF(K172="","All_Districts",IFERROR(VLOOKUP(K172,'09_Lookups'!$E$4:$F$42,2,FALSE),"All_Districts"))</t>
        </is>
      </c>
    </row>
    <row r="173" ht="18" customHeight="1">
      <c r="A173" s="42" t="inlineStr">
        <is>
          <t>IF(F173="","",ROW()-3)</t>
        </is>
      </c>
      <c r="B173" s="44" t="n"/>
      <c r="C173" s="44" t="n"/>
      <c r="D173" s="44" t="n"/>
      <c r="E173" s="44" t="n"/>
      <c r="F173" s="44" t="n"/>
      <c r="G173" s="44" t="n"/>
      <c r="H173" s="44" t="n"/>
      <c r="I173" s="44" t="n"/>
      <c r="J173" s="44" t="n"/>
      <c r="K173" s="44" t="n"/>
      <c r="L173" s="44" t="n"/>
      <c r="M173" s="44" t="n"/>
      <c r="N173" s="44" t="n"/>
      <c r="O173" s="44" t="n"/>
      <c r="P173" s="44" t="n"/>
      <c r="Q173" s="44" t="n"/>
      <c r="R173" s="44" t="n"/>
      <c r="S173" s="45" t="n"/>
      <c r="T173" s="46" t="inlineStr">
        <is>
          <t>IF(AQ173="","",AQ173)</t>
        </is>
      </c>
      <c r="U173" s="47" t="n"/>
      <c r="V173" s="48" t="n"/>
      <c r="W173" s="47" t="n"/>
      <c r="X173" s="46" t="inlineStr">
        <is>
          <t>IF(W173&lt;&gt;"",W173,IF(OR(T173="",V173=""),"",EDATE(T173,V173)))</t>
        </is>
      </c>
      <c r="Y173" s="47" t="n"/>
      <c r="Z173" s="48" t="n"/>
      <c r="AA173" s="44" t="n"/>
      <c r="AB173" s="44" t="n"/>
      <c r="AC173" s="42" t="inlineStr">
        <is>
          <t>IF(F173="","",IF(COUNT(AI173:AV173)=0,IF(AA173="","Not started",AA173),SUBSTITUTE(LOOKUP(2,1/(AI173:AV173&lt;&gt;""),$AI$3:$AV$3),"Date: ","")))</t>
        </is>
      </c>
      <c r="AD173" s="49" t="inlineStr">
        <is>
          <t>IF(OR(F173="",COUNT(AI173:AV173)=0),"",TODAY()-LOOKUP(2,1/(AI173:AV173&lt;&gt;""),AI173:AV173))</t>
        </is>
      </c>
      <c r="AE173" s="49" t="inlineStr">
        <is>
          <t>IF(OR(F173="",COUNT(AI173:AV173)&lt;2),"",LOOKUP(2,1/(AI173:AV173&lt;&gt;""),AI173:AV173)-MIN(AI173:AV173))</t>
        </is>
      </c>
      <c r="AF173" s="49" t="inlineStr">
        <is>
          <t>IF(OR(AD173="",AC173="Not started",AC173=""),"",IFERROR(AD173-IF(VLOOKUP(AC173,'06_Status_Pipeline'!$B$3:$E$20,4,FALSE)="",0,VLOOKUP(AC173,'06_Status_Pipeline'!$B$3:$E$20,4,FALSE)),""))</t>
        </is>
      </c>
      <c r="AG173" s="42" t="inlineStr">
        <is>
          <t>IF(F173="","",IF(OR(AA173="Cancelled",AC173="Cancelled"),"Cancelled",IF(OR(AC173="Completed / Handover",Y173&lt;&gt;"",Z173&gt;=100),"Completed — on track",IF(O173="Not awarded",IF(U173="",IF(X173="","No planned date",IF(TODAY()&gt;X173,"Behind — past planned date",IF(X173-TODAY()&lt;=30,"At risk — close to off track","On track"))),IF(TODAY()&gt;U173,"Behind — award date passed",IF(U173-TODAY()&lt;=30,"At risk — close to off track","On track"))),IF(X173="","No planned date",IF(AND(TODAY()&gt;X173,OR(Z173="",Z173&lt;100)),"Behind — past end date",IF(AND(T173&lt;&gt;"",X173&lt;&gt;"",Z173&lt;&gt;"",(Z173&lt;100),((TODAY()-T173)/MAX(X173-T173,1)*100)-Z173&gt;15),"Behind — progress lag",IF(AND(X173-TODAY()&lt;=30,X173-TODAY()&gt;=0,OR(Z173="",Z173&lt;90)),"At risk — close to off track","On track"))))))))</t>
        </is>
      </c>
      <c r="AH173" s="49" t="inlineStr">
        <is>
          <t>IF(OR(F173="",AC173="Completed / Handover",AC173="Cancelled"),"",IF(O173="Not awarded",IF(U173&lt;&gt;"",U173-TODAY(),IF(X173="","",X173-TODAY())),IF(X173="","",X173-TODAY())))</t>
        </is>
      </c>
      <c r="AI173" s="47" t="n"/>
      <c r="AJ173" s="47" t="n"/>
      <c r="AK173" s="47" t="n"/>
      <c r="AL173" s="47" t="n"/>
      <c r="AM173" s="47" t="n"/>
      <c r="AN173" s="47" t="n"/>
      <c r="AO173" s="47" t="n"/>
      <c r="AP173" s="47" t="n"/>
      <c r="AQ173" s="47" t="n"/>
      <c r="AR173" s="47" t="n"/>
      <c r="AS173" s="47" t="n"/>
      <c r="AT173" s="50" t="n"/>
      <c r="AU173" s="50" t="n"/>
      <c r="AV173" s="50" t="n"/>
      <c r="AW173" s="49" t="inlineStr">
        <is>
          <t>IF(OR(F173="",AJ173=""),"",IF(COUNT(AI173:AI173)=0,"",AJ173-LOOKUP(2,1/(AI173:AI173&lt;&gt;""),AI173:AI173)))</t>
        </is>
      </c>
      <c r="AX173" s="49" t="inlineStr">
        <is>
          <t>IF(OR(F173="",AK173=""),"",IF(COUNT(AI173:AJ173)=0,"",AK173-LOOKUP(2,1/(AI173:AJ173&lt;&gt;""),AI173:AJ173)))</t>
        </is>
      </c>
      <c r="AY173" s="49" t="inlineStr">
        <is>
          <t>IF(OR(F173="",AL173=""),"",IF(COUNT(AI173:AK173)=0,"",AL173-LOOKUP(2,1/(AI173:AK173&lt;&gt;""),AI173:AK173)))</t>
        </is>
      </c>
      <c r="AZ173" s="49" t="inlineStr">
        <is>
          <t>IF(OR(F173="",AM173=""),"",IF(COUNT(AI173:AL173)=0,"",AM173-LOOKUP(2,1/(AI173:AL173&lt;&gt;""),AI173:AL173)))</t>
        </is>
      </c>
      <c r="BA173" s="49" t="inlineStr">
        <is>
          <t>IF(OR(F173="",AN173=""),"",IF(COUNT(AI173:AM173)=0,"",AN173-LOOKUP(2,1/(AI173:AM173&lt;&gt;""),AI173:AM173)))</t>
        </is>
      </c>
      <c r="BB173" s="49" t="inlineStr">
        <is>
          <t>IF(OR(F173="",AO173=""),"",IF(COUNT(AI173:AN173)=0,"",AO173-LOOKUP(2,1/(AI173:AN173&lt;&gt;""),AI173:AN173)))</t>
        </is>
      </c>
      <c r="BC173" s="49" t="inlineStr">
        <is>
          <t>IF(OR(F173="",AP173=""),"",IF(COUNT(AI173:AO173)=0,"",AP173-LOOKUP(2,1/(AI173:AO173&lt;&gt;""),AI173:AO173)))</t>
        </is>
      </c>
      <c r="BD173" s="49" t="inlineStr">
        <is>
          <t>IF(OR(F173="",AQ173=""),"",IF(COUNT(AI173:AP173)=0,"",AQ173-LOOKUP(2,1/(AI173:AP173&lt;&gt;""),AI173:AP173)))</t>
        </is>
      </c>
      <c r="BE173" s="49" t="inlineStr">
        <is>
          <t>IF(OR(F173="",AR173=""),"",IF(COUNT(AI173:AQ173)=0,"",AR173-LOOKUP(2,1/(AI173:AQ173&lt;&gt;""),AI173:AQ173)))</t>
        </is>
      </c>
      <c r="BF173" s="49" t="inlineStr">
        <is>
          <t>IF(OR(F173="",AS173=""),"",IF(COUNT(AI173:AR173)=0,"",AS173-LOOKUP(2,1/(AI173:AR173&lt;&gt;""),AI173:AR173)))</t>
        </is>
      </c>
      <c r="BG173" s="49" t="inlineStr">
        <is>
          <t>IF(OR(F173="",AT173=""),"",IF(COUNT(AI173:AS173)=0,"",AT173-LOOKUP(2,1/(AI173:AS173&lt;&gt;""),AI173:AS173)))</t>
        </is>
      </c>
      <c r="BH173" s="49" t="inlineStr">
        <is>
          <t>IF(OR(F173="",AU173=""),"",IF(COUNT(AI173:AT173)=0,"",AU173-LOOKUP(2,1/(AI173:AT173&lt;&gt;""),AI173:AT173)))</t>
        </is>
      </c>
      <c r="BI173" s="49" t="inlineStr">
        <is>
          <t>IF(OR(F173="",AV173=""),"",IF(COUNT(AI173:AU173)=0,"",AV173-LOOKUP(2,1/(AI173:AU173&lt;&gt;""),AI173:AU173)))</t>
        </is>
      </c>
      <c r="BJ173" s="51" t="inlineStr">
        <is>
          <t>IF(J173="","All_Provinces",IFERROR(VLOOKUP(J173,'09_Lookups'!$A$4:$B$20,2,FALSE),"All_Provinces"))</t>
        </is>
      </c>
      <c r="BK173" s="51" t="inlineStr">
        <is>
          <t>IF(K173="","All_Districts",IFERROR(VLOOKUP(K173,'09_Lookups'!$E$4:$F$42,2,FALSE),"All_Districts"))</t>
        </is>
      </c>
    </row>
    <row r="174" ht="18" customHeight="1">
      <c r="A174" s="42" t="inlineStr">
        <is>
          <t>IF(F174="","",ROW()-3)</t>
        </is>
      </c>
      <c r="B174" s="52" t="n"/>
      <c r="C174" s="52" t="n"/>
      <c r="D174" s="52" t="n"/>
      <c r="E174" s="52" t="n"/>
      <c r="F174" s="52" t="n"/>
      <c r="G174" s="52" t="n"/>
      <c r="H174" s="52" t="n"/>
      <c r="I174" s="52" t="n"/>
      <c r="J174" s="52" t="n"/>
      <c r="K174" s="52" t="n"/>
      <c r="L174" s="52" t="n"/>
      <c r="M174" s="52" t="n"/>
      <c r="N174" s="52" t="n"/>
      <c r="O174" s="52" t="n"/>
      <c r="P174" s="52" t="n"/>
      <c r="Q174" s="52" t="n"/>
      <c r="R174" s="52" t="n"/>
      <c r="S174" s="53" t="n"/>
      <c r="T174" s="46" t="inlineStr">
        <is>
          <t>IF(AQ174="","",AQ174)</t>
        </is>
      </c>
      <c r="U174" s="54" t="n"/>
      <c r="V174" s="55" t="n"/>
      <c r="W174" s="54" t="n"/>
      <c r="X174" s="46" t="inlineStr">
        <is>
          <t>IF(W174&lt;&gt;"",W174,IF(OR(T174="",V174=""),"",EDATE(T174,V174)))</t>
        </is>
      </c>
      <c r="Y174" s="54" t="n"/>
      <c r="Z174" s="55" t="n"/>
      <c r="AA174" s="52" t="n"/>
      <c r="AB174" s="52" t="n"/>
      <c r="AC174" s="42" t="inlineStr">
        <is>
          <t>IF(F174="","",IF(COUNT(AI174:AV174)=0,IF(AA174="","Not started",AA174),SUBSTITUTE(LOOKUP(2,1/(AI174:AV174&lt;&gt;""),$AI$3:$AV$3),"Date: ","")))</t>
        </is>
      </c>
      <c r="AD174" s="49" t="inlineStr">
        <is>
          <t>IF(OR(F174="",COUNT(AI174:AV174)=0),"",TODAY()-LOOKUP(2,1/(AI174:AV174&lt;&gt;""),AI174:AV174))</t>
        </is>
      </c>
      <c r="AE174" s="49" t="inlineStr">
        <is>
          <t>IF(OR(F174="",COUNT(AI174:AV174)&lt;2),"",LOOKUP(2,1/(AI174:AV174&lt;&gt;""),AI174:AV174)-MIN(AI174:AV174))</t>
        </is>
      </c>
      <c r="AF174" s="49" t="inlineStr">
        <is>
          <t>IF(OR(AD174="",AC174="Not started",AC174=""),"",IFERROR(AD174-IF(VLOOKUP(AC174,'06_Status_Pipeline'!$B$3:$E$20,4,FALSE)="",0,VLOOKUP(AC174,'06_Status_Pipeline'!$B$3:$E$20,4,FALSE)),""))</t>
        </is>
      </c>
      <c r="AG174" s="42" t="inlineStr">
        <is>
          <t>IF(F174="","",IF(OR(AA174="Cancelled",AC174="Cancelled"),"Cancelled",IF(OR(AC174="Completed / Handover",Y174&lt;&gt;"",Z174&gt;=100),"Completed — on track",IF(O174="Not awarded",IF(U174="",IF(X174="","No planned date",IF(TODAY()&gt;X174,"Behind — past planned date",IF(X174-TODAY()&lt;=30,"At risk — close to off track","On track"))),IF(TODAY()&gt;U174,"Behind — award date passed",IF(U174-TODAY()&lt;=30,"At risk — close to off track","On track"))),IF(X174="","No planned date",IF(AND(TODAY()&gt;X174,OR(Z174="",Z174&lt;100)),"Behind — past end date",IF(AND(T174&lt;&gt;"",X174&lt;&gt;"",Z174&lt;&gt;"",(Z174&lt;100),((TODAY()-T174)/MAX(X174-T174,1)*100)-Z174&gt;15),"Behind — progress lag",IF(AND(X174-TODAY()&lt;=30,X174-TODAY()&gt;=0,OR(Z174="",Z174&lt;90)),"At risk — close to off track","On track"))))))))</t>
        </is>
      </c>
      <c r="AH174" s="49" t="inlineStr">
        <is>
          <t>IF(OR(F174="",AC174="Completed / Handover",AC174="Cancelled"),"",IF(O174="Not awarded",IF(U174&lt;&gt;"",U174-TODAY(),IF(X174="","",X174-TODAY())),IF(X174="","",X174-TODAY())))</t>
        </is>
      </c>
      <c r="AI174" s="54" t="n"/>
      <c r="AJ174" s="54" t="n"/>
      <c r="AK174" s="54" t="n"/>
      <c r="AL174" s="54" t="n"/>
      <c r="AM174" s="54" t="n"/>
      <c r="AN174" s="54" t="n"/>
      <c r="AO174" s="54" t="n"/>
      <c r="AP174" s="54" t="n"/>
      <c r="AQ174" s="54" t="n"/>
      <c r="AR174" s="54" t="n"/>
      <c r="AS174" s="54" t="n"/>
      <c r="AT174" s="50" t="n"/>
      <c r="AU174" s="50" t="n"/>
      <c r="AV174" s="50" t="n"/>
      <c r="AW174" s="49" t="inlineStr">
        <is>
          <t>IF(OR(F174="",AJ174=""),"",IF(COUNT(AI174:AI174)=0,"",AJ174-LOOKUP(2,1/(AI174:AI174&lt;&gt;""),AI174:AI174)))</t>
        </is>
      </c>
      <c r="AX174" s="49" t="inlineStr">
        <is>
          <t>IF(OR(F174="",AK174=""),"",IF(COUNT(AI174:AJ174)=0,"",AK174-LOOKUP(2,1/(AI174:AJ174&lt;&gt;""),AI174:AJ174)))</t>
        </is>
      </c>
      <c r="AY174" s="49" t="inlineStr">
        <is>
          <t>IF(OR(F174="",AL174=""),"",IF(COUNT(AI174:AK174)=0,"",AL174-LOOKUP(2,1/(AI174:AK174&lt;&gt;""),AI174:AK174)))</t>
        </is>
      </c>
      <c r="AZ174" s="49" t="inlineStr">
        <is>
          <t>IF(OR(F174="",AM174=""),"",IF(COUNT(AI174:AL174)=0,"",AM174-LOOKUP(2,1/(AI174:AL174&lt;&gt;""),AI174:AL174)))</t>
        </is>
      </c>
      <c r="BA174" s="49" t="inlineStr">
        <is>
          <t>IF(OR(F174="",AN174=""),"",IF(COUNT(AI174:AM174)=0,"",AN174-LOOKUP(2,1/(AI174:AM174&lt;&gt;""),AI174:AM174)))</t>
        </is>
      </c>
      <c r="BB174" s="49" t="inlineStr">
        <is>
          <t>IF(OR(F174="",AO174=""),"",IF(COUNT(AI174:AN174)=0,"",AO174-LOOKUP(2,1/(AI174:AN174&lt;&gt;""),AI174:AN174)))</t>
        </is>
      </c>
      <c r="BC174" s="49" t="inlineStr">
        <is>
          <t>IF(OR(F174="",AP174=""),"",IF(COUNT(AI174:AO174)=0,"",AP174-LOOKUP(2,1/(AI174:AO174&lt;&gt;""),AI174:AO174)))</t>
        </is>
      </c>
      <c r="BD174" s="49" t="inlineStr">
        <is>
          <t>IF(OR(F174="",AQ174=""),"",IF(COUNT(AI174:AP174)=0,"",AQ174-LOOKUP(2,1/(AI174:AP174&lt;&gt;""),AI174:AP174)))</t>
        </is>
      </c>
      <c r="BE174" s="49" t="inlineStr">
        <is>
          <t>IF(OR(F174="",AR174=""),"",IF(COUNT(AI174:AQ174)=0,"",AR174-LOOKUP(2,1/(AI174:AQ174&lt;&gt;""),AI174:AQ174)))</t>
        </is>
      </c>
      <c r="BF174" s="49" t="inlineStr">
        <is>
          <t>IF(OR(F174="",AS174=""),"",IF(COUNT(AI174:AR174)=0,"",AS174-LOOKUP(2,1/(AI174:AR174&lt;&gt;""),AI174:AR174)))</t>
        </is>
      </c>
      <c r="BG174" s="49" t="inlineStr">
        <is>
          <t>IF(OR(F174="",AT174=""),"",IF(COUNT(AI174:AS174)=0,"",AT174-LOOKUP(2,1/(AI174:AS174&lt;&gt;""),AI174:AS174)))</t>
        </is>
      </c>
      <c r="BH174" s="49" t="inlineStr">
        <is>
          <t>IF(OR(F174="",AU174=""),"",IF(COUNT(AI174:AT174)=0,"",AU174-LOOKUP(2,1/(AI174:AT174&lt;&gt;""),AI174:AT174)))</t>
        </is>
      </c>
      <c r="BI174" s="49" t="inlineStr">
        <is>
          <t>IF(OR(F174="",AV174=""),"",IF(COUNT(AI174:AU174)=0,"",AV174-LOOKUP(2,1/(AI174:AU174&lt;&gt;""),AI174:AU174)))</t>
        </is>
      </c>
      <c r="BJ174" s="51" t="inlineStr">
        <is>
          <t>IF(J174="","All_Provinces",IFERROR(VLOOKUP(J174,'09_Lookups'!$A$4:$B$20,2,FALSE),"All_Provinces"))</t>
        </is>
      </c>
      <c r="BK174" s="51" t="inlineStr">
        <is>
          <t>IF(K174="","All_Districts",IFERROR(VLOOKUP(K174,'09_Lookups'!$E$4:$F$42,2,FALSE),"All_Districts"))</t>
        </is>
      </c>
    </row>
    <row r="175" ht="18" customHeight="1">
      <c r="A175" s="42" t="inlineStr">
        <is>
          <t>IF(F175="","",ROW()-3)</t>
        </is>
      </c>
      <c r="B175" s="44" t="n"/>
      <c r="C175" s="44" t="n"/>
      <c r="D175" s="44" t="n"/>
      <c r="E175" s="44" t="n"/>
      <c r="F175" s="44" t="n"/>
      <c r="G175" s="44" t="n"/>
      <c r="H175" s="44" t="n"/>
      <c r="I175" s="44" t="n"/>
      <c r="J175" s="44" t="n"/>
      <c r="K175" s="44" t="n"/>
      <c r="L175" s="44" t="n"/>
      <c r="M175" s="44" t="n"/>
      <c r="N175" s="44" t="n"/>
      <c r="O175" s="44" t="n"/>
      <c r="P175" s="44" t="n"/>
      <c r="Q175" s="44" t="n"/>
      <c r="R175" s="44" t="n"/>
      <c r="S175" s="45" t="n"/>
      <c r="T175" s="46" t="inlineStr">
        <is>
          <t>IF(AQ175="","",AQ175)</t>
        </is>
      </c>
      <c r="U175" s="47" t="n"/>
      <c r="V175" s="48" t="n"/>
      <c r="W175" s="47" t="n"/>
      <c r="X175" s="46" t="inlineStr">
        <is>
          <t>IF(W175&lt;&gt;"",W175,IF(OR(T175="",V175=""),"",EDATE(T175,V175)))</t>
        </is>
      </c>
      <c r="Y175" s="47" t="n"/>
      <c r="Z175" s="48" t="n"/>
      <c r="AA175" s="44" t="n"/>
      <c r="AB175" s="44" t="n"/>
      <c r="AC175" s="42" t="inlineStr">
        <is>
          <t>IF(F175="","",IF(COUNT(AI175:AV175)=0,IF(AA175="","Not started",AA175),SUBSTITUTE(LOOKUP(2,1/(AI175:AV175&lt;&gt;""),$AI$3:$AV$3),"Date: ","")))</t>
        </is>
      </c>
      <c r="AD175" s="49" t="inlineStr">
        <is>
          <t>IF(OR(F175="",COUNT(AI175:AV175)=0),"",TODAY()-LOOKUP(2,1/(AI175:AV175&lt;&gt;""),AI175:AV175))</t>
        </is>
      </c>
      <c r="AE175" s="49" t="inlineStr">
        <is>
          <t>IF(OR(F175="",COUNT(AI175:AV175)&lt;2),"",LOOKUP(2,1/(AI175:AV175&lt;&gt;""),AI175:AV175)-MIN(AI175:AV175))</t>
        </is>
      </c>
      <c r="AF175" s="49" t="inlineStr">
        <is>
          <t>IF(OR(AD175="",AC175="Not started",AC175=""),"",IFERROR(AD175-IF(VLOOKUP(AC175,'06_Status_Pipeline'!$B$3:$E$20,4,FALSE)="",0,VLOOKUP(AC175,'06_Status_Pipeline'!$B$3:$E$20,4,FALSE)),""))</t>
        </is>
      </c>
      <c r="AG175" s="42" t="inlineStr">
        <is>
          <t>IF(F175="","",IF(OR(AA175="Cancelled",AC175="Cancelled"),"Cancelled",IF(OR(AC175="Completed / Handover",Y175&lt;&gt;"",Z175&gt;=100),"Completed — on track",IF(O175="Not awarded",IF(U175="",IF(X175="","No planned date",IF(TODAY()&gt;X175,"Behind — past planned date",IF(X175-TODAY()&lt;=30,"At risk — close to off track","On track"))),IF(TODAY()&gt;U175,"Behind — award date passed",IF(U175-TODAY()&lt;=30,"At risk — close to off track","On track"))),IF(X175="","No planned date",IF(AND(TODAY()&gt;X175,OR(Z175="",Z175&lt;100)),"Behind — past end date",IF(AND(T175&lt;&gt;"",X175&lt;&gt;"",Z175&lt;&gt;"",(Z175&lt;100),((TODAY()-T175)/MAX(X175-T175,1)*100)-Z175&gt;15),"Behind — progress lag",IF(AND(X175-TODAY()&lt;=30,X175-TODAY()&gt;=0,OR(Z175="",Z175&lt;90)),"At risk — close to off track","On track"))))))))</t>
        </is>
      </c>
      <c r="AH175" s="49" t="inlineStr">
        <is>
          <t>IF(OR(F175="",AC175="Completed / Handover",AC175="Cancelled"),"",IF(O175="Not awarded",IF(U175&lt;&gt;"",U175-TODAY(),IF(X175="","",X175-TODAY())),IF(X175="","",X175-TODAY())))</t>
        </is>
      </c>
      <c r="AI175" s="47" t="n"/>
      <c r="AJ175" s="47" t="n"/>
      <c r="AK175" s="47" t="n"/>
      <c r="AL175" s="47" t="n"/>
      <c r="AM175" s="47" t="n"/>
      <c r="AN175" s="47" t="n"/>
      <c r="AO175" s="47" t="n"/>
      <c r="AP175" s="47" t="n"/>
      <c r="AQ175" s="47" t="n"/>
      <c r="AR175" s="47" t="n"/>
      <c r="AS175" s="47" t="n"/>
      <c r="AT175" s="50" t="n"/>
      <c r="AU175" s="50" t="n"/>
      <c r="AV175" s="50" t="n"/>
      <c r="AW175" s="49" t="inlineStr">
        <is>
          <t>IF(OR(F175="",AJ175=""),"",IF(COUNT(AI175:AI175)=0,"",AJ175-LOOKUP(2,1/(AI175:AI175&lt;&gt;""),AI175:AI175)))</t>
        </is>
      </c>
      <c r="AX175" s="49" t="inlineStr">
        <is>
          <t>IF(OR(F175="",AK175=""),"",IF(COUNT(AI175:AJ175)=0,"",AK175-LOOKUP(2,1/(AI175:AJ175&lt;&gt;""),AI175:AJ175)))</t>
        </is>
      </c>
      <c r="AY175" s="49" t="inlineStr">
        <is>
          <t>IF(OR(F175="",AL175=""),"",IF(COUNT(AI175:AK175)=0,"",AL175-LOOKUP(2,1/(AI175:AK175&lt;&gt;""),AI175:AK175)))</t>
        </is>
      </c>
      <c r="AZ175" s="49" t="inlineStr">
        <is>
          <t>IF(OR(F175="",AM175=""),"",IF(COUNT(AI175:AL175)=0,"",AM175-LOOKUP(2,1/(AI175:AL175&lt;&gt;""),AI175:AL175)))</t>
        </is>
      </c>
      <c r="BA175" s="49" t="inlineStr">
        <is>
          <t>IF(OR(F175="",AN175=""),"",IF(COUNT(AI175:AM175)=0,"",AN175-LOOKUP(2,1/(AI175:AM175&lt;&gt;""),AI175:AM175)))</t>
        </is>
      </c>
      <c r="BB175" s="49" t="inlineStr">
        <is>
          <t>IF(OR(F175="",AO175=""),"",IF(COUNT(AI175:AN175)=0,"",AO175-LOOKUP(2,1/(AI175:AN175&lt;&gt;""),AI175:AN175)))</t>
        </is>
      </c>
      <c r="BC175" s="49" t="inlineStr">
        <is>
          <t>IF(OR(F175="",AP175=""),"",IF(COUNT(AI175:AO175)=0,"",AP175-LOOKUP(2,1/(AI175:AO175&lt;&gt;""),AI175:AO175)))</t>
        </is>
      </c>
      <c r="BD175" s="49" t="inlineStr">
        <is>
          <t>IF(OR(F175="",AQ175=""),"",IF(COUNT(AI175:AP175)=0,"",AQ175-LOOKUP(2,1/(AI175:AP175&lt;&gt;""),AI175:AP175)))</t>
        </is>
      </c>
      <c r="BE175" s="49" t="inlineStr">
        <is>
          <t>IF(OR(F175="",AR175=""),"",IF(COUNT(AI175:AQ175)=0,"",AR175-LOOKUP(2,1/(AI175:AQ175&lt;&gt;""),AI175:AQ175)))</t>
        </is>
      </c>
      <c r="BF175" s="49" t="inlineStr">
        <is>
          <t>IF(OR(F175="",AS175=""),"",IF(COUNT(AI175:AR175)=0,"",AS175-LOOKUP(2,1/(AI175:AR175&lt;&gt;""),AI175:AR175)))</t>
        </is>
      </c>
      <c r="BG175" s="49" t="inlineStr">
        <is>
          <t>IF(OR(F175="",AT175=""),"",IF(COUNT(AI175:AS175)=0,"",AT175-LOOKUP(2,1/(AI175:AS175&lt;&gt;""),AI175:AS175)))</t>
        </is>
      </c>
      <c r="BH175" s="49" t="inlineStr">
        <is>
          <t>IF(OR(F175="",AU175=""),"",IF(COUNT(AI175:AT175)=0,"",AU175-LOOKUP(2,1/(AI175:AT175&lt;&gt;""),AI175:AT175)))</t>
        </is>
      </c>
      <c r="BI175" s="49" t="inlineStr">
        <is>
          <t>IF(OR(F175="",AV175=""),"",IF(COUNT(AI175:AU175)=0,"",AV175-LOOKUP(2,1/(AI175:AU175&lt;&gt;""),AI175:AU175)))</t>
        </is>
      </c>
      <c r="BJ175" s="51" t="inlineStr">
        <is>
          <t>IF(J175="","All_Provinces",IFERROR(VLOOKUP(J175,'09_Lookups'!$A$4:$B$20,2,FALSE),"All_Provinces"))</t>
        </is>
      </c>
      <c r="BK175" s="51" t="inlineStr">
        <is>
          <t>IF(K175="","All_Districts",IFERROR(VLOOKUP(K175,'09_Lookups'!$E$4:$F$42,2,FALSE),"All_Districts"))</t>
        </is>
      </c>
    </row>
    <row r="176" ht="18" customHeight="1">
      <c r="A176" s="42" t="inlineStr">
        <is>
          <t>IF(F176="","",ROW()-3)</t>
        </is>
      </c>
      <c r="B176" s="52" t="n"/>
      <c r="C176" s="52" t="n"/>
      <c r="D176" s="52" t="n"/>
      <c r="E176" s="52" t="n"/>
      <c r="F176" s="52" t="n"/>
      <c r="G176" s="52" t="n"/>
      <c r="H176" s="52" t="n"/>
      <c r="I176" s="52" t="n"/>
      <c r="J176" s="52" t="n"/>
      <c r="K176" s="52" t="n"/>
      <c r="L176" s="52" t="n"/>
      <c r="M176" s="52" t="n"/>
      <c r="N176" s="52" t="n"/>
      <c r="O176" s="52" t="n"/>
      <c r="P176" s="52" t="n"/>
      <c r="Q176" s="52" t="n"/>
      <c r="R176" s="52" t="n"/>
      <c r="S176" s="53" t="n"/>
      <c r="T176" s="46" t="inlineStr">
        <is>
          <t>IF(AQ176="","",AQ176)</t>
        </is>
      </c>
      <c r="U176" s="54" t="n"/>
      <c r="V176" s="55" t="n"/>
      <c r="W176" s="54" t="n"/>
      <c r="X176" s="46" t="inlineStr">
        <is>
          <t>IF(W176&lt;&gt;"",W176,IF(OR(T176="",V176=""),"",EDATE(T176,V176)))</t>
        </is>
      </c>
      <c r="Y176" s="54" t="n"/>
      <c r="Z176" s="55" t="n"/>
      <c r="AA176" s="52" t="n"/>
      <c r="AB176" s="52" t="n"/>
      <c r="AC176" s="42" t="inlineStr">
        <is>
          <t>IF(F176="","",IF(COUNT(AI176:AV176)=0,IF(AA176="","Not started",AA176),SUBSTITUTE(LOOKUP(2,1/(AI176:AV176&lt;&gt;""),$AI$3:$AV$3),"Date: ","")))</t>
        </is>
      </c>
      <c r="AD176" s="49" t="inlineStr">
        <is>
          <t>IF(OR(F176="",COUNT(AI176:AV176)=0),"",TODAY()-LOOKUP(2,1/(AI176:AV176&lt;&gt;""),AI176:AV176))</t>
        </is>
      </c>
      <c r="AE176" s="49" t="inlineStr">
        <is>
          <t>IF(OR(F176="",COUNT(AI176:AV176)&lt;2),"",LOOKUP(2,1/(AI176:AV176&lt;&gt;""),AI176:AV176)-MIN(AI176:AV176))</t>
        </is>
      </c>
      <c r="AF176" s="49" t="inlineStr">
        <is>
          <t>IF(OR(AD176="",AC176="Not started",AC176=""),"",IFERROR(AD176-IF(VLOOKUP(AC176,'06_Status_Pipeline'!$B$3:$E$20,4,FALSE)="",0,VLOOKUP(AC176,'06_Status_Pipeline'!$B$3:$E$20,4,FALSE)),""))</t>
        </is>
      </c>
      <c r="AG176" s="42" t="inlineStr">
        <is>
          <t>IF(F176="","",IF(OR(AA176="Cancelled",AC176="Cancelled"),"Cancelled",IF(OR(AC176="Completed / Handover",Y176&lt;&gt;"",Z176&gt;=100),"Completed — on track",IF(O176="Not awarded",IF(U176="",IF(X176="","No planned date",IF(TODAY()&gt;X176,"Behind — past planned date",IF(X176-TODAY()&lt;=30,"At risk — close to off track","On track"))),IF(TODAY()&gt;U176,"Behind — award date passed",IF(U176-TODAY()&lt;=30,"At risk — close to off track","On track"))),IF(X176="","No planned date",IF(AND(TODAY()&gt;X176,OR(Z176="",Z176&lt;100)),"Behind — past end date",IF(AND(T176&lt;&gt;"",X176&lt;&gt;"",Z176&lt;&gt;"",(Z176&lt;100),((TODAY()-T176)/MAX(X176-T176,1)*100)-Z176&gt;15),"Behind — progress lag",IF(AND(X176-TODAY()&lt;=30,X176-TODAY()&gt;=0,OR(Z176="",Z176&lt;90)),"At risk — close to off track","On track"))))))))</t>
        </is>
      </c>
      <c r="AH176" s="49" t="inlineStr">
        <is>
          <t>IF(OR(F176="",AC176="Completed / Handover",AC176="Cancelled"),"",IF(O176="Not awarded",IF(U176&lt;&gt;"",U176-TODAY(),IF(X176="","",X176-TODAY())),IF(X176="","",X176-TODAY())))</t>
        </is>
      </c>
      <c r="AI176" s="54" t="n"/>
      <c r="AJ176" s="54" t="n"/>
      <c r="AK176" s="54" t="n"/>
      <c r="AL176" s="54" t="n"/>
      <c r="AM176" s="54" t="n"/>
      <c r="AN176" s="54" t="n"/>
      <c r="AO176" s="54" t="n"/>
      <c r="AP176" s="54" t="n"/>
      <c r="AQ176" s="54" t="n"/>
      <c r="AR176" s="54" t="n"/>
      <c r="AS176" s="54" t="n"/>
      <c r="AT176" s="50" t="n"/>
      <c r="AU176" s="50" t="n"/>
      <c r="AV176" s="50" t="n"/>
      <c r="AW176" s="49" t="inlineStr">
        <is>
          <t>IF(OR(F176="",AJ176=""),"",IF(COUNT(AI176:AI176)=0,"",AJ176-LOOKUP(2,1/(AI176:AI176&lt;&gt;""),AI176:AI176)))</t>
        </is>
      </c>
      <c r="AX176" s="49" t="inlineStr">
        <is>
          <t>IF(OR(F176="",AK176=""),"",IF(COUNT(AI176:AJ176)=0,"",AK176-LOOKUP(2,1/(AI176:AJ176&lt;&gt;""),AI176:AJ176)))</t>
        </is>
      </c>
      <c r="AY176" s="49" t="inlineStr">
        <is>
          <t>IF(OR(F176="",AL176=""),"",IF(COUNT(AI176:AK176)=0,"",AL176-LOOKUP(2,1/(AI176:AK176&lt;&gt;""),AI176:AK176)))</t>
        </is>
      </c>
      <c r="AZ176" s="49" t="inlineStr">
        <is>
          <t>IF(OR(F176="",AM176=""),"",IF(COUNT(AI176:AL176)=0,"",AM176-LOOKUP(2,1/(AI176:AL176&lt;&gt;""),AI176:AL176)))</t>
        </is>
      </c>
      <c r="BA176" s="49" t="inlineStr">
        <is>
          <t>IF(OR(F176="",AN176=""),"",IF(COUNT(AI176:AM176)=0,"",AN176-LOOKUP(2,1/(AI176:AM176&lt;&gt;""),AI176:AM176)))</t>
        </is>
      </c>
      <c r="BB176" s="49" t="inlineStr">
        <is>
          <t>IF(OR(F176="",AO176=""),"",IF(COUNT(AI176:AN176)=0,"",AO176-LOOKUP(2,1/(AI176:AN176&lt;&gt;""),AI176:AN176)))</t>
        </is>
      </c>
      <c r="BC176" s="49" t="inlineStr">
        <is>
          <t>IF(OR(F176="",AP176=""),"",IF(COUNT(AI176:AO176)=0,"",AP176-LOOKUP(2,1/(AI176:AO176&lt;&gt;""),AI176:AO176)))</t>
        </is>
      </c>
      <c r="BD176" s="49" t="inlineStr">
        <is>
          <t>IF(OR(F176="",AQ176=""),"",IF(COUNT(AI176:AP176)=0,"",AQ176-LOOKUP(2,1/(AI176:AP176&lt;&gt;""),AI176:AP176)))</t>
        </is>
      </c>
      <c r="BE176" s="49" t="inlineStr">
        <is>
          <t>IF(OR(F176="",AR176=""),"",IF(COUNT(AI176:AQ176)=0,"",AR176-LOOKUP(2,1/(AI176:AQ176&lt;&gt;""),AI176:AQ176)))</t>
        </is>
      </c>
      <c r="BF176" s="49" t="inlineStr">
        <is>
          <t>IF(OR(F176="",AS176=""),"",IF(COUNT(AI176:AR176)=0,"",AS176-LOOKUP(2,1/(AI176:AR176&lt;&gt;""),AI176:AR176)))</t>
        </is>
      </c>
      <c r="BG176" s="49" t="inlineStr">
        <is>
          <t>IF(OR(F176="",AT176=""),"",IF(COUNT(AI176:AS176)=0,"",AT176-LOOKUP(2,1/(AI176:AS176&lt;&gt;""),AI176:AS176)))</t>
        </is>
      </c>
      <c r="BH176" s="49" t="inlineStr">
        <is>
          <t>IF(OR(F176="",AU176=""),"",IF(COUNT(AI176:AT176)=0,"",AU176-LOOKUP(2,1/(AI176:AT176&lt;&gt;""),AI176:AT176)))</t>
        </is>
      </c>
      <c r="BI176" s="49" t="inlineStr">
        <is>
          <t>IF(OR(F176="",AV176=""),"",IF(COUNT(AI176:AU176)=0,"",AV176-LOOKUP(2,1/(AI176:AU176&lt;&gt;""),AI176:AU176)))</t>
        </is>
      </c>
      <c r="BJ176" s="51" t="inlineStr">
        <is>
          <t>IF(J176="","All_Provinces",IFERROR(VLOOKUP(J176,'09_Lookups'!$A$4:$B$20,2,FALSE),"All_Provinces"))</t>
        </is>
      </c>
      <c r="BK176" s="51" t="inlineStr">
        <is>
          <t>IF(K176="","All_Districts",IFERROR(VLOOKUP(K176,'09_Lookups'!$E$4:$F$42,2,FALSE),"All_Districts"))</t>
        </is>
      </c>
    </row>
    <row r="177" ht="18" customHeight="1">
      <c r="A177" s="42" t="inlineStr">
        <is>
          <t>IF(F177="","",ROW()-3)</t>
        </is>
      </c>
      <c r="B177" s="44" t="n"/>
      <c r="C177" s="44" t="n"/>
      <c r="D177" s="44" t="n"/>
      <c r="E177" s="44" t="n"/>
      <c r="F177" s="44" t="n"/>
      <c r="G177" s="44" t="n"/>
      <c r="H177" s="44" t="n"/>
      <c r="I177" s="44" t="n"/>
      <c r="J177" s="44" t="n"/>
      <c r="K177" s="44" t="n"/>
      <c r="L177" s="44" t="n"/>
      <c r="M177" s="44" t="n"/>
      <c r="N177" s="44" t="n"/>
      <c r="O177" s="44" t="n"/>
      <c r="P177" s="44" t="n"/>
      <c r="Q177" s="44" t="n"/>
      <c r="R177" s="44" t="n"/>
      <c r="S177" s="45" t="n"/>
      <c r="T177" s="46" t="inlineStr">
        <is>
          <t>IF(AQ177="","",AQ177)</t>
        </is>
      </c>
      <c r="U177" s="47" t="n"/>
      <c r="V177" s="48" t="n"/>
      <c r="W177" s="47" t="n"/>
      <c r="X177" s="46" t="inlineStr">
        <is>
          <t>IF(W177&lt;&gt;"",W177,IF(OR(T177="",V177=""),"",EDATE(T177,V177)))</t>
        </is>
      </c>
      <c r="Y177" s="47" t="n"/>
      <c r="Z177" s="48" t="n"/>
      <c r="AA177" s="44" t="n"/>
      <c r="AB177" s="44" t="n"/>
      <c r="AC177" s="42" t="inlineStr">
        <is>
          <t>IF(F177="","",IF(COUNT(AI177:AV177)=0,IF(AA177="","Not started",AA177),SUBSTITUTE(LOOKUP(2,1/(AI177:AV177&lt;&gt;""),$AI$3:$AV$3),"Date: ","")))</t>
        </is>
      </c>
      <c r="AD177" s="49" t="inlineStr">
        <is>
          <t>IF(OR(F177="",COUNT(AI177:AV177)=0),"",TODAY()-LOOKUP(2,1/(AI177:AV177&lt;&gt;""),AI177:AV177))</t>
        </is>
      </c>
      <c r="AE177" s="49" t="inlineStr">
        <is>
          <t>IF(OR(F177="",COUNT(AI177:AV177)&lt;2),"",LOOKUP(2,1/(AI177:AV177&lt;&gt;""),AI177:AV177)-MIN(AI177:AV177))</t>
        </is>
      </c>
      <c r="AF177" s="49" t="inlineStr">
        <is>
          <t>IF(OR(AD177="",AC177="Not started",AC177=""),"",IFERROR(AD177-IF(VLOOKUP(AC177,'06_Status_Pipeline'!$B$3:$E$20,4,FALSE)="",0,VLOOKUP(AC177,'06_Status_Pipeline'!$B$3:$E$20,4,FALSE)),""))</t>
        </is>
      </c>
      <c r="AG177" s="42" t="inlineStr">
        <is>
          <t>IF(F177="","",IF(OR(AA177="Cancelled",AC177="Cancelled"),"Cancelled",IF(OR(AC177="Completed / Handover",Y177&lt;&gt;"",Z177&gt;=100),"Completed — on track",IF(O177="Not awarded",IF(U177="",IF(X177="","No planned date",IF(TODAY()&gt;X177,"Behind — past planned date",IF(X177-TODAY()&lt;=30,"At risk — close to off track","On track"))),IF(TODAY()&gt;U177,"Behind — award date passed",IF(U177-TODAY()&lt;=30,"At risk — close to off track","On track"))),IF(X177="","No planned date",IF(AND(TODAY()&gt;X177,OR(Z177="",Z177&lt;100)),"Behind — past end date",IF(AND(T177&lt;&gt;"",X177&lt;&gt;"",Z177&lt;&gt;"",(Z177&lt;100),((TODAY()-T177)/MAX(X177-T177,1)*100)-Z177&gt;15),"Behind — progress lag",IF(AND(X177-TODAY()&lt;=30,X177-TODAY()&gt;=0,OR(Z177="",Z177&lt;90)),"At risk — close to off track","On track"))))))))</t>
        </is>
      </c>
      <c r="AH177" s="49" t="inlineStr">
        <is>
          <t>IF(OR(F177="",AC177="Completed / Handover",AC177="Cancelled"),"",IF(O177="Not awarded",IF(U177&lt;&gt;"",U177-TODAY(),IF(X177="","",X177-TODAY())),IF(X177="","",X177-TODAY())))</t>
        </is>
      </c>
      <c r="AI177" s="47" t="n"/>
      <c r="AJ177" s="47" t="n"/>
      <c r="AK177" s="47" t="n"/>
      <c r="AL177" s="47" t="n"/>
      <c r="AM177" s="47" t="n"/>
      <c r="AN177" s="47" t="n"/>
      <c r="AO177" s="47" t="n"/>
      <c r="AP177" s="47" t="n"/>
      <c r="AQ177" s="47" t="n"/>
      <c r="AR177" s="47" t="n"/>
      <c r="AS177" s="47" t="n"/>
      <c r="AT177" s="50" t="n"/>
      <c r="AU177" s="50" t="n"/>
      <c r="AV177" s="50" t="n"/>
      <c r="AW177" s="49" t="inlineStr">
        <is>
          <t>IF(OR(F177="",AJ177=""),"",IF(COUNT(AI177:AI177)=0,"",AJ177-LOOKUP(2,1/(AI177:AI177&lt;&gt;""),AI177:AI177)))</t>
        </is>
      </c>
      <c r="AX177" s="49" t="inlineStr">
        <is>
          <t>IF(OR(F177="",AK177=""),"",IF(COUNT(AI177:AJ177)=0,"",AK177-LOOKUP(2,1/(AI177:AJ177&lt;&gt;""),AI177:AJ177)))</t>
        </is>
      </c>
      <c r="AY177" s="49" t="inlineStr">
        <is>
          <t>IF(OR(F177="",AL177=""),"",IF(COUNT(AI177:AK177)=0,"",AL177-LOOKUP(2,1/(AI177:AK177&lt;&gt;""),AI177:AK177)))</t>
        </is>
      </c>
      <c r="AZ177" s="49" t="inlineStr">
        <is>
          <t>IF(OR(F177="",AM177=""),"",IF(COUNT(AI177:AL177)=0,"",AM177-LOOKUP(2,1/(AI177:AL177&lt;&gt;""),AI177:AL177)))</t>
        </is>
      </c>
      <c r="BA177" s="49" t="inlineStr">
        <is>
          <t>IF(OR(F177="",AN177=""),"",IF(COUNT(AI177:AM177)=0,"",AN177-LOOKUP(2,1/(AI177:AM177&lt;&gt;""),AI177:AM177)))</t>
        </is>
      </c>
      <c r="BB177" s="49" t="inlineStr">
        <is>
          <t>IF(OR(F177="",AO177=""),"",IF(COUNT(AI177:AN177)=0,"",AO177-LOOKUP(2,1/(AI177:AN177&lt;&gt;""),AI177:AN177)))</t>
        </is>
      </c>
      <c r="BC177" s="49" t="inlineStr">
        <is>
          <t>IF(OR(F177="",AP177=""),"",IF(COUNT(AI177:AO177)=0,"",AP177-LOOKUP(2,1/(AI177:AO177&lt;&gt;""),AI177:AO177)))</t>
        </is>
      </c>
      <c r="BD177" s="49" t="inlineStr">
        <is>
          <t>IF(OR(F177="",AQ177=""),"",IF(COUNT(AI177:AP177)=0,"",AQ177-LOOKUP(2,1/(AI177:AP177&lt;&gt;""),AI177:AP177)))</t>
        </is>
      </c>
      <c r="BE177" s="49" t="inlineStr">
        <is>
          <t>IF(OR(F177="",AR177=""),"",IF(COUNT(AI177:AQ177)=0,"",AR177-LOOKUP(2,1/(AI177:AQ177&lt;&gt;""),AI177:AQ177)))</t>
        </is>
      </c>
      <c r="BF177" s="49" t="inlineStr">
        <is>
          <t>IF(OR(F177="",AS177=""),"",IF(COUNT(AI177:AR177)=0,"",AS177-LOOKUP(2,1/(AI177:AR177&lt;&gt;""),AI177:AR177)))</t>
        </is>
      </c>
      <c r="BG177" s="49" t="inlineStr">
        <is>
          <t>IF(OR(F177="",AT177=""),"",IF(COUNT(AI177:AS177)=0,"",AT177-LOOKUP(2,1/(AI177:AS177&lt;&gt;""),AI177:AS177)))</t>
        </is>
      </c>
      <c r="BH177" s="49" t="inlineStr">
        <is>
          <t>IF(OR(F177="",AU177=""),"",IF(COUNT(AI177:AT177)=0,"",AU177-LOOKUP(2,1/(AI177:AT177&lt;&gt;""),AI177:AT177)))</t>
        </is>
      </c>
      <c r="BI177" s="49" t="inlineStr">
        <is>
          <t>IF(OR(F177="",AV177=""),"",IF(COUNT(AI177:AU177)=0,"",AV177-LOOKUP(2,1/(AI177:AU177&lt;&gt;""),AI177:AU177)))</t>
        </is>
      </c>
      <c r="BJ177" s="51" t="inlineStr">
        <is>
          <t>IF(J177="","All_Provinces",IFERROR(VLOOKUP(J177,'09_Lookups'!$A$4:$B$20,2,FALSE),"All_Provinces"))</t>
        </is>
      </c>
      <c r="BK177" s="51" t="inlineStr">
        <is>
          <t>IF(K177="","All_Districts",IFERROR(VLOOKUP(K177,'09_Lookups'!$E$4:$F$42,2,FALSE),"All_Districts"))</t>
        </is>
      </c>
    </row>
    <row r="178" ht="18" customHeight="1">
      <c r="A178" s="42" t="inlineStr">
        <is>
          <t>IF(F178="","",ROW()-3)</t>
        </is>
      </c>
      <c r="B178" s="52" t="n"/>
      <c r="C178" s="52" t="n"/>
      <c r="D178" s="52" t="n"/>
      <c r="E178" s="52" t="n"/>
      <c r="F178" s="52" t="n"/>
      <c r="G178" s="52" t="n"/>
      <c r="H178" s="52" t="n"/>
      <c r="I178" s="52" t="n"/>
      <c r="J178" s="52" t="n"/>
      <c r="K178" s="52" t="n"/>
      <c r="L178" s="52" t="n"/>
      <c r="M178" s="52" t="n"/>
      <c r="N178" s="52" t="n"/>
      <c r="O178" s="52" t="n"/>
      <c r="P178" s="52" t="n"/>
      <c r="Q178" s="52" t="n"/>
      <c r="R178" s="52" t="n"/>
      <c r="S178" s="53" t="n"/>
      <c r="T178" s="46" t="inlineStr">
        <is>
          <t>IF(AQ178="","",AQ178)</t>
        </is>
      </c>
      <c r="U178" s="54" t="n"/>
      <c r="V178" s="55" t="n"/>
      <c r="W178" s="54" t="n"/>
      <c r="X178" s="46" t="inlineStr">
        <is>
          <t>IF(W178&lt;&gt;"",W178,IF(OR(T178="",V178=""),"",EDATE(T178,V178)))</t>
        </is>
      </c>
      <c r="Y178" s="54" t="n"/>
      <c r="Z178" s="55" t="n"/>
      <c r="AA178" s="52" t="n"/>
      <c r="AB178" s="52" t="n"/>
      <c r="AC178" s="42" t="inlineStr">
        <is>
          <t>IF(F178="","",IF(COUNT(AI178:AV178)=0,IF(AA178="","Not started",AA178),SUBSTITUTE(LOOKUP(2,1/(AI178:AV178&lt;&gt;""),$AI$3:$AV$3),"Date: ","")))</t>
        </is>
      </c>
      <c r="AD178" s="49" t="inlineStr">
        <is>
          <t>IF(OR(F178="",COUNT(AI178:AV178)=0),"",TODAY()-LOOKUP(2,1/(AI178:AV178&lt;&gt;""),AI178:AV178))</t>
        </is>
      </c>
      <c r="AE178" s="49" t="inlineStr">
        <is>
          <t>IF(OR(F178="",COUNT(AI178:AV178)&lt;2),"",LOOKUP(2,1/(AI178:AV178&lt;&gt;""),AI178:AV178)-MIN(AI178:AV178))</t>
        </is>
      </c>
      <c r="AF178" s="49" t="inlineStr">
        <is>
          <t>IF(OR(AD178="",AC178="Not started",AC178=""),"",IFERROR(AD178-IF(VLOOKUP(AC178,'06_Status_Pipeline'!$B$3:$E$20,4,FALSE)="",0,VLOOKUP(AC178,'06_Status_Pipeline'!$B$3:$E$20,4,FALSE)),""))</t>
        </is>
      </c>
      <c r="AG178" s="42" t="inlineStr">
        <is>
          <t>IF(F178="","",IF(OR(AA178="Cancelled",AC178="Cancelled"),"Cancelled",IF(OR(AC178="Completed / Handover",Y178&lt;&gt;"",Z178&gt;=100),"Completed — on track",IF(O178="Not awarded",IF(U178="",IF(X178="","No planned date",IF(TODAY()&gt;X178,"Behind — past planned date",IF(X178-TODAY()&lt;=30,"At risk — close to off track","On track"))),IF(TODAY()&gt;U178,"Behind — award date passed",IF(U178-TODAY()&lt;=30,"At risk — close to off track","On track"))),IF(X178="","No planned date",IF(AND(TODAY()&gt;X178,OR(Z178="",Z178&lt;100)),"Behind — past end date",IF(AND(T178&lt;&gt;"",X178&lt;&gt;"",Z178&lt;&gt;"",(Z178&lt;100),((TODAY()-T178)/MAX(X178-T178,1)*100)-Z178&gt;15),"Behind — progress lag",IF(AND(X178-TODAY()&lt;=30,X178-TODAY()&gt;=0,OR(Z178="",Z178&lt;90)),"At risk — close to off track","On track"))))))))</t>
        </is>
      </c>
      <c r="AH178" s="49" t="inlineStr">
        <is>
          <t>IF(OR(F178="",AC178="Completed / Handover",AC178="Cancelled"),"",IF(O178="Not awarded",IF(U178&lt;&gt;"",U178-TODAY(),IF(X178="","",X178-TODAY())),IF(X178="","",X178-TODAY())))</t>
        </is>
      </c>
      <c r="AI178" s="54" t="n"/>
      <c r="AJ178" s="54" t="n"/>
      <c r="AK178" s="54" t="n"/>
      <c r="AL178" s="54" t="n"/>
      <c r="AM178" s="54" t="n"/>
      <c r="AN178" s="54" t="n"/>
      <c r="AO178" s="54" t="n"/>
      <c r="AP178" s="54" t="n"/>
      <c r="AQ178" s="54" t="n"/>
      <c r="AR178" s="54" t="n"/>
      <c r="AS178" s="54" t="n"/>
      <c r="AT178" s="50" t="n"/>
      <c r="AU178" s="50" t="n"/>
      <c r="AV178" s="50" t="n"/>
      <c r="AW178" s="49" t="inlineStr">
        <is>
          <t>IF(OR(F178="",AJ178=""),"",IF(COUNT(AI178:AI178)=0,"",AJ178-LOOKUP(2,1/(AI178:AI178&lt;&gt;""),AI178:AI178)))</t>
        </is>
      </c>
      <c r="AX178" s="49" t="inlineStr">
        <is>
          <t>IF(OR(F178="",AK178=""),"",IF(COUNT(AI178:AJ178)=0,"",AK178-LOOKUP(2,1/(AI178:AJ178&lt;&gt;""),AI178:AJ178)))</t>
        </is>
      </c>
      <c r="AY178" s="49" t="inlineStr">
        <is>
          <t>IF(OR(F178="",AL178=""),"",IF(COUNT(AI178:AK178)=0,"",AL178-LOOKUP(2,1/(AI178:AK178&lt;&gt;""),AI178:AK178)))</t>
        </is>
      </c>
      <c r="AZ178" s="49" t="inlineStr">
        <is>
          <t>IF(OR(F178="",AM178=""),"",IF(COUNT(AI178:AL178)=0,"",AM178-LOOKUP(2,1/(AI178:AL178&lt;&gt;""),AI178:AL178)))</t>
        </is>
      </c>
      <c r="BA178" s="49" t="inlineStr">
        <is>
          <t>IF(OR(F178="",AN178=""),"",IF(COUNT(AI178:AM178)=0,"",AN178-LOOKUP(2,1/(AI178:AM178&lt;&gt;""),AI178:AM178)))</t>
        </is>
      </c>
      <c r="BB178" s="49" t="inlineStr">
        <is>
          <t>IF(OR(F178="",AO178=""),"",IF(COUNT(AI178:AN178)=0,"",AO178-LOOKUP(2,1/(AI178:AN178&lt;&gt;""),AI178:AN178)))</t>
        </is>
      </c>
      <c r="BC178" s="49" t="inlineStr">
        <is>
          <t>IF(OR(F178="",AP178=""),"",IF(COUNT(AI178:AO178)=0,"",AP178-LOOKUP(2,1/(AI178:AO178&lt;&gt;""),AI178:AO178)))</t>
        </is>
      </c>
      <c r="BD178" s="49" t="inlineStr">
        <is>
          <t>IF(OR(F178="",AQ178=""),"",IF(COUNT(AI178:AP178)=0,"",AQ178-LOOKUP(2,1/(AI178:AP178&lt;&gt;""),AI178:AP178)))</t>
        </is>
      </c>
      <c r="BE178" s="49" t="inlineStr">
        <is>
          <t>IF(OR(F178="",AR178=""),"",IF(COUNT(AI178:AQ178)=0,"",AR178-LOOKUP(2,1/(AI178:AQ178&lt;&gt;""),AI178:AQ178)))</t>
        </is>
      </c>
      <c r="BF178" s="49" t="inlineStr">
        <is>
          <t>IF(OR(F178="",AS178=""),"",IF(COUNT(AI178:AR178)=0,"",AS178-LOOKUP(2,1/(AI178:AR178&lt;&gt;""),AI178:AR178)))</t>
        </is>
      </c>
      <c r="BG178" s="49" t="inlineStr">
        <is>
          <t>IF(OR(F178="",AT178=""),"",IF(COUNT(AI178:AS178)=0,"",AT178-LOOKUP(2,1/(AI178:AS178&lt;&gt;""),AI178:AS178)))</t>
        </is>
      </c>
      <c r="BH178" s="49" t="inlineStr">
        <is>
          <t>IF(OR(F178="",AU178=""),"",IF(COUNT(AI178:AT178)=0,"",AU178-LOOKUP(2,1/(AI178:AT178&lt;&gt;""),AI178:AT178)))</t>
        </is>
      </c>
      <c r="BI178" s="49" t="inlineStr">
        <is>
          <t>IF(OR(F178="",AV178=""),"",IF(COUNT(AI178:AU178)=0,"",AV178-LOOKUP(2,1/(AI178:AU178&lt;&gt;""),AI178:AU178)))</t>
        </is>
      </c>
      <c r="BJ178" s="51" t="inlineStr">
        <is>
          <t>IF(J178="","All_Provinces",IFERROR(VLOOKUP(J178,'09_Lookups'!$A$4:$B$20,2,FALSE),"All_Provinces"))</t>
        </is>
      </c>
      <c r="BK178" s="51" t="inlineStr">
        <is>
          <t>IF(K178="","All_Districts",IFERROR(VLOOKUP(K178,'09_Lookups'!$E$4:$F$42,2,FALSE),"All_Districts"))</t>
        </is>
      </c>
    </row>
    <row r="179" ht="18" customHeight="1">
      <c r="A179" s="42" t="inlineStr">
        <is>
          <t>IF(F179="","",ROW()-3)</t>
        </is>
      </c>
      <c r="B179" s="44" t="n"/>
      <c r="C179" s="44" t="n"/>
      <c r="D179" s="44" t="n"/>
      <c r="E179" s="44" t="n"/>
      <c r="F179" s="44" t="n"/>
      <c r="G179" s="44" t="n"/>
      <c r="H179" s="44" t="n"/>
      <c r="I179" s="44" t="n"/>
      <c r="J179" s="44" t="n"/>
      <c r="K179" s="44" t="n"/>
      <c r="L179" s="44" t="n"/>
      <c r="M179" s="44" t="n"/>
      <c r="N179" s="44" t="n"/>
      <c r="O179" s="44" t="n"/>
      <c r="P179" s="44" t="n"/>
      <c r="Q179" s="44" t="n"/>
      <c r="R179" s="44" t="n"/>
      <c r="S179" s="45" t="n"/>
      <c r="T179" s="46" t="inlineStr">
        <is>
          <t>IF(AQ179="","",AQ179)</t>
        </is>
      </c>
      <c r="U179" s="47" t="n"/>
      <c r="V179" s="48" t="n"/>
      <c r="W179" s="47" t="n"/>
      <c r="X179" s="46" t="inlineStr">
        <is>
          <t>IF(W179&lt;&gt;"",W179,IF(OR(T179="",V179=""),"",EDATE(T179,V179)))</t>
        </is>
      </c>
      <c r="Y179" s="47" t="n"/>
      <c r="Z179" s="48" t="n"/>
      <c r="AA179" s="44" t="n"/>
      <c r="AB179" s="44" t="n"/>
      <c r="AC179" s="42" t="inlineStr">
        <is>
          <t>IF(F179="","",IF(COUNT(AI179:AV179)=0,IF(AA179="","Not started",AA179),SUBSTITUTE(LOOKUP(2,1/(AI179:AV179&lt;&gt;""),$AI$3:$AV$3),"Date: ","")))</t>
        </is>
      </c>
      <c r="AD179" s="49" t="inlineStr">
        <is>
          <t>IF(OR(F179="",COUNT(AI179:AV179)=0),"",TODAY()-LOOKUP(2,1/(AI179:AV179&lt;&gt;""),AI179:AV179))</t>
        </is>
      </c>
      <c r="AE179" s="49" t="inlineStr">
        <is>
          <t>IF(OR(F179="",COUNT(AI179:AV179)&lt;2),"",LOOKUP(2,1/(AI179:AV179&lt;&gt;""),AI179:AV179)-MIN(AI179:AV179))</t>
        </is>
      </c>
      <c r="AF179" s="49" t="inlineStr">
        <is>
          <t>IF(OR(AD179="",AC179="Not started",AC179=""),"",IFERROR(AD179-IF(VLOOKUP(AC179,'06_Status_Pipeline'!$B$3:$E$20,4,FALSE)="",0,VLOOKUP(AC179,'06_Status_Pipeline'!$B$3:$E$20,4,FALSE)),""))</t>
        </is>
      </c>
      <c r="AG179" s="42" t="inlineStr">
        <is>
          <t>IF(F179="","",IF(OR(AA179="Cancelled",AC179="Cancelled"),"Cancelled",IF(OR(AC179="Completed / Handover",Y179&lt;&gt;"",Z179&gt;=100),"Completed — on track",IF(O179="Not awarded",IF(U179="",IF(X179="","No planned date",IF(TODAY()&gt;X179,"Behind — past planned date",IF(X179-TODAY()&lt;=30,"At risk — close to off track","On track"))),IF(TODAY()&gt;U179,"Behind — award date passed",IF(U179-TODAY()&lt;=30,"At risk — close to off track","On track"))),IF(X179="","No planned date",IF(AND(TODAY()&gt;X179,OR(Z179="",Z179&lt;100)),"Behind — past end date",IF(AND(T179&lt;&gt;"",X179&lt;&gt;"",Z179&lt;&gt;"",(Z179&lt;100),((TODAY()-T179)/MAX(X179-T179,1)*100)-Z179&gt;15),"Behind — progress lag",IF(AND(X179-TODAY()&lt;=30,X179-TODAY()&gt;=0,OR(Z179="",Z179&lt;90)),"At risk — close to off track","On track"))))))))</t>
        </is>
      </c>
      <c r="AH179" s="49" t="inlineStr">
        <is>
          <t>IF(OR(F179="",AC179="Completed / Handover",AC179="Cancelled"),"",IF(O179="Not awarded",IF(U179&lt;&gt;"",U179-TODAY(),IF(X179="","",X179-TODAY())),IF(X179="","",X179-TODAY())))</t>
        </is>
      </c>
      <c r="AI179" s="47" t="n"/>
      <c r="AJ179" s="47" t="n"/>
      <c r="AK179" s="47" t="n"/>
      <c r="AL179" s="47" t="n"/>
      <c r="AM179" s="47" t="n"/>
      <c r="AN179" s="47" t="n"/>
      <c r="AO179" s="47" t="n"/>
      <c r="AP179" s="47" t="n"/>
      <c r="AQ179" s="47" t="n"/>
      <c r="AR179" s="47" t="n"/>
      <c r="AS179" s="47" t="n"/>
      <c r="AT179" s="50" t="n"/>
      <c r="AU179" s="50" t="n"/>
      <c r="AV179" s="50" t="n"/>
      <c r="AW179" s="49" t="inlineStr">
        <is>
          <t>IF(OR(F179="",AJ179=""),"",IF(COUNT(AI179:AI179)=0,"",AJ179-LOOKUP(2,1/(AI179:AI179&lt;&gt;""),AI179:AI179)))</t>
        </is>
      </c>
      <c r="AX179" s="49" t="inlineStr">
        <is>
          <t>IF(OR(F179="",AK179=""),"",IF(COUNT(AI179:AJ179)=0,"",AK179-LOOKUP(2,1/(AI179:AJ179&lt;&gt;""),AI179:AJ179)))</t>
        </is>
      </c>
      <c r="AY179" s="49" t="inlineStr">
        <is>
          <t>IF(OR(F179="",AL179=""),"",IF(COUNT(AI179:AK179)=0,"",AL179-LOOKUP(2,1/(AI179:AK179&lt;&gt;""),AI179:AK179)))</t>
        </is>
      </c>
      <c r="AZ179" s="49" t="inlineStr">
        <is>
          <t>IF(OR(F179="",AM179=""),"",IF(COUNT(AI179:AL179)=0,"",AM179-LOOKUP(2,1/(AI179:AL179&lt;&gt;""),AI179:AL179)))</t>
        </is>
      </c>
      <c r="BA179" s="49" t="inlineStr">
        <is>
          <t>IF(OR(F179="",AN179=""),"",IF(COUNT(AI179:AM179)=0,"",AN179-LOOKUP(2,1/(AI179:AM179&lt;&gt;""),AI179:AM179)))</t>
        </is>
      </c>
      <c r="BB179" s="49" t="inlineStr">
        <is>
          <t>IF(OR(F179="",AO179=""),"",IF(COUNT(AI179:AN179)=0,"",AO179-LOOKUP(2,1/(AI179:AN179&lt;&gt;""),AI179:AN179)))</t>
        </is>
      </c>
      <c r="BC179" s="49" t="inlineStr">
        <is>
          <t>IF(OR(F179="",AP179=""),"",IF(COUNT(AI179:AO179)=0,"",AP179-LOOKUP(2,1/(AI179:AO179&lt;&gt;""),AI179:AO179)))</t>
        </is>
      </c>
      <c r="BD179" s="49" t="inlineStr">
        <is>
          <t>IF(OR(F179="",AQ179=""),"",IF(COUNT(AI179:AP179)=0,"",AQ179-LOOKUP(2,1/(AI179:AP179&lt;&gt;""),AI179:AP179)))</t>
        </is>
      </c>
      <c r="BE179" s="49" t="inlineStr">
        <is>
          <t>IF(OR(F179="",AR179=""),"",IF(COUNT(AI179:AQ179)=0,"",AR179-LOOKUP(2,1/(AI179:AQ179&lt;&gt;""),AI179:AQ179)))</t>
        </is>
      </c>
      <c r="BF179" s="49" t="inlineStr">
        <is>
          <t>IF(OR(F179="",AS179=""),"",IF(COUNT(AI179:AR179)=0,"",AS179-LOOKUP(2,1/(AI179:AR179&lt;&gt;""),AI179:AR179)))</t>
        </is>
      </c>
      <c r="BG179" s="49" t="inlineStr">
        <is>
          <t>IF(OR(F179="",AT179=""),"",IF(COUNT(AI179:AS179)=0,"",AT179-LOOKUP(2,1/(AI179:AS179&lt;&gt;""),AI179:AS179)))</t>
        </is>
      </c>
      <c r="BH179" s="49" t="inlineStr">
        <is>
          <t>IF(OR(F179="",AU179=""),"",IF(COUNT(AI179:AT179)=0,"",AU179-LOOKUP(2,1/(AI179:AT179&lt;&gt;""),AI179:AT179)))</t>
        </is>
      </c>
      <c r="BI179" s="49" t="inlineStr">
        <is>
          <t>IF(OR(F179="",AV179=""),"",IF(COUNT(AI179:AU179)=0,"",AV179-LOOKUP(2,1/(AI179:AU179&lt;&gt;""),AI179:AU179)))</t>
        </is>
      </c>
      <c r="BJ179" s="51" t="inlineStr">
        <is>
          <t>IF(J179="","All_Provinces",IFERROR(VLOOKUP(J179,'09_Lookups'!$A$4:$B$20,2,FALSE),"All_Provinces"))</t>
        </is>
      </c>
      <c r="BK179" s="51" t="inlineStr">
        <is>
          <t>IF(K179="","All_Districts",IFERROR(VLOOKUP(K179,'09_Lookups'!$E$4:$F$42,2,FALSE),"All_Districts"))</t>
        </is>
      </c>
    </row>
    <row r="180" ht="18" customHeight="1">
      <c r="A180" s="42" t="inlineStr">
        <is>
          <t>IF(F180="","",ROW()-3)</t>
        </is>
      </c>
      <c r="B180" s="52" t="n"/>
      <c r="C180" s="52" t="n"/>
      <c r="D180" s="52" t="n"/>
      <c r="E180" s="52" t="n"/>
      <c r="F180" s="52" t="n"/>
      <c r="G180" s="52" t="n"/>
      <c r="H180" s="52" t="n"/>
      <c r="I180" s="52" t="n"/>
      <c r="J180" s="52" t="n"/>
      <c r="K180" s="52" t="n"/>
      <c r="L180" s="52" t="n"/>
      <c r="M180" s="52" t="n"/>
      <c r="N180" s="52" t="n"/>
      <c r="O180" s="52" t="n"/>
      <c r="P180" s="52" t="n"/>
      <c r="Q180" s="52" t="n"/>
      <c r="R180" s="52" t="n"/>
      <c r="S180" s="53" t="n"/>
      <c r="T180" s="46" t="inlineStr">
        <is>
          <t>IF(AQ180="","",AQ180)</t>
        </is>
      </c>
      <c r="U180" s="54" t="n"/>
      <c r="V180" s="55" t="n"/>
      <c r="W180" s="54" t="n"/>
      <c r="X180" s="46" t="inlineStr">
        <is>
          <t>IF(W180&lt;&gt;"",W180,IF(OR(T180="",V180=""),"",EDATE(T180,V180)))</t>
        </is>
      </c>
      <c r="Y180" s="54" t="n"/>
      <c r="Z180" s="55" t="n"/>
      <c r="AA180" s="52" t="n"/>
      <c r="AB180" s="52" t="n"/>
      <c r="AC180" s="42" t="inlineStr">
        <is>
          <t>IF(F180="","",IF(COUNT(AI180:AV180)=0,IF(AA180="","Not started",AA180),SUBSTITUTE(LOOKUP(2,1/(AI180:AV180&lt;&gt;""),$AI$3:$AV$3),"Date: ","")))</t>
        </is>
      </c>
      <c r="AD180" s="49" t="inlineStr">
        <is>
          <t>IF(OR(F180="",COUNT(AI180:AV180)=0),"",TODAY()-LOOKUP(2,1/(AI180:AV180&lt;&gt;""),AI180:AV180))</t>
        </is>
      </c>
      <c r="AE180" s="49" t="inlineStr">
        <is>
          <t>IF(OR(F180="",COUNT(AI180:AV180)&lt;2),"",LOOKUP(2,1/(AI180:AV180&lt;&gt;""),AI180:AV180)-MIN(AI180:AV180))</t>
        </is>
      </c>
      <c r="AF180" s="49" t="inlineStr">
        <is>
          <t>IF(OR(AD180="",AC180="Not started",AC180=""),"",IFERROR(AD180-IF(VLOOKUP(AC180,'06_Status_Pipeline'!$B$3:$E$20,4,FALSE)="",0,VLOOKUP(AC180,'06_Status_Pipeline'!$B$3:$E$20,4,FALSE)),""))</t>
        </is>
      </c>
      <c r="AG180" s="42" t="inlineStr">
        <is>
          <t>IF(F180="","",IF(OR(AA180="Cancelled",AC180="Cancelled"),"Cancelled",IF(OR(AC180="Completed / Handover",Y180&lt;&gt;"",Z180&gt;=100),"Completed — on track",IF(O180="Not awarded",IF(U180="",IF(X180="","No planned date",IF(TODAY()&gt;X180,"Behind — past planned date",IF(X180-TODAY()&lt;=30,"At risk — close to off track","On track"))),IF(TODAY()&gt;U180,"Behind — award date passed",IF(U180-TODAY()&lt;=30,"At risk — close to off track","On track"))),IF(X180="","No planned date",IF(AND(TODAY()&gt;X180,OR(Z180="",Z180&lt;100)),"Behind — past end date",IF(AND(T180&lt;&gt;"",X180&lt;&gt;"",Z180&lt;&gt;"",(Z180&lt;100),((TODAY()-T180)/MAX(X180-T180,1)*100)-Z180&gt;15),"Behind — progress lag",IF(AND(X180-TODAY()&lt;=30,X180-TODAY()&gt;=0,OR(Z180="",Z180&lt;90)),"At risk — close to off track","On track"))))))))</t>
        </is>
      </c>
      <c r="AH180" s="49" t="inlineStr">
        <is>
          <t>IF(OR(F180="",AC180="Completed / Handover",AC180="Cancelled"),"",IF(O180="Not awarded",IF(U180&lt;&gt;"",U180-TODAY(),IF(X180="","",X180-TODAY())),IF(X180="","",X180-TODAY())))</t>
        </is>
      </c>
      <c r="AI180" s="54" t="n"/>
      <c r="AJ180" s="54" t="n"/>
      <c r="AK180" s="54" t="n"/>
      <c r="AL180" s="54" t="n"/>
      <c r="AM180" s="54" t="n"/>
      <c r="AN180" s="54" t="n"/>
      <c r="AO180" s="54" t="n"/>
      <c r="AP180" s="54" t="n"/>
      <c r="AQ180" s="54" t="n"/>
      <c r="AR180" s="54" t="n"/>
      <c r="AS180" s="54" t="n"/>
      <c r="AT180" s="50" t="n"/>
      <c r="AU180" s="50" t="n"/>
      <c r="AV180" s="50" t="n"/>
      <c r="AW180" s="49" t="inlineStr">
        <is>
          <t>IF(OR(F180="",AJ180=""),"",IF(COUNT(AI180:AI180)=0,"",AJ180-LOOKUP(2,1/(AI180:AI180&lt;&gt;""),AI180:AI180)))</t>
        </is>
      </c>
      <c r="AX180" s="49" t="inlineStr">
        <is>
          <t>IF(OR(F180="",AK180=""),"",IF(COUNT(AI180:AJ180)=0,"",AK180-LOOKUP(2,1/(AI180:AJ180&lt;&gt;""),AI180:AJ180)))</t>
        </is>
      </c>
      <c r="AY180" s="49" t="inlineStr">
        <is>
          <t>IF(OR(F180="",AL180=""),"",IF(COUNT(AI180:AK180)=0,"",AL180-LOOKUP(2,1/(AI180:AK180&lt;&gt;""),AI180:AK180)))</t>
        </is>
      </c>
      <c r="AZ180" s="49" t="inlineStr">
        <is>
          <t>IF(OR(F180="",AM180=""),"",IF(COUNT(AI180:AL180)=0,"",AM180-LOOKUP(2,1/(AI180:AL180&lt;&gt;""),AI180:AL180)))</t>
        </is>
      </c>
      <c r="BA180" s="49" t="inlineStr">
        <is>
          <t>IF(OR(F180="",AN180=""),"",IF(COUNT(AI180:AM180)=0,"",AN180-LOOKUP(2,1/(AI180:AM180&lt;&gt;""),AI180:AM180)))</t>
        </is>
      </c>
      <c r="BB180" s="49" t="inlineStr">
        <is>
          <t>IF(OR(F180="",AO180=""),"",IF(COUNT(AI180:AN180)=0,"",AO180-LOOKUP(2,1/(AI180:AN180&lt;&gt;""),AI180:AN180)))</t>
        </is>
      </c>
      <c r="BC180" s="49" t="inlineStr">
        <is>
          <t>IF(OR(F180="",AP180=""),"",IF(COUNT(AI180:AO180)=0,"",AP180-LOOKUP(2,1/(AI180:AO180&lt;&gt;""),AI180:AO180)))</t>
        </is>
      </c>
      <c r="BD180" s="49" t="inlineStr">
        <is>
          <t>IF(OR(F180="",AQ180=""),"",IF(COUNT(AI180:AP180)=0,"",AQ180-LOOKUP(2,1/(AI180:AP180&lt;&gt;""),AI180:AP180)))</t>
        </is>
      </c>
      <c r="BE180" s="49" t="inlineStr">
        <is>
          <t>IF(OR(F180="",AR180=""),"",IF(COUNT(AI180:AQ180)=0,"",AR180-LOOKUP(2,1/(AI180:AQ180&lt;&gt;""),AI180:AQ180)))</t>
        </is>
      </c>
      <c r="BF180" s="49" t="inlineStr">
        <is>
          <t>IF(OR(F180="",AS180=""),"",IF(COUNT(AI180:AR180)=0,"",AS180-LOOKUP(2,1/(AI180:AR180&lt;&gt;""),AI180:AR180)))</t>
        </is>
      </c>
      <c r="BG180" s="49" t="inlineStr">
        <is>
          <t>IF(OR(F180="",AT180=""),"",IF(COUNT(AI180:AS180)=0,"",AT180-LOOKUP(2,1/(AI180:AS180&lt;&gt;""),AI180:AS180)))</t>
        </is>
      </c>
      <c r="BH180" s="49" t="inlineStr">
        <is>
          <t>IF(OR(F180="",AU180=""),"",IF(COUNT(AI180:AT180)=0,"",AU180-LOOKUP(2,1/(AI180:AT180&lt;&gt;""),AI180:AT180)))</t>
        </is>
      </c>
      <c r="BI180" s="49" t="inlineStr">
        <is>
          <t>IF(OR(F180="",AV180=""),"",IF(COUNT(AI180:AU180)=0,"",AV180-LOOKUP(2,1/(AI180:AU180&lt;&gt;""),AI180:AU180)))</t>
        </is>
      </c>
      <c r="BJ180" s="51" t="inlineStr">
        <is>
          <t>IF(J180="","All_Provinces",IFERROR(VLOOKUP(J180,'09_Lookups'!$A$4:$B$20,2,FALSE),"All_Provinces"))</t>
        </is>
      </c>
      <c r="BK180" s="51" t="inlineStr">
        <is>
          <t>IF(K180="","All_Districts",IFERROR(VLOOKUP(K180,'09_Lookups'!$E$4:$F$42,2,FALSE),"All_Districts"))</t>
        </is>
      </c>
    </row>
    <row r="181" ht="18" customHeight="1">
      <c r="A181" s="42" t="inlineStr">
        <is>
          <t>IF(F181="","",ROW()-3)</t>
        </is>
      </c>
      <c r="B181" s="44" t="n"/>
      <c r="C181" s="44" t="n"/>
      <c r="D181" s="44" t="n"/>
      <c r="E181" s="44" t="n"/>
      <c r="F181" s="44" t="n"/>
      <c r="G181" s="44" t="n"/>
      <c r="H181" s="44" t="n"/>
      <c r="I181" s="44" t="n"/>
      <c r="J181" s="44" t="n"/>
      <c r="K181" s="44" t="n"/>
      <c r="L181" s="44" t="n"/>
      <c r="M181" s="44" t="n"/>
      <c r="N181" s="44" t="n"/>
      <c r="O181" s="44" t="n"/>
      <c r="P181" s="44" t="n"/>
      <c r="Q181" s="44" t="n"/>
      <c r="R181" s="44" t="n"/>
      <c r="S181" s="45" t="n"/>
      <c r="T181" s="46" t="inlineStr">
        <is>
          <t>IF(AQ181="","",AQ181)</t>
        </is>
      </c>
      <c r="U181" s="47" t="n"/>
      <c r="V181" s="48" t="n"/>
      <c r="W181" s="47" t="n"/>
      <c r="X181" s="46" t="inlineStr">
        <is>
          <t>IF(W181&lt;&gt;"",W181,IF(OR(T181="",V181=""),"",EDATE(T181,V181)))</t>
        </is>
      </c>
      <c r="Y181" s="47" t="n"/>
      <c r="Z181" s="48" t="n"/>
      <c r="AA181" s="44" t="n"/>
      <c r="AB181" s="44" t="n"/>
      <c r="AC181" s="42" t="inlineStr">
        <is>
          <t>IF(F181="","",IF(COUNT(AI181:AV181)=0,IF(AA181="","Not started",AA181),SUBSTITUTE(LOOKUP(2,1/(AI181:AV181&lt;&gt;""),$AI$3:$AV$3),"Date: ","")))</t>
        </is>
      </c>
      <c r="AD181" s="49" t="inlineStr">
        <is>
          <t>IF(OR(F181="",COUNT(AI181:AV181)=0),"",TODAY()-LOOKUP(2,1/(AI181:AV181&lt;&gt;""),AI181:AV181))</t>
        </is>
      </c>
      <c r="AE181" s="49" t="inlineStr">
        <is>
          <t>IF(OR(F181="",COUNT(AI181:AV181)&lt;2),"",LOOKUP(2,1/(AI181:AV181&lt;&gt;""),AI181:AV181)-MIN(AI181:AV181))</t>
        </is>
      </c>
      <c r="AF181" s="49" t="inlineStr">
        <is>
          <t>IF(OR(AD181="",AC181="Not started",AC181=""),"",IFERROR(AD181-IF(VLOOKUP(AC181,'06_Status_Pipeline'!$B$3:$E$20,4,FALSE)="",0,VLOOKUP(AC181,'06_Status_Pipeline'!$B$3:$E$20,4,FALSE)),""))</t>
        </is>
      </c>
      <c r="AG181" s="42" t="inlineStr">
        <is>
          <t>IF(F181="","",IF(OR(AA181="Cancelled",AC181="Cancelled"),"Cancelled",IF(OR(AC181="Completed / Handover",Y181&lt;&gt;"",Z181&gt;=100),"Completed — on track",IF(O181="Not awarded",IF(U181="",IF(X181="","No planned date",IF(TODAY()&gt;X181,"Behind — past planned date",IF(X181-TODAY()&lt;=30,"At risk — close to off track","On track"))),IF(TODAY()&gt;U181,"Behind — award date passed",IF(U181-TODAY()&lt;=30,"At risk — close to off track","On track"))),IF(X181="","No planned date",IF(AND(TODAY()&gt;X181,OR(Z181="",Z181&lt;100)),"Behind — past end date",IF(AND(T181&lt;&gt;"",X181&lt;&gt;"",Z181&lt;&gt;"",(Z181&lt;100),((TODAY()-T181)/MAX(X181-T181,1)*100)-Z181&gt;15),"Behind — progress lag",IF(AND(X181-TODAY()&lt;=30,X181-TODAY()&gt;=0,OR(Z181="",Z181&lt;90)),"At risk — close to off track","On track"))))))))</t>
        </is>
      </c>
      <c r="AH181" s="49" t="inlineStr">
        <is>
          <t>IF(OR(F181="",AC181="Completed / Handover",AC181="Cancelled"),"",IF(O181="Not awarded",IF(U181&lt;&gt;"",U181-TODAY(),IF(X181="","",X181-TODAY())),IF(X181="","",X181-TODAY())))</t>
        </is>
      </c>
      <c r="AI181" s="47" t="n"/>
      <c r="AJ181" s="47" t="n"/>
      <c r="AK181" s="47" t="n"/>
      <c r="AL181" s="47" t="n"/>
      <c r="AM181" s="47" t="n"/>
      <c r="AN181" s="47" t="n"/>
      <c r="AO181" s="47" t="n"/>
      <c r="AP181" s="47" t="n"/>
      <c r="AQ181" s="47" t="n"/>
      <c r="AR181" s="47" t="n"/>
      <c r="AS181" s="47" t="n"/>
      <c r="AT181" s="50" t="n"/>
      <c r="AU181" s="50" t="n"/>
      <c r="AV181" s="50" t="n"/>
      <c r="AW181" s="49" t="inlineStr">
        <is>
          <t>IF(OR(F181="",AJ181=""),"",IF(COUNT(AI181:AI181)=0,"",AJ181-LOOKUP(2,1/(AI181:AI181&lt;&gt;""),AI181:AI181)))</t>
        </is>
      </c>
      <c r="AX181" s="49" t="inlineStr">
        <is>
          <t>IF(OR(F181="",AK181=""),"",IF(COUNT(AI181:AJ181)=0,"",AK181-LOOKUP(2,1/(AI181:AJ181&lt;&gt;""),AI181:AJ181)))</t>
        </is>
      </c>
      <c r="AY181" s="49" t="inlineStr">
        <is>
          <t>IF(OR(F181="",AL181=""),"",IF(COUNT(AI181:AK181)=0,"",AL181-LOOKUP(2,1/(AI181:AK181&lt;&gt;""),AI181:AK181)))</t>
        </is>
      </c>
      <c r="AZ181" s="49" t="inlineStr">
        <is>
          <t>IF(OR(F181="",AM181=""),"",IF(COUNT(AI181:AL181)=0,"",AM181-LOOKUP(2,1/(AI181:AL181&lt;&gt;""),AI181:AL181)))</t>
        </is>
      </c>
      <c r="BA181" s="49" t="inlineStr">
        <is>
          <t>IF(OR(F181="",AN181=""),"",IF(COUNT(AI181:AM181)=0,"",AN181-LOOKUP(2,1/(AI181:AM181&lt;&gt;""),AI181:AM181)))</t>
        </is>
      </c>
      <c r="BB181" s="49" t="inlineStr">
        <is>
          <t>IF(OR(F181="",AO181=""),"",IF(COUNT(AI181:AN181)=0,"",AO181-LOOKUP(2,1/(AI181:AN181&lt;&gt;""),AI181:AN181)))</t>
        </is>
      </c>
      <c r="BC181" s="49" t="inlineStr">
        <is>
          <t>IF(OR(F181="",AP181=""),"",IF(COUNT(AI181:AO181)=0,"",AP181-LOOKUP(2,1/(AI181:AO181&lt;&gt;""),AI181:AO181)))</t>
        </is>
      </c>
      <c r="BD181" s="49" t="inlineStr">
        <is>
          <t>IF(OR(F181="",AQ181=""),"",IF(COUNT(AI181:AP181)=0,"",AQ181-LOOKUP(2,1/(AI181:AP181&lt;&gt;""),AI181:AP181)))</t>
        </is>
      </c>
      <c r="BE181" s="49" t="inlineStr">
        <is>
          <t>IF(OR(F181="",AR181=""),"",IF(COUNT(AI181:AQ181)=0,"",AR181-LOOKUP(2,1/(AI181:AQ181&lt;&gt;""),AI181:AQ181)))</t>
        </is>
      </c>
      <c r="BF181" s="49" t="inlineStr">
        <is>
          <t>IF(OR(F181="",AS181=""),"",IF(COUNT(AI181:AR181)=0,"",AS181-LOOKUP(2,1/(AI181:AR181&lt;&gt;""),AI181:AR181)))</t>
        </is>
      </c>
      <c r="BG181" s="49" t="inlineStr">
        <is>
          <t>IF(OR(F181="",AT181=""),"",IF(COUNT(AI181:AS181)=0,"",AT181-LOOKUP(2,1/(AI181:AS181&lt;&gt;""),AI181:AS181)))</t>
        </is>
      </c>
      <c r="BH181" s="49" t="inlineStr">
        <is>
          <t>IF(OR(F181="",AU181=""),"",IF(COUNT(AI181:AT181)=0,"",AU181-LOOKUP(2,1/(AI181:AT181&lt;&gt;""),AI181:AT181)))</t>
        </is>
      </c>
      <c r="BI181" s="49" t="inlineStr">
        <is>
          <t>IF(OR(F181="",AV181=""),"",IF(COUNT(AI181:AU181)=0,"",AV181-LOOKUP(2,1/(AI181:AU181&lt;&gt;""),AI181:AU181)))</t>
        </is>
      </c>
      <c r="BJ181" s="51" t="inlineStr">
        <is>
          <t>IF(J181="","All_Provinces",IFERROR(VLOOKUP(J181,'09_Lookups'!$A$4:$B$20,2,FALSE),"All_Provinces"))</t>
        </is>
      </c>
      <c r="BK181" s="51" t="inlineStr">
        <is>
          <t>IF(K181="","All_Districts",IFERROR(VLOOKUP(K181,'09_Lookups'!$E$4:$F$42,2,FALSE),"All_Districts"))</t>
        </is>
      </c>
    </row>
    <row r="182" ht="18" customHeight="1">
      <c r="A182" s="42" t="inlineStr">
        <is>
          <t>IF(F182="","",ROW()-3)</t>
        </is>
      </c>
      <c r="B182" s="52" t="n"/>
      <c r="C182" s="52" t="n"/>
      <c r="D182" s="52" t="n"/>
      <c r="E182" s="52" t="n"/>
      <c r="F182" s="52" t="n"/>
      <c r="G182" s="52" t="n"/>
      <c r="H182" s="52" t="n"/>
      <c r="I182" s="52" t="n"/>
      <c r="J182" s="52" t="n"/>
      <c r="K182" s="52" t="n"/>
      <c r="L182" s="52" t="n"/>
      <c r="M182" s="52" t="n"/>
      <c r="N182" s="52" t="n"/>
      <c r="O182" s="52" t="n"/>
      <c r="P182" s="52" t="n"/>
      <c r="Q182" s="52" t="n"/>
      <c r="R182" s="52" t="n"/>
      <c r="S182" s="53" t="n"/>
      <c r="T182" s="46" t="inlineStr">
        <is>
          <t>IF(AQ182="","",AQ182)</t>
        </is>
      </c>
      <c r="U182" s="54" t="n"/>
      <c r="V182" s="55" t="n"/>
      <c r="W182" s="54" t="n"/>
      <c r="X182" s="46" t="inlineStr">
        <is>
          <t>IF(W182&lt;&gt;"",W182,IF(OR(T182="",V182=""),"",EDATE(T182,V182)))</t>
        </is>
      </c>
      <c r="Y182" s="54" t="n"/>
      <c r="Z182" s="55" t="n"/>
      <c r="AA182" s="52" t="n"/>
      <c r="AB182" s="52" t="n"/>
      <c r="AC182" s="42" t="inlineStr">
        <is>
          <t>IF(F182="","",IF(COUNT(AI182:AV182)=0,IF(AA182="","Not started",AA182),SUBSTITUTE(LOOKUP(2,1/(AI182:AV182&lt;&gt;""),$AI$3:$AV$3),"Date: ","")))</t>
        </is>
      </c>
      <c r="AD182" s="49" t="inlineStr">
        <is>
          <t>IF(OR(F182="",COUNT(AI182:AV182)=0),"",TODAY()-LOOKUP(2,1/(AI182:AV182&lt;&gt;""),AI182:AV182))</t>
        </is>
      </c>
      <c r="AE182" s="49" t="inlineStr">
        <is>
          <t>IF(OR(F182="",COUNT(AI182:AV182)&lt;2),"",LOOKUP(2,1/(AI182:AV182&lt;&gt;""),AI182:AV182)-MIN(AI182:AV182))</t>
        </is>
      </c>
      <c r="AF182" s="49" t="inlineStr">
        <is>
          <t>IF(OR(AD182="",AC182="Not started",AC182=""),"",IFERROR(AD182-IF(VLOOKUP(AC182,'06_Status_Pipeline'!$B$3:$E$20,4,FALSE)="",0,VLOOKUP(AC182,'06_Status_Pipeline'!$B$3:$E$20,4,FALSE)),""))</t>
        </is>
      </c>
      <c r="AG182" s="42" t="inlineStr">
        <is>
          <t>IF(F182="","",IF(OR(AA182="Cancelled",AC182="Cancelled"),"Cancelled",IF(OR(AC182="Completed / Handover",Y182&lt;&gt;"",Z182&gt;=100),"Completed — on track",IF(O182="Not awarded",IF(U182="",IF(X182="","No planned date",IF(TODAY()&gt;X182,"Behind — past planned date",IF(X182-TODAY()&lt;=30,"At risk — close to off track","On track"))),IF(TODAY()&gt;U182,"Behind — award date passed",IF(U182-TODAY()&lt;=30,"At risk — close to off track","On track"))),IF(X182="","No planned date",IF(AND(TODAY()&gt;X182,OR(Z182="",Z182&lt;100)),"Behind — past end date",IF(AND(T182&lt;&gt;"",X182&lt;&gt;"",Z182&lt;&gt;"",(Z182&lt;100),((TODAY()-T182)/MAX(X182-T182,1)*100)-Z182&gt;15),"Behind — progress lag",IF(AND(X182-TODAY()&lt;=30,X182-TODAY()&gt;=0,OR(Z182="",Z182&lt;90)),"At risk — close to off track","On track"))))))))</t>
        </is>
      </c>
      <c r="AH182" s="49" t="inlineStr">
        <is>
          <t>IF(OR(F182="",AC182="Completed / Handover",AC182="Cancelled"),"",IF(O182="Not awarded",IF(U182&lt;&gt;"",U182-TODAY(),IF(X182="","",X182-TODAY())),IF(X182="","",X182-TODAY())))</t>
        </is>
      </c>
      <c r="AI182" s="54" t="n"/>
      <c r="AJ182" s="54" t="n"/>
      <c r="AK182" s="54" t="n"/>
      <c r="AL182" s="54" t="n"/>
      <c r="AM182" s="54" t="n"/>
      <c r="AN182" s="54" t="n"/>
      <c r="AO182" s="54" t="n"/>
      <c r="AP182" s="54" t="n"/>
      <c r="AQ182" s="54" t="n"/>
      <c r="AR182" s="54" t="n"/>
      <c r="AS182" s="54" t="n"/>
      <c r="AT182" s="50" t="n"/>
      <c r="AU182" s="50" t="n"/>
      <c r="AV182" s="50" t="n"/>
      <c r="AW182" s="49" t="inlineStr">
        <is>
          <t>IF(OR(F182="",AJ182=""),"",IF(COUNT(AI182:AI182)=0,"",AJ182-LOOKUP(2,1/(AI182:AI182&lt;&gt;""),AI182:AI182)))</t>
        </is>
      </c>
      <c r="AX182" s="49" t="inlineStr">
        <is>
          <t>IF(OR(F182="",AK182=""),"",IF(COUNT(AI182:AJ182)=0,"",AK182-LOOKUP(2,1/(AI182:AJ182&lt;&gt;""),AI182:AJ182)))</t>
        </is>
      </c>
      <c r="AY182" s="49" t="inlineStr">
        <is>
          <t>IF(OR(F182="",AL182=""),"",IF(COUNT(AI182:AK182)=0,"",AL182-LOOKUP(2,1/(AI182:AK182&lt;&gt;""),AI182:AK182)))</t>
        </is>
      </c>
      <c r="AZ182" s="49" t="inlineStr">
        <is>
          <t>IF(OR(F182="",AM182=""),"",IF(COUNT(AI182:AL182)=0,"",AM182-LOOKUP(2,1/(AI182:AL182&lt;&gt;""),AI182:AL182)))</t>
        </is>
      </c>
      <c r="BA182" s="49" t="inlineStr">
        <is>
          <t>IF(OR(F182="",AN182=""),"",IF(COUNT(AI182:AM182)=0,"",AN182-LOOKUP(2,1/(AI182:AM182&lt;&gt;""),AI182:AM182)))</t>
        </is>
      </c>
      <c r="BB182" s="49" t="inlineStr">
        <is>
          <t>IF(OR(F182="",AO182=""),"",IF(COUNT(AI182:AN182)=0,"",AO182-LOOKUP(2,1/(AI182:AN182&lt;&gt;""),AI182:AN182)))</t>
        </is>
      </c>
      <c r="BC182" s="49" t="inlineStr">
        <is>
          <t>IF(OR(F182="",AP182=""),"",IF(COUNT(AI182:AO182)=0,"",AP182-LOOKUP(2,1/(AI182:AO182&lt;&gt;""),AI182:AO182)))</t>
        </is>
      </c>
      <c r="BD182" s="49" t="inlineStr">
        <is>
          <t>IF(OR(F182="",AQ182=""),"",IF(COUNT(AI182:AP182)=0,"",AQ182-LOOKUP(2,1/(AI182:AP182&lt;&gt;""),AI182:AP182)))</t>
        </is>
      </c>
      <c r="BE182" s="49" t="inlineStr">
        <is>
          <t>IF(OR(F182="",AR182=""),"",IF(COUNT(AI182:AQ182)=0,"",AR182-LOOKUP(2,1/(AI182:AQ182&lt;&gt;""),AI182:AQ182)))</t>
        </is>
      </c>
      <c r="BF182" s="49" t="inlineStr">
        <is>
          <t>IF(OR(F182="",AS182=""),"",IF(COUNT(AI182:AR182)=0,"",AS182-LOOKUP(2,1/(AI182:AR182&lt;&gt;""),AI182:AR182)))</t>
        </is>
      </c>
      <c r="BG182" s="49" t="inlineStr">
        <is>
          <t>IF(OR(F182="",AT182=""),"",IF(COUNT(AI182:AS182)=0,"",AT182-LOOKUP(2,1/(AI182:AS182&lt;&gt;""),AI182:AS182)))</t>
        </is>
      </c>
      <c r="BH182" s="49" t="inlineStr">
        <is>
          <t>IF(OR(F182="",AU182=""),"",IF(COUNT(AI182:AT182)=0,"",AU182-LOOKUP(2,1/(AI182:AT182&lt;&gt;""),AI182:AT182)))</t>
        </is>
      </c>
      <c r="BI182" s="49" t="inlineStr">
        <is>
          <t>IF(OR(F182="",AV182=""),"",IF(COUNT(AI182:AU182)=0,"",AV182-LOOKUP(2,1/(AI182:AU182&lt;&gt;""),AI182:AU182)))</t>
        </is>
      </c>
      <c r="BJ182" s="51" t="inlineStr">
        <is>
          <t>IF(J182="","All_Provinces",IFERROR(VLOOKUP(J182,'09_Lookups'!$A$4:$B$20,2,FALSE),"All_Provinces"))</t>
        </is>
      </c>
      <c r="BK182" s="51" t="inlineStr">
        <is>
          <t>IF(K182="","All_Districts",IFERROR(VLOOKUP(K182,'09_Lookups'!$E$4:$F$42,2,FALSE),"All_Districts"))</t>
        </is>
      </c>
    </row>
    <row r="183" ht="18" customHeight="1">
      <c r="A183" s="42" t="inlineStr">
        <is>
          <t>IF(F183="","",ROW()-3)</t>
        </is>
      </c>
      <c r="B183" s="44" t="n"/>
      <c r="C183" s="44" t="n"/>
      <c r="D183" s="44" t="n"/>
      <c r="E183" s="44" t="n"/>
      <c r="F183" s="44" t="n"/>
      <c r="G183" s="44" t="n"/>
      <c r="H183" s="44" t="n"/>
      <c r="I183" s="44" t="n"/>
      <c r="J183" s="44" t="n"/>
      <c r="K183" s="44" t="n"/>
      <c r="L183" s="44" t="n"/>
      <c r="M183" s="44" t="n"/>
      <c r="N183" s="44" t="n"/>
      <c r="O183" s="44" t="n"/>
      <c r="P183" s="44" t="n"/>
      <c r="Q183" s="44" t="n"/>
      <c r="R183" s="44" t="n"/>
      <c r="S183" s="45" t="n"/>
      <c r="T183" s="46" t="inlineStr">
        <is>
          <t>IF(AQ183="","",AQ183)</t>
        </is>
      </c>
      <c r="U183" s="47" t="n"/>
      <c r="V183" s="48" t="n"/>
      <c r="W183" s="47" t="n"/>
      <c r="X183" s="46" t="inlineStr">
        <is>
          <t>IF(W183&lt;&gt;"",W183,IF(OR(T183="",V183=""),"",EDATE(T183,V183)))</t>
        </is>
      </c>
      <c r="Y183" s="47" t="n"/>
      <c r="Z183" s="48" t="n"/>
      <c r="AA183" s="44" t="n"/>
      <c r="AB183" s="44" t="n"/>
      <c r="AC183" s="42" t="inlineStr">
        <is>
          <t>IF(F183="","",IF(COUNT(AI183:AV183)=0,IF(AA183="","Not started",AA183),SUBSTITUTE(LOOKUP(2,1/(AI183:AV183&lt;&gt;""),$AI$3:$AV$3),"Date: ","")))</t>
        </is>
      </c>
      <c r="AD183" s="49" t="inlineStr">
        <is>
          <t>IF(OR(F183="",COUNT(AI183:AV183)=0),"",TODAY()-LOOKUP(2,1/(AI183:AV183&lt;&gt;""),AI183:AV183))</t>
        </is>
      </c>
      <c r="AE183" s="49" t="inlineStr">
        <is>
          <t>IF(OR(F183="",COUNT(AI183:AV183)&lt;2),"",LOOKUP(2,1/(AI183:AV183&lt;&gt;""),AI183:AV183)-MIN(AI183:AV183))</t>
        </is>
      </c>
      <c r="AF183" s="49" t="inlineStr">
        <is>
          <t>IF(OR(AD183="",AC183="Not started",AC183=""),"",IFERROR(AD183-IF(VLOOKUP(AC183,'06_Status_Pipeline'!$B$3:$E$20,4,FALSE)="",0,VLOOKUP(AC183,'06_Status_Pipeline'!$B$3:$E$20,4,FALSE)),""))</t>
        </is>
      </c>
      <c r="AG183" s="42" t="inlineStr">
        <is>
          <t>IF(F183="","",IF(OR(AA183="Cancelled",AC183="Cancelled"),"Cancelled",IF(OR(AC183="Completed / Handover",Y183&lt;&gt;"",Z183&gt;=100),"Completed — on track",IF(O183="Not awarded",IF(U183="",IF(X183="","No planned date",IF(TODAY()&gt;X183,"Behind — past planned date",IF(X183-TODAY()&lt;=30,"At risk — close to off track","On track"))),IF(TODAY()&gt;U183,"Behind — award date passed",IF(U183-TODAY()&lt;=30,"At risk — close to off track","On track"))),IF(X183="","No planned date",IF(AND(TODAY()&gt;X183,OR(Z183="",Z183&lt;100)),"Behind — past end date",IF(AND(T183&lt;&gt;"",X183&lt;&gt;"",Z183&lt;&gt;"",(Z183&lt;100),((TODAY()-T183)/MAX(X183-T183,1)*100)-Z183&gt;15),"Behind — progress lag",IF(AND(X183-TODAY()&lt;=30,X183-TODAY()&gt;=0,OR(Z183="",Z183&lt;90)),"At risk — close to off track","On track"))))))))</t>
        </is>
      </c>
      <c r="AH183" s="49" t="inlineStr">
        <is>
          <t>IF(OR(F183="",AC183="Completed / Handover",AC183="Cancelled"),"",IF(O183="Not awarded",IF(U183&lt;&gt;"",U183-TODAY(),IF(X183="","",X183-TODAY())),IF(X183="","",X183-TODAY())))</t>
        </is>
      </c>
      <c r="AI183" s="47" t="n"/>
      <c r="AJ183" s="47" t="n"/>
      <c r="AK183" s="47" t="n"/>
      <c r="AL183" s="47" t="n"/>
      <c r="AM183" s="47" t="n"/>
      <c r="AN183" s="47" t="n"/>
      <c r="AO183" s="47" t="n"/>
      <c r="AP183" s="47" t="n"/>
      <c r="AQ183" s="47" t="n"/>
      <c r="AR183" s="47" t="n"/>
      <c r="AS183" s="47" t="n"/>
      <c r="AT183" s="50" t="n"/>
      <c r="AU183" s="50" t="n"/>
      <c r="AV183" s="50" t="n"/>
      <c r="AW183" s="49" t="inlineStr">
        <is>
          <t>IF(OR(F183="",AJ183=""),"",IF(COUNT(AI183:AI183)=0,"",AJ183-LOOKUP(2,1/(AI183:AI183&lt;&gt;""),AI183:AI183)))</t>
        </is>
      </c>
      <c r="AX183" s="49" t="inlineStr">
        <is>
          <t>IF(OR(F183="",AK183=""),"",IF(COUNT(AI183:AJ183)=0,"",AK183-LOOKUP(2,1/(AI183:AJ183&lt;&gt;""),AI183:AJ183)))</t>
        </is>
      </c>
      <c r="AY183" s="49" t="inlineStr">
        <is>
          <t>IF(OR(F183="",AL183=""),"",IF(COUNT(AI183:AK183)=0,"",AL183-LOOKUP(2,1/(AI183:AK183&lt;&gt;""),AI183:AK183)))</t>
        </is>
      </c>
      <c r="AZ183" s="49" t="inlineStr">
        <is>
          <t>IF(OR(F183="",AM183=""),"",IF(COUNT(AI183:AL183)=0,"",AM183-LOOKUP(2,1/(AI183:AL183&lt;&gt;""),AI183:AL183)))</t>
        </is>
      </c>
      <c r="BA183" s="49" t="inlineStr">
        <is>
          <t>IF(OR(F183="",AN183=""),"",IF(COUNT(AI183:AM183)=0,"",AN183-LOOKUP(2,1/(AI183:AM183&lt;&gt;""),AI183:AM183)))</t>
        </is>
      </c>
      <c r="BB183" s="49" t="inlineStr">
        <is>
          <t>IF(OR(F183="",AO183=""),"",IF(COUNT(AI183:AN183)=0,"",AO183-LOOKUP(2,1/(AI183:AN183&lt;&gt;""),AI183:AN183)))</t>
        </is>
      </c>
      <c r="BC183" s="49" t="inlineStr">
        <is>
          <t>IF(OR(F183="",AP183=""),"",IF(COUNT(AI183:AO183)=0,"",AP183-LOOKUP(2,1/(AI183:AO183&lt;&gt;""),AI183:AO183)))</t>
        </is>
      </c>
      <c r="BD183" s="49" t="inlineStr">
        <is>
          <t>IF(OR(F183="",AQ183=""),"",IF(COUNT(AI183:AP183)=0,"",AQ183-LOOKUP(2,1/(AI183:AP183&lt;&gt;""),AI183:AP183)))</t>
        </is>
      </c>
      <c r="BE183" s="49" t="inlineStr">
        <is>
          <t>IF(OR(F183="",AR183=""),"",IF(COUNT(AI183:AQ183)=0,"",AR183-LOOKUP(2,1/(AI183:AQ183&lt;&gt;""),AI183:AQ183)))</t>
        </is>
      </c>
      <c r="BF183" s="49" t="inlineStr">
        <is>
          <t>IF(OR(F183="",AS183=""),"",IF(COUNT(AI183:AR183)=0,"",AS183-LOOKUP(2,1/(AI183:AR183&lt;&gt;""),AI183:AR183)))</t>
        </is>
      </c>
      <c r="BG183" s="49" t="inlineStr">
        <is>
          <t>IF(OR(F183="",AT183=""),"",IF(COUNT(AI183:AS183)=0,"",AT183-LOOKUP(2,1/(AI183:AS183&lt;&gt;""),AI183:AS183)))</t>
        </is>
      </c>
      <c r="BH183" s="49" t="inlineStr">
        <is>
          <t>IF(OR(F183="",AU183=""),"",IF(COUNT(AI183:AT183)=0,"",AU183-LOOKUP(2,1/(AI183:AT183&lt;&gt;""),AI183:AT183)))</t>
        </is>
      </c>
      <c r="BI183" s="49" t="inlineStr">
        <is>
          <t>IF(OR(F183="",AV183=""),"",IF(COUNT(AI183:AU183)=0,"",AV183-LOOKUP(2,1/(AI183:AU183&lt;&gt;""),AI183:AU183)))</t>
        </is>
      </c>
      <c r="BJ183" s="51" t="inlineStr">
        <is>
          <t>IF(J183="","All_Provinces",IFERROR(VLOOKUP(J183,'09_Lookups'!$A$4:$B$20,2,FALSE),"All_Provinces"))</t>
        </is>
      </c>
      <c r="BK183" s="51" t="inlineStr">
        <is>
          <t>IF(K183="","All_Districts",IFERROR(VLOOKUP(K183,'09_Lookups'!$E$4:$F$42,2,FALSE),"All_Districts"))</t>
        </is>
      </c>
    </row>
    <row r="184" ht="18" customHeight="1">
      <c r="A184" s="42" t="inlineStr">
        <is>
          <t>IF(F184="","",ROW()-3)</t>
        </is>
      </c>
      <c r="B184" s="52" t="n"/>
      <c r="C184" s="52" t="n"/>
      <c r="D184" s="52" t="n"/>
      <c r="E184" s="52" t="n"/>
      <c r="F184" s="52" t="n"/>
      <c r="G184" s="52" t="n"/>
      <c r="H184" s="52" t="n"/>
      <c r="I184" s="52" t="n"/>
      <c r="J184" s="52" t="n"/>
      <c r="K184" s="52" t="n"/>
      <c r="L184" s="52" t="n"/>
      <c r="M184" s="52" t="n"/>
      <c r="N184" s="52" t="n"/>
      <c r="O184" s="52" t="n"/>
      <c r="P184" s="52" t="n"/>
      <c r="Q184" s="52" t="n"/>
      <c r="R184" s="52" t="n"/>
      <c r="S184" s="53" t="n"/>
      <c r="T184" s="46" t="inlineStr">
        <is>
          <t>IF(AQ184="","",AQ184)</t>
        </is>
      </c>
      <c r="U184" s="54" t="n"/>
      <c r="V184" s="55" t="n"/>
      <c r="W184" s="54" t="n"/>
      <c r="X184" s="46" t="inlineStr">
        <is>
          <t>IF(W184&lt;&gt;"",W184,IF(OR(T184="",V184=""),"",EDATE(T184,V184)))</t>
        </is>
      </c>
      <c r="Y184" s="54" t="n"/>
      <c r="Z184" s="55" t="n"/>
      <c r="AA184" s="52" t="n"/>
      <c r="AB184" s="52" t="n"/>
      <c r="AC184" s="42" t="inlineStr">
        <is>
          <t>IF(F184="","",IF(COUNT(AI184:AV184)=0,IF(AA184="","Not started",AA184),SUBSTITUTE(LOOKUP(2,1/(AI184:AV184&lt;&gt;""),$AI$3:$AV$3),"Date: ","")))</t>
        </is>
      </c>
      <c r="AD184" s="49" t="inlineStr">
        <is>
          <t>IF(OR(F184="",COUNT(AI184:AV184)=0),"",TODAY()-LOOKUP(2,1/(AI184:AV184&lt;&gt;""),AI184:AV184))</t>
        </is>
      </c>
      <c r="AE184" s="49" t="inlineStr">
        <is>
          <t>IF(OR(F184="",COUNT(AI184:AV184)&lt;2),"",LOOKUP(2,1/(AI184:AV184&lt;&gt;""),AI184:AV184)-MIN(AI184:AV184))</t>
        </is>
      </c>
      <c r="AF184" s="49" t="inlineStr">
        <is>
          <t>IF(OR(AD184="",AC184="Not started",AC184=""),"",IFERROR(AD184-IF(VLOOKUP(AC184,'06_Status_Pipeline'!$B$3:$E$20,4,FALSE)="",0,VLOOKUP(AC184,'06_Status_Pipeline'!$B$3:$E$20,4,FALSE)),""))</t>
        </is>
      </c>
      <c r="AG184" s="42" t="inlineStr">
        <is>
          <t>IF(F184="","",IF(OR(AA184="Cancelled",AC184="Cancelled"),"Cancelled",IF(OR(AC184="Completed / Handover",Y184&lt;&gt;"",Z184&gt;=100),"Completed — on track",IF(O184="Not awarded",IF(U184="",IF(X184="","No planned date",IF(TODAY()&gt;X184,"Behind — past planned date",IF(X184-TODAY()&lt;=30,"At risk — close to off track","On track"))),IF(TODAY()&gt;U184,"Behind — award date passed",IF(U184-TODAY()&lt;=30,"At risk — close to off track","On track"))),IF(X184="","No planned date",IF(AND(TODAY()&gt;X184,OR(Z184="",Z184&lt;100)),"Behind — past end date",IF(AND(T184&lt;&gt;"",X184&lt;&gt;"",Z184&lt;&gt;"",(Z184&lt;100),((TODAY()-T184)/MAX(X184-T184,1)*100)-Z184&gt;15),"Behind — progress lag",IF(AND(X184-TODAY()&lt;=30,X184-TODAY()&gt;=0,OR(Z184="",Z184&lt;90)),"At risk — close to off track","On track"))))))))</t>
        </is>
      </c>
      <c r="AH184" s="49" t="inlineStr">
        <is>
          <t>IF(OR(F184="",AC184="Completed / Handover",AC184="Cancelled"),"",IF(O184="Not awarded",IF(U184&lt;&gt;"",U184-TODAY(),IF(X184="","",X184-TODAY())),IF(X184="","",X184-TODAY())))</t>
        </is>
      </c>
      <c r="AI184" s="54" t="n"/>
      <c r="AJ184" s="54" t="n"/>
      <c r="AK184" s="54" t="n"/>
      <c r="AL184" s="54" t="n"/>
      <c r="AM184" s="54" t="n"/>
      <c r="AN184" s="54" t="n"/>
      <c r="AO184" s="54" t="n"/>
      <c r="AP184" s="54" t="n"/>
      <c r="AQ184" s="54" t="n"/>
      <c r="AR184" s="54" t="n"/>
      <c r="AS184" s="54" t="n"/>
      <c r="AT184" s="50" t="n"/>
      <c r="AU184" s="50" t="n"/>
      <c r="AV184" s="50" t="n"/>
      <c r="AW184" s="49" t="inlineStr">
        <is>
          <t>IF(OR(F184="",AJ184=""),"",IF(COUNT(AI184:AI184)=0,"",AJ184-LOOKUP(2,1/(AI184:AI184&lt;&gt;""),AI184:AI184)))</t>
        </is>
      </c>
      <c r="AX184" s="49" t="inlineStr">
        <is>
          <t>IF(OR(F184="",AK184=""),"",IF(COUNT(AI184:AJ184)=0,"",AK184-LOOKUP(2,1/(AI184:AJ184&lt;&gt;""),AI184:AJ184)))</t>
        </is>
      </c>
      <c r="AY184" s="49" t="inlineStr">
        <is>
          <t>IF(OR(F184="",AL184=""),"",IF(COUNT(AI184:AK184)=0,"",AL184-LOOKUP(2,1/(AI184:AK184&lt;&gt;""),AI184:AK184)))</t>
        </is>
      </c>
      <c r="AZ184" s="49" t="inlineStr">
        <is>
          <t>IF(OR(F184="",AM184=""),"",IF(COUNT(AI184:AL184)=0,"",AM184-LOOKUP(2,1/(AI184:AL184&lt;&gt;""),AI184:AL184)))</t>
        </is>
      </c>
      <c r="BA184" s="49" t="inlineStr">
        <is>
          <t>IF(OR(F184="",AN184=""),"",IF(COUNT(AI184:AM184)=0,"",AN184-LOOKUP(2,1/(AI184:AM184&lt;&gt;""),AI184:AM184)))</t>
        </is>
      </c>
      <c r="BB184" s="49" t="inlineStr">
        <is>
          <t>IF(OR(F184="",AO184=""),"",IF(COUNT(AI184:AN184)=0,"",AO184-LOOKUP(2,1/(AI184:AN184&lt;&gt;""),AI184:AN184)))</t>
        </is>
      </c>
      <c r="BC184" s="49" t="inlineStr">
        <is>
          <t>IF(OR(F184="",AP184=""),"",IF(COUNT(AI184:AO184)=0,"",AP184-LOOKUP(2,1/(AI184:AO184&lt;&gt;""),AI184:AO184)))</t>
        </is>
      </c>
      <c r="BD184" s="49" t="inlineStr">
        <is>
          <t>IF(OR(F184="",AQ184=""),"",IF(COUNT(AI184:AP184)=0,"",AQ184-LOOKUP(2,1/(AI184:AP184&lt;&gt;""),AI184:AP184)))</t>
        </is>
      </c>
      <c r="BE184" s="49" t="inlineStr">
        <is>
          <t>IF(OR(F184="",AR184=""),"",IF(COUNT(AI184:AQ184)=0,"",AR184-LOOKUP(2,1/(AI184:AQ184&lt;&gt;""),AI184:AQ184)))</t>
        </is>
      </c>
      <c r="BF184" s="49" t="inlineStr">
        <is>
          <t>IF(OR(F184="",AS184=""),"",IF(COUNT(AI184:AR184)=0,"",AS184-LOOKUP(2,1/(AI184:AR184&lt;&gt;""),AI184:AR184)))</t>
        </is>
      </c>
      <c r="BG184" s="49" t="inlineStr">
        <is>
          <t>IF(OR(F184="",AT184=""),"",IF(COUNT(AI184:AS184)=0,"",AT184-LOOKUP(2,1/(AI184:AS184&lt;&gt;""),AI184:AS184)))</t>
        </is>
      </c>
      <c r="BH184" s="49" t="inlineStr">
        <is>
          <t>IF(OR(F184="",AU184=""),"",IF(COUNT(AI184:AT184)=0,"",AU184-LOOKUP(2,1/(AI184:AT184&lt;&gt;""),AI184:AT184)))</t>
        </is>
      </c>
      <c r="BI184" s="49" t="inlineStr">
        <is>
          <t>IF(OR(F184="",AV184=""),"",IF(COUNT(AI184:AU184)=0,"",AV184-LOOKUP(2,1/(AI184:AU184&lt;&gt;""),AI184:AU184)))</t>
        </is>
      </c>
      <c r="BJ184" s="51" t="inlineStr">
        <is>
          <t>IF(J184="","All_Provinces",IFERROR(VLOOKUP(J184,'09_Lookups'!$A$4:$B$20,2,FALSE),"All_Provinces"))</t>
        </is>
      </c>
      <c r="BK184" s="51" t="inlineStr">
        <is>
          <t>IF(K184="","All_Districts",IFERROR(VLOOKUP(K184,'09_Lookups'!$E$4:$F$42,2,FALSE),"All_Districts"))</t>
        </is>
      </c>
    </row>
    <row r="185" ht="18" customHeight="1">
      <c r="A185" s="42" t="inlineStr">
        <is>
          <t>IF(F185="","",ROW()-3)</t>
        </is>
      </c>
      <c r="B185" s="44" t="n"/>
      <c r="C185" s="44" t="n"/>
      <c r="D185" s="44" t="n"/>
      <c r="E185" s="44" t="n"/>
      <c r="F185" s="44" t="n"/>
      <c r="G185" s="44" t="n"/>
      <c r="H185" s="44" t="n"/>
      <c r="I185" s="44" t="n"/>
      <c r="J185" s="44" t="n"/>
      <c r="K185" s="44" t="n"/>
      <c r="L185" s="44" t="n"/>
      <c r="M185" s="44" t="n"/>
      <c r="N185" s="44" t="n"/>
      <c r="O185" s="44" t="n"/>
      <c r="P185" s="44" t="n"/>
      <c r="Q185" s="44" t="n"/>
      <c r="R185" s="44" t="n"/>
      <c r="S185" s="45" t="n"/>
      <c r="T185" s="46" t="inlineStr">
        <is>
          <t>IF(AQ185="","",AQ185)</t>
        </is>
      </c>
      <c r="U185" s="47" t="n"/>
      <c r="V185" s="48" t="n"/>
      <c r="W185" s="47" t="n"/>
      <c r="X185" s="46" t="inlineStr">
        <is>
          <t>IF(W185&lt;&gt;"",W185,IF(OR(T185="",V185=""),"",EDATE(T185,V185)))</t>
        </is>
      </c>
      <c r="Y185" s="47" t="n"/>
      <c r="Z185" s="48" t="n"/>
      <c r="AA185" s="44" t="n"/>
      <c r="AB185" s="44" t="n"/>
      <c r="AC185" s="42" t="inlineStr">
        <is>
          <t>IF(F185="","",IF(COUNT(AI185:AV185)=0,IF(AA185="","Not started",AA185),SUBSTITUTE(LOOKUP(2,1/(AI185:AV185&lt;&gt;""),$AI$3:$AV$3),"Date: ","")))</t>
        </is>
      </c>
      <c r="AD185" s="49" t="inlineStr">
        <is>
          <t>IF(OR(F185="",COUNT(AI185:AV185)=0),"",TODAY()-LOOKUP(2,1/(AI185:AV185&lt;&gt;""),AI185:AV185))</t>
        </is>
      </c>
      <c r="AE185" s="49" t="inlineStr">
        <is>
          <t>IF(OR(F185="",COUNT(AI185:AV185)&lt;2),"",LOOKUP(2,1/(AI185:AV185&lt;&gt;""),AI185:AV185)-MIN(AI185:AV185))</t>
        </is>
      </c>
      <c r="AF185" s="49" t="inlineStr">
        <is>
          <t>IF(OR(AD185="",AC185="Not started",AC185=""),"",IFERROR(AD185-IF(VLOOKUP(AC185,'06_Status_Pipeline'!$B$3:$E$20,4,FALSE)="",0,VLOOKUP(AC185,'06_Status_Pipeline'!$B$3:$E$20,4,FALSE)),""))</t>
        </is>
      </c>
      <c r="AG185" s="42" t="inlineStr">
        <is>
          <t>IF(F185="","",IF(OR(AA185="Cancelled",AC185="Cancelled"),"Cancelled",IF(OR(AC185="Completed / Handover",Y185&lt;&gt;"",Z185&gt;=100),"Completed — on track",IF(O185="Not awarded",IF(U185="",IF(X185="","No planned date",IF(TODAY()&gt;X185,"Behind — past planned date",IF(X185-TODAY()&lt;=30,"At risk — close to off track","On track"))),IF(TODAY()&gt;U185,"Behind — award date passed",IF(U185-TODAY()&lt;=30,"At risk — close to off track","On track"))),IF(X185="","No planned date",IF(AND(TODAY()&gt;X185,OR(Z185="",Z185&lt;100)),"Behind — past end date",IF(AND(T185&lt;&gt;"",X185&lt;&gt;"",Z185&lt;&gt;"",(Z185&lt;100),((TODAY()-T185)/MAX(X185-T185,1)*100)-Z185&gt;15),"Behind — progress lag",IF(AND(X185-TODAY()&lt;=30,X185-TODAY()&gt;=0,OR(Z185="",Z185&lt;90)),"At risk — close to off track","On track"))))))))</t>
        </is>
      </c>
      <c r="AH185" s="49" t="inlineStr">
        <is>
          <t>IF(OR(F185="",AC185="Completed / Handover",AC185="Cancelled"),"",IF(O185="Not awarded",IF(U185&lt;&gt;"",U185-TODAY(),IF(X185="","",X185-TODAY())),IF(X185="","",X185-TODAY())))</t>
        </is>
      </c>
      <c r="AI185" s="47" t="n"/>
      <c r="AJ185" s="47" t="n"/>
      <c r="AK185" s="47" t="n"/>
      <c r="AL185" s="47" t="n"/>
      <c r="AM185" s="47" t="n"/>
      <c r="AN185" s="47" t="n"/>
      <c r="AO185" s="47" t="n"/>
      <c r="AP185" s="47" t="n"/>
      <c r="AQ185" s="47" t="n"/>
      <c r="AR185" s="47" t="n"/>
      <c r="AS185" s="47" t="n"/>
      <c r="AT185" s="50" t="n"/>
      <c r="AU185" s="50" t="n"/>
      <c r="AV185" s="50" t="n"/>
      <c r="AW185" s="49" t="inlineStr">
        <is>
          <t>IF(OR(F185="",AJ185=""),"",IF(COUNT(AI185:AI185)=0,"",AJ185-LOOKUP(2,1/(AI185:AI185&lt;&gt;""),AI185:AI185)))</t>
        </is>
      </c>
      <c r="AX185" s="49" t="inlineStr">
        <is>
          <t>IF(OR(F185="",AK185=""),"",IF(COUNT(AI185:AJ185)=0,"",AK185-LOOKUP(2,1/(AI185:AJ185&lt;&gt;""),AI185:AJ185)))</t>
        </is>
      </c>
      <c r="AY185" s="49" t="inlineStr">
        <is>
          <t>IF(OR(F185="",AL185=""),"",IF(COUNT(AI185:AK185)=0,"",AL185-LOOKUP(2,1/(AI185:AK185&lt;&gt;""),AI185:AK185)))</t>
        </is>
      </c>
      <c r="AZ185" s="49" t="inlineStr">
        <is>
          <t>IF(OR(F185="",AM185=""),"",IF(COUNT(AI185:AL185)=0,"",AM185-LOOKUP(2,1/(AI185:AL185&lt;&gt;""),AI185:AL185)))</t>
        </is>
      </c>
      <c r="BA185" s="49" t="inlineStr">
        <is>
          <t>IF(OR(F185="",AN185=""),"",IF(COUNT(AI185:AM185)=0,"",AN185-LOOKUP(2,1/(AI185:AM185&lt;&gt;""),AI185:AM185)))</t>
        </is>
      </c>
      <c r="BB185" s="49" t="inlineStr">
        <is>
          <t>IF(OR(F185="",AO185=""),"",IF(COUNT(AI185:AN185)=0,"",AO185-LOOKUP(2,1/(AI185:AN185&lt;&gt;""),AI185:AN185)))</t>
        </is>
      </c>
      <c r="BC185" s="49" t="inlineStr">
        <is>
          <t>IF(OR(F185="",AP185=""),"",IF(COUNT(AI185:AO185)=0,"",AP185-LOOKUP(2,1/(AI185:AO185&lt;&gt;""),AI185:AO185)))</t>
        </is>
      </c>
      <c r="BD185" s="49" t="inlineStr">
        <is>
          <t>IF(OR(F185="",AQ185=""),"",IF(COUNT(AI185:AP185)=0,"",AQ185-LOOKUP(2,1/(AI185:AP185&lt;&gt;""),AI185:AP185)))</t>
        </is>
      </c>
      <c r="BE185" s="49" t="inlineStr">
        <is>
          <t>IF(OR(F185="",AR185=""),"",IF(COUNT(AI185:AQ185)=0,"",AR185-LOOKUP(2,1/(AI185:AQ185&lt;&gt;""),AI185:AQ185)))</t>
        </is>
      </c>
      <c r="BF185" s="49" t="inlineStr">
        <is>
          <t>IF(OR(F185="",AS185=""),"",IF(COUNT(AI185:AR185)=0,"",AS185-LOOKUP(2,1/(AI185:AR185&lt;&gt;""),AI185:AR185)))</t>
        </is>
      </c>
      <c r="BG185" s="49" t="inlineStr">
        <is>
          <t>IF(OR(F185="",AT185=""),"",IF(COUNT(AI185:AS185)=0,"",AT185-LOOKUP(2,1/(AI185:AS185&lt;&gt;""),AI185:AS185)))</t>
        </is>
      </c>
      <c r="BH185" s="49" t="inlineStr">
        <is>
          <t>IF(OR(F185="",AU185=""),"",IF(COUNT(AI185:AT185)=0,"",AU185-LOOKUP(2,1/(AI185:AT185&lt;&gt;""),AI185:AT185)))</t>
        </is>
      </c>
      <c r="BI185" s="49" t="inlineStr">
        <is>
          <t>IF(OR(F185="",AV185=""),"",IF(COUNT(AI185:AU185)=0,"",AV185-LOOKUP(2,1/(AI185:AU185&lt;&gt;""),AI185:AU185)))</t>
        </is>
      </c>
      <c r="BJ185" s="51" t="inlineStr">
        <is>
          <t>IF(J185="","All_Provinces",IFERROR(VLOOKUP(J185,'09_Lookups'!$A$4:$B$20,2,FALSE),"All_Provinces"))</t>
        </is>
      </c>
      <c r="BK185" s="51" t="inlineStr">
        <is>
          <t>IF(K185="","All_Districts",IFERROR(VLOOKUP(K185,'09_Lookups'!$E$4:$F$42,2,FALSE),"All_Districts"))</t>
        </is>
      </c>
    </row>
    <row r="186" ht="18" customHeight="1">
      <c r="A186" s="42" t="inlineStr">
        <is>
          <t>IF(F186="","",ROW()-3)</t>
        </is>
      </c>
      <c r="B186" s="52" t="n"/>
      <c r="C186" s="52" t="n"/>
      <c r="D186" s="52" t="n"/>
      <c r="E186" s="52" t="n"/>
      <c r="F186" s="52" t="n"/>
      <c r="G186" s="52" t="n"/>
      <c r="H186" s="52" t="n"/>
      <c r="I186" s="52" t="n"/>
      <c r="J186" s="52" t="n"/>
      <c r="K186" s="52" t="n"/>
      <c r="L186" s="52" t="n"/>
      <c r="M186" s="52" t="n"/>
      <c r="N186" s="52" t="n"/>
      <c r="O186" s="52" t="n"/>
      <c r="P186" s="52" t="n"/>
      <c r="Q186" s="52" t="n"/>
      <c r="R186" s="52" t="n"/>
      <c r="S186" s="53" t="n"/>
      <c r="T186" s="46" t="inlineStr">
        <is>
          <t>IF(AQ186="","",AQ186)</t>
        </is>
      </c>
      <c r="U186" s="54" t="n"/>
      <c r="V186" s="55" t="n"/>
      <c r="W186" s="54" t="n"/>
      <c r="X186" s="46" t="inlineStr">
        <is>
          <t>IF(W186&lt;&gt;"",W186,IF(OR(T186="",V186=""),"",EDATE(T186,V186)))</t>
        </is>
      </c>
      <c r="Y186" s="54" t="n"/>
      <c r="Z186" s="55" t="n"/>
      <c r="AA186" s="52" t="n"/>
      <c r="AB186" s="52" t="n"/>
      <c r="AC186" s="42" t="inlineStr">
        <is>
          <t>IF(F186="","",IF(COUNT(AI186:AV186)=0,IF(AA186="","Not started",AA186),SUBSTITUTE(LOOKUP(2,1/(AI186:AV186&lt;&gt;""),$AI$3:$AV$3),"Date: ","")))</t>
        </is>
      </c>
      <c r="AD186" s="49" t="inlineStr">
        <is>
          <t>IF(OR(F186="",COUNT(AI186:AV186)=0),"",TODAY()-LOOKUP(2,1/(AI186:AV186&lt;&gt;""),AI186:AV186))</t>
        </is>
      </c>
      <c r="AE186" s="49" t="inlineStr">
        <is>
          <t>IF(OR(F186="",COUNT(AI186:AV186)&lt;2),"",LOOKUP(2,1/(AI186:AV186&lt;&gt;""),AI186:AV186)-MIN(AI186:AV186))</t>
        </is>
      </c>
      <c r="AF186" s="49" t="inlineStr">
        <is>
          <t>IF(OR(AD186="",AC186="Not started",AC186=""),"",IFERROR(AD186-IF(VLOOKUP(AC186,'06_Status_Pipeline'!$B$3:$E$20,4,FALSE)="",0,VLOOKUP(AC186,'06_Status_Pipeline'!$B$3:$E$20,4,FALSE)),""))</t>
        </is>
      </c>
      <c r="AG186" s="42" t="inlineStr">
        <is>
          <t>IF(F186="","",IF(OR(AA186="Cancelled",AC186="Cancelled"),"Cancelled",IF(OR(AC186="Completed / Handover",Y186&lt;&gt;"",Z186&gt;=100),"Completed — on track",IF(O186="Not awarded",IF(U186="",IF(X186="","No planned date",IF(TODAY()&gt;X186,"Behind — past planned date",IF(X186-TODAY()&lt;=30,"At risk — close to off track","On track"))),IF(TODAY()&gt;U186,"Behind — award date passed",IF(U186-TODAY()&lt;=30,"At risk — close to off track","On track"))),IF(X186="","No planned date",IF(AND(TODAY()&gt;X186,OR(Z186="",Z186&lt;100)),"Behind — past end date",IF(AND(T186&lt;&gt;"",X186&lt;&gt;"",Z186&lt;&gt;"",(Z186&lt;100),((TODAY()-T186)/MAX(X186-T186,1)*100)-Z186&gt;15),"Behind — progress lag",IF(AND(X186-TODAY()&lt;=30,X186-TODAY()&gt;=0,OR(Z186="",Z186&lt;90)),"At risk — close to off track","On track"))))))))</t>
        </is>
      </c>
      <c r="AH186" s="49" t="inlineStr">
        <is>
          <t>IF(OR(F186="",AC186="Completed / Handover",AC186="Cancelled"),"",IF(O186="Not awarded",IF(U186&lt;&gt;"",U186-TODAY(),IF(X186="","",X186-TODAY())),IF(X186="","",X186-TODAY())))</t>
        </is>
      </c>
      <c r="AI186" s="54" t="n"/>
      <c r="AJ186" s="54" t="n"/>
      <c r="AK186" s="54" t="n"/>
      <c r="AL186" s="54" t="n"/>
      <c r="AM186" s="54" t="n"/>
      <c r="AN186" s="54" t="n"/>
      <c r="AO186" s="54" t="n"/>
      <c r="AP186" s="54" t="n"/>
      <c r="AQ186" s="54" t="n"/>
      <c r="AR186" s="54" t="n"/>
      <c r="AS186" s="54" t="n"/>
      <c r="AT186" s="50" t="n"/>
      <c r="AU186" s="50" t="n"/>
      <c r="AV186" s="50" t="n"/>
      <c r="AW186" s="49" t="inlineStr">
        <is>
          <t>IF(OR(F186="",AJ186=""),"",IF(COUNT(AI186:AI186)=0,"",AJ186-LOOKUP(2,1/(AI186:AI186&lt;&gt;""),AI186:AI186)))</t>
        </is>
      </c>
      <c r="AX186" s="49" t="inlineStr">
        <is>
          <t>IF(OR(F186="",AK186=""),"",IF(COUNT(AI186:AJ186)=0,"",AK186-LOOKUP(2,1/(AI186:AJ186&lt;&gt;""),AI186:AJ186)))</t>
        </is>
      </c>
      <c r="AY186" s="49" t="inlineStr">
        <is>
          <t>IF(OR(F186="",AL186=""),"",IF(COUNT(AI186:AK186)=0,"",AL186-LOOKUP(2,1/(AI186:AK186&lt;&gt;""),AI186:AK186)))</t>
        </is>
      </c>
      <c r="AZ186" s="49" t="inlineStr">
        <is>
          <t>IF(OR(F186="",AM186=""),"",IF(COUNT(AI186:AL186)=0,"",AM186-LOOKUP(2,1/(AI186:AL186&lt;&gt;""),AI186:AL186)))</t>
        </is>
      </c>
      <c r="BA186" s="49" t="inlineStr">
        <is>
          <t>IF(OR(F186="",AN186=""),"",IF(COUNT(AI186:AM186)=0,"",AN186-LOOKUP(2,1/(AI186:AM186&lt;&gt;""),AI186:AM186)))</t>
        </is>
      </c>
      <c r="BB186" s="49" t="inlineStr">
        <is>
          <t>IF(OR(F186="",AO186=""),"",IF(COUNT(AI186:AN186)=0,"",AO186-LOOKUP(2,1/(AI186:AN186&lt;&gt;""),AI186:AN186)))</t>
        </is>
      </c>
      <c r="BC186" s="49" t="inlineStr">
        <is>
          <t>IF(OR(F186="",AP186=""),"",IF(COUNT(AI186:AO186)=0,"",AP186-LOOKUP(2,1/(AI186:AO186&lt;&gt;""),AI186:AO186)))</t>
        </is>
      </c>
      <c r="BD186" s="49" t="inlineStr">
        <is>
          <t>IF(OR(F186="",AQ186=""),"",IF(COUNT(AI186:AP186)=0,"",AQ186-LOOKUP(2,1/(AI186:AP186&lt;&gt;""),AI186:AP186)))</t>
        </is>
      </c>
      <c r="BE186" s="49" t="inlineStr">
        <is>
          <t>IF(OR(F186="",AR186=""),"",IF(COUNT(AI186:AQ186)=0,"",AR186-LOOKUP(2,1/(AI186:AQ186&lt;&gt;""),AI186:AQ186)))</t>
        </is>
      </c>
      <c r="BF186" s="49" t="inlineStr">
        <is>
          <t>IF(OR(F186="",AS186=""),"",IF(COUNT(AI186:AR186)=0,"",AS186-LOOKUP(2,1/(AI186:AR186&lt;&gt;""),AI186:AR186)))</t>
        </is>
      </c>
      <c r="BG186" s="49" t="inlineStr">
        <is>
          <t>IF(OR(F186="",AT186=""),"",IF(COUNT(AI186:AS186)=0,"",AT186-LOOKUP(2,1/(AI186:AS186&lt;&gt;""),AI186:AS186)))</t>
        </is>
      </c>
      <c r="BH186" s="49" t="inlineStr">
        <is>
          <t>IF(OR(F186="",AU186=""),"",IF(COUNT(AI186:AT186)=0,"",AU186-LOOKUP(2,1/(AI186:AT186&lt;&gt;""),AI186:AT186)))</t>
        </is>
      </c>
      <c r="BI186" s="49" t="inlineStr">
        <is>
          <t>IF(OR(F186="",AV186=""),"",IF(COUNT(AI186:AU186)=0,"",AV186-LOOKUP(2,1/(AI186:AU186&lt;&gt;""),AI186:AU186)))</t>
        </is>
      </c>
      <c r="BJ186" s="51" t="inlineStr">
        <is>
          <t>IF(J186="","All_Provinces",IFERROR(VLOOKUP(J186,'09_Lookups'!$A$4:$B$20,2,FALSE),"All_Provinces"))</t>
        </is>
      </c>
      <c r="BK186" s="51" t="inlineStr">
        <is>
          <t>IF(K186="","All_Districts",IFERROR(VLOOKUP(K186,'09_Lookups'!$E$4:$F$42,2,FALSE),"All_Districts"))</t>
        </is>
      </c>
    </row>
    <row r="187" ht="18" customHeight="1">
      <c r="A187" s="42" t="inlineStr">
        <is>
          <t>IF(F187="","",ROW()-3)</t>
        </is>
      </c>
      <c r="B187" s="44" t="n"/>
      <c r="C187" s="44" t="n"/>
      <c r="D187" s="44" t="n"/>
      <c r="E187" s="44" t="n"/>
      <c r="F187" s="44" t="n"/>
      <c r="G187" s="44" t="n"/>
      <c r="H187" s="44" t="n"/>
      <c r="I187" s="44" t="n"/>
      <c r="J187" s="44" t="n"/>
      <c r="K187" s="44" t="n"/>
      <c r="L187" s="44" t="n"/>
      <c r="M187" s="44" t="n"/>
      <c r="N187" s="44" t="n"/>
      <c r="O187" s="44" t="n"/>
      <c r="P187" s="44" t="n"/>
      <c r="Q187" s="44" t="n"/>
      <c r="R187" s="44" t="n"/>
      <c r="S187" s="45" t="n"/>
      <c r="T187" s="46" t="inlineStr">
        <is>
          <t>IF(AQ187="","",AQ187)</t>
        </is>
      </c>
      <c r="U187" s="47" t="n"/>
      <c r="V187" s="48" t="n"/>
      <c r="W187" s="47" t="n"/>
      <c r="X187" s="46" t="inlineStr">
        <is>
          <t>IF(W187&lt;&gt;"",W187,IF(OR(T187="",V187=""),"",EDATE(T187,V187)))</t>
        </is>
      </c>
      <c r="Y187" s="47" t="n"/>
      <c r="Z187" s="48" t="n"/>
      <c r="AA187" s="44" t="n"/>
      <c r="AB187" s="44" t="n"/>
      <c r="AC187" s="42" t="inlineStr">
        <is>
          <t>IF(F187="","",IF(COUNT(AI187:AV187)=0,IF(AA187="","Not started",AA187),SUBSTITUTE(LOOKUP(2,1/(AI187:AV187&lt;&gt;""),$AI$3:$AV$3),"Date: ","")))</t>
        </is>
      </c>
      <c r="AD187" s="49" t="inlineStr">
        <is>
          <t>IF(OR(F187="",COUNT(AI187:AV187)=0),"",TODAY()-LOOKUP(2,1/(AI187:AV187&lt;&gt;""),AI187:AV187))</t>
        </is>
      </c>
      <c r="AE187" s="49" t="inlineStr">
        <is>
          <t>IF(OR(F187="",COUNT(AI187:AV187)&lt;2),"",LOOKUP(2,1/(AI187:AV187&lt;&gt;""),AI187:AV187)-MIN(AI187:AV187))</t>
        </is>
      </c>
      <c r="AF187" s="49" t="inlineStr">
        <is>
          <t>IF(OR(AD187="",AC187="Not started",AC187=""),"",IFERROR(AD187-IF(VLOOKUP(AC187,'06_Status_Pipeline'!$B$3:$E$20,4,FALSE)="",0,VLOOKUP(AC187,'06_Status_Pipeline'!$B$3:$E$20,4,FALSE)),""))</t>
        </is>
      </c>
      <c r="AG187" s="42" t="inlineStr">
        <is>
          <t>IF(F187="","",IF(OR(AA187="Cancelled",AC187="Cancelled"),"Cancelled",IF(OR(AC187="Completed / Handover",Y187&lt;&gt;"",Z187&gt;=100),"Completed — on track",IF(O187="Not awarded",IF(U187="",IF(X187="","No planned date",IF(TODAY()&gt;X187,"Behind — past planned date",IF(X187-TODAY()&lt;=30,"At risk — close to off track","On track"))),IF(TODAY()&gt;U187,"Behind — award date passed",IF(U187-TODAY()&lt;=30,"At risk — close to off track","On track"))),IF(X187="","No planned date",IF(AND(TODAY()&gt;X187,OR(Z187="",Z187&lt;100)),"Behind — past end date",IF(AND(T187&lt;&gt;"",X187&lt;&gt;"",Z187&lt;&gt;"",(Z187&lt;100),((TODAY()-T187)/MAX(X187-T187,1)*100)-Z187&gt;15),"Behind — progress lag",IF(AND(X187-TODAY()&lt;=30,X187-TODAY()&gt;=0,OR(Z187="",Z187&lt;90)),"At risk — close to off track","On track"))))))))</t>
        </is>
      </c>
      <c r="AH187" s="49" t="inlineStr">
        <is>
          <t>IF(OR(F187="",AC187="Completed / Handover",AC187="Cancelled"),"",IF(O187="Not awarded",IF(U187&lt;&gt;"",U187-TODAY(),IF(X187="","",X187-TODAY())),IF(X187="","",X187-TODAY())))</t>
        </is>
      </c>
      <c r="AI187" s="47" t="n"/>
      <c r="AJ187" s="47" t="n"/>
      <c r="AK187" s="47" t="n"/>
      <c r="AL187" s="47" t="n"/>
      <c r="AM187" s="47" t="n"/>
      <c r="AN187" s="47" t="n"/>
      <c r="AO187" s="47" t="n"/>
      <c r="AP187" s="47" t="n"/>
      <c r="AQ187" s="47" t="n"/>
      <c r="AR187" s="47" t="n"/>
      <c r="AS187" s="47" t="n"/>
      <c r="AT187" s="50" t="n"/>
      <c r="AU187" s="50" t="n"/>
      <c r="AV187" s="50" t="n"/>
      <c r="AW187" s="49" t="inlineStr">
        <is>
          <t>IF(OR(F187="",AJ187=""),"",IF(COUNT(AI187:AI187)=0,"",AJ187-LOOKUP(2,1/(AI187:AI187&lt;&gt;""),AI187:AI187)))</t>
        </is>
      </c>
      <c r="AX187" s="49" t="inlineStr">
        <is>
          <t>IF(OR(F187="",AK187=""),"",IF(COUNT(AI187:AJ187)=0,"",AK187-LOOKUP(2,1/(AI187:AJ187&lt;&gt;""),AI187:AJ187)))</t>
        </is>
      </c>
      <c r="AY187" s="49" t="inlineStr">
        <is>
          <t>IF(OR(F187="",AL187=""),"",IF(COUNT(AI187:AK187)=0,"",AL187-LOOKUP(2,1/(AI187:AK187&lt;&gt;""),AI187:AK187)))</t>
        </is>
      </c>
      <c r="AZ187" s="49" t="inlineStr">
        <is>
          <t>IF(OR(F187="",AM187=""),"",IF(COUNT(AI187:AL187)=0,"",AM187-LOOKUP(2,1/(AI187:AL187&lt;&gt;""),AI187:AL187)))</t>
        </is>
      </c>
      <c r="BA187" s="49" t="inlineStr">
        <is>
          <t>IF(OR(F187="",AN187=""),"",IF(COUNT(AI187:AM187)=0,"",AN187-LOOKUP(2,1/(AI187:AM187&lt;&gt;""),AI187:AM187)))</t>
        </is>
      </c>
      <c r="BB187" s="49" t="inlineStr">
        <is>
          <t>IF(OR(F187="",AO187=""),"",IF(COUNT(AI187:AN187)=0,"",AO187-LOOKUP(2,1/(AI187:AN187&lt;&gt;""),AI187:AN187)))</t>
        </is>
      </c>
      <c r="BC187" s="49" t="inlineStr">
        <is>
          <t>IF(OR(F187="",AP187=""),"",IF(COUNT(AI187:AO187)=0,"",AP187-LOOKUP(2,1/(AI187:AO187&lt;&gt;""),AI187:AO187)))</t>
        </is>
      </c>
      <c r="BD187" s="49" t="inlineStr">
        <is>
          <t>IF(OR(F187="",AQ187=""),"",IF(COUNT(AI187:AP187)=0,"",AQ187-LOOKUP(2,1/(AI187:AP187&lt;&gt;""),AI187:AP187)))</t>
        </is>
      </c>
      <c r="BE187" s="49" t="inlineStr">
        <is>
          <t>IF(OR(F187="",AR187=""),"",IF(COUNT(AI187:AQ187)=0,"",AR187-LOOKUP(2,1/(AI187:AQ187&lt;&gt;""),AI187:AQ187)))</t>
        </is>
      </c>
      <c r="BF187" s="49" t="inlineStr">
        <is>
          <t>IF(OR(F187="",AS187=""),"",IF(COUNT(AI187:AR187)=0,"",AS187-LOOKUP(2,1/(AI187:AR187&lt;&gt;""),AI187:AR187)))</t>
        </is>
      </c>
      <c r="BG187" s="49" t="inlineStr">
        <is>
          <t>IF(OR(F187="",AT187=""),"",IF(COUNT(AI187:AS187)=0,"",AT187-LOOKUP(2,1/(AI187:AS187&lt;&gt;""),AI187:AS187)))</t>
        </is>
      </c>
      <c r="BH187" s="49" t="inlineStr">
        <is>
          <t>IF(OR(F187="",AU187=""),"",IF(COUNT(AI187:AT187)=0,"",AU187-LOOKUP(2,1/(AI187:AT187&lt;&gt;""),AI187:AT187)))</t>
        </is>
      </c>
      <c r="BI187" s="49" t="inlineStr">
        <is>
          <t>IF(OR(F187="",AV187=""),"",IF(COUNT(AI187:AU187)=0,"",AV187-LOOKUP(2,1/(AI187:AU187&lt;&gt;""),AI187:AU187)))</t>
        </is>
      </c>
      <c r="BJ187" s="51" t="inlineStr">
        <is>
          <t>IF(J187="","All_Provinces",IFERROR(VLOOKUP(J187,'09_Lookups'!$A$4:$B$20,2,FALSE),"All_Provinces"))</t>
        </is>
      </c>
      <c r="BK187" s="51" t="inlineStr">
        <is>
          <t>IF(K187="","All_Districts",IFERROR(VLOOKUP(K187,'09_Lookups'!$E$4:$F$42,2,FALSE),"All_Districts"))</t>
        </is>
      </c>
    </row>
    <row r="188" ht="18" customHeight="1">
      <c r="A188" s="42" t="inlineStr">
        <is>
          <t>IF(F188="","",ROW()-3)</t>
        </is>
      </c>
      <c r="B188" s="52" t="n"/>
      <c r="C188" s="52" t="n"/>
      <c r="D188" s="52" t="n"/>
      <c r="E188" s="52" t="n"/>
      <c r="F188" s="52" t="n"/>
      <c r="G188" s="52" t="n"/>
      <c r="H188" s="52" t="n"/>
      <c r="I188" s="52" t="n"/>
      <c r="J188" s="52" t="n"/>
      <c r="K188" s="52" t="n"/>
      <c r="L188" s="52" t="n"/>
      <c r="M188" s="52" t="n"/>
      <c r="N188" s="52" t="n"/>
      <c r="O188" s="52" t="n"/>
      <c r="P188" s="52" t="n"/>
      <c r="Q188" s="52" t="n"/>
      <c r="R188" s="52" t="n"/>
      <c r="S188" s="53" t="n"/>
      <c r="T188" s="46" t="inlineStr">
        <is>
          <t>IF(AQ188="","",AQ188)</t>
        </is>
      </c>
      <c r="U188" s="54" t="n"/>
      <c r="V188" s="55" t="n"/>
      <c r="W188" s="54" t="n"/>
      <c r="X188" s="46" t="inlineStr">
        <is>
          <t>IF(W188&lt;&gt;"",W188,IF(OR(T188="",V188=""),"",EDATE(T188,V188)))</t>
        </is>
      </c>
      <c r="Y188" s="54" t="n"/>
      <c r="Z188" s="55" t="n"/>
      <c r="AA188" s="52" t="n"/>
      <c r="AB188" s="52" t="n"/>
      <c r="AC188" s="42" t="inlineStr">
        <is>
          <t>IF(F188="","",IF(COUNT(AI188:AV188)=0,IF(AA188="","Not started",AA188),SUBSTITUTE(LOOKUP(2,1/(AI188:AV188&lt;&gt;""),$AI$3:$AV$3),"Date: ","")))</t>
        </is>
      </c>
      <c r="AD188" s="49" t="inlineStr">
        <is>
          <t>IF(OR(F188="",COUNT(AI188:AV188)=0),"",TODAY()-LOOKUP(2,1/(AI188:AV188&lt;&gt;""),AI188:AV188))</t>
        </is>
      </c>
      <c r="AE188" s="49" t="inlineStr">
        <is>
          <t>IF(OR(F188="",COUNT(AI188:AV188)&lt;2),"",LOOKUP(2,1/(AI188:AV188&lt;&gt;""),AI188:AV188)-MIN(AI188:AV188))</t>
        </is>
      </c>
      <c r="AF188" s="49" t="inlineStr">
        <is>
          <t>IF(OR(AD188="",AC188="Not started",AC188=""),"",IFERROR(AD188-IF(VLOOKUP(AC188,'06_Status_Pipeline'!$B$3:$E$20,4,FALSE)="",0,VLOOKUP(AC188,'06_Status_Pipeline'!$B$3:$E$20,4,FALSE)),""))</t>
        </is>
      </c>
      <c r="AG188" s="42" t="inlineStr">
        <is>
          <t>IF(F188="","",IF(OR(AA188="Cancelled",AC188="Cancelled"),"Cancelled",IF(OR(AC188="Completed / Handover",Y188&lt;&gt;"",Z188&gt;=100),"Completed — on track",IF(O188="Not awarded",IF(U188="",IF(X188="","No planned date",IF(TODAY()&gt;X188,"Behind — past planned date",IF(X188-TODAY()&lt;=30,"At risk — close to off track","On track"))),IF(TODAY()&gt;U188,"Behind — award date passed",IF(U188-TODAY()&lt;=30,"At risk — close to off track","On track"))),IF(X188="","No planned date",IF(AND(TODAY()&gt;X188,OR(Z188="",Z188&lt;100)),"Behind — past end date",IF(AND(T188&lt;&gt;"",X188&lt;&gt;"",Z188&lt;&gt;"",(Z188&lt;100),((TODAY()-T188)/MAX(X188-T188,1)*100)-Z188&gt;15),"Behind — progress lag",IF(AND(X188-TODAY()&lt;=30,X188-TODAY()&gt;=0,OR(Z188="",Z188&lt;90)),"At risk — close to off track","On track"))))))))</t>
        </is>
      </c>
      <c r="AH188" s="49" t="inlineStr">
        <is>
          <t>IF(OR(F188="",AC188="Completed / Handover",AC188="Cancelled"),"",IF(O188="Not awarded",IF(U188&lt;&gt;"",U188-TODAY(),IF(X188="","",X188-TODAY())),IF(X188="","",X188-TODAY())))</t>
        </is>
      </c>
      <c r="AI188" s="54" t="n"/>
      <c r="AJ188" s="54" t="n"/>
      <c r="AK188" s="54" t="n"/>
      <c r="AL188" s="54" t="n"/>
      <c r="AM188" s="54" t="n"/>
      <c r="AN188" s="54" t="n"/>
      <c r="AO188" s="54" t="n"/>
      <c r="AP188" s="54" t="n"/>
      <c r="AQ188" s="54" t="n"/>
      <c r="AR188" s="54" t="n"/>
      <c r="AS188" s="54" t="n"/>
      <c r="AT188" s="50" t="n"/>
      <c r="AU188" s="50" t="n"/>
      <c r="AV188" s="50" t="n"/>
      <c r="AW188" s="49" t="inlineStr">
        <is>
          <t>IF(OR(F188="",AJ188=""),"",IF(COUNT(AI188:AI188)=0,"",AJ188-LOOKUP(2,1/(AI188:AI188&lt;&gt;""),AI188:AI188)))</t>
        </is>
      </c>
      <c r="AX188" s="49" t="inlineStr">
        <is>
          <t>IF(OR(F188="",AK188=""),"",IF(COUNT(AI188:AJ188)=0,"",AK188-LOOKUP(2,1/(AI188:AJ188&lt;&gt;""),AI188:AJ188)))</t>
        </is>
      </c>
      <c r="AY188" s="49" t="inlineStr">
        <is>
          <t>IF(OR(F188="",AL188=""),"",IF(COUNT(AI188:AK188)=0,"",AL188-LOOKUP(2,1/(AI188:AK188&lt;&gt;""),AI188:AK188)))</t>
        </is>
      </c>
      <c r="AZ188" s="49" t="inlineStr">
        <is>
          <t>IF(OR(F188="",AM188=""),"",IF(COUNT(AI188:AL188)=0,"",AM188-LOOKUP(2,1/(AI188:AL188&lt;&gt;""),AI188:AL188)))</t>
        </is>
      </c>
      <c r="BA188" s="49" t="inlineStr">
        <is>
          <t>IF(OR(F188="",AN188=""),"",IF(COUNT(AI188:AM188)=0,"",AN188-LOOKUP(2,1/(AI188:AM188&lt;&gt;""),AI188:AM188)))</t>
        </is>
      </c>
      <c r="BB188" s="49" t="inlineStr">
        <is>
          <t>IF(OR(F188="",AO188=""),"",IF(COUNT(AI188:AN188)=0,"",AO188-LOOKUP(2,1/(AI188:AN188&lt;&gt;""),AI188:AN188)))</t>
        </is>
      </c>
      <c r="BC188" s="49" t="inlineStr">
        <is>
          <t>IF(OR(F188="",AP188=""),"",IF(COUNT(AI188:AO188)=0,"",AP188-LOOKUP(2,1/(AI188:AO188&lt;&gt;""),AI188:AO188)))</t>
        </is>
      </c>
      <c r="BD188" s="49" t="inlineStr">
        <is>
          <t>IF(OR(F188="",AQ188=""),"",IF(COUNT(AI188:AP188)=0,"",AQ188-LOOKUP(2,1/(AI188:AP188&lt;&gt;""),AI188:AP188)))</t>
        </is>
      </c>
      <c r="BE188" s="49" t="inlineStr">
        <is>
          <t>IF(OR(F188="",AR188=""),"",IF(COUNT(AI188:AQ188)=0,"",AR188-LOOKUP(2,1/(AI188:AQ188&lt;&gt;""),AI188:AQ188)))</t>
        </is>
      </c>
      <c r="BF188" s="49" t="inlineStr">
        <is>
          <t>IF(OR(F188="",AS188=""),"",IF(COUNT(AI188:AR188)=0,"",AS188-LOOKUP(2,1/(AI188:AR188&lt;&gt;""),AI188:AR188)))</t>
        </is>
      </c>
      <c r="BG188" s="49" t="inlineStr">
        <is>
          <t>IF(OR(F188="",AT188=""),"",IF(COUNT(AI188:AS188)=0,"",AT188-LOOKUP(2,1/(AI188:AS188&lt;&gt;""),AI188:AS188)))</t>
        </is>
      </c>
      <c r="BH188" s="49" t="inlineStr">
        <is>
          <t>IF(OR(F188="",AU188=""),"",IF(COUNT(AI188:AT188)=0,"",AU188-LOOKUP(2,1/(AI188:AT188&lt;&gt;""),AI188:AT188)))</t>
        </is>
      </c>
      <c r="BI188" s="49" t="inlineStr">
        <is>
          <t>IF(OR(F188="",AV188=""),"",IF(COUNT(AI188:AU188)=0,"",AV188-LOOKUP(2,1/(AI188:AU188&lt;&gt;""),AI188:AU188)))</t>
        </is>
      </c>
      <c r="BJ188" s="51" t="inlineStr">
        <is>
          <t>IF(J188="","All_Provinces",IFERROR(VLOOKUP(J188,'09_Lookups'!$A$4:$B$20,2,FALSE),"All_Provinces"))</t>
        </is>
      </c>
      <c r="BK188" s="51" t="inlineStr">
        <is>
          <t>IF(K188="","All_Districts",IFERROR(VLOOKUP(K188,'09_Lookups'!$E$4:$F$42,2,FALSE),"All_Districts"))</t>
        </is>
      </c>
    </row>
    <row r="189" ht="18" customHeight="1">
      <c r="A189" s="42" t="inlineStr">
        <is>
          <t>IF(F189="","",ROW()-3)</t>
        </is>
      </c>
      <c r="B189" s="44" t="n"/>
      <c r="C189" s="44" t="n"/>
      <c r="D189" s="44" t="n"/>
      <c r="E189" s="44" t="n"/>
      <c r="F189" s="44" t="n"/>
      <c r="G189" s="44" t="n"/>
      <c r="H189" s="44" t="n"/>
      <c r="I189" s="44" t="n"/>
      <c r="J189" s="44" t="n"/>
      <c r="K189" s="44" t="n"/>
      <c r="L189" s="44" t="n"/>
      <c r="M189" s="44" t="n"/>
      <c r="N189" s="44" t="n"/>
      <c r="O189" s="44" t="n"/>
      <c r="P189" s="44" t="n"/>
      <c r="Q189" s="44" t="n"/>
      <c r="R189" s="44" t="n"/>
      <c r="S189" s="45" t="n"/>
      <c r="T189" s="46" t="inlineStr">
        <is>
          <t>IF(AQ189="","",AQ189)</t>
        </is>
      </c>
      <c r="U189" s="47" t="n"/>
      <c r="V189" s="48" t="n"/>
      <c r="W189" s="47" t="n"/>
      <c r="X189" s="46" t="inlineStr">
        <is>
          <t>IF(W189&lt;&gt;"",W189,IF(OR(T189="",V189=""),"",EDATE(T189,V189)))</t>
        </is>
      </c>
      <c r="Y189" s="47" t="n"/>
      <c r="Z189" s="48" t="n"/>
      <c r="AA189" s="44" t="n"/>
      <c r="AB189" s="44" t="n"/>
      <c r="AC189" s="42" t="inlineStr">
        <is>
          <t>IF(F189="","",IF(COUNT(AI189:AV189)=0,IF(AA189="","Not started",AA189),SUBSTITUTE(LOOKUP(2,1/(AI189:AV189&lt;&gt;""),$AI$3:$AV$3),"Date: ","")))</t>
        </is>
      </c>
      <c r="AD189" s="49" t="inlineStr">
        <is>
          <t>IF(OR(F189="",COUNT(AI189:AV189)=0),"",TODAY()-LOOKUP(2,1/(AI189:AV189&lt;&gt;""),AI189:AV189))</t>
        </is>
      </c>
      <c r="AE189" s="49" t="inlineStr">
        <is>
          <t>IF(OR(F189="",COUNT(AI189:AV189)&lt;2),"",LOOKUP(2,1/(AI189:AV189&lt;&gt;""),AI189:AV189)-MIN(AI189:AV189))</t>
        </is>
      </c>
      <c r="AF189" s="49" t="inlineStr">
        <is>
          <t>IF(OR(AD189="",AC189="Not started",AC189=""),"",IFERROR(AD189-IF(VLOOKUP(AC189,'06_Status_Pipeline'!$B$3:$E$20,4,FALSE)="",0,VLOOKUP(AC189,'06_Status_Pipeline'!$B$3:$E$20,4,FALSE)),""))</t>
        </is>
      </c>
      <c r="AG189" s="42" t="inlineStr">
        <is>
          <t>IF(F189="","",IF(OR(AA189="Cancelled",AC189="Cancelled"),"Cancelled",IF(OR(AC189="Completed / Handover",Y189&lt;&gt;"",Z189&gt;=100),"Completed — on track",IF(O189="Not awarded",IF(U189="",IF(X189="","No planned date",IF(TODAY()&gt;X189,"Behind — past planned date",IF(X189-TODAY()&lt;=30,"At risk — close to off track","On track"))),IF(TODAY()&gt;U189,"Behind — award date passed",IF(U189-TODAY()&lt;=30,"At risk — close to off track","On track"))),IF(X189="","No planned date",IF(AND(TODAY()&gt;X189,OR(Z189="",Z189&lt;100)),"Behind — past end date",IF(AND(T189&lt;&gt;"",X189&lt;&gt;"",Z189&lt;&gt;"",(Z189&lt;100),((TODAY()-T189)/MAX(X189-T189,1)*100)-Z189&gt;15),"Behind — progress lag",IF(AND(X189-TODAY()&lt;=30,X189-TODAY()&gt;=0,OR(Z189="",Z189&lt;90)),"At risk — close to off track","On track"))))))))</t>
        </is>
      </c>
      <c r="AH189" s="49" t="inlineStr">
        <is>
          <t>IF(OR(F189="",AC189="Completed / Handover",AC189="Cancelled"),"",IF(O189="Not awarded",IF(U189&lt;&gt;"",U189-TODAY(),IF(X189="","",X189-TODAY())),IF(X189="","",X189-TODAY())))</t>
        </is>
      </c>
      <c r="AI189" s="47" t="n"/>
      <c r="AJ189" s="47" t="n"/>
      <c r="AK189" s="47" t="n"/>
      <c r="AL189" s="47" t="n"/>
      <c r="AM189" s="47" t="n"/>
      <c r="AN189" s="47" t="n"/>
      <c r="AO189" s="47" t="n"/>
      <c r="AP189" s="47" t="n"/>
      <c r="AQ189" s="47" t="n"/>
      <c r="AR189" s="47" t="n"/>
      <c r="AS189" s="47" t="n"/>
      <c r="AT189" s="50" t="n"/>
      <c r="AU189" s="50" t="n"/>
      <c r="AV189" s="50" t="n"/>
      <c r="AW189" s="49" t="inlineStr">
        <is>
          <t>IF(OR(F189="",AJ189=""),"",IF(COUNT(AI189:AI189)=0,"",AJ189-LOOKUP(2,1/(AI189:AI189&lt;&gt;""),AI189:AI189)))</t>
        </is>
      </c>
      <c r="AX189" s="49" t="inlineStr">
        <is>
          <t>IF(OR(F189="",AK189=""),"",IF(COUNT(AI189:AJ189)=0,"",AK189-LOOKUP(2,1/(AI189:AJ189&lt;&gt;""),AI189:AJ189)))</t>
        </is>
      </c>
      <c r="AY189" s="49" t="inlineStr">
        <is>
          <t>IF(OR(F189="",AL189=""),"",IF(COUNT(AI189:AK189)=0,"",AL189-LOOKUP(2,1/(AI189:AK189&lt;&gt;""),AI189:AK189)))</t>
        </is>
      </c>
      <c r="AZ189" s="49" t="inlineStr">
        <is>
          <t>IF(OR(F189="",AM189=""),"",IF(COUNT(AI189:AL189)=0,"",AM189-LOOKUP(2,1/(AI189:AL189&lt;&gt;""),AI189:AL189)))</t>
        </is>
      </c>
      <c r="BA189" s="49" t="inlineStr">
        <is>
          <t>IF(OR(F189="",AN189=""),"",IF(COUNT(AI189:AM189)=0,"",AN189-LOOKUP(2,1/(AI189:AM189&lt;&gt;""),AI189:AM189)))</t>
        </is>
      </c>
      <c r="BB189" s="49" t="inlineStr">
        <is>
          <t>IF(OR(F189="",AO189=""),"",IF(COUNT(AI189:AN189)=0,"",AO189-LOOKUP(2,1/(AI189:AN189&lt;&gt;""),AI189:AN189)))</t>
        </is>
      </c>
      <c r="BC189" s="49" t="inlineStr">
        <is>
          <t>IF(OR(F189="",AP189=""),"",IF(COUNT(AI189:AO189)=0,"",AP189-LOOKUP(2,1/(AI189:AO189&lt;&gt;""),AI189:AO189)))</t>
        </is>
      </c>
      <c r="BD189" s="49" t="inlineStr">
        <is>
          <t>IF(OR(F189="",AQ189=""),"",IF(COUNT(AI189:AP189)=0,"",AQ189-LOOKUP(2,1/(AI189:AP189&lt;&gt;""),AI189:AP189)))</t>
        </is>
      </c>
      <c r="BE189" s="49" t="inlineStr">
        <is>
          <t>IF(OR(F189="",AR189=""),"",IF(COUNT(AI189:AQ189)=0,"",AR189-LOOKUP(2,1/(AI189:AQ189&lt;&gt;""),AI189:AQ189)))</t>
        </is>
      </c>
      <c r="BF189" s="49" t="inlineStr">
        <is>
          <t>IF(OR(F189="",AS189=""),"",IF(COUNT(AI189:AR189)=0,"",AS189-LOOKUP(2,1/(AI189:AR189&lt;&gt;""),AI189:AR189)))</t>
        </is>
      </c>
      <c r="BG189" s="49" t="inlineStr">
        <is>
          <t>IF(OR(F189="",AT189=""),"",IF(COUNT(AI189:AS189)=0,"",AT189-LOOKUP(2,1/(AI189:AS189&lt;&gt;""),AI189:AS189)))</t>
        </is>
      </c>
      <c r="BH189" s="49" t="inlineStr">
        <is>
          <t>IF(OR(F189="",AU189=""),"",IF(COUNT(AI189:AT189)=0,"",AU189-LOOKUP(2,1/(AI189:AT189&lt;&gt;""),AI189:AT189)))</t>
        </is>
      </c>
      <c r="BI189" s="49" t="inlineStr">
        <is>
          <t>IF(OR(F189="",AV189=""),"",IF(COUNT(AI189:AU189)=0,"",AV189-LOOKUP(2,1/(AI189:AU189&lt;&gt;""),AI189:AU189)))</t>
        </is>
      </c>
      <c r="BJ189" s="51" t="inlineStr">
        <is>
          <t>IF(J189="","All_Provinces",IFERROR(VLOOKUP(J189,'09_Lookups'!$A$4:$B$20,2,FALSE),"All_Provinces"))</t>
        </is>
      </c>
      <c r="BK189" s="51" t="inlineStr">
        <is>
          <t>IF(K189="","All_Districts",IFERROR(VLOOKUP(K189,'09_Lookups'!$E$4:$F$42,2,FALSE),"All_Districts"))</t>
        </is>
      </c>
    </row>
    <row r="190" ht="18" customHeight="1">
      <c r="A190" s="42" t="inlineStr">
        <is>
          <t>IF(F190="","",ROW()-3)</t>
        </is>
      </c>
      <c r="B190" s="52" t="n"/>
      <c r="C190" s="52" t="n"/>
      <c r="D190" s="52" t="n"/>
      <c r="E190" s="52" t="n"/>
      <c r="F190" s="52" t="n"/>
      <c r="G190" s="52" t="n"/>
      <c r="H190" s="52" t="n"/>
      <c r="I190" s="52" t="n"/>
      <c r="J190" s="52" t="n"/>
      <c r="K190" s="52" t="n"/>
      <c r="L190" s="52" t="n"/>
      <c r="M190" s="52" t="n"/>
      <c r="N190" s="52" t="n"/>
      <c r="O190" s="52" t="n"/>
      <c r="P190" s="52" t="n"/>
      <c r="Q190" s="52" t="n"/>
      <c r="R190" s="52" t="n"/>
      <c r="S190" s="53" t="n"/>
      <c r="T190" s="46" t="inlineStr">
        <is>
          <t>IF(AQ190="","",AQ190)</t>
        </is>
      </c>
      <c r="U190" s="54" t="n"/>
      <c r="V190" s="55" t="n"/>
      <c r="W190" s="54" t="n"/>
      <c r="X190" s="46" t="inlineStr">
        <is>
          <t>IF(W190&lt;&gt;"",W190,IF(OR(T190="",V190=""),"",EDATE(T190,V190)))</t>
        </is>
      </c>
      <c r="Y190" s="54" t="n"/>
      <c r="Z190" s="55" t="n"/>
      <c r="AA190" s="52" t="n"/>
      <c r="AB190" s="52" t="n"/>
      <c r="AC190" s="42" t="inlineStr">
        <is>
          <t>IF(F190="","",IF(COUNT(AI190:AV190)=0,IF(AA190="","Not started",AA190),SUBSTITUTE(LOOKUP(2,1/(AI190:AV190&lt;&gt;""),$AI$3:$AV$3),"Date: ","")))</t>
        </is>
      </c>
      <c r="AD190" s="49" t="inlineStr">
        <is>
          <t>IF(OR(F190="",COUNT(AI190:AV190)=0),"",TODAY()-LOOKUP(2,1/(AI190:AV190&lt;&gt;""),AI190:AV190))</t>
        </is>
      </c>
      <c r="AE190" s="49" t="inlineStr">
        <is>
          <t>IF(OR(F190="",COUNT(AI190:AV190)&lt;2),"",LOOKUP(2,1/(AI190:AV190&lt;&gt;""),AI190:AV190)-MIN(AI190:AV190))</t>
        </is>
      </c>
      <c r="AF190" s="49" t="inlineStr">
        <is>
          <t>IF(OR(AD190="",AC190="Not started",AC190=""),"",IFERROR(AD190-IF(VLOOKUP(AC190,'06_Status_Pipeline'!$B$3:$E$20,4,FALSE)="",0,VLOOKUP(AC190,'06_Status_Pipeline'!$B$3:$E$20,4,FALSE)),""))</t>
        </is>
      </c>
      <c r="AG190" s="42" t="inlineStr">
        <is>
          <t>IF(F190="","",IF(OR(AA190="Cancelled",AC190="Cancelled"),"Cancelled",IF(OR(AC190="Completed / Handover",Y190&lt;&gt;"",Z190&gt;=100),"Completed — on track",IF(O190="Not awarded",IF(U190="",IF(X190="","No planned date",IF(TODAY()&gt;X190,"Behind — past planned date",IF(X190-TODAY()&lt;=30,"At risk — close to off track","On track"))),IF(TODAY()&gt;U190,"Behind — award date passed",IF(U190-TODAY()&lt;=30,"At risk — close to off track","On track"))),IF(X190="","No planned date",IF(AND(TODAY()&gt;X190,OR(Z190="",Z190&lt;100)),"Behind — past end date",IF(AND(T190&lt;&gt;"",X190&lt;&gt;"",Z190&lt;&gt;"",(Z190&lt;100),((TODAY()-T190)/MAX(X190-T190,1)*100)-Z190&gt;15),"Behind — progress lag",IF(AND(X190-TODAY()&lt;=30,X190-TODAY()&gt;=0,OR(Z190="",Z190&lt;90)),"At risk — close to off track","On track"))))))))</t>
        </is>
      </c>
      <c r="AH190" s="49" t="inlineStr">
        <is>
          <t>IF(OR(F190="",AC190="Completed / Handover",AC190="Cancelled"),"",IF(O190="Not awarded",IF(U190&lt;&gt;"",U190-TODAY(),IF(X190="","",X190-TODAY())),IF(X190="","",X190-TODAY())))</t>
        </is>
      </c>
      <c r="AI190" s="54" t="n"/>
      <c r="AJ190" s="54" t="n"/>
      <c r="AK190" s="54" t="n"/>
      <c r="AL190" s="54" t="n"/>
      <c r="AM190" s="54" t="n"/>
      <c r="AN190" s="54" t="n"/>
      <c r="AO190" s="54" t="n"/>
      <c r="AP190" s="54" t="n"/>
      <c r="AQ190" s="54" t="n"/>
      <c r="AR190" s="54" t="n"/>
      <c r="AS190" s="54" t="n"/>
      <c r="AT190" s="50" t="n"/>
      <c r="AU190" s="50" t="n"/>
      <c r="AV190" s="50" t="n"/>
      <c r="AW190" s="49" t="inlineStr">
        <is>
          <t>IF(OR(F190="",AJ190=""),"",IF(COUNT(AI190:AI190)=0,"",AJ190-LOOKUP(2,1/(AI190:AI190&lt;&gt;""),AI190:AI190)))</t>
        </is>
      </c>
      <c r="AX190" s="49" t="inlineStr">
        <is>
          <t>IF(OR(F190="",AK190=""),"",IF(COUNT(AI190:AJ190)=0,"",AK190-LOOKUP(2,1/(AI190:AJ190&lt;&gt;""),AI190:AJ190)))</t>
        </is>
      </c>
      <c r="AY190" s="49" t="inlineStr">
        <is>
          <t>IF(OR(F190="",AL190=""),"",IF(COUNT(AI190:AK190)=0,"",AL190-LOOKUP(2,1/(AI190:AK190&lt;&gt;""),AI190:AK190)))</t>
        </is>
      </c>
      <c r="AZ190" s="49" t="inlineStr">
        <is>
          <t>IF(OR(F190="",AM190=""),"",IF(COUNT(AI190:AL190)=0,"",AM190-LOOKUP(2,1/(AI190:AL190&lt;&gt;""),AI190:AL190)))</t>
        </is>
      </c>
      <c r="BA190" s="49" t="inlineStr">
        <is>
          <t>IF(OR(F190="",AN190=""),"",IF(COUNT(AI190:AM190)=0,"",AN190-LOOKUP(2,1/(AI190:AM190&lt;&gt;""),AI190:AM190)))</t>
        </is>
      </c>
      <c r="BB190" s="49" t="inlineStr">
        <is>
          <t>IF(OR(F190="",AO190=""),"",IF(COUNT(AI190:AN190)=0,"",AO190-LOOKUP(2,1/(AI190:AN190&lt;&gt;""),AI190:AN190)))</t>
        </is>
      </c>
      <c r="BC190" s="49" t="inlineStr">
        <is>
          <t>IF(OR(F190="",AP190=""),"",IF(COUNT(AI190:AO190)=0,"",AP190-LOOKUP(2,1/(AI190:AO190&lt;&gt;""),AI190:AO190)))</t>
        </is>
      </c>
      <c r="BD190" s="49" t="inlineStr">
        <is>
          <t>IF(OR(F190="",AQ190=""),"",IF(COUNT(AI190:AP190)=0,"",AQ190-LOOKUP(2,1/(AI190:AP190&lt;&gt;""),AI190:AP190)))</t>
        </is>
      </c>
      <c r="BE190" s="49" t="inlineStr">
        <is>
          <t>IF(OR(F190="",AR190=""),"",IF(COUNT(AI190:AQ190)=0,"",AR190-LOOKUP(2,1/(AI190:AQ190&lt;&gt;""),AI190:AQ190)))</t>
        </is>
      </c>
      <c r="BF190" s="49" t="inlineStr">
        <is>
          <t>IF(OR(F190="",AS190=""),"",IF(COUNT(AI190:AR190)=0,"",AS190-LOOKUP(2,1/(AI190:AR190&lt;&gt;""),AI190:AR190)))</t>
        </is>
      </c>
      <c r="BG190" s="49" t="inlineStr">
        <is>
          <t>IF(OR(F190="",AT190=""),"",IF(COUNT(AI190:AS190)=0,"",AT190-LOOKUP(2,1/(AI190:AS190&lt;&gt;""),AI190:AS190)))</t>
        </is>
      </c>
      <c r="BH190" s="49" t="inlineStr">
        <is>
          <t>IF(OR(F190="",AU190=""),"",IF(COUNT(AI190:AT190)=0,"",AU190-LOOKUP(2,1/(AI190:AT190&lt;&gt;""),AI190:AT190)))</t>
        </is>
      </c>
      <c r="BI190" s="49" t="inlineStr">
        <is>
          <t>IF(OR(F190="",AV190=""),"",IF(COUNT(AI190:AU190)=0,"",AV190-LOOKUP(2,1/(AI190:AU190&lt;&gt;""),AI190:AU190)))</t>
        </is>
      </c>
      <c r="BJ190" s="51" t="inlineStr">
        <is>
          <t>IF(J190="","All_Provinces",IFERROR(VLOOKUP(J190,'09_Lookups'!$A$4:$B$20,2,FALSE),"All_Provinces"))</t>
        </is>
      </c>
      <c r="BK190" s="51" t="inlineStr">
        <is>
          <t>IF(K190="","All_Districts",IFERROR(VLOOKUP(K190,'09_Lookups'!$E$4:$F$42,2,FALSE),"All_Districts"))</t>
        </is>
      </c>
    </row>
    <row r="191" ht="18" customHeight="1">
      <c r="A191" s="42" t="inlineStr">
        <is>
          <t>IF(F191="","",ROW()-3)</t>
        </is>
      </c>
      <c r="B191" s="44" t="n"/>
      <c r="C191" s="44" t="n"/>
      <c r="D191" s="44" t="n"/>
      <c r="E191" s="44" t="n"/>
      <c r="F191" s="44" t="n"/>
      <c r="G191" s="44" t="n"/>
      <c r="H191" s="44" t="n"/>
      <c r="I191" s="44" t="n"/>
      <c r="J191" s="44" t="n"/>
      <c r="K191" s="44" t="n"/>
      <c r="L191" s="44" t="n"/>
      <c r="M191" s="44" t="n"/>
      <c r="N191" s="44" t="n"/>
      <c r="O191" s="44" t="n"/>
      <c r="P191" s="44" t="n"/>
      <c r="Q191" s="44" t="n"/>
      <c r="R191" s="44" t="n"/>
      <c r="S191" s="45" t="n"/>
      <c r="T191" s="46" t="inlineStr">
        <is>
          <t>IF(AQ191="","",AQ191)</t>
        </is>
      </c>
      <c r="U191" s="47" t="n"/>
      <c r="V191" s="48" t="n"/>
      <c r="W191" s="47" t="n"/>
      <c r="X191" s="46" t="inlineStr">
        <is>
          <t>IF(W191&lt;&gt;"",W191,IF(OR(T191="",V191=""),"",EDATE(T191,V191)))</t>
        </is>
      </c>
      <c r="Y191" s="47" t="n"/>
      <c r="Z191" s="48" t="n"/>
      <c r="AA191" s="44" t="n"/>
      <c r="AB191" s="44" t="n"/>
      <c r="AC191" s="42" t="inlineStr">
        <is>
          <t>IF(F191="","",IF(COUNT(AI191:AV191)=0,IF(AA191="","Not started",AA191),SUBSTITUTE(LOOKUP(2,1/(AI191:AV191&lt;&gt;""),$AI$3:$AV$3),"Date: ","")))</t>
        </is>
      </c>
      <c r="AD191" s="49" t="inlineStr">
        <is>
          <t>IF(OR(F191="",COUNT(AI191:AV191)=0),"",TODAY()-LOOKUP(2,1/(AI191:AV191&lt;&gt;""),AI191:AV191))</t>
        </is>
      </c>
      <c r="AE191" s="49" t="inlineStr">
        <is>
          <t>IF(OR(F191="",COUNT(AI191:AV191)&lt;2),"",LOOKUP(2,1/(AI191:AV191&lt;&gt;""),AI191:AV191)-MIN(AI191:AV191))</t>
        </is>
      </c>
      <c r="AF191" s="49" t="inlineStr">
        <is>
          <t>IF(OR(AD191="",AC191="Not started",AC191=""),"",IFERROR(AD191-IF(VLOOKUP(AC191,'06_Status_Pipeline'!$B$3:$E$20,4,FALSE)="",0,VLOOKUP(AC191,'06_Status_Pipeline'!$B$3:$E$20,4,FALSE)),""))</t>
        </is>
      </c>
      <c r="AG191" s="42" t="inlineStr">
        <is>
          <t>IF(F191="","",IF(OR(AA191="Cancelled",AC191="Cancelled"),"Cancelled",IF(OR(AC191="Completed / Handover",Y191&lt;&gt;"",Z191&gt;=100),"Completed — on track",IF(O191="Not awarded",IF(U191="",IF(X191="","No planned date",IF(TODAY()&gt;X191,"Behind — past planned date",IF(X191-TODAY()&lt;=30,"At risk — close to off track","On track"))),IF(TODAY()&gt;U191,"Behind — award date passed",IF(U191-TODAY()&lt;=30,"At risk — close to off track","On track"))),IF(X191="","No planned date",IF(AND(TODAY()&gt;X191,OR(Z191="",Z191&lt;100)),"Behind — past end date",IF(AND(T191&lt;&gt;"",X191&lt;&gt;"",Z191&lt;&gt;"",(Z191&lt;100),((TODAY()-T191)/MAX(X191-T191,1)*100)-Z191&gt;15),"Behind — progress lag",IF(AND(X191-TODAY()&lt;=30,X191-TODAY()&gt;=0,OR(Z191="",Z191&lt;90)),"At risk — close to off track","On track"))))))))</t>
        </is>
      </c>
      <c r="AH191" s="49" t="inlineStr">
        <is>
          <t>IF(OR(F191="",AC191="Completed / Handover",AC191="Cancelled"),"",IF(O191="Not awarded",IF(U191&lt;&gt;"",U191-TODAY(),IF(X191="","",X191-TODAY())),IF(X191="","",X191-TODAY())))</t>
        </is>
      </c>
      <c r="AI191" s="47" t="n"/>
      <c r="AJ191" s="47" t="n"/>
      <c r="AK191" s="47" t="n"/>
      <c r="AL191" s="47" t="n"/>
      <c r="AM191" s="47" t="n"/>
      <c r="AN191" s="47" t="n"/>
      <c r="AO191" s="47" t="n"/>
      <c r="AP191" s="47" t="n"/>
      <c r="AQ191" s="47" t="n"/>
      <c r="AR191" s="47" t="n"/>
      <c r="AS191" s="47" t="n"/>
      <c r="AT191" s="50" t="n"/>
      <c r="AU191" s="50" t="n"/>
      <c r="AV191" s="50" t="n"/>
      <c r="AW191" s="49" t="inlineStr">
        <is>
          <t>IF(OR(F191="",AJ191=""),"",IF(COUNT(AI191:AI191)=0,"",AJ191-LOOKUP(2,1/(AI191:AI191&lt;&gt;""),AI191:AI191)))</t>
        </is>
      </c>
      <c r="AX191" s="49" t="inlineStr">
        <is>
          <t>IF(OR(F191="",AK191=""),"",IF(COUNT(AI191:AJ191)=0,"",AK191-LOOKUP(2,1/(AI191:AJ191&lt;&gt;""),AI191:AJ191)))</t>
        </is>
      </c>
      <c r="AY191" s="49" t="inlineStr">
        <is>
          <t>IF(OR(F191="",AL191=""),"",IF(COUNT(AI191:AK191)=0,"",AL191-LOOKUP(2,1/(AI191:AK191&lt;&gt;""),AI191:AK191)))</t>
        </is>
      </c>
      <c r="AZ191" s="49" t="inlineStr">
        <is>
          <t>IF(OR(F191="",AM191=""),"",IF(COUNT(AI191:AL191)=0,"",AM191-LOOKUP(2,1/(AI191:AL191&lt;&gt;""),AI191:AL191)))</t>
        </is>
      </c>
      <c r="BA191" s="49" t="inlineStr">
        <is>
          <t>IF(OR(F191="",AN191=""),"",IF(COUNT(AI191:AM191)=0,"",AN191-LOOKUP(2,1/(AI191:AM191&lt;&gt;""),AI191:AM191)))</t>
        </is>
      </c>
      <c r="BB191" s="49" t="inlineStr">
        <is>
          <t>IF(OR(F191="",AO191=""),"",IF(COUNT(AI191:AN191)=0,"",AO191-LOOKUP(2,1/(AI191:AN191&lt;&gt;""),AI191:AN191)))</t>
        </is>
      </c>
      <c r="BC191" s="49" t="inlineStr">
        <is>
          <t>IF(OR(F191="",AP191=""),"",IF(COUNT(AI191:AO191)=0,"",AP191-LOOKUP(2,1/(AI191:AO191&lt;&gt;""),AI191:AO191)))</t>
        </is>
      </c>
      <c r="BD191" s="49" t="inlineStr">
        <is>
          <t>IF(OR(F191="",AQ191=""),"",IF(COUNT(AI191:AP191)=0,"",AQ191-LOOKUP(2,1/(AI191:AP191&lt;&gt;""),AI191:AP191)))</t>
        </is>
      </c>
      <c r="BE191" s="49" t="inlineStr">
        <is>
          <t>IF(OR(F191="",AR191=""),"",IF(COUNT(AI191:AQ191)=0,"",AR191-LOOKUP(2,1/(AI191:AQ191&lt;&gt;""),AI191:AQ191)))</t>
        </is>
      </c>
      <c r="BF191" s="49" t="inlineStr">
        <is>
          <t>IF(OR(F191="",AS191=""),"",IF(COUNT(AI191:AR191)=0,"",AS191-LOOKUP(2,1/(AI191:AR191&lt;&gt;""),AI191:AR191)))</t>
        </is>
      </c>
      <c r="BG191" s="49" t="inlineStr">
        <is>
          <t>IF(OR(F191="",AT191=""),"",IF(COUNT(AI191:AS191)=0,"",AT191-LOOKUP(2,1/(AI191:AS191&lt;&gt;""),AI191:AS191)))</t>
        </is>
      </c>
      <c r="BH191" s="49" t="inlineStr">
        <is>
          <t>IF(OR(F191="",AU191=""),"",IF(COUNT(AI191:AT191)=0,"",AU191-LOOKUP(2,1/(AI191:AT191&lt;&gt;""),AI191:AT191)))</t>
        </is>
      </c>
      <c r="BI191" s="49" t="inlineStr">
        <is>
          <t>IF(OR(F191="",AV191=""),"",IF(COUNT(AI191:AU191)=0,"",AV191-LOOKUP(2,1/(AI191:AU191&lt;&gt;""),AI191:AU191)))</t>
        </is>
      </c>
      <c r="BJ191" s="51" t="inlineStr">
        <is>
          <t>IF(J191="","All_Provinces",IFERROR(VLOOKUP(J191,'09_Lookups'!$A$4:$B$20,2,FALSE),"All_Provinces"))</t>
        </is>
      </c>
      <c r="BK191" s="51" t="inlineStr">
        <is>
          <t>IF(K191="","All_Districts",IFERROR(VLOOKUP(K191,'09_Lookups'!$E$4:$F$42,2,FALSE),"All_Districts"))</t>
        </is>
      </c>
    </row>
    <row r="192" ht="18" customHeight="1">
      <c r="A192" s="42" t="inlineStr">
        <is>
          <t>IF(F192="","",ROW()-3)</t>
        </is>
      </c>
      <c r="B192" s="52" t="n"/>
      <c r="C192" s="52" t="n"/>
      <c r="D192" s="52" t="n"/>
      <c r="E192" s="52" t="n"/>
      <c r="F192" s="52" t="n"/>
      <c r="G192" s="52" t="n"/>
      <c r="H192" s="52" t="n"/>
      <c r="I192" s="52" t="n"/>
      <c r="J192" s="52" t="n"/>
      <c r="K192" s="52" t="n"/>
      <c r="L192" s="52" t="n"/>
      <c r="M192" s="52" t="n"/>
      <c r="N192" s="52" t="n"/>
      <c r="O192" s="52" t="n"/>
      <c r="P192" s="52" t="n"/>
      <c r="Q192" s="52" t="n"/>
      <c r="R192" s="52" t="n"/>
      <c r="S192" s="53" t="n"/>
      <c r="T192" s="46" t="inlineStr">
        <is>
          <t>IF(AQ192="","",AQ192)</t>
        </is>
      </c>
      <c r="U192" s="54" t="n"/>
      <c r="V192" s="55" t="n"/>
      <c r="W192" s="54" t="n"/>
      <c r="X192" s="46" t="inlineStr">
        <is>
          <t>IF(W192&lt;&gt;"",W192,IF(OR(T192="",V192=""),"",EDATE(T192,V192)))</t>
        </is>
      </c>
      <c r="Y192" s="54" t="n"/>
      <c r="Z192" s="55" t="n"/>
      <c r="AA192" s="52" t="n"/>
      <c r="AB192" s="52" t="n"/>
      <c r="AC192" s="42" t="inlineStr">
        <is>
          <t>IF(F192="","",IF(COUNT(AI192:AV192)=0,IF(AA192="","Not started",AA192),SUBSTITUTE(LOOKUP(2,1/(AI192:AV192&lt;&gt;""),$AI$3:$AV$3),"Date: ","")))</t>
        </is>
      </c>
      <c r="AD192" s="49" t="inlineStr">
        <is>
          <t>IF(OR(F192="",COUNT(AI192:AV192)=0),"",TODAY()-LOOKUP(2,1/(AI192:AV192&lt;&gt;""),AI192:AV192))</t>
        </is>
      </c>
      <c r="AE192" s="49" t="inlineStr">
        <is>
          <t>IF(OR(F192="",COUNT(AI192:AV192)&lt;2),"",LOOKUP(2,1/(AI192:AV192&lt;&gt;""),AI192:AV192)-MIN(AI192:AV192))</t>
        </is>
      </c>
      <c r="AF192" s="49" t="inlineStr">
        <is>
          <t>IF(OR(AD192="",AC192="Not started",AC192=""),"",IFERROR(AD192-IF(VLOOKUP(AC192,'06_Status_Pipeline'!$B$3:$E$20,4,FALSE)="",0,VLOOKUP(AC192,'06_Status_Pipeline'!$B$3:$E$20,4,FALSE)),""))</t>
        </is>
      </c>
      <c r="AG192" s="42" t="inlineStr">
        <is>
          <t>IF(F192="","",IF(OR(AA192="Cancelled",AC192="Cancelled"),"Cancelled",IF(OR(AC192="Completed / Handover",Y192&lt;&gt;"",Z192&gt;=100),"Completed — on track",IF(O192="Not awarded",IF(U192="",IF(X192="","No planned date",IF(TODAY()&gt;X192,"Behind — past planned date",IF(X192-TODAY()&lt;=30,"At risk — close to off track","On track"))),IF(TODAY()&gt;U192,"Behind — award date passed",IF(U192-TODAY()&lt;=30,"At risk — close to off track","On track"))),IF(X192="","No planned date",IF(AND(TODAY()&gt;X192,OR(Z192="",Z192&lt;100)),"Behind — past end date",IF(AND(T192&lt;&gt;"",X192&lt;&gt;"",Z192&lt;&gt;"",(Z192&lt;100),((TODAY()-T192)/MAX(X192-T192,1)*100)-Z192&gt;15),"Behind — progress lag",IF(AND(X192-TODAY()&lt;=30,X192-TODAY()&gt;=0,OR(Z192="",Z192&lt;90)),"At risk — close to off track","On track"))))))))</t>
        </is>
      </c>
      <c r="AH192" s="49" t="inlineStr">
        <is>
          <t>IF(OR(F192="",AC192="Completed / Handover",AC192="Cancelled"),"",IF(O192="Not awarded",IF(U192&lt;&gt;"",U192-TODAY(),IF(X192="","",X192-TODAY())),IF(X192="","",X192-TODAY())))</t>
        </is>
      </c>
      <c r="AI192" s="54" t="n"/>
      <c r="AJ192" s="54" t="n"/>
      <c r="AK192" s="54" t="n"/>
      <c r="AL192" s="54" t="n"/>
      <c r="AM192" s="54" t="n"/>
      <c r="AN192" s="54" t="n"/>
      <c r="AO192" s="54" t="n"/>
      <c r="AP192" s="54" t="n"/>
      <c r="AQ192" s="54" t="n"/>
      <c r="AR192" s="54" t="n"/>
      <c r="AS192" s="54" t="n"/>
      <c r="AT192" s="50" t="n"/>
      <c r="AU192" s="50" t="n"/>
      <c r="AV192" s="50" t="n"/>
      <c r="AW192" s="49" t="inlineStr">
        <is>
          <t>IF(OR(F192="",AJ192=""),"",IF(COUNT(AI192:AI192)=0,"",AJ192-LOOKUP(2,1/(AI192:AI192&lt;&gt;""),AI192:AI192)))</t>
        </is>
      </c>
      <c r="AX192" s="49" t="inlineStr">
        <is>
          <t>IF(OR(F192="",AK192=""),"",IF(COUNT(AI192:AJ192)=0,"",AK192-LOOKUP(2,1/(AI192:AJ192&lt;&gt;""),AI192:AJ192)))</t>
        </is>
      </c>
      <c r="AY192" s="49" t="inlineStr">
        <is>
          <t>IF(OR(F192="",AL192=""),"",IF(COUNT(AI192:AK192)=0,"",AL192-LOOKUP(2,1/(AI192:AK192&lt;&gt;""),AI192:AK192)))</t>
        </is>
      </c>
      <c r="AZ192" s="49" t="inlineStr">
        <is>
          <t>IF(OR(F192="",AM192=""),"",IF(COUNT(AI192:AL192)=0,"",AM192-LOOKUP(2,1/(AI192:AL192&lt;&gt;""),AI192:AL192)))</t>
        </is>
      </c>
      <c r="BA192" s="49" t="inlineStr">
        <is>
          <t>IF(OR(F192="",AN192=""),"",IF(COUNT(AI192:AM192)=0,"",AN192-LOOKUP(2,1/(AI192:AM192&lt;&gt;""),AI192:AM192)))</t>
        </is>
      </c>
      <c r="BB192" s="49" t="inlineStr">
        <is>
          <t>IF(OR(F192="",AO192=""),"",IF(COUNT(AI192:AN192)=0,"",AO192-LOOKUP(2,1/(AI192:AN192&lt;&gt;""),AI192:AN192)))</t>
        </is>
      </c>
      <c r="BC192" s="49" t="inlineStr">
        <is>
          <t>IF(OR(F192="",AP192=""),"",IF(COUNT(AI192:AO192)=0,"",AP192-LOOKUP(2,1/(AI192:AO192&lt;&gt;""),AI192:AO192)))</t>
        </is>
      </c>
      <c r="BD192" s="49" t="inlineStr">
        <is>
          <t>IF(OR(F192="",AQ192=""),"",IF(COUNT(AI192:AP192)=0,"",AQ192-LOOKUP(2,1/(AI192:AP192&lt;&gt;""),AI192:AP192)))</t>
        </is>
      </c>
      <c r="BE192" s="49" t="inlineStr">
        <is>
          <t>IF(OR(F192="",AR192=""),"",IF(COUNT(AI192:AQ192)=0,"",AR192-LOOKUP(2,1/(AI192:AQ192&lt;&gt;""),AI192:AQ192)))</t>
        </is>
      </c>
      <c r="BF192" s="49" t="inlineStr">
        <is>
          <t>IF(OR(F192="",AS192=""),"",IF(COUNT(AI192:AR192)=0,"",AS192-LOOKUP(2,1/(AI192:AR192&lt;&gt;""),AI192:AR192)))</t>
        </is>
      </c>
      <c r="BG192" s="49" t="inlineStr">
        <is>
          <t>IF(OR(F192="",AT192=""),"",IF(COUNT(AI192:AS192)=0,"",AT192-LOOKUP(2,1/(AI192:AS192&lt;&gt;""),AI192:AS192)))</t>
        </is>
      </c>
      <c r="BH192" s="49" t="inlineStr">
        <is>
          <t>IF(OR(F192="",AU192=""),"",IF(COUNT(AI192:AT192)=0,"",AU192-LOOKUP(2,1/(AI192:AT192&lt;&gt;""),AI192:AT192)))</t>
        </is>
      </c>
      <c r="BI192" s="49" t="inlineStr">
        <is>
          <t>IF(OR(F192="",AV192=""),"",IF(COUNT(AI192:AU192)=0,"",AV192-LOOKUP(2,1/(AI192:AU192&lt;&gt;""),AI192:AU192)))</t>
        </is>
      </c>
      <c r="BJ192" s="51" t="inlineStr">
        <is>
          <t>IF(J192="","All_Provinces",IFERROR(VLOOKUP(J192,'09_Lookups'!$A$4:$B$20,2,FALSE),"All_Provinces"))</t>
        </is>
      </c>
      <c r="BK192" s="51" t="inlineStr">
        <is>
          <t>IF(K192="","All_Districts",IFERROR(VLOOKUP(K192,'09_Lookups'!$E$4:$F$42,2,FALSE),"All_Districts"))</t>
        </is>
      </c>
    </row>
    <row r="193" ht="18" customHeight="1">
      <c r="A193" s="42" t="inlineStr">
        <is>
          <t>IF(F193="","",ROW()-3)</t>
        </is>
      </c>
      <c r="B193" s="44" t="n"/>
      <c r="C193" s="44" t="n"/>
      <c r="D193" s="44" t="n"/>
      <c r="E193" s="44" t="n"/>
      <c r="F193" s="44" t="n"/>
      <c r="G193" s="44" t="n"/>
      <c r="H193" s="44" t="n"/>
      <c r="I193" s="44" t="n"/>
      <c r="J193" s="44" t="n"/>
      <c r="K193" s="44" t="n"/>
      <c r="L193" s="44" t="n"/>
      <c r="M193" s="44" t="n"/>
      <c r="N193" s="44" t="n"/>
      <c r="O193" s="44" t="n"/>
      <c r="P193" s="44" t="n"/>
      <c r="Q193" s="44" t="n"/>
      <c r="R193" s="44" t="n"/>
      <c r="S193" s="45" t="n"/>
      <c r="T193" s="46" t="inlineStr">
        <is>
          <t>IF(AQ193="","",AQ193)</t>
        </is>
      </c>
      <c r="U193" s="47" t="n"/>
      <c r="V193" s="48" t="n"/>
      <c r="W193" s="47" t="n"/>
      <c r="X193" s="46" t="inlineStr">
        <is>
          <t>IF(W193&lt;&gt;"",W193,IF(OR(T193="",V193=""),"",EDATE(T193,V193)))</t>
        </is>
      </c>
      <c r="Y193" s="47" t="n"/>
      <c r="Z193" s="48" t="n"/>
      <c r="AA193" s="44" t="n"/>
      <c r="AB193" s="44" t="n"/>
      <c r="AC193" s="42" t="inlineStr">
        <is>
          <t>IF(F193="","",IF(COUNT(AI193:AV193)=0,IF(AA193="","Not started",AA193),SUBSTITUTE(LOOKUP(2,1/(AI193:AV193&lt;&gt;""),$AI$3:$AV$3),"Date: ","")))</t>
        </is>
      </c>
      <c r="AD193" s="49" t="inlineStr">
        <is>
          <t>IF(OR(F193="",COUNT(AI193:AV193)=0),"",TODAY()-LOOKUP(2,1/(AI193:AV193&lt;&gt;""),AI193:AV193))</t>
        </is>
      </c>
      <c r="AE193" s="49" t="inlineStr">
        <is>
          <t>IF(OR(F193="",COUNT(AI193:AV193)&lt;2),"",LOOKUP(2,1/(AI193:AV193&lt;&gt;""),AI193:AV193)-MIN(AI193:AV193))</t>
        </is>
      </c>
      <c r="AF193" s="49" t="inlineStr">
        <is>
          <t>IF(OR(AD193="",AC193="Not started",AC193=""),"",IFERROR(AD193-IF(VLOOKUP(AC193,'06_Status_Pipeline'!$B$3:$E$20,4,FALSE)="",0,VLOOKUP(AC193,'06_Status_Pipeline'!$B$3:$E$20,4,FALSE)),""))</t>
        </is>
      </c>
      <c r="AG193" s="42" t="inlineStr">
        <is>
          <t>IF(F193="","",IF(OR(AA193="Cancelled",AC193="Cancelled"),"Cancelled",IF(OR(AC193="Completed / Handover",Y193&lt;&gt;"",Z193&gt;=100),"Completed — on track",IF(O193="Not awarded",IF(U193="",IF(X193="","No planned date",IF(TODAY()&gt;X193,"Behind — past planned date",IF(X193-TODAY()&lt;=30,"At risk — close to off track","On track"))),IF(TODAY()&gt;U193,"Behind — award date passed",IF(U193-TODAY()&lt;=30,"At risk — close to off track","On track"))),IF(X193="","No planned date",IF(AND(TODAY()&gt;X193,OR(Z193="",Z193&lt;100)),"Behind — past end date",IF(AND(T193&lt;&gt;"",X193&lt;&gt;"",Z193&lt;&gt;"",(Z193&lt;100),((TODAY()-T193)/MAX(X193-T193,1)*100)-Z193&gt;15),"Behind — progress lag",IF(AND(X193-TODAY()&lt;=30,X193-TODAY()&gt;=0,OR(Z193="",Z193&lt;90)),"At risk — close to off track","On track"))))))))</t>
        </is>
      </c>
      <c r="AH193" s="49" t="inlineStr">
        <is>
          <t>IF(OR(F193="",AC193="Completed / Handover",AC193="Cancelled"),"",IF(O193="Not awarded",IF(U193&lt;&gt;"",U193-TODAY(),IF(X193="","",X193-TODAY())),IF(X193="","",X193-TODAY())))</t>
        </is>
      </c>
      <c r="AI193" s="47" t="n"/>
      <c r="AJ193" s="47" t="n"/>
      <c r="AK193" s="47" t="n"/>
      <c r="AL193" s="47" t="n"/>
      <c r="AM193" s="47" t="n"/>
      <c r="AN193" s="47" t="n"/>
      <c r="AO193" s="47" t="n"/>
      <c r="AP193" s="47" t="n"/>
      <c r="AQ193" s="47" t="n"/>
      <c r="AR193" s="47" t="n"/>
      <c r="AS193" s="47" t="n"/>
      <c r="AT193" s="50" t="n"/>
      <c r="AU193" s="50" t="n"/>
      <c r="AV193" s="50" t="n"/>
      <c r="AW193" s="49" t="inlineStr">
        <is>
          <t>IF(OR(F193="",AJ193=""),"",IF(COUNT(AI193:AI193)=0,"",AJ193-LOOKUP(2,1/(AI193:AI193&lt;&gt;""),AI193:AI193)))</t>
        </is>
      </c>
      <c r="AX193" s="49" t="inlineStr">
        <is>
          <t>IF(OR(F193="",AK193=""),"",IF(COUNT(AI193:AJ193)=0,"",AK193-LOOKUP(2,1/(AI193:AJ193&lt;&gt;""),AI193:AJ193)))</t>
        </is>
      </c>
      <c r="AY193" s="49" t="inlineStr">
        <is>
          <t>IF(OR(F193="",AL193=""),"",IF(COUNT(AI193:AK193)=0,"",AL193-LOOKUP(2,1/(AI193:AK193&lt;&gt;""),AI193:AK193)))</t>
        </is>
      </c>
      <c r="AZ193" s="49" t="inlineStr">
        <is>
          <t>IF(OR(F193="",AM193=""),"",IF(COUNT(AI193:AL193)=0,"",AM193-LOOKUP(2,1/(AI193:AL193&lt;&gt;""),AI193:AL193)))</t>
        </is>
      </c>
      <c r="BA193" s="49" t="inlineStr">
        <is>
          <t>IF(OR(F193="",AN193=""),"",IF(COUNT(AI193:AM193)=0,"",AN193-LOOKUP(2,1/(AI193:AM193&lt;&gt;""),AI193:AM193)))</t>
        </is>
      </c>
      <c r="BB193" s="49" t="inlineStr">
        <is>
          <t>IF(OR(F193="",AO193=""),"",IF(COUNT(AI193:AN193)=0,"",AO193-LOOKUP(2,1/(AI193:AN193&lt;&gt;""),AI193:AN193)))</t>
        </is>
      </c>
      <c r="BC193" s="49" t="inlineStr">
        <is>
          <t>IF(OR(F193="",AP193=""),"",IF(COUNT(AI193:AO193)=0,"",AP193-LOOKUP(2,1/(AI193:AO193&lt;&gt;""),AI193:AO193)))</t>
        </is>
      </c>
      <c r="BD193" s="49" t="inlineStr">
        <is>
          <t>IF(OR(F193="",AQ193=""),"",IF(COUNT(AI193:AP193)=0,"",AQ193-LOOKUP(2,1/(AI193:AP193&lt;&gt;""),AI193:AP193)))</t>
        </is>
      </c>
      <c r="BE193" s="49" t="inlineStr">
        <is>
          <t>IF(OR(F193="",AR193=""),"",IF(COUNT(AI193:AQ193)=0,"",AR193-LOOKUP(2,1/(AI193:AQ193&lt;&gt;""),AI193:AQ193)))</t>
        </is>
      </c>
      <c r="BF193" s="49" t="inlineStr">
        <is>
          <t>IF(OR(F193="",AS193=""),"",IF(COUNT(AI193:AR193)=0,"",AS193-LOOKUP(2,1/(AI193:AR193&lt;&gt;""),AI193:AR193)))</t>
        </is>
      </c>
      <c r="BG193" s="49" t="inlineStr">
        <is>
          <t>IF(OR(F193="",AT193=""),"",IF(COUNT(AI193:AS193)=0,"",AT193-LOOKUP(2,1/(AI193:AS193&lt;&gt;""),AI193:AS193)))</t>
        </is>
      </c>
      <c r="BH193" s="49" t="inlineStr">
        <is>
          <t>IF(OR(F193="",AU193=""),"",IF(COUNT(AI193:AT193)=0,"",AU193-LOOKUP(2,1/(AI193:AT193&lt;&gt;""),AI193:AT193)))</t>
        </is>
      </c>
      <c r="BI193" s="49" t="inlineStr">
        <is>
          <t>IF(OR(F193="",AV193=""),"",IF(COUNT(AI193:AU193)=0,"",AV193-LOOKUP(2,1/(AI193:AU193&lt;&gt;""),AI193:AU193)))</t>
        </is>
      </c>
      <c r="BJ193" s="51" t="inlineStr">
        <is>
          <t>IF(J193="","All_Provinces",IFERROR(VLOOKUP(J193,'09_Lookups'!$A$4:$B$20,2,FALSE),"All_Provinces"))</t>
        </is>
      </c>
      <c r="BK193" s="51" t="inlineStr">
        <is>
          <t>IF(K193="","All_Districts",IFERROR(VLOOKUP(K193,'09_Lookups'!$E$4:$F$42,2,FALSE),"All_Districts"))</t>
        </is>
      </c>
    </row>
    <row r="194" ht="18" customHeight="1">
      <c r="A194" s="42" t="inlineStr">
        <is>
          <t>IF(F194="","",ROW()-3)</t>
        </is>
      </c>
      <c r="B194" s="52" t="n"/>
      <c r="C194" s="52" t="n"/>
      <c r="D194" s="52" t="n"/>
      <c r="E194" s="52" t="n"/>
      <c r="F194" s="52" t="n"/>
      <c r="G194" s="52" t="n"/>
      <c r="H194" s="52" t="n"/>
      <c r="I194" s="52" t="n"/>
      <c r="J194" s="52" t="n"/>
      <c r="K194" s="52" t="n"/>
      <c r="L194" s="52" t="n"/>
      <c r="M194" s="52" t="n"/>
      <c r="N194" s="52" t="n"/>
      <c r="O194" s="52" t="n"/>
      <c r="P194" s="52" t="n"/>
      <c r="Q194" s="52" t="n"/>
      <c r="R194" s="52" t="n"/>
      <c r="S194" s="53" t="n"/>
      <c r="T194" s="46" t="inlineStr">
        <is>
          <t>IF(AQ194="","",AQ194)</t>
        </is>
      </c>
      <c r="U194" s="54" t="n"/>
      <c r="V194" s="55" t="n"/>
      <c r="W194" s="54" t="n"/>
      <c r="X194" s="46" t="inlineStr">
        <is>
          <t>IF(W194&lt;&gt;"",W194,IF(OR(T194="",V194=""),"",EDATE(T194,V194)))</t>
        </is>
      </c>
      <c r="Y194" s="54" t="n"/>
      <c r="Z194" s="55" t="n"/>
      <c r="AA194" s="52" t="n"/>
      <c r="AB194" s="52" t="n"/>
      <c r="AC194" s="42" t="inlineStr">
        <is>
          <t>IF(F194="","",IF(COUNT(AI194:AV194)=0,IF(AA194="","Not started",AA194),SUBSTITUTE(LOOKUP(2,1/(AI194:AV194&lt;&gt;""),$AI$3:$AV$3),"Date: ","")))</t>
        </is>
      </c>
      <c r="AD194" s="49" t="inlineStr">
        <is>
          <t>IF(OR(F194="",COUNT(AI194:AV194)=0),"",TODAY()-LOOKUP(2,1/(AI194:AV194&lt;&gt;""),AI194:AV194))</t>
        </is>
      </c>
      <c r="AE194" s="49" t="inlineStr">
        <is>
          <t>IF(OR(F194="",COUNT(AI194:AV194)&lt;2),"",LOOKUP(2,1/(AI194:AV194&lt;&gt;""),AI194:AV194)-MIN(AI194:AV194))</t>
        </is>
      </c>
      <c r="AF194" s="49" t="inlineStr">
        <is>
          <t>IF(OR(AD194="",AC194="Not started",AC194=""),"",IFERROR(AD194-IF(VLOOKUP(AC194,'06_Status_Pipeline'!$B$3:$E$20,4,FALSE)="",0,VLOOKUP(AC194,'06_Status_Pipeline'!$B$3:$E$20,4,FALSE)),""))</t>
        </is>
      </c>
      <c r="AG194" s="42" t="inlineStr">
        <is>
          <t>IF(F194="","",IF(OR(AA194="Cancelled",AC194="Cancelled"),"Cancelled",IF(OR(AC194="Completed / Handover",Y194&lt;&gt;"",Z194&gt;=100),"Completed — on track",IF(O194="Not awarded",IF(U194="",IF(X194="","No planned date",IF(TODAY()&gt;X194,"Behind — past planned date",IF(X194-TODAY()&lt;=30,"At risk — close to off track","On track"))),IF(TODAY()&gt;U194,"Behind — award date passed",IF(U194-TODAY()&lt;=30,"At risk — close to off track","On track"))),IF(X194="","No planned date",IF(AND(TODAY()&gt;X194,OR(Z194="",Z194&lt;100)),"Behind — past end date",IF(AND(T194&lt;&gt;"",X194&lt;&gt;"",Z194&lt;&gt;"",(Z194&lt;100),((TODAY()-T194)/MAX(X194-T194,1)*100)-Z194&gt;15),"Behind — progress lag",IF(AND(X194-TODAY()&lt;=30,X194-TODAY()&gt;=0,OR(Z194="",Z194&lt;90)),"At risk — close to off track","On track"))))))))</t>
        </is>
      </c>
      <c r="AH194" s="49" t="inlineStr">
        <is>
          <t>IF(OR(F194="",AC194="Completed / Handover",AC194="Cancelled"),"",IF(O194="Not awarded",IF(U194&lt;&gt;"",U194-TODAY(),IF(X194="","",X194-TODAY())),IF(X194="","",X194-TODAY())))</t>
        </is>
      </c>
      <c r="AI194" s="54" t="n"/>
      <c r="AJ194" s="54" t="n"/>
      <c r="AK194" s="54" t="n"/>
      <c r="AL194" s="54" t="n"/>
      <c r="AM194" s="54" t="n"/>
      <c r="AN194" s="54" t="n"/>
      <c r="AO194" s="54" t="n"/>
      <c r="AP194" s="54" t="n"/>
      <c r="AQ194" s="54" t="n"/>
      <c r="AR194" s="54" t="n"/>
      <c r="AS194" s="54" t="n"/>
      <c r="AT194" s="50" t="n"/>
      <c r="AU194" s="50" t="n"/>
      <c r="AV194" s="50" t="n"/>
      <c r="AW194" s="49" t="inlineStr">
        <is>
          <t>IF(OR(F194="",AJ194=""),"",IF(COUNT(AI194:AI194)=0,"",AJ194-LOOKUP(2,1/(AI194:AI194&lt;&gt;""),AI194:AI194)))</t>
        </is>
      </c>
      <c r="AX194" s="49" t="inlineStr">
        <is>
          <t>IF(OR(F194="",AK194=""),"",IF(COUNT(AI194:AJ194)=0,"",AK194-LOOKUP(2,1/(AI194:AJ194&lt;&gt;""),AI194:AJ194)))</t>
        </is>
      </c>
      <c r="AY194" s="49" t="inlineStr">
        <is>
          <t>IF(OR(F194="",AL194=""),"",IF(COUNT(AI194:AK194)=0,"",AL194-LOOKUP(2,1/(AI194:AK194&lt;&gt;""),AI194:AK194)))</t>
        </is>
      </c>
      <c r="AZ194" s="49" t="inlineStr">
        <is>
          <t>IF(OR(F194="",AM194=""),"",IF(COUNT(AI194:AL194)=0,"",AM194-LOOKUP(2,1/(AI194:AL194&lt;&gt;""),AI194:AL194)))</t>
        </is>
      </c>
      <c r="BA194" s="49" t="inlineStr">
        <is>
          <t>IF(OR(F194="",AN194=""),"",IF(COUNT(AI194:AM194)=0,"",AN194-LOOKUP(2,1/(AI194:AM194&lt;&gt;""),AI194:AM194)))</t>
        </is>
      </c>
      <c r="BB194" s="49" t="inlineStr">
        <is>
          <t>IF(OR(F194="",AO194=""),"",IF(COUNT(AI194:AN194)=0,"",AO194-LOOKUP(2,1/(AI194:AN194&lt;&gt;""),AI194:AN194)))</t>
        </is>
      </c>
      <c r="BC194" s="49" t="inlineStr">
        <is>
          <t>IF(OR(F194="",AP194=""),"",IF(COUNT(AI194:AO194)=0,"",AP194-LOOKUP(2,1/(AI194:AO194&lt;&gt;""),AI194:AO194)))</t>
        </is>
      </c>
      <c r="BD194" s="49" t="inlineStr">
        <is>
          <t>IF(OR(F194="",AQ194=""),"",IF(COUNT(AI194:AP194)=0,"",AQ194-LOOKUP(2,1/(AI194:AP194&lt;&gt;""),AI194:AP194)))</t>
        </is>
      </c>
      <c r="BE194" s="49" t="inlineStr">
        <is>
          <t>IF(OR(F194="",AR194=""),"",IF(COUNT(AI194:AQ194)=0,"",AR194-LOOKUP(2,1/(AI194:AQ194&lt;&gt;""),AI194:AQ194)))</t>
        </is>
      </c>
      <c r="BF194" s="49" t="inlineStr">
        <is>
          <t>IF(OR(F194="",AS194=""),"",IF(COUNT(AI194:AR194)=0,"",AS194-LOOKUP(2,1/(AI194:AR194&lt;&gt;""),AI194:AR194)))</t>
        </is>
      </c>
      <c r="BG194" s="49" t="inlineStr">
        <is>
          <t>IF(OR(F194="",AT194=""),"",IF(COUNT(AI194:AS194)=0,"",AT194-LOOKUP(2,1/(AI194:AS194&lt;&gt;""),AI194:AS194)))</t>
        </is>
      </c>
      <c r="BH194" s="49" t="inlineStr">
        <is>
          <t>IF(OR(F194="",AU194=""),"",IF(COUNT(AI194:AT194)=0,"",AU194-LOOKUP(2,1/(AI194:AT194&lt;&gt;""),AI194:AT194)))</t>
        </is>
      </c>
      <c r="BI194" s="49" t="inlineStr">
        <is>
          <t>IF(OR(F194="",AV194=""),"",IF(COUNT(AI194:AU194)=0,"",AV194-LOOKUP(2,1/(AI194:AU194&lt;&gt;""),AI194:AU194)))</t>
        </is>
      </c>
      <c r="BJ194" s="51" t="inlineStr">
        <is>
          <t>IF(J194="","All_Provinces",IFERROR(VLOOKUP(J194,'09_Lookups'!$A$4:$B$20,2,FALSE),"All_Provinces"))</t>
        </is>
      </c>
      <c r="BK194" s="51" t="inlineStr">
        <is>
          <t>IF(K194="","All_Districts",IFERROR(VLOOKUP(K194,'09_Lookups'!$E$4:$F$42,2,FALSE),"All_Districts"))</t>
        </is>
      </c>
    </row>
    <row r="195" ht="18" customHeight="1">
      <c r="A195" s="42" t="inlineStr">
        <is>
          <t>IF(F195="","",ROW()-3)</t>
        </is>
      </c>
      <c r="B195" s="44" t="n"/>
      <c r="C195" s="44" t="n"/>
      <c r="D195" s="44" t="n"/>
      <c r="E195" s="44" t="n"/>
      <c r="F195" s="44" t="n"/>
      <c r="G195" s="44" t="n"/>
      <c r="H195" s="44" t="n"/>
      <c r="I195" s="44" t="n"/>
      <c r="J195" s="44" t="n"/>
      <c r="K195" s="44" t="n"/>
      <c r="L195" s="44" t="n"/>
      <c r="M195" s="44" t="n"/>
      <c r="N195" s="44" t="n"/>
      <c r="O195" s="44" t="n"/>
      <c r="P195" s="44" t="n"/>
      <c r="Q195" s="44" t="n"/>
      <c r="R195" s="44" t="n"/>
      <c r="S195" s="45" t="n"/>
      <c r="T195" s="46" t="inlineStr">
        <is>
          <t>IF(AQ195="","",AQ195)</t>
        </is>
      </c>
      <c r="U195" s="47" t="n"/>
      <c r="V195" s="48" t="n"/>
      <c r="W195" s="47" t="n"/>
      <c r="X195" s="46" t="inlineStr">
        <is>
          <t>IF(W195&lt;&gt;"",W195,IF(OR(T195="",V195=""),"",EDATE(T195,V195)))</t>
        </is>
      </c>
      <c r="Y195" s="47" t="n"/>
      <c r="Z195" s="48" t="n"/>
      <c r="AA195" s="44" t="n"/>
      <c r="AB195" s="44" t="n"/>
      <c r="AC195" s="42" t="inlineStr">
        <is>
          <t>IF(F195="","",IF(COUNT(AI195:AV195)=0,IF(AA195="","Not started",AA195),SUBSTITUTE(LOOKUP(2,1/(AI195:AV195&lt;&gt;""),$AI$3:$AV$3),"Date: ","")))</t>
        </is>
      </c>
      <c r="AD195" s="49" t="inlineStr">
        <is>
          <t>IF(OR(F195="",COUNT(AI195:AV195)=0),"",TODAY()-LOOKUP(2,1/(AI195:AV195&lt;&gt;""),AI195:AV195))</t>
        </is>
      </c>
      <c r="AE195" s="49" t="inlineStr">
        <is>
          <t>IF(OR(F195="",COUNT(AI195:AV195)&lt;2),"",LOOKUP(2,1/(AI195:AV195&lt;&gt;""),AI195:AV195)-MIN(AI195:AV195))</t>
        </is>
      </c>
      <c r="AF195" s="49" t="inlineStr">
        <is>
          <t>IF(OR(AD195="",AC195="Not started",AC195=""),"",IFERROR(AD195-IF(VLOOKUP(AC195,'06_Status_Pipeline'!$B$3:$E$20,4,FALSE)="",0,VLOOKUP(AC195,'06_Status_Pipeline'!$B$3:$E$20,4,FALSE)),""))</t>
        </is>
      </c>
      <c r="AG195" s="42" t="inlineStr">
        <is>
          <t>IF(F195="","",IF(OR(AA195="Cancelled",AC195="Cancelled"),"Cancelled",IF(OR(AC195="Completed / Handover",Y195&lt;&gt;"",Z195&gt;=100),"Completed — on track",IF(O195="Not awarded",IF(U195="",IF(X195="","No planned date",IF(TODAY()&gt;X195,"Behind — past planned date",IF(X195-TODAY()&lt;=30,"At risk — close to off track","On track"))),IF(TODAY()&gt;U195,"Behind — award date passed",IF(U195-TODAY()&lt;=30,"At risk — close to off track","On track"))),IF(X195="","No planned date",IF(AND(TODAY()&gt;X195,OR(Z195="",Z195&lt;100)),"Behind — past end date",IF(AND(T195&lt;&gt;"",X195&lt;&gt;"",Z195&lt;&gt;"",(Z195&lt;100),((TODAY()-T195)/MAX(X195-T195,1)*100)-Z195&gt;15),"Behind — progress lag",IF(AND(X195-TODAY()&lt;=30,X195-TODAY()&gt;=0,OR(Z195="",Z195&lt;90)),"At risk — close to off track","On track"))))))))</t>
        </is>
      </c>
      <c r="AH195" s="49" t="inlineStr">
        <is>
          <t>IF(OR(F195="",AC195="Completed / Handover",AC195="Cancelled"),"",IF(O195="Not awarded",IF(U195&lt;&gt;"",U195-TODAY(),IF(X195="","",X195-TODAY())),IF(X195="","",X195-TODAY())))</t>
        </is>
      </c>
      <c r="AI195" s="47" t="n"/>
      <c r="AJ195" s="47" t="n"/>
      <c r="AK195" s="47" t="n"/>
      <c r="AL195" s="47" t="n"/>
      <c r="AM195" s="47" t="n"/>
      <c r="AN195" s="47" t="n"/>
      <c r="AO195" s="47" t="n"/>
      <c r="AP195" s="47" t="n"/>
      <c r="AQ195" s="47" t="n"/>
      <c r="AR195" s="47" t="n"/>
      <c r="AS195" s="47" t="n"/>
      <c r="AT195" s="50" t="n"/>
      <c r="AU195" s="50" t="n"/>
      <c r="AV195" s="50" t="n"/>
      <c r="AW195" s="49" t="inlineStr">
        <is>
          <t>IF(OR(F195="",AJ195=""),"",IF(COUNT(AI195:AI195)=0,"",AJ195-LOOKUP(2,1/(AI195:AI195&lt;&gt;""),AI195:AI195)))</t>
        </is>
      </c>
      <c r="AX195" s="49" t="inlineStr">
        <is>
          <t>IF(OR(F195="",AK195=""),"",IF(COUNT(AI195:AJ195)=0,"",AK195-LOOKUP(2,1/(AI195:AJ195&lt;&gt;""),AI195:AJ195)))</t>
        </is>
      </c>
      <c r="AY195" s="49" t="inlineStr">
        <is>
          <t>IF(OR(F195="",AL195=""),"",IF(COUNT(AI195:AK195)=0,"",AL195-LOOKUP(2,1/(AI195:AK195&lt;&gt;""),AI195:AK195)))</t>
        </is>
      </c>
      <c r="AZ195" s="49" t="inlineStr">
        <is>
          <t>IF(OR(F195="",AM195=""),"",IF(COUNT(AI195:AL195)=0,"",AM195-LOOKUP(2,1/(AI195:AL195&lt;&gt;""),AI195:AL195)))</t>
        </is>
      </c>
      <c r="BA195" s="49" t="inlineStr">
        <is>
          <t>IF(OR(F195="",AN195=""),"",IF(COUNT(AI195:AM195)=0,"",AN195-LOOKUP(2,1/(AI195:AM195&lt;&gt;""),AI195:AM195)))</t>
        </is>
      </c>
      <c r="BB195" s="49" t="inlineStr">
        <is>
          <t>IF(OR(F195="",AO195=""),"",IF(COUNT(AI195:AN195)=0,"",AO195-LOOKUP(2,1/(AI195:AN195&lt;&gt;""),AI195:AN195)))</t>
        </is>
      </c>
      <c r="BC195" s="49" t="inlineStr">
        <is>
          <t>IF(OR(F195="",AP195=""),"",IF(COUNT(AI195:AO195)=0,"",AP195-LOOKUP(2,1/(AI195:AO195&lt;&gt;""),AI195:AO195)))</t>
        </is>
      </c>
      <c r="BD195" s="49" t="inlineStr">
        <is>
          <t>IF(OR(F195="",AQ195=""),"",IF(COUNT(AI195:AP195)=0,"",AQ195-LOOKUP(2,1/(AI195:AP195&lt;&gt;""),AI195:AP195)))</t>
        </is>
      </c>
      <c r="BE195" s="49" t="inlineStr">
        <is>
          <t>IF(OR(F195="",AR195=""),"",IF(COUNT(AI195:AQ195)=0,"",AR195-LOOKUP(2,1/(AI195:AQ195&lt;&gt;""),AI195:AQ195)))</t>
        </is>
      </c>
      <c r="BF195" s="49" t="inlineStr">
        <is>
          <t>IF(OR(F195="",AS195=""),"",IF(COUNT(AI195:AR195)=0,"",AS195-LOOKUP(2,1/(AI195:AR195&lt;&gt;""),AI195:AR195)))</t>
        </is>
      </c>
      <c r="BG195" s="49" t="inlineStr">
        <is>
          <t>IF(OR(F195="",AT195=""),"",IF(COUNT(AI195:AS195)=0,"",AT195-LOOKUP(2,1/(AI195:AS195&lt;&gt;""),AI195:AS195)))</t>
        </is>
      </c>
      <c r="BH195" s="49" t="inlineStr">
        <is>
          <t>IF(OR(F195="",AU195=""),"",IF(COUNT(AI195:AT195)=0,"",AU195-LOOKUP(2,1/(AI195:AT195&lt;&gt;""),AI195:AT195)))</t>
        </is>
      </c>
      <c r="BI195" s="49" t="inlineStr">
        <is>
          <t>IF(OR(F195="",AV195=""),"",IF(COUNT(AI195:AU195)=0,"",AV195-LOOKUP(2,1/(AI195:AU195&lt;&gt;""),AI195:AU195)))</t>
        </is>
      </c>
      <c r="BJ195" s="51" t="inlineStr">
        <is>
          <t>IF(J195="","All_Provinces",IFERROR(VLOOKUP(J195,'09_Lookups'!$A$4:$B$20,2,FALSE),"All_Provinces"))</t>
        </is>
      </c>
      <c r="BK195" s="51" t="inlineStr">
        <is>
          <t>IF(K195="","All_Districts",IFERROR(VLOOKUP(K195,'09_Lookups'!$E$4:$F$42,2,FALSE),"All_Districts"))</t>
        </is>
      </c>
    </row>
    <row r="196" ht="18" customHeight="1">
      <c r="A196" s="42" t="inlineStr">
        <is>
          <t>IF(F196="","",ROW()-3)</t>
        </is>
      </c>
      <c r="B196" s="52" t="n"/>
      <c r="C196" s="52" t="n"/>
      <c r="D196" s="52" t="n"/>
      <c r="E196" s="52" t="n"/>
      <c r="F196" s="52" t="n"/>
      <c r="G196" s="52" t="n"/>
      <c r="H196" s="52" t="n"/>
      <c r="I196" s="52" t="n"/>
      <c r="J196" s="52" t="n"/>
      <c r="K196" s="52" t="n"/>
      <c r="L196" s="52" t="n"/>
      <c r="M196" s="52" t="n"/>
      <c r="N196" s="52" t="n"/>
      <c r="O196" s="52" t="n"/>
      <c r="P196" s="52" t="n"/>
      <c r="Q196" s="52" t="n"/>
      <c r="R196" s="52" t="n"/>
      <c r="S196" s="53" t="n"/>
      <c r="T196" s="46" t="inlineStr">
        <is>
          <t>IF(AQ196="","",AQ196)</t>
        </is>
      </c>
      <c r="U196" s="54" t="n"/>
      <c r="V196" s="55" t="n"/>
      <c r="W196" s="54" t="n"/>
      <c r="X196" s="46" t="inlineStr">
        <is>
          <t>IF(W196&lt;&gt;"",W196,IF(OR(T196="",V196=""),"",EDATE(T196,V196)))</t>
        </is>
      </c>
      <c r="Y196" s="54" t="n"/>
      <c r="Z196" s="55" t="n"/>
      <c r="AA196" s="52" t="n"/>
      <c r="AB196" s="52" t="n"/>
      <c r="AC196" s="42" t="inlineStr">
        <is>
          <t>IF(F196="","",IF(COUNT(AI196:AV196)=0,IF(AA196="","Not started",AA196),SUBSTITUTE(LOOKUP(2,1/(AI196:AV196&lt;&gt;""),$AI$3:$AV$3),"Date: ","")))</t>
        </is>
      </c>
      <c r="AD196" s="49" t="inlineStr">
        <is>
          <t>IF(OR(F196="",COUNT(AI196:AV196)=0),"",TODAY()-LOOKUP(2,1/(AI196:AV196&lt;&gt;""),AI196:AV196))</t>
        </is>
      </c>
      <c r="AE196" s="49" t="inlineStr">
        <is>
          <t>IF(OR(F196="",COUNT(AI196:AV196)&lt;2),"",LOOKUP(2,1/(AI196:AV196&lt;&gt;""),AI196:AV196)-MIN(AI196:AV196))</t>
        </is>
      </c>
      <c r="AF196" s="49" t="inlineStr">
        <is>
          <t>IF(OR(AD196="",AC196="Not started",AC196=""),"",IFERROR(AD196-IF(VLOOKUP(AC196,'06_Status_Pipeline'!$B$3:$E$20,4,FALSE)="",0,VLOOKUP(AC196,'06_Status_Pipeline'!$B$3:$E$20,4,FALSE)),""))</t>
        </is>
      </c>
      <c r="AG196" s="42" t="inlineStr">
        <is>
          <t>IF(F196="","",IF(OR(AA196="Cancelled",AC196="Cancelled"),"Cancelled",IF(OR(AC196="Completed / Handover",Y196&lt;&gt;"",Z196&gt;=100),"Completed — on track",IF(O196="Not awarded",IF(U196="",IF(X196="","No planned date",IF(TODAY()&gt;X196,"Behind — past planned date",IF(X196-TODAY()&lt;=30,"At risk — close to off track","On track"))),IF(TODAY()&gt;U196,"Behind — award date passed",IF(U196-TODAY()&lt;=30,"At risk — close to off track","On track"))),IF(X196="","No planned date",IF(AND(TODAY()&gt;X196,OR(Z196="",Z196&lt;100)),"Behind — past end date",IF(AND(T196&lt;&gt;"",X196&lt;&gt;"",Z196&lt;&gt;"",(Z196&lt;100),((TODAY()-T196)/MAX(X196-T196,1)*100)-Z196&gt;15),"Behind — progress lag",IF(AND(X196-TODAY()&lt;=30,X196-TODAY()&gt;=0,OR(Z196="",Z196&lt;90)),"At risk — close to off track","On track"))))))))</t>
        </is>
      </c>
      <c r="AH196" s="49" t="inlineStr">
        <is>
          <t>IF(OR(F196="",AC196="Completed / Handover",AC196="Cancelled"),"",IF(O196="Not awarded",IF(U196&lt;&gt;"",U196-TODAY(),IF(X196="","",X196-TODAY())),IF(X196="","",X196-TODAY())))</t>
        </is>
      </c>
      <c r="AI196" s="54" t="n"/>
      <c r="AJ196" s="54" t="n"/>
      <c r="AK196" s="54" t="n"/>
      <c r="AL196" s="54" t="n"/>
      <c r="AM196" s="54" t="n"/>
      <c r="AN196" s="54" t="n"/>
      <c r="AO196" s="54" t="n"/>
      <c r="AP196" s="54" t="n"/>
      <c r="AQ196" s="54" t="n"/>
      <c r="AR196" s="54" t="n"/>
      <c r="AS196" s="54" t="n"/>
      <c r="AT196" s="50" t="n"/>
      <c r="AU196" s="50" t="n"/>
      <c r="AV196" s="50" t="n"/>
      <c r="AW196" s="49" t="inlineStr">
        <is>
          <t>IF(OR(F196="",AJ196=""),"",IF(COUNT(AI196:AI196)=0,"",AJ196-LOOKUP(2,1/(AI196:AI196&lt;&gt;""),AI196:AI196)))</t>
        </is>
      </c>
      <c r="AX196" s="49" t="inlineStr">
        <is>
          <t>IF(OR(F196="",AK196=""),"",IF(COUNT(AI196:AJ196)=0,"",AK196-LOOKUP(2,1/(AI196:AJ196&lt;&gt;""),AI196:AJ196)))</t>
        </is>
      </c>
      <c r="AY196" s="49" t="inlineStr">
        <is>
          <t>IF(OR(F196="",AL196=""),"",IF(COUNT(AI196:AK196)=0,"",AL196-LOOKUP(2,1/(AI196:AK196&lt;&gt;""),AI196:AK196)))</t>
        </is>
      </c>
      <c r="AZ196" s="49" t="inlineStr">
        <is>
          <t>IF(OR(F196="",AM196=""),"",IF(COUNT(AI196:AL196)=0,"",AM196-LOOKUP(2,1/(AI196:AL196&lt;&gt;""),AI196:AL196)))</t>
        </is>
      </c>
      <c r="BA196" s="49" t="inlineStr">
        <is>
          <t>IF(OR(F196="",AN196=""),"",IF(COUNT(AI196:AM196)=0,"",AN196-LOOKUP(2,1/(AI196:AM196&lt;&gt;""),AI196:AM196)))</t>
        </is>
      </c>
      <c r="BB196" s="49" t="inlineStr">
        <is>
          <t>IF(OR(F196="",AO196=""),"",IF(COUNT(AI196:AN196)=0,"",AO196-LOOKUP(2,1/(AI196:AN196&lt;&gt;""),AI196:AN196)))</t>
        </is>
      </c>
      <c r="BC196" s="49" t="inlineStr">
        <is>
          <t>IF(OR(F196="",AP196=""),"",IF(COUNT(AI196:AO196)=0,"",AP196-LOOKUP(2,1/(AI196:AO196&lt;&gt;""),AI196:AO196)))</t>
        </is>
      </c>
      <c r="BD196" s="49" t="inlineStr">
        <is>
          <t>IF(OR(F196="",AQ196=""),"",IF(COUNT(AI196:AP196)=0,"",AQ196-LOOKUP(2,1/(AI196:AP196&lt;&gt;""),AI196:AP196)))</t>
        </is>
      </c>
      <c r="BE196" s="49" t="inlineStr">
        <is>
          <t>IF(OR(F196="",AR196=""),"",IF(COUNT(AI196:AQ196)=0,"",AR196-LOOKUP(2,1/(AI196:AQ196&lt;&gt;""),AI196:AQ196)))</t>
        </is>
      </c>
      <c r="BF196" s="49" t="inlineStr">
        <is>
          <t>IF(OR(F196="",AS196=""),"",IF(COUNT(AI196:AR196)=0,"",AS196-LOOKUP(2,1/(AI196:AR196&lt;&gt;""),AI196:AR196)))</t>
        </is>
      </c>
      <c r="BG196" s="49" t="inlineStr">
        <is>
          <t>IF(OR(F196="",AT196=""),"",IF(COUNT(AI196:AS196)=0,"",AT196-LOOKUP(2,1/(AI196:AS196&lt;&gt;""),AI196:AS196)))</t>
        </is>
      </c>
      <c r="BH196" s="49" t="inlineStr">
        <is>
          <t>IF(OR(F196="",AU196=""),"",IF(COUNT(AI196:AT196)=0,"",AU196-LOOKUP(2,1/(AI196:AT196&lt;&gt;""),AI196:AT196)))</t>
        </is>
      </c>
      <c r="BI196" s="49" t="inlineStr">
        <is>
          <t>IF(OR(F196="",AV196=""),"",IF(COUNT(AI196:AU196)=0,"",AV196-LOOKUP(2,1/(AI196:AU196&lt;&gt;""),AI196:AU196)))</t>
        </is>
      </c>
      <c r="BJ196" s="51" t="inlineStr">
        <is>
          <t>IF(J196="","All_Provinces",IFERROR(VLOOKUP(J196,'09_Lookups'!$A$4:$B$20,2,FALSE),"All_Provinces"))</t>
        </is>
      </c>
      <c r="BK196" s="51" t="inlineStr">
        <is>
          <t>IF(K196="","All_Districts",IFERROR(VLOOKUP(K196,'09_Lookups'!$E$4:$F$42,2,FALSE),"All_Districts"))</t>
        </is>
      </c>
    </row>
    <row r="197" ht="18" customHeight="1">
      <c r="A197" s="42" t="inlineStr">
        <is>
          <t>IF(F197="","",ROW()-3)</t>
        </is>
      </c>
      <c r="B197" s="44" t="n"/>
      <c r="C197" s="44" t="n"/>
      <c r="D197" s="44" t="n"/>
      <c r="E197" s="44" t="n"/>
      <c r="F197" s="44" t="n"/>
      <c r="G197" s="44" t="n"/>
      <c r="H197" s="44" t="n"/>
      <c r="I197" s="44" t="n"/>
      <c r="J197" s="44" t="n"/>
      <c r="K197" s="44" t="n"/>
      <c r="L197" s="44" t="n"/>
      <c r="M197" s="44" t="n"/>
      <c r="N197" s="44" t="n"/>
      <c r="O197" s="44" t="n"/>
      <c r="P197" s="44" t="n"/>
      <c r="Q197" s="44" t="n"/>
      <c r="R197" s="44" t="n"/>
      <c r="S197" s="45" t="n"/>
      <c r="T197" s="46" t="inlineStr">
        <is>
          <t>IF(AQ197="","",AQ197)</t>
        </is>
      </c>
      <c r="U197" s="47" t="n"/>
      <c r="V197" s="48" t="n"/>
      <c r="W197" s="47" t="n"/>
      <c r="X197" s="46" t="inlineStr">
        <is>
          <t>IF(W197&lt;&gt;"",W197,IF(OR(T197="",V197=""),"",EDATE(T197,V197)))</t>
        </is>
      </c>
      <c r="Y197" s="47" t="n"/>
      <c r="Z197" s="48" t="n"/>
      <c r="AA197" s="44" t="n"/>
      <c r="AB197" s="44" t="n"/>
      <c r="AC197" s="42" t="inlineStr">
        <is>
          <t>IF(F197="","",IF(COUNT(AI197:AV197)=0,IF(AA197="","Not started",AA197),SUBSTITUTE(LOOKUP(2,1/(AI197:AV197&lt;&gt;""),$AI$3:$AV$3),"Date: ","")))</t>
        </is>
      </c>
      <c r="AD197" s="49" t="inlineStr">
        <is>
          <t>IF(OR(F197="",COUNT(AI197:AV197)=0),"",TODAY()-LOOKUP(2,1/(AI197:AV197&lt;&gt;""),AI197:AV197))</t>
        </is>
      </c>
      <c r="AE197" s="49" t="inlineStr">
        <is>
          <t>IF(OR(F197="",COUNT(AI197:AV197)&lt;2),"",LOOKUP(2,1/(AI197:AV197&lt;&gt;""),AI197:AV197)-MIN(AI197:AV197))</t>
        </is>
      </c>
      <c r="AF197" s="49" t="inlineStr">
        <is>
          <t>IF(OR(AD197="",AC197="Not started",AC197=""),"",IFERROR(AD197-IF(VLOOKUP(AC197,'06_Status_Pipeline'!$B$3:$E$20,4,FALSE)="",0,VLOOKUP(AC197,'06_Status_Pipeline'!$B$3:$E$20,4,FALSE)),""))</t>
        </is>
      </c>
      <c r="AG197" s="42" t="inlineStr">
        <is>
          <t>IF(F197="","",IF(OR(AA197="Cancelled",AC197="Cancelled"),"Cancelled",IF(OR(AC197="Completed / Handover",Y197&lt;&gt;"",Z197&gt;=100),"Completed — on track",IF(O197="Not awarded",IF(U197="",IF(X197="","No planned date",IF(TODAY()&gt;X197,"Behind — past planned date",IF(X197-TODAY()&lt;=30,"At risk — close to off track","On track"))),IF(TODAY()&gt;U197,"Behind — award date passed",IF(U197-TODAY()&lt;=30,"At risk — close to off track","On track"))),IF(X197="","No planned date",IF(AND(TODAY()&gt;X197,OR(Z197="",Z197&lt;100)),"Behind — past end date",IF(AND(T197&lt;&gt;"",X197&lt;&gt;"",Z197&lt;&gt;"",(Z197&lt;100),((TODAY()-T197)/MAX(X197-T197,1)*100)-Z197&gt;15),"Behind — progress lag",IF(AND(X197-TODAY()&lt;=30,X197-TODAY()&gt;=0,OR(Z197="",Z197&lt;90)),"At risk — close to off track","On track"))))))))</t>
        </is>
      </c>
      <c r="AH197" s="49" t="inlineStr">
        <is>
          <t>IF(OR(F197="",AC197="Completed / Handover",AC197="Cancelled"),"",IF(O197="Not awarded",IF(U197&lt;&gt;"",U197-TODAY(),IF(X197="","",X197-TODAY())),IF(X197="","",X197-TODAY())))</t>
        </is>
      </c>
      <c r="AI197" s="47" t="n"/>
      <c r="AJ197" s="47" t="n"/>
      <c r="AK197" s="47" t="n"/>
      <c r="AL197" s="47" t="n"/>
      <c r="AM197" s="47" t="n"/>
      <c r="AN197" s="47" t="n"/>
      <c r="AO197" s="47" t="n"/>
      <c r="AP197" s="47" t="n"/>
      <c r="AQ197" s="47" t="n"/>
      <c r="AR197" s="47" t="n"/>
      <c r="AS197" s="47" t="n"/>
      <c r="AT197" s="50" t="n"/>
      <c r="AU197" s="50" t="n"/>
      <c r="AV197" s="50" t="n"/>
      <c r="AW197" s="49" t="inlineStr">
        <is>
          <t>IF(OR(F197="",AJ197=""),"",IF(COUNT(AI197:AI197)=0,"",AJ197-LOOKUP(2,1/(AI197:AI197&lt;&gt;""),AI197:AI197)))</t>
        </is>
      </c>
      <c r="AX197" s="49" t="inlineStr">
        <is>
          <t>IF(OR(F197="",AK197=""),"",IF(COUNT(AI197:AJ197)=0,"",AK197-LOOKUP(2,1/(AI197:AJ197&lt;&gt;""),AI197:AJ197)))</t>
        </is>
      </c>
      <c r="AY197" s="49" t="inlineStr">
        <is>
          <t>IF(OR(F197="",AL197=""),"",IF(COUNT(AI197:AK197)=0,"",AL197-LOOKUP(2,1/(AI197:AK197&lt;&gt;""),AI197:AK197)))</t>
        </is>
      </c>
      <c r="AZ197" s="49" t="inlineStr">
        <is>
          <t>IF(OR(F197="",AM197=""),"",IF(COUNT(AI197:AL197)=0,"",AM197-LOOKUP(2,1/(AI197:AL197&lt;&gt;""),AI197:AL197)))</t>
        </is>
      </c>
      <c r="BA197" s="49" t="inlineStr">
        <is>
          <t>IF(OR(F197="",AN197=""),"",IF(COUNT(AI197:AM197)=0,"",AN197-LOOKUP(2,1/(AI197:AM197&lt;&gt;""),AI197:AM197)))</t>
        </is>
      </c>
      <c r="BB197" s="49" t="inlineStr">
        <is>
          <t>IF(OR(F197="",AO197=""),"",IF(COUNT(AI197:AN197)=0,"",AO197-LOOKUP(2,1/(AI197:AN197&lt;&gt;""),AI197:AN197)))</t>
        </is>
      </c>
      <c r="BC197" s="49" t="inlineStr">
        <is>
          <t>IF(OR(F197="",AP197=""),"",IF(COUNT(AI197:AO197)=0,"",AP197-LOOKUP(2,1/(AI197:AO197&lt;&gt;""),AI197:AO197)))</t>
        </is>
      </c>
      <c r="BD197" s="49" t="inlineStr">
        <is>
          <t>IF(OR(F197="",AQ197=""),"",IF(COUNT(AI197:AP197)=0,"",AQ197-LOOKUP(2,1/(AI197:AP197&lt;&gt;""),AI197:AP197)))</t>
        </is>
      </c>
      <c r="BE197" s="49" t="inlineStr">
        <is>
          <t>IF(OR(F197="",AR197=""),"",IF(COUNT(AI197:AQ197)=0,"",AR197-LOOKUP(2,1/(AI197:AQ197&lt;&gt;""),AI197:AQ197)))</t>
        </is>
      </c>
      <c r="BF197" s="49" t="inlineStr">
        <is>
          <t>IF(OR(F197="",AS197=""),"",IF(COUNT(AI197:AR197)=0,"",AS197-LOOKUP(2,1/(AI197:AR197&lt;&gt;""),AI197:AR197)))</t>
        </is>
      </c>
      <c r="BG197" s="49" t="inlineStr">
        <is>
          <t>IF(OR(F197="",AT197=""),"",IF(COUNT(AI197:AS197)=0,"",AT197-LOOKUP(2,1/(AI197:AS197&lt;&gt;""),AI197:AS197)))</t>
        </is>
      </c>
      <c r="BH197" s="49" t="inlineStr">
        <is>
          <t>IF(OR(F197="",AU197=""),"",IF(COUNT(AI197:AT197)=0,"",AU197-LOOKUP(2,1/(AI197:AT197&lt;&gt;""),AI197:AT197)))</t>
        </is>
      </c>
      <c r="BI197" s="49" t="inlineStr">
        <is>
          <t>IF(OR(F197="",AV197=""),"",IF(COUNT(AI197:AU197)=0,"",AV197-LOOKUP(2,1/(AI197:AU197&lt;&gt;""),AI197:AU197)))</t>
        </is>
      </c>
      <c r="BJ197" s="51" t="inlineStr">
        <is>
          <t>IF(J197="","All_Provinces",IFERROR(VLOOKUP(J197,'09_Lookups'!$A$4:$B$20,2,FALSE),"All_Provinces"))</t>
        </is>
      </c>
      <c r="BK197" s="51" t="inlineStr">
        <is>
          <t>IF(K197="","All_Districts",IFERROR(VLOOKUP(K197,'09_Lookups'!$E$4:$F$42,2,FALSE),"All_Districts"))</t>
        </is>
      </c>
    </row>
    <row r="198" ht="18" customHeight="1">
      <c r="A198" s="42" t="inlineStr">
        <is>
          <t>IF(F198="","",ROW()-3)</t>
        </is>
      </c>
      <c r="B198" s="52" t="n"/>
      <c r="C198" s="52" t="n"/>
      <c r="D198" s="52" t="n"/>
      <c r="E198" s="52" t="n"/>
      <c r="F198" s="52" t="n"/>
      <c r="G198" s="52" t="n"/>
      <c r="H198" s="52" t="n"/>
      <c r="I198" s="52" t="n"/>
      <c r="J198" s="52" t="n"/>
      <c r="K198" s="52" t="n"/>
      <c r="L198" s="52" t="n"/>
      <c r="M198" s="52" t="n"/>
      <c r="N198" s="52" t="n"/>
      <c r="O198" s="52" t="n"/>
      <c r="P198" s="52" t="n"/>
      <c r="Q198" s="52" t="n"/>
      <c r="R198" s="52" t="n"/>
      <c r="S198" s="53" t="n"/>
      <c r="T198" s="46" t="inlineStr">
        <is>
          <t>IF(AQ198="","",AQ198)</t>
        </is>
      </c>
      <c r="U198" s="54" t="n"/>
      <c r="V198" s="55" t="n"/>
      <c r="W198" s="54" t="n"/>
      <c r="X198" s="46" t="inlineStr">
        <is>
          <t>IF(W198&lt;&gt;"",W198,IF(OR(T198="",V198=""),"",EDATE(T198,V198)))</t>
        </is>
      </c>
      <c r="Y198" s="54" t="n"/>
      <c r="Z198" s="55" t="n"/>
      <c r="AA198" s="52" t="n"/>
      <c r="AB198" s="52" t="n"/>
      <c r="AC198" s="42" t="inlineStr">
        <is>
          <t>IF(F198="","",IF(COUNT(AI198:AV198)=0,IF(AA198="","Not started",AA198),SUBSTITUTE(LOOKUP(2,1/(AI198:AV198&lt;&gt;""),$AI$3:$AV$3),"Date: ","")))</t>
        </is>
      </c>
      <c r="AD198" s="49" t="inlineStr">
        <is>
          <t>IF(OR(F198="",COUNT(AI198:AV198)=0),"",TODAY()-LOOKUP(2,1/(AI198:AV198&lt;&gt;""),AI198:AV198))</t>
        </is>
      </c>
      <c r="AE198" s="49" t="inlineStr">
        <is>
          <t>IF(OR(F198="",COUNT(AI198:AV198)&lt;2),"",LOOKUP(2,1/(AI198:AV198&lt;&gt;""),AI198:AV198)-MIN(AI198:AV198))</t>
        </is>
      </c>
      <c r="AF198" s="49" t="inlineStr">
        <is>
          <t>IF(OR(AD198="",AC198="Not started",AC198=""),"",IFERROR(AD198-IF(VLOOKUP(AC198,'06_Status_Pipeline'!$B$3:$E$20,4,FALSE)="",0,VLOOKUP(AC198,'06_Status_Pipeline'!$B$3:$E$20,4,FALSE)),""))</t>
        </is>
      </c>
      <c r="AG198" s="42" t="inlineStr">
        <is>
          <t>IF(F198="","",IF(OR(AA198="Cancelled",AC198="Cancelled"),"Cancelled",IF(OR(AC198="Completed / Handover",Y198&lt;&gt;"",Z198&gt;=100),"Completed — on track",IF(O198="Not awarded",IF(U198="",IF(X198="","No planned date",IF(TODAY()&gt;X198,"Behind — past planned date",IF(X198-TODAY()&lt;=30,"At risk — close to off track","On track"))),IF(TODAY()&gt;U198,"Behind — award date passed",IF(U198-TODAY()&lt;=30,"At risk — close to off track","On track"))),IF(X198="","No planned date",IF(AND(TODAY()&gt;X198,OR(Z198="",Z198&lt;100)),"Behind — past end date",IF(AND(T198&lt;&gt;"",X198&lt;&gt;"",Z198&lt;&gt;"",(Z198&lt;100),((TODAY()-T198)/MAX(X198-T198,1)*100)-Z198&gt;15),"Behind — progress lag",IF(AND(X198-TODAY()&lt;=30,X198-TODAY()&gt;=0,OR(Z198="",Z198&lt;90)),"At risk — close to off track","On track"))))))))</t>
        </is>
      </c>
      <c r="AH198" s="49" t="inlineStr">
        <is>
          <t>IF(OR(F198="",AC198="Completed / Handover",AC198="Cancelled"),"",IF(O198="Not awarded",IF(U198&lt;&gt;"",U198-TODAY(),IF(X198="","",X198-TODAY())),IF(X198="","",X198-TODAY())))</t>
        </is>
      </c>
      <c r="AI198" s="54" t="n"/>
      <c r="AJ198" s="54" t="n"/>
      <c r="AK198" s="54" t="n"/>
      <c r="AL198" s="54" t="n"/>
      <c r="AM198" s="54" t="n"/>
      <c r="AN198" s="54" t="n"/>
      <c r="AO198" s="54" t="n"/>
      <c r="AP198" s="54" t="n"/>
      <c r="AQ198" s="54" t="n"/>
      <c r="AR198" s="54" t="n"/>
      <c r="AS198" s="54" t="n"/>
      <c r="AT198" s="50" t="n"/>
      <c r="AU198" s="50" t="n"/>
      <c r="AV198" s="50" t="n"/>
      <c r="AW198" s="49" t="inlineStr">
        <is>
          <t>IF(OR(F198="",AJ198=""),"",IF(COUNT(AI198:AI198)=0,"",AJ198-LOOKUP(2,1/(AI198:AI198&lt;&gt;""),AI198:AI198)))</t>
        </is>
      </c>
      <c r="AX198" s="49" t="inlineStr">
        <is>
          <t>IF(OR(F198="",AK198=""),"",IF(COUNT(AI198:AJ198)=0,"",AK198-LOOKUP(2,1/(AI198:AJ198&lt;&gt;""),AI198:AJ198)))</t>
        </is>
      </c>
      <c r="AY198" s="49" t="inlineStr">
        <is>
          <t>IF(OR(F198="",AL198=""),"",IF(COUNT(AI198:AK198)=0,"",AL198-LOOKUP(2,1/(AI198:AK198&lt;&gt;""),AI198:AK198)))</t>
        </is>
      </c>
      <c r="AZ198" s="49" t="inlineStr">
        <is>
          <t>IF(OR(F198="",AM198=""),"",IF(COUNT(AI198:AL198)=0,"",AM198-LOOKUP(2,1/(AI198:AL198&lt;&gt;""),AI198:AL198)))</t>
        </is>
      </c>
      <c r="BA198" s="49" t="inlineStr">
        <is>
          <t>IF(OR(F198="",AN198=""),"",IF(COUNT(AI198:AM198)=0,"",AN198-LOOKUP(2,1/(AI198:AM198&lt;&gt;""),AI198:AM198)))</t>
        </is>
      </c>
      <c r="BB198" s="49" t="inlineStr">
        <is>
          <t>IF(OR(F198="",AO198=""),"",IF(COUNT(AI198:AN198)=0,"",AO198-LOOKUP(2,1/(AI198:AN198&lt;&gt;""),AI198:AN198)))</t>
        </is>
      </c>
      <c r="BC198" s="49" t="inlineStr">
        <is>
          <t>IF(OR(F198="",AP198=""),"",IF(COUNT(AI198:AO198)=0,"",AP198-LOOKUP(2,1/(AI198:AO198&lt;&gt;""),AI198:AO198)))</t>
        </is>
      </c>
      <c r="BD198" s="49" t="inlineStr">
        <is>
          <t>IF(OR(F198="",AQ198=""),"",IF(COUNT(AI198:AP198)=0,"",AQ198-LOOKUP(2,1/(AI198:AP198&lt;&gt;""),AI198:AP198)))</t>
        </is>
      </c>
      <c r="BE198" s="49" t="inlineStr">
        <is>
          <t>IF(OR(F198="",AR198=""),"",IF(COUNT(AI198:AQ198)=0,"",AR198-LOOKUP(2,1/(AI198:AQ198&lt;&gt;""),AI198:AQ198)))</t>
        </is>
      </c>
      <c r="BF198" s="49" t="inlineStr">
        <is>
          <t>IF(OR(F198="",AS198=""),"",IF(COUNT(AI198:AR198)=0,"",AS198-LOOKUP(2,1/(AI198:AR198&lt;&gt;""),AI198:AR198)))</t>
        </is>
      </c>
      <c r="BG198" s="49" t="inlineStr">
        <is>
          <t>IF(OR(F198="",AT198=""),"",IF(COUNT(AI198:AS198)=0,"",AT198-LOOKUP(2,1/(AI198:AS198&lt;&gt;""),AI198:AS198)))</t>
        </is>
      </c>
      <c r="BH198" s="49" t="inlineStr">
        <is>
          <t>IF(OR(F198="",AU198=""),"",IF(COUNT(AI198:AT198)=0,"",AU198-LOOKUP(2,1/(AI198:AT198&lt;&gt;""),AI198:AT198)))</t>
        </is>
      </c>
      <c r="BI198" s="49" t="inlineStr">
        <is>
          <t>IF(OR(F198="",AV198=""),"",IF(COUNT(AI198:AU198)=0,"",AV198-LOOKUP(2,1/(AI198:AU198&lt;&gt;""),AI198:AU198)))</t>
        </is>
      </c>
      <c r="BJ198" s="51" t="inlineStr">
        <is>
          <t>IF(J198="","All_Provinces",IFERROR(VLOOKUP(J198,'09_Lookups'!$A$4:$B$20,2,FALSE),"All_Provinces"))</t>
        </is>
      </c>
      <c r="BK198" s="51" t="inlineStr">
        <is>
          <t>IF(K198="","All_Districts",IFERROR(VLOOKUP(K198,'09_Lookups'!$E$4:$F$42,2,FALSE),"All_Districts"))</t>
        </is>
      </c>
    </row>
    <row r="199" ht="18" customHeight="1">
      <c r="A199" s="42" t="inlineStr">
        <is>
          <t>IF(F199="","",ROW()-3)</t>
        </is>
      </c>
      <c r="B199" s="44" t="n"/>
      <c r="C199" s="44" t="n"/>
      <c r="D199" s="44" t="n"/>
      <c r="E199" s="44" t="n"/>
      <c r="F199" s="44" t="n"/>
      <c r="G199" s="44" t="n"/>
      <c r="H199" s="44" t="n"/>
      <c r="I199" s="44" t="n"/>
      <c r="J199" s="44" t="n"/>
      <c r="K199" s="44" t="n"/>
      <c r="L199" s="44" t="n"/>
      <c r="M199" s="44" t="n"/>
      <c r="N199" s="44" t="n"/>
      <c r="O199" s="44" t="n"/>
      <c r="P199" s="44" t="n"/>
      <c r="Q199" s="44" t="n"/>
      <c r="R199" s="44" t="n"/>
      <c r="S199" s="45" t="n"/>
      <c r="T199" s="46" t="inlineStr">
        <is>
          <t>IF(AQ199="","",AQ199)</t>
        </is>
      </c>
      <c r="U199" s="47" t="n"/>
      <c r="V199" s="48" t="n"/>
      <c r="W199" s="47" t="n"/>
      <c r="X199" s="46" t="inlineStr">
        <is>
          <t>IF(W199&lt;&gt;"",W199,IF(OR(T199="",V199=""),"",EDATE(T199,V199)))</t>
        </is>
      </c>
      <c r="Y199" s="47" t="n"/>
      <c r="Z199" s="48" t="n"/>
      <c r="AA199" s="44" t="n"/>
      <c r="AB199" s="44" t="n"/>
      <c r="AC199" s="42" t="inlineStr">
        <is>
          <t>IF(F199="","",IF(COUNT(AI199:AV199)=0,IF(AA199="","Not started",AA199),SUBSTITUTE(LOOKUP(2,1/(AI199:AV199&lt;&gt;""),$AI$3:$AV$3),"Date: ","")))</t>
        </is>
      </c>
      <c r="AD199" s="49" t="inlineStr">
        <is>
          <t>IF(OR(F199="",COUNT(AI199:AV199)=0),"",TODAY()-LOOKUP(2,1/(AI199:AV199&lt;&gt;""),AI199:AV199))</t>
        </is>
      </c>
      <c r="AE199" s="49" t="inlineStr">
        <is>
          <t>IF(OR(F199="",COUNT(AI199:AV199)&lt;2),"",LOOKUP(2,1/(AI199:AV199&lt;&gt;""),AI199:AV199)-MIN(AI199:AV199))</t>
        </is>
      </c>
      <c r="AF199" s="49" t="inlineStr">
        <is>
          <t>IF(OR(AD199="",AC199="Not started",AC199=""),"",IFERROR(AD199-IF(VLOOKUP(AC199,'06_Status_Pipeline'!$B$3:$E$20,4,FALSE)="",0,VLOOKUP(AC199,'06_Status_Pipeline'!$B$3:$E$20,4,FALSE)),""))</t>
        </is>
      </c>
      <c r="AG199" s="42" t="inlineStr">
        <is>
          <t>IF(F199="","",IF(OR(AA199="Cancelled",AC199="Cancelled"),"Cancelled",IF(OR(AC199="Completed / Handover",Y199&lt;&gt;"",Z199&gt;=100),"Completed — on track",IF(O199="Not awarded",IF(U199="",IF(X199="","No planned date",IF(TODAY()&gt;X199,"Behind — past planned date",IF(X199-TODAY()&lt;=30,"At risk — close to off track","On track"))),IF(TODAY()&gt;U199,"Behind — award date passed",IF(U199-TODAY()&lt;=30,"At risk — close to off track","On track"))),IF(X199="","No planned date",IF(AND(TODAY()&gt;X199,OR(Z199="",Z199&lt;100)),"Behind — past end date",IF(AND(T199&lt;&gt;"",X199&lt;&gt;"",Z199&lt;&gt;"",(Z199&lt;100),((TODAY()-T199)/MAX(X199-T199,1)*100)-Z199&gt;15),"Behind — progress lag",IF(AND(X199-TODAY()&lt;=30,X199-TODAY()&gt;=0,OR(Z199="",Z199&lt;90)),"At risk — close to off track","On track"))))))))</t>
        </is>
      </c>
      <c r="AH199" s="49" t="inlineStr">
        <is>
          <t>IF(OR(F199="",AC199="Completed / Handover",AC199="Cancelled"),"",IF(O199="Not awarded",IF(U199&lt;&gt;"",U199-TODAY(),IF(X199="","",X199-TODAY())),IF(X199="","",X199-TODAY())))</t>
        </is>
      </c>
      <c r="AI199" s="47" t="n"/>
      <c r="AJ199" s="47" t="n"/>
      <c r="AK199" s="47" t="n"/>
      <c r="AL199" s="47" t="n"/>
      <c r="AM199" s="47" t="n"/>
      <c r="AN199" s="47" t="n"/>
      <c r="AO199" s="47" t="n"/>
      <c r="AP199" s="47" t="n"/>
      <c r="AQ199" s="47" t="n"/>
      <c r="AR199" s="47" t="n"/>
      <c r="AS199" s="47" t="n"/>
      <c r="AT199" s="50" t="n"/>
      <c r="AU199" s="50" t="n"/>
      <c r="AV199" s="50" t="n"/>
      <c r="AW199" s="49" t="inlineStr">
        <is>
          <t>IF(OR(F199="",AJ199=""),"",IF(COUNT(AI199:AI199)=0,"",AJ199-LOOKUP(2,1/(AI199:AI199&lt;&gt;""),AI199:AI199)))</t>
        </is>
      </c>
      <c r="AX199" s="49" t="inlineStr">
        <is>
          <t>IF(OR(F199="",AK199=""),"",IF(COUNT(AI199:AJ199)=0,"",AK199-LOOKUP(2,1/(AI199:AJ199&lt;&gt;""),AI199:AJ199)))</t>
        </is>
      </c>
      <c r="AY199" s="49" t="inlineStr">
        <is>
          <t>IF(OR(F199="",AL199=""),"",IF(COUNT(AI199:AK199)=0,"",AL199-LOOKUP(2,1/(AI199:AK199&lt;&gt;""),AI199:AK199)))</t>
        </is>
      </c>
      <c r="AZ199" s="49" t="inlineStr">
        <is>
          <t>IF(OR(F199="",AM199=""),"",IF(COUNT(AI199:AL199)=0,"",AM199-LOOKUP(2,1/(AI199:AL199&lt;&gt;""),AI199:AL199)))</t>
        </is>
      </c>
      <c r="BA199" s="49" t="inlineStr">
        <is>
          <t>IF(OR(F199="",AN199=""),"",IF(COUNT(AI199:AM199)=0,"",AN199-LOOKUP(2,1/(AI199:AM199&lt;&gt;""),AI199:AM199)))</t>
        </is>
      </c>
      <c r="BB199" s="49" t="inlineStr">
        <is>
          <t>IF(OR(F199="",AO199=""),"",IF(COUNT(AI199:AN199)=0,"",AO199-LOOKUP(2,1/(AI199:AN199&lt;&gt;""),AI199:AN199)))</t>
        </is>
      </c>
      <c r="BC199" s="49" t="inlineStr">
        <is>
          <t>IF(OR(F199="",AP199=""),"",IF(COUNT(AI199:AO199)=0,"",AP199-LOOKUP(2,1/(AI199:AO199&lt;&gt;""),AI199:AO199)))</t>
        </is>
      </c>
      <c r="BD199" s="49" t="inlineStr">
        <is>
          <t>IF(OR(F199="",AQ199=""),"",IF(COUNT(AI199:AP199)=0,"",AQ199-LOOKUP(2,1/(AI199:AP199&lt;&gt;""),AI199:AP199)))</t>
        </is>
      </c>
      <c r="BE199" s="49" t="inlineStr">
        <is>
          <t>IF(OR(F199="",AR199=""),"",IF(COUNT(AI199:AQ199)=0,"",AR199-LOOKUP(2,1/(AI199:AQ199&lt;&gt;""),AI199:AQ199)))</t>
        </is>
      </c>
      <c r="BF199" s="49" t="inlineStr">
        <is>
          <t>IF(OR(F199="",AS199=""),"",IF(COUNT(AI199:AR199)=0,"",AS199-LOOKUP(2,1/(AI199:AR199&lt;&gt;""),AI199:AR199)))</t>
        </is>
      </c>
      <c r="BG199" s="49" t="inlineStr">
        <is>
          <t>IF(OR(F199="",AT199=""),"",IF(COUNT(AI199:AS199)=0,"",AT199-LOOKUP(2,1/(AI199:AS199&lt;&gt;""),AI199:AS199)))</t>
        </is>
      </c>
      <c r="BH199" s="49" t="inlineStr">
        <is>
          <t>IF(OR(F199="",AU199=""),"",IF(COUNT(AI199:AT199)=0,"",AU199-LOOKUP(2,1/(AI199:AT199&lt;&gt;""),AI199:AT199)))</t>
        </is>
      </c>
      <c r="BI199" s="49" t="inlineStr">
        <is>
          <t>IF(OR(F199="",AV199=""),"",IF(COUNT(AI199:AU199)=0,"",AV199-LOOKUP(2,1/(AI199:AU199&lt;&gt;""),AI199:AU199)))</t>
        </is>
      </c>
      <c r="BJ199" s="51" t="inlineStr">
        <is>
          <t>IF(J199="","All_Provinces",IFERROR(VLOOKUP(J199,'09_Lookups'!$A$4:$B$20,2,FALSE),"All_Provinces"))</t>
        </is>
      </c>
      <c r="BK199" s="51" t="inlineStr">
        <is>
          <t>IF(K199="","All_Districts",IFERROR(VLOOKUP(K199,'09_Lookups'!$E$4:$F$42,2,FALSE),"All_Districts"))</t>
        </is>
      </c>
    </row>
    <row r="200" ht="18" customHeight="1">
      <c r="A200" s="42" t="inlineStr">
        <is>
          <t>IF(F200="","",ROW()-3)</t>
        </is>
      </c>
      <c r="B200" s="52" t="n"/>
      <c r="C200" s="52" t="n"/>
      <c r="D200" s="52" t="n"/>
      <c r="E200" s="52" t="n"/>
      <c r="F200" s="52" t="n"/>
      <c r="G200" s="52" t="n"/>
      <c r="H200" s="52" t="n"/>
      <c r="I200" s="52" t="n"/>
      <c r="J200" s="52" t="n"/>
      <c r="K200" s="52" t="n"/>
      <c r="L200" s="52" t="n"/>
      <c r="M200" s="52" t="n"/>
      <c r="N200" s="52" t="n"/>
      <c r="O200" s="52" t="n"/>
      <c r="P200" s="52" t="n"/>
      <c r="Q200" s="52" t="n"/>
      <c r="R200" s="52" t="n"/>
      <c r="S200" s="53" t="n"/>
      <c r="T200" s="46" t="inlineStr">
        <is>
          <t>IF(AQ200="","",AQ200)</t>
        </is>
      </c>
      <c r="U200" s="54" t="n"/>
      <c r="V200" s="55" t="n"/>
      <c r="W200" s="54" t="n"/>
      <c r="X200" s="46" t="inlineStr">
        <is>
          <t>IF(W200&lt;&gt;"",W200,IF(OR(T200="",V200=""),"",EDATE(T200,V200)))</t>
        </is>
      </c>
      <c r="Y200" s="54" t="n"/>
      <c r="Z200" s="55" t="n"/>
      <c r="AA200" s="52" t="n"/>
      <c r="AB200" s="52" t="n"/>
      <c r="AC200" s="42" t="inlineStr">
        <is>
          <t>IF(F200="","",IF(COUNT(AI200:AV200)=0,IF(AA200="","Not started",AA200),SUBSTITUTE(LOOKUP(2,1/(AI200:AV200&lt;&gt;""),$AI$3:$AV$3),"Date: ","")))</t>
        </is>
      </c>
      <c r="AD200" s="49" t="inlineStr">
        <is>
          <t>IF(OR(F200="",COUNT(AI200:AV200)=0),"",TODAY()-LOOKUP(2,1/(AI200:AV200&lt;&gt;""),AI200:AV200))</t>
        </is>
      </c>
      <c r="AE200" s="49" t="inlineStr">
        <is>
          <t>IF(OR(F200="",COUNT(AI200:AV200)&lt;2),"",LOOKUP(2,1/(AI200:AV200&lt;&gt;""),AI200:AV200)-MIN(AI200:AV200))</t>
        </is>
      </c>
      <c r="AF200" s="49" t="inlineStr">
        <is>
          <t>IF(OR(AD200="",AC200="Not started",AC200=""),"",IFERROR(AD200-IF(VLOOKUP(AC200,'06_Status_Pipeline'!$B$3:$E$20,4,FALSE)="",0,VLOOKUP(AC200,'06_Status_Pipeline'!$B$3:$E$20,4,FALSE)),""))</t>
        </is>
      </c>
      <c r="AG200" s="42" t="inlineStr">
        <is>
          <t>IF(F200="","",IF(OR(AA200="Cancelled",AC200="Cancelled"),"Cancelled",IF(OR(AC200="Completed / Handover",Y200&lt;&gt;"",Z200&gt;=100),"Completed — on track",IF(O200="Not awarded",IF(U200="",IF(X200="","No planned date",IF(TODAY()&gt;X200,"Behind — past planned date",IF(X200-TODAY()&lt;=30,"At risk — close to off track","On track"))),IF(TODAY()&gt;U200,"Behind — award date passed",IF(U200-TODAY()&lt;=30,"At risk — close to off track","On track"))),IF(X200="","No planned date",IF(AND(TODAY()&gt;X200,OR(Z200="",Z200&lt;100)),"Behind — past end date",IF(AND(T200&lt;&gt;"",X200&lt;&gt;"",Z200&lt;&gt;"",(Z200&lt;100),((TODAY()-T200)/MAX(X200-T200,1)*100)-Z200&gt;15),"Behind — progress lag",IF(AND(X200-TODAY()&lt;=30,X200-TODAY()&gt;=0,OR(Z200="",Z200&lt;90)),"At risk — close to off track","On track"))))))))</t>
        </is>
      </c>
      <c r="AH200" s="49" t="inlineStr">
        <is>
          <t>IF(OR(F200="",AC200="Completed / Handover",AC200="Cancelled"),"",IF(O200="Not awarded",IF(U200&lt;&gt;"",U200-TODAY(),IF(X200="","",X200-TODAY())),IF(X200="","",X200-TODAY())))</t>
        </is>
      </c>
      <c r="AI200" s="54" t="n"/>
      <c r="AJ200" s="54" t="n"/>
      <c r="AK200" s="54" t="n"/>
      <c r="AL200" s="54" t="n"/>
      <c r="AM200" s="54" t="n"/>
      <c r="AN200" s="54" t="n"/>
      <c r="AO200" s="54" t="n"/>
      <c r="AP200" s="54" t="n"/>
      <c r="AQ200" s="54" t="n"/>
      <c r="AR200" s="54" t="n"/>
      <c r="AS200" s="54" t="n"/>
      <c r="AT200" s="50" t="n"/>
      <c r="AU200" s="50" t="n"/>
      <c r="AV200" s="50" t="n"/>
      <c r="AW200" s="49" t="inlineStr">
        <is>
          <t>IF(OR(F200="",AJ200=""),"",IF(COUNT(AI200:AI200)=0,"",AJ200-LOOKUP(2,1/(AI200:AI200&lt;&gt;""),AI200:AI200)))</t>
        </is>
      </c>
      <c r="AX200" s="49" t="inlineStr">
        <is>
          <t>IF(OR(F200="",AK200=""),"",IF(COUNT(AI200:AJ200)=0,"",AK200-LOOKUP(2,1/(AI200:AJ200&lt;&gt;""),AI200:AJ200)))</t>
        </is>
      </c>
      <c r="AY200" s="49" t="inlineStr">
        <is>
          <t>IF(OR(F200="",AL200=""),"",IF(COUNT(AI200:AK200)=0,"",AL200-LOOKUP(2,1/(AI200:AK200&lt;&gt;""),AI200:AK200)))</t>
        </is>
      </c>
      <c r="AZ200" s="49" t="inlineStr">
        <is>
          <t>IF(OR(F200="",AM200=""),"",IF(COUNT(AI200:AL200)=0,"",AM200-LOOKUP(2,1/(AI200:AL200&lt;&gt;""),AI200:AL200)))</t>
        </is>
      </c>
      <c r="BA200" s="49" t="inlineStr">
        <is>
          <t>IF(OR(F200="",AN200=""),"",IF(COUNT(AI200:AM200)=0,"",AN200-LOOKUP(2,1/(AI200:AM200&lt;&gt;""),AI200:AM200)))</t>
        </is>
      </c>
      <c r="BB200" s="49" t="inlineStr">
        <is>
          <t>IF(OR(F200="",AO200=""),"",IF(COUNT(AI200:AN200)=0,"",AO200-LOOKUP(2,1/(AI200:AN200&lt;&gt;""),AI200:AN200)))</t>
        </is>
      </c>
      <c r="BC200" s="49" t="inlineStr">
        <is>
          <t>IF(OR(F200="",AP200=""),"",IF(COUNT(AI200:AO200)=0,"",AP200-LOOKUP(2,1/(AI200:AO200&lt;&gt;""),AI200:AO200)))</t>
        </is>
      </c>
      <c r="BD200" s="49" t="inlineStr">
        <is>
          <t>IF(OR(F200="",AQ200=""),"",IF(COUNT(AI200:AP200)=0,"",AQ200-LOOKUP(2,1/(AI200:AP200&lt;&gt;""),AI200:AP200)))</t>
        </is>
      </c>
      <c r="BE200" s="49" t="inlineStr">
        <is>
          <t>IF(OR(F200="",AR200=""),"",IF(COUNT(AI200:AQ200)=0,"",AR200-LOOKUP(2,1/(AI200:AQ200&lt;&gt;""),AI200:AQ200)))</t>
        </is>
      </c>
      <c r="BF200" s="49" t="inlineStr">
        <is>
          <t>IF(OR(F200="",AS200=""),"",IF(COUNT(AI200:AR200)=0,"",AS200-LOOKUP(2,1/(AI200:AR200&lt;&gt;""),AI200:AR200)))</t>
        </is>
      </c>
      <c r="BG200" s="49" t="inlineStr">
        <is>
          <t>IF(OR(F200="",AT200=""),"",IF(COUNT(AI200:AS200)=0,"",AT200-LOOKUP(2,1/(AI200:AS200&lt;&gt;""),AI200:AS200)))</t>
        </is>
      </c>
      <c r="BH200" s="49" t="inlineStr">
        <is>
          <t>IF(OR(F200="",AU200=""),"",IF(COUNT(AI200:AT200)=0,"",AU200-LOOKUP(2,1/(AI200:AT200&lt;&gt;""),AI200:AT200)))</t>
        </is>
      </c>
      <c r="BI200" s="49" t="inlineStr">
        <is>
          <t>IF(OR(F200="",AV200=""),"",IF(COUNT(AI200:AU200)=0,"",AV200-LOOKUP(2,1/(AI200:AU200&lt;&gt;""),AI200:AU200)))</t>
        </is>
      </c>
      <c r="BJ200" s="51" t="inlineStr">
        <is>
          <t>IF(J200="","All_Provinces",IFERROR(VLOOKUP(J200,'09_Lookups'!$A$4:$B$20,2,FALSE),"All_Provinces"))</t>
        </is>
      </c>
      <c r="BK200" s="51" t="inlineStr">
        <is>
          <t>IF(K200="","All_Districts",IFERROR(VLOOKUP(K200,'09_Lookups'!$E$4:$F$42,2,FALSE),"All_Districts"))</t>
        </is>
      </c>
    </row>
    <row r="201" ht="18" customHeight="1">
      <c r="A201" s="42" t="inlineStr">
        <is>
          <t>IF(F201="","",ROW()-3)</t>
        </is>
      </c>
      <c r="B201" s="44" t="n"/>
      <c r="C201" s="44" t="n"/>
      <c r="D201" s="44" t="n"/>
      <c r="E201" s="44" t="n"/>
      <c r="F201" s="44" t="n"/>
      <c r="G201" s="44" t="n"/>
      <c r="H201" s="44" t="n"/>
      <c r="I201" s="44" t="n"/>
      <c r="J201" s="44" t="n"/>
      <c r="K201" s="44" t="n"/>
      <c r="L201" s="44" t="n"/>
      <c r="M201" s="44" t="n"/>
      <c r="N201" s="44" t="n"/>
      <c r="O201" s="44" t="n"/>
      <c r="P201" s="44" t="n"/>
      <c r="Q201" s="44" t="n"/>
      <c r="R201" s="44" t="n"/>
      <c r="S201" s="45" t="n"/>
      <c r="T201" s="46" t="inlineStr">
        <is>
          <t>IF(AQ201="","",AQ201)</t>
        </is>
      </c>
      <c r="U201" s="47" t="n"/>
      <c r="V201" s="48" t="n"/>
      <c r="W201" s="47" t="n"/>
      <c r="X201" s="46" t="inlineStr">
        <is>
          <t>IF(W201&lt;&gt;"",W201,IF(OR(T201="",V201=""),"",EDATE(T201,V201)))</t>
        </is>
      </c>
      <c r="Y201" s="47" t="n"/>
      <c r="Z201" s="48" t="n"/>
      <c r="AA201" s="44" t="n"/>
      <c r="AB201" s="44" t="n"/>
      <c r="AC201" s="42" t="inlineStr">
        <is>
          <t>IF(F201="","",IF(COUNT(AI201:AV201)=0,IF(AA201="","Not started",AA201),SUBSTITUTE(LOOKUP(2,1/(AI201:AV201&lt;&gt;""),$AI$3:$AV$3),"Date: ","")))</t>
        </is>
      </c>
      <c r="AD201" s="49" t="inlineStr">
        <is>
          <t>IF(OR(F201="",COUNT(AI201:AV201)=0),"",TODAY()-LOOKUP(2,1/(AI201:AV201&lt;&gt;""),AI201:AV201))</t>
        </is>
      </c>
      <c r="AE201" s="49" t="inlineStr">
        <is>
          <t>IF(OR(F201="",COUNT(AI201:AV201)&lt;2),"",LOOKUP(2,1/(AI201:AV201&lt;&gt;""),AI201:AV201)-MIN(AI201:AV201))</t>
        </is>
      </c>
      <c r="AF201" s="49" t="inlineStr">
        <is>
          <t>IF(OR(AD201="",AC201="Not started",AC201=""),"",IFERROR(AD201-IF(VLOOKUP(AC201,'06_Status_Pipeline'!$B$3:$E$20,4,FALSE)="",0,VLOOKUP(AC201,'06_Status_Pipeline'!$B$3:$E$20,4,FALSE)),""))</t>
        </is>
      </c>
      <c r="AG201" s="42" t="inlineStr">
        <is>
          <t>IF(F201="","",IF(OR(AA201="Cancelled",AC201="Cancelled"),"Cancelled",IF(OR(AC201="Completed / Handover",Y201&lt;&gt;"",Z201&gt;=100),"Completed — on track",IF(O201="Not awarded",IF(U201="",IF(X201="","No planned date",IF(TODAY()&gt;X201,"Behind — past planned date",IF(X201-TODAY()&lt;=30,"At risk — close to off track","On track"))),IF(TODAY()&gt;U201,"Behind — award date passed",IF(U201-TODAY()&lt;=30,"At risk — close to off track","On track"))),IF(X201="","No planned date",IF(AND(TODAY()&gt;X201,OR(Z201="",Z201&lt;100)),"Behind — past end date",IF(AND(T201&lt;&gt;"",X201&lt;&gt;"",Z201&lt;&gt;"",(Z201&lt;100),((TODAY()-T201)/MAX(X201-T201,1)*100)-Z201&gt;15),"Behind — progress lag",IF(AND(X201-TODAY()&lt;=30,X201-TODAY()&gt;=0,OR(Z201="",Z201&lt;90)),"At risk — close to off track","On track"))))))))</t>
        </is>
      </c>
      <c r="AH201" s="49" t="inlineStr">
        <is>
          <t>IF(OR(F201="",AC201="Completed / Handover",AC201="Cancelled"),"",IF(O201="Not awarded",IF(U201&lt;&gt;"",U201-TODAY(),IF(X201="","",X201-TODAY())),IF(X201="","",X201-TODAY())))</t>
        </is>
      </c>
      <c r="AI201" s="47" t="n"/>
      <c r="AJ201" s="47" t="n"/>
      <c r="AK201" s="47" t="n"/>
      <c r="AL201" s="47" t="n"/>
      <c r="AM201" s="47" t="n"/>
      <c r="AN201" s="47" t="n"/>
      <c r="AO201" s="47" t="n"/>
      <c r="AP201" s="47" t="n"/>
      <c r="AQ201" s="47" t="n"/>
      <c r="AR201" s="47" t="n"/>
      <c r="AS201" s="47" t="n"/>
      <c r="AT201" s="50" t="n"/>
      <c r="AU201" s="50" t="n"/>
      <c r="AV201" s="50" t="n"/>
      <c r="AW201" s="49" t="inlineStr">
        <is>
          <t>IF(OR(F201="",AJ201=""),"",IF(COUNT(AI201:AI201)=0,"",AJ201-LOOKUP(2,1/(AI201:AI201&lt;&gt;""),AI201:AI201)))</t>
        </is>
      </c>
      <c r="AX201" s="49" t="inlineStr">
        <is>
          <t>IF(OR(F201="",AK201=""),"",IF(COUNT(AI201:AJ201)=0,"",AK201-LOOKUP(2,1/(AI201:AJ201&lt;&gt;""),AI201:AJ201)))</t>
        </is>
      </c>
      <c r="AY201" s="49" t="inlineStr">
        <is>
          <t>IF(OR(F201="",AL201=""),"",IF(COUNT(AI201:AK201)=0,"",AL201-LOOKUP(2,1/(AI201:AK201&lt;&gt;""),AI201:AK201)))</t>
        </is>
      </c>
      <c r="AZ201" s="49" t="inlineStr">
        <is>
          <t>IF(OR(F201="",AM201=""),"",IF(COUNT(AI201:AL201)=0,"",AM201-LOOKUP(2,1/(AI201:AL201&lt;&gt;""),AI201:AL201)))</t>
        </is>
      </c>
      <c r="BA201" s="49" t="inlineStr">
        <is>
          <t>IF(OR(F201="",AN201=""),"",IF(COUNT(AI201:AM201)=0,"",AN201-LOOKUP(2,1/(AI201:AM201&lt;&gt;""),AI201:AM201)))</t>
        </is>
      </c>
      <c r="BB201" s="49" t="inlineStr">
        <is>
          <t>IF(OR(F201="",AO201=""),"",IF(COUNT(AI201:AN201)=0,"",AO201-LOOKUP(2,1/(AI201:AN201&lt;&gt;""),AI201:AN201)))</t>
        </is>
      </c>
      <c r="BC201" s="49" t="inlineStr">
        <is>
          <t>IF(OR(F201="",AP201=""),"",IF(COUNT(AI201:AO201)=0,"",AP201-LOOKUP(2,1/(AI201:AO201&lt;&gt;""),AI201:AO201)))</t>
        </is>
      </c>
      <c r="BD201" s="49" t="inlineStr">
        <is>
          <t>IF(OR(F201="",AQ201=""),"",IF(COUNT(AI201:AP201)=0,"",AQ201-LOOKUP(2,1/(AI201:AP201&lt;&gt;""),AI201:AP201)))</t>
        </is>
      </c>
      <c r="BE201" s="49" t="inlineStr">
        <is>
          <t>IF(OR(F201="",AR201=""),"",IF(COUNT(AI201:AQ201)=0,"",AR201-LOOKUP(2,1/(AI201:AQ201&lt;&gt;""),AI201:AQ201)))</t>
        </is>
      </c>
      <c r="BF201" s="49" t="inlineStr">
        <is>
          <t>IF(OR(F201="",AS201=""),"",IF(COUNT(AI201:AR201)=0,"",AS201-LOOKUP(2,1/(AI201:AR201&lt;&gt;""),AI201:AR201)))</t>
        </is>
      </c>
      <c r="BG201" s="49" t="inlineStr">
        <is>
          <t>IF(OR(F201="",AT201=""),"",IF(COUNT(AI201:AS201)=0,"",AT201-LOOKUP(2,1/(AI201:AS201&lt;&gt;""),AI201:AS201)))</t>
        </is>
      </c>
      <c r="BH201" s="49" t="inlineStr">
        <is>
          <t>IF(OR(F201="",AU201=""),"",IF(COUNT(AI201:AT201)=0,"",AU201-LOOKUP(2,1/(AI201:AT201&lt;&gt;""),AI201:AT201)))</t>
        </is>
      </c>
      <c r="BI201" s="49" t="inlineStr">
        <is>
          <t>IF(OR(F201="",AV201=""),"",IF(COUNT(AI201:AU201)=0,"",AV201-LOOKUP(2,1/(AI201:AU201&lt;&gt;""),AI201:AU201)))</t>
        </is>
      </c>
      <c r="BJ201" s="51" t="inlineStr">
        <is>
          <t>IF(J201="","All_Provinces",IFERROR(VLOOKUP(J201,'09_Lookups'!$A$4:$B$20,2,FALSE),"All_Provinces"))</t>
        </is>
      </c>
      <c r="BK201" s="51" t="inlineStr">
        <is>
          <t>IF(K201="","All_Districts",IFERROR(VLOOKUP(K201,'09_Lookups'!$E$4:$F$42,2,FALSE),"All_Districts"))</t>
        </is>
      </c>
    </row>
    <row r="202" ht="18" customHeight="1">
      <c r="A202" s="42" t="inlineStr">
        <is>
          <t>IF(F202="","",ROW()-3)</t>
        </is>
      </c>
      <c r="B202" s="52" t="n"/>
      <c r="C202" s="52" t="n"/>
      <c r="D202" s="52" t="n"/>
      <c r="E202" s="52" t="n"/>
      <c r="F202" s="52" t="n"/>
      <c r="G202" s="52" t="n"/>
      <c r="H202" s="52" t="n"/>
      <c r="I202" s="52" t="n"/>
      <c r="J202" s="52" t="n"/>
      <c r="K202" s="52" t="n"/>
      <c r="L202" s="52" t="n"/>
      <c r="M202" s="52" t="n"/>
      <c r="N202" s="52" t="n"/>
      <c r="O202" s="52" t="n"/>
      <c r="P202" s="52" t="n"/>
      <c r="Q202" s="52" t="n"/>
      <c r="R202" s="52" t="n"/>
      <c r="S202" s="53" t="n"/>
      <c r="T202" s="46" t="inlineStr">
        <is>
          <t>IF(AQ202="","",AQ202)</t>
        </is>
      </c>
      <c r="U202" s="54" t="n"/>
      <c r="V202" s="55" t="n"/>
      <c r="W202" s="54" t="n"/>
      <c r="X202" s="46" t="inlineStr">
        <is>
          <t>IF(W202&lt;&gt;"",W202,IF(OR(T202="",V202=""),"",EDATE(T202,V202)))</t>
        </is>
      </c>
      <c r="Y202" s="54" t="n"/>
      <c r="Z202" s="55" t="n"/>
      <c r="AA202" s="52" t="n"/>
      <c r="AB202" s="52" t="n"/>
      <c r="AC202" s="42" t="inlineStr">
        <is>
          <t>IF(F202="","",IF(COUNT(AI202:AV202)=0,IF(AA202="","Not started",AA202),SUBSTITUTE(LOOKUP(2,1/(AI202:AV202&lt;&gt;""),$AI$3:$AV$3),"Date: ","")))</t>
        </is>
      </c>
      <c r="AD202" s="49" t="inlineStr">
        <is>
          <t>IF(OR(F202="",COUNT(AI202:AV202)=0),"",TODAY()-LOOKUP(2,1/(AI202:AV202&lt;&gt;""),AI202:AV202))</t>
        </is>
      </c>
      <c r="AE202" s="49" t="inlineStr">
        <is>
          <t>IF(OR(F202="",COUNT(AI202:AV202)&lt;2),"",LOOKUP(2,1/(AI202:AV202&lt;&gt;""),AI202:AV202)-MIN(AI202:AV202))</t>
        </is>
      </c>
      <c r="AF202" s="49" t="inlineStr">
        <is>
          <t>IF(OR(AD202="",AC202="Not started",AC202=""),"",IFERROR(AD202-IF(VLOOKUP(AC202,'06_Status_Pipeline'!$B$3:$E$20,4,FALSE)="",0,VLOOKUP(AC202,'06_Status_Pipeline'!$B$3:$E$20,4,FALSE)),""))</t>
        </is>
      </c>
      <c r="AG202" s="42" t="inlineStr">
        <is>
          <t>IF(F202="","",IF(OR(AA202="Cancelled",AC202="Cancelled"),"Cancelled",IF(OR(AC202="Completed / Handover",Y202&lt;&gt;"",Z202&gt;=100),"Completed — on track",IF(O202="Not awarded",IF(U202="",IF(X202="","No planned date",IF(TODAY()&gt;X202,"Behind — past planned date",IF(X202-TODAY()&lt;=30,"At risk — close to off track","On track"))),IF(TODAY()&gt;U202,"Behind — award date passed",IF(U202-TODAY()&lt;=30,"At risk — close to off track","On track"))),IF(X202="","No planned date",IF(AND(TODAY()&gt;X202,OR(Z202="",Z202&lt;100)),"Behind — past end date",IF(AND(T202&lt;&gt;"",X202&lt;&gt;"",Z202&lt;&gt;"",(Z202&lt;100),((TODAY()-T202)/MAX(X202-T202,1)*100)-Z202&gt;15),"Behind — progress lag",IF(AND(X202-TODAY()&lt;=30,X202-TODAY()&gt;=0,OR(Z202="",Z202&lt;90)),"At risk — close to off track","On track"))))))))</t>
        </is>
      </c>
      <c r="AH202" s="49" t="inlineStr">
        <is>
          <t>IF(OR(F202="",AC202="Completed / Handover",AC202="Cancelled"),"",IF(O202="Not awarded",IF(U202&lt;&gt;"",U202-TODAY(),IF(X202="","",X202-TODAY())),IF(X202="","",X202-TODAY())))</t>
        </is>
      </c>
      <c r="AI202" s="54" t="n"/>
      <c r="AJ202" s="54" t="n"/>
      <c r="AK202" s="54" t="n"/>
      <c r="AL202" s="54" t="n"/>
      <c r="AM202" s="54" t="n"/>
      <c r="AN202" s="54" t="n"/>
      <c r="AO202" s="54" t="n"/>
      <c r="AP202" s="54" t="n"/>
      <c r="AQ202" s="54" t="n"/>
      <c r="AR202" s="54" t="n"/>
      <c r="AS202" s="54" t="n"/>
      <c r="AT202" s="50" t="n"/>
      <c r="AU202" s="50" t="n"/>
      <c r="AV202" s="50" t="n"/>
      <c r="AW202" s="49" t="inlineStr">
        <is>
          <t>IF(OR(F202="",AJ202=""),"",IF(COUNT(AI202:AI202)=0,"",AJ202-LOOKUP(2,1/(AI202:AI202&lt;&gt;""),AI202:AI202)))</t>
        </is>
      </c>
      <c r="AX202" s="49" t="inlineStr">
        <is>
          <t>IF(OR(F202="",AK202=""),"",IF(COUNT(AI202:AJ202)=0,"",AK202-LOOKUP(2,1/(AI202:AJ202&lt;&gt;""),AI202:AJ202)))</t>
        </is>
      </c>
      <c r="AY202" s="49" t="inlineStr">
        <is>
          <t>IF(OR(F202="",AL202=""),"",IF(COUNT(AI202:AK202)=0,"",AL202-LOOKUP(2,1/(AI202:AK202&lt;&gt;""),AI202:AK202)))</t>
        </is>
      </c>
      <c r="AZ202" s="49" t="inlineStr">
        <is>
          <t>IF(OR(F202="",AM202=""),"",IF(COUNT(AI202:AL202)=0,"",AM202-LOOKUP(2,1/(AI202:AL202&lt;&gt;""),AI202:AL202)))</t>
        </is>
      </c>
      <c r="BA202" s="49" t="inlineStr">
        <is>
          <t>IF(OR(F202="",AN202=""),"",IF(COUNT(AI202:AM202)=0,"",AN202-LOOKUP(2,1/(AI202:AM202&lt;&gt;""),AI202:AM202)))</t>
        </is>
      </c>
      <c r="BB202" s="49" t="inlineStr">
        <is>
          <t>IF(OR(F202="",AO202=""),"",IF(COUNT(AI202:AN202)=0,"",AO202-LOOKUP(2,1/(AI202:AN202&lt;&gt;""),AI202:AN202)))</t>
        </is>
      </c>
      <c r="BC202" s="49" t="inlineStr">
        <is>
          <t>IF(OR(F202="",AP202=""),"",IF(COUNT(AI202:AO202)=0,"",AP202-LOOKUP(2,1/(AI202:AO202&lt;&gt;""),AI202:AO202)))</t>
        </is>
      </c>
      <c r="BD202" s="49" t="inlineStr">
        <is>
          <t>IF(OR(F202="",AQ202=""),"",IF(COUNT(AI202:AP202)=0,"",AQ202-LOOKUP(2,1/(AI202:AP202&lt;&gt;""),AI202:AP202)))</t>
        </is>
      </c>
      <c r="BE202" s="49" t="inlineStr">
        <is>
          <t>IF(OR(F202="",AR202=""),"",IF(COUNT(AI202:AQ202)=0,"",AR202-LOOKUP(2,1/(AI202:AQ202&lt;&gt;""),AI202:AQ202)))</t>
        </is>
      </c>
      <c r="BF202" s="49" t="inlineStr">
        <is>
          <t>IF(OR(F202="",AS202=""),"",IF(COUNT(AI202:AR202)=0,"",AS202-LOOKUP(2,1/(AI202:AR202&lt;&gt;""),AI202:AR202)))</t>
        </is>
      </c>
      <c r="BG202" s="49" t="inlineStr">
        <is>
          <t>IF(OR(F202="",AT202=""),"",IF(COUNT(AI202:AS202)=0,"",AT202-LOOKUP(2,1/(AI202:AS202&lt;&gt;""),AI202:AS202)))</t>
        </is>
      </c>
      <c r="BH202" s="49" t="inlineStr">
        <is>
          <t>IF(OR(F202="",AU202=""),"",IF(COUNT(AI202:AT202)=0,"",AU202-LOOKUP(2,1/(AI202:AT202&lt;&gt;""),AI202:AT202)))</t>
        </is>
      </c>
      <c r="BI202" s="49" t="inlineStr">
        <is>
          <t>IF(OR(F202="",AV202=""),"",IF(COUNT(AI202:AU202)=0,"",AV202-LOOKUP(2,1/(AI202:AU202&lt;&gt;""),AI202:AU202)))</t>
        </is>
      </c>
      <c r="BJ202" s="51" t="inlineStr">
        <is>
          <t>IF(J202="","All_Provinces",IFERROR(VLOOKUP(J202,'09_Lookups'!$A$4:$B$20,2,FALSE),"All_Provinces"))</t>
        </is>
      </c>
      <c r="BK202" s="51" t="inlineStr">
        <is>
          <t>IF(K202="","All_Districts",IFERROR(VLOOKUP(K202,'09_Lookups'!$E$4:$F$42,2,FALSE),"All_Districts"))</t>
        </is>
      </c>
    </row>
    <row r="203" ht="18" customHeight="1">
      <c r="A203" s="42" t="inlineStr">
        <is>
          <t>IF(F203="","",ROW()-3)</t>
        </is>
      </c>
      <c r="B203" s="44" t="n"/>
      <c r="C203" s="44" t="n"/>
      <c r="D203" s="44" t="n"/>
      <c r="E203" s="44" t="n"/>
      <c r="F203" s="44" t="n"/>
      <c r="G203" s="44" t="n"/>
      <c r="H203" s="44" t="n"/>
      <c r="I203" s="44" t="n"/>
      <c r="J203" s="44" t="n"/>
      <c r="K203" s="44" t="n"/>
      <c r="L203" s="44" t="n"/>
      <c r="M203" s="44" t="n"/>
      <c r="N203" s="44" t="n"/>
      <c r="O203" s="44" t="n"/>
      <c r="P203" s="44" t="n"/>
      <c r="Q203" s="44" t="n"/>
      <c r="R203" s="44" t="n"/>
      <c r="S203" s="45" t="n"/>
      <c r="T203" s="46" t="inlineStr">
        <is>
          <t>IF(AQ203="","",AQ203)</t>
        </is>
      </c>
      <c r="U203" s="47" t="n"/>
      <c r="V203" s="48" t="n"/>
      <c r="W203" s="47" t="n"/>
      <c r="X203" s="46" t="inlineStr">
        <is>
          <t>IF(W203&lt;&gt;"",W203,IF(OR(T203="",V203=""),"",EDATE(T203,V203)))</t>
        </is>
      </c>
      <c r="Y203" s="47" t="n"/>
      <c r="Z203" s="48" t="n"/>
      <c r="AA203" s="44" t="n"/>
      <c r="AB203" s="44" t="n"/>
      <c r="AC203" s="42" t="inlineStr">
        <is>
          <t>IF(F203="","",IF(COUNT(AI203:AV203)=0,IF(AA203="","Not started",AA203),SUBSTITUTE(LOOKUP(2,1/(AI203:AV203&lt;&gt;""),$AI$3:$AV$3),"Date: ","")))</t>
        </is>
      </c>
      <c r="AD203" s="49" t="inlineStr">
        <is>
          <t>IF(OR(F203="",COUNT(AI203:AV203)=0),"",TODAY()-LOOKUP(2,1/(AI203:AV203&lt;&gt;""),AI203:AV203))</t>
        </is>
      </c>
      <c r="AE203" s="49" t="inlineStr">
        <is>
          <t>IF(OR(F203="",COUNT(AI203:AV203)&lt;2),"",LOOKUP(2,1/(AI203:AV203&lt;&gt;""),AI203:AV203)-MIN(AI203:AV203))</t>
        </is>
      </c>
      <c r="AF203" s="49" t="inlineStr">
        <is>
          <t>IF(OR(AD203="",AC203="Not started",AC203=""),"",IFERROR(AD203-IF(VLOOKUP(AC203,'06_Status_Pipeline'!$B$3:$E$20,4,FALSE)="",0,VLOOKUP(AC203,'06_Status_Pipeline'!$B$3:$E$20,4,FALSE)),""))</t>
        </is>
      </c>
      <c r="AG203" s="42" t="inlineStr">
        <is>
          <t>IF(F203="","",IF(OR(AA203="Cancelled",AC203="Cancelled"),"Cancelled",IF(OR(AC203="Completed / Handover",Y203&lt;&gt;"",Z203&gt;=100),"Completed — on track",IF(O203="Not awarded",IF(U203="",IF(X203="","No planned date",IF(TODAY()&gt;X203,"Behind — past planned date",IF(X203-TODAY()&lt;=30,"At risk — close to off track","On track"))),IF(TODAY()&gt;U203,"Behind — award date passed",IF(U203-TODAY()&lt;=30,"At risk — close to off track","On track"))),IF(X203="","No planned date",IF(AND(TODAY()&gt;X203,OR(Z203="",Z203&lt;100)),"Behind — past end date",IF(AND(T203&lt;&gt;"",X203&lt;&gt;"",Z203&lt;&gt;"",(Z203&lt;100),((TODAY()-T203)/MAX(X203-T203,1)*100)-Z203&gt;15),"Behind — progress lag",IF(AND(X203-TODAY()&lt;=30,X203-TODAY()&gt;=0,OR(Z203="",Z203&lt;90)),"At risk — close to off track","On track"))))))))</t>
        </is>
      </c>
      <c r="AH203" s="49" t="inlineStr">
        <is>
          <t>IF(OR(F203="",AC203="Completed / Handover",AC203="Cancelled"),"",IF(O203="Not awarded",IF(U203&lt;&gt;"",U203-TODAY(),IF(X203="","",X203-TODAY())),IF(X203="","",X203-TODAY())))</t>
        </is>
      </c>
      <c r="AI203" s="47" t="n"/>
      <c r="AJ203" s="47" t="n"/>
      <c r="AK203" s="47" t="n"/>
      <c r="AL203" s="47" t="n"/>
      <c r="AM203" s="47" t="n"/>
      <c r="AN203" s="47" t="n"/>
      <c r="AO203" s="47" t="n"/>
      <c r="AP203" s="47" t="n"/>
      <c r="AQ203" s="47" t="n"/>
      <c r="AR203" s="47" t="n"/>
      <c r="AS203" s="47" t="n"/>
      <c r="AT203" s="50" t="n"/>
      <c r="AU203" s="50" t="n"/>
      <c r="AV203" s="50" t="n"/>
      <c r="AW203" s="49" t="inlineStr">
        <is>
          <t>IF(OR(F203="",AJ203=""),"",IF(COUNT(AI203:AI203)=0,"",AJ203-LOOKUP(2,1/(AI203:AI203&lt;&gt;""),AI203:AI203)))</t>
        </is>
      </c>
      <c r="AX203" s="49" t="inlineStr">
        <is>
          <t>IF(OR(F203="",AK203=""),"",IF(COUNT(AI203:AJ203)=0,"",AK203-LOOKUP(2,1/(AI203:AJ203&lt;&gt;""),AI203:AJ203)))</t>
        </is>
      </c>
      <c r="AY203" s="49" t="inlineStr">
        <is>
          <t>IF(OR(F203="",AL203=""),"",IF(COUNT(AI203:AK203)=0,"",AL203-LOOKUP(2,1/(AI203:AK203&lt;&gt;""),AI203:AK203)))</t>
        </is>
      </c>
      <c r="AZ203" s="49" t="inlineStr">
        <is>
          <t>IF(OR(F203="",AM203=""),"",IF(COUNT(AI203:AL203)=0,"",AM203-LOOKUP(2,1/(AI203:AL203&lt;&gt;""),AI203:AL203)))</t>
        </is>
      </c>
      <c r="BA203" s="49" t="inlineStr">
        <is>
          <t>IF(OR(F203="",AN203=""),"",IF(COUNT(AI203:AM203)=0,"",AN203-LOOKUP(2,1/(AI203:AM203&lt;&gt;""),AI203:AM203)))</t>
        </is>
      </c>
      <c r="BB203" s="49" t="inlineStr">
        <is>
          <t>IF(OR(F203="",AO203=""),"",IF(COUNT(AI203:AN203)=0,"",AO203-LOOKUP(2,1/(AI203:AN203&lt;&gt;""),AI203:AN203)))</t>
        </is>
      </c>
      <c r="BC203" s="49" t="inlineStr">
        <is>
          <t>IF(OR(F203="",AP203=""),"",IF(COUNT(AI203:AO203)=0,"",AP203-LOOKUP(2,1/(AI203:AO203&lt;&gt;""),AI203:AO203)))</t>
        </is>
      </c>
      <c r="BD203" s="49" t="inlineStr">
        <is>
          <t>IF(OR(F203="",AQ203=""),"",IF(COUNT(AI203:AP203)=0,"",AQ203-LOOKUP(2,1/(AI203:AP203&lt;&gt;""),AI203:AP203)))</t>
        </is>
      </c>
      <c r="BE203" s="49" t="inlineStr">
        <is>
          <t>IF(OR(F203="",AR203=""),"",IF(COUNT(AI203:AQ203)=0,"",AR203-LOOKUP(2,1/(AI203:AQ203&lt;&gt;""),AI203:AQ203)))</t>
        </is>
      </c>
      <c r="BF203" s="49" t="inlineStr">
        <is>
          <t>IF(OR(F203="",AS203=""),"",IF(COUNT(AI203:AR203)=0,"",AS203-LOOKUP(2,1/(AI203:AR203&lt;&gt;""),AI203:AR203)))</t>
        </is>
      </c>
      <c r="BG203" s="49" t="inlineStr">
        <is>
          <t>IF(OR(F203="",AT203=""),"",IF(COUNT(AI203:AS203)=0,"",AT203-LOOKUP(2,1/(AI203:AS203&lt;&gt;""),AI203:AS203)))</t>
        </is>
      </c>
      <c r="BH203" s="49" t="inlineStr">
        <is>
          <t>IF(OR(F203="",AU203=""),"",IF(COUNT(AI203:AT203)=0,"",AU203-LOOKUP(2,1/(AI203:AT203&lt;&gt;""),AI203:AT203)))</t>
        </is>
      </c>
      <c r="BI203" s="49" t="inlineStr">
        <is>
          <t>IF(OR(F203="",AV203=""),"",IF(COUNT(AI203:AU203)=0,"",AV203-LOOKUP(2,1/(AI203:AU203&lt;&gt;""),AI203:AU203)))</t>
        </is>
      </c>
      <c r="BJ203" s="51" t="inlineStr">
        <is>
          <t>IF(J203="","All_Provinces",IFERROR(VLOOKUP(J203,'09_Lookups'!$A$4:$B$20,2,FALSE),"All_Provinces"))</t>
        </is>
      </c>
      <c r="BK203" s="51" t="inlineStr">
        <is>
          <t>IF(K203="","All_Districts",IFERROR(VLOOKUP(K203,'09_Lookups'!$E$4:$F$42,2,FALSE),"All_Districts"))</t>
        </is>
      </c>
    </row>
    <row r="204" ht="18" customHeight="1">
      <c r="A204" s="42" t="inlineStr">
        <is>
          <t>IF(F204="","",ROW()-3)</t>
        </is>
      </c>
      <c r="B204" s="52" t="n"/>
      <c r="C204" s="52" t="n"/>
      <c r="D204" s="52" t="n"/>
      <c r="E204" s="52" t="n"/>
      <c r="F204" s="52" t="n"/>
      <c r="G204" s="52" t="n"/>
      <c r="H204" s="52" t="n"/>
      <c r="I204" s="52" t="n"/>
      <c r="J204" s="52" t="n"/>
      <c r="K204" s="52" t="n"/>
      <c r="L204" s="52" t="n"/>
      <c r="M204" s="52" t="n"/>
      <c r="N204" s="52" t="n"/>
      <c r="O204" s="52" t="n"/>
      <c r="P204" s="52" t="n"/>
      <c r="Q204" s="52" t="n"/>
      <c r="R204" s="52" t="n"/>
      <c r="S204" s="53" t="n"/>
      <c r="T204" s="46" t="inlineStr">
        <is>
          <t>IF(AQ204="","",AQ204)</t>
        </is>
      </c>
      <c r="U204" s="54" t="n"/>
      <c r="V204" s="55" t="n"/>
      <c r="W204" s="54" t="n"/>
      <c r="X204" s="46" t="inlineStr">
        <is>
          <t>IF(W204&lt;&gt;"",W204,IF(OR(T204="",V204=""),"",EDATE(T204,V204)))</t>
        </is>
      </c>
      <c r="Y204" s="54" t="n"/>
      <c r="Z204" s="55" t="n"/>
      <c r="AA204" s="52" t="n"/>
      <c r="AB204" s="52" t="n"/>
      <c r="AC204" s="42" t="inlineStr">
        <is>
          <t>IF(F204="","",IF(COUNT(AI204:AV204)=0,IF(AA204="","Not started",AA204),SUBSTITUTE(LOOKUP(2,1/(AI204:AV204&lt;&gt;""),$AI$3:$AV$3),"Date: ","")))</t>
        </is>
      </c>
      <c r="AD204" s="49" t="inlineStr">
        <is>
          <t>IF(OR(F204="",COUNT(AI204:AV204)=0),"",TODAY()-LOOKUP(2,1/(AI204:AV204&lt;&gt;""),AI204:AV204))</t>
        </is>
      </c>
      <c r="AE204" s="49" t="inlineStr">
        <is>
          <t>IF(OR(F204="",COUNT(AI204:AV204)&lt;2),"",LOOKUP(2,1/(AI204:AV204&lt;&gt;""),AI204:AV204)-MIN(AI204:AV204))</t>
        </is>
      </c>
      <c r="AF204" s="49" t="inlineStr">
        <is>
          <t>IF(OR(AD204="",AC204="Not started",AC204=""),"",IFERROR(AD204-IF(VLOOKUP(AC204,'06_Status_Pipeline'!$B$3:$E$20,4,FALSE)="",0,VLOOKUP(AC204,'06_Status_Pipeline'!$B$3:$E$20,4,FALSE)),""))</t>
        </is>
      </c>
      <c r="AG204" s="42" t="inlineStr">
        <is>
          <t>IF(F204="","",IF(OR(AA204="Cancelled",AC204="Cancelled"),"Cancelled",IF(OR(AC204="Completed / Handover",Y204&lt;&gt;"",Z204&gt;=100),"Completed — on track",IF(O204="Not awarded",IF(U204="",IF(X204="","No planned date",IF(TODAY()&gt;X204,"Behind — past planned date",IF(X204-TODAY()&lt;=30,"At risk — close to off track","On track"))),IF(TODAY()&gt;U204,"Behind — award date passed",IF(U204-TODAY()&lt;=30,"At risk — close to off track","On track"))),IF(X204="","No planned date",IF(AND(TODAY()&gt;X204,OR(Z204="",Z204&lt;100)),"Behind — past end date",IF(AND(T204&lt;&gt;"",X204&lt;&gt;"",Z204&lt;&gt;"",(Z204&lt;100),((TODAY()-T204)/MAX(X204-T204,1)*100)-Z204&gt;15),"Behind — progress lag",IF(AND(X204-TODAY()&lt;=30,X204-TODAY()&gt;=0,OR(Z204="",Z204&lt;90)),"At risk — close to off track","On track"))))))))</t>
        </is>
      </c>
      <c r="AH204" s="49" t="inlineStr">
        <is>
          <t>IF(OR(F204="",AC204="Completed / Handover",AC204="Cancelled"),"",IF(O204="Not awarded",IF(U204&lt;&gt;"",U204-TODAY(),IF(X204="","",X204-TODAY())),IF(X204="","",X204-TODAY())))</t>
        </is>
      </c>
      <c r="AI204" s="54" t="n"/>
      <c r="AJ204" s="54" t="n"/>
      <c r="AK204" s="54" t="n"/>
      <c r="AL204" s="54" t="n"/>
      <c r="AM204" s="54" t="n"/>
      <c r="AN204" s="54" t="n"/>
      <c r="AO204" s="54" t="n"/>
      <c r="AP204" s="54" t="n"/>
      <c r="AQ204" s="54" t="n"/>
      <c r="AR204" s="54" t="n"/>
      <c r="AS204" s="54" t="n"/>
      <c r="AT204" s="50" t="n"/>
      <c r="AU204" s="50" t="n"/>
      <c r="AV204" s="50" t="n"/>
      <c r="AW204" s="49" t="inlineStr">
        <is>
          <t>IF(OR(F204="",AJ204=""),"",IF(COUNT(AI204:AI204)=0,"",AJ204-LOOKUP(2,1/(AI204:AI204&lt;&gt;""),AI204:AI204)))</t>
        </is>
      </c>
      <c r="AX204" s="49" t="inlineStr">
        <is>
          <t>IF(OR(F204="",AK204=""),"",IF(COUNT(AI204:AJ204)=0,"",AK204-LOOKUP(2,1/(AI204:AJ204&lt;&gt;""),AI204:AJ204)))</t>
        </is>
      </c>
      <c r="AY204" s="49" t="inlineStr">
        <is>
          <t>IF(OR(F204="",AL204=""),"",IF(COUNT(AI204:AK204)=0,"",AL204-LOOKUP(2,1/(AI204:AK204&lt;&gt;""),AI204:AK204)))</t>
        </is>
      </c>
      <c r="AZ204" s="49" t="inlineStr">
        <is>
          <t>IF(OR(F204="",AM204=""),"",IF(COUNT(AI204:AL204)=0,"",AM204-LOOKUP(2,1/(AI204:AL204&lt;&gt;""),AI204:AL204)))</t>
        </is>
      </c>
      <c r="BA204" s="49" t="inlineStr">
        <is>
          <t>IF(OR(F204="",AN204=""),"",IF(COUNT(AI204:AM204)=0,"",AN204-LOOKUP(2,1/(AI204:AM204&lt;&gt;""),AI204:AM204)))</t>
        </is>
      </c>
      <c r="BB204" s="49" t="inlineStr">
        <is>
          <t>IF(OR(F204="",AO204=""),"",IF(COUNT(AI204:AN204)=0,"",AO204-LOOKUP(2,1/(AI204:AN204&lt;&gt;""),AI204:AN204)))</t>
        </is>
      </c>
      <c r="BC204" s="49" t="inlineStr">
        <is>
          <t>IF(OR(F204="",AP204=""),"",IF(COUNT(AI204:AO204)=0,"",AP204-LOOKUP(2,1/(AI204:AO204&lt;&gt;""),AI204:AO204)))</t>
        </is>
      </c>
      <c r="BD204" s="49" t="inlineStr">
        <is>
          <t>IF(OR(F204="",AQ204=""),"",IF(COUNT(AI204:AP204)=0,"",AQ204-LOOKUP(2,1/(AI204:AP204&lt;&gt;""),AI204:AP204)))</t>
        </is>
      </c>
      <c r="BE204" s="49" t="inlineStr">
        <is>
          <t>IF(OR(F204="",AR204=""),"",IF(COUNT(AI204:AQ204)=0,"",AR204-LOOKUP(2,1/(AI204:AQ204&lt;&gt;""),AI204:AQ204)))</t>
        </is>
      </c>
      <c r="BF204" s="49" t="inlineStr">
        <is>
          <t>IF(OR(F204="",AS204=""),"",IF(COUNT(AI204:AR204)=0,"",AS204-LOOKUP(2,1/(AI204:AR204&lt;&gt;""),AI204:AR204)))</t>
        </is>
      </c>
      <c r="BG204" s="49" t="inlineStr">
        <is>
          <t>IF(OR(F204="",AT204=""),"",IF(COUNT(AI204:AS204)=0,"",AT204-LOOKUP(2,1/(AI204:AS204&lt;&gt;""),AI204:AS204)))</t>
        </is>
      </c>
      <c r="BH204" s="49" t="inlineStr">
        <is>
          <t>IF(OR(F204="",AU204=""),"",IF(COUNT(AI204:AT204)=0,"",AU204-LOOKUP(2,1/(AI204:AT204&lt;&gt;""),AI204:AT204)))</t>
        </is>
      </c>
      <c r="BI204" s="49" t="inlineStr">
        <is>
          <t>IF(OR(F204="",AV204=""),"",IF(COUNT(AI204:AU204)=0,"",AV204-LOOKUP(2,1/(AI204:AU204&lt;&gt;""),AI204:AU204)))</t>
        </is>
      </c>
      <c r="BJ204" s="51" t="inlineStr">
        <is>
          <t>IF(J204="","All_Provinces",IFERROR(VLOOKUP(J204,'09_Lookups'!$A$4:$B$20,2,FALSE),"All_Provinces"))</t>
        </is>
      </c>
      <c r="BK204" s="51" t="inlineStr">
        <is>
          <t>IF(K204="","All_Districts",IFERROR(VLOOKUP(K204,'09_Lookups'!$E$4:$F$42,2,FALSE),"All_Districts"))</t>
        </is>
      </c>
    </row>
    <row r="205" ht="18" customHeight="1">
      <c r="A205" s="42" t="inlineStr">
        <is>
          <t>IF(F205="","",ROW()-3)</t>
        </is>
      </c>
      <c r="B205" s="44" t="n"/>
      <c r="C205" s="44" t="n"/>
      <c r="D205" s="44" t="n"/>
      <c r="E205" s="44" t="n"/>
      <c r="F205" s="44" t="n"/>
      <c r="G205" s="44" t="n"/>
      <c r="H205" s="44" t="n"/>
      <c r="I205" s="44" t="n"/>
      <c r="J205" s="44" t="n"/>
      <c r="K205" s="44" t="n"/>
      <c r="L205" s="44" t="n"/>
      <c r="M205" s="44" t="n"/>
      <c r="N205" s="44" t="n"/>
      <c r="O205" s="44" t="n"/>
      <c r="P205" s="44" t="n"/>
      <c r="Q205" s="44" t="n"/>
      <c r="R205" s="44" t="n"/>
      <c r="S205" s="45" t="n"/>
      <c r="T205" s="46" t="inlineStr">
        <is>
          <t>IF(AQ205="","",AQ205)</t>
        </is>
      </c>
      <c r="U205" s="47" t="n"/>
      <c r="V205" s="48" t="n"/>
      <c r="W205" s="47" t="n"/>
      <c r="X205" s="46" t="inlineStr">
        <is>
          <t>IF(W205&lt;&gt;"",W205,IF(OR(T205="",V205=""),"",EDATE(T205,V205)))</t>
        </is>
      </c>
      <c r="Y205" s="47" t="n"/>
      <c r="Z205" s="48" t="n"/>
      <c r="AA205" s="44" t="n"/>
      <c r="AB205" s="44" t="n"/>
      <c r="AC205" s="42" t="inlineStr">
        <is>
          <t>IF(F205="","",IF(COUNT(AI205:AV205)=0,IF(AA205="","Not started",AA205),SUBSTITUTE(LOOKUP(2,1/(AI205:AV205&lt;&gt;""),$AI$3:$AV$3),"Date: ","")))</t>
        </is>
      </c>
      <c r="AD205" s="49" t="inlineStr">
        <is>
          <t>IF(OR(F205="",COUNT(AI205:AV205)=0),"",TODAY()-LOOKUP(2,1/(AI205:AV205&lt;&gt;""),AI205:AV205))</t>
        </is>
      </c>
      <c r="AE205" s="49" t="inlineStr">
        <is>
          <t>IF(OR(F205="",COUNT(AI205:AV205)&lt;2),"",LOOKUP(2,1/(AI205:AV205&lt;&gt;""),AI205:AV205)-MIN(AI205:AV205))</t>
        </is>
      </c>
      <c r="AF205" s="49" t="inlineStr">
        <is>
          <t>IF(OR(AD205="",AC205="Not started",AC205=""),"",IFERROR(AD205-IF(VLOOKUP(AC205,'06_Status_Pipeline'!$B$3:$E$20,4,FALSE)="",0,VLOOKUP(AC205,'06_Status_Pipeline'!$B$3:$E$20,4,FALSE)),""))</t>
        </is>
      </c>
      <c r="AG205" s="42" t="inlineStr">
        <is>
          <t>IF(F205="","",IF(OR(AA205="Cancelled",AC205="Cancelled"),"Cancelled",IF(OR(AC205="Completed / Handover",Y205&lt;&gt;"",Z205&gt;=100),"Completed — on track",IF(O205="Not awarded",IF(U205="",IF(X205="","No planned date",IF(TODAY()&gt;X205,"Behind — past planned date",IF(X205-TODAY()&lt;=30,"At risk — close to off track","On track"))),IF(TODAY()&gt;U205,"Behind — award date passed",IF(U205-TODAY()&lt;=30,"At risk — close to off track","On track"))),IF(X205="","No planned date",IF(AND(TODAY()&gt;X205,OR(Z205="",Z205&lt;100)),"Behind — past end date",IF(AND(T205&lt;&gt;"",X205&lt;&gt;"",Z205&lt;&gt;"",(Z205&lt;100),((TODAY()-T205)/MAX(X205-T205,1)*100)-Z205&gt;15),"Behind — progress lag",IF(AND(X205-TODAY()&lt;=30,X205-TODAY()&gt;=0,OR(Z205="",Z205&lt;90)),"At risk — close to off track","On track"))))))))</t>
        </is>
      </c>
      <c r="AH205" s="49" t="inlineStr">
        <is>
          <t>IF(OR(F205="",AC205="Completed / Handover",AC205="Cancelled"),"",IF(O205="Not awarded",IF(U205&lt;&gt;"",U205-TODAY(),IF(X205="","",X205-TODAY())),IF(X205="","",X205-TODAY())))</t>
        </is>
      </c>
      <c r="AI205" s="47" t="n"/>
      <c r="AJ205" s="47" t="n"/>
      <c r="AK205" s="47" t="n"/>
      <c r="AL205" s="47" t="n"/>
      <c r="AM205" s="47" t="n"/>
      <c r="AN205" s="47" t="n"/>
      <c r="AO205" s="47" t="n"/>
      <c r="AP205" s="47" t="n"/>
      <c r="AQ205" s="47" t="n"/>
      <c r="AR205" s="47" t="n"/>
      <c r="AS205" s="47" t="n"/>
      <c r="AT205" s="50" t="n"/>
      <c r="AU205" s="50" t="n"/>
      <c r="AV205" s="50" t="n"/>
      <c r="AW205" s="49" t="inlineStr">
        <is>
          <t>IF(OR(F205="",AJ205=""),"",IF(COUNT(AI205:AI205)=0,"",AJ205-LOOKUP(2,1/(AI205:AI205&lt;&gt;""),AI205:AI205)))</t>
        </is>
      </c>
      <c r="AX205" s="49" t="inlineStr">
        <is>
          <t>IF(OR(F205="",AK205=""),"",IF(COUNT(AI205:AJ205)=0,"",AK205-LOOKUP(2,1/(AI205:AJ205&lt;&gt;""),AI205:AJ205)))</t>
        </is>
      </c>
      <c r="AY205" s="49" t="inlineStr">
        <is>
          <t>IF(OR(F205="",AL205=""),"",IF(COUNT(AI205:AK205)=0,"",AL205-LOOKUP(2,1/(AI205:AK205&lt;&gt;""),AI205:AK205)))</t>
        </is>
      </c>
      <c r="AZ205" s="49" t="inlineStr">
        <is>
          <t>IF(OR(F205="",AM205=""),"",IF(COUNT(AI205:AL205)=0,"",AM205-LOOKUP(2,1/(AI205:AL205&lt;&gt;""),AI205:AL205)))</t>
        </is>
      </c>
      <c r="BA205" s="49" t="inlineStr">
        <is>
          <t>IF(OR(F205="",AN205=""),"",IF(COUNT(AI205:AM205)=0,"",AN205-LOOKUP(2,1/(AI205:AM205&lt;&gt;""),AI205:AM205)))</t>
        </is>
      </c>
      <c r="BB205" s="49" t="inlineStr">
        <is>
          <t>IF(OR(F205="",AO205=""),"",IF(COUNT(AI205:AN205)=0,"",AO205-LOOKUP(2,1/(AI205:AN205&lt;&gt;""),AI205:AN205)))</t>
        </is>
      </c>
      <c r="BC205" s="49" t="inlineStr">
        <is>
          <t>IF(OR(F205="",AP205=""),"",IF(COUNT(AI205:AO205)=0,"",AP205-LOOKUP(2,1/(AI205:AO205&lt;&gt;""),AI205:AO205)))</t>
        </is>
      </c>
      <c r="BD205" s="49" t="inlineStr">
        <is>
          <t>IF(OR(F205="",AQ205=""),"",IF(COUNT(AI205:AP205)=0,"",AQ205-LOOKUP(2,1/(AI205:AP205&lt;&gt;""),AI205:AP205)))</t>
        </is>
      </c>
      <c r="BE205" s="49" t="inlineStr">
        <is>
          <t>IF(OR(F205="",AR205=""),"",IF(COUNT(AI205:AQ205)=0,"",AR205-LOOKUP(2,1/(AI205:AQ205&lt;&gt;""),AI205:AQ205)))</t>
        </is>
      </c>
      <c r="BF205" s="49" t="inlineStr">
        <is>
          <t>IF(OR(F205="",AS205=""),"",IF(COUNT(AI205:AR205)=0,"",AS205-LOOKUP(2,1/(AI205:AR205&lt;&gt;""),AI205:AR205)))</t>
        </is>
      </c>
      <c r="BG205" s="49" t="inlineStr">
        <is>
          <t>IF(OR(F205="",AT205=""),"",IF(COUNT(AI205:AS205)=0,"",AT205-LOOKUP(2,1/(AI205:AS205&lt;&gt;""),AI205:AS205)))</t>
        </is>
      </c>
      <c r="BH205" s="49" t="inlineStr">
        <is>
          <t>IF(OR(F205="",AU205=""),"",IF(COUNT(AI205:AT205)=0,"",AU205-LOOKUP(2,1/(AI205:AT205&lt;&gt;""),AI205:AT205)))</t>
        </is>
      </c>
      <c r="BI205" s="49" t="inlineStr">
        <is>
          <t>IF(OR(F205="",AV205=""),"",IF(COUNT(AI205:AU205)=0,"",AV205-LOOKUP(2,1/(AI205:AU205&lt;&gt;""),AI205:AU205)))</t>
        </is>
      </c>
      <c r="BJ205" s="51" t="inlineStr">
        <is>
          <t>IF(J205="","All_Provinces",IFERROR(VLOOKUP(J205,'09_Lookups'!$A$4:$B$20,2,FALSE),"All_Provinces"))</t>
        </is>
      </c>
      <c r="BK205" s="51" t="inlineStr">
        <is>
          <t>IF(K205="","All_Districts",IFERROR(VLOOKUP(K205,'09_Lookups'!$E$4:$F$42,2,FALSE),"All_Districts"))</t>
        </is>
      </c>
    </row>
    <row r="206" ht="18" customHeight="1">
      <c r="A206" s="42" t="inlineStr">
        <is>
          <t>IF(F206="","",ROW()-3)</t>
        </is>
      </c>
      <c r="B206" s="52" t="n"/>
      <c r="C206" s="52" t="n"/>
      <c r="D206" s="52" t="n"/>
      <c r="E206" s="52" t="n"/>
      <c r="F206" s="52" t="n"/>
      <c r="G206" s="52" t="n"/>
      <c r="H206" s="52" t="n"/>
      <c r="I206" s="52" t="n"/>
      <c r="J206" s="52" t="n"/>
      <c r="K206" s="52" t="n"/>
      <c r="L206" s="52" t="n"/>
      <c r="M206" s="52" t="n"/>
      <c r="N206" s="52" t="n"/>
      <c r="O206" s="52" t="n"/>
      <c r="P206" s="52" t="n"/>
      <c r="Q206" s="52" t="n"/>
      <c r="R206" s="52" t="n"/>
      <c r="S206" s="53" t="n"/>
      <c r="T206" s="46" t="inlineStr">
        <is>
          <t>IF(AQ206="","",AQ206)</t>
        </is>
      </c>
      <c r="U206" s="54" t="n"/>
      <c r="V206" s="55" t="n"/>
      <c r="W206" s="54" t="n"/>
      <c r="X206" s="46" t="inlineStr">
        <is>
          <t>IF(W206&lt;&gt;"",W206,IF(OR(T206="",V206=""),"",EDATE(T206,V206)))</t>
        </is>
      </c>
      <c r="Y206" s="54" t="n"/>
      <c r="Z206" s="55" t="n"/>
      <c r="AA206" s="52" t="n"/>
      <c r="AB206" s="52" t="n"/>
      <c r="AC206" s="42" t="inlineStr">
        <is>
          <t>IF(F206="","",IF(COUNT(AI206:AV206)=0,IF(AA206="","Not started",AA206),SUBSTITUTE(LOOKUP(2,1/(AI206:AV206&lt;&gt;""),$AI$3:$AV$3),"Date: ","")))</t>
        </is>
      </c>
      <c r="AD206" s="49" t="inlineStr">
        <is>
          <t>IF(OR(F206="",COUNT(AI206:AV206)=0),"",TODAY()-LOOKUP(2,1/(AI206:AV206&lt;&gt;""),AI206:AV206))</t>
        </is>
      </c>
      <c r="AE206" s="49" t="inlineStr">
        <is>
          <t>IF(OR(F206="",COUNT(AI206:AV206)&lt;2),"",LOOKUP(2,1/(AI206:AV206&lt;&gt;""),AI206:AV206)-MIN(AI206:AV206))</t>
        </is>
      </c>
      <c r="AF206" s="49" t="inlineStr">
        <is>
          <t>IF(OR(AD206="",AC206="Not started",AC206=""),"",IFERROR(AD206-IF(VLOOKUP(AC206,'06_Status_Pipeline'!$B$3:$E$20,4,FALSE)="",0,VLOOKUP(AC206,'06_Status_Pipeline'!$B$3:$E$20,4,FALSE)),""))</t>
        </is>
      </c>
      <c r="AG206" s="42" t="inlineStr">
        <is>
          <t>IF(F206="","",IF(OR(AA206="Cancelled",AC206="Cancelled"),"Cancelled",IF(OR(AC206="Completed / Handover",Y206&lt;&gt;"",Z206&gt;=100),"Completed — on track",IF(O206="Not awarded",IF(U206="",IF(X206="","No planned date",IF(TODAY()&gt;X206,"Behind — past planned date",IF(X206-TODAY()&lt;=30,"At risk — close to off track","On track"))),IF(TODAY()&gt;U206,"Behind — award date passed",IF(U206-TODAY()&lt;=30,"At risk — close to off track","On track"))),IF(X206="","No planned date",IF(AND(TODAY()&gt;X206,OR(Z206="",Z206&lt;100)),"Behind — past end date",IF(AND(T206&lt;&gt;"",X206&lt;&gt;"",Z206&lt;&gt;"",(Z206&lt;100),((TODAY()-T206)/MAX(X206-T206,1)*100)-Z206&gt;15),"Behind — progress lag",IF(AND(X206-TODAY()&lt;=30,X206-TODAY()&gt;=0,OR(Z206="",Z206&lt;90)),"At risk — close to off track","On track"))))))))</t>
        </is>
      </c>
      <c r="AH206" s="49" t="inlineStr">
        <is>
          <t>IF(OR(F206="",AC206="Completed / Handover",AC206="Cancelled"),"",IF(O206="Not awarded",IF(U206&lt;&gt;"",U206-TODAY(),IF(X206="","",X206-TODAY())),IF(X206="","",X206-TODAY())))</t>
        </is>
      </c>
      <c r="AI206" s="54" t="n"/>
      <c r="AJ206" s="54" t="n"/>
      <c r="AK206" s="54" t="n"/>
      <c r="AL206" s="54" t="n"/>
      <c r="AM206" s="54" t="n"/>
      <c r="AN206" s="54" t="n"/>
      <c r="AO206" s="54" t="n"/>
      <c r="AP206" s="54" t="n"/>
      <c r="AQ206" s="54" t="n"/>
      <c r="AR206" s="54" t="n"/>
      <c r="AS206" s="54" t="n"/>
      <c r="AT206" s="50" t="n"/>
      <c r="AU206" s="50" t="n"/>
      <c r="AV206" s="50" t="n"/>
      <c r="AW206" s="49" t="inlineStr">
        <is>
          <t>IF(OR(F206="",AJ206=""),"",IF(COUNT(AI206:AI206)=0,"",AJ206-LOOKUP(2,1/(AI206:AI206&lt;&gt;""),AI206:AI206)))</t>
        </is>
      </c>
      <c r="AX206" s="49" t="inlineStr">
        <is>
          <t>IF(OR(F206="",AK206=""),"",IF(COUNT(AI206:AJ206)=0,"",AK206-LOOKUP(2,1/(AI206:AJ206&lt;&gt;""),AI206:AJ206)))</t>
        </is>
      </c>
      <c r="AY206" s="49" t="inlineStr">
        <is>
          <t>IF(OR(F206="",AL206=""),"",IF(COUNT(AI206:AK206)=0,"",AL206-LOOKUP(2,1/(AI206:AK206&lt;&gt;""),AI206:AK206)))</t>
        </is>
      </c>
      <c r="AZ206" s="49" t="inlineStr">
        <is>
          <t>IF(OR(F206="",AM206=""),"",IF(COUNT(AI206:AL206)=0,"",AM206-LOOKUP(2,1/(AI206:AL206&lt;&gt;""),AI206:AL206)))</t>
        </is>
      </c>
      <c r="BA206" s="49" t="inlineStr">
        <is>
          <t>IF(OR(F206="",AN206=""),"",IF(COUNT(AI206:AM206)=0,"",AN206-LOOKUP(2,1/(AI206:AM206&lt;&gt;""),AI206:AM206)))</t>
        </is>
      </c>
      <c r="BB206" s="49" t="inlineStr">
        <is>
          <t>IF(OR(F206="",AO206=""),"",IF(COUNT(AI206:AN206)=0,"",AO206-LOOKUP(2,1/(AI206:AN206&lt;&gt;""),AI206:AN206)))</t>
        </is>
      </c>
      <c r="BC206" s="49" t="inlineStr">
        <is>
          <t>IF(OR(F206="",AP206=""),"",IF(COUNT(AI206:AO206)=0,"",AP206-LOOKUP(2,1/(AI206:AO206&lt;&gt;""),AI206:AO206)))</t>
        </is>
      </c>
      <c r="BD206" s="49" t="inlineStr">
        <is>
          <t>IF(OR(F206="",AQ206=""),"",IF(COUNT(AI206:AP206)=0,"",AQ206-LOOKUP(2,1/(AI206:AP206&lt;&gt;""),AI206:AP206)))</t>
        </is>
      </c>
      <c r="BE206" s="49" t="inlineStr">
        <is>
          <t>IF(OR(F206="",AR206=""),"",IF(COUNT(AI206:AQ206)=0,"",AR206-LOOKUP(2,1/(AI206:AQ206&lt;&gt;""),AI206:AQ206)))</t>
        </is>
      </c>
      <c r="BF206" s="49" t="inlineStr">
        <is>
          <t>IF(OR(F206="",AS206=""),"",IF(COUNT(AI206:AR206)=0,"",AS206-LOOKUP(2,1/(AI206:AR206&lt;&gt;""),AI206:AR206)))</t>
        </is>
      </c>
      <c r="BG206" s="49" t="inlineStr">
        <is>
          <t>IF(OR(F206="",AT206=""),"",IF(COUNT(AI206:AS206)=0,"",AT206-LOOKUP(2,1/(AI206:AS206&lt;&gt;""),AI206:AS206)))</t>
        </is>
      </c>
      <c r="BH206" s="49" t="inlineStr">
        <is>
          <t>IF(OR(F206="",AU206=""),"",IF(COUNT(AI206:AT206)=0,"",AU206-LOOKUP(2,1/(AI206:AT206&lt;&gt;""),AI206:AT206)))</t>
        </is>
      </c>
      <c r="BI206" s="49" t="inlineStr">
        <is>
          <t>IF(OR(F206="",AV206=""),"",IF(COUNT(AI206:AU206)=0,"",AV206-LOOKUP(2,1/(AI206:AU206&lt;&gt;""),AI206:AU206)))</t>
        </is>
      </c>
      <c r="BJ206" s="51" t="inlineStr">
        <is>
          <t>IF(J206="","All_Provinces",IFERROR(VLOOKUP(J206,'09_Lookups'!$A$4:$B$20,2,FALSE),"All_Provinces"))</t>
        </is>
      </c>
      <c r="BK206" s="51" t="inlineStr">
        <is>
          <t>IF(K206="","All_Districts",IFERROR(VLOOKUP(K206,'09_Lookups'!$E$4:$F$42,2,FALSE),"All_Districts"))</t>
        </is>
      </c>
    </row>
    <row r="207" ht="18" customHeight="1">
      <c r="A207" s="42" t="inlineStr">
        <is>
          <t>IF(F207="","",ROW()-3)</t>
        </is>
      </c>
      <c r="B207" s="44" t="n"/>
      <c r="C207" s="44" t="n"/>
      <c r="D207" s="44" t="n"/>
      <c r="E207" s="44" t="n"/>
      <c r="F207" s="44" t="n"/>
      <c r="G207" s="44" t="n"/>
      <c r="H207" s="44" t="n"/>
      <c r="I207" s="44" t="n"/>
      <c r="J207" s="44" t="n"/>
      <c r="K207" s="44" t="n"/>
      <c r="L207" s="44" t="n"/>
      <c r="M207" s="44" t="n"/>
      <c r="N207" s="44" t="n"/>
      <c r="O207" s="44" t="n"/>
      <c r="P207" s="44" t="n"/>
      <c r="Q207" s="44" t="n"/>
      <c r="R207" s="44" t="n"/>
      <c r="S207" s="45" t="n"/>
      <c r="T207" s="46" t="inlineStr">
        <is>
          <t>IF(AQ207="","",AQ207)</t>
        </is>
      </c>
      <c r="U207" s="47" t="n"/>
      <c r="V207" s="48" t="n"/>
      <c r="W207" s="47" t="n"/>
      <c r="X207" s="46" t="inlineStr">
        <is>
          <t>IF(W207&lt;&gt;"",W207,IF(OR(T207="",V207=""),"",EDATE(T207,V207)))</t>
        </is>
      </c>
      <c r="Y207" s="47" t="n"/>
      <c r="Z207" s="48" t="n"/>
      <c r="AA207" s="44" t="n"/>
      <c r="AB207" s="44" t="n"/>
      <c r="AC207" s="42" t="inlineStr">
        <is>
          <t>IF(F207="","",IF(COUNT(AI207:AV207)=0,IF(AA207="","Not started",AA207),SUBSTITUTE(LOOKUP(2,1/(AI207:AV207&lt;&gt;""),$AI$3:$AV$3),"Date: ","")))</t>
        </is>
      </c>
      <c r="AD207" s="49" t="inlineStr">
        <is>
          <t>IF(OR(F207="",COUNT(AI207:AV207)=0),"",TODAY()-LOOKUP(2,1/(AI207:AV207&lt;&gt;""),AI207:AV207))</t>
        </is>
      </c>
      <c r="AE207" s="49" t="inlineStr">
        <is>
          <t>IF(OR(F207="",COUNT(AI207:AV207)&lt;2),"",LOOKUP(2,1/(AI207:AV207&lt;&gt;""),AI207:AV207)-MIN(AI207:AV207))</t>
        </is>
      </c>
      <c r="AF207" s="49" t="inlineStr">
        <is>
          <t>IF(OR(AD207="",AC207="Not started",AC207=""),"",IFERROR(AD207-IF(VLOOKUP(AC207,'06_Status_Pipeline'!$B$3:$E$20,4,FALSE)="",0,VLOOKUP(AC207,'06_Status_Pipeline'!$B$3:$E$20,4,FALSE)),""))</t>
        </is>
      </c>
      <c r="AG207" s="42" t="inlineStr">
        <is>
          <t>IF(F207="","",IF(OR(AA207="Cancelled",AC207="Cancelled"),"Cancelled",IF(OR(AC207="Completed / Handover",Y207&lt;&gt;"",Z207&gt;=100),"Completed — on track",IF(O207="Not awarded",IF(U207="",IF(X207="","No planned date",IF(TODAY()&gt;X207,"Behind — past planned date",IF(X207-TODAY()&lt;=30,"At risk — close to off track","On track"))),IF(TODAY()&gt;U207,"Behind — award date passed",IF(U207-TODAY()&lt;=30,"At risk — close to off track","On track"))),IF(X207="","No planned date",IF(AND(TODAY()&gt;X207,OR(Z207="",Z207&lt;100)),"Behind — past end date",IF(AND(T207&lt;&gt;"",X207&lt;&gt;"",Z207&lt;&gt;"",(Z207&lt;100),((TODAY()-T207)/MAX(X207-T207,1)*100)-Z207&gt;15),"Behind — progress lag",IF(AND(X207-TODAY()&lt;=30,X207-TODAY()&gt;=0,OR(Z207="",Z207&lt;90)),"At risk — close to off track","On track"))))))))</t>
        </is>
      </c>
      <c r="AH207" s="49" t="inlineStr">
        <is>
          <t>IF(OR(F207="",AC207="Completed / Handover",AC207="Cancelled"),"",IF(O207="Not awarded",IF(U207&lt;&gt;"",U207-TODAY(),IF(X207="","",X207-TODAY())),IF(X207="","",X207-TODAY())))</t>
        </is>
      </c>
      <c r="AI207" s="47" t="n"/>
      <c r="AJ207" s="47" t="n"/>
      <c r="AK207" s="47" t="n"/>
      <c r="AL207" s="47" t="n"/>
      <c r="AM207" s="47" t="n"/>
      <c r="AN207" s="47" t="n"/>
      <c r="AO207" s="47" t="n"/>
      <c r="AP207" s="47" t="n"/>
      <c r="AQ207" s="47" t="n"/>
      <c r="AR207" s="47" t="n"/>
      <c r="AS207" s="47" t="n"/>
      <c r="AT207" s="50" t="n"/>
      <c r="AU207" s="50" t="n"/>
      <c r="AV207" s="50" t="n"/>
      <c r="AW207" s="49" t="inlineStr">
        <is>
          <t>IF(OR(F207="",AJ207=""),"",IF(COUNT(AI207:AI207)=0,"",AJ207-LOOKUP(2,1/(AI207:AI207&lt;&gt;""),AI207:AI207)))</t>
        </is>
      </c>
      <c r="AX207" s="49" t="inlineStr">
        <is>
          <t>IF(OR(F207="",AK207=""),"",IF(COUNT(AI207:AJ207)=0,"",AK207-LOOKUP(2,1/(AI207:AJ207&lt;&gt;""),AI207:AJ207)))</t>
        </is>
      </c>
      <c r="AY207" s="49" t="inlineStr">
        <is>
          <t>IF(OR(F207="",AL207=""),"",IF(COUNT(AI207:AK207)=0,"",AL207-LOOKUP(2,1/(AI207:AK207&lt;&gt;""),AI207:AK207)))</t>
        </is>
      </c>
      <c r="AZ207" s="49" t="inlineStr">
        <is>
          <t>IF(OR(F207="",AM207=""),"",IF(COUNT(AI207:AL207)=0,"",AM207-LOOKUP(2,1/(AI207:AL207&lt;&gt;""),AI207:AL207)))</t>
        </is>
      </c>
      <c r="BA207" s="49" t="inlineStr">
        <is>
          <t>IF(OR(F207="",AN207=""),"",IF(COUNT(AI207:AM207)=0,"",AN207-LOOKUP(2,1/(AI207:AM207&lt;&gt;""),AI207:AM207)))</t>
        </is>
      </c>
      <c r="BB207" s="49" t="inlineStr">
        <is>
          <t>IF(OR(F207="",AO207=""),"",IF(COUNT(AI207:AN207)=0,"",AO207-LOOKUP(2,1/(AI207:AN207&lt;&gt;""),AI207:AN207)))</t>
        </is>
      </c>
      <c r="BC207" s="49" t="inlineStr">
        <is>
          <t>IF(OR(F207="",AP207=""),"",IF(COUNT(AI207:AO207)=0,"",AP207-LOOKUP(2,1/(AI207:AO207&lt;&gt;""),AI207:AO207)))</t>
        </is>
      </c>
      <c r="BD207" s="49" t="inlineStr">
        <is>
          <t>IF(OR(F207="",AQ207=""),"",IF(COUNT(AI207:AP207)=0,"",AQ207-LOOKUP(2,1/(AI207:AP207&lt;&gt;""),AI207:AP207)))</t>
        </is>
      </c>
      <c r="BE207" s="49" t="inlineStr">
        <is>
          <t>IF(OR(F207="",AR207=""),"",IF(COUNT(AI207:AQ207)=0,"",AR207-LOOKUP(2,1/(AI207:AQ207&lt;&gt;""),AI207:AQ207)))</t>
        </is>
      </c>
      <c r="BF207" s="49" t="inlineStr">
        <is>
          <t>IF(OR(F207="",AS207=""),"",IF(COUNT(AI207:AR207)=0,"",AS207-LOOKUP(2,1/(AI207:AR207&lt;&gt;""),AI207:AR207)))</t>
        </is>
      </c>
      <c r="BG207" s="49" t="inlineStr">
        <is>
          <t>IF(OR(F207="",AT207=""),"",IF(COUNT(AI207:AS207)=0,"",AT207-LOOKUP(2,1/(AI207:AS207&lt;&gt;""),AI207:AS207)))</t>
        </is>
      </c>
      <c r="BH207" s="49" t="inlineStr">
        <is>
          <t>IF(OR(F207="",AU207=""),"",IF(COUNT(AI207:AT207)=0,"",AU207-LOOKUP(2,1/(AI207:AT207&lt;&gt;""),AI207:AT207)))</t>
        </is>
      </c>
      <c r="BI207" s="49" t="inlineStr">
        <is>
          <t>IF(OR(F207="",AV207=""),"",IF(COUNT(AI207:AU207)=0,"",AV207-LOOKUP(2,1/(AI207:AU207&lt;&gt;""),AI207:AU207)))</t>
        </is>
      </c>
      <c r="BJ207" s="51" t="inlineStr">
        <is>
          <t>IF(J207="","All_Provinces",IFERROR(VLOOKUP(J207,'09_Lookups'!$A$4:$B$20,2,FALSE),"All_Provinces"))</t>
        </is>
      </c>
      <c r="BK207" s="51" t="inlineStr">
        <is>
          <t>IF(K207="","All_Districts",IFERROR(VLOOKUP(K207,'09_Lookups'!$E$4:$F$42,2,FALSE),"All_Districts"))</t>
        </is>
      </c>
    </row>
    <row r="208" ht="18" customHeight="1">
      <c r="A208" s="42" t="inlineStr">
        <is>
          <t>IF(F208="","",ROW()-3)</t>
        </is>
      </c>
      <c r="B208" s="52" t="n"/>
      <c r="C208" s="52" t="n"/>
      <c r="D208" s="52" t="n"/>
      <c r="E208" s="52" t="n"/>
      <c r="F208" s="52" t="n"/>
      <c r="G208" s="52" t="n"/>
      <c r="H208" s="52" t="n"/>
      <c r="I208" s="52" t="n"/>
      <c r="J208" s="52" t="n"/>
      <c r="K208" s="52" t="n"/>
      <c r="L208" s="52" t="n"/>
      <c r="M208" s="52" t="n"/>
      <c r="N208" s="52" t="n"/>
      <c r="O208" s="52" t="n"/>
      <c r="P208" s="52" t="n"/>
      <c r="Q208" s="52" t="n"/>
      <c r="R208" s="52" t="n"/>
      <c r="S208" s="53" t="n"/>
      <c r="T208" s="46" t="inlineStr">
        <is>
          <t>IF(AQ208="","",AQ208)</t>
        </is>
      </c>
      <c r="U208" s="54" t="n"/>
      <c r="V208" s="55" t="n"/>
      <c r="W208" s="54" t="n"/>
      <c r="X208" s="46" t="inlineStr">
        <is>
          <t>IF(W208&lt;&gt;"",W208,IF(OR(T208="",V208=""),"",EDATE(T208,V208)))</t>
        </is>
      </c>
      <c r="Y208" s="54" t="n"/>
      <c r="Z208" s="55" t="n"/>
      <c r="AA208" s="52" t="n"/>
      <c r="AB208" s="52" t="n"/>
      <c r="AC208" s="42" t="inlineStr">
        <is>
          <t>IF(F208="","",IF(COUNT(AI208:AV208)=0,IF(AA208="","Not started",AA208),SUBSTITUTE(LOOKUP(2,1/(AI208:AV208&lt;&gt;""),$AI$3:$AV$3),"Date: ","")))</t>
        </is>
      </c>
      <c r="AD208" s="49" t="inlineStr">
        <is>
          <t>IF(OR(F208="",COUNT(AI208:AV208)=0),"",TODAY()-LOOKUP(2,1/(AI208:AV208&lt;&gt;""),AI208:AV208))</t>
        </is>
      </c>
      <c r="AE208" s="49" t="inlineStr">
        <is>
          <t>IF(OR(F208="",COUNT(AI208:AV208)&lt;2),"",LOOKUP(2,1/(AI208:AV208&lt;&gt;""),AI208:AV208)-MIN(AI208:AV208))</t>
        </is>
      </c>
      <c r="AF208" s="49" t="inlineStr">
        <is>
          <t>IF(OR(AD208="",AC208="Not started",AC208=""),"",IFERROR(AD208-IF(VLOOKUP(AC208,'06_Status_Pipeline'!$B$3:$E$20,4,FALSE)="",0,VLOOKUP(AC208,'06_Status_Pipeline'!$B$3:$E$20,4,FALSE)),""))</t>
        </is>
      </c>
      <c r="AG208" s="42" t="inlineStr">
        <is>
          <t>IF(F208="","",IF(OR(AA208="Cancelled",AC208="Cancelled"),"Cancelled",IF(OR(AC208="Completed / Handover",Y208&lt;&gt;"",Z208&gt;=100),"Completed — on track",IF(O208="Not awarded",IF(U208="",IF(X208="","No planned date",IF(TODAY()&gt;X208,"Behind — past planned date",IF(X208-TODAY()&lt;=30,"At risk — close to off track","On track"))),IF(TODAY()&gt;U208,"Behind — award date passed",IF(U208-TODAY()&lt;=30,"At risk — close to off track","On track"))),IF(X208="","No planned date",IF(AND(TODAY()&gt;X208,OR(Z208="",Z208&lt;100)),"Behind — past end date",IF(AND(T208&lt;&gt;"",X208&lt;&gt;"",Z208&lt;&gt;"",(Z208&lt;100),((TODAY()-T208)/MAX(X208-T208,1)*100)-Z208&gt;15),"Behind — progress lag",IF(AND(X208-TODAY()&lt;=30,X208-TODAY()&gt;=0,OR(Z208="",Z208&lt;90)),"At risk — close to off track","On track"))))))))</t>
        </is>
      </c>
      <c r="AH208" s="49" t="inlineStr">
        <is>
          <t>IF(OR(F208="",AC208="Completed / Handover",AC208="Cancelled"),"",IF(O208="Not awarded",IF(U208&lt;&gt;"",U208-TODAY(),IF(X208="","",X208-TODAY())),IF(X208="","",X208-TODAY())))</t>
        </is>
      </c>
      <c r="AI208" s="54" t="n"/>
      <c r="AJ208" s="54" t="n"/>
      <c r="AK208" s="54" t="n"/>
      <c r="AL208" s="54" t="n"/>
      <c r="AM208" s="54" t="n"/>
      <c r="AN208" s="54" t="n"/>
      <c r="AO208" s="54" t="n"/>
      <c r="AP208" s="54" t="n"/>
      <c r="AQ208" s="54" t="n"/>
      <c r="AR208" s="54" t="n"/>
      <c r="AS208" s="54" t="n"/>
      <c r="AT208" s="50" t="n"/>
      <c r="AU208" s="50" t="n"/>
      <c r="AV208" s="50" t="n"/>
      <c r="AW208" s="49" t="inlineStr">
        <is>
          <t>IF(OR(F208="",AJ208=""),"",IF(COUNT(AI208:AI208)=0,"",AJ208-LOOKUP(2,1/(AI208:AI208&lt;&gt;""),AI208:AI208)))</t>
        </is>
      </c>
      <c r="AX208" s="49" t="inlineStr">
        <is>
          <t>IF(OR(F208="",AK208=""),"",IF(COUNT(AI208:AJ208)=0,"",AK208-LOOKUP(2,1/(AI208:AJ208&lt;&gt;""),AI208:AJ208)))</t>
        </is>
      </c>
      <c r="AY208" s="49" t="inlineStr">
        <is>
          <t>IF(OR(F208="",AL208=""),"",IF(COUNT(AI208:AK208)=0,"",AL208-LOOKUP(2,1/(AI208:AK208&lt;&gt;""),AI208:AK208)))</t>
        </is>
      </c>
      <c r="AZ208" s="49" t="inlineStr">
        <is>
          <t>IF(OR(F208="",AM208=""),"",IF(COUNT(AI208:AL208)=0,"",AM208-LOOKUP(2,1/(AI208:AL208&lt;&gt;""),AI208:AL208)))</t>
        </is>
      </c>
      <c r="BA208" s="49" t="inlineStr">
        <is>
          <t>IF(OR(F208="",AN208=""),"",IF(COUNT(AI208:AM208)=0,"",AN208-LOOKUP(2,1/(AI208:AM208&lt;&gt;""),AI208:AM208)))</t>
        </is>
      </c>
      <c r="BB208" s="49" t="inlineStr">
        <is>
          <t>IF(OR(F208="",AO208=""),"",IF(COUNT(AI208:AN208)=0,"",AO208-LOOKUP(2,1/(AI208:AN208&lt;&gt;""),AI208:AN208)))</t>
        </is>
      </c>
      <c r="BC208" s="49" t="inlineStr">
        <is>
          <t>IF(OR(F208="",AP208=""),"",IF(COUNT(AI208:AO208)=0,"",AP208-LOOKUP(2,1/(AI208:AO208&lt;&gt;""),AI208:AO208)))</t>
        </is>
      </c>
      <c r="BD208" s="49" t="inlineStr">
        <is>
          <t>IF(OR(F208="",AQ208=""),"",IF(COUNT(AI208:AP208)=0,"",AQ208-LOOKUP(2,1/(AI208:AP208&lt;&gt;""),AI208:AP208)))</t>
        </is>
      </c>
      <c r="BE208" s="49" t="inlineStr">
        <is>
          <t>IF(OR(F208="",AR208=""),"",IF(COUNT(AI208:AQ208)=0,"",AR208-LOOKUP(2,1/(AI208:AQ208&lt;&gt;""),AI208:AQ208)))</t>
        </is>
      </c>
      <c r="BF208" s="49" t="inlineStr">
        <is>
          <t>IF(OR(F208="",AS208=""),"",IF(COUNT(AI208:AR208)=0,"",AS208-LOOKUP(2,1/(AI208:AR208&lt;&gt;""),AI208:AR208)))</t>
        </is>
      </c>
      <c r="BG208" s="49" t="inlineStr">
        <is>
          <t>IF(OR(F208="",AT208=""),"",IF(COUNT(AI208:AS208)=0,"",AT208-LOOKUP(2,1/(AI208:AS208&lt;&gt;""),AI208:AS208)))</t>
        </is>
      </c>
      <c r="BH208" s="49" t="inlineStr">
        <is>
          <t>IF(OR(F208="",AU208=""),"",IF(COUNT(AI208:AT208)=0,"",AU208-LOOKUP(2,1/(AI208:AT208&lt;&gt;""),AI208:AT208)))</t>
        </is>
      </c>
      <c r="BI208" s="49" t="inlineStr">
        <is>
          <t>IF(OR(F208="",AV208=""),"",IF(COUNT(AI208:AU208)=0,"",AV208-LOOKUP(2,1/(AI208:AU208&lt;&gt;""),AI208:AU208)))</t>
        </is>
      </c>
      <c r="BJ208" s="51" t="inlineStr">
        <is>
          <t>IF(J208="","All_Provinces",IFERROR(VLOOKUP(J208,'09_Lookups'!$A$4:$B$20,2,FALSE),"All_Provinces"))</t>
        </is>
      </c>
      <c r="BK208" s="51" t="inlineStr">
        <is>
          <t>IF(K208="","All_Districts",IFERROR(VLOOKUP(K208,'09_Lookups'!$E$4:$F$42,2,FALSE),"All_Districts"))</t>
        </is>
      </c>
    </row>
    <row r="209" ht="18" customHeight="1">
      <c r="A209" s="42" t="inlineStr">
        <is>
          <t>IF(F209="","",ROW()-3)</t>
        </is>
      </c>
      <c r="B209" s="44" t="n"/>
      <c r="C209" s="44" t="n"/>
      <c r="D209" s="44" t="n"/>
      <c r="E209" s="44" t="n"/>
      <c r="F209" s="44" t="n"/>
      <c r="G209" s="44" t="n"/>
      <c r="H209" s="44" t="n"/>
      <c r="I209" s="44" t="n"/>
      <c r="J209" s="44" t="n"/>
      <c r="K209" s="44" t="n"/>
      <c r="L209" s="44" t="n"/>
      <c r="M209" s="44" t="n"/>
      <c r="N209" s="44" t="n"/>
      <c r="O209" s="44" t="n"/>
      <c r="P209" s="44" t="n"/>
      <c r="Q209" s="44" t="n"/>
      <c r="R209" s="44" t="n"/>
      <c r="S209" s="45" t="n"/>
      <c r="T209" s="46" t="inlineStr">
        <is>
          <t>IF(AQ209="","",AQ209)</t>
        </is>
      </c>
      <c r="U209" s="47" t="n"/>
      <c r="V209" s="48" t="n"/>
      <c r="W209" s="47" t="n"/>
      <c r="X209" s="46" t="inlineStr">
        <is>
          <t>IF(W209&lt;&gt;"",W209,IF(OR(T209="",V209=""),"",EDATE(T209,V209)))</t>
        </is>
      </c>
      <c r="Y209" s="47" t="n"/>
      <c r="Z209" s="48" t="n"/>
      <c r="AA209" s="44" t="n"/>
      <c r="AB209" s="44" t="n"/>
      <c r="AC209" s="42" t="inlineStr">
        <is>
          <t>IF(F209="","",IF(COUNT(AI209:AV209)=0,IF(AA209="","Not started",AA209),SUBSTITUTE(LOOKUP(2,1/(AI209:AV209&lt;&gt;""),$AI$3:$AV$3),"Date: ","")))</t>
        </is>
      </c>
      <c r="AD209" s="49" t="inlineStr">
        <is>
          <t>IF(OR(F209="",COUNT(AI209:AV209)=0),"",TODAY()-LOOKUP(2,1/(AI209:AV209&lt;&gt;""),AI209:AV209))</t>
        </is>
      </c>
      <c r="AE209" s="49" t="inlineStr">
        <is>
          <t>IF(OR(F209="",COUNT(AI209:AV209)&lt;2),"",LOOKUP(2,1/(AI209:AV209&lt;&gt;""),AI209:AV209)-MIN(AI209:AV209))</t>
        </is>
      </c>
      <c r="AF209" s="49" t="inlineStr">
        <is>
          <t>IF(OR(AD209="",AC209="Not started",AC209=""),"",IFERROR(AD209-IF(VLOOKUP(AC209,'06_Status_Pipeline'!$B$3:$E$20,4,FALSE)="",0,VLOOKUP(AC209,'06_Status_Pipeline'!$B$3:$E$20,4,FALSE)),""))</t>
        </is>
      </c>
      <c r="AG209" s="42" t="inlineStr">
        <is>
          <t>IF(F209="","",IF(OR(AA209="Cancelled",AC209="Cancelled"),"Cancelled",IF(OR(AC209="Completed / Handover",Y209&lt;&gt;"",Z209&gt;=100),"Completed — on track",IF(O209="Not awarded",IF(U209="",IF(X209="","No planned date",IF(TODAY()&gt;X209,"Behind — past planned date",IF(X209-TODAY()&lt;=30,"At risk — close to off track","On track"))),IF(TODAY()&gt;U209,"Behind — award date passed",IF(U209-TODAY()&lt;=30,"At risk — close to off track","On track"))),IF(X209="","No planned date",IF(AND(TODAY()&gt;X209,OR(Z209="",Z209&lt;100)),"Behind — past end date",IF(AND(T209&lt;&gt;"",X209&lt;&gt;"",Z209&lt;&gt;"",(Z209&lt;100),((TODAY()-T209)/MAX(X209-T209,1)*100)-Z209&gt;15),"Behind — progress lag",IF(AND(X209-TODAY()&lt;=30,X209-TODAY()&gt;=0,OR(Z209="",Z209&lt;90)),"At risk — close to off track","On track"))))))))</t>
        </is>
      </c>
      <c r="AH209" s="49" t="inlineStr">
        <is>
          <t>IF(OR(F209="",AC209="Completed / Handover",AC209="Cancelled"),"",IF(O209="Not awarded",IF(U209&lt;&gt;"",U209-TODAY(),IF(X209="","",X209-TODAY())),IF(X209="","",X209-TODAY())))</t>
        </is>
      </c>
      <c r="AI209" s="47" t="n"/>
      <c r="AJ209" s="47" t="n"/>
      <c r="AK209" s="47" t="n"/>
      <c r="AL209" s="47" t="n"/>
      <c r="AM209" s="47" t="n"/>
      <c r="AN209" s="47" t="n"/>
      <c r="AO209" s="47" t="n"/>
      <c r="AP209" s="47" t="n"/>
      <c r="AQ209" s="47" t="n"/>
      <c r="AR209" s="47" t="n"/>
      <c r="AS209" s="47" t="n"/>
      <c r="AT209" s="50" t="n"/>
      <c r="AU209" s="50" t="n"/>
      <c r="AV209" s="50" t="n"/>
      <c r="AW209" s="49" t="inlineStr">
        <is>
          <t>IF(OR(F209="",AJ209=""),"",IF(COUNT(AI209:AI209)=0,"",AJ209-LOOKUP(2,1/(AI209:AI209&lt;&gt;""),AI209:AI209)))</t>
        </is>
      </c>
      <c r="AX209" s="49" t="inlineStr">
        <is>
          <t>IF(OR(F209="",AK209=""),"",IF(COUNT(AI209:AJ209)=0,"",AK209-LOOKUP(2,1/(AI209:AJ209&lt;&gt;""),AI209:AJ209)))</t>
        </is>
      </c>
      <c r="AY209" s="49" t="inlineStr">
        <is>
          <t>IF(OR(F209="",AL209=""),"",IF(COUNT(AI209:AK209)=0,"",AL209-LOOKUP(2,1/(AI209:AK209&lt;&gt;""),AI209:AK209)))</t>
        </is>
      </c>
      <c r="AZ209" s="49" t="inlineStr">
        <is>
          <t>IF(OR(F209="",AM209=""),"",IF(COUNT(AI209:AL209)=0,"",AM209-LOOKUP(2,1/(AI209:AL209&lt;&gt;""),AI209:AL209)))</t>
        </is>
      </c>
      <c r="BA209" s="49" t="inlineStr">
        <is>
          <t>IF(OR(F209="",AN209=""),"",IF(COUNT(AI209:AM209)=0,"",AN209-LOOKUP(2,1/(AI209:AM209&lt;&gt;""),AI209:AM209)))</t>
        </is>
      </c>
      <c r="BB209" s="49" t="inlineStr">
        <is>
          <t>IF(OR(F209="",AO209=""),"",IF(COUNT(AI209:AN209)=0,"",AO209-LOOKUP(2,1/(AI209:AN209&lt;&gt;""),AI209:AN209)))</t>
        </is>
      </c>
      <c r="BC209" s="49" t="inlineStr">
        <is>
          <t>IF(OR(F209="",AP209=""),"",IF(COUNT(AI209:AO209)=0,"",AP209-LOOKUP(2,1/(AI209:AO209&lt;&gt;""),AI209:AO209)))</t>
        </is>
      </c>
      <c r="BD209" s="49" t="inlineStr">
        <is>
          <t>IF(OR(F209="",AQ209=""),"",IF(COUNT(AI209:AP209)=0,"",AQ209-LOOKUP(2,1/(AI209:AP209&lt;&gt;""),AI209:AP209)))</t>
        </is>
      </c>
      <c r="BE209" s="49" t="inlineStr">
        <is>
          <t>IF(OR(F209="",AR209=""),"",IF(COUNT(AI209:AQ209)=0,"",AR209-LOOKUP(2,1/(AI209:AQ209&lt;&gt;""),AI209:AQ209)))</t>
        </is>
      </c>
      <c r="BF209" s="49" t="inlineStr">
        <is>
          <t>IF(OR(F209="",AS209=""),"",IF(COUNT(AI209:AR209)=0,"",AS209-LOOKUP(2,1/(AI209:AR209&lt;&gt;""),AI209:AR209)))</t>
        </is>
      </c>
      <c r="BG209" s="49" t="inlineStr">
        <is>
          <t>IF(OR(F209="",AT209=""),"",IF(COUNT(AI209:AS209)=0,"",AT209-LOOKUP(2,1/(AI209:AS209&lt;&gt;""),AI209:AS209)))</t>
        </is>
      </c>
      <c r="BH209" s="49" t="inlineStr">
        <is>
          <t>IF(OR(F209="",AU209=""),"",IF(COUNT(AI209:AT209)=0,"",AU209-LOOKUP(2,1/(AI209:AT209&lt;&gt;""),AI209:AT209)))</t>
        </is>
      </c>
      <c r="BI209" s="49" t="inlineStr">
        <is>
          <t>IF(OR(F209="",AV209=""),"",IF(COUNT(AI209:AU209)=0,"",AV209-LOOKUP(2,1/(AI209:AU209&lt;&gt;""),AI209:AU209)))</t>
        </is>
      </c>
      <c r="BJ209" s="51" t="inlineStr">
        <is>
          <t>IF(J209="","All_Provinces",IFERROR(VLOOKUP(J209,'09_Lookups'!$A$4:$B$20,2,FALSE),"All_Provinces"))</t>
        </is>
      </c>
      <c r="BK209" s="51" t="inlineStr">
        <is>
          <t>IF(K209="","All_Districts",IFERROR(VLOOKUP(K209,'09_Lookups'!$E$4:$F$42,2,FALSE),"All_Districts"))</t>
        </is>
      </c>
    </row>
    <row r="210" ht="18" customHeight="1">
      <c r="A210" s="42" t="inlineStr">
        <is>
          <t>IF(F210="","",ROW()-3)</t>
        </is>
      </c>
      <c r="B210" s="52" t="n"/>
      <c r="C210" s="52" t="n"/>
      <c r="D210" s="52" t="n"/>
      <c r="E210" s="52" t="n"/>
      <c r="F210" s="52" t="n"/>
      <c r="G210" s="52" t="n"/>
      <c r="H210" s="52" t="n"/>
      <c r="I210" s="52" t="n"/>
      <c r="J210" s="52" t="n"/>
      <c r="K210" s="52" t="n"/>
      <c r="L210" s="52" t="n"/>
      <c r="M210" s="52" t="n"/>
      <c r="N210" s="52" t="n"/>
      <c r="O210" s="52" t="n"/>
      <c r="P210" s="52" t="n"/>
      <c r="Q210" s="52" t="n"/>
      <c r="R210" s="52" t="n"/>
      <c r="S210" s="53" t="n"/>
      <c r="T210" s="46" t="inlineStr">
        <is>
          <t>IF(AQ210="","",AQ210)</t>
        </is>
      </c>
      <c r="U210" s="54" t="n"/>
      <c r="V210" s="55" t="n"/>
      <c r="W210" s="54" t="n"/>
      <c r="X210" s="46" t="inlineStr">
        <is>
          <t>IF(W210&lt;&gt;"",W210,IF(OR(T210="",V210=""),"",EDATE(T210,V210)))</t>
        </is>
      </c>
      <c r="Y210" s="54" t="n"/>
      <c r="Z210" s="55" t="n"/>
      <c r="AA210" s="52" t="n"/>
      <c r="AB210" s="52" t="n"/>
      <c r="AC210" s="42" t="inlineStr">
        <is>
          <t>IF(F210="","",IF(COUNT(AI210:AV210)=0,IF(AA210="","Not started",AA210),SUBSTITUTE(LOOKUP(2,1/(AI210:AV210&lt;&gt;""),$AI$3:$AV$3),"Date: ","")))</t>
        </is>
      </c>
      <c r="AD210" s="49" t="inlineStr">
        <is>
          <t>IF(OR(F210="",COUNT(AI210:AV210)=0),"",TODAY()-LOOKUP(2,1/(AI210:AV210&lt;&gt;""),AI210:AV210))</t>
        </is>
      </c>
      <c r="AE210" s="49" t="inlineStr">
        <is>
          <t>IF(OR(F210="",COUNT(AI210:AV210)&lt;2),"",LOOKUP(2,1/(AI210:AV210&lt;&gt;""),AI210:AV210)-MIN(AI210:AV210))</t>
        </is>
      </c>
      <c r="AF210" s="49" t="inlineStr">
        <is>
          <t>IF(OR(AD210="",AC210="Not started",AC210=""),"",IFERROR(AD210-IF(VLOOKUP(AC210,'06_Status_Pipeline'!$B$3:$E$20,4,FALSE)="",0,VLOOKUP(AC210,'06_Status_Pipeline'!$B$3:$E$20,4,FALSE)),""))</t>
        </is>
      </c>
      <c r="AG210" s="42" t="inlineStr">
        <is>
          <t>IF(F210="","",IF(OR(AA210="Cancelled",AC210="Cancelled"),"Cancelled",IF(OR(AC210="Completed / Handover",Y210&lt;&gt;"",Z210&gt;=100),"Completed — on track",IF(O210="Not awarded",IF(U210="",IF(X210="","No planned date",IF(TODAY()&gt;X210,"Behind — past planned date",IF(X210-TODAY()&lt;=30,"At risk — close to off track","On track"))),IF(TODAY()&gt;U210,"Behind — award date passed",IF(U210-TODAY()&lt;=30,"At risk — close to off track","On track"))),IF(X210="","No planned date",IF(AND(TODAY()&gt;X210,OR(Z210="",Z210&lt;100)),"Behind — past end date",IF(AND(T210&lt;&gt;"",X210&lt;&gt;"",Z210&lt;&gt;"",(Z210&lt;100),((TODAY()-T210)/MAX(X210-T210,1)*100)-Z210&gt;15),"Behind — progress lag",IF(AND(X210-TODAY()&lt;=30,X210-TODAY()&gt;=0,OR(Z210="",Z210&lt;90)),"At risk — close to off track","On track"))))))))</t>
        </is>
      </c>
      <c r="AH210" s="49" t="inlineStr">
        <is>
          <t>IF(OR(F210="",AC210="Completed / Handover",AC210="Cancelled"),"",IF(O210="Not awarded",IF(U210&lt;&gt;"",U210-TODAY(),IF(X210="","",X210-TODAY())),IF(X210="","",X210-TODAY())))</t>
        </is>
      </c>
      <c r="AI210" s="54" t="n"/>
      <c r="AJ210" s="54" t="n"/>
      <c r="AK210" s="54" t="n"/>
      <c r="AL210" s="54" t="n"/>
      <c r="AM210" s="54" t="n"/>
      <c r="AN210" s="54" t="n"/>
      <c r="AO210" s="54" t="n"/>
      <c r="AP210" s="54" t="n"/>
      <c r="AQ210" s="54" t="n"/>
      <c r="AR210" s="54" t="n"/>
      <c r="AS210" s="54" t="n"/>
      <c r="AT210" s="50" t="n"/>
      <c r="AU210" s="50" t="n"/>
      <c r="AV210" s="50" t="n"/>
      <c r="AW210" s="49" t="inlineStr">
        <is>
          <t>IF(OR(F210="",AJ210=""),"",IF(COUNT(AI210:AI210)=0,"",AJ210-LOOKUP(2,1/(AI210:AI210&lt;&gt;""),AI210:AI210)))</t>
        </is>
      </c>
      <c r="AX210" s="49" t="inlineStr">
        <is>
          <t>IF(OR(F210="",AK210=""),"",IF(COUNT(AI210:AJ210)=0,"",AK210-LOOKUP(2,1/(AI210:AJ210&lt;&gt;""),AI210:AJ210)))</t>
        </is>
      </c>
      <c r="AY210" s="49" t="inlineStr">
        <is>
          <t>IF(OR(F210="",AL210=""),"",IF(COUNT(AI210:AK210)=0,"",AL210-LOOKUP(2,1/(AI210:AK210&lt;&gt;""),AI210:AK210)))</t>
        </is>
      </c>
      <c r="AZ210" s="49" t="inlineStr">
        <is>
          <t>IF(OR(F210="",AM210=""),"",IF(COUNT(AI210:AL210)=0,"",AM210-LOOKUP(2,1/(AI210:AL210&lt;&gt;""),AI210:AL210)))</t>
        </is>
      </c>
      <c r="BA210" s="49" t="inlineStr">
        <is>
          <t>IF(OR(F210="",AN210=""),"",IF(COUNT(AI210:AM210)=0,"",AN210-LOOKUP(2,1/(AI210:AM210&lt;&gt;""),AI210:AM210)))</t>
        </is>
      </c>
      <c r="BB210" s="49" t="inlineStr">
        <is>
          <t>IF(OR(F210="",AO210=""),"",IF(COUNT(AI210:AN210)=0,"",AO210-LOOKUP(2,1/(AI210:AN210&lt;&gt;""),AI210:AN210)))</t>
        </is>
      </c>
      <c r="BC210" s="49" t="inlineStr">
        <is>
          <t>IF(OR(F210="",AP210=""),"",IF(COUNT(AI210:AO210)=0,"",AP210-LOOKUP(2,1/(AI210:AO210&lt;&gt;""),AI210:AO210)))</t>
        </is>
      </c>
      <c r="BD210" s="49" t="inlineStr">
        <is>
          <t>IF(OR(F210="",AQ210=""),"",IF(COUNT(AI210:AP210)=0,"",AQ210-LOOKUP(2,1/(AI210:AP210&lt;&gt;""),AI210:AP210)))</t>
        </is>
      </c>
      <c r="BE210" s="49" t="inlineStr">
        <is>
          <t>IF(OR(F210="",AR210=""),"",IF(COUNT(AI210:AQ210)=0,"",AR210-LOOKUP(2,1/(AI210:AQ210&lt;&gt;""),AI210:AQ210)))</t>
        </is>
      </c>
      <c r="BF210" s="49" t="inlineStr">
        <is>
          <t>IF(OR(F210="",AS210=""),"",IF(COUNT(AI210:AR210)=0,"",AS210-LOOKUP(2,1/(AI210:AR210&lt;&gt;""),AI210:AR210)))</t>
        </is>
      </c>
      <c r="BG210" s="49" t="inlineStr">
        <is>
          <t>IF(OR(F210="",AT210=""),"",IF(COUNT(AI210:AS210)=0,"",AT210-LOOKUP(2,1/(AI210:AS210&lt;&gt;""),AI210:AS210)))</t>
        </is>
      </c>
      <c r="BH210" s="49" t="inlineStr">
        <is>
          <t>IF(OR(F210="",AU210=""),"",IF(COUNT(AI210:AT210)=0,"",AU210-LOOKUP(2,1/(AI210:AT210&lt;&gt;""),AI210:AT210)))</t>
        </is>
      </c>
      <c r="BI210" s="49" t="inlineStr">
        <is>
          <t>IF(OR(F210="",AV210=""),"",IF(COUNT(AI210:AU210)=0,"",AV210-LOOKUP(2,1/(AI210:AU210&lt;&gt;""),AI210:AU210)))</t>
        </is>
      </c>
      <c r="BJ210" s="51" t="inlineStr">
        <is>
          <t>IF(J210="","All_Provinces",IFERROR(VLOOKUP(J210,'09_Lookups'!$A$4:$B$20,2,FALSE),"All_Provinces"))</t>
        </is>
      </c>
      <c r="BK210" s="51" t="inlineStr">
        <is>
          <t>IF(K210="","All_Districts",IFERROR(VLOOKUP(K210,'09_Lookups'!$E$4:$F$42,2,FALSE),"All_Districts"))</t>
        </is>
      </c>
    </row>
    <row r="211" ht="18" customHeight="1">
      <c r="A211" s="42" t="inlineStr">
        <is>
          <t>IF(F211="","",ROW()-3)</t>
        </is>
      </c>
      <c r="B211" s="44" t="n"/>
      <c r="C211" s="44" t="n"/>
      <c r="D211" s="44" t="n"/>
      <c r="E211" s="44" t="n"/>
      <c r="F211" s="44" t="n"/>
      <c r="G211" s="44" t="n"/>
      <c r="H211" s="44" t="n"/>
      <c r="I211" s="44" t="n"/>
      <c r="J211" s="44" t="n"/>
      <c r="K211" s="44" t="n"/>
      <c r="L211" s="44" t="n"/>
      <c r="M211" s="44" t="n"/>
      <c r="N211" s="44" t="n"/>
      <c r="O211" s="44" t="n"/>
      <c r="P211" s="44" t="n"/>
      <c r="Q211" s="44" t="n"/>
      <c r="R211" s="44" t="n"/>
      <c r="S211" s="45" t="n"/>
      <c r="T211" s="46" t="inlineStr">
        <is>
          <t>IF(AQ211="","",AQ211)</t>
        </is>
      </c>
      <c r="U211" s="47" t="n"/>
      <c r="V211" s="48" t="n"/>
      <c r="W211" s="47" t="n"/>
      <c r="X211" s="46" t="inlineStr">
        <is>
          <t>IF(W211&lt;&gt;"",W211,IF(OR(T211="",V211=""),"",EDATE(T211,V211)))</t>
        </is>
      </c>
      <c r="Y211" s="47" t="n"/>
      <c r="Z211" s="48" t="n"/>
      <c r="AA211" s="44" t="n"/>
      <c r="AB211" s="44" t="n"/>
      <c r="AC211" s="42" t="inlineStr">
        <is>
          <t>IF(F211="","",IF(COUNT(AI211:AV211)=0,IF(AA211="","Not started",AA211),SUBSTITUTE(LOOKUP(2,1/(AI211:AV211&lt;&gt;""),$AI$3:$AV$3),"Date: ","")))</t>
        </is>
      </c>
      <c r="AD211" s="49" t="inlineStr">
        <is>
          <t>IF(OR(F211="",COUNT(AI211:AV211)=0),"",TODAY()-LOOKUP(2,1/(AI211:AV211&lt;&gt;""),AI211:AV211))</t>
        </is>
      </c>
      <c r="AE211" s="49" t="inlineStr">
        <is>
          <t>IF(OR(F211="",COUNT(AI211:AV211)&lt;2),"",LOOKUP(2,1/(AI211:AV211&lt;&gt;""),AI211:AV211)-MIN(AI211:AV211))</t>
        </is>
      </c>
      <c r="AF211" s="49" t="inlineStr">
        <is>
          <t>IF(OR(AD211="",AC211="Not started",AC211=""),"",IFERROR(AD211-IF(VLOOKUP(AC211,'06_Status_Pipeline'!$B$3:$E$20,4,FALSE)="",0,VLOOKUP(AC211,'06_Status_Pipeline'!$B$3:$E$20,4,FALSE)),""))</t>
        </is>
      </c>
      <c r="AG211" s="42" t="inlineStr">
        <is>
          <t>IF(F211="","",IF(OR(AA211="Cancelled",AC211="Cancelled"),"Cancelled",IF(OR(AC211="Completed / Handover",Y211&lt;&gt;"",Z211&gt;=100),"Completed — on track",IF(O211="Not awarded",IF(U211="",IF(X211="","No planned date",IF(TODAY()&gt;X211,"Behind — past planned date",IF(X211-TODAY()&lt;=30,"At risk — close to off track","On track"))),IF(TODAY()&gt;U211,"Behind — award date passed",IF(U211-TODAY()&lt;=30,"At risk — close to off track","On track"))),IF(X211="","No planned date",IF(AND(TODAY()&gt;X211,OR(Z211="",Z211&lt;100)),"Behind — past end date",IF(AND(T211&lt;&gt;"",X211&lt;&gt;"",Z211&lt;&gt;"",(Z211&lt;100),((TODAY()-T211)/MAX(X211-T211,1)*100)-Z211&gt;15),"Behind — progress lag",IF(AND(X211-TODAY()&lt;=30,X211-TODAY()&gt;=0,OR(Z211="",Z211&lt;90)),"At risk — close to off track","On track"))))))))</t>
        </is>
      </c>
      <c r="AH211" s="49" t="inlineStr">
        <is>
          <t>IF(OR(F211="",AC211="Completed / Handover",AC211="Cancelled"),"",IF(O211="Not awarded",IF(U211&lt;&gt;"",U211-TODAY(),IF(X211="","",X211-TODAY())),IF(X211="","",X211-TODAY())))</t>
        </is>
      </c>
      <c r="AI211" s="47" t="n"/>
      <c r="AJ211" s="47" t="n"/>
      <c r="AK211" s="47" t="n"/>
      <c r="AL211" s="47" t="n"/>
      <c r="AM211" s="47" t="n"/>
      <c r="AN211" s="47" t="n"/>
      <c r="AO211" s="47" t="n"/>
      <c r="AP211" s="47" t="n"/>
      <c r="AQ211" s="47" t="n"/>
      <c r="AR211" s="47" t="n"/>
      <c r="AS211" s="47" t="n"/>
      <c r="AT211" s="50" t="n"/>
      <c r="AU211" s="50" t="n"/>
      <c r="AV211" s="50" t="n"/>
      <c r="AW211" s="49" t="inlineStr">
        <is>
          <t>IF(OR(F211="",AJ211=""),"",IF(COUNT(AI211:AI211)=0,"",AJ211-LOOKUP(2,1/(AI211:AI211&lt;&gt;""),AI211:AI211)))</t>
        </is>
      </c>
      <c r="AX211" s="49" t="inlineStr">
        <is>
          <t>IF(OR(F211="",AK211=""),"",IF(COUNT(AI211:AJ211)=0,"",AK211-LOOKUP(2,1/(AI211:AJ211&lt;&gt;""),AI211:AJ211)))</t>
        </is>
      </c>
      <c r="AY211" s="49" t="inlineStr">
        <is>
          <t>IF(OR(F211="",AL211=""),"",IF(COUNT(AI211:AK211)=0,"",AL211-LOOKUP(2,1/(AI211:AK211&lt;&gt;""),AI211:AK211)))</t>
        </is>
      </c>
      <c r="AZ211" s="49" t="inlineStr">
        <is>
          <t>IF(OR(F211="",AM211=""),"",IF(COUNT(AI211:AL211)=0,"",AM211-LOOKUP(2,1/(AI211:AL211&lt;&gt;""),AI211:AL211)))</t>
        </is>
      </c>
      <c r="BA211" s="49" t="inlineStr">
        <is>
          <t>IF(OR(F211="",AN211=""),"",IF(COUNT(AI211:AM211)=0,"",AN211-LOOKUP(2,1/(AI211:AM211&lt;&gt;""),AI211:AM211)))</t>
        </is>
      </c>
      <c r="BB211" s="49" t="inlineStr">
        <is>
          <t>IF(OR(F211="",AO211=""),"",IF(COUNT(AI211:AN211)=0,"",AO211-LOOKUP(2,1/(AI211:AN211&lt;&gt;""),AI211:AN211)))</t>
        </is>
      </c>
      <c r="BC211" s="49" t="inlineStr">
        <is>
          <t>IF(OR(F211="",AP211=""),"",IF(COUNT(AI211:AO211)=0,"",AP211-LOOKUP(2,1/(AI211:AO211&lt;&gt;""),AI211:AO211)))</t>
        </is>
      </c>
      <c r="BD211" s="49" t="inlineStr">
        <is>
          <t>IF(OR(F211="",AQ211=""),"",IF(COUNT(AI211:AP211)=0,"",AQ211-LOOKUP(2,1/(AI211:AP211&lt;&gt;""),AI211:AP211)))</t>
        </is>
      </c>
      <c r="BE211" s="49" t="inlineStr">
        <is>
          <t>IF(OR(F211="",AR211=""),"",IF(COUNT(AI211:AQ211)=0,"",AR211-LOOKUP(2,1/(AI211:AQ211&lt;&gt;""),AI211:AQ211)))</t>
        </is>
      </c>
      <c r="BF211" s="49" t="inlineStr">
        <is>
          <t>IF(OR(F211="",AS211=""),"",IF(COUNT(AI211:AR211)=0,"",AS211-LOOKUP(2,1/(AI211:AR211&lt;&gt;""),AI211:AR211)))</t>
        </is>
      </c>
      <c r="BG211" s="49" t="inlineStr">
        <is>
          <t>IF(OR(F211="",AT211=""),"",IF(COUNT(AI211:AS211)=0,"",AT211-LOOKUP(2,1/(AI211:AS211&lt;&gt;""),AI211:AS211)))</t>
        </is>
      </c>
      <c r="BH211" s="49" t="inlineStr">
        <is>
          <t>IF(OR(F211="",AU211=""),"",IF(COUNT(AI211:AT211)=0,"",AU211-LOOKUP(2,1/(AI211:AT211&lt;&gt;""),AI211:AT211)))</t>
        </is>
      </c>
      <c r="BI211" s="49" t="inlineStr">
        <is>
          <t>IF(OR(F211="",AV211=""),"",IF(COUNT(AI211:AU211)=0,"",AV211-LOOKUP(2,1/(AI211:AU211&lt;&gt;""),AI211:AU211)))</t>
        </is>
      </c>
      <c r="BJ211" s="51" t="inlineStr">
        <is>
          <t>IF(J211="","All_Provinces",IFERROR(VLOOKUP(J211,'09_Lookups'!$A$4:$B$20,2,FALSE),"All_Provinces"))</t>
        </is>
      </c>
      <c r="BK211" s="51" t="inlineStr">
        <is>
          <t>IF(K211="","All_Districts",IFERROR(VLOOKUP(K211,'09_Lookups'!$E$4:$F$42,2,FALSE),"All_Districts"))</t>
        </is>
      </c>
    </row>
    <row r="212" ht="18" customHeight="1">
      <c r="A212" s="42" t="inlineStr">
        <is>
          <t>IF(F212="","",ROW()-3)</t>
        </is>
      </c>
      <c r="B212" s="52" t="n"/>
      <c r="C212" s="52" t="n"/>
      <c r="D212" s="52" t="n"/>
      <c r="E212" s="52" t="n"/>
      <c r="F212" s="52" t="n"/>
      <c r="G212" s="52" t="n"/>
      <c r="H212" s="52" t="n"/>
      <c r="I212" s="52" t="n"/>
      <c r="J212" s="52" t="n"/>
      <c r="K212" s="52" t="n"/>
      <c r="L212" s="52" t="n"/>
      <c r="M212" s="52" t="n"/>
      <c r="N212" s="52" t="n"/>
      <c r="O212" s="52" t="n"/>
      <c r="P212" s="52" t="n"/>
      <c r="Q212" s="52" t="n"/>
      <c r="R212" s="52" t="n"/>
      <c r="S212" s="53" t="n"/>
      <c r="T212" s="46" t="inlineStr">
        <is>
          <t>IF(AQ212="","",AQ212)</t>
        </is>
      </c>
      <c r="U212" s="54" t="n"/>
      <c r="V212" s="55" t="n"/>
      <c r="W212" s="54" t="n"/>
      <c r="X212" s="46" t="inlineStr">
        <is>
          <t>IF(W212&lt;&gt;"",W212,IF(OR(T212="",V212=""),"",EDATE(T212,V212)))</t>
        </is>
      </c>
      <c r="Y212" s="54" t="n"/>
      <c r="Z212" s="55" t="n"/>
      <c r="AA212" s="52" t="n"/>
      <c r="AB212" s="52" t="n"/>
      <c r="AC212" s="42" t="inlineStr">
        <is>
          <t>IF(F212="","",IF(COUNT(AI212:AV212)=0,IF(AA212="","Not started",AA212),SUBSTITUTE(LOOKUP(2,1/(AI212:AV212&lt;&gt;""),$AI$3:$AV$3),"Date: ","")))</t>
        </is>
      </c>
      <c r="AD212" s="49" t="inlineStr">
        <is>
          <t>IF(OR(F212="",COUNT(AI212:AV212)=0),"",TODAY()-LOOKUP(2,1/(AI212:AV212&lt;&gt;""),AI212:AV212))</t>
        </is>
      </c>
      <c r="AE212" s="49" t="inlineStr">
        <is>
          <t>IF(OR(F212="",COUNT(AI212:AV212)&lt;2),"",LOOKUP(2,1/(AI212:AV212&lt;&gt;""),AI212:AV212)-MIN(AI212:AV212))</t>
        </is>
      </c>
      <c r="AF212" s="49" t="inlineStr">
        <is>
          <t>IF(OR(AD212="",AC212="Not started",AC212=""),"",IFERROR(AD212-IF(VLOOKUP(AC212,'06_Status_Pipeline'!$B$3:$E$20,4,FALSE)="",0,VLOOKUP(AC212,'06_Status_Pipeline'!$B$3:$E$20,4,FALSE)),""))</t>
        </is>
      </c>
      <c r="AG212" s="42" t="inlineStr">
        <is>
          <t>IF(F212="","",IF(OR(AA212="Cancelled",AC212="Cancelled"),"Cancelled",IF(OR(AC212="Completed / Handover",Y212&lt;&gt;"",Z212&gt;=100),"Completed — on track",IF(O212="Not awarded",IF(U212="",IF(X212="","No planned date",IF(TODAY()&gt;X212,"Behind — past planned date",IF(X212-TODAY()&lt;=30,"At risk — close to off track","On track"))),IF(TODAY()&gt;U212,"Behind — award date passed",IF(U212-TODAY()&lt;=30,"At risk — close to off track","On track"))),IF(X212="","No planned date",IF(AND(TODAY()&gt;X212,OR(Z212="",Z212&lt;100)),"Behind — past end date",IF(AND(T212&lt;&gt;"",X212&lt;&gt;"",Z212&lt;&gt;"",(Z212&lt;100),((TODAY()-T212)/MAX(X212-T212,1)*100)-Z212&gt;15),"Behind — progress lag",IF(AND(X212-TODAY()&lt;=30,X212-TODAY()&gt;=0,OR(Z212="",Z212&lt;90)),"At risk — close to off track","On track"))))))))</t>
        </is>
      </c>
      <c r="AH212" s="49" t="inlineStr">
        <is>
          <t>IF(OR(F212="",AC212="Completed / Handover",AC212="Cancelled"),"",IF(O212="Not awarded",IF(U212&lt;&gt;"",U212-TODAY(),IF(X212="","",X212-TODAY())),IF(X212="","",X212-TODAY())))</t>
        </is>
      </c>
      <c r="AI212" s="54" t="n"/>
      <c r="AJ212" s="54" t="n"/>
      <c r="AK212" s="54" t="n"/>
      <c r="AL212" s="54" t="n"/>
      <c r="AM212" s="54" t="n"/>
      <c r="AN212" s="54" t="n"/>
      <c r="AO212" s="54" t="n"/>
      <c r="AP212" s="54" t="n"/>
      <c r="AQ212" s="54" t="n"/>
      <c r="AR212" s="54" t="n"/>
      <c r="AS212" s="54" t="n"/>
      <c r="AT212" s="50" t="n"/>
      <c r="AU212" s="50" t="n"/>
      <c r="AV212" s="50" t="n"/>
      <c r="AW212" s="49" t="inlineStr">
        <is>
          <t>IF(OR(F212="",AJ212=""),"",IF(COUNT(AI212:AI212)=0,"",AJ212-LOOKUP(2,1/(AI212:AI212&lt;&gt;""),AI212:AI212)))</t>
        </is>
      </c>
      <c r="AX212" s="49" t="inlineStr">
        <is>
          <t>IF(OR(F212="",AK212=""),"",IF(COUNT(AI212:AJ212)=0,"",AK212-LOOKUP(2,1/(AI212:AJ212&lt;&gt;""),AI212:AJ212)))</t>
        </is>
      </c>
      <c r="AY212" s="49" t="inlineStr">
        <is>
          <t>IF(OR(F212="",AL212=""),"",IF(COUNT(AI212:AK212)=0,"",AL212-LOOKUP(2,1/(AI212:AK212&lt;&gt;""),AI212:AK212)))</t>
        </is>
      </c>
      <c r="AZ212" s="49" t="inlineStr">
        <is>
          <t>IF(OR(F212="",AM212=""),"",IF(COUNT(AI212:AL212)=0,"",AM212-LOOKUP(2,1/(AI212:AL212&lt;&gt;""),AI212:AL212)))</t>
        </is>
      </c>
      <c r="BA212" s="49" t="inlineStr">
        <is>
          <t>IF(OR(F212="",AN212=""),"",IF(COUNT(AI212:AM212)=0,"",AN212-LOOKUP(2,1/(AI212:AM212&lt;&gt;""),AI212:AM212)))</t>
        </is>
      </c>
      <c r="BB212" s="49" t="inlineStr">
        <is>
          <t>IF(OR(F212="",AO212=""),"",IF(COUNT(AI212:AN212)=0,"",AO212-LOOKUP(2,1/(AI212:AN212&lt;&gt;""),AI212:AN212)))</t>
        </is>
      </c>
      <c r="BC212" s="49" t="inlineStr">
        <is>
          <t>IF(OR(F212="",AP212=""),"",IF(COUNT(AI212:AO212)=0,"",AP212-LOOKUP(2,1/(AI212:AO212&lt;&gt;""),AI212:AO212)))</t>
        </is>
      </c>
      <c r="BD212" s="49" t="inlineStr">
        <is>
          <t>IF(OR(F212="",AQ212=""),"",IF(COUNT(AI212:AP212)=0,"",AQ212-LOOKUP(2,1/(AI212:AP212&lt;&gt;""),AI212:AP212)))</t>
        </is>
      </c>
      <c r="BE212" s="49" t="inlineStr">
        <is>
          <t>IF(OR(F212="",AR212=""),"",IF(COUNT(AI212:AQ212)=0,"",AR212-LOOKUP(2,1/(AI212:AQ212&lt;&gt;""),AI212:AQ212)))</t>
        </is>
      </c>
      <c r="BF212" s="49" t="inlineStr">
        <is>
          <t>IF(OR(F212="",AS212=""),"",IF(COUNT(AI212:AR212)=0,"",AS212-LOOKUP(2,1/(AI212:AR212&lt;&gt;""),AI212:AR212)))</t>
        </is>
      </c>
      <c r="BG212" s="49" t="inlineStr">
        <is>
          <t>IF(OR(F212="",AT212=""),"",IF(COUNT(AI212:AS212)=0,"",AT212-LOOKUP(2,1/(AI212:AS212&lt;&gt;""),AI212:AS212)))</t>
        </is>
      </c>
      <c r="BH212" s="49" t="inlineStr">
        <is>
          <t>IF(OR(F212="",AU212=""),"",IF(COUNT(AI212:AT212)=0,"",AU212-LOOKUP(2,1/(AI212:AT212&lt;&gt;""),AI212:AT212)))</t>
        </is>
      </c>
      <c r="BI212" s="49" t="inlineStr">
        <is>
          <t>IF(OR(F212="",AV212=""),"",IF(COUNT(AI212:AU212)=0,"",AV212-LOOKUP(2,1/(AI212:AU212&lt;&gt;""),AI212:AU212)))</t>
        </is>
      </c>
      <c r="BJ212" s="51" t="inlineStr">
        <is>
          <t>IF(J212="","All_Provinces",IFERROR(VLOOKUP(J212,'09_Lookups'!$A$4:$B$20,2,FALSE),"All_Provinces"))</t>
        </is>
      </c>
      <c r="BK212" s="51" t="inlineStr">
        <is>
          <t>IF(K212="","All_Districts",IFERROR(VLOOKUP(K212,'09_Lookups'!$E$4:$F$42,2,FALSE),"All_Districts"))</t>
        </is>
      </c>
    </row>
    <row r="213" ht="18" customHeight="1">
      <c r="A213" s="42" t="inlineStr">
        <is>
          <t>IF(F213="","",ROW()-3)</t>
        </is>
      </c>
      <c r="B213" s="44" t="n"/>
      <c r="C213" s="44" t="n"/>
      <c r="D213" s="44" t="n"/>
      <c r="E213" s="44" t="n"/>
      <c r="F213" s="44" t="n"/>
      <c r="G213" s="44" t="n"/>
      <c r="H213" s="44" t="n"/>
      <c r="I213" s="44" t="n"/>
      <c r="J213" s="44" t="n"/>
      <c r="K213" s="44" t="n"/>
      <c r="L213" s="44" t="n"/>
      <c r="M213" s="44" t="n"/>
      <c r="N213" s="44" t="n"/>
      <c r="O213" s="44" t="n"/>
      <c r="P213" s="44" t="n"/>
      <c r="Q213" s="44" t="n"/>
      <c r="R213" s="44" t="n"/>
      <c r="S213" s="45" t="n"/>
      <c r="T213" s="46" t="inlineStr">
        <is>
          <t>IF(AQ213="","",AQ213)</t>
        </is>
      </c>
      <c r="U213" s="47" t="n"/>
      <c r="V213" s="48" t="n"/>
      <c r="W213" s="47" t="n"/>
      <c r="X213" s="46" t="inlineStr">
        <is>
          <t>IF(W213&lt;&gt;"",W213,IF(OR(T213="",V213=""),"",EDATE(T213,V213)))</t>
        </is>
      </c>
      <c r="Y213" s="47" t="n"/>
      <c r="Z213" s="48" t="n"/>
      <c r="AA213" s="44" t="n"/>
      <c r="AB213" s="44" t="n"/>
      <c r="AC213" s="42" t="inlineStr">
        <is>
          <t>IF(F213="","",IF(COUNT(AI213:AV213)=0,IF(AA213="","Not started",AA213),SUBSTITUTE(LOOKUP(2,1/(AI213:AV213&lt;&gt;""),$AI$3:$AV$3),"Date: ","")))</t>
        </is>
      </c>
      <c r="AD213" s="49" t="inlineStr">
        <is>
          <t>IF(OR(F213="",COUNT(AI213:AV213)=0),"",TODAY()-LOOKUP(2,1/(AI213:AV213&lt;&gt;""),AI213:AV213))</t>
        </is>
      </c>
      <c r="AE213" s="49" t="inlineStr">
        <is>
          <t>IF(OR(F213="",COUNT(AI213:AV213)&lt;2),"",LOOKUP(2,1/(AI213:AV213&lt;&gt;""),AI213:AV213)-MIN(AI213:AV213))</t>
        </is>
      </c>
      <c r="AF213" s="49" t="inlineStr">
        <is>
          <t>IF(OR(AD213="",AC213="Not started",AC213=""),"",IFERROR(AD213-IF(VLOOKUP(AC213,'06_Status_Pipeline'!$B$3:$E$20,4,FALSE)="",0,VLOOKUP(AC213,'06_Status_Pipeline'!$B$3:$E$20,4,FALSE)),""))</t>
        </is>
      </c>
      <c r="AG213" s="42" t="inlineStr">
        <is>
          <t>IF(F213="","",IF(OR(AA213="Cancelled",AC213="Cancelled"),"Cancelled",IF(OR(AC213="Completed / Handover",Y213&lt;&gt;"",Z213&gt;=100),"Completed — on track",IF(O213="Not awarded",IF(U213="",IF(X213="","No planned date",IF(TODAY()&gt;X213,"Behind — past planned date",IF(X213-TODAY()&lt;=30,"At risk — close to off track","On track"))),IF(TODAY()&gt;U213,"Behind — award date passed",IF(U213-TODAY()&lt;=30,"At risk — close to off track","On track"))),IF(X213="","No planned date",IF(AND(TODAY()&gt;X213,OR(Z213="",Z213&lt;100)),"Behind — past end date",IF(AND(T213&lt;&gt;"",X213&lt;&gt;"",Z213&lt;&gt;"",(Z213&lt;100),((TODAY()-T213)/MAX(X213-T213,1)*100)-Z213&gt;15),"Behind — progress lag",IF(AND(X213-TODAY()&lt;=30,X213-TODAY()&gt;=0,OR(Z213="",Z213&lt;90)),"At risk — close to off track","On track"))))))))</t>
        </is>
      </c>
      <c r="AH213" s="49" t="inlineStr">
        <is>
          <t>IF(OR(F213="",AC213="Completed / Handover",AC213="Cancelled"),"",IF(O213="Not awarded",IF(U213&lt;&gt;"",U213-TODAY(),IF(X213="","",X213-TODAY())),IF(X213="","",X213-TODAY())))</t>
        </is>
      </c>
      <c r="AI213" s="47" t="n"/>
      <c r="AJ213" s="47" t="n"/>
      <c r="AK213" s="47" t="n"/>
      <c r="AL213" s="47" t="n"/>
      <c r="AM213" s="47" t="n"/>
      <c r="AN213" s="47" t="n"/>
      <c r="AO213" s="47" t="n"/>
      <c r="AP213" s="47" t="n"/>
      <c r="AQ213" s="47" t="n"/>
      <c r="AR213" s="47" t="n"/>
      <c r="AS213" s="47" t="n"/>
      <c r="AT213" s="50" t="n"/>
      <c r="AU213" s="50" t="n"/>
      <c r="AV213" s="50" t="n"/>
      <c r="AW213" s="49" t="inlineStr">
        <is>
          <t>IF(OR(F213="",AJ213=""),"",IF(COUNT(AI213:AI213)=0,"",AJ213-LOOKUP(2,1/(AI213:AI213&lt;&gt;""),AI213:AI213)))</t>
        </is>
      </c>
      <c r="AX213" s="49" t="inlineStr">
        <is>
          <t>IF(OR(F213="",AK213=""),"",IF(COUNT(AI213:AJ213)=0,"",AK213-LOOKUP(2,1/(AI213:AJ213&lt;&gt;""),AI213:AJ213)))</t>
        </is>
      </c>
      <c r="AY213" s="49" t="inlineStr">
        <is>
          <t>IF(OR(F213="",AL213=""),"",IF(COUNT(AI213:AK213)=0,"",AL213-LOOKUP(2,1/(AI213:AK213&lt;&gt;""),AI213:AK213)))</t>
        </is>
      </c>
      <c r="AZ213" s="49" t="inlineStr">
        <is>
          <t>IF(OR(F213="",AM213=""),"",IF(COUNT(AI213:AL213)=0,"",AM213-LOOKUP(2,1/(AI213:AL213&lt;&gt;""),AI213:AL213)))</t>
        </is>
      </c>
      <c r="BA213" s="49" t="inlineStr">
        <is>
          <t>IF(OR(F213="",AN213=""),"",IF(COUNT(AI213:AM213)=0,"",AN213-LOOKUP(2,1/(AI213:AM213&lt;&gt;""),AI213:AM213)))</t>
        </is>
      </c>
      <c r="BB213" s="49" t="inlineStr">
        <is>
          <t>IF(OR(F213="",AO213=""),"",IF(COUNT(AI213:AN213)=0,"",AO213-LOOKUP(2,1/(AI213:AN213&lt;&gt;""),AI213:AN213)))</t>
        </is>
      </c>
      <c r="BC213" s="49" t="inlineStr">
        <is>
          <t>IF(OR(F213="",AP213=""),"",IF(COUNT(AI213:AO213)=0,"",AP213-LOOKUP(2,1/(AI213:AO213&lt;&gt;""),AI213:AO213)))</t>
        </is>
      </c>
      <c r="BD213" s="49" t="inlineStr">
        <is>
          <t>IF(OR(F213="",AQ213=""),"",IF(COUNT(AI213:AP213)=0,"",AQ213-LOOKUP(2,1/(AI213:AP213&lt;&gt;""),AI213:AP213)))</t>
        </is>
      </c>
      <c r="BE213" s="49" t="inlineStr">
        <is>
          <t>IF(OR(F213="",AR213=""),"",IF(COUNT(AI213:AQ213)=0,"",AR213-LOOKUP(2,1/(AI213:AQ213&lt;&gt;""),AI213:AQ213)))</t>
        </is>
      </c>
      <c r="BF213" s="49" t="inlineStr">
        <is>
          <t>IF(OR(F213="",AS213=""),"",IF(COUNT(AI213:AR213)=0,"",AS213-LOOKUP(2,1/(AI213:AR213&lt;&gt;""),AI213:AR213)))</t>
        </is>
      </c>
      <c r="BG213" s="49" t="inlineStr">
        <is>
          <t>IF(OR(F213="",AT213=""),"",IF(COUNT(AI213:AS213)=0,"",AT213-LOOKUP(2,1/(AI213:AS213&lt;&gt;""),AI213:AS213)))</t>
        </is>
      </c>
      <c r="BH213" s="49" t="inlineStr">
        <is>
          <t>IF(OR(F213="",AU213=""),"",IF(COUNT(AI213:AT213)=0,"",AU213-LOOKUP(2,1/(AI213:AT213&lt;&gt;""),AI213:AT213)))</t>
        </is>
      </c>
      <c r="BI213" s="49" t="inlineStr">
        <is>
          <t>IF(OR(F213="",AV213=""),"",IF(COUNT(AI213:AU213)=0,"",AV213-LOOKUP(2,1/(AI213:AU213&lt;&gt;""),AI213:AU213)))</t>
        </is>
      </c>
      <c r="BJ213" s="51" t="inlineStr">
        <is>
          <t>IF(J213="","All_Provinces",IFERROR(VLOOKUP(J213,'09_Lookups'!$A$4:$B$20,2,FALSE),"All_Provinces"))</t>
        </is>
      </c>
      <c r="BK213" s="51" t="inlineStr">
        <is>
          <t>IF(K213="","All_Districts",IFERROR(VLOOKUP(K213,'09_Lookups'!$E$4:$F$42,2,FALSE),"All_Districts"))</t>
        </is>
      </c>
    </row>
    <row r="214" ht="18" customHeight="1">
      <c r="A214" s="42" t="inlineStr">
        <is>
          <t>IF(F214="","",ROW()-3)</t>
        </is>
      </c>
      <c r="B214" s="52" t="n"/>
      <c r="C214" s="52" t="n"/>
      <c r="D214" s="52" t="n"/>
      <c r="E214" s="52" t="n"/>
      <c r="F214" s="52" t="n"/>
      <c r="G214" s="52" t="n"/>
      <c r="H214" s="52" t="n"/>
      <c r="I214" s="52" t="n"/>
      <c r="J214" s="52" t="n"/>
      <c r="K214" s="52" t="n"/>
      <c r="L214" s="52" t="n"/>
      <c r="M214" s="52" t="n"/>
      <c r="N214" s="52" t="n"/>
      <c r="O214" s="52" t="n"/>
      <c r="P214" s="52" t="n"/>
      <c r="Q214" s="52" t="n"/>
      <c r="R214" s="52" t="n"/>
      <c r="S214" s="53" t="n"/>
      <c r="T214" s="46" t="inlineStr">
        <is>
          <t>IF(AQ214="","",AQ214)</t>
        </is>
      </c>
      <c r="U214" s="54" t="n"/>
      <c r="V214" s="55" t="n"/>
      <c r="W214" s="54" t="n"/>
      <c r="X214" s="46" t="inlineStr">
        <is>
          <t>IF(W214&lt;&gt;"",W214,IF(OR(T214="",V214=""),"",EDATE(T214,V214)))</t>
        </is>
      </c>
      <c r="Y214" s="54" t="n"/>
      <c r="Z214" s="55" t="n"/>
      <c r="AA214" s="52" t="n"/>
      <c r="AB214" s="52" t="n"/>
      <c r="AC214" s="42" t="inlineStr">
        <is>
          <t>IF(F214="","",IF(COUNT(AI214:AV214)=0,IF(AA214="","Not started",AA214),SUBSTITUTE(LOOKUP(2,1/(AI214:AV214&lt;&gt;""),$AI$3:$AV$3),"Date: ","")))</t>
        </is>
      </c>
      <c r="AD214" s="49" t="inlineStr">
        <is>
          <t>IF(OR(F214="",COUNT(AI214:AV214)=0),"",TODAY()-LOOKUP(2,1/(AI214:AV214&lt;&gt;""),AI214:AV214))</t>
        </is>
      </c>
      <c r="AE214" s="49" t="inlineStr">
        <is>
          <t>IF(OR(F214="",COUNT(AI214:AV214)&lt;2),"",LOOKUP(2,1/(AI214:AV214&lt;&gt;""),AI214:AV214)-MIN(AI214:AV214))</t>
        </is>
      </c>
      <c r="AF214" s="49" t="inlineStr">
        <is>
          <t>IF(OR(AD214="",AC214="Not started",AC214=""),"",IFERROR(AD214-IF(VLOOKUP(AC214,'06_Status_Pipeline'!$B$3:$E$20,4,FALSE)="",0,VLOOKUP(AC214,'06_Status_Pipeline'!$B$3:$E$20,4,FALSE)),""))</t>
        </is>
      </c>
      <c r="AG214" s="42" t="inlineStr">
        <is>
          <t>IF(F214="","",IF(OR(AA214="Cancelled",AC214="Cancelled"),"Cancelled",IF(OR(AC214="Completed / Handover",Y214&lt;&gt;"",Z214&gt;=100),"Completed — on track",IF(O214="Not awarded",IF(U214="",IF(X214="","No planned date",IF(TODAY()&gt;X214,"Behind — past planned date",IF(X214-TODAY()&lt;=30,"At risk — close to off track","On track"))),IF(TODAY()&gt;U214,"Behind — award date passed",IF(U214-TODAY()&lt;=30,"At risk — close to off track","On track"))),IF(X214="","No planned date",IF(AND(TODAY()&gt;X214,OR(Z214="",Z214&lt;100)),"Behind — past end date",IF(AND(T214&lt;&gt;"",X214&lt;&gt;"",Z214&lt;&gt;"",(Z214&lt;100),((TODAY()-T214)/MAX(X214-T214,1)*100)-Z214&gt;15),"Behind — progress lag",IF(AND(X214-TODAY()&lt;=30,X214-TODAY()&gt;=0,OR(Z214="",Z214&lt;90)),"At risk — close to off track","On track"))))))))</t>
        </is>
      </c>
      <c r="AH214" s="49" t="inlineStr">
        <is>
          <t>IF(OR(F214="",AC214="Completed / Handover",AC214="Cancelled"),"",IF(O214="Not awarded",IF(U214&lt;&gt;"",U214-TODAY(),IF(X214="","",X214-TODAY())),IF(X214="","",X214-TODAY())))</t>
        </is>
      </c>
      <c r="AI214" s="54" t="n"/>
      <c r="AJ214" s="54" t="n"/>
      <c r="AK214" s="54" t="n"/>
      <c r="AL214" s="54" t="n"/>
      <c r="AM214" s="54" t="n"/>
      <c r="AN214" s="54" t="n"/>
      <c r="AO214" s="54" t="n"/>
      <c r="AP214" s="54" t="n"/>
      <c r="AQ214" s="54" t="n"/>
      <c r="AR214" s="54" t="n"/>
      <c r="AS214" s="54" t="n"/>
      <c r="AT214" s="50" t="n"/>
      <c r="AU214" s="50" t="n"/>
      <c r="AV214" s="50" t="n"/>
      <c r="AW214" s="49" t="inlineStr">
        <is>
          <t>IF(OR(F214="",AJ214=""),"",IF(COUNT(AI214:AI214)=0,"",AJ214-LOOKUP(2,1/(AI214:AI214&lt;&gt;""),AI214:AI214)))</t>
        </is>
      </c>
      <c r="AX214" s="49" t="inlineStr">
        <is>
          <t>IF(OR(F214="",AK214=""),"",IF(COUNT(AI214:AJ214)=0,"",AK214-LOOKUP(2,1/(AI214:AJ214&lt;&gt;""),AI214:AJ214)))</t>
        </is>
      </c>
      <c r="AY214" s="49" t="inlineStr">
        <is>
          <t>IF(OR(F214="",AL214=""),"",IF(COUNT(AI214:AK214)=0,"",AL214-LOOKUP(2,1/(AI214:AK214&lt;&gt;""),AI214:AK214)))</t>
        </is>
      </c>
      <c r="AZ214" s="49" t="inlineStr">
        <is>
          <t>IF(OR(F214="",AM214=""),"",IF(COUNT(AI214:AL214)=0,"",AM214-LOOKUP(2,1/(AI214:AL214&lt;&gt;""),AI214:AL214)))</t>
        </is>
      </c>
      <c r="BA214" s="49" t="inlineStr">
        <is>
          <t>IF(OR(F214="",AN214=""),"",IF(COUNT(AI214:AM214)=0,"",AN214-LOOKUP(2,1/(AI214:AM214&lt;&gt;""),AI214:AM214)))</t>
        </is>
      </c>
      <c r="BB214" s="49" t="inlineStr">
        <is>
          <t>IF(OR(F214="",AO214=""),"",IF(COUNT(AI214:AN214)=0,"",AO214-LOOKUP(2,1/(AI214:AN214&lt;&gt;""),AI214:AN214)))</t>
        </is>
      </c>
      <c r="BC214" s="49" t="inlineStr">
        <is>
          <t>IF(OR(F214="",AP214=""),"",IF(COUNT(AI214:AO214)=0,"",AP214-LOOKUP(2,1/(AI214:AO214&lt;&gt;""),AI214:AO214)))</t>
        </is>
      </c>
      <c r="BD214" s="49" t="inlineStr">
        <is>
          <t>IF(OR(F214="",AQ214=""),"",IF(COUNT(AI214:AP214)=0,"",AQ214-LOOKUP(2,1/(AI214:AP214&lt;&gt;""),AI214:AP214)))</t>
        </is>
      </c>
      <c r="BE214" s="49" t="inlineStr">
        <is>
          <t>IF(OR(F214="",AR214=""),"",IF(COUNT(AI214:AQ214)=0,"",AR214-LOOKUP(2,1/(AI214:AQ214&lt;&gt;""),AI214:AQ214)))</t>
        </is>
      </c>
      <c r="BF214" s="49" t="inlineStr">
        <is>
          <t>IF(OR(F214="",AS214=""),"",IF(COUNT(AI214:AR214)=0,"",AS214-LOOKUP(2,1/(AI214:AR214&lt;&gt;""),AI214:AR214)))</t>
        </is>
      </c>
      <c r="BG214" s="49" t="inlineStr">
        <is>
          <t>IF(OR(F214="",AT214=""),"",IF(COUNT(AI214:AS214)=0,"",AT214-LOOKUP(2,1/(AI214:AS214&lt;&gt;""),AI214:AS214)))</t>
        </is>
      </c>
      <c r="BH214" s="49" t="inlineStr">
        <is>
          <t>IF(OR(F214="",AU214=""),"",IF(COUNT(AI214:AT214)=0,"",AU214-LOOKUP(2,1/(AI214:AT214&lt;&gt;""),AI214:AT214)))</t>
        </is>
      </c>
      <c r="BI214" s="49" t="inlineStr">
        <is>
          <t>IF(OR(F214="",AV214=""),"",IF(COUNT(AI214:AU214)=0,"",AV214-LOOKUP(2,1/(AI214:AU214&lt;&gt;""),AI214:AU214)))</t>
        </is>
      </c>
      <c r="BJ214" s="51" t="inlineStr">
        <is>
          <t>IF(J214="","All_Provinces",IFERROR(VLOOKUP(J214,'09_Lookups'!$A$4:$B$20,2,FALSE),"All_Provinces"))</t>
        </is>
      </c>
      <c r="BK214" s="51" t="inlineStr">
        <is>
          <t>IF(K214="","All_Districts",IFERROR(VLOOKUP(K214,'09_Lookups'!$E$4:$F$42,2,FALSE),"All_Districts"))</t>
        </is>
      </c>
    </row>
    <row r="215" ht="18" customHeight="1">
      <c r="A215" s="42" t="inlineStr">
        <is>
          <t>IF(F215="","",ROW()-3)</t>
        </is>
      </c>
      <c r="B215" s="44" t="n"/>
      <c r="C215" s="44" t="n"/>
      <c r="D215" s="44" t="n"/>
      <c r="E215" s="44" t="n"/>
      <c r="F215" s="44" t="n"/>
      <c r="G215" s="44" t="n"/>
      <c r="H215" s="44" t="n"/>
      <c r="I215" s="44" t="n"/>
      <c r="J215" s="44" t="n"/>
      <c r="K215" s="44" t="n"/>
      <c r="L215" s="44" t="n"/>
      <c r="M215" s="44" t="n"/>
      <c r="N215" s="44" t="n"/>
      <c r="O215" s="44" t="n"/>
      <c r="P215" s="44" t="n"/>
      <c r="Q215" s="44" t="n"/>
      <c r="R215" s="44" t="n"/>
      <c r="S215" s="45" t="n"/>
      <c r="T215" s="46" t="inlineStr">
        <is>
          <t>IF(AQ215="","",AQ215)</t>
        </is>
      </c>
      <c r="U215" s="47" t="n"/>
      <c r="V215" s="48" t="n"/>
      <c r="W215" s="47" t="n"/>
      <c r="X215" s="46" t="inlineStr">
        <is>
          <t>IF(W215&lt;&gt;"",W215,IF(OR(T215="",V215=""),"",EDATE(T215,V215)))</t>
        </is>
      </c>
      <c r="Y215" s="47" t="n"/>
      <c r="Z215" s="48" t="n"/>
      <c r="AA215" s="44" t="n"/>
      <c r="AB215" s="44" t="n"/>
      <c r="AC215" s="42" t="inlineStr">
        <is>
          <t>IF(F215="","",IF(COUNT(AI215:AV215)=0,IF(AA215="","Not started",AA215),SUBSTITUTE(LOOKUP(2,1/(AI215:AV215&lt;&gt;""),$AI$3:$AV$3),"Date: ","")))</t>
        </is>
      </c>
      <c r="AD215" s="49" t="inlineStr">
        <is>
          <t>IF(OR(F215="",COUNT(AI215:AV215)=0),"",TODAY()-LOOKUP(2,1/(AI215:AV215&lt;&gt;""),AI215:AV215))</t>
        </is>
      </c>
      <c r="AE215" s="49" t="inlineStr">
        <is>
          <t>IF(OR(F215="",COUNT(AI215:AV215)&lt;2),"",LOOKUP(2,1/(AI215:AV215&lt;&gt;""),AI215:AV215)-MIN(AI215:AV215))</t>
        </is>
      </c>
      <c r="AF215" s="49" t="inlineStr">
        <is>
          <t>IF(OR(AD215="",AC215="Not started",AC215=""),"",IFERROR(AD215-IF(VLOOKUP(AC215,'06_Status_Pipeline'!$B$3:$E$20,4,FALSE)="",0,VLOOKUP(AC215,'06_Status_Pipeline'!$B$3:$E$20,4,FALSE)),""))</t>
        </is>
      </c>
      <c r="AG215" s="42" t="inlineStr">
        <is>
          <t>IF(F215="","",IF(OR(AA215="Cancelled",AC215="Cancelled"),"Cancelled",IF(OR(AC215="Completed / Handover",Y215&lt;&gt;"",Z215&gt;=100),"Completed — on track",IF(O215="Not awarded",IF(U215="",IF(X215="","No planned date",IF(TODAY()&gt;X215,"Behind — past planned date",IF(X215-TODAY()&lt;=30,"At risk — close to off track","On track"))),IF(TODAY()&gt;U215,"Behind — award date passed",IF(U215-TODAY()&lt;=30,"At risk — close to off track","On track"))),IF(X215="","No planned date",IF(AND(TODAY()&gt;X215,OR(Z215="",Z215&lt;100)),"Behind — past end date",IF(AND(T215&lt;&gt;"",X215&lt;&gt;"",Z215&lt;&gt;"",(Z215&lt;100),((TODAY()-T215)/MAX(X215-T215,1)*100)-Z215&gt;15),"Behind — progress lag",IF(AND(X215-TODAY()&lt;=30,X215-TODAY()&gt;=0,OR(Z215="",Z215&lt;90)),"At risk — close to off track","On track"))))))))</t>
        </is>
      </c>
      <c r="AH215" s="49" t="inlineStr">
        <is>
          <t>IF(OR(F215="",AC215="Completed / Handover",AC215="Cancelled"),"",IF(O215="Not awarded",IF(U215&lt;&gt;"",U215-TODAY(),IF(X215="","",X215-TODAY())),IF(X215="","",X215-TODAY())))</t>
        </is>
      </c>
      <c r="AI215" s="47" t="n"/>
      <c r="AJ215" s="47" t="n"/>
      <c r="AK215" s="47" t="n"/>
      <c r="AL215" s="47" t="n"/>
      <c r="AM215" s="47" t="n"/>
      <c r="AN215" s="47" t="n"/>
      <c r="AO215" s="47" t="n"/>
      <c r="AP215" s="47" t="n"/>
      <c r="AQ215" s="47" t="n"/>
      <c r="AR215" s="47" t="n"/>
      <c r="AS215" s="47" t="n"/>
      <c r="AT215" s="50" t="n"/>
      <c r="AU215" s="50" t="n"/>
      <c r="AV215" s="50" t="n"/>
      <c r="AW215" s="49" t="inlineStr">
        <is>
          <t>IF(OR(F215="",AJ215=""),"",IF(COUNT(AI215:AI215)=0,"",AJ215-LOOKUP(2,1/(AI215:AI215&lt;&gt;""),AI215:AI215)))</t>
        </is>
      </c>
      <c r="AX215" s="49" t="inlineStr">
        <is>
          <t>IF(OR(F215="",AK215=""),"",IF(COUNT(AI215:AJ215)=0,"",AK215-LOOKUP(2,1/(AI215:AJ215&lt;&gt;""),AI215:AJ215)))</t>
        </is>
      </c>
      <c r="AY215" s="49" t="inlineStr">
        <is>
          <t>IF(OR(F215="",AL215=""),"",IF(COUNT(AI215:AK215)=0,"",AL215-LOOKUP(2,1/(AI215:AK215&lt;&gt;""),AI215:AK215)))</t>
        </is>
      </c>
      <c r="AZ215" s="49" t="inlineStr">
        <is>
          <t>IF(OR(F215="",AM215=""),"",IF(COUNT(AI215:AL215)=0,"",AM215-LOOKUP(2,1/(AI215:AL215&lt;&gt;""),AI215:AL215)))</t>
        </is>
      </c>
      <c r="BA215" s="49" t="inlineStr">
        <is>
          <t>IF(OR(F215="",AN215=""),"",IF(COUNT(AI215:AM215)=0,"",AN215-LOOKUP(2,1/(AI215:AM215&lt;&gt;""),AI215:AM215)))</t>
        </is>
      </c>
      <c r="BB215" s="49" t="inlineStr">
        <is>
          <t>IF(OR(F215="",AO215=""),"",IF(COUNT(AI215:AN215)=0,"",AO215-LOOKUP(2,1/(AI215:AN215&lt;&gt;""),AI215:AN215)))</t>
        </is>
      </c>
      <c r="BC215" s="49" t="inlineStr">
        <is>
          <t>IF(OR(F215="",AP215=""),"",IF(COUNT(AI215:AO215)=0,"",AP215-LOOKUP(2,1/(AI215:AO215&lt;&gt;""),AI215:AO215)))</t>
        </is>
      </c>
      <c r="BD215" s="49" t="inlineStr">
        <is>
          <t>IF(OR(F215="",AQ215=""),"",IF(COUNT(AI215:AP215)=0,"",AQ215-LOOKUP(2,1/(AI215:AP215&lt;&gt;""),AI215:AP215)))</t>
        </is>
      </c>
      <c r="BE215" s="49" t="inlineStr">
        <is>
          <t>IF(OR(F215="",AR215=""),"",IF(COUNT(AI215:AQ215)=0,"",AR215-LOOKUP(2,1/(AI215:AQ215&lt;&gt;""),AI215:AQ215)))</t>
        </is>
      </c>
      <c r="BF215" s="49" t="inlineStr">
        <is>
          <t>IF(OR(F215="",AS215=""),"",IF(COUNT(AI215:AR215)=0,"",AS215-LOOKUP(2,1/(AI215:AR215&lt;&gt;""),AI215:AR215)))</t>
        </is>
      </c>
      <c r="BG215" s="49" t="inlineStr">
        <is>
          <t>IF(OR(F215="",AT215=""),"",IF(COUNT(AI215:AS215)=0,"",AT215-LOOKUP(2,1/(AI215:AS215&lt;&gt;""),AI215:AS215)))</t>
        </is>
      </c>
      <c r="BH215" s="49" t="inlineStr">
        <is>
          <t>IF(OR(F215="",AU215=""),"",IF(COUNT(AI215:AT215)=0,"",AU215-LOOKUP(2,1/(AI215:AT215&lt;&gt;""),AI215:AT215)))</t>
        </is>
      </c>
      <c r="BI215" s="49" t="inlineStr">
        <is>
          <t>IF(OR(F215="",AV215=""),"",IF(COUNT(AI215:AU215)=0,"",AV215-LOOKUP(2,1/(AI215:AU215&lt;&gt;""),AI215:AU215)))</t>
        </is>
      </c>
      <c r="BJ215" s="51" t="inlineStr">
        <is>
          <t>IF(J215="","All_Provinces",IFERROR(VLOOKUP(J215,'09_Lookups'!$A$4:$B$20,2,FALSE),"All_Provinces"))</t>
        </is>
      </c>
      <c r="BK215" s="51" t="inlineStr">
        <is>
          <t>IF(K215="","All_Districts",IFERROR(VLOOKUP(K215,'09_Lookups'!$E$4:$F$42,2,FALSE),"All_Districts"))</t>
        </is>
      </c>
    </row>
    <row r="216" ht="18" customHeight="1">
      <c r="A216" s="42" t="inlineStr">
        <is>
          <t>IF(F216="","",ROW()-3)</t>
        </is>
      </c>
      <c r="B216" s="52" t="n"/>
      <c r="C216" s="52" t="n"/>
      <c r="D216" s="52" t="n"/>
      <c r="E216" s="52" t="n"/>
      <c r="F216" s="52" t="n"/>
      <c r="G216" s="52" t="n"/>
      <c r="H216" s="52" t="n"/>
      <c r="I216" s="52" t="n"/>
      <c r="J216" s="52" t="n"/>
      <c r="K216" s="52" t="n"/>
      <c r="L216" s="52" t="n"/>
      <c r="M216" s="52" t="n"/>
      <c r="N216" s="52" t="n"/>
      <c r="O216" s="52" t="n"/>
      <c r="P216" s="52" t="n"/>
      <c r="Q216" s="52" t="n"/>
      <c r="R216" s="52" t="n"/>
      <c r="S216" s="53" t="n"/>
      <c r="T216" s="46" t="inlineStr">
        <is>
          <t>IF(AQ216="","",AQ216)</t>
        </is>
      </c>
      <c r="U216" s="54" t="n"/>
      <c r="V216" s="55" t="n"/>
      <c r="W216" s="54" t="n"/>
      <c r="X216" s="46" t="inlineStr">
        <is>
          <t>IF(W216&lt;&gt;"",W216,IF(OR(T216="",V216=""),"",EDATE(T216,V216)))</t>
        </is>
      </c>
      <c r="Y216" s="54" t="n"/>
      <c r="Z216" s="55" t="n"/>
      <c r="AA216" s="52" t="n"/>
      <c r="AB216" s="52" t="n"/>
      <c r="AC216" s="42" t="inlineStr">
        <is>
          <t>IF(F216="","",IF(COUNT(AI216:AV216)=0,IF(AA216="","Not started",AA216),SUBSTITUTE(LOOKUP(2,1/(AI216:AV216&lt;&gt;""),$AI$3:$AV$3),"Date: ","")))</t>
        </is>
      </c>
      <c r="AD216" s="49" t="inlineStr">
        <is>
          <t>IF(OR(F216="",COUNT(AI216:AV216)=0),"",TODAY()-LOOKUP(2,1/(AI216:AV216&lt;&gt;""),AI216:AV216))</t>
        </is>
      </c>
      <c r="AE216" s="49" t="inlineStr">
        <is>
          <t>IF(OR(F216="",COUNT(AI216:AV216)&lt;2),"",LOOKUP(2,1/(AI216:AV216&lt;&gt;""),AI216:AV216)-MIN(AI216:AV216))</t>
        </is>
      </c>
      <c r="AF216" s="49" t="inlineStr">
        <is>
          <t>IF(OR(AD216="",AC216="Not started",AC216=""),"",IFERROR(AD216-IF(VLOOKUP(AC216,'06_Status_Pipeline'!$B$3:$E$20,4,FALSE)="",0,VLOOKUP(AC216,'06_Status_Pipeline'!$B$3:$E$20,4,FALSE)),""))</t>
        </is>
      </c>
      <c r="AG216" s="42" t="inlineStr">
        <is>
          <t>IF(F216="","",IF(OR(AA216="Cancelled",AC216="Cancelled"),"Cancelled",IF(OR(AC216="Completed / Handover",Y216&lt;&gt;"",Z216&gt;=100),"Completed — on track",IF(O216="Not awarded",IF(U216="",IF(X216="","No planned date",IF(TODAY()&gt;X216,"Behind — past planned date",IF(X216-TODAY()&lt;=30,"At risk — close to off track","On track"))),IF(TODAY()&gt;U216,"Behind — award date passed",IF(U216-TODAY()&lt;=30,"At risk — close to off track","On track"))),IF(X216="","No planned date",IF(AND(TODAY()&gt;X216,OR(Z216="",Z216&lt;100)),"Behind — past end date",IF(AND(T216&lt;&gt;"",X216&lt;&gt;"",Z216&lt;&gt;"",(Z216&lt;100),((TODAY()-T216)/MAX(X216-T216,1)*100)-Z216&gt;15),"Behind — progress lag",IF(AND(X216-TODAY()&lt;=30,X216-TODAY()&gt;=0,OR(Z216="",Z216&lt;90)),"At risk — close to off track","On track"))))))))</t>
        </is>
      </c>
      <c r="AH216" s="49" t="inlineStr">
        <is>
          <t>IF(OR(F216="",AC216="Completed / Handover",AC216="Cancelled"),"",IF(O216="Not awarded",IF(U216&lt;&gt;"",U216-TODAY(),IF(X216="","",X216-TODAY())),IF(X216="","",X216-TODAY())))</t>
        </is>
      </c>
      <c r="AI216" s="54" t="n"/>
      <c r="AJ216" s="54" t="n"/>
      <c r="AK216" s="54" t="n"/>
      <c r="AL216" s="54" t="n"/>
      <c r="AM216" s="54" t="n"/>
      <c r="AN216" s="54" t="n"/>
      <c r="AO216" s="54" t="n"/>
      <c r="AP216" s="54" t="n"/>
      <c r="AQ216" s="54" t="n"/>
      <c r="AR216" s="54" t="n"/>
      <c r="AS216" s="54" t="n"/>
      <c r="AT216" s="50" t="n"/>
      <c r="AU216" s="50" t="n"/>
      <c r="AV216" s="50" t="n"/>
      <c r="AW216" s="49" t="inlineStr">
        <is>
          <t>IF(OR(F216="",AJ216=""),"",IF(COUNT(AI216:AI216)=0,"",AJ216-LOOKUP(2,1/(AI216:AI216&lt;&gt;""),AI216:AI216)))</t>
        </is>
      </c>
      <c r="AX216" s="49" t="inlineStr">
        <is>
          <t>IF(OR(F216="",AK216=""),"",IF(COUNT(AI216:AJ216)=0,"",AK216-LOOKUP(2,1/(AI216:AJ216&lt;&gt;""),AI216:AJ216)))</t>
        </is>
      </c>
      <c r="AY216" s="49" t="inlineStr">
        <is>
          <t>IF(OR(F216="",AL216=""),"",IF(COUNT(AI216:AK216)=0,"",AL216-LOOKUP(2,1/(AI216:AK216&lt;&gt;""),AI216:AK216)))</t>
        </is>
      </c>
      <c r="AZ216" s="49" t="inlineStr">
        <is>
          <t>IF(OR(F216="",AM216=""),"",IF(COUNT(AI216:AL216)=0,"",AM216-LOOKUP(2,1/(AI216:AL216&lt;&gt;""),AI216:AL216)))</t>
        </is>
      </c>
      <c r="BA216" s="49" t="inlineStr">
        <is>
          <t>IF(OR(F216="",AN216=""),"",IF(COUNT(AI216:AM216)=0,"",AN216-LOOKUP(2,1/(AI216:AM216&lt;&gt;""),AI216:AM216)))</t>
        </is>
      </c>
      <c r="BB216" s="49" t="inlineStr">
        <is>
          <t>IF(OR(F216="",AO216=""),"",IF(COUNT(AI216:AN216)=0,"",AO216-LOOKUP(2,1/(AI216:AN216&lt;&gt;""),AI216:AN216)))</t>
        </is>
      </c>
      <c r="BC216" s="49" t="inlineStr">
        <is>
          <t>IF(OR(F216="",AP216=""),"",IF(COUNT(AI216:AO216)=0,"",AP216-LOOKUP(2,1/(AI216:AO216&lt;&gt;""),AI216:AO216)))</t>
        </is>
      </c>
      <c r="BD216" s="49" t="inlineStr">
        <is>
          <t>IF(OR(F216="",AQ216=""),"",IF(COUNT(AI216:AP216)=0,"",AQ216-LOOKUP(2,1/(AI216:AP216&lt;&gt;""),AI216:AP216)))</t>
        </is>
      </c>
      <c r="BE216" s="49" t="inlineStr">
        <is>
          <t>IF(OR(F216="",AR216=""),"",IF(COUNT(AI216:AQ216)=0,"",AR216-LOOKUP(2,1/(AI216:AQ216&lt;&gt;""),AI216:AQ216)))</t>
        </is>
      </c>
      <c r="BF216" s="49" t="inlineStr">
        <is>
          <t>IF(OR(F216="",AS216=""),"",IF(COUNT(AI216:AR216)=0,"",AS216-LOOKUP(2,1/(AI216:AR216&lt;&gt;""),AI216:AR216)))</t>
        </is>
      </c>
      <c r="BG216" s="49" t="inlineStr">
        <is>
          <t>IF(OR(F216="",AT216=""),"",IF(COUNT(AI216:AS216)=0,"",AT216-LOOKUP(2,1/(AI216:AS216&lt;&gt;""),AI216:AS216)))</t>
        </is>
      </c>
      <c r="BH216" s="49" t="inlineStr">
        <is>
          <t>IF(OR(F216="",AU216=""),"",IF(COUNT(AI216:AT216)=0,"",AU216-LOOKUP(2,1/(AI216:AT216&lt;&gt;""),AI216:AT216)))</t>
        </is>
      </c>
      <c r="BI216" s="49" t="inlineStr">
        <is>
          <t>IF(OR(F216="",AV216=""),"",IF(COUNT(AI216:AU216)=0,"",AV216-LOOKUP(2,1/(AI216:AU216&lt;&gt;""),AI216:AU216)))</t>
        </is>
      </c>
      <c r="BJ216" s="51" t="inlineStr">
        <is>
          <t>IF(J216="","All_Provinces",IFERROR(VLOOKUP(J216,'09_Lookups'!$A$4:$B$20,2,FALSE),"All_Provinces"))</t>
        </is>
      </c>
      <c r="BK216" s="51" t="inlineStr">
        <is>
          <t>IF(K216="","All_Districts",IFERROR(VLOOKUP(K216,'09_Lookups'!$E$4:$F$42,2,FALSE),"All_Districts"))</t>
        </is>
      </c>
    </row>
    <row r="217" ht="18" customHeight="1">
      <c r="A217" s="42" t="inlineStr">
        <is>
          <t>IF(F217="","",ROW()-3)</t>
        </is>
      </c>
      <c r="B217" s="44" t="n"/>
      <c r="C217" s="44" t="n"/>
      <c r="D217" s="44" t="n"/>
      <c r="E217" s="44" t="n"/>
      <c r="F217" s="44" t="n"/>
      <c r="G217" s="44" t="n"/>
      <c r="H217" s="44" t="n"/>
      <c r="I217" s="44" t="n"/>
      <c r="J217" s="44" t="n"/>
      <c r="K217" s="44" t="n"/>
      <c r="L217" s="44" t="n"/>
      <c r="M217" s="44" t="n"/>
      <c r="N217" s="44" t="n"/>
      <c r="O217" s="44" t="n"/>
      <c r="P217" s="44" t="n"/>
      <c r="Q217" s="44" t="n"/>
      <c r="R217" s="44" t="n"/>
      <c r="S217" s="45" t="n"/>
      <c r="T217" s="46" t="inlineStr">
        <is>
          <t>IF(AQ217="","",AQ217)</t>
        </is>
      </c>
      <c r="U217" s="47" t="n"/>
      <c r="V217" s="48" t="n"/>
      <c r="W217" s="47" t="n"/>
      <c r="X217" s="46" t="inlineStr">
        <is>
          <t>IF(W217&lt;&gt;"",W217,IF(OR(T217="",V217=""),"",EDATE(T217,V217)))</t>
        </is>
      </c>
      <c r="Y217" s="47" t="n"/>
      <c r="Z217" s="48" t="n"/>
      <c r="AA217" s="44" t="n"/>
      <c r="AB217" s="44" t="n"/>
      <c r="AC217" s="42" t="inlineStr">
        <is>
          <t>IF(F217="","",IF(COUNT(AI217:AV217)=0,IF(AA217="","Not started",AA217),SUBSTITUTE(LOOKUP(2,1/(AI217:AV217&lt;&gt;""),$AI$3:$AV$3),"Date: ","")))</t>
        </is>
      </c>
      <c r="AD217" s="49" t="inlineStr">
        <is>
          <t>IF(OR(F217="",COUNT(AI217:AV217)=0),"",TODAY()-LOOKUP(2,1/(AI217:AV217&lt;&gt;""),AI217:AV217))</t>
        </is>
      </c>
      <c r="AE217" s="49" t="inlineStr">
        <is>
          <t>IF(OR(F217="",COUNT(AI217:AV217)&lt;2),"",LOOKUP(2,1/(AI217:AV217&lt;&gt;""),AI217:AV217)-MIN(AI217:AV217))</t>
        </is>
      </c>
      <c r="AF217" s="49" t="inlineStr">
        <is>
          <t>IF(OR(AD217="",AC217="Not started",AC217=""),"",IFERROR(AD217-IF(VLOOKUP(AC217,'06_Status_Pipeline'!$B$3:$E$20,4,FALSE)="",0,VLOOKUP(AC217,'06_Status_Pipeline'!$B$3:$E$20,4,FALSE)),""))</t>
        </is>
      </c>
      <c r="AG217" s="42" t="inlineStr">
        <is>
          <t>IF(F217="","",IF(OR(AA217="Cancelled",AC217="Cancelled"),"Cancelled",IF(OR(AC217="Completed / Handover",Y217&lt;&gt;"",Z217&gt;=100),"Completed — on track",IF(O217="Not awarded",IF(U217="",IF(X217="","No planned date",IF(TODAY()&gt;X217,"Behind — past planned date",IF(X217-TODAY()&lt;=30,"At risk — close to off track","On track"))),IF(TODAY()&gt;U217,"Behind — award date passed",IF(U217-TODAY()&lt;=30,"At risk — close to off track","On track"))),IF(X217="","No planned date",IF(AND(TODAY()&gt;X217,OR(Z217="",Z217&lt;100)),"Behind — past end date",IF(AND(T217&lt;&gt;"",X217&lt;&gt;"",Z217&lt;&gt;"",(Z217&lt;100),((TODAY()-T217)/MAX(X217-T217,1)*100)-Z217&gt;15),"Behind — progress lag",IF(AND(X217-TODAY()&lt;=30,X217-TODAY()&gt;=0,OR(Z217="",Z217&lt;90)),"At risk — close to off track","On track"))))))))</t>
        </is>
      </c>
      <c r="AH217" s="49" t="inlineStr">
        <is>
          <t>IF(OR(F217="",AC217="Completed / Handover",AC217="Cancelled"),"",IF(O217="Not awarded",IF(U217&lt;&gt;"",U217-TODAY(),IF(X217="","",X217-TODAY())),IF(X217="","",X217-TODAY())))</t>
        </is>
      </c>
      <c r="AI217" s="47" t="n"/>
      <c r="AJ217" s="47" t="n"/>
      <c r="AK217" s="47" t="n"/>
      <c r="AL217" s="47" t="n"/>
      <c r="AM217" s="47" t="n"/>
      <c r="AN217" s="47" t="n"/>
      <c r="AO217" s="47" t="n"/>
      <c r="AP217" s="47" t="n"/>
      <c r="AQ217" s="47" t="n"/>
      <c r="AR217" s="47" t="n"/>
      <c r="AS217" s="47" t="n"/>
      <c r="AT217" s="50" t="n"/>
      <c r="AU217" s="50" t="n"/>
      <c r="AV217" s="50" t="n"/>
      <c r="AW217" s="49" t="inlineStr">
        <is>
          <t>IF(OR(F217="",AJ217=""),"",IF(COUNT(AI217:AI217)=0,"",AJ217-LOOKUP(2,1/(AI217:AI217&lt;&gt;""),AI217:AI217)))</t>
        </is>
      </c>
      <c r="AX217" s="49" t="inlineStr">
        <is>
          <t>IF(OR(F217="",AK217=""),"",IF(COUNT(AI217:AJ217)=0,"",AK217-LOOKUP(2,1/(AI217:AJ217&lt;&gt;""),AI217:AJ217)))</t>
        </is>
      </c>
      <c r="AY217" s="49" t="inlineStr">
        <is>
          <t>IF(OR(F217="",AL217=""),"",IF(COUNT(AI217:AK217)=0,"",AL217-LOOKUP(2,1/(AI217:AK217&lt;&gt;""),AI217:AK217)))</t>
        </is>
      </c>
      <c r="AZ217" s="49" t="inlineStr">
        <is>
          <t>IF(OR(F217="",AM217=""),"",IF(COUNT(AI217:AL217)=0,"",AM217-LOOKUP(2,1/(AI217:AL217&lt;&gt;""),AI217:AL217)))</t>
        </is>
      </c>
      <c r="BA217" s="49" t="inlineStr">
        <is>
          <t>IF(OR(F217="",AN217=""),"",IF(COUNT(AI217:AM217)=0,"",AN217-LOOKUP(2,1/(AI217:AM217&lt;&gt;""),AI217:AM217)))</t>
        </is>
      </c>
      <c r="BB217" s="49" t="inlineStr">
        <is>
          <t>IF(OR(F217="",AO217=""),"",IF(COUNT(AI217:AN217)=0,"",AO217-LOOKUP(2,1/(AI217:AN217&lt;&gt;""),AI217:AN217)))</t>
        </is>
      </c>
      <c r="BC217" s="49" t="inlineStr">
        <is>
          <t>IF(OR(F217="",AP217=""),"",IF(COUNT(AI217:AO217)=0,"",AP217-LOOKUP(2,1/(AI217:AO217&lt;&gt;""),AI217:AO217)))</t>
        </is>
      </c>
      <c r="BD217" s="49" t="inlineStr">
        <is>
          <t>IF(OR(F217="",AQ217=""),"",IF(COUNT(AI217:AP217)=0,"",AQ217-LOOKUP(2,1/(AI217:AP217&lt;&gt;""),AI217:AP217)))</t>
        </is>
      </c>
      <c r="BE217" s="49" t="inlineStr">
        <is>
          <t>IF(OR(F217="",AR217=""),"",IF(COUNT(AI217:AQ217)=0,"",AR217-LOOKUP(2,1/(AI217:AQ217&lt;&gt;""),AI217:AQ217)))</t>
        </is>
      </c>
      <c r="BF217" s="49" t="inlineStr">
        <is>
          <t>IF(OR(F217="",AS217=""),"",IF(COUNT(AI217:AR217)=0,"",AS217-LOOKUP(2,1/(AI217:AR217&lt;&gt;""),AI217:AR217)))</t>
        </is>
      </c>
      <c r="BG217" s="49" t="inlineStr">
        <is>
          <t>IF(OR(F217="",AT217=""),"",IF(COUNT(AI217:AS217)=0,"",AT217-LOOKUP(2,1/(AI217:AS217&lt;&gt;""),AI217:AS217)))</t>
        </is>
      </c>
      <c r="BH217" s="49" t="inlineStr">
        <is>
          <t>IF(OR(F217="",AU217=""),"",IF(COUNT(AI217:AT217)=0,"",AU217-LOOKUP(2,1/(AI217:AT217&lt;&gt;""),AI217:AT217)))</t>
        </is>
      </c>
      <c r="BI217" s="49" t="inlineStr">
        <is>
          <t>IF(OR(F217="",AV217=""),"",IF(COUNT(AI217:AU217)=0,"",AV217-LOOKUP(2,1/(AI217:AU217&lt;&gt;""),AI217:AU217)))</t>
        </is>
      </c>
      <c r="BJ217" s="51" t="inlineStr">
        <is>
          <t>IF(J217="","All_Provinces",IFERROR(VLOOKUP(J217,'09_Lookups'!$A$4:$B$20,2,FALSE),"All_Provinces"))</t>
        </is>
      </c>
      <c r="BK217" s="51" t="inlineStr">
        <is>
          <t>IF(K217="","All_Districts",IFERROR(VLOOKUP(K217,'09_Lookups'!$E$4:$F$42,2,FALSE),"All_Districts"))</t>
        </is>
      </c>
    </row>
    <row r="218" ht="18" customHeight="1">
      <c r="A218" s="42" t="inlineStr">
        <is>
          <t>IF(F218="","",ROW()-3)</t>
        </is>
      </c>
      <c r="B218" s="52" t="n"/>
      <c r="C218" s="52" t="n"/>
      <c r="D218" s="52" t="n"/>
      <c r="E218" s="52" t="n"/>
      <c r="F218" s="52" t="n"/>
      <c r="G218" s="52" t="n"/>
      <c r="H218" s="52" t="n"/>
      <c r="I218" s="52" t="n"/>
      <c r="J218" s="52" t="n"/>
      <c r="K218" s="52" t="n"/>
      <c r="L218" s="52" t="n"/>
      <c r="M218" s="52" t="n"/>
      <c r="N218" s="52" t="n"/>
      <c r="O218" s="52" t="n"/>
      <c r="P218" s="52" t="n"/>
      <c r="Q218" s="52" t="n"/>
      <c r="R218" s="52" t="n"/>
      <c r="S218" s="53" t="n"/>
      <c r="T218" s="46" t="inlineStr">
        <is>
          <t>IF(AQ218="","",AQ218)</t>
        </is>
      </c>
      <c r="U218" s="54" t="n"/>
      <c r="V218" s="55" t="n"/>
      <c r="W218" s="54" t="n"/>
      <c r="X218" s="46" t="inlineStr">
        <is>
          <t>IF(W218&lt;&gt;"",W218,IF(OR(T218="",V218=""),"",EDATE(T218,V218)))</t>
        </is>
      </c>
      <c r="Y218" s="54" t="n"/>
      <c r="Z218" s="55" t="n"/>
      <c r="AA218" s="52" t="n"/>
      <c r="AB218" s="52" t="n"/>
      <c r="AC218" s="42" t="inlineStr">
        <is>
          <t>IF(F218="","",IF(COUNT(AI218:AV218)=0,IF(AA218="","Not started",AA218),SUBSTITUTE(LOOKUP(2,1/(AI218:AV218&lt;&gt;""),$AI$3:$AV$3),"Date: ","")))</t>
        </is>
      </c>
      <c r="AD218" s="49" t="inlineStr">
        <is>
          <t>IF(OR(F218="",COUNT(AI218:AV218)=0),"",TODAY()-LOOKUP(2,1/(AI218:AV218&lt;&gt;""),AI218:AV218))</t>
        </is>
      </c>
      <c r="AE218" s="49" t="inlineStr">
        <is>
          <t>IF(OR(F218="",COUNT(AI218:AV218)&lt;2),"",LOOKUP(2,1/(AI218:AV218&lt;&gt;""),AI218:AV218)-MIN(AI218:AV218))</t>
        </is>
      </c>
      <c r="AF218" s="49" t="inlineStr">
        <is>
          <t>IF(OR(AD218="",AC218="Not started",AC218=""),"",IFERROR(AD218-IF(VLOOKUP(AC218,'06_Status_Pipeline'!$B$3:$E$20,4,FALSE)="",0,VLOOKUP(AC218,'06_Status_Pipeline'!$B$3:$E$20,4,FALSE)),""))</t>
        </is>
      </c>
      <c r="AG218" s="42" t="inlineStr">
        <is>
          <t>IF(F218="","",IF(OR(AA218="Cancelled",AC218="Cancelled"),"Cancelled",IF(OR(AC218="Completed / Handover",Y218&lt;&gt;"",Z218&gt;=100),"Completed — on track",IF(O218="Not awarded",IF(U218="",IF(X218="","No planned date",IF(TODAY()&gt;X218,"Behind — past planned date",IF(X218-TODAY()&lt;=30,"At risk — close to off track","On track"))),IF(TODAY()&gt;U218,"Behind — award date passed",IF(U218-TODAY()&lt;=30,"At risk — close to off track","On track"))),IF(X218="","No planned date",IF(AND(TODAY()&gt;X218,OR(Z218="",Z218&lt;100)),"Behind — past end date",IF(AND(T218&lt;&gt;"",X218&lt;&gt;"",Z218&lt;&gt;"",(Z218&lt;100),((TODAY()-T218)/MAX(X218-T218,1)*100)-Z218&gt;15),"Behind — progress lag",IF(AND(X218-TODAY()&lt;=30,X218-TODAY()&gt;=0,OR(Z218="",Z218&lt;90)),"At risk — close to off track","On track"))))))))</t>
        </is>
      </c>
      <c r="AH218" s="49" t="inlineStr">
        <is>
          <t>IF(OR(F218="",AC218="Completed / Handover",AC218="Cancelled"),"",IF(O218="Not awarded",IF(U218&lt;&gt;"",U218-TODAY(),IF(X218="","",X218-TODAY())),IF(X218="","",X218-TODAY())))</t>
        </is>
      </c>
      <c r="AI218" s="54" t="n"/>
      <c r="AJ218" s="54" t="n"/>
      <c r="AK218" s="54" t="n"/>
      <c r="AL218" s="54" t="n"/>
      <c r="AM218" s="54" t="n"/>
      <c r="AN218" s="54" t="n"/>
      <c r="AO218" s="54" t="n"/>
      <c r="AP218" s="54" t="n"/>
      <c r="AQ218" s="54" t="n"/>
      <c r="AR218" s="54" t="n"/>
      <c r="AS218" s="54" t="n"/>
      <c r="AT218" s="50" t="n"/>
      <c r="AU218" s="50" t="n"/>
      <c r="AV218" s="50" t="n"/>
      <c r="AW218" s="49" t="inlineStr">
        <is>
          <t>IF(OR(F218="",AJ218=""),"",IF(COUNT(AI218:AI218)=0,"",AJ218-LOOKUP(2,1/(AI218:AI218&lt;&gt;""),AI218:AI218)))</t>
        </is>
      </c>
      <c r="AX218" s="49" t="inlineStr">
        <is>
          <t>IF(OR(F218="",AK218=""),"",IF(COUNT(AI218:AJ218)=0,"",AK218-LOOKUP(2,1/(AI218:AJ218&lt;&gt;""),AI218:AJ218)))</t>
        </is>
      </c>
      <c r="AY218" s="49" t="inlineStr">
        <is>
          <t>IF(OR(F218="",AL218=""),"",IF(COUNT(AI218:AK218)=0,"",AL218-LOOKUP(2,1/(AI218:AK218&lt;&gt;""),AI218:AK218)))</t>
        </is>
      </c>
      <c r="AZ218" s="49" t="inlineStr">
        <is>
          <t>IF(OR(F218="",AM218=""),"",IF(COUNT(AI218:AL218)=0,"",AM218-LOOKUP(2,1/(AI218:AL218&lt;&gt;""),AI218:AL218)))</t>
        </is>
      </c>
      <c r="BA218" s="49" t="inlineStr">
        <is>
          <t>IF(OR(F218="",AN218=""),"",IF(COUNT(AI218:AM218)=0,"",AN218-LOOKUP(2,1/(AI218:AM218&lt;&gt;""),AI218:AM218)))</t>
        </is>
      </c>
      <c r="BB218" s="49" t="inlineStr">
        <is>
          <t>IF(OR(F218="",AO218=""),"",IF(COUNT(AI218:AN218)=0,"",AO218-LOOKUP(2,1/(AI218:AN218&lt;&gt;""),AI218:AN218)))</t>
        </is>
      </c>
      <c r="BC218" s="49" t="inlineStr">
        <is>
          <t>IF(OR(F218="",AP218=""),"",IF(COUNT(AI218:AO218)=0,"",AP218-LOOKUP(2,1/(AI218:AO218&lt;&gt;""),AI218:AO218)))</t>
        </is>
      </c>
      <c r="BD218" s="49" t="inlineStr">
        <is>
          <t>IF(OR(F218="",AQ218=""),"",IF(COUNT(AI218:AP218)=0,"",AQ218-LOOKUP(2,1/(AI218:AP218&lt;&gt;""),AI218:AP218)))</t>
        </is>
      </c>
      <c r="BE218" s="49" t="inlineStr">
        <is>
          <t>IF(OR(F218="",AR218=""),"",IF(COUNT(AI218:AQ218)=0,"",AR218-LOOKUP(2,1/(AI218:AQ218&lt;&gt;""),AI218:AQ218)))</t>
        </is>
      </c>
      <c r="BF218" s="49" t="inlineStr">
        <is>
          <t>IF(OR(F218="",AS218=""),"",IF(COUNT(AI218:AR218)=0,"",AS218-LOOKUP(2,1/(AI218:AR218&lt;&gt;""),AI218:AR218)))</t>
        </is>
      </c>
      <c r="BG218" s="49" t="inlineStr">
        <is>
          <t>IF(OR(F218="",AT218=""),"",IF(COUNT(AI218:AS218)=0,"",AT218-LOOKUP(2,1/(AI218:AS218&lt;&gt;""),AI218:AS218)))</t>
        </is>
      </c>
      <c r="BH218" s="49" t="inlineStr">
        <is>
          <t>IF(OR(F218="",AU218=""),"",IF(COUNT(AI218:AT218)=0,"",AU218-LOOKUP(2,1/(AI218:AT218&lt;&gt;""),AI218:AT218)))</t>
        </is>
      </c>
      <c r="BI218" s="49" t="inlineStr">
        <is>
          <t>IF(OR(F218="",AV218=""),"",IF(COUNT(AI218:AU218)=0,"",AV218-LOOKUP(2,1/(AI218:AU218&lt;&gt;""),AI218:AU218)))</t>
        </is>
      </c>
      <c r="BJ218" s="51" t="inlineStr">
        <is>
          <t>IF(J218="","All_Provinces",IFERROR(VLOOKUP(J218,'09_Lookups'!$A$4:$B$20,2,FALSE),"All_Provinces"))</t>
        </is>
      </c>
      <c r="BK218" s="51" t="inlineStr">
        <is>
          <t>IF(K218="","All_Districts",IFERROR(VLOOKUP(K218,'09_Lookups'!$E$4:$F$42,2,FALSE),"All_Districts"))</t>
        </is>
      </c>
    </row>
    <row r="219" ht="18" customHeight="1">
      <c r="A219" s="42" t="inlineStr">
        <is>
          <t>IF(F219="","",ROW()-3)</t>
        </is>
      </c>
      <c r="B219" s="44" t="n"/>
      <c r="C219" s="44" t="n"/>
      <c r="D219" s="44" t="n"/>
      <c r="E219" s="44" t="n"/>
      <c r="F219" s="44" t="n"/>
      <c r="G219" s="44" t="n"/>
      <c r="H219" s="44" t="n"/>
      <c r="I219" s="44" t="n"/>
      <c r="J219" s="44" t="n"/>
      <c r="K219" s="44" t="n"/>
      <c r="L219" s="44" t="n"/>
      <c r="M219" s="44" t="n"/>
      <c r="N219" s="44" t="n"/>
      <c r="O219" s="44" t="n"/>
      <c r="P219" s="44" t="n"/>
      <c r="Q219" s="44" t="n"/>
      <c r="R219" s="44" t="n"/>
      <c r="S219" s="45" t="n"/>
      <c r="T219" s="46" t="inlineStr">
        <is>
          <t>IF(AQ219="","",AQ219)</t>
        </is>
      </c>
      <c r="U219" s="47" t="n"/>
      <c r="V219" s="48" t="n"/>
      <c r="W219" s="47" t="n"/>
      <c r="X219" s="46" t="inlineStr">
        <is>
          <t>IF(W219&lt;&gt;"",W219,IF(OR(T219="",V219=""),"",EDATE(T219,V219)))</t>
        </is>
      </c>
      <c r="Y219" s="47" t="n"/>
      <c r="Z219" s="48" t="n"/>
      <c r="AA219" s="44" t="n"/>
      <c r="AB219" s="44" t="n"/>
      <c r="AC219" s="42" t="inlineStr">
        <is>
          <t>IF(F219="","",IF(COUNT(AI219:AV219)=0,IF(AA219="","Not started",AA219),SUBSTITUTE(LOOKUP(2,1/(AI219:AV219&lt;&gt;""),$AI$3:$AV$3),"Date: ","")))</t>
        </is>
      </c>
      <c r="AD219" s="49" t="inlineStr">
        <is>
          <t>IF(OR(F219="",COUNT(AI219:AV219)=0),"",TODAY()-LOOKUP(2,1/(AI219:AV219&lt;&gt;""),AI219:AV219))</t>
        </is>
      </c>
      <c r="AE219" s="49" t="inlineStr">
        <is>
          <t>IF(OR(F219="",COUNT(AI219:AV219)&lt;2),"",LOOKUP(2,1/(AI219:AV219&lt;&gt;""),AI219:AV219)-MIN(AI219:AV219))</t>
        </is>
      </c>
      <c r="AF219" s="49" t="inlineStr">
        <is>
          <t>IF(OR(AD219="",AC219="Not started",AC219=""),"",IFERROR(AD219-IF(VLOOKUP(AC219,'06_Status_Pipeline'!$B$3:$E$20,4,FALSE)="",0,VLOOKUP(AC219,'06_Status_Pipeline'!$B$3:$E$20,4,FALSE)),""))</t>
        </is>
      </c>
      <c r="AG219" s="42" t="inlineStr">
        <is>
          <t>IF(F219="","",IF(OR(AA219="Cancelled",AC219="Cancelled"),"Cancelled",IF(OR(AC219="Completed / Handover",Y219&lt;&gt;"",Z219&gt;=100),"Completed — on track",IF(O219="Not awarded",IF(U219="",IF(X219="","No planned date",IF(TODAY()&gt;X219,"Behind — past planned date",IF(X219-TODAY()&lt;=30,"At risk — close to off track","On track"))),IF(TODAY()&gt;U219,"Behind — award date passed",IF(U219-TODAY()&lt;=30,"At risk — close to off track","On track"))),IF(X219="","No planned date",IF(AND(TODAY()&gt;X219,OR(Z219="",Z219&lt;100)),"Behind — past end date",IF(AND(T219&lt;&gt;"",X219&lt;&gt;"",Z219&lt;&gt;"",(Z219&lt;100),((TODAY()-T219)/MAX(X219-T219,1)*100)-Z219&gt;15),"Behind — progress lag",IF(AND(X219-TODAY()&lt;=30,X219-TODAY()&gt;=0,OR(Z219="",Z219&lt;90)),"At risk — close to off track","On track"))))))))</t>
        </is>
      </c>
      <c r="AH219" s="49" t="inlineStr">
        <is>
          <t>IF(OR(F219="",AC219="Completed / Handover",AC219="Cancelled"),"",IF(O219="Not awarded",IF(U219&lt;&gt;"",U219-TODAY(),IF(X219="","",X219-TODAY())),IF(X219="","",X219-TODAY())))</t>
        </is>
      </c>
      <c r="AI219" s="47" t="n"/>
      <c r="AJ219" s="47" t="n"/>
      <c r="AK219" s="47" t="n"/>
      <c r="AL219" s="47" t="n"/>
      <c r="AM219" s="47" t="n"/>
      <c r="AN219" s="47" t="n"/>
      <c r="AO219" s="47" t="n"/>
      <c r="AP219" s="47" t="n"/>
      <c r="AQ219" s="47" t="n"/>
      <c r="AR219" s="47" t="n"/>
      <c r="AS219" s="47" t="n"/>
      <c r="AT219" s="50" t="n"/>
      <c r="AU219" s="50" t="n"/>
      <c r="AV219" s="50" t="n"/>
      <c r="AW219" s="49" t="inlineStr">
        <is>
          <t>IF(OR(F219="",AJ219=""),"",IF(COUNT(AI219:AI219)=0,"",AJ219-LOOKUP(2,1/(AI219:AI219&lt;&gt;""),AI219:AI219)))</t>
        </is>
      </c>
      <c r="AX219" s="49" t="inlineStr">
        <is>
          <t>IF(OR(F219="",AK219=""),"",IF(COUNT(AI219:AJ219)=0,"",AK219-LOOKUP(2,1/(AI219:AJ219&lt;&gt;""),AI219:AJ219)))</t>
        </is>
      </c>
      <c r="AY219" s="49" t="inlineStr">
        <is>
          <t>IF(OR(F219="",AL219=""),"",IF(COUNT(AI219:AK219)=0,"",AL219-LOOKUP(2,1/(AI219:AK219&lt;&gt;""),AI219:AK219)))</t>
        </is>
      </c>
      <c r="AZ219" s="49" t="inlineStr">
        <is>
          <t>IF(OR(F219="",AM219=""),"",IF(COUNT(AI219:AL219)=0,"",AM219-LOOKUP(2,1/(AI219:AL219&lt;&gt;""),AI219:AL219)))</t>
        </is>
      </c>
      <c r="BA219" s="49" t="inlineStr">
        <is>
          <t>IF(OR(F219="",AN219=""),"",IF(COUNT(AI219:AM219)=0,"",AN219-LOOKUP(2,1/(AI219:AM219&lt;&gt;""),AI219:AM219)))</t>
        </is>
      </c>
      <c r="BB219" s="49" t="inlineStr">
        <is>
          <t>IF(OR(F219="",AO219=""),"",IF(COUNT(AI219:AN219)=0,"",AO219-LOOKUP(2,1/(AI219:AN219&lt;&gt;""),AI219:AN219)))</t>
        </is>
      </c>
      <c r="BC219" s="49" t="inlineStr">
        <is>
          <t>IF(OR(F219="",AP219=""),"",IF(COUNT(AI219:AO219)=0,"",AP219-LOOKUP(2,1/(AI219:AO219&lt;&gt;""),AI219:AO219)))</t>
        </is>
      </c>
      <c r="BD219" s="49" t="inlineStr">
        <is>
          <t>IF(OR(F219="",AQ219=""),"",IF(COUNT(AI219:AP219)=0,"",AQ219-LOOKUP(2,1/(AI219:AP219&lt;&gt;""),AI219:AP219)))</t>
        </is>
      </c>
      <c r="BE219" s="49" t="inlineStr">
        <is>
          <t>IF(OR(F219="",AR219=""),"",IF(COUNT(AI219:AQ219)=0,"",AR219-LOOKUP(2,1/(AI219:AQ219&lt;&gt;""),AI219:AQ219)))</t>
        </is>
      </c>
      <c r="BF219" s="49" t="inlineStr">
        <is>
          <t>IF(OR(F219="",AS219=""),"",IF(COUNT(AI219:AR219)=0,"",AS219-LOOKUP(2,1/(AI219:AR219&lt;&gt;""),AI219:AR219)))</t>
        </is>
      </c>
      <c r="BG219" s="49" t="inlineStr">
        <is>
          <t>IF(OR(F219="",AT219=""),"",IF(COUNT(AI219:AS219)=0,"",AT219-LOOKUP(2,1/(AI219:AS219&lt;&gt;""),AI219:AS219)))</t>
        </is>
      </c>
      <c r="BH219" s="49" t="inlineStr">
        <is>
          <t>IF(OR(F219="",AU219=""),"",IF(COUNT(AI219:AT219)=0,"",AU219-LOOKUP(2,1/(AI219:AT219&lt;&gt;""),AI219:AT219)))</t>
        </is>
      </c>
      <c r="BI219" s="49" t="inlineStr">
        <is>
          <t>IF(OR(F219="",AV219=""),"",IF(COUNT(AI219:AU219)=0,"",AV219-LOOKUP(2,1/(AI219:AU219&lt;&gt;""),AI219:AU219)))</t>
        </is>
      </c>
      <c r="BJ219" s="51" t="inlineStr">
        <is>
          <t>IF(J219="","All_Provinces",IFERROR(VLOOKUP(J219,'09_Lookups'!$A$4:$B$20,2,FALSE),"All_Provinces"))</t>
        </is>
      </c>
      <c r="BK219" s="51" t="inlineStr">
        <is>
          <t>IF(K219="","All_Districts",IFERROR(VLOOKUP(K219,'09_Lookups'!$E$4:$F$42,2,FALSE),"All_Districts"))</t>
        </is>
      </c>
    </row>
    <row r="220" ht="18" customHeight="1">
      <c r="A220" s="42" t="inlineStr">
        <is>
          <t>IF(F220="","",ROW()-3)</t>
        </is>
      </c>
      <c r="B220" s="52" t="n"/>
      <c r="C220" s="52" t="n"/>
      <c r="D220" s="52" t="n"/>
      <c r="E220" s="52" t="n"/>
      <c r="F220" s="52" t="n"/>
      <c r="G220" s="52" t="n"/>
      <c r="H220" s="52" t="n"/>
      <c r="I220" s="52" t="n"/>
      <c r="J220" s="52" t="n"/>
      <c r="K220" s="52" t="n"/>
      <c r="L220" s="52" t="n"/>
      <c r="M220" s="52" t="n"/>
      <c r="N220" s="52" t="n"/>
      <c r="O220" s="52" t="n"/>
      <c r="P220" s="52" t="n"/>
      <c r="Q220" s="52" t="n"/>
      <c r="R220" s="52" t="n"/>
      <c r="S220" s="53" t="n"/>
      <c r="T220" s="46" t="inlineStr">
        <is>
          <t>IF(AQ220="","",AQ220)</t>
        </is>
      </c>
      <c r="U220" s="54" t="n"/>
      <c r="V220" s="55" t="n"/>
      <c r="W220" s="54" t="n"/>
      <c r="X220" s="46" t="inlineStr">
        <is>
          <t>IF(W220&lt;&gt;"",W220,IF(OR(T220="",V220=""),"",EDATE(T220,V220)))</t>
        </is>
      </c>
      <c r="Y220" s="54" t="n"/>
      <c r="Z220" s="55" t="n"/>
      <c r="AA220" s="52" t="n"/>
      <c r="AB220" s="52" t="n"/>
      <c r="AC220" s="42" t="inlineStr">
        <is>
          <t>IF(F220="","",IF(COUNT(AI220:AV220)=0,IF(AA220="","Not started",AA220),SUBSTITUTE(LOOKUP(2,1/(AI220:AV220&lt;&gt;""),$AI$3:$AV$3),"Date: ","")))</t>
        </is>
      </c>
      <c r="AD220" s="49" t="inlineStr">
        <is>
          <t>IF(OR(F220="",COUNT(AI220:AV220)=0),"",TODAY()-LOOKUP(2,1/(AI220:AV220&lt;&gt;""),AI220:AV220))</t>
        </is>
      </c>
      <c r="AE220" s="49" t="inlineStr">
        <is>
          <t>IF(OR(F220="",COUNT(AI220:AV220)&lt;2),"",LOOKUP(2,1/(AI220:AV220&lt;&gt;""),AI220:AV220)-MIN(AI220:AV220))</t>
        </is>
      </c>
      <c r="AF220" s="49" t="inlineStr">
        <is>
          <t>IF(OR(AD220="",AC220="Not started",AC220=""),"",IFERROR(AD220-IF(VLOOKUP(AC220,'06_Status_Pipeline'!$B$3:$E$20,4,FALSE)="",0,VLOOKUP(AC220,'06_Status_Pipeline'!$B$3:$E$20,4,FALSE)),""))</t>
        </is>
      </c>
      <c r="AG220" s="42" t="inlineStr">
        <is>
          <t>IF(F220="","",IF(OR(AA220="Cancelled",AC220="Cancelled"),"Cancelled",IF(OR(AC220="Completed / Handover",Y220&lt;&gt;"",Z220&gt;=100),"Completed — on track",IF(O220="Not awarded",IF(U220="",IF(X220="","No planned date",IF(TODAY()&gt;X220,"Behind — past planned date",IF(X220-TODAY()&lt;=30,"At risk — close to off track","On track"))),IF(TODAY()&gt;U220,"Behind — award date passed",IF(U220-TODAY()&lt;=30,"At risk — close to off track","On track"))),IF(X220="","No planned date",IF(AND(TODAY()&gt;X220,OR(Z220="",Z220&lt;100)),"Behind — past end date",IF(AND(T220&lt;&gt;"",X220&lt;&gt;"",Z220&lt;&gt;"",(Z220&lt;100),((TODAY()-T220)/MAX(X220-T220,1)*100)-Z220&gt;15),"Behind — progress lag",IF(AND(X220-TODAY()&lt;=30,X220-TODAY()&gt;=0,OR(Z220="",Z220&lt;90)),"At risk — close to off track","On track"))))))))</t>
        </is>
      </c>
      <c r="AH220" s="49" t="inlineStr">
        <is>
          <t>IF(OR(F220="",AC220="Completed / Handover",AC220="Cancelled"),"",IF(O220="Not awarded",IF(U220&lt;&gt;"",U220-TODAY(),IF(X220="","",X220-TODAY())),IF(X220="","",X220-TODAY())))</t>
        </is>
      </c>
      <c r="AI220" s="54" t="n"/>
      <c r="AJ220" s="54" t="n"/>
      <c r="AK220" s="54" t="n"/>
      <c r="AL220" s="54" t="n"/>
      <c r="AM220" s="54" t="n"/>
      <c r="AN220" s="54" t="n"/>
      <c r="AO220" s="54" t="n"/>
      <c r="AP220" s="54" t="n"/>
      <c r="AQ220" s="54" t="n"/>
      <c r="AR220" s="54" t="n"/>
      <c r="AS220" s="54" t="n"/>
      <c r="AT220" s="50" t="n"/>
      <c r="AU220" s="50" t="n"/>
      <c r="AV220" s="50" t="n"/>
      <c r="AW220" s="49" t="inlineStr">
        <is>
          <t>IF(OR(F220="",AJ220=""),"",IF(COUNT(AI220:AI220)=0,"",AJ220-LOOKUP(2,1/(AI220:AI220&lt;&gt;""),AI220:AI220)))</t>
        </is>
      </c>
      <c r="AX220" s="49" t="inlineStr">
        <is>
          <t>IF(OR(F220="",AK220=""),"",IF(COUNT(AI220:AJ220)=0,"",AK220-LOOKUP(2,1/(AI220:AJ220&lt;&gt;""),AI220:AJ220)))</t>
        </is>
      </c>
      <c r="AY220" s="49" t="inlineStr">
        <is>
          <t>IF(OR(F220="",AL220=""),"",IF(COUNT(AI220:AK220)=0,"",AL220-LOOKUP(2,1/(AI220:AK220&lt;&gt;""),AI220:AK220)))</t>
        </is>
      </c>
      <c r="AZ220" s="49" t="inlineStr">
        <is>
          <t>IF(OR(F220="",AM220=""),"",IF(COUNT(AI220:AL220)=0,"",AM220-LOOKUP(2,1/(AI220:AL220&lt;&gt;""),AI220:AL220)))</t>
        </is>
      </c>
      <c r="BA220" s="49" t="inlineStr">
        <is>
          <t>IF(OR(F220="",AN220=""),"",IF(COUNT(AI220:AM220)=0,"",AN220-LOOKUP(2,1/(AI220:AM220&lt;&gt;""),AI220:AM220)))</t>
        </is>
      </c>
      <c r="BB220" s="49" t="inlineStr">
        <is>
          <t>IF(OR(F220="",AO220=""),"",IF(COUNT(AI220:AN220)=0,"",AO220-LOOKUP(2,1/(AI220:AN220&lt;&gt;""),AI220:AN220)))</t>
        </is>
      </c>
      <c r="BC220" s="49" t="inlineStr">
        <is>
          <t>IF(OR(F220="",AP220=""),"",IF(COUNT(AI220:AO220)=0,"",AP220-LOOKUP(2,1/(AI220:AO220&lt;&gt;""),AI220:AO220)))</t>
        </is>
      </c>
      <c r="BD220" s="49" t="inlineStr">
        <is>
          <t>IF(OR(F220="",AQ220=""),"",IF(COUNT(AI220:AP220)=0,"",AQ220-LOOKUP(2,1/(AI220:AP220&lt;&gt;""),AI220:AP220)))</t>
        </is>
      </c>
      <c r="BE220" s="49" t="inlineStr">
        <is>
          <t>IF(OR(F220="",AR220=""),"",IF(COUNT(AI220:AQ220)=0,"",AR220-LOOKUP(2,1/(AI220:AQ220&lt;&gt;""),AI220:AQ220)))</t>
        </is>
      </c>
      <c r="BF220" s="49" t="inlineStr">
        <is>
          <t>IF(OR(F220="",AS220=""),"",IF(COUNT(AI220:AR220)=0,"",AS220-LOOKUP(2,1/(AI220:AR220&lt;&gt;""),AI220:AR220)))</t>
        </is>
      </c>
      <c r="BG220" s="49" t="inlineStr">
        <is>
          <t>IF(OR(F220="",AT220=""),"",IF(COUNT(AI220:AS220)=0,"",AT220-LOOKUP(2,1/(AI220:AS220&lt;&gt;""),AI220:AS220)))</t>
        </is>
      </c>
      <c r="BH220" s="49" t="inlineStr">
        <is>
          <t>IF(OR(F220="",AU220=""),"",IF(COUNT(AI220:AT220)=0,"",AU220-LOOKUP(2,1/(AI220:AT220&lt;&gt;""),AI220:AT220)))</t>
        </is>
      </c>
      <c r="BI220" s="49" t="inlineStr">
        <is>
          <t>IF(OR(F220="",AV220=""),"",IF(COUNT(AI220:AU220)=0,"",AV220-LOOKUP(2,1/(AI220:AU220&lt;&gt;""),AI220:AU220)))</t>
        </is>
      </c>
      <c r="BJ220" s="51" t="inlineStr">
        <is>
          <t>IF(J220="","All_Provinces",IFERROR(VLOOKUP(J220,'09_Lookups'!$A$4:$B$20,2,FALSE),"All_Provinces"))</t>
        </is>
      </c>
      <c r="BK220" s="51" t="inlineStr">
        <is>
          <t>IF(K220="","All_Districts",IFERROR(VLOOKUP(K220,'09_Lookups'!$E$4:$F$42,2,FALSE),"All_Districts"))</t>
        </is>
      </c>
    </row>
    <row r="221" ht="18" customHeight="1">
      <c r="A221" s="42" t="inlineStr">
        <is>
          <t>IF(F221="","",ROW()-3)</t>
        </is>
      </c>
      <c r="B221" s="44" t="n"/>
      <c r="C221" s="44" t="n"/>
      <c r="D221" s="44" t="n"/>
      <c r="E221" s="44" t="n"/>
      <c r="F221" s="44" t="n"/>
      <c r="G221" s="44" t="n"/>
      <c r="H221" s="44" t="n"/>
      <c r="I221" s="44" t="n"/>
      <c r="J221" s="44" t="n"/>
      <c r="K221" s="44" t="n"/>
      <c r="L221" s="44" t="n"/>
      <c r="M221" s="44" t="n"/>
      <c r="N221" s="44" t="n"/>
      <c r="O221" s="44" t="n"/>
      <c r="P221" s="44" t="n"/>
      <c r="Q221" s="44" t="n"/>
      <c r="R221" s="44" t="n"/>
      <c r="S221" s="45" t="n"/>
      <c r="T221" s="46" t="inlineStr">
        <is>
          <t>IF(AQ221="","",AQ221)</t>
        </is>
      </c>
      <c r="U221" s="47" t="n"/>
      <c r="V221" s="48" t="n"/>
      <c r="W221" s="47" t="n"/>
      <c r="X221" s="46" t="inlineStr">
        <is>
          <t>IF(W221&lt;&gt;"",W221,IF(OR(T221="",V221=""),"",EDATE(T221,V221)))</t>
        </is>
      </c>
      <c r="Y221" s="47" t="n"/>
      <c r="Z221" s="48" t="n"/>
      <c r="AA221" s="44" t="n"/>
      <c r="AB221" s="44" t="n"/>
      <c r="AC221" s="42" t="inlineStr">
        <is>
          <t>IF(F221="","",IF(COUNT(AI221:AV221)=0,IF(AA221="","Not started",AA221),SUBSTITUTE(LOOKUP(2,1/(AI221:AV221&lt;&gt;""),$AI$3:$AV$3),"Date: ","")))</t>
        </is>
      </c>
      <c r="AD221" s="49" t="inlineStr">
        <is>
          <t>IF(OR(F221="",COUNT(AI221:AV221)=0),"",TODAY()-LOOKUP(2,1/(AI221:AV221&lt;&gt;""),AI221:AV221))</t>
        </is>
      </c>
      <c r="AE221" s="49" t="inlineStr">
        <is>
          <t>IF(OR(F221="",COUNT(AI221:AV221)&lt;2),"",LOOKUP(2,1/(AI221:AV221&lt;&gt;""),AI221:AV221)-MIN(AI221:AV221))</t>
        </is>
      </c>
      <c r="AF221" s="49" t="inlineStr">
        <is>
          <t>IF(OR(AD221="",AC221="Not started",AC221=""),"",IFERROR(AD221-IF(VLOOKUP(AC221,'06_Status_Pipeline'!$B$3:$E$20,4,FALSE)="",0,VLOOKUP(AC221,'06_Status_Pipeline'!$B$3:$E$20,4,FALSE)),""))</t>
        </is>
      </c>
      <c r="AG221" s="42" t="inlineStr">
        <is>
          <t>IF(F221="","",IF(OR(AA221="Cancelled",AC221="Cancelled"),"Cancelled",IF(OR(AC221="Completed / Handover",Y221&lt;&gt;"",Z221&gt;=100),"Completed — on track",IF(O221="Not awarded",IF(U221="",IF(X221="","No planned date",IF(TODAY()&gt;X221,"Behind — past planned date",IF(X221-TODAY()&lt;=30,"At risk — close to off track","On track"))),IF(TODAY()&gt;U221,"Behind — award date passed",IF(U221-TODAY()&lt;=30,"At risk — close to off track","On track"))),IF(X221="","No planned date",IF(AND(TODAY()&gt;X221,OR(Z221="",Z221&lt;100)),"Behind — past end date",IF(AND(T221&lt;&gt;"",X221&lt;&gt;"",Z221&lt;&gt;"",(Z221&lt;100),((TODAY()-T221)/MAX(X221-T221,1)*100)-Z221&gt;15),"Behind — progress lag",IF(AND(X221-TODAY()&lt;=30,X221-TODAY()&gt;=0,OR(Z221="",Z221&lt;90)),"At risk — close to off track","On track"))))))))</t>
        </is>
      </c>
      <c r="AH221" s="49" t="inlineStr">
        <is>
          <t>IF(OR(F221="",AC221="Completed / Handover",AC221="Cancelled"),"",IF(O221="Not awarded",IF(U221&lt;&gt;"",U221-TODAY(),IF(X221="","",X221-TODAY())),IF(X221="","",X221-TODAY())))</t>
        </is>
      </c>
      <c r="AI221" s="47" t="n"/>
      <c r="AJ221" s="47" t="n"/>
      <c r="AK221" s="47" t="n"/>
      <c r="AL221" s="47" t="n"/>
      <c r="AM221" s="47" t="n"/>
      <c r="AN221" s="47" t="n"/>
      <c r="AO221" s="47" t="n"/>
      <c r="AP221" s="47" t="n"/>
      <c r="AQ221" s="47" t="n"/>
      <c r="AR221" s="47" t="n"/>
      <c r="AS221" s="47" t="n"/>
      <c r="AT221" s="50" t="n"/>
      <c r="AU221" s="50" t="n"/>
      <c r="AV221" s="50" t="n"/>
      <c r="AW221" s="49" t="inlineStr">
        <is>
          <t>IF(OR(F221="",AJ221=""),"",IF(COUNT(AI221:AI221)=0,"",AJ221-LOOKUP(2,1/(AI221:AI221&lt;&gt;""),AI221:AI221)))</t>
        </is>
      </c>
      <c r="AX221" s="49" t="inlineStr">
        <is>
          <t>IF(OR(F221="",AK221=""),"",IF(COUNT(AI221:AJ221)=0,"",AK221-LOOKUP(2,1/(AI221:AJ221&lt;&gt;""),AI221:AJ221)))</t>
        </is>
      </c>
      <c r="AY221" s="49" t="inlineStr">
        <is>
          <t>IF(OR(F221="",AL221=""),"",IF(COUNT(AI221:AK221)=0,"",AL221-LOOKUP(2,1/(AI221:AK221&lt;&gt;""),AI221:AK221)))</t>
        </is>
      </c>
      <c r="AZ221" s="49" t="inlineStr">
        <is>
          <t>IF(OR(F221="",AM221=""),"",IF(COUNT(AI221:AL221)=0,"",AM221-LOOKUP(2,1/(AI221:AL221&lt;&gt;""),AI221:AL221)))</t>
        </is>
      </c>
      <c r="BA221" s="49" t="inlineStr">
        <is>
          <t>IF(OR(F221="",AN221=""),"",IF(COUNT(AI221:AM221)=0,"",AN221-LOOKUP(2,1/(AI221:AM221&lt;&gt;""),AI221:AM221)))</t>
        </is>
      </c>
      <c r="BB221" s="49" t="inlineStr">
        <is>
          <t>IF(OR(F221="",AO221=""),"",IF(COUNT(AI221:AN221)=0,"",AO221-LOOKUP(2,1/(AI221:AN221&lt;&gt;""),AI221:AN221)))</t>
        </is>
      </c>
      <c r="BC221" s="49" t="inlineStr">
        <is>
          <t>IF(OR(F221="",AP221=""),"",IF(COUNT(AI221:AO221)=0,"",AP221-LOOKUP(2,1/(AI221:AO221&lt;&gt;""),AI221:AO221)))</t>
        </is>
      </c>
      <c r="BD221" s="49" t="inlineStr">
        <is>
          <t>IF(OR(F221="",AQ221=""),"",IF(COUNT(AI221:AP221)=0,"",AQ221-LOOKUP(2,1/(AI221:AP221&lt;&gt;""),AI221:AP221)))</t>
        </is>
      </c>
      <c r="BE221" s="49" t="inlineStr">
        <is>
          <t>IF(OR(F221="",AR221=""),"",IF(COUNT(AI221:AQ221)=0,"",AR221-LOOKUP(2,1/(AI221:AQ221&lt;&gt;""),AI221:AQ221)))</t>
        </is>
      </c>
      <c r="BF221" s="49" t="inlineStr">
        <is>
          <t>IF(OR(F221="",AS221=""),"",IF(COUNT(AI221:AR221)=0,"",AS221-LOOKUP(2,1/(AI221:AR221&lt;&gt;""),AI221:AR221)))</t>
        </is>
      </c>
      <c r="BG221" s="49" t="inlineStr">
        <is>
          <t>IF(OR(F221="",AT221=""),"",IF(COUNT(AI221:AS221)=0,"",AT221-LOOKUP(2,1/(AI221:AS221&lt;&gt;""),AI221:AS221)))</t>
        </is>
      </c>
      <c r="BH221" s="49" t="inlineStr">
        <is>
          <t>IF(OR(F221="",AU221=""),"",IF(COUNT(AI221:AT221)=0,"",AU221-LOOKUP(2,1/(AI221:AT221&lt;&gt;""),AI221:AT221)))</t>
        </is>
      </c>
      <c r="BI221" s="49" t="inlineStr">
        <is>
          <t>IF(OR(F221="",AV221=""),"",IF(COUNT(AI221:AU221)=0,"",AV221-LOOKUP(2,1/(AI221:AU221&lt;&gt;""),AI221:AU221)))</t>
        </is>
      </c>
      <c r="BJ221" s="51" t="inlineStr">
        <is>
          <t>IF(J221="","All_Provinces",IFERROR(VLOOKUP(J221,'09_Lookups'!$A$4:$B$20,2,FALSE),"All_Provinces"))</t>
        </is>
      </c>
      <c r="BK221" s="51" t="inlineStr">
        <is>
          <t>IF(K221="","All_Districts",IFERROR(VLOOKUP(K221,'09_Lookups'!$E$4:$F$42,2,FALSE),"All_Districts"))</t>
        </is>
      </c>
    </row>
    <row r="222" ht="18" customHeight="1">
      <c r="A222" s="42" t="inlineStr">
        <is>
          <t>IF(F222="","",ROW()-3)</t>
        </is>
      </c>
      <c r="B222" s="52" t="n"/>
      <c r="C222" s="52" t="n"/>
      <c r="D222" s="52" t="n"/>
      <c r="E222" s="52" t="n"/>
      <c r="F222" s="52" t="n"/>
      <c r="G222" s="52" t="n"/>
      <c r="H222" s="52" t="n"/>
      <c r="I222" s="52" t="n"/>
      <c r="J222" s="52" t="n"/>
      <c r="K222" s="52" t="n"/>
      <c r="L222" s="52" t="n"/>
      <c r="M222" s="52" t="n"/>
      <c r="N222" s="52" t="n"/>
      <c r="O222" s="52" t="n"/>
      <c r="P222" s="52" t="n"/>
      <c r="Q222" s="52" t="n"/>
      <c r="R222" s="52" t="n"/>
      <c r="S222" s="53" t="n"/>
      <c r="T222" s="46" t="inlineStr">
        <is>
          <t>IF(AQ222="","",AQ222)</t>
        </is>
      </c>
      <c r="U222" s="54" t="n"/>
      <c r="V222" s="55" t="n"/>
      <c r="W222" s="54" t="n"/>
      <c r="X222" s="46" t="inlineStr">
        <is>
          <t>IF(W222&lt;&gt;"",W222,IF(OR(T222="",V222=""),"",EDATE(T222,V222)))</t>
        </is>
      </c>
      <c r="Y222" s="54" t="n"/>
      <c r="Z222" s="55" t="n"/>
      <c r="AA222" s="52" t="n"/>
      <c r="AB222" s="52" t="n"/>
      <c r="AC222" s="42" t="inlineStr">
        <is>
          <t>IF(F222="","",IF(COUNT(AI222:AV222)=0,IF(AA222="","Not started",AA222),SUBSTITUTE(LOOKUP(2,1/(AI222:AV222&lt;&gt;""),$AI$3:$AV$3),"Date: ","")))</t>
        </is>
      </c>
      <c r="AD222" s="49" t="inlineStr">
        <is>
          <t>IF(OR(F222="",COUNT(AI222:AV222)=0),"",TODAY()-LOOKUP(2,1/(AI222:AV222&lt;&gt;""),AI222:AV222))</t>
        </is>
      </c>
      <c r="AE222" s="49" t="inlineStr">
        <is>
          <t>IF(OR(F222="",COUNT(AI222:AV222)&lt;2),"",LOOKUP(2,1/(AI222:AV222&lt;&gt;""),AI222:AV222)-MIN(AI222:AV222))</t>
        </is>
      </c>
      <c r="AF222" s="49" t="inlineStr">
        <is>
          <t>IF(OR(AD222="",AC222="Not started",AC222=""),"",IFERROR(AD222-IF(VLOOKUP(AC222,'06_Status_Pipeline'!$B$3:$E$20,4,FALSE)="",0,VLOOKUP(AC222,'06_Status_Pipeline'!$B$3:$E$20,4,FALSE)),""))</t>
        </is>
      </c>
      <c r="AG222" s="42" t="inlineStr">
        <is>
          <t>IF(F222="","",IF(OR(AA222="Cancelled",AC222="Cancelled"),"Cancelled",IF(OR(AC222="Completed / Handover",Y222&lt;&gt;"",Z222&gt;=100),"Completed — on track",IF(O222="Not awarded",IF(U222="",IF(X222="","No planned date",IF(TODAY()&gt;X222,"Behind — past planned date",IF(X222-TODAY()&lt;=30,"At risk — close to off track","On track"))),IF(TODAY()&gt;U222,"Behind — award date passed",IF(U222-TODAY()&lt;=30,"At risk — close to off track","On track"))),IF(X222="","No planned date",IF(AND(TODAY()&gt;X222,OR(Z222="",Z222&lt;100)),"Behind — past end date",IF(AND(T222&lt;&gt;"",X222&lt;&gt;"",Z222&lt;&gt;"",(Z222&lt;100),((TODAY()-T222)/MAX(X222-T222,1)*100)-Z222&gt;15),"Behind — progress lag",IF(AND(X222-TODAY()&lt;=30,X222-TODAY()&gt;=0,OR(Z222="",Z222&lt;90)),"At risk — close to off track","On track"))))))))</t>
        </is>
      </c>
      <c r="AH222" s="49" t="inlineStr">
        <is>
          <t>IF(OR(F222="",AC222="Completed / Handover",AC222="Cancelled"),"",IF(O222="Not awarded",IF(U222&lt;&gt;"",U222-TODAY(),IF(X222="","",X222-TODAY())),IF(X222="","",X222-TODAY())))</t>
        </is>
      </c>
      <c r="AI222" s="54" t="n"/>
      <c r="AJ222" s="54" t="n"/>
      <c r="AK222" s="54" t="n"/>
      <c r="AL222" s="54" t="n"/>
      <c r="AM222" s="54" t="n"/>
      <c r="AN222" s="54" t="n"/>
      <c r="AO222" s="54" t="n"/>
      <c r="AP222" s="54" t="n"/>
      <c r="AQ222" s="54" t="n"/>
      <c r="AR222" s="54" t="n"/>
      <c r="AS222" s="54" t="n"/>
      <c r="AT222" s="50" t="n"/>
      <c r="AU222" s="50" t="n"/>
      <c r="AV222" s="50" t="n"/>
      <c r="AW222" s="49" t="inlineStr">
        <is>
          <t>IF(OR(F222="",AJ222=""),"",IF(COUNT(AI222:AI222)=0,"",AJ222-LOOKUP(2,1/(AI222:AI222&lt;&gt;""),AI222:AI222)))</t>
        </is>
      </c>
      <c r="AX222" s="49" t="inlineStr">
        <is>
          <t>IF(OR(F222="",AK222=""),"",IF(COUNT(AI222:AJ222)=0,"",AK222-LOOKUP(2,1/(AI222:AJ222&lt;&gt;""),AI222:AJ222)))</t>
        </is>
      </c>
      <c r="AY222" s="49" t="inlineStr">
        <is>
          <t>IF(OR(F222="",AL222=""),"",IF(COUNT(AI222:AK222)=0,"",AL222-LOOKUP(2,1/(AI222:AK222&lt;&gt;""),AI222:AK222)))</t>
        </is>
      </c>
      <c r="AZ222" s="49" t="inlineStr">
        <is>
          <t>IF(OR(F222="",AM222=""),"",IF(COUNT(AI222:AL222)=0,"",AM222-LOOKUP(2,1/(AI222:AL222&lt;&gt;""),AI222:AL222)))</t>
        </is>
      </c>
      <c r="BA222" s="49" t="inlineStr">
        <is>
          <t>IF(OR(F222="",AN222=""),"",IF(COUNT(AI222:AM222)=0,"",AN222-LOOKUP(2,1/(AI222:AM222&lt;&gt;""),AI222:AM222)))</t>
        </is>
      </c>
      <c r="BB222" s="49" t="inlineStr">
        <is>
          <t>IF(OR(F222="",AO222=""),"",IF(COUNT(AI222:AN222)=0,"",AO222-LOOKUP(2,1/(AI222:AN222&lt;&gt;""),AI222:AN222)))</t>
        </is>
      </c>
      <c r="BC222" s="49" t="inlineStr">
        <is>
          <t>IF(OR(F222="",AP222=""),"",IF(COUNT(AI222:AO222)=0,"",AP222-LOOKUP(2,1/(AI222:AO222&lt;&gt;""),AI222:AO222)))</t>
        </is>
      </c>
      <c r="BD222" s="49" t="inlineStr">
        <is>
          <t>IF(OR(F222="",AQ222=""),"",IF(COUNT(AI222:AP222)=0,"",AQ222-LOOKUP(2,1/(AI222:AP222&lt;&gt;""),AI222:AP222)))</t>
        </is>
      </c>
      <c r="BE222" s="49" t="inlineStr">
        <is>
          <t>IF(OR(F222="",AR222=""),"",IF(COUNT(AI222:AQ222)=0,"",AR222-LOOKUP(2,1/(AI222:AQ222&lt;&gt;""),AI222:AQ222)))</t>
        </is>
      </c>
      <c r="BF222" s="49" t="inlineStr">
        <is>
          <t>IF(OR(F222="",AS222=""),"",IF(COUNT(AI222:AR222)=0,"",AS222-LOOKUP(2,1/(AI222:AR222&lt;&gt;""),AI222:AR222)))</t>
        </is>
      </c>
      <c r="BG222" s="49" t="inlineStr">
        <is>
          <t>IF(OR(F222="",AT222=""),"",IF(COUNT(AI222:AS222)=0,"",AT222-LOOKUP(2,1/(AI222:AS222&lt;&gt;""),AI222:AS222)))</t>
        </is>
      </c>
      <c r="BH222" s="49" t="inlineStr">
        <is>
          <t>IF(OR(F222="",AU222=""),"",IF(COUNT(AI222:AT222)=0,"",AU222-LOOKUP(2,1/(AI222:AT222&lt;&gt;""),AI222:AT222)))</t>
        </is>
      </c>
      <c r="BI222" s="49" t="inlineStr">
        <is>
          <t>IF(OR(F222="",AV222=""),"",IF(COUNT(AI222:AU222)=0,"",AV222-LOOKUP(2,1/(AI222:AU222&lt;&gt;""),AI222:AU222)))</t>
        </is>
      </c>
      <c r="BJ222" s="51" t="inlineStr">
        <is>
          <t>IF(J222="","All_Provinces",IFERROR(VLOOKUP(J222,'09_Lookups'!$A$4:$B$20,2,FALSE),"All_Provinces"))</t>
        </is>
      </c>
      <c r="BK222" s="51" t="inlineStr">
        <is>
          <t>IF(K222="","All_Districts",IFERROR(VLOOKUP(K222,'09_Lookups'!$E$4:$F$42,2,FALSE),"All_Districts"))</t>
        </is>
      </c>
    </row>
    <row r="223" ht="18" customHeight="1">
      <c r="A223" s="42" t="inlineStr">
        <is>
          <t>IF(F223="","",ROW()-3)</t>
        </is>
      </c>
      <c r="B223" s="44" t="n"/>
      <c r="C223" s="44" t="n"/>
      <c r="D223" s="44" t="n"/>
      <c r="E223" s="44" t="n"/>
      <c r="F223" s="44" t="n"/>
      <c r="G223" s="44" t="n"/>
      <c r="H223" s="44" t="n"/>
      <c r="I223" s="44" t="n"/>
      <c r="J223" s="44" t="n"/>
      <c r="K223" s="44" t="n"/>
      <c r="L223" s="44" t="n"/>
      <c r="M223" s="44" t="n"/>
      <c r="N223" s="44" t="n"/>
      <c r="O223" s="44" t="n"/>
      <c r="P223" s="44" t="n"/>
      <c r="Q223" s="44" t="n"/>
      <c r="R223" s="44" t="n"/>
      <c r="S223" s="45" t="n"/>
      <c r="T223" s="46" t="inlineStr">
        <is>
          <t>IF(AQ223="","",AQ223)</t>
        </is>
      </c>
      <c r="U223" s="47" t="n"/>
      <c r="V223" s="48" t="n"/>
      <c r="W223" s="47" t="n"/>
      <c r="X223" s="46" t="inlineStr">
        <is>
          <t>IF(W223&lt;&gt;"",W223,IF(OR(T223="",V223=""),"",EDATE(T223,V223)))</t>
        </is>
      </c>
      <c r="Y223" s="47" t="n"/>
      <c r="Z223" s="48" t="n"/>
      <c r="AA223" s="44" t="n"/>
      <c r="AB223" s="44" t="n"/>
      <c r="AC223" s="42" t="inlineStr">
        <is>
          <t>IF(F223="","",IF(COUNT(AI223:AV223)=0,IF(AA223="","Not started",AA223),SUBSTITUTE(LOOKUP(2,1/(AI223:AV223&lt;&gt;""),$AI$3:$AV$3),"Date: ","")))</t>
        </is>
      </c>
      <c r="AD223" s="49" t="inlineStr">
        <is>
          <t>IF(OR(F223="",COUNT(AI223:AV223)=0),"",TODAY()-LOOKUP(2,1/(AI223:AV223&lt;&gt;""),AI223:AV223))</t>
        </is>
      </c>
      <c r="AE223" s="49" t="inlineStr">
        <is>
          <t>IF(OR(F223="",COUNT(AI223:AV223)&lt;2),"",LOOKUP(2,1/(AI223:AV223&lt;&gt;""),AI223:AV223)-MIN(AI223:AV223))</t>
        </is>
      </c>
      <c r="AF223" s="49" t="inlineStr">
        <is>
          <t>IF(OR(AD223="",AC223="Not started",AC223=""),"",IFERROR(AD223-IF(VLOOKUP(AC223,'06_Status_Pipeline'!$B$3:$E$20,4,FALSE)="",0,VLOOKUP(AC223,'06_Status_Pipeline'!$B$3:$E$20,4,FALSE)),""))</t>
        </is>
      </c>
      <c r="AG223" s="42" t="inlineStr">
        <is>
          <t>IF(F223="","",IF(OR(AA223="Cancelled",AC223="Cancelled"),"Cancelled",IF(OR(AC223="Completed / Handover",Y223&lt;&gt;"",Z223&gt;=100),"Completed — on track",IF(O223="Not awarded",IF(U223="",IF(X223="","No planned date",IF(TODAY()&gt;X223,"Behind — past planned date",IF(X223-TODAY()&lt;=30,"At risk — close to off track","On track"))),IF(TODAY()&gt;U223,"Behind — award date passed",IF(U223-TODAY()&lt;=30,"At risk — close to off track","On track"))),IF(X223="","No planned date",IF(AND(TODAY()&gt;X223,OR(Z223="",Z223&lt;100)),"Behind — past end date",IF(AND(T223&lt;&gt;"",X223&lt;&gt;"",Z223&lt;&gt;"",(Z223&lt;100),((TODAY()-T223)/MAX(X223-T223,1)*100)-Z223&gt;15),"Behind — progress lag",IF(AND(X223-TODAY()&lt;=30,X223-TODAY()&gt;=0,OR(Z223="",Z223&lt;90)),"At risk — close to off track","On track"))))))))</t>
        </is>
      </c>
      <c r="AH223" s="49" t="inlineStr">
        <is>
          <t>IF(OR(F223="",AC223="Completed / Handover",AC223="Cancelled"),"",IF(O223="Not awarded",IF(U223&lt;&gt;"",U223-TODAY(),IF(X223="","",X223-TODAY())),IF(X223="","",X223-TODAY())))</t>
        </is>
      </c>
      <c r="AI223" s="47" t="n"/>
      <c r="AJ223" s="47" t="n"/>
      <c r="AK223" s="47" t="n"/>
      <c r="AL223" s="47" t="n"/>
      <c r="AM223" s="47" t="n"/>
      <c r="AN223" s="47" t="n"/>
      <c r="AO223" s="47" t="n"/>
      <c r="AP223" s="47" t="n"/>
      <c r="AQ223" s="47" t="n"/>
      <c r="AR223" s="47" t="n"/>
      <c r="AS223" s="47" t="n"/>
      <c r="AT223" s="50" t="n"/>
      <c r="AU223" s="50" t="n"/>
      <c r="AV223" s="50" t="n"/>
      <c r="AW223" s="49" t="inlineStr">
        <is>
          <t>IF(OR(F223="",AJ223=""),"",IF(COUNT(AI223:AI223)=0,"",AJ223-LOOKUP(2,1/(AI223:AI223&lt;&gt;""),AI223:AI223)))</t>
        </is>
      </c>
      <c r="AX223" s="49" t="inlineStr">
        <is>
          <t>IF(OR(F223="",AK223=""),"",IF(COUNT(AI223:AJ223)=0,"",AK223-LOOKUP(2,1/(AI223:AJ223&lt;&gt;""),AI223:AJ223)))</t>
        </is>
      </c>
      <c r="AY223" s="49" t="inlineStr">
        <is>
          <t>IF(OR(F223="",AL223=""),"",IF(COUNT(AI223:AK223)=0,"",AL223-LOOKUP(2,1/(AI223:AK223&lt;&gt;""),AI223:AK223)))</t>
        </is>
      </c>
      <c r="AZ223" s="49" t="inlineStr">
        <is>
          <t>IF(OR(F223="",AM223=""),"",IF(COUNT(AI223:AL223)=0,"",AM223-LOOKUP(2,1/(AI223:AL223&lt;&gt;""),AI223:AL223)))</t>
        </is>
      </c>
      <c r="BA223" s="49" t="inlineStr">
        <is>
          <t>IF(OR(F223="",AN223=""),"",IF(COUNT(AI223:AM223)=0,"",AN223-LOOKUP(2,1/(AI223:AM223&lt;&gt;""),AI223:AM223)))</t>
        </is>
      </c>
      <c r="BB223" s="49" t="inlineStr">
        <is>
          <t>IF(OR(F223="",AO223=""),"",IF(COUNT(AI223:AN223)=0,"",AO223-LOOKUP(2,1/(AI223:AN223&lt;&gt;""),AI223:AN223)))</t>
        </is>
      </c>
      <c r="BC223" s="49" t="inlineStr">
        <is>
          <t>IF(OR(F223="",AP223=""),"",IF(COUNT(AI223:AO223)=0,"",AP223-LOOKUP(2,1/(AI223:AO223&lt;&gt;""),AI223:AO223)))</t>
        </is>
      </c>
      <c r="BD223" s="49" t="inlineStr">
        <is>
          <t>IF(OR(F223="",AQ223=""),"",IF(COUNT(AI223:AP223)=0,"",AQ223-LOOKUP(2,1/(AI223:AP223&lt;&gt;""),AI223:AP223)))</t>
        </is>
      </c>
      <c r="BE223" s="49" t="inlineStr">
        <is>
          <t>IF(OR(F223="",AR223=""),"",IF(COUNT(AI223:AQ223)=0,"",AR223-LOOKUP(2,1/(AI223:AQ223&lt;&gt;""),AI223:AQ223)))</t>
        </is>
      </c>
      <c r="BF223" s="49" t="inlineStr">
        <is>
          <t>IF(OR(F223="",AS223=""),"",IF(COUNT(AI223:AR223)=0,"",AS223-LOOKUP(2,1/(AI223:AR223&lt;&gt;""),AI223:AR223)))</t>
        </is>
      </c>
      <c r="BG223" s="49" t="inlineStr">
        <is>
          <t>IF(OR(F223="",AT223=""),"",IF(COUNT(AI223:AS223)=0,"",AT223-LOOKUP(2,1/(AI223:AS223&lt;&gt;""),AI223:AS223)))</t>
        </is>
      </c>
      <c r="BH223" s="49" t="inlineStr">
        <is>
          <t>IF(OR(F223="",AU223=""),"",IF(COUNT(AI223:AT223)=0,"",AU223-LOOKUP(2,1/(AI223:AT223&lt;&gt;""),AI223:AT223)))</t>
        </is>
      </c>
      <c r="BI223" s="49" t="inlineStr">
        <is>
          <t>IF(OR(F223="",AV223=""),"",IF(COUNT(AI223:AU223)=0,"",AV223-LOOKUP(2,1/(AI223:AU223&lt;&gt;""),AI223:AU223)))</t>
        </is>
      </c>
      <c r="BJ223" s="51" t="inlineStr">
        <is>
          <t>IF(J223="","All_Provinces",IFERROR(VLOOKUP(J223,'09_Lookups'!$A$4:$B$20,2,FALSE),"All_Provinces"))</t>
        </is>
      </c>
      <c r="BK223" s="51" t="inlineStr">
        <is>
          <t>IF(K223="","All_Districts",IFERROR(VLOOKUP(K223,'09_Lookups'!$E$4:$F$42,2,FALSE),"All_Districts"))</t>
        </is>
      </c>
    </row>
    <row r="224" ht="18" customHeight="1">
      <c r="A224" s="42" t="inlineStr">
        <is>
          <t>IF(F224="","",ROW()-3)</t>
        </is>
      </c>
      <c r="B224" s="52" t="n"/>
      <c r="C224" s="52" t="n"/>
      <c r="D224" s="52" t="n"/>
      <c r="E224" s="52" t="n"/>
      <c r="F224" s="52" t="n"/>
      <c r="G224" s="52" t="n"/>
      <c r="H224" s="52" t="n"/>
      <c r="I224" s="52" t="n"/>
      <c r="J224" s="52" t="n"/>
      <c r="K224" s="52" t="n"/>
      <c r="L224" s="52" t="n"/>
      <c r="M224" s="52" t="n"/>
      <c r="N224" s="52" t="n"/>
      <c r="O224" s="52" t="n"/>
      <c r="P224" s="52" t="n"/>
      <c r="Q224" s="52" t="n"/>
      <c r="R224" s="52" t="n"/>
      <c r="S224" s="53" t="n"/>
      <c r="T224" s="46" t="inlineStr">
        <is>
          <t>IF(AQ224="","",AQ224)</t>
        </is>
      </c>
      <c r="U224" s="54" t="n"/>
      <c r="V224" s="55" t="n"/>
      <c r="W224" s="54" t="n"/>
      <c r="X224" s="46" t="inlineStr">
        <is>
          <t>IF(W224&lt;&gt;"",W224,IF(OR(T224="",V224=""),"",EDATE(T224,V224)))</t>
        </is>
      </c>
      <c r="Y224" s="54" t="n"/>
      <c r="Z224" s="55" t="n"/>
      <c r="AA224" s="52" t="n"/>
      <c r="AB224" s="52" t="n"/>
      <c r="AC224" s="42" t="inlineStr">
        <is>
          <t>IF(F224="","",IF(COUNT(AI224:AV224)=0,IF(AA224="","Not started",AA224),SUBSTITUTE(LOOKUP(2,1/(AI224:AV224&lt;&gt;""),$AI$3:$AV$3),"Date: ","")))</t>
        </is>
      </c>
      <c r="AD224" s="49" t="inlineStr">
        <is>
          <t>IF(OR(F224="",COUNT(AI224:AV224)=0),"",TODAY()-LOOKUP(2,1/(AI224:AV224&lt;&gt;""),AI224:AV224))</t>
        </is>
      </c>
      <c r="AE224" s="49" t="inlineStr">
        <is>
          <t>IF(OR(F224="",COUNT(AI224:AV224)&lt;2),"",LOOKUP(2,1/(AI224:AV224&lt;&gt;""),AI224:AV224)-MIN(AI224:AV224))</t>
        </is>
      </c>
      <c r="AF224" s="49" t="inlineStr">
        <is>
          <t>IF(OR(AD224="",AC224="Not started",AC224=""),"",IFERROR(AD224-IF(VLOOKUP(AC224,'06_Status_Pipeline'!$B$3:$E$20,4,FALSE)="",0,VLOOKUP(AC224,'06_Status_Pipeline'!$B$3:$E$20,4,FALSE)),""))</t>
        </is>
      </c>
      <c r="AG224" s="42" t="inlineStr">
        <is>
          <t>IF(F224="","",IF(OR(AA224="Cancelled",AC224="Cancelled"),"Cancelled",IF(OR(AC224="Completed / Handover",Y224&lt;&gt;"",Z224&gt;=100),"Completed — on track",IF(O224="Not awarded",IF(U224="",IF(X224="","No planned date",IF(TODAY()&gt;X224,"Behind — past planned date",IF(X224-TODAY()&lt;=30,"At risk — close to off track","On track"))),IF(TODAY()&gt;U224,"Behind — award date passed",IF(U224-TODAY()&lt;=30,"At risk — close to off track","On track"))),IF(X224="","No planned date",IF(AND(TODAY()&gt;X224,OR(Z224="",Z224&lt;100)),"Behind — past end date",IF(AND(T224&lt;&gt;"",X224&lt;&gt;"",Z224&lt;&gt;"",(Z224&lt;100),((TODAY()-T224)/MAX(X224-T224,1)*100)-Z224&gt;15),"Behind — progress lag",IF(AND(X224-TODAY()&lt;=30,X224-TODAY()&gt;=0,OR(Z224="",Z224&lt;90)),"At risk — close to off track","On track"))))))))</t>
        </is>
      </c>
      <c r="AH224" s="49" t="inlineStr">
        <is>
          <t>IF(OR(F224="",AC224="Completed / Handover",AC224="Cancelled"),"",IF(O224="Not awarded",IF(U224&lt;&gt;"",U224-TODAY(),IF(X224="","",X224-TODAY())),IF(X224="","",X224-TODAY())))</t>
        </is>
      </c>
      <c r="AI224" s="54" t="n"/>
      <c r="AJ224" s="54" t="n"/>
      <c r="AK224" s="54" t="n"/>
      <c r="AL224" s="54" t="n"/>
      <c r="AM224" s="54" t="n"/>
      <c r="AN224" s="54" t="n"/>
      <c r="AO224" s="54" t="n"/>
      <c r="AP224" s="54" t="n"/>
      <c r="AQ224" s="54" t="n"/>
      <c r="AR224" s="54" t="n"/>
      <c r="AS224" s="54" t="n"/>
      <c r="AT224" s="50" t="n"/>
      <c r="AU224" s="50" t="n"/>
      <c r="AV224" s="50" t="n"/>
      <c r="AW224" s="49" t="inlineStr">
        <is>
          <t>IF(OR(F224="",AJ224=""),"",IF(COUNT(AI224:AI224)=0,"",AJ224-LOOKUP(2,1/(AI224:AI224&lt;&gt;""),AI224:AI224)))</t>
        </is>
      </c>
      <c r="AX224" s="49" t="inlineStr">
        <is>
          <t>IF(OR(F224="",AK224=""),"",IF(COUNT(AI224:AJ224)=0,"",AK224-LOOKUP(2,1/(AI224:AJ224&lt;&gt;""),AI224:AJ224)))</t>
        </is>
      </c>
      <c r="AY224" s="49" t="inlineStr">
        <is>
          <t>IF(OR(F224="",AL224=""),"",IF(COUNT(AI224:AK224)=0,"",AL224-LOOKUP(2,1/(AI224:AK224&lt;&gt;""),AI224:AK224)))</t>
        </is>
      </c>
      <c r="AZ224" s="49" t="inlineStr">
        <is>
          <t>IF(OR(F224="",AM224=""),"",IF(COUNT(AI224:AL224)=0,"",AM224-LOOKUP(2,1/(AI224:AL224&lt;&gt;""),AI224:AL224)))</t>
        </is>
      </c>
      <c r="BA224" s="49" t="inlineStr">
        <is>
          <t>IF(OR(F224="",AN224=""),"",IF(COUNT(AI224:AM224)=0,"",AN224-LOOKUP(2,1/(AI224:AM224&lt;&gt;""),AI224:AM224)))</t>
        </is>
      </c>
      <c r="BB224" s="49" t="inlineStr">
        <is>
          <t>IF(OR(F224="",AO224=""),"",IF(COUNT(AI224:AN224)=0,"",AO224-LOOKUP(2,1/(AI224:AN224&lt;&gt;""),AI224:AN224)))</t>
        </is>
      </c>
      <c r="BC224" s="49" t="inlineStr">
        <is>
          <t>IF(OR(F224="",AP224=""),"",IF(COUNT(AI224:AO224)=0,"",AP224-LOOKUP(2,1/(AI224:AO224&lt;&gt;""),AI224:AO224)))</t>
        </is>
      </c>
      <c r="BD224" s="49" t="inlineStr">
        <is>
          <t>IF(OR(F224="",AQ224=""),"",IF(COUNT(AI224:AP224)=0,"",AQ224-LOOKUP(2,1/(AI224:AP224&lt;&gt;""),AI224:AP224)))</t>
        </is>
      </c>
      <c r="BE224" s="49" t="inlineStr">
        <is>
          <t>IF(OR(F224="",AR224=""),"",IF(COUNT(AI224:AQ224)=0,"",AR224-LOOKUP(2,1/(AI224:AQ224&lt;&gt;""),AI224:AQ224)))</t>
        </is>
      </c>
      <c r="BF224" s="49" t="inlineStr">
        <is>
          <t>IF(OR(F224="",AS224=""),"",IF(COUNT(AI224:AR224)=0,"",AS224-LOOKUP(2,1/(AI224:AR224&lt;&gt;""),AI224:AR224)))</t>
        </is>
      </c>
      <c r="BG224" s="49" t="inlineStr">
        <is>
          <t>IF(OR(F224="",AT224=""),"",IF(COUNT(AI224:AS224)=0,"",AT224-LOOKUP(2,1/(AI224:AS224&lt;&gt;""),AI224:AS224)))</t>
        </is>
      </c>
      <c r="BH224" s="49" t="inlineStr">
        <is>
          <t>IF(OR(F224="",AU224=""),"",IF(COUNT(AI224:AT224)=0,"",AU224-LOOKUP(2,1/(AI224:AT224&lt;&gt;""),AI224:AT224)))</t>
        </is>
      </c>
      <c r="BI224" s="49" t="inlineStr">
        <is>
          <t>IF(OR(F224="",AV224=""),"",IF(COUNT(AI224:AU224)=0,"",AV224-LOOKUP(2,1/(AI224:AU224&lt;&gt;""),AI224:AU224)))</t>
        </is>
      </c>
      <c r="BJ224" s="51" t="inlineStr">
        <is>
          <t>IF(J224="","All_Provinces",IFERROR(VLOOKUP(J224,'09_Lookups'!$A$4:$B$20,2,FALSE),"All_Provinces"))</t>
        </is>
      </c>
      <c r="BK224" s="51" t="inlineStr">
        <is>
          <t>IF(K224="","All_Districts",IFERROR(VLOOKUP(K224,'09_Lookups'!$E$4:$F$42,2,FALSE),"All_Districts"))</t>
        </is>
      </c>
    </row>
    <row r="225" ht="18" customHeight="1">
      <c r="A225" s="42" t="inlineStr">
        <is>
          <t>IF(F225="","",ROW()-3)</t>
        </is>
      </c>
      <c r="B225" s="44" t="n"/>
      <c r="C225" s="44" t="n"/>
      <c r="D225" s="44" t="n"/>
      <c r="E225" s="44" t="n"/>
      <c r="F225" s="44" t="n"/>
      <c r="G225" s="44" t="n"/>
      <c r="H225" s="44" t="n"/>
      <c r="I225" s="44" t="n"/>
      <c r="J225" s="44" t="n"/>
      <c r="K225" s="44" t="n"/>
      <c r="L225" s="44" t="n"/>
      <c r="M225" s="44" t="n"/>
      <c r="N225" s="44" t="n"/>
      <c r="O225" s="44" t="n"/>
      <c r="P225" s="44" t="n"/>
      <c r="Q225" s="44" t="n"/>
      <c r="R225" s="44" t="n"/>
      <c r="S225" s="45" t="n"/>
      <c r="T225" s="46" t="inlineStr">
        <is>
          <t>IF(AQ225="","",AQ225)</t>
        </is>
      </c>
      <c r="U225" s="47" t="n"/>
      <c r="V225" s="48" t="n"/>
      <c r="W225" s="47" t="n"/>
      <c r="X225" s="46" t="inlineStr">
        <is>
          <t>IF(W225&lt;&gt;"",W225,IF(OR(T225="",V225=""),"",EDATE(T225,V225)))</t>
        </is>
      </c>
      <c r="Y225" s="47" t="n"/>
      <c r="Z225" s="48" t="n"/>
      <c r="AA225" s="44" t="n"/>
      <c r="AB225" s="44" t="n"/>
      <c r="AC225" s="42" t="inlineStr">
        <is>
          <t>IF(F225="","",IF(COUNT(AI225:AV225)=0,IF(AA225="","Not started",AA225),SUBSTITUTE(LOOKUP(2,1/(AI225:AV225&lt;&gt;""),$AI$3:$AV$3),"Date: ","")))</t>
        </is>
      </c>
      <c r="AD225" s="49" t="inlineStr">
        <is>
          <t>IF(OR(F225="",COUNT(AI225:AV225)=0),"",TODAY()-LOOKUP(2,1/(AI225:AV225&lt;&gt;""),AI225:AV225))</t>
        </is>
      </c>
      <c r="AE225" s="49" t="inlineStr">
        <is>
          <t>IF(OR(F225="",COUNT(AI225:AV225)&lt;2),"",LOOKUP(2,1/(AI225:AV225&lt;&gt;""),AI225:AV225)-MIN(AI225:AV225))</t>
        </is>
      </c>
      <c r="AF225" s="49" t="inlineStr">
        <is>
          <t>IF(OR(AD225="",AC225="Not started",AC225=""),"",IFERROR(AD225-IF(VLOOKUP(AC225,'06_Status_Pipeline'!$B$3:$E$20,4,FALSE)="",0,VLOOKUP(AC225,'06_Status_Pipeline'!$B$3:$E$20,4,FALSE)),""))</t>
        </is>
      </c>
      <c r="AG225" s="42" t="inlineStr">
        <is>
          <t>IF(F225="","",IF(OR(AA225="Cancelled",AC225="Cancelled"),"Cancelled",IF(OR(AC225="Completed / Handover",Y225&lt;&gt;"",Z225&gt;=100),"Completed — on track",IF(O225="Not awarded",IF(U225="",IF(X225="","No planned date",IF(TODAY()&gt;X225,"Behind — past planned date",IF(X225-TODAY()&lt;=30,"At risk — close to off track","On track"))),IF(TODAY()&gt;U225,"Behind — award date passed",IF(U225-TODAY()&lt;=30,"At risk — close to off track","On track"))),IF(X225="","No planned date",IF(AND(TODAY()&gt;X225,OR(Z225="",Z225&lt;100)),"Behind — past end date",IF(AND(T225&lt;&gt;"",X225&lt;&gt;"",Z225&lt;&gt;"",(Z225&lt;100),((TODAY()-T225)/MAX(X225-T225,1)*100)-Z225&gt;15),"Behind — progress lag",IF(AND(X225-TODAY()&lt;=30,X225-TODAY()&gt;=0,OR(Z225="",Z225&lt;90)),"At risk — close to off track","On track"))))))))</t>
        </is>
      </c>
      <c r="AH225" s="49" t="inlineStr">
        <is>
          <t>IF(OR(F225="",AC225="Completed / Handover",AC225="Cancelled"),"",IF(O225="Not awarded",IF(U225&lt;&gt;"",U225-TODAY(),IF(X225="","",X225-TODAY())),IF(X225="","",X225-TODAY())))</t>
        </is>
      </c>
      <c r="AI225" s="47" t="n"/>
      <c r="AJ225" s="47" t="n"/>
      <c r="AK225" s="47" t="n"/>
      <c r="AL225" s="47" t="n"/>
      <c r="AM225" s="47" t="n"/>
      <c r="AN225" s="47" t="n"/>
      <c r="AO225" s="47" t="n"/>
      <c r="AP225" s="47" t="n"/>
      <c r="AQ225" s="47" t="n"/>
      <c r="AR225" s="47" t="n"/>
      <c r="AS225" s="47" t="n"/>
      <c r="AT225" s="50" t="n"/>
      <c r="AU225" s="50" t="n"/>
      <c r="AV225" s="50" t="n"/>
      <c r="AW225" s="49" t="inlineStr">
        <is>
          <t>IF(OR(F225="",AJ225=""),"",IF(COUNT(AI225:AI225)=0,"",AJ225-LOOKUP(2,1/(AI225:AI225&lt;&gt;""),AI225:AI225)))</t>
        </is>
      </c>
      <c r="AX225" s="49" t="inlineStr">
        <is>
          <t>IF(OR(F225="",AK225=""),"",IF(COUNT(AI225:AJ225)=0,"",AK225-LOOKUP(2,1/(AI225:AJ225&lt;&gt;""),AI225:AJ225)))</t>
        </is>
      </c>
      <c r="AY225" s="49" t="inlineStr">
        <is>
          <t>IF(OR(F225="",AL225=""),"",IF(COUNT(AI225:AK225)=0,"",AL225-LOOKUP(2,1/(AI225:AK225&lt;&gt;""),AI225:AK225)))</t>
        </is>
      </c>
      <c r="AZ225" s="49" t="inlineStr">
        <is>
          <t>IF(OR(F225="",AM225=""),"",IF(COUNT(AI225:AL225)=0,"",AM225-LOOKUP(2,1/(AI225:AL225&lt;&gt;""),AI225:AL225)))</t>
        </is>
      </c>
      <c r="BA225" s="49" t="inlineStr">
        <is>
          <t>IF(OR(F225="",AN225=""),"",IF(COUNT(AI225:AM225)=0,"",AN225-LOOKUP(2,1/(AI225:AM225&lt;&gt;""),AI225:AM225)))</t>
        </is>
      </c>
      <c r="BB225" s="49" t="inlineStr">
        <is>
          <t>IF(OR(F225="",AO225=""),"",IF(COUNT(AI225:AN225)=0,"",AO225-LOOKUP(2,1/(AI225:AN225&lt;&gt;""),AI225:AN225)))</t>
        </is>
      </c>
      <c r="BC225" s="49" t="inlineStr">
        <is>
          <t>IF(OR(F225="",AP225=""),"",IF(COUNT(AI225:AO225)=0,"",AP225-LOOKUP(2,1/(AI225:AO225&lt;&gt;""),AI225:AO225)))</t>
        </is>
      </c>
      <c r="BD225" s="49" t="inlineStr">
        <is>
          <t>IF(OR(F225="",AQ225=""),"",IF(COUNT(AI225:AP225)=0,"",AQ225-LOOKUP(2,1/(AI225:AP225&lt;&gt;""),AI225:AP225)))</t>
        </is>
      </c>
      <c r="BE225" s="49" t="inlineStr">
        <is>
          <t>IF(OR(F225="",AR225=""),"",IF(COUNT(AI225:AQ225)=0,"",AR225-LOOKUP(2,1/(AI225:AQ225&lt;&gt;""),AI225:AQ225)))</t>
        </is>
      </c>
      <c r="BF225" s="49" t="inlineStr">
        <is>
          <t>IF(OR(F225="",AS225=""),"",IF(COUNT(AI225:AR225)=0,"",AS225-LOOKUP(2,1/(AI225:AR225&lt;&gt;""),AI225:AR225)))</t>
        </is>
      </c>
      <c r="BG225" s="49" t="inlineStr">
        <is>
          <t>IF(OR(F225="",AT225=""),"",IF(COUNT(AI225:AS225)=0,"",AT225-LOOKUP(2,1/(AI225:AS225&lt;&gt;""),AI225:AS225)))</t>
        </is>
      </c>
      <c r="BH225" s="49" t="inlineStr">
        <is>
          <t>IF(OR(F225="",AU225=""),"",IF(COUNT(AI225:AT225)=0,"",AU225-LOOKUP(2,1/(AI225:AT225&lt;&gt;""),AI225:AT225)))</t>
        </is>
      </c>
      <c r="BI225" s="49" t="inlineStr">
        <is>
          <t>IF(OR(F225="",AV225=""),"",IF(COUNT(AI225:AU225)=0,"",AV225-LOOKUP(2,1/(AI225:AU225&lt;&gt;""),AI225:AU225)))</t>
        </is>
      </c>
      <c r="BJ225" s="51" t="inlineStr">
        <is>
          <t>IF(J225="","All_Provinces",IFERROR(VLOOKUP(J225,'09_Lookups'!$A$4:$B$20,2,FALSE),"All_Provinces"))</t>
        </is>
      </c>
      <c r="BK225" s="51" t="inlineStr">
        <is>
          <t>IF(K225="","All_Districts",IFERROR(VLOOKUP(K225,'09_Lookups'!$E$4:$F$42,2,FALSE),"All_Districts"))</t>
        </is>
      </c>
    </row>
    <row r="226" ht="18" customHeight="1">
      <c r="A226" s="42" t="inlineStr">
        <is>
          <t>IF(F226="","",ROW()-3)</t>
        </is>
      </c>
      <c r="B226" s="52" t="n"/>
      <c r="C226" s="52" t="n"/>
      <c r="D226" s="52" t="n"/>
      <c r="E226" s="52" t="n"/>
      <c r="F226" s="52" t="n"/>
      <c r="G226" s="52" t="n"/>
      <c r="H226" s="52" t="n"/>
      <c r="I226" s="52" t="n"/>
      <c r="J226" s="52" t="n"/>
      <c r="K226" s="52" t="n"/>
      <c r="L226" s="52" t="n"/>
      <c r="M226" s="52" t="n"/>
      <c r="N226" s="52" t="n"/>
      <c r="O226" s="52" t="n"/>
      <c r="P226" s="52" t="n"/>
      <c r="Q226" s="52" t="n"/>
      <c r="R226" s="52" t="n"/>
      <c r="S226" s="53" t="n"/>
      <c r="T226" s="46" t="inlineStr">
        <is>
          <t>IF(AQ226="","",AQ226)</t>
        </is>
      </c>
      <c r="U226" s="54" t="n"/>
      <c r="V226" s="55" t="n"/>
      <c r="W226" s="54" t="n"/>
      <c r="X226" s="46" t="inlineStr">
        <is>
          <t>IF(W226&lt;&gt;"",W226,IF(OR(T226="",V226=""),"",EDATE(T226,V226)))</t>
        </is>
      </c>
      <c r="Y226" s="54" t="n"/>
      <c r="Z226" s="55" t="n"/>
      <c r="AA226" s="52" t="n"/>
      <c r="AB226" s="52" t="n"/>
      <c r="AC226" s="42" t="inlineStr">
        <is>
          <t>IF(F226="","",IF(COUNT(AI226:AV226)=0,IF(AA226="","Not started",AA226),SUBSTITUTE(LOOKUP(2,1/(AI226:AV226&lt;&gt;""),$AI$3:$AV$3),"Date: ","")))</t>
        </is>
      </c>
      <c r="AD226" s="49" t="inlineStr">
        <is>
          <t>IF(OR(F226="",COUNT(AI226:AV226)=0),"",TODAY()-LOOKUP(2,1/(AI226:AV226&lt;&gt;""),AI226:AV226))</t>
        </is>
      </c>
      <c r="AE226" s="49" t="inlineStr">
        <is>
          <t>IF(OR(F226="",COUNT(AI226:AV226)&lt;2),"",LOOKUP(2,1/(AI226:AV226&lt;&gt;""),AI226:AV226)-MIN(AI226:AV226))</t>
        </is>
      </c>
      <c r="AF226" s="49" t="inlineStr">
        <is>
          <t>IF(OR(AD226="",AC226="Not started",AC226=""),"",IFERROR(AD226-IF(VLOOKUP(AC226,'06_Status_Pipeline'!$B$3:$E$20,4,FALSE)="",0,VLOOKUP(AC226,'06_Status_Pipeline'!$B$3:$E$20,4,FALSE)),""))</t>
        </is>
      </c>
      <c r="AG226" s="42" t="inlineStr">
        <is>
          <t>IF(F226="","",IF(OR(AA226="Cancelled",AC226="Cancelled"),"Cancelled",IF(OR(AC226="Completed / Handover",Y226&lt;&gt;"",Z226&gt;=100),"Completed — on track",IF(O226="Not awarded",IF(U226="",IF(X226="","No planned date",IF(TODAY()&gt;X226,"Behind — past planned date",IF(X226-TODAY()&lt;=30,"At risk — close to off track","On track"))),IF(TODAY()&gt;U226,"Behind — award date passed",IF(U226-TODAY()&lt;=30,"At risk — close to off track","On track"))),IF(X226="","No planned date",IF(AND(TODAY()&gt;X226,OR(Z226="",Z226&lt;100)),"Behind — past end date",IF(AND(T226&lt;&gt;"",X226&lt;&gt;"",Z226&lt;&gt;"",(Z226&lt;100),((TODAY()-T226)/MAX(X226-T226,1)*100)-Z226&gt;15),"Behind — progress lag",IF(AND(X226-TODAY()&lt;=30,X226-TODAY()&gt;=0,OR(Z226="",Z226&lt;90)),"At risk — close to off track","On track"))))))))</t>
        </is>
      </c>
      <c r="AH226" s="49" t="inlineStr">
        <is>
          <t>IF(OR(F226="",AC226="Completed / Handover",AC226="Cancelled"),"",IF(O226="Not awarded",IF(U226&lt;&gt;"",U226-TODAY(),IF(X226="","",X226-TODAY())),IF(X226="","",X226-TODAY())))</t>
        </is>
      </c>
      <c r="AI226" s="54" t="n"/>
      <c r="AJ226" s="54" t="n"/>
      <c r="AK226" s="54" t="n"/>
      <c r="AL226" s="54" t="n"/>
      <c r="AM226" s="54" t="n"/>
      <c r="AN226" s="54" t="n"/>
      <c r="AO226" s="54" t="n"/>
      <c r="AP226" s="54" t="n"/>
      <c r="AQ226" s="54" t="n"/>
      <c r="AR226" s="54" t="n"/>
      <c r="AS226" s="54" t="n"/>
      <c r="AT226" s="50" t="n"/>
      <c r="AU226" s="50" t="n"/>
      <c r="AV226" s="50" t="n"/>
      <c r="AW226" s="49" t="inlineStr">
        <is>
          <t>IF(OR(F226="",AJ226=""),"",IF(COUNT(AI226:AI226)=0,"",AJ226-LOOKUP(2,1/(AI226:AI226&lt;&gt;""),AI226:AI226)))</t>
        </is>
      </c>
      <c r="AX226" s="49" t="inlineStr">
        <is>
          <t>IF(OR(F226="",AK226=""),"",IF(COUNT(AI226:AJ226)=0,"",AK226-LOOKUP(2,1/(AI226:AJ226&lt;&gt;""),AI226:AJ226)))</t>
        </is>
      </c>
      <c r="AY226" s="49" t="inlineStr">
        <is>
          <t>IF(OR(F226="",AL226=""),"",IF(COUNT(AI226:AK226)=0,"",AL226-LOOKUP(2,1/(AI226:AK226&lt;&gt;""),AI226:AK226)))</t>
        </is>
      </c>
      <c r="AZ226" s="49" t="inlineStr">
        <is>
          <t>IF(OR(F226="",AM226=""),"",IF(COUNT(AI226:AL226)=0,"",AM226-LOOKUP(2,1/(AI226:AL226&lt;&gt;""),AI226:AL226)))</t>
        </is>
      </c>
      <c r="BA226" s="49" t="inlineStr">
        <is>
          <t>IF(OR(F226="",AN226=""),"",IF(COUNT(AI226:AM226)=0,"",AN226-LOOKUP(2,1/(AI226:AM226&lt;&gt;""),AI226:AM226)))</t>
        </is>
      </c>
      <c r="BB226" s="49" t="inlineStr">
        <is>
          <t>IF(OR(F226="",AO226=""),"",IF(COUNT(AI226:AN226)=0,"",AO226-LOOKUP(2,1/(AI226:AN226&lt;&gt;""),AI226:AN226)))</t>
        </is>
      </c>
      <c r="BC226" s="49" t="inlineStr">
        <is>
          <t>IF(OR(F226="",AP226=""),"",IF(COUNT(AI226:AO226)=0,"",AP226-LOOKUP(2,1/(AI226:AO226&lt;&gt;""),AI226:AO226)))</t>
        </is>
      </c>
      <c r="BD226" s="49" t="inlineStr">
        <is>
          <t>IF(OR(F226="",AQ226=""),"",IF(COUNT(AI226:AP226)=0,"",AQ226-LOOKUP(2,1/(AI226:AP226&lt;&gt;""),AI226:AP226)))</t>
        </is>
      </c>
      <c r="BE226" s="49" t="inlineStr">
        <is>
          <t>IF(OR(F226="",AR226=""),"",IF(COUNT(AI226:AQ226)=0,"",AR226-LOOKUP(2,1/(AI226:AQ226&lt;&gt;""),AI226:AQ226)))</t>
        </is>
      </c>
      <c r="BF226" s="49" t="inlineStr">
        <is>
          <t>IF(OR(F226="",AS226=""),"",IF(COUNT(AI226:AR226)=0,"",AS226-LOOKUP(2,1/(AI226:AR226&lt;&gt;""),AI226:AR226)))</t>
        </is>
      </c>
      <c r="BG226" s="49" t="inlineStr">
        <is>
          <t>IF(OR(F226="",AT226=""),"",IF(COUNT(AI226:AS226)=0,"",AT226-LOOKUP(2,1/(AI226:AS226&lt;&gt;""),AI226:AS226)))</t>
        </is>
      </c>
      <c r="BH226" s="49" t="inlineStr">
        <is>
          <t>IF(OR(F226="",AU226=""),"",IF(COUNT(AI226:AT226)=0,"",AU226-LOOKUP(2,1/(AI226:AT226&lt;&gt;""),AI226:AT226)))</t>
        </is>
      </c>
      <c r="BI226" s="49" t="inlineStr">
        <is>
          <t>IF(OR(F226="",AV226=""),"",IF(COUNT(AI226:AU226)=0,"",AV226-LOOKUP(2,1/(AI226:AU226&lt;&gt;""),AI226:AU226)))</t>
        </is>
      </c>
      <c r="BJ226" s="51" t="inlineStr">
        <is>
          <t>IF(J226="","All_Provinces",IFERROR(VLOOKUP(J226,'09_Lookups'!$A$4:$B$20,2,FALSE),"All_Provinces"))</t>
        </is>
      </c>
      <c r="BK226" s="51" t="inlineStr">
        <is>
          <t>IF(K226="","All_Districts",IFERROR(VLOOKUP(K226,'09_Lookups'!$E$4:$F$42,2,FALSE),"All_Districts"))</t>
        </is>
      </c>
    </row>
    <row r="227" ht="18" customHeight="1">
      <c r="A227" s="42" t="inlineStr">
        <is>
          <t>IF(F227="","",ROW()-3)</t>
        </is>
      </c>
      <c r="B227" s="44" t="n"/>
      <c r="C227" s="44" t="n"/>
      <c r="D227" s="44" t="n"/>
      <c r="E227" s="44" t="n"/>
      <c r="F227" s="44" t="n"/>
      <c r="G227" s="44" t="n"/>
      <c r="H227" s="44" t="n"/>
      <c r="I227" s="44" t="n"/>
      <c r="J227" s="44" t="n"/>
      <c r="K227" s="44" t="n"/>
      <c r="L227" s="44" t="n"/>
      <c r="M227" s="44" t="n"/>
      <c r="N227" s="44" t="n"/>
      <c r="O227" s="44" t="n"/>
      <c r="P227" s="44" t="n"/>
      <c r="Q227" s="44" t="n"/>
      <c r="R227" s="44" t="n"/>
      <c r="S227" s="45" t="n"/>
      <c r="T227" s="46" t="inlineStr">
        <is>
          <t>IF(AQ227="","",AQ227)</t>
        </is>
      </c>
      <c r="U227" s="47" t="n"/>
      <c r="V227" s="48" t="n"/>
      <c r="W227" s="47" t="n"/>
      <c r="X227" s="46" t="inlineStr">
        <is>
          <t>IF(W227&lt;&gt;"",W227,IF(OR(T227="",V227=""),"",EDATE(T227,V227)))</t>
        </is>
      </c>
      <c r="Y227" s="47" t="n"/>
      <c r="Z227" s="48" t="n"/>
      <c r="AA227" s="44" t="n"/>
      <c r="AB227" s="44" t="n"/>
      <c r="AC227" s="42" t="inlineStr">
        <is>
          <t>IF(F227="","",IF(COUNT(AI227:AV227)=0,IF(AA227="","Not started",AA227),SUBSTITUTE(LOOKUP(2,1/(AI227:AV227&lt;&gt;""),$AI$3:$AV$3),"Date: ","")))</t>
        </is>
      </c>
      <c r="AD227" s="49" t="inlineStr">
        <is>
          <t>IF(OR(F227="",COUNT(AI227:AV227)=0),"",TODAY()-LOOKUP(2,1/(AI227:AV227&lt;&gt;""),AI227:AV227))</t>
        </is>
      </c>
      <c r="AE227" s="49" t="inlineStr">
        <is>
          <t>IF(OR(F227="",COUNT(AI227:AV227)&lt;2),"",LOOKUP(2,1/(AI227:AV227&lt;&gt;""),AI227:AV227)-MIN(AI227:AV227))</t>
        </is>
      </c>
      <c r="AF227" s="49" t="inlineStr">
        <is>
          <t>IF(OR(AD227="",AC227="Not started",AC227=""),"",IFERROR(AD227-IF(VLOOKUP(AC227,'06_Status_Pipeline'!$B$3:$E$20,4,FALSE)="",0,VLOOKUP(AC227,'06_Status_Pipeline'!$B$3:$E$20,4,FALSE)),""))</t>
        </is>
      </c>
      <c r="AG227" s="42" t="inlineStr">
        <is>
          <t>IF(F227="","",IF(OR(AA227="Cancelled",AC227="Cancelled"),"Cancelled",IF(OR(AC227="Completed / Handover",Y227&lt;&gt;"",Z227&gt;=100),"Completed — on track",IF(O227="Not awarded",IF(U227="",IF(X227="","No planned date",IF(TODAY()&gt;X227,"Behind — past planned date",IF(X227-TODAY()&lt;=30,"At risk — close to off track","On track"))),IF(TODAY()&gt;U227,"Behind — award date passed",IF(U227-TODAY()&lt;=30,"At risk — close to off track","On track"))),IF(X227="","No planned date",IF(AND(TODAY()&gt;X227,OR(Z227="",Z227&lt;100)),"Behind — past end date",IF(AND(T227&lt;&gt;"",X227&lt;&gt;"",Z227&lt;&gt;"",(Z227&lt;100),((TODAY()-T227)/MAX(X227-T227,1)*100)-Z227&gt;15),"Behind — progress lag",IF(AND(X227-TODAY()&lt;=30,X227-TODAY()&gt;=0,OR(Z227="",Z227&lt;90)),"At risk — close to off track","On track"))))))))</t>
        </is>
      </c>
      <c r="AH227" s="49" t="inlineStr">
        <is>
          <t>IF(OR(F227="",AC227="Completed / Handover",AC227="Cancelled"),"",IF(O227="Not awarded",IF(U227&lt;&gt;"",U227-TODAY(),IF(X227="","",X227-TODAY())),IF(X227="","",X227-TODAY())))</t>
        </is>
      </c>
      <c r="AI227" s="47" t="n"/>
      <c r="AJ227" s="47" t="n"/>
      <c r="AK227" s="47" t="n"/>
      <c r="AL227" s="47" t="n"/>
      <c r="AM227" s="47" t="n"/>
      <c r="AN227" s="47" t="n"/>
      <c r="AO227" s="47" t="n"/>
      <c r="AP227" s="47" t="n"/>
      <c r="AQ227" s="47" t="n"/>
      <c r="AR227" s="47" t="n"/>
      <c r="AS227" s="47" t="n"/>
      <c r="AT227" s="50" t="n"/>
      <c r="AU227" s="50" t="n"/>
      <c r="AV227" s="50" t="n"/>
      <c r="AW227" s="49" t="inlineStr">
        <is>
          <t>IF(OR(F227="",AJ227=""),"",IF(COUNT(AI227:AI227)=0,"",AJ227-LOOKUP(2,1/(AI227:AI227&lt;&gt;""),AI227:AI227)))</t>
        </is>
      </c>
      <c r="AX227" s="49" t="inlineStr">
        <is>
          <t>IF(OR(F227="",AK227=""),"",IF(COUNT(AI227:AJ227)=0,"",AK227-LOOKUP(2,1/(AI227:AJ227&lt;&gt;""),AI227:AJ227)))</t>
        </is>
      </c>
      <c r="AY227" s="49" t="inlineStr">
        <is>
          <t>IF(OR(F227="",AL227=""),"",IF(COUNT(AI227:AK227)=0,"",AL227-LOOKUP(2,1/(AI227:AK227&lt;&gt;""),AI227:AK227)))</t>
        </is>
      </c>
      <c r="AZ227" s="49" t="inlineStr">
        <is>
          <t>IF(OR(F227="",AM227=""),"",IF(COUNT(AI227:AL227)=0,"",AM227-LOOKUP(2,1/(AI227:AL227&lt;&gt;""),AI227:AL227)))</t>
        </is>
      </c>
      <c r="BA227" s="49" t="inlineStr">
        <is>
          <t>IF(OR(F227="",AN227=""),"",IF(COUNT(AI227:AM227)=0,"",AN227-LOOKUP(2,1/(AI227:AM227&lt;&gt;""),AI227:AM227)))</t>
        </is>
      </c>
      <c r="BB227" s="49" t="inlineStr">
        <is>
          <t>IF(OR(F227="",AO227=""),"",IF(COUNT(AI227:AN227)=0,"",AO227-LOOKUP(2,1/(AI227:AN227&lt;&gt;""),AI227:AN227)))</t>
        </is>
      </c>
      <c r="BC227" s="49" t="inlineStr">
        <is>
          <t>IF(OR(F227="",AP227=""),"",IF(COUNT(AI227:AO227)=0,"",AP227-LOOKUP(2,1/(AI227:AO227&lt;&gt;""),AI227:AO227)))</t>
        </is>
      </c>
      <c r="BD227" s="49" t="inlineStr">
        <is>
          <t>IF(OR(F227="",AQ227=""),"",IF(COUNT(AI227:AP227)=0,"",AQ227-LOOKUP(2,1/(AI227:AP227&lt;&gt;""),AI227:AP227)))</t>
        </is>
      </c>
      <c r="BE227" s="49" t="inlineStr">
        <is>
          <t>IF(OR(F227="",AR227=""),"",IF(COUNT(AI227:AQ227)=0,"",AR227-LOOKUP(2,1/(AI227:AQ227&lt;&gt;""),AI227:AQ227)))</t>
        </is>
      </c>
      <c r="BF227" s="49" t="inlineStr">
        <is>
          <t>IF(OR(F227="",AS227=""),"",IF(COUNT(AI227:AR227)=0,"",AS227-LOOKUP(2,1/(AI227:AR227&lt;&gt;""),AI227:AR227)))</t>
        </is>
      </c>
      <c r="BG227" s="49" t="inlineStr">
        <is>
          <t>IF(OR(F227="",AT227=""),"",IF(COUNT(AI227:AS227)=0,"",AT227-LOOKUP(2,1/(AI227:AS227&lt;&gt;""),AI227:AS227)))</t>
        </is>
      </c>
      <c r="BH227" s="49" t="inlineStr">
        <is>
          <t>IF(OR(F227="",AU227=""),"",IF(COUNT(AI227:AT227)=0,"",AU227-LOOKUP(2,1/(AI227:AT227&lt;&gt;""),AI227:AT227)))</t>
        </is>
      </c>
      <c r="BI227" s="49" t="inlineStr">
        <is>
          <t>IF(OR(F227="",AV227=""),"",IF(COUNT(AI227:AU227)=0,"",AV227-LOOKUP(2,1/(AI227:AU227&lt;&gt;""),AI227:AU227)))</t>
        </is>
      </c>
      <c r="BJ227" s="51" t="inlineStr">
        <is>
          <t>IF(J227="","All_Provinces",IFERROR(VLOOKUP(J227,'09_Lookups'!$A$4:$B$20,2,FALSE),"All_Provinces"))</t>
        </is>
      </c>
      <c r="BK227" s="51" t="inlineStr">
        <is>
          <t>IF(K227="","All_Districts",IFERROR(VLOOKUP(K227,'09_Lookups'!$E$4:$F$42,2,FALSE),"All_Districts"))</t>
        </is>
      </c>
    </row>
    <row r="228" ht="18" customHeight="1">
      <c r="A228" s="42" t="inlineStr">
        <is>
          <t>IF(F228="","",ROW()-3)</t>
        </is>
      </c>
      <c r="B228" s="52" t="n"/>
      <c r="C228" s="52" t="n"/>
      <c r="D228" s="52" t="n"/>
      <c r="E228" s="52" t="n"/>
      <c r="F228" s="52" t="n"/>
      <c r="G228" s="52" t="n"/>
      <c r="H228" s="52" t="n"/>
      <c r="I228" s="52" t="n"/>
      <c r="J228" s="52" t="n"/>
      <c r="K228" s="52" t="n"/>
      <c r="L228" s="52" t="n"/>
      <c r="M228" s="52" t="n"/>
      <c r="N228" s="52" t="n"/>
      <c r="O228" s="52" t="n"/>
      <c r="P228" s="52" t="n"/>
      <c r="Q228" s="52" t="n"/>
      <c r="R228" s="52" t="n"/>
      <c r="S228" s="53" t="n"/>
      <c r="T228" s="46" t="inlineStr">
        <is>
          <t>IF(AQ228="","",AQ228)</t>
        </is>
      </c>
      <c r="U228" s="54" t="n"/>
      <c r="V228" s="55" t="n"/>
      <c r="W228" s="54" t="n"/>
      <c r="X228" s="46" t="inlineStr">
        <is>
          <t>IF(W228&lt;&gt;"",W228,IF(OR(T228="",V228=""),"",EDATE(T228,V228)))</t>
        </is>
      </c>
      <c r="Y228" s="54" t="n"/>
      <c r="Z228" s="55" t="n"/>
      <c r="AA228" s="52" t="n"/>
      <c r="AB228" s="52" t="n"/>
      <c r="AC228" s="42" t="inlineStr">
        <is>
          <t>IF(F228="","",IF(COUNT(AI228:AV228)=0,IF(AA228="","Not started",AA228),SUBSTITUTE(LOOKUP(2,1/(AI228:AV228&lt;&gt;""),$AI$3:$AV$3),"Date: ","")))</t>
        </is>
      </c>
      <c r="AD228" s="49" t="inlineStr">
        <is>
          <t>IF(OR(F228="",COUNT(AI228:AV228)=0),"",TODAY()-LOOKUP(2,1/(AI228:AV228&lt;&gt;""),AI228:AV228))</t>
        </is>
      </c>
      <c r="AE228" s="49" t="inlineStr">
        <is>
          <t>IF(OR(F228="",COUNT(AI228:AV228)&lt;2),"",LOOKUP(2,1/(AI228:AV228&lt;&gt;""),AI228:AV228)-MIN(AI228:AV228))</t>
        </is>
      </c>
      <c r="AF228" s="49" t="inlineStr">
        <is>
          <t>IF(OR(AD228="",AC228="Not started",AC228=""),"",IFERROR(AD228-IF(VLOOKUP(AC228,'06_Status_Pipeline'!$B$3:$E$20,4,FALSE)="",0,VLOOKUP(AC228,'06_Status_Pipeline'!$B$3:$E$20,4,FALSE)),""))</t>
        </is>
      </c>
      <c r="AG228" s="42" t="inlineStr">
        <is>
          <t>IF(F228="","",IF(OR(AA228="Cancelled",AC228="Cancelled"),"Cancelled",IF(OR(AC228="Completed / Handover",Y228&lt;&gt;"",Z228&gt;=100),"Completed — on track",IF(O228="Not awarded",IF(U228="",IF(X228="","No planned date",IF(TODAY()&gt;X228,"Behind — past planned date",IF(X228-TODAY()&lt;=30,"At risk — close to off track","On track"))),IF(TODAY()&gt;U228,"Behind — award date passed",IF(U228-TODAY()&lt;=30,"At risk — close to off track","On track"))),IF(X228="","No planned date",IF(AND(TODAY()&gt;X228,OR(Z228="",Z228&lt;100)),"Behind — past end date",IF(AND(T228&lt;&gt;"",X228&lt;&gt;"",Z228&lt;&gt;"",(Z228&lt;100),((TODAY()-T228)/MAX(X228-T228,1)*100)-Z228&gt;15),"Behind — progress lag",IF(AND(X228-TODAY()&lt;=30,X228-TODAY()&gt;=0,OR(Z228="",Z228&lt;90)),"At risk — close to off track","On track"))))))))</t>
        </is>
      </c>
      <c r="AH228" s="49" t="inlineStr">
        <is>
          <t>IF(OR(F228="",AC228="Completed / Handover",AC228="Cancelled"),"",IF(O228="Not awarded",IF(U228&lt;&gt;"",U228-TODAY(),IF(X228="","",X228-TODAY())),IF(X228="","",X228-TODAY())))</t>
        </is>
      </c>
      <c r="AI228" s="54" t="n"/>
      <c r="AJ228" s="54" t="n"/>
      <c r="AK228" s="54" t="n"/>
      <c r="AL228" s="54" t="n"/>
      <c r="AM228" s="54" t="n"/>
      <c r="AN228" s="54" t="n"/>
      <c r="AO228" s="54" t="n"/>
      <c r="AP228" s="54" t="n"/>
      <c r="AQ228" s="54" t="n"/>
      <c r="AR228" s="54" t="n"/>
      <c r="AS228" s="54" t="n"/>
      <c r="AT228" s="50" t="n"/>
      <c r="AU228" s="50" t="n"/>
      <c r="AV228" s="50" t="n"/>
      <c r="AW228" s="49" t="inlineStr">
        <is>
          <t>IF(OR(F228="",AJ228=""),"",IF(COUNT(AI228:AI228)=0,"",AJ228-LOOKUP(2,1/(AI228:AI228&lt;&gt;""),AI228:AI228)))</t>
        </is>
      </c>
      <c r="AX228" s="49" t="inlineStr">
        <is>
          <t>IF(OR(F228="",AK228=""),"",IF(COUNT(AI228:AJ228)=0,"",AK228-LOOKUP(2,1/(AI228:AJ228&lt;&gt;""),AI228:AJ228)))</t>
        </is>
      </c>
      <c r="AY228" s="49" t="inlineStr">
        <is>
          <t>IF(OR(F228="",AL228=""),"",IF(COUNT(AI228:AK228)=0,"",AL228-LOOKUP(2,1/(AI228:AK228&lt;&gt;""),AI228:AK228)))</t>
        </is>
      </c>
      <c r="AZ228" s="49" t="inlineStr">
        <is>
          <t>IF(OR(F228="",AM228=""),"",IF(COUNT(AI228:AL228)=0,"",AM228-LOOKUP(2,1/(AI228:AL228&lt;&gt;""),AI228:AL228)))</t>
        </is>
      </c>
      <c r="BA228" s="49" t="inlineStr">
        <is>
          <t>IF(OR(F228="",AN228=""),"",IF(COUNT(AI228:AM228)=0,"",AN228-LOOKUP(2,1/(AI228:AM228&lt;&gt;""),AI228:AM228)))</t>
        </is>
      </c>
      <c r="BB228" s="49" t="inlineStr">
        <is>
          <t>IF(OR(F228="",AO228=""),"",IF(COUNT(AI228:AN228)=0,"",AO228-LOOKUP(2,1/(AI228:AN228&lt;&gt;""),AI228:AN228)))</t>
        </is>
      </c>
      <c r="BC228" s="49" t="inlineStr">
        <is>
          <t>IF(OR(F228="",AP228=""),"",IF(COUNT(AI228:AO228)=0,"",AP228-LOOKUP(2,1/(AI228:AO228&lt;&gt;""),AI228:AO228)))</t>
        </is>
      </c>
      <c r="BD228" s="49" t="inlineStr">
        <is>
          <t>IF(OR(F228="",AQ228=""),"",IF(COUNT(AI228:AP228)=0,"",AQ228-LOOKUP(2,1/(AI228:AP228&lt;&gt;""),AI228:AP228)))</t>
        </is>
      </c>
      <c r="BE228" s="49" t="inlineStr">
        <is>
          <t>IF(OR(F228="",AR228=""),"",IF(COUNT(AI228:AQ228)=0,"",AR228-LOOKUP(2,1/(AI228:AQ228&lt;&gt;""),AI228:AQ228)))</t>
        </is>
      </c>
      <c r="BF228" s="49" t="inlineStr">
        <is>
          <t>IF(OR(F228="",AS228=""),"",IF(COUNT(AI228:AR228)=0,"",AS228-LOOKUP(2,1/(AI228:AR228&lt;&gt;""),AI228:AR228)))</t>
        </is>
      </c>
      <c r="BG228" s="49" t="inlineStr">
        <is>
          <t>IF(OR(F228="",AT228=""),"",IF(COUNT(AI228:AS228)=0,"",AT228-LOOKUP(2,1/(AI228:AS228&lt;&gt;""),AI228:AS228)))</t>
        </is>
      </c>
      <c r="BH228" s="49" t="inlineStr">
        <is>
          <t>IF(OR(F228="",AU228=""),"",IF(COUNT(AI228:AT228)=0,"",AU228-LOOKUP(2,1/(AI228:AT228&lt;&gt;""),AI228:AT228)))</t>
        </is>
      </c>
      <c r="BI228" s="49" t="inlineStr">
        <is>
          <t>IF(OR(F228="",AV228=""),"",IF(COUNT(AI228:AU228)=0,"",AV228-LOOKUP(2,1/(AI228:AU228&lt;&gt;""),AI228:AU228)))</t>
        </is>
      </c>
      <c r="BJ228" s="51" t="inlineStr">
        <is>
          <t>IF(J228="","All_Provinces",IFERROR(VLOOKUP(J228,'09_Lookups'!$A$4:$B$20,2,FALSE),"All_Provinces"))</t>
        </is>
      </c>
      <c r="BK228" s="51" t="inlineStr">
        <is>
          <t>IF(K228="","All_Districts",IFERROR(VLOOKUP(K228,'09_Lookups'!$E$4:$F$42,2,FALSE),"All_Districts"))</t>
        </is>
      </c>
    </row>
    <row r="229" ht="18" customHeight="1">
      <c r="A229" s="42" t="inlineStr">
        <is>
          <t>IF(F229="","",ROW()-3)</t>
        </is>
      </c>
      <c r="B229" s="44" t="n"/>
      <c r="C229" s="44" t="n"/>
      <c r="D229" s="44" t="n"/>
      <c r="E229" s="44" t="n"/>
      <c r="F229" s="44" t="n"/>
      <c r="G229" s="44" t="n"/>
      <c r="H229" s="44" t="n"/>
      <c r="I229" s="44" t="n"/>
      <c r="J229" s="44" t="n"/>
      <c r="K229" s="44" t="n"/>
      <c r="L229" s="44" t="n"/>
      <c r="M229" s="44" t="n"/>
      <c r="N229" s="44" t="n"/>
      <c r="O229" s="44" t="n"/>
      <c r="P229" s="44" t="n"/>
      <c r="Q229" s="44" t="n"/>
      <c r="R229" s="44" t="n"/>
      <c r="S229" s="45" t="n"/>
      <c r="T229" s="46" t="inlineStr">
        <is>
          <t>IF(AQ229="","",AQ229)</t>
        </is>
      </c>
      <c r="U229" s="47" t="n"/>
      <c r="V229" s="48" t="n"/>
      <c r="W229" s="47" t="n"/>
      <c r="X229" s="46" t="inlineStr">
        <is>
          <t>IF(W229&lt;&gt;"",W229,IF(OR(T229="",V229=""),"",EDATE(T229,V229)))</t>
        </is>
      </c>
      <c r="Y229" s="47" t="n"/>
      <c r="Z229" s="48" t="n"/>
      <c r="AA229" s="44" t="n"/>
      <c r="AB229" s="44" t="n"/>
      <c r="AC229" s="42" t="inlineStr">
        <is>
          <t>IF(F229="","",IF(COUNT(AI229:AV229)=0,IF(AA229="","Not started",AA229),SUBSTITUTE(LOOKUP(2,1/(AI229:AV229&lt;&gt;""),$AI$3:$AV$3),"Date: ","")))</t>
        </is>
      </c>
      <c r="AD229" s="49" t="inlineStr">
        <is>
          <t>IF(OR(F229="",COUNT(AI229:AV229)=0),"",TODAY()-LOOKUP(2,1/(AI229:AV229&lt;&gt;""),AI229:AV229))</t>
        </is>
      </c>
      <c r="AE229" s="49" t="inlineStr">
        <is>
          <t>IF(OR(F229="",COUNT(AI229:AV229)&lt;2),"",LOOKUP(2,1/(AI229:AV229&lt;&gt;""),AI229:AV229)-MIN(AI229:AV229))</t>
        </is>
      </c>
      <c r="AF229" s="49" t="inlineStr">
        <is>
          <t>IF(OR(AD229="",AC229="Not started",AC229=""),"",IFERROR(AD229-IF(VLOOKUP(AC229,'06_Status_Pipeline'!$B$3:$E$20,4,FALSE)="",0,VLOOKUP(AC229,'06_Status_Pipeline'!$B$3:$E$20,4,FALSE)),""))</t>
        </is>
      </c>
      <c r="AG229" s="42" t="inlineStr">
        <is>
          <t>IF(F229="","",IF(OR(AA229="Cancelled",AC229="Cancelled"),"Cancelled",IF(OR(AC229="Completed / Handover",Y229&lt;&gt;"",Z229&gt;=100),"Completed — on track",IF(O229="Not awarded",IF(U229="",IF(X229="","No planned date",IF(TODAY()&gt;X229,"Behind — past planned date",IF(X229-TODAY()&lt;=30,"At risk — close to off track","On track"))),IF(TODAY()&gt;U229,"Behind — award date passed",IF(U229-TODAY()&lt;=30,"At risk — close to off track","On track"))),IF(X229="","No planned date",IF(AND(TODAY()&gt;X229,OR(Z229="",Z229&lt;100)),"Behind — past end date",IF(AND(T229&lt;&gt;"",X229&lt;&gt;"",Z229&lt;&gt;"",(Z229&lt;100),((TODAY()-T229)/MAX(X229-T229,1)*100)-Z229&gt;15),"Behind — progress lag",IF(AND(X229-TODAY()&lt;=30,X229-TODAY()&gt;=0,OR(Z229="",Z229&lt;90)),"At risk — close to off track","On track"))))))))</t>
        </is>
      </c>
      <c r="AH229" s="49" t="inlineStr">
        <is>
          <t>IF(OR(F229="",AC229="Completed / Handover",AC229="Cancelled"),"",IF(O229="Not awarded",IF(U229&lt;&gt;"",U229-TODAY(),IF(X229="","",X229-TODAY())),IF(X229="","",X229-TODAY())))</t>
        </is>
      </c>
      <c r="AI229" s="47" t="n"/>
      <c r="AJ229" s="47" t="n"/>
      <c r="AK229" s="47" t="n"/>
      <c r="AL229" s="47" t="n"/>
      <c r="AM229" s="47" t="n"/>
      <c r="AN229" s="47" t="n"/>
      <c r="AO229" s="47" t="n"/>
      <c r="AP229" s="47" t="n"/>
      <c r="AQ229" s="47" t="n"/>
      <c r="AR229" s="47" t="n"/>
      <c r="AS229" s="47" t="n"/>
      <c r="AT229" s="50" t="n"/>
      <c r="AU229" s="50" t="n"/>
      <c r="AV229" s="50" t="n"/>
      <c r="AW229" s="49" t="inlineStr">
        <is>
          <t>IF(OR(F229="",AJ229=""),"",IF(COUNT(AI229:AI229)=0,"",AJ229-LOOKUP(2,1/(AI229:AI229&lt;&gt;""),AI229:AI229)))</t>
        </is>
      </c>
      <c r="AX229" s="49" t="inlineStr">
        <is>
          <t>IF(OR(F229="",AK229=""),"",IF(COUNT(AI229:AJ229)=0,"",AK229-LOOKUP(2,1/(AI229:AJ229&lt;&gt;""),AI229:AJ229)))</t>
        </is>
      </c>
      <c r="AY229" s="49" t="inlineStr">
        <is>
          <t>IF(OR(F229="",AL229=""),"",IF(COUNT(AI229:AK229)=0,"",AL229-LOOKUP(2,1/(AI229:AK229&lt;&gt;""),AI229:AK229)))</t>
        </is>
      </c>
      <c r="AZ229" s="49" t="inlineStr">
        <is>
          <t>IF(OR(F229="",AM229=""),"",IF(COUNT(AI229:AL229)=0,"",AM229-LOOKUP(2,1/(AI229:AL229&lt;&gt;""),AI229:AL229)))</t>
        </is>
      </c>
      <c r="BA229" s="49" t="inlineStr">
        <is>
          <t>IF(OR(F229="",AN229=""),"",IF(COUNT(AI229:AM229)=0,"",AN229-LOOKUP(2,1/(AI229:AM229&lt;&gt;""),AI229:AM229)))</t>
        </is>
      </c>
      <c r="BB229" s="49" t="inlineStr">
        <is>
          <t>IF(OR(F229="",AO229=""),"",IF(COUNT(AI229:AN229)=0,"",AO229-LOOKUP(2,1/(AI229:AN229&lt;&gt;""),AI229:AN229)))</t>
        </is>
      </c>
      <c r="BC229" s="49" t="inlineStr">
        <is>
          <t>IF(OR(F229="",AP229=""),"",IF(COUNT(AI229:AO229)=0,"",AP229-LOOKUP(2,1/(AI229:AO229&lt;&gt;""),AI229:AO229)))</t>
        </is>
      </c>
      <c r="BD229" s="49" t="inlineStr">
        <is>
          <t>IF(OR(F229="",AQ229=""),"",IF(COUNT(AI229:AP229)=0,"",AQ229-LOOKUP(2,1/(AI229:AP229&lt;&gt;""),AI229:AP229)))</t>
        </is>
      </c>
      <c r="BE229" s="49" t="inlineStr">
        <is>
          <t>IF(OR(F229="",AR229=""),"",IF(COUNT(AI229:AQ229)=0,"",AR229-LOOKUP(2,1/(AI229:AQ229&lt;&gt;""),AI229:AQ229)))</t>
        </is>
      </c>
      <c r="BF229" s="49" t="inlineStr">
        <is>
          <t>IF(OR(F229="",AS229=""),"",IF(COUNT(AI229:AR229)=0,"",AS229-LOOKUP(2,1/(AI229:AR229&lt;&gt;""),AI229:AR229)))</t>
        </is>
      </c>
      <c r="BG229" s="49" t="inlineStr">
        <is>
          <t>IF(OR(F229="",AT229=""),"",IF(COUNT(AI229:AS229)=0,"",AT229-LOOKUP(2,1/(AI229:AS229&lt;&gt;""),AI229:AS229)))</t>
        </is>
      </c>
      <c r="BH229" s="49" t="inlineStr">
        <is>
          <t>IF(OR(F229="",AU229=""),"",IF(COUNT(AI229:AT229)=0,"",AU229-LOOKUP(2,1/(AI229:AT229&lt;&gt;""),AI229:AT229)))</t>
        </is>
      </c>
      <c r="BI229" s="49" t="inlineStr">
        <is>
          <t>IF(OR(F229="",AV229=""),"",IF(COUNT(AI229:AU229)=0,"",AV229-LOOKUP(2,1/(AI229:AU229&lt;&gt;""),AI229:AU229)))</t>
        </is>
      </c>
      <c r="BJ229" s="51" t="inlineStr">
        <is>
          <t>IF(J229="","All_Provinces",IFERROR(VLOOKUP(J229,'09_Lookups'!$A$4:$B$20,2,FALSE),"All_Provinces"))</t>
        </is>
      </c>
      <c r="BK229" s="51" t="inlineStr">
        <is>
          <t>IF(K229="","All_Districts",IFERROR(VLOOKUP(K229,'09_Lookups'!$E$4:$F$42,2,FALSE),"All_Districts"))</t>
        </is>
      </c>
    </row>
    <row r="230" ht="18" customHeight="1">
      <c r="A230" s="42" t="inlineStr">
        <is>
          <t>IF(F230="","",ROW()-3)</t>
        </is>
      </c>
      <c r="B230" s="52" t="n"/>
      <c r="C230" s="52" t="n"/>
      <c r="D230" s="52" t="n"/>
      <c r="E230" s="52" t="n"/>
      <c r="F230" s="52" t="n"/>
      <c r="G230" s="52" t="n"/>
      <c r="H230" s="52" t="n"/>
      <c r="I230" s="52" t="n"/>
      <c r="J230" s="52" t="n"/>
      <c r="K230" s="52" t="n"/>
      <c r="L230" s="52" t="n"/>
      <c r="M230" s="52" t="n"/>
      <c r="N230" s="52" t="n"/>
      <c r="O230" s="52" t="n"/>
      <c r="P230" s="52" t="n"/>
      <c r="Q230" s="52" t="n"/>
      <c r="R230" s="52" t="n"/>
      <c r="S230" s="53" t="n"/>
      <c r="T230" s="46" t="inlineStr">
        <is>
          <t>IF(AQ230="","",AQ230)</t>
        </is>
      </c>
      <c r="U230" s="54" t="n"/>
      <c r="V230" s="55" t="n"/>
      <c r="W230" s="54" t="n"/>
      <c r="X230" s="46" t="inlineStr">
        <is>
          <t>IF(W230&lt;&gt;"",W230,IF(OR(T230="",V230=""),"",EDATE(T230,V230)))</t>
        </is>
      </c>
      <c r="Y230" s="54" t="n"/>
      <c r="Z230" s="55" t="n"/>
      <c r="AA230" s="52" t="n"/>
      <c r="AB230" s="52" t="n"/>
      <c r="AC230" s="42" t="inlineStr">
        <is>
          <t>IF(F230="","",IF(COUNT(AI230:AV230)=0,IF(AA230="","Not started",AA230),SUBSTITUTE(LOOKUP(2,1/(AI230:AV230&lt;&gt;""),$AI$3:$AV$3),"Date: ","")))</t>
        </is>
      </c>
      <c r="AD230" s="49" t="inlineStr">
        <is>
          <t>IF(OR(F230="",COUNT(AI230:AV230)=0),"",TODAY()-LOOKUP(2,1/(AI230:AV230&lt;&gt;""),AI230:AV230))</t>
        </is>
      </c>
      <c r="AE230" s="49" t="inlineStr">
        <is>
          <t>IF(OR(F230="",COUNT(AI230:AV230)&lt;2),"",LOOKUP(2,1/(AI230:AV230&lt;&gt;""),AI230:AV230)-MIN(AI230:AV230))</t>
        </is>
      </c>
      <c r="AF230" s="49" t="inlineStr">
        <is>
          <t>IF(OR(AD230="",AC230="Not started",AC230=""),"",IFERROR(AD230-IF(VLOOKUP(AC230,'06_Status_Pipeline'!$B$3:$E$20,4,FALSE)="",0,VLOOKUP(AC230,'06_Status_Pipeline'!$B$3:$E$20,4,FALSE)),""))</t>
        </is>
      </c>
      <c r="AG230" s="42" t="inlineStr">
        <is>
          <t>IF(F230="","",IF(OR(AA230="Cancelled",AC230="Cancelled"),"Cancelled",IF(OR(AC230="Completed / Handover",Y230&lt;&gt;"",Z230&gt;=100),"Completed — on track",IF(O230="Not awarded",IF(U230="",IF(X230="","No planned date",IF(TODAY()&gt;X230,"Behind — past planned date",IF(X230-TODAY()&lt;=30,"At risk — close to off track","On track"))),IF(TODAY()&gt;U230,"Behind — award date passed",IF(U230-TODAY()&lt;=30,"At risk — close to off track","On track"))),IF(X230="","No planned date",IF(AND(TODAY()&gt;X230,OR(Z230="",Z230&lt;100)),"Behind — past end date",IF(AND(T230&lt;&gt;"",X230&lt;&gt;"",Z230&lt;&gt;"",(Z230&lt;100),((TODAY()-T230)/MAX(X230-T230,1)*100)-Z230&gt;15),"Behind — progress lag",IF(AND(X230-TODAY()&lt;=30,X230-TODAY()&gt;=0,OR(Z230="",Z230&lt;90)),"At risk — close to off track","On track"))))))))</t>
        </is>
      </c>
      <c r="AH230" s="49" t="inlineStr">
        <is>
          <t>IF(OR(F230="",AC230="Completed / Handover",AC230="Cancelled"),"",IF(O230="Not awarded",IF(U230&lt;&gt;"",U230-TODAY(),IF(X230="","",X230-TODAY())),IF(X230="","",X230-TODAY())))</t>
        </is>
      </c>
      <c r="AI230" s="54" t="n"/>
      <c r="AJ230" s="54" t="n"/>
      <c r="AK230" s="54" t="n"/>
      <c r="AL230" s="54" t="n"/>
      <c r="AM230" s="54" t="n"/>
      <c r="AN230" s="54" t="n"/>
      <c r="AO230" s="54" t="n"/>
      <c r="AP230" s="54" t="n"/>
      <c r="AQ230" s="54" t="n"/>
      <c r="AR230" s="54" t="n"/>
      <c r="AS230" s="54" t="n"/>
      <c r="AT230" s="50" t="n"/>
      <c r="AU230" s="50" t="n"/>
      <c r="AV230" s="50" t="n"/>
      <c r="AW230" s="49" t="inlineStr">
        <is>
          <t>IF(OR(F230="",AJ230=""),"",IF(COUNT(AI230:AI230)=0,"",AJ230-LOOKUP(2,1/(AI230:AI230&lt;&gt;""),AI230:AI230)))</t>
        </is>
      </c>
      <c r="AX230" s="49" t="inlineStr">
        <is>
          <t>IF(OR(F230="",AK230=""),"",IF(COUNT(AI230:AJ230)=0,"",AK230-LOOKUP(2,1/(AI230:AJ230&lt;&gt;""),AI230:AJ230)))</t>
        </is>
      </c>
      <c r="AY230" s="49" t="inlineStr">
        <is>
          <t>IF(OR(F230="",AL230=""),"",IF(COUNT(AI230:AK230)=0,"",AL230-LOOKUP(2,1/(AI230:AK230&lt;&gt;""),AI230:AK230)))</t>
        </is>
      </c>
      <c r="AZ230" s="49" t="inlineStr">
        <is>
          <t>IF(OR(F230="",AM230=""),"",IF(COUNT(AI230:AL230)=0,"",AM230-LOOKUP(2,1/(AI230:AL230&lt;&gt;""),AI230:AL230)))</t>
        </is>
      </c>
      <c r="BA230" s="49" t="inlineStr">
        <is>
          <t>IF(OR(F230="",AN230=""),"",IF(COUNT(AI230:AM230)=0,"",AN230-LOOKUP(2,1/(AI230:AM230&lt;&gt;""),AI230:AM230)))</t>
        </is>
      </c>
      <c r="BB230" s="49" t="inlineStr">
        <is>
          <t>IF(OR(F230="",AO230=""),"",IF(COUNT(AI230:AN230)=0,"",AO230-LOOKUP(2,1/(AI230:AN230&lt;&gt;""),AI230:AN230)))</t>
        </is>
      </c>
      <c r="BC230" s="49" t="inlineStr">
        <is>
          <t>IF(OR(F230="",AP230=""),"",IF(COUNT(AI230:AO230)=0,"",AP230-LOOKUP(2,1/(AI230:AO230&lt;&gt;""),AI230:AO230)))</t>
        </is>
      </c>
      <c r="BD230" s="49" t="inlineStr">
        <is>
          <t>IF(OR(F230="",AQ230=""),"",IF(COUNT(AI230:AP230)=0,"",AQ230-LOOKUP(2,1/(AI230:AP230&lt;&gt;""),AI230:AP230)))</t>
        </is>
      </c>
      <c r="BE230" s="49" t="inlineStr">
        <is>
          <t>IF(OR(F230="",AR230=""),"",IF(COUNT(AI230:AQ230)=0,"",AR230-LOOKUP(2,1/(AI230:AQ230&lt;&gt;""),AI230:AQ230)))</t>
        </is>
      </c>
      <c r="BF230" s="49" t="inlineStr">
        <is>
          <t>IF(OR(F230="",AS230=""),"",IF(COUNT(AI230:AR230)=0,"",AS230-LOOKUP(2,1/(AI230:AR230&lt;&gt;""),AI230:AR230)))</t>
        </is>
      </c>
      <c r="BG230" s="49" t="inlineStr">
        <is>
          <t>IF(OR(F230="",AT230=""),"",IF(COUNT(AI230:AS230)=0,"",AT230-LOOKUP(2,1/(AI230:AS230&lt;&gt;""),AI230:AS230)))</t>
        </is>
      </c>
      <c r="BH230" s="49" t="inlineStr">
        <is>
          <t>IF(OR(F230="",AU230=""),"",IF(COUNT(AI230:AT230)=0,"",AU230-LOOKUP(2,1/(AI230:AT230&lt;&gt;""),AI230:AT230)))</t>
        </is>
      </c>
      <c r="BI230" s="49" t="inlineStr">
        <is>
          <t>IF(OR(F230="",AV230=""),"",IF(COUNT(AI230:AU230)=0,"",AV230-LOOKUP(2,1/(AI230:AU230&lt;&gt;""),AI230:AU230)))</t>
        </is>
      </c>
      <c r="BJ230" s="51" t="inlineStr">
        <is>
          <t>IF(J230="","All_Provinces",IFERROR(VLOOKUP(J230,'09_Lookups'!$A$4:$B$20,2,FALSE),"All_Provinces"))</t>
        </is>
      </c>
      <c r="BK230" s="51" t="inlineStr">
        <is>
          <t>IF(K230="","All_Districts",IFERROR(VLOOKUP(K230,'09_Lookups'!$E$4:$F$42,2,FALSE),"All_Districts"))</t>
        </is>
      </c>
    </row>
    <row r="231" ht="18" customHeight="1">
      <c r="A231" s="42" t="inlineStr">
        <is>
          <t>IF(F231="","",ROW()-3)</t>
        </is>
      </c>
      <c r="B231" s="44" t="n"/>
      <c r="C231" s="44" t="n"/>
      <c r="D231" s="44" t="n"/>
      <c r="E231" s="44" t="n"/>
      <c r="F231" s="44" t="n"/>
      <c r="G231" s="44" t="n"/>
      <c r="H231" s="44" t="n"/>
      <c r="I231" s="44" t="n"/>
      <c r="J231" s="44" t="n"/>
      <c r="K231" s="44" t="n"/>
      <c r="L231" s="44" t="n"/>
      <c r="M231" s="44" t="n"/>
      <c r="N231" s="44" t="n"/>
      <c r="O231" s="44" t="n"/>
      <c r="P231" s="44" t="n"/>
      <c r="Q231" s="44" t="n"/>
      <c r="R231" s="44" t="n"/>
      <c r="S231" s="45" t="n"/>
      <c r="T231" s="46" t="inlineStr">
        <is>
          <t>IF(AQ231="","",AQ231)</t>
        </is>
      </c>
      <c r="U231" s="47" t="n"/>
      <c r="V231" s="48" t="n"/>
      <c r="W231" s="47" t="n"/>
      <c r="X231" s="46" t="inlineStr">
        <is>
          <t>IF(W231&lt;&gt;"",W231,IF(OR(T231="",V231=""),"",EDATE(T231,V231)))</t>
        </is>
      </c>
      <c r="Y231" s="47" t="n"/>
      <c r="Z231" s="48" t="n"/>
      <c r="AA231" s="44" t="n"/>
      <c r="AB231" s="44" t="n"/>
      <c r="AC231" s="42" t="inlineStr">
        <is>
          <t>IF(F231="","",IF(COUNT(AI231:AV231)=0,IF(AA231="","Not started",AA231),SUBSTITUTE(LOOKUP(2,1/(AI231:AV231&lt;&gt;""),$AI$3:$AV$3),"Date: ","")))</t>
        </is>
      </c>
      <c r="AD231" s="49" t="inlineStr">
        <is>
          <t>IF(OR(F231="",COUNT(AI231:AV231)=0),"",TODAY()-LOOKUP(2,1/(AI231:AV231&lt;&gt;""),AI231:AV231))</t>
        </is>
      </c>
      <c r="AE231" s="49" t="inlineStr">
        <is>
          <t>IF(OR(F231="",COUNT(AI231:AV231)&lt;2),"",LOOKUP(2,1/(AI231:AV231&lt;&gt;""),AI231:AV231)-MIN(AI231:AV231))</t>
        </is>
      </c>
      <c r="AF231" s="49" t="inlineStr">
        <is>
          <t>IF(OR(AD231="",AC231="Not started",AC231=""),"",IFERROR(AD231-IF(VLOOKUP(AC231,'06_Status_Pipeline'!$B$3:$E$20,4,FALSE)="",0,VLOOKUP(AC231,'06_Status_Pipeline'!$B$3:$E$20,4,FALSE)),""))</t>
        </is>
      </c>
      <c r="AG231" s="42" t="inlineStr">
        <is>
          <t>IF(F231="","",IF(OR(AA231="Cancelled",AC231="Cancelled"),"Cancelled",IF(OR(AC231="Completed / Handover",Y231&lt;&gt;"",Z231&gt;=100),"Completed — on track",IF(O231="Not awarded",IF(U231="",IF(X231="","No planned date",IF(TODAY()&gt;X231,"Behind — past planned date",IF(X231-TODAY()&lt;=30,"At risk — close to off track","On track"))),IF(TODAY()&gt;U231,"Behind — award date passed",IF(U231-TODAY()&lt;=30,"At risk — close to off track","On track"))),IF(X231="","No planned date",IF(AND(TODAY()&gt;X231,OR(Z231="",Z231&lt;100)),"Behind — past end date",IF(AND(T231&lt;&gt;"",X231&lt;&gt;"",Z231&lt;&gt;"",(Z231&lt;100),((TODAY()-T231)/MAX(X231-T231,1)*100)-Z231&gt;15),"Behind — progress lag",IF(AND(X231-TODAY()&lt;=30,X231-TODAY()&gt;=0,OR(Z231="",Z231&lt;90)),"At risk — close to off track","On track"))))))))</t>
        </is>
      </c>
      <c r="AH231" s="49" t="inlineStr">
        <is>
          <t>IF(OR(F231="",AC231="Completed / Handover",AC231="Cancelled"),"",IF(O231="Not awarded",IF(U231&lt;&gt;"",U231-TODAY(),IF(X231="","",X231-TODAY())),IF(X231="","",X231-TODAY())))</t>
        </is>
      </c>
      <c r="AI231" s="47" t="n"/>
      <c r="AJ231" s="47" t="n"/>
      <c r="AK231" s="47" t="n"/>
      <c r="AL231" s="47" t="n"/>
      <c r="AM231" s="47" t="n"/>
      <c r="AN231" s="47" t="n"/>
      <c r="AO231" s="47" t="n"/>
      <c r="AP231" s="47" t="n"/>
      <c r="AQ231" s="47" t="n"/>
      <c r="AR231" s="47" t="n"/>
      <c r="AS231" s="47" t="n"/>
      <c r="AT231" s="50" t="n"/>
      <c r="AU231" s="50" t="n"/>
      <c r="AV231" s="50" t="n"/>
      <c r="AW231" s="49" t="inlineStr">
        <is>
          <t>IF(OR(F231="",AJ231=""),"",IF(COUNT(AI231:AI231)=0,"",AJ231-LOOKUP(2,1/(AI231:AI231&lt;&gt;""),AI231:AI231)))</t>
        </is>
      </c>
      <c r="AX231" s="49" t="inlineStr">
        <is>
          <t>IF(OR(F231="",AK231=""),"",IF(COUNT(AI231:AJ231)=0,"",AK231-LOOKUP(2,1/(AI231:AJ231&lt;&gt;""),AI231:AJ231)))</t>
        </is>
      </c>
      <c r="AY231" s="49" t="inlineStr">
        <is>
          <t>IF(OR(F231="",AL231=""),"",IF(COUNT(AI231:AK231)=0,"",AL231-LOOKUP(2,1/(AI231:AK231&lt;&gt;""),AI231:AK231)))</t>
        </is>
      </c>
      <c r="AZ231" s="49" t="inlineStr">
        <is>
          <t>IF(OR(F231="",AM231=""),"",IF(COUNT(AI231:AL231)=0,"",AM231-LOOKUP(2,1/(AI231:AL231&lt;&gt;""),AI231:AL231)))</t>
        </is>
      </c>
      <c r="BA231" s="49" t="inlineStr">
        <is>
          <t>IF(OR(F231="",AN231=""),"",IF(COUNT(AI231:AM231)=0,"",AN231-LOOKUP(2,1/(AI231:AM231&lt;&gt;""),AI231:AM231)))</t>
        </is>
      </c>
      <c r="BB231" s="49" t="inlineStr">
        <is>
          <t>IF(OR(F231="",AO231=""),"",IF(COUNT(AI231:AN231)=0,"",AO231-LOOKUP(2,1/(AI231:AN231&lt;&gt;""),AI231:AN231)))</t>
        </is>
      </c>
      <c r="BC231" s="49" t="inlineStr">
        <is>
          <t>IF(OR(F231="",AP231=""),"",IF(COUNT(AI231:AO231)=0,"",AP231-LOOKUP(2,1/(AI231:AO231&lt;&gt;""),AI231:AO231)))</t>
        </is>
      </c>
      <c r="BD231" s="49" t="inlineStr">
        <is>
          <t>IF(OR(F231="",AQ231=""),"",IF(COUNT(AI231:AP231)=0,"",AQ231-LOOKUP(2,1/(AI231:AP231&lt;&gt;""),AI231:AP231)))</t>
        </is>
      </c>
      <c r="BE231" s="49" t="inlineStr">
        <is>
          <t>IF(OR(F231="",AR231=""),"",IF(COUNT(AI231:AQ231)=0,"",AR231-LOOKUP(2,1/(AI231:AQ231&lt;&gt;""),AI231:AQ231)))</t>
        </is>
      </c>
      <c r="BF231" s="49" t="inlineStr">
        <is>
          <t>IF(OR(F231="",AS231=""),"",IF(COUNT(AI231:AR231)=0,"",AS231-LOOKUP(2,1/(AI231:AR231&lt;&gt;""),AI231:AR231)))</t>
        </is>
      </c>
      <c r="BG231" s="49" t="inlineStr">
        <is>
          <t>IF(OR(F231="",AT231=""),"",IF(COUNT(AI231:AS231)=0,"",AT231-LOOKUP(2,1/(AI231:AS231&lt;&gt;""),AI231:AS231)))</t>
        </is>
      </c>
      <c r="BH231" s="49" t="inlineStr">
        <is>
          <t>IF(OR(F231="",AU231=""),"",IF(COUNT(AI231:AT231)=0,"",AU231-LOOKUP(2,1/(AI231:AT231&lt;&gt;""),AI231:AT231)))</t>
        </is>
      </c>
      <c r="BI231" s="49" t="inlineStr">
        <is>
          <t>IF(OR(F231="",AV231=""),"",IF(COUNT(AI231:AU231)=0,"",AV231-LOOKUP(2,1/(AI231:AU231&lt;&gt;""),AI231:AU231)))</t>
        </is>
      </c>
      <c r="BJ231" s="51" t="inlineStr">
        <is>
          <t>IF(J231="","All_Provinces",IFERROR(VLOOKUP(J231,'09_Lookups'!$A$4:$B$20,2,FALSE),"All_Provinces"))</t>
        </is>
      </c>
      <c r="BK231" s="51" t="inlineStr">
        <is>
          <t>IF(K231="","All_Districts",IFERROR(VLOOKUP(K231,'09_Lookups'!$E$4:$F$42,2,FALSE),"All_Districts"))</t>
        </is>
      </c>
    </row>
    <row r="232" ht="18" customHeight="1">
      <c r="A232" s="42" t="inlineStr">
        <is>
          <t>IF(F232="","",ROW()-3)</t>
        </is>
      </c>
      <c r="B232" s="52" t="n"/>
      <c r="C232" s="52" t="n"/>
      <c r="D232" s="52" t="n"/>
      <c r="E232" s="52" t="n"/>
      <c r="F232" s="52" t="n"/>
      <c r="G232" s="52" t="n"/>
      <c r="H232" s="52" t="n"/>
      <c r="I232" s="52" t="n"/>
      <c r="J232" s="52" t="n"/>
      <c r="K232" s="52" t="n"/>
      <c r="L232" s="52" t="n"/>
      <c r="M232" s="52" t="n"/>
      <c r="N232" s="52" t="n"/>
      <c r="O232" s="52" t="n"/>
      <c r="P232" s="52" t="n"/>
      <c r="Q232" s="52" t="n"/>
      <c r="R232" s="52" t="n"/>
      <c r="S232" s="53" t="n"/>
      <c r="T232" s="46" t="inlineStr">
        <is>
          <t>IF(AQ232="","",AQ232)</t>
        </is>
      </c>
      <c r="U232" s="54" t="n"/>
      <c r="V232" s="55" t="n"/>
      <c r="W232" s="54" t="n"/>
      <c r="X232" s="46" t="inlineStr">
        <is>
          <t>IF(W232&lt;&gt;"",W232,IF(OR(T232="",V232=""),"",EDATE(T232,V232)))</t>
        </is>
      </c>
      <c r="Y232" s="54" t="n"/>
      <c r="Z232" s="55" t="n"/>
      <c r="AA232" s="52" t="n"/>
      <c r="AB232" s="52" t="n"/>
      <c r="AC232" s="42" t="inlineStr">
        <is>
          <t>IF(F232="","",IF(COUNT(AI232:AV232)=0,IF(AA232="","Not started",AA232),SUBSTITUTE(LOOKUP(2,1/(AI232:AV232&lt;&gt;""),$AI$3:$AV$3),"Date: ","")))</t>
        </is>
      </c>
      <c r="AD232" s="49" t="inlineStr">
        <is>
          <t>IF(OR(F232="",COUNT(AI232:AV232)=0),"",TODAY()-LOOKUP(2,1/(AI232:AV232&lt;&gt;""),AI232:AV232))</t>
        </is>
      </c>
      <c r="AE232" s="49" t="inlineStr">
        <is>
          <t>IF(OR(F232="",COUNT(AI232:AV232)&lt;2),"",LOOKUP(2,1/(AI232:AV232&lt;&gt;""),AI232:AV232)-MIN(AI232:AV232))</t>
        </is>
      </c>
      <c r="AF232" s="49" t="inlineStr">
        <is>
          <t>IF(OR(AD232="",AC232="Not started",AC232=""),"",IFERROR(AD232-IF(VLOOKUP(AC232,'06_Status_Pipeline'!$B$3:$E$20,4,FALSE)="",0,VLOOKUP(AC232,'06_Status_Pipeline'!$B$3:$E$20,4,FALSE)),""))</t>
        </is>
      </c>
      <c r="AG232" s="42" t="inlineStr">
        <is>
          <t>IF(F232="","",IF(OR(AA232="Cancelled",AC232="Cancelled"),"Cancelled",IF(OR(AC232="Completed / Handover",Y232&lt;&gt;"",Z232&gt;=100),"Completed — on track",IF(O232="Not awarded",IF(U232="",IF(X232="","No planned date",IF(TODAY()&gt;X232,"Behind — past planned date",IF(X232-TODAY()&lt;=30,"At risk — close to off track","On track"))),IF(TODAY()&gt;U232,"Behind — award date passed",IF(U232-TODAY()&lt;=30,"At risk — close to off track","On track"))),IF(X232="","No planned date",IF(AND(TODAY()&gt;X232,OR(Z232="",Z232&lt;100)),"Behind — past end date",IF(AND(T232&lt;&gt;"",X232&lt;&gt;"",Z232&lt;&gt;"",(Z232&lt;100),((TODAY()-T232)/MAX(X232-T232,1)*100)-Z232&gt;15),"Behind — progress lag",IF(AND(X232-TODAY()&lt;=30,X232-TODAY()&gt;=0,OR(Z232="",Z232&lt;90)),"At risk — close to off track","On track"))))))))</t>
        </is>
      </c>
      <c r="AH232" s="49" t="inlineStr">
        <is>
          <t>IF(OR(F232="",AC232="Completed / Handover",AC232="Cancelled"),"",IF(O232="Not awarded",IF(U232&lt;&gt;"",U232-TODAY(),IF(X232="","",X232-TODAY())),IF(X232="","",X232-TODAY())))</t>
        </is>
      </c>
      <c r="AI232" s="54" t="n"/>
      <c r="AJ232" s="54" t="n"/>
      <c r="AK232" s="54" t="n"/>
      <c r="AL232" s="54" t="n"/>
      <c r="AM232" s="54" t="n"/>
      <c r="AN232" s="54" t="n"/>
      <c r="AO232" s="54" t="n"/>
      <c r="AP232" s="54" t="n"/>
      <c r="AQ232" s="54" t="n"/>
      <c r="AR232" s="54" t="n"/>
      <c r="AS232" s="54" t="n"/>
      <c r="AT232" s="50" t="n"/>
      <c r="AU232" s="50" t="n"/>
      <c r="AV232" s="50" t="n"/>
      <c r="AW232" s="49" t="inlineStr">
        <is>
          <t>IF(OR(F232="",AJ232=""),"",IF(COUNT(AI232:AI232)=0,"",AJ232-LOOKUP(2,1/(AI232:AI232&lt;&gt;""),AI232:AI232)))</t>
        </is>
      </c>
      <c r="AX232" s="49" t="inlineStr">
        <is>
          <t>IF(OR(F232="",AK232=""),"",IF(COUNT(AI232:AJ232)=0,"",AK232-LOOKUP(2,1/(AI232:AJ232&lt;&gt;""),AI232:AJ232)))</t>
        </is>
      </c>
      <c r="AY232" s="49" t="inlineStr">
        <is>
          <t>IF(OR(F232="",AL232=""),"",IF(COUNT(AI232:AK232)=0,"",AL232-LOOKUP(2,1/(AI232:AK232&lt;&gt;""),AI232:AK232)))</t>
        </is>
      </c>
      <c r="AZ232" s="49" t="inlineStr">
        <is>
          <t>IF(OR(F232="",AM232=""),"",IF(COUNT(AI232:AL232)=0,"",AM232-LOOKUP(2,1/(AI232:AL232&lt;&gt;""),AI232:AL232)))</t>
        </is>
      </c>
      <c r="BA232" s="49" t="inlineStr">
        <is>
          <t>IF(OR(F232="",AN232=""),"",IF(COUNT(AI232:AM232)=0,"",AN232-LOOKUP(2,1/(AI232:AM232&lt;&gt;""),AI232:AM232)))</t>
        </is>
      </c>
      <c r="BB232" s="49" t="inlineStr">
        <is>
          <t>IF(OR(F232="",AO232=""),"",IF(COUNT(AI232:AN232)=0,"",AO232-LOOKUP(2,1/(AI232:AN232&lt;&gt;""),AI232:AN232)))</t>
        </is>
      </c>
      <c r="BC232" s="49" t="inlineStr">
        <is>
          <t>IF(OR(F232="",AP232=""),"",IF(COUNT(AI232:AO232)=0,"",AP232-LOOKUP(2,1/(AI232:AO232&lt;&gt;""),AI232:AO232)))</t>
        </is>
      </c>
      <c r="BD232" s="49" t="inlineStr">
        <is>
          <t>IF(OR(F232="",AQ232=""),"",IF(COUNT(AI232:AP232)=0,"",AQ232-LOOKUP(2,1/(AI232:AP232&lt;&gt;""),AI232:AP232)))</t>
        </is>
      </c>
      <c r="BE232" s="49" t="inlineStr">
        <is>
          <t>IF(OR(F232="",AR232=""),"",IF(COUNT(AI232:AQ232)=0,"",AR232-LOOKUP(2,1/(AI232:AQ232&lt;&gt;""),AI232:AQ232)))</t>
        </is>
      </c>
      <c r="BF232" s="49" t="inlineStr">
        <is>
          <t>IF(OR(F232="",AS232=""),"",IF(COUNT(AI232:AR232)=0,"",AS232-LOOKUP(2,1/(AI232:AR232&lt;&gt;""),AI232:AR232)))</t>
        </is>
      </c>
      <c r="BG232" s="49" t="inlineStr">
        <is>
          <t>IF(OR(F232="",AT232=""),"",IF(COUNT(AI232:AS232)=0,"",AT232-LOOKUP(2,1/(AI232:AS232&lt;&gt;""),AI232:AS232)))</t>
        </is>
      </c>
      <c r="BH232" s="49" t="inlineStr">
        <is>
          <t>IF(OR(F232="",AU232=""),"",IF(COUNT(AI232:AT232)=0,"",AU232-LOOKUP(2,1/(AI232:AT232&lt;&gt;""),AI232:AT232)))</t>
        </is>
      </c>
      <c r="BI232" s="49" t="inlineStr">
        <is>
          <t>IF(OR(F232="",AV232=""),"",IF(COUNT(AI232:AU232)=0,"",AV232-LOOKUP(2,1/(AI232:AU232&lt;&gt;""),AI232:AU232)))</t>
        </is>
      </c>
      <c r="BJ232" s="51" t="inlineStr">
        <is>
          <t>IF(J232="","All_Provinces",IFERROR(VLOOKUP(J232,'09_Lookups'!$A$4:$B$20,2,FALSE),"All_Provinces"))</t>
        </is>
      </c>
      <c r="BK232" s="51" t="inlineStr">
        <is>
          <t>IF(K232="","All_Districts",IFERROR(VLOOKUP(K232,'09_Lookups'!$E$4:$F$42,2,FALSE),"All_Districts"))</t>
        </is>
      </c>
    </row>
    <row r="233" ht="18" customHeight="1">
      <c r="A233" s="42" t="inlineStr">
        <is>
          <t>IF(F233="","",ROW()-3)</t>
        </is>
      </c>
      <c r="B233" s="44" t="n"/>
      <c r="C233" s="44" t="n"/>
      <c r="D233" s="44" t="n"/>
      <c r="E233" s="44" t="n"/>
      <c r="F233" s="44" t="n"/>
      <c r="G233" s="44" t="n"/>
      <c r="H233" s="44" t="n"/>
      <c r="I233" s="44" t="n"/>
      <c r="J233" s="44" t="n"/>
      <c r="K233" s="44" t="n"/>
      <c r="L233" s="44" t="n"/>
      <c r="M233" s="44" t="n"/>
      <c r="N233" s="44" t="n"/>
      <c r="O233" s="44" t="n"/>
      <c r="P233" s="44" t="n"/>
      <c r="Q233" s="44" t="n"/>
      <c r="R233" s="44" t="n"/>
      <c r="S233" s="45" t="n"/>
      <c r="T233" s="46" t="inlineStr">
        <is>
          <t>IF(AQ233="","",AQ233)</t>
        </is>
      </c>
      <c r="U233" s="47" t="n"/>
      <c r="V233" s="48" t="n"/>
      <c r="W233" s="47" t="n"/>
      <c r="X233" s="46" t="inlineStr">
        <is>
          <t>IF(W233&lt;&gt;"",W233,IF(OR(T233="",V233=""),"",EDATE(T233,V233)))</t>
        </is>
      </c>
      <c r="Y233" s="47" t="n"/>
      <c r="Z233" s="48" t="n"/>
      <c r="AA233" s="44" t="n"/>
      <c r="AB233" s="44" t="n"/>
      <c r="AC233" s="42" t="inlineStr">
        <is>
          <t>IF(F233="","",IF(COUNT(AI233:AV233)=0,IF(AA233="","Not started",AA233),SUBSTITUTE(LOOKUP(2,1/(AI233:AV233&lt;&gt;""),$AI$3:$AV$3),"Date: ","")))</t>
        </is>
      </c>
      <c r="AD233" s="49" t="inlineStr">
        <is>
          <t>IF(OR(F233="",COUNT(AI233:AV233)=0),"",TODAY()-LOOKUP(2,1/(AI233:AV233&lt;&gt;""),AI233:AV233))</t>
        </is>
      </c>
      <c r="AE233" s="49" t="inlineStr">
        <is>
          <t>IF(OR(F233="",COUNT(AI233:AV233)&lt;2),"",LOOKUP(2,1/(AI233:AV233&lt;&gt;""),AI233:AV233)-MIN(AI233:AV233))</t>
        </is>
      </c>
      <c r="AF233" s="49" t="inlineStr">
        <is>
          <t>IF(OR(AD233="",AC233="Not started",AC233=""),"",IFERROR(AD233-IF(VLOOKUP(AC233,'06_Status_Pipeline'!$B$3:$E$20,4,FALSE)="",0,VLOOKUP(AC233,'06_Status_Pipeline'!$B$3:$E$20,4,FALSE)),""))</t>
        </is>
      </c>
      <c r="AG233" s="42" t="inlineStr">
        <is>
          <t>IF(F233="","",IF(OR(AA233="Cancelled",AC233="Cancelled"),"Cancelled",IF(OR(AC233="Completed / Handover",Y233&lt;&gt;"",Z233&gt;=100),"Completed — on track",IF(O233="Not awarded",IF(U233="",IF(X233="","No planned date",IF(TODAY()&gt;X233,"Behind — past planned date",IF(X233-TODAY()&lt;=30,"At risk — close to off track","On track"))),IF(TODAY()&gt;U233,"Behind — award date passed",IF(U233-TODAY()&lt;=30,"At risk — close to off track","On track"))),IF(X233="","No planned date",IF(AND(TODAY()&gt;X233,OR(Z233="",Z233&lt;100)),"Behind — past end date",IF(AND(T233&lt;&gt;"",X233&lt;&gt;"",Z233&lt;&gt;"",(Z233&lt;100),((TODAY()-T233)/MAX(X233-T233,1)*100)-Z233&gt;15),"Behind — progress lag",IF(AND(X233-TODAY()&lt;=30,X233-TODAY()&gt;=0,OR(Z233="",Z233&lt;90)),"At risk — close to off track","On track"))))))))</t>
        </is>
      </c>
      <c r="AH233" s="49" t="inlineStr">
        <is>
          <t>IF(OR(F233="",AC233="Completed / Handover",AC233="Cancelled"),"",IF(O233="Not awarded",IF(U233&lt;&gt;"",U233-TODAY(),IF(X233="","",X233-TODAY())),IF(X233="","",X233-TODAY())))</t>
        </is>
      </c>
      <c r="AI233" s="47" t="n"/>
      <c r="AJ233" s="47" t="n"/>
      <c r="AK233" s="47" t="n"/>
      <c r="AL233" s="47" t="n"/>
      <c r="AM233" s="47" t="n"/>
      <c r="AN233" s="47" t="n"/>
      <c r="AO233" s="47" t="n"/>
      <c r="AP233" s="47" t="n"/>
      <c r="AQ233" s="47" t="n"/>
      <c r="AR233" s="47" t="n"/>
      <c r="AS233" s="47" t="n"/>
      <c r="AT233" s="50" t="n"/>
      <c r="AU233" s="50" t="n"/>
      <c r="AV233" s="50" t="n"/>
      <c r="AW233" s="49" t="inlineStr">
        <is>
          <t>IF(OR(F233="",AJ233=""),"",IF(COUNT(AI233:AI233)=0,"",AJ233-LOOKUP(2,1/(AI233:AI233&lt;&gt;""),AI233:AI233)))</t>
        </is>
      </c>
      <c r="AX233" s="49" t="inlineStr">
        <is>
          <t>IF(OR(F233="",AK233=""),"",IF(COUNT(AI233:AJ233)=0,"",AK233-LOOKUP(2,1/(AI233:AJ233&lt;&gt;""),AI233:AJ233)))</t>
        </is>
      </c>
      <c r="AY233" s="49" t="inlineStr">
        <is>
          <t>IF(OR(F233="",AL233=""),"",IF(COUNT(AI233:AK233)=0,"",AL233-LOOKUP(2,1/(AI233:AK233&lt;&gt;""),AI233:AK233)))</t>
        </is>
      </c>
      <c r="AZ233" s="49" t="inlineStr">
        <is>
          <t>IF(OR(F233="",AM233=""),"",IF(COUNT(AI233:AL233)=0,"",AM233-LOOKUP(2,1/(AI233:AL233&lt;&gt;""),AI233:AL233)))</t>
        </is>
      </c>
      <c r="BA233" s="49" t="inlineStr">
        <is>
          <t>IF(OR(F233="",AN233=""),"",IF(COUNT(AI233:AM233)=0,"",AN233-LOOKUP(2,1/(AI233:AM233&lt;&gt;""),AI233:AM233)))</t>
        </is>
      </c>
      <c r="BB233" s="49" t="inlineStr">
        <is>
          <t>IF(OR(F233="",AO233=""),"",IF(COUNT(AI233:AN233)=0,"",AO233-LOOKUP(2,1/(AI233:AN233&lt;&gt;""),AI233:AN233)))</t>
        </is>
      </c>
      <c r="BC233" s="49" t="inlineStr">
        <is>
          <t>IF(OR(F233="",AP233=""),"",IF(COUNT(AI233:AO233)=0,"",AP233-LOOKUP(2,1/(AI233:AO233&lt;&gt;""),AI233:AO233)))</t>
        </is>
      </c>
      <c r="BD233" s="49" t="inlineStr">
        <is>
          <t>IF(OR(F233="",AQ233=""),"",IF(COUNT(AI233:AP233)=0,"",AQ233-LOOKUP(2,1/(AI233:AP233&lt;&gt;""),AI233:AP233)))</t>
        </is>
      </c>
      <c r="BE233" s="49" t="inlineStr">
        <is>
          <t>IF(OR(F233="",AR233=""),"",IF(COUNT(AI233:AQ233)=0,"",AR233-LOOKUP(2,1/(AI233:AQ233&lt;&gt;""),AI233:AQ233)))</t>
        </is>
      </c>
      <c r="BF233" s="49" t="inlineStr">
        <is>
          <t>IF(OR(F233="",AS233=""),"",IF(COUNT(AI233:AR233)=0,"",AS233-LOOKUP(2,1/(AI233:AR233&lt;&gt;""),AI233:AR233)))</t>
        </is>
      </c>
      <c r="BG233" s="49" t="inlineStr">
        <is>
          <t>IF(OR(F233="",AT233=""),"",IF(COUNT(AI233:AS233)=0,"",AT233-LOOKUP(2,1/(AI233:AS233&lt;&gt;""),AI233:AS233)))</t>
        </is>
      </c>
      <c r="BH233" s="49" t="inlineStr">
        <is>
          <t>IF(OR(F233="",AU233=""),"",IF(COUNT(AI233:AT233)=0,"",AU233-LOOKUP(2,1/(AI233:AT233&lt;&gt;""),AI233:AT233)))</t>
        </is>
      </c>
      <c r="BI233" s="49" t="inlineStr">
        <is>
          <t>IF(OR(F233="",AV233=""),"",IF(COUNT(AI233:AU233)=0,"",AV233-LOOKUP(2,1/(AI233:AU233&lt;&gt;""),AI233:AU233)))</t>
        </is>
      </c>
      <c r="BJ233" s="51" t="inlineStr">
        <is>
          <t>IF(J233="","All_Provinces",IFERROR(VLOOKUP(J233,'09_Lookups'!$A$4:$B$20,2,FALSE),"All_Provinces"))</t>
        </is>
      </c>
      <c r="BK233" s="51" t="inlineStr">
        <is>
          <t>IF(K233="","All_Districts",IFERROR(VLOOKUP(K233,'09_Lookups'!$E$4:$F$42,2,FALSE),"All_Districts"))</t>
        </is>
      </c>
    </row>
    <row r="234" ht="18" customHeight="1">
      <c r="A234" s="42" t="inlineStr">
        <is>
          <t>IF(F234="","",ROW()-3)</t>
        </is>
      </c>
      <c r="B234" s="52" t="n"/>
      <c r="C234" s="52" t="n"/>
      <c r="D234" s="52" t="n"/>
      <c r="E234" s="52" t="n"/>
      <c r="F234" s="52" t="n"/>
      <c r="G234" s="52" t="n"/>
      <c r="H234" s="52" t="n"/>
      <c r="I234" s="52" t="n"/>
      <c r="J234" s="52" t="n"/>
      <c r="K234" s="52" t="n"/>
      <c r="L234" s="52" t="n"/>
      <c r="M234" s="52" t="n"/>
      <c r="N234" s="52" t="n"/>
      <c r="O234" s="52" t="n"/>
      <c r="P234" s="52" t="n"/>
      <c r="Q234" s="52" t="n"/>
      <c r="R234" s="52" t="n"/>
      <c r="S234" s="53" t="n"/>
      <c r="T234" s="46" t="inlineStr">
        <is>
          <t>IF(AQ234="","",AQ234)</t>
        </is>
      </c>
      <c r="U234" s="54" t="n"/>
      <c r="V234" s="55" t="n"/>
      <c r="W234" s="54" t="n"/>
      <c r="X234" s="46" t="inlineStr">
        <is>
          <t>IF(W234&lt;&gt;"",W234,IF(OR(T234="",V234=""),"",EDATE(T234,V234)))</t>
        </is>
      </c>
      <c r="Y234" s="54" t="n"/>
      <c r="Z234" s="55" t="n"/>
      <c r="AA234" s="52" t="n"/>
      <c r="AB234" s="52" t="n"/>
      <c r="AC234" s="42" t="inlineStr">
        <is>
          <t>IF(F234="","",IF(COUNT(AI234:AV234)=0,IF(AA234="","Not started",AA234),SUBSTITUTE(LOOKUP(2,1/(AI234:AV234&lt;&gt;""),$AI$3:$AV$3),"Date: ","")))</t>
        </is>
      </c>
      <c r="AD234" s="49" t="inlineStr">
        <is>
          <t>IF(OR(F234="",COUNT(AI234:AV234)=0),"",TODAY()-LOOKUP(2,1/(AI234:AV234&lt;&gt;""),AI234:AV234))</t>
        </is>
      </c>
      <c r="AE234" s="49" t="inlineStr">
        <is>
          <t>IF(OR(F234="",COUNT(AI234:AV234)&lt;2),"",LOOKUP(2,1/(AI234:AV234&lt;&gt;""),AI234:AV234)-MIN(AI234:AV234))</t>
        </is>
      </c>
      <c r="AF234" s="49" t="inlineStr">
        <is>
          <t>IF(OR(AD234="",AC234="Not started",AC234=""),"",IFERROR(AD234-IF(VLOOKUP(AC234,'06_Status_Pipeline'!$B$3:$E$20,4,FALSE)="",0,VLOOKUP(AC234,'06_Status_Pipeline'!$B$3:$E$20,4,FALSE)),""))</t>
        </is>
      </c>
      <c r="AG234" s="42" t="inlineStr">
        <is>
          <t>IF(F234="","",IF(OR(AA234="Cancelled",AC234="Cancelled"),"Cancelled",IF(OR(AC234="Completed / Handover",Y234&lt;&gt;"",Z234&gt;=100),"Completed — on track",IF(O234="Not awarded",IF(U234="",IF(X234="","No planned date",IF(TODAY()&gt;X234,"Behind — past planned date",IF(X234-TODAY()&lt;=30,"At risk — close to off track","On track"))),IF(TODAY()&gt;U234,"Behind — award date passed",IF(U234-TODAY()&lt;=30,"At risk — close to off track","On track"))),IF(X234="","No planned date",IF(AND(TODAY()&gt;X234,OR(Z234="",Z234&lt;100)),"Behind — past end date",IF(AND(T234&lt;&gt;"",X234&lt;&gt;"",Z234&lt;&gt;"",(Z234&lt;100),((TODAY()-T234)/MAX(X234-T234,1)*100)-Z234&gt;15),"Behind — progress lag",IF(AND(X234-TODAY()&lt;=30,X234-TODAY()&gt;=0,OR(Z234="",Z234&lt;90)),"At risk — close to off track","On track"))))))))</t>
        </is>
      </c>
      <c r="AH234" s="49" t="inlineStr">
        <is>
          <t>IF(OR(F234="",AC234="Completed / Handover",AC234="Cancelled"),"",IF(O234="Not awarded",IF(U234&lt;&gt;"",U234-TODAY(),IF(X234="","",X234-TODAY())),IF(X234="","",X234-TODAY())))</t>
        </is>
      </c>
      <c r="AI234" s="54" t="n"/>
      <c r="AJ234" s="54" t="n"/>
      <c r="AK234" s="54" t="n"/>
      <c r="AL234" s="54" t="n"/>
      <c r="AM234" s="54" t="n"/>
      <c r="AN234" s="54" t="n"/>
      <c r="AO234" s="54" t="n"/>
      <c r="AP234" s="54" t="n"/>
      <c r="AQ234" s="54" t="n"/>
      <c r="AR234" s="54" t="n"/>
      <c r="AS234" s="54" t="n"/>
      <c r="AT234" s="50" t="n"/>
      <c r="AU234" s="50" t="n"/>
      <c r="AV234" s="50" t="n"/>
      <c r="AW234" s="49" t="inlineStr">
        <is>
          <t>IF(OR(F234="",AJ234=""),"",IF(COUNT(AI234:AI234)=0,"",AJ234-LOOKUP(2,1/(AI234:AI234&lt;&gt;""),AI234:AI234)))</t>
        </is>
      </c>
      <c r="AX234" s="49" t="inlineStr">
        <is>
          <t>IF(OR(F234="",AK234=""),"",IF(COUNT(AI234:AJ234)=0,"",AK234-LOOKUP(2,1/(AI234:AJ234&lt;&gt;""),AI234:AJ234)))</t>
        </is>
      </c>
      <c r="AY234" s="49" t="inlineStr">
        <is>
          <t>IF(OR(F234="",AL234=""),"",IF(COUNT(AI234:AK234)=0,"",AL234-LOOKUP(2,1/(AI234:AK234&lt;&gt;""),AI234:AK234)))</t>
        </is>
      </c>
      <c r="AZ234" s="49" t="inlineStr">
        <is>
          <t>IF(OR(F234="",AM234=""),"",IF(COUNT(AI234:AL234)=0,"",AM234-LOOKUP(2,1/(AI234:AL234&lt;&gt;""),AI234:AL234)))</t>
        </is>
      </c>
      <c r="BA234" s="49" t="inlineStr">
        <is>
          <t>IF(OR(F234="",AN234=""),"",IF(COUNT(AI234:AM234)=0,"",AN234-LOOKUP(2,1/(AI234:AM234&lt;&gt;""),AI234:AM234)))</t>
        </is>
      </c>
      <c r="BB234" s="49" t="inlineStr">
        <is>
          <t>IF(OR(F234="",AO234=""),"",IF(COUNT(AI234:AN234)=0,"",AO234-LOOKUP(2,1/(AI234:AN234&lt;&gt;""),AI234:AN234)))</t>
        </is>
      </c>
      <c r="BC234" s="49" t="inlineStr">
        <is>
          <t>IF(OR(F234="",AP234=""),"",IF(COUNT(AI234:AO234)=0,"",AP234-LOOKUP(2,1/(AI234:AO234&lt;&gt;""),AI234:AO234)))</t>
        </is>
      </c>
      <c r="BD234" s="49" t="inlineStr">
        <is>
          <t>IF(OR(F234="",AQ234=""),"",IF(COUNT(AI234:AP234)=0,"",AQ234-LOOKUP(2,1/(AI234:AP234&lt;&gt;""),AI234:AP234)))</t>
        </is>
      </c>
      <c r="BE234" s="49" t="inlineStr">
        <is>
          <t>IF(OR(F234="",AR234=""),"",IF(COUNT(AI234:AQ234)=0,"",AR234-LOOKUP(2,1/(AI234:AQ234&lt;&gt;""),AI234:AQ234)))</t>
        </is>
      </c>
      <c r="BF234" s="49" t="inlineStr">
        <is>
          <t>IF(OR(F234="",AS234=""),"",IF(COUNT(AI234:AR234)=0,"",AS234-LOOKUP(2,1/(AI234:AR234&lt;&gt;""),AI234:AR234)))</t>
        </is>
      </c>
      <c r="BG234" s="49" t="inlineStr">
        <is>
          <t>IF(OR(F234="",AT234=""),"",IF(COUNT(AI234:AS234)=0,"",AT234-LOOKUP(2,1/(AI234:AS234&lt;&gt;""),AI234:AS234)))</t>
        </is>
      </c>
      <c r="BH234" s="49" t="inlineStr">
        <is>
          <t>IF(OR(F234="",AU234=""),"",IF(COUNT(AI234:AT234)=0,"",AU234-LOOKUP(2,1/(AI234:AT234&lt;&gt;""),AI234:AT234)))</t>
        </is>
      </c>
      <c r="BI234" s="49" t="inlineStr">
        <is>
          <t>IF(OR(F234="",AV234=""),"",IF(COUNT(AI234:AU234)=0,"",AV234-LOOKUP(2,1/(AI234:AU234&lt;&gt;""),AI234:AU234)))</t>
        </is>
      </c>
      <c r="BJ234" s="51" t="inlineStr">
        <is>
          <t>IF(J234="","All_Provinces",IFERROR(VLOOKUP(J234,'09_Lookups'!$A$4:$B$20,2,FALSE),"All_Provinces"))</t>
        </is>
      </c>
      <c r="BK234" s="51" t="inlineStr">
        <is>
          <t>IF(K234="","All_Districts",IFERROR(VLOOKUP(K234,'09_Lookups'!$E$4:$F$42,2,FALSE),"All_Districts"))</t>
        </is>
      </c>
    </row>
    <row r="235" ht="18" customHeight="1">
      <c r="A235" s="42" t="inlineStr">
        <is>
          <t>IF(F235="","",ROW()-3)</t>
        </is>
      </c>
      <c r="B235" s="44" t="n"/>
      <c r="C235" s="44" t="n"/>
      <c r="D235" s="44" t="n"/>
      <c r="E235" s="44" t="n"/>
      <c r="F235" s="44" t="n"/>
      <c r="G235" s="44" t="n"/>
      <c r="H235" s="44" t="n"/>
      <c r="I235" s="44" t="n"/>
      <c r="J235" s="44" t="n"/>
      <c r="K235" s="44" t="n"/>
      <c r="L235" s="44" t="n"/>
      <c r="M235" s="44" t="n"/>
      <c r="N235" s="44" t="n"/>
      <c r="O235" s="44" t="n"/>
      <c r="P235" s="44" t="n"/>
      <c r="Q235" s="44" t="n"/>
      <c r="R235" s="44" t="n"/>
      <c r="S235" s="45" t="n"/>
      <c r="T235" s="46" t="inlineStr">
        <is>
          <t>IF(AQ235="","",AQ235)</t>
        </is>
      </c>
      <c r="U235" s="47" t="n"/>
      <c r="V235" s="48" t="n"/>
      <c r="W235" s="47" t="n"/>
      <c r="X235" s="46" t="inlineStr">
        <is>
          <t>IF(W235&lt;&gt;"",W235,IF(OR(T235="",V235=""),"",EDATE(T235,V235)))</t>
        </is>
      </c>
      <c r="Y235" s="47" t="n"/>
      <c r="Z235" s="48" t="n"/>
      <c r="AA235" s="44" t="n"/>
      <c r="AB235" s="44" t="n"/>
      <c r="AC235" s="42" t="inlineStr">
        <is>
          <t>IF(F235="","",IF(COUNT(AI235:AV235)=0,IF(AA235="","Not started",AA235),SUBSTITUTE(LOOKUP(2,1/(AI235:AV235&lt;&gt;""),$AI$3:$AV$3),"Date: ","")))</t>
        </is>
      </c>
      <c r="AD235" s="49" t="inlineStr">
        <is>
          <t>IF(OR(F235="",COUNT(AI235:AV235)=0),"",TODAY()-LOOKUP(2,1/(AI235:AV235&lt;&gt;""),AI235:AV235))</t>
        </is>
      </c>
      <c r="AE235" s="49" t="inlineStr">
        <is>
          <t>IF(OR(F235="",COUNT(AI235:AV235)&lt;2),"",LOOKUP(2,1/(AI235:AV235&lt;&gt;""),AI235:AV235)-MIN(AI235:AV235))</t>
        </is>
      </c>
      <c r="AF235" s="49" t="inlineStr">
        <is>
          <t>IF(OR(AD235="",AC235="Not started",AC235=""),"",IFERROR(AD235-IF(VLOOKUP(AC235,'06_Status_Pipeline'!$B$3:$E$20,4,FALSE)="",0,VLOOKUP(AC235,'06_Status_Pipeline'!$B$3:$E$20,4,FALSE)),""))</t>
        </is>
      </c>
      <c r="AG235" s="42" t="inlineStr">
        <is>
          <t>IF(F235="","",IF(OR(AA235="Cancelled",AC235="Cancelled"),"Cancelled",IF(OR(AC235="Completed / Handover",Y235&lt;&gt;"",Z235&gt;=100),"Completed — on track",IF(O235="Not awarded",IF(U235="",IF(X235="","No planned date",IF(TODAY()&gt;X235,"Behind — past planned date",IF(X235-TODAY()&lt;=30,"At risk — close to off track","On track"))),IF(TODAY()&gt;U235,"Behind — award date passed",IF(U235-TODAY()&lt;=30,"At risk — close to off track","On track"))),IF(X235="","No planned date",IF(AND(TODAY()&gt;X235,OR(Z235="",Z235&lt;100)),"Behind — past end date",IF(AND(T235&lt;&gt;"",X235&lt;&gt;"",Z235&lt;&gt;"",(Z235&lt;100),((TODAY()-T235)/MAX(X235-T235,1)*100)-Z235&gt;15),"Behind — progress lag",IF(AND(X235-TODAY()&lt;=30,X235-TODAY()&gt;=0,OR(Z235="",Z235&lt;90)),"At risk — close to off track","On track"))))))))</t>
        </is>
      </c>
      <c r="AH235" s="49" t="inlineStr">
        <is>
          <t>IF(OR(F235="",AC235="Completed / Handover",AC235="Cancelled"),"",IF(O235="Not awarded",IF(U235&lt;&gt;"",U235-TODAY(),IF(X235="","",X235-TODAY())),IF(X235="","",X235-TODAY())))</t>
        </is>
      </c>
      <c r="AI235" s="47" t="n"/>
      <c r="AJ235" s="47" t="n"/>
      <c r="AK235" s="47" t="n"/>
      <c r="AL235" s="47" t="n"/>
      <c r="AM235" s="47" t="n"/>
      <c r="AN235" s="47" t="n"/>
      <c r="AO235" s="47" t="n"/>
      <c r="AP235" s="47" t="n"/>
      <c r="AQ235" s="47" t="n"/>
      <c r="AR235" s="47" t="n"/>
      <c r="AS235" s="47" t="n"/>
      <c r="AT235" s="50" t="n"/>
      <c r="AU235" s="50" t="n"/>
      <c r="AV235" s="50" t="n"/>
      <c r="AW235" s="49" t="inlineStr">
        <is>
          <t>IF(OR(F235="",AJ235=""),"",IF(COUNT(AI235:AI235)=0,"",AJ235-LOOKUP(2,1/(AI235:AI235&lt;&gt;""),AI235:AI235)))</t>
        </is>
      </c>
      <c r="AX235" s="49" t="inlineStr">
        <is>
          <t>IF(OR(F235="",AK235=""),"",IF(COUNT(AI235:AJ235)=0,"",AK235-LOOKUP(2,1/(AI235:AJ235&lt;&gt;""),AI235:AJ235)))</t>
        </is>
      </c>
      <c r="AY235" s="49" t="inlineStr">
        <is>
          <t>IF(OR(F235="",AL235=""),"",IF(COUNT(AI235:AK235)=0,"",AL235-LOOKUP(2,1/(AI235:AK235&lt;&gt;""),AI235:AK235)))</t>
        </is>
      </c>
      <c r="AZ235" s="49" t="inlineStr">
        <is>
          <t>IF(OR(F235="",AM235=""),"",IF(COUNT(AI235:AL235)=0,"",AM235-LOOKUP(2,1/(AI235:AL235&lt;&gt;""),AI235:AL235)))</t>
        </is>
      </c>
      <c r="BA235" s="49" t="inlineStr">
        <is>
          <t>IF(OR(F235="",AN235=""),"",IF(COUNT(AI235:AM235)=0,"",AN235-LOOKUP(2,1/(AI235:AM235&lt;&gt;""),AI235:AM235)))</t>
        </is>
      </c>
      <c r="BB235" s="49" t="inlineStr">
        <is>
          <t>IF(OR(F235="",AO235=""),"",IF(COUNT(AI235:AN235)=0,"",AO235-LOOKUP(2,1/(AI235:AN235&lt;&gt;""),AI235:AN235)))</t>
        </is>
      </c>
      <c r="BC235" s="49" t="inlineStr">
        <is>
          <t>IF(OR(F235="",AP235=""),"",IF(COUNT(AI235:AO235)=0,"",AP235-LOOKUP(2,1/(AI235:AO235&lt;&gt;""),AI235:AO235)))</t>
        </is>
      </c>
      <c r="BD235" s="49" t="inlineStr">
        <is>
          <t>IF(OR(F235="",AQ235=""),"",IF(COUNT(AI235:AP235)=0,"",AQ235-LOOKUP(2,1/(AI235:AP235&lt;&gt;""),AI235:AP235)))</t>
        </is>
      </c>
      <c r="BE235" s="49" t="inlineStr">
        <is>
          <t>IF(OR(F235="",AR235=""),"",IF(COUNT(AI235:AQ235)=0,"",AR235-LOOKUP(2,1/(AI235:AQ235&lt;&gt;""),AI235:AQ235)))</t>
        </is>
      </c>
      <c r="BF235" s="49" t="inlineStr">
        <is>
          <t>IF(OR(F235="",AS235=""),"",IF(COUNT(AI235:AR235)=0,"",AS235-LOOKUP(2,1/(AI235:AR235&lt;&gt;""),AI235:AR235)))</t>
        </is>
      </c>
      <c r="BG235" s="49" t="inlineStr">
        <is>
          <t>IF(OR(F235="",AT235=""),"",IF(COUNT(AI235:AS235)=0,"",AT235-LOOKUP(2,1/(AI235:AS235&lt;&gt;""),AI235:AS235)))</t>
        </is>
      </c>
      <c r="BH235" s="49" t="inlineStr">
        <is>
          <t>IF(OR(F235="",AU235=""),"",IF(COUNT(AI235:AT235)=0,"",AU235-LOOKUP(2,1/(AI235:AT235&lt;&gt;""),AI235:AT235)))</t>
        </is>
      </c>
      <c r="BI235" s="49" t="inlineStr">
        <is>
          <t>IF(OR(F235="",AV235=""),"",IF(COUNT(AI235:AU235)=0,"",AV235-LOOKUP(2,1/(AI235:AU235&lt;&gt;""),AI235:AU235)))</t>
        </is>
      </c>
      <c r="BJ235" s="51" t="inlineStr">
        <is>
          <t>IF(J235="","All_Provinces",IFERROR(VLOOKUP(J235,'09_Lookups'!$A$4:$B$20,2,FALSE),"All_Provinces"))</t>
        </is>
      </c>
      <c r="BK235" s="51" t="inlineStr">
        <is>
          <t>IF(K235="","All_Districts",IFERROR(VLOOKUP(K235,'09_Lookups'!$E$4:$F$42,2,FALSE),"All_Districts"))</t>
        </is>
      </c>
    </row>
    <row r="236" ht="18" customHeight="1">
      <c r="A236" s="42" t="inlineStr">
        <is>
          <t>IF(F236="","",ROW()-3)</t>
        </is>
      </c>
      <c r="B236" s="52" t="n"/>
      <c r="C236" s="52" t="n"/>
      <c r="D236" s="52" t="n"/>
      <c r="E236" s="52" t="n"/>
      <c r="F236" s="52" t="n"/>
      <c r="G236" s="52" t="n"/>
      <c r="H236" s="52" t="n"/>
      <c r="I236" s="52" t="n"/>
      <c r="J236" s="52" t="n"/>
      <c r="K236" s="52" t="n"/>
      <c r="L236" s="52" t="n"/>
      <c r="M236" s="52" t="n"/>
      <c r="N236" s="52" t="n"/>
      <c r="O236" s="52" t="n"/>
      <c r="P236" s="52" t="n"/>
      <c r="Q236" s="52" t="n"/>
      <c r="R236" s="52" t="n"/>
      <c r="S236" s="53" t="n"/>
      <c r="T236" s="46" t="inlineStr">
        <is>
          <t>IF(AQ236="","",AQ236)</t>
        </is>
      </c>
      <c r="U236" s="54" t="n"/>
      <c r="V236" s="55" t="n"/>
      <c r="W236" s="54" t="n"/>
      <c r="X236" s="46" t="inlineStr">
        <is>
          <t>IF(W236&lt;&gt;"",W236,IF(OR(T236="",V236=""),"",EDATE(T236,V236)))</t>
        </is>
      </c>
      <c r="Y236" s="54" t="n"/>
      <c r="Z236" s="55" t="n"/>
      <c r="AA236" s="52" t="n"/>
      <c r="AB236" s="52" t="n"/>
      <c r="AC236" s="42" t="inlineStr">
        <is>
          <t>IF(F236="","",IF(COUNT(AI236:AV236)=0,IF(AA236="","Not started",AA236),SUBSTITUTE(LOOKUP(2,1/(AI236:AV236&lt;&gt;""),$AI$3:$AV$3),"Date: ","")))</t>
        </is>
      </c>
      <c r="AD236" s="49" t="inlineStr">
        <is>
          <t>IF(OR(F236="",COUNT(AI236:AV236)=0),"",TODAY()-LOOKUP(2,1/(AI236:AV236&lt;&gt;""),AI236:AV236))</t>
        </is>
      </c>
      <c r="AE236" s="49" t="inlineStr">
        <is>
          <t>IF(OR(F236="",COUNT(AI236:AV236)&lt;2),"",LOOKUP(2,1/(AI236:AV236&lt;&gt;""),AI236:AV236)-MIN(AI236:AV236))</t>
        </is>
      </c>
      <c r="AF236" s="49" t="inlineStr">
        <is>
          <t>IF(OR(AD236="",AC236="Not started",AC236=""),"",IFERROR(AD236-IF(VLOOKUP(AC236,'06_Status_Pipeline'!$B$3:$E$20,4,FALSE)="",0,VLOOKUP(AC236,'06_Status_Pipeline'!$B$3:$E$20,4,FALSE)),""))</t>
        </is>
      </c>
      <c r="AG236" s="42" t="inlineStr">
        <is>
          <t>IF(F236="","",IF(OR(AA236="Cancelled",AC236="Cancelled"),"Cancelled",IF(OR(AC236="Completed / Handover",Y236&lt;&gt;"",Z236&gt;=100),"Completed — on track",IF(O236="Not awarded",IF(U236="",IF(X236="","No planned date",IF(TODAY()&gt;X236,"Behind — past planned date",IF(X236-TODAY()&lt;=30,"At risk — close to off track","On track"))),IF(TODAY()&gt;U236,"Behind — award date passed",IF(U236-TODAY()&lt;=30,"At risk — close to off track","On track"))),IF(X236="","No planned date",IF(AND(TODAY()&gt;X236,OR(Z236="",Z236&lt;100)),"Behind — past end date",IF(AND(T236&lt;&gt;"",X236&lt;&gt;"",Z236&lt;&gt;"",(Z236&lt;100),((TODAY()-T236)/MAX(X236-T236,1)*100)-Z236&gt;15),"Behind — progress lag",IF(AND(X236-TODAY()&lt;=30,X236-TODAY()&gt;=0,OR(Z236="",Z236&lt;90)),"At risk — close to off track","On track"))))))))</t>
        </is>
      </c>
      <c r="AH236" s="49" t="inlineStr">
        <is>
          <t>IF(OR(F236="",AC236="Completed / Handover",AC236="Cancelled"),"",IF(O236="Not awarded",IF(U236&lt;&gt;"",U236-TODAY(),IF(X236="","",X236-TODAY())),IF(X236="","",X236-TODAY())))</t>
        </is>
      </c>
      <c r="AI236" s="54" t="n"/>
      <c r="AJ236" s="54" t="n"/>
      <c r="AK236" s="54" t="n"/>
      <c r="AL236" s="54" t="n"/>
      <c r="AM236" s="54" t="n"/>
      <c r="AN236" s="54" t="n"/>
      <c r="AO236" s="54" t="n"/>
      <c r="AP236" s="54" t="n"/>
      <c r="AQ236" s="54" t="n"/>
      <c r="AR236" s="54" t="n"/>
      <c r="AS236" s="54" t="n"/>
      <c r="AT236" s="50" t="n"/>
      <c r="AU236" s="50" t="n"/>
      <c r="AV236" s="50" t="n"/>
      <c r="AW236" s="49" t="inlineStr">
        <is>
          <t>IF(OR(F236="",AJ236=""),"",IF(COUNT(AI236:AI236)=0,"",AJ236-LOOKUP(2,1/(AI236:AI236&lt;&gt;""),AI236:AI236)))</t>
        </is>
      </c>
      <c r="AX236" s="49" t="inlineStr">
        <is>
          <t>IF(OR(F236="",AK236=""),"",IF(COUNT(AI236:AJ236)=0,"",AK236-LOOKUP(2,1/(AI236:AJ236&lt;&gt;""),AI236:AJ236)))</t>
        </is>
      </c>
      <c r="AY236" s="49" t="inlineStr">
        <is>
          <t>IF(OR(F236="",AL236=""),"",IF(COUNT(AI236:AK236)=0,"",AL236-LOOKUP(2,1/(AI236:AK236&lt;&gt;""),AI236:AK236)))</t>
        </is>
      </c>
      <c r="AZ236" s="49" t="inlineStr">
        <is>
          <t>IF(OR(F236="",AM236=""),"",IF(COUNT(AI236:AL236)=0,"",AM236-LOOKUP(2,1/(AI236:AL236&lt;&gt;""),AI236:AL236)))</t>
        </is>
      </c>
      <c r="BA236" s="49" t="inlineStr">
        <is>
          <t>IF(OR(F236="",AN236=""),"",IF(COUNT(AI236:AM236)=0,"",AN236-LOOKUP(2,1/(AI236:AM236&lt;&gt;""),AI236:AM236)))</t>
        </is>
      </c>
      <c r="BB236" s="49" t="inlineStr">
        <is>
          <t>IF(OR(F236="",AO236=""),"",IF(COUNT(AI236:AN236)=0,"",AO236-LOOKUP(2,1/(AI236:AN236&lt;&gt;""),AI236:AN236)))</t>
        </is>
      </c>
      <c r="BC236" s="49" t="inlineStr">
        <is>
          <t>IF(OR(F236="",AP236=""),"",IF(COUNT(AI236:AO236)=0,"",AP236-LOOKUP(2,1/(AI236:AO236&lt;&gt;""),AI236:AO236)))</t>
        </is>
      </c>
      <c r="BD236" s="49" t="inlineStr">
        <is>
          <t>IF(OR(F236="",AQ236=""),"",IF(COUNT(AI236:AP236)=0,"",AQ236-LOOKUP(2,1/(AI236:AP236&lt;&gt;""),AI236:AP236)))</t>
        </is>
      </c>
      <c r="BE236" s="49" t="inlineStr">
        <is>
          <t>IF(OR(F236="",AR236=""),"",IF(COUNT(AI236:AQ236)=0,"",AR236-LOOKUP(2,1/(AI236:AQ236&lt;&gt;""),AI236:AQ236)))</t>
        </is>
      </c>
      <c r="BF236" s="49" t="inlineStr">
        <is>
          <t>IF(OR(F236="",AS236=""),"",IF(COUNT(AI236:AR236)=0,"",AS236-LOOKUP(2,1/(AI236:AR236&lt;&gt;""),AI236:AR236)))</t>
        </is>
      </c>
      <c r="BG236" s="49" t="inlineStr">
        <is>
          <t>IF(OR(F236="",AT236=""),"",IF(COUNT(AI236:AS236)=0,"",AT236-LOOKUP(2,1/(AI236:AS236&lt;&gt;""),AI236:AS236)))</t>
        </is>
      </c>
      <c r="BH236" s="49" t="inlineStr">
        <is>
          <t>IF(OR(F236="",AU236=""),"",IF(COUNT(AI236:AT236)=0,"",AU236-LOOKUP(2,1/(AI236:AT236&lt;&gt;""),AI236:AT236)))</t>
        </is>
      </c>
      <c r="BI236" s="49" t="inlineStr">
        <is>
          <t>IF(OR(F236="",AV236=""),"",IF(COUNT(AI236:AU236)=0,"",AV236-LOOKUP(2,1/(AI236:AU236&lt;&gt;""),AI236:AU236)))</t>
        </is>
      </c>
      <c r="BJ236" s="51" t="inlineStr">
        <is>
          <t>IF(J236="","All_Provinces",IFERROR(VLOOKUP(J236,'09_Lookups'!$A$4:$B$20,2,FALSE),"All_Provinces"))</t>
        </is>
      </c>
      <c r="BK236" s="51" t="inlineStr">
        <is>
          <t>IF(K236="","All_Districts",IFERROR(VLOOKUP(K236,'09_Lookups'!$E$4:$F$42,2,FALSE),"All_Districts"))</t>
        </is>
      </c>
    </row>
    <row r="237" ht="18" customHeight="1">
      <c r="A237" s="42" t="inlineStr">
        <is>
          <t>IF(F237="","",ROW()-3)</t>
        </is>
      </c>
      <c r="B237" s="44" t="n"/>
      <c r="C237" s="44" t="n"/>
      <c r="D237" s="44" t="n"/>
      <c r="E237" s="44" t="n"/>
      <c r="F237" s="44" t="n"/>
      <c r="G237" s="44" t="n"/>
      <c r="H237" s="44" t="n"/>
      <c r="I237" s="44" t="n"/>
      <c r="J237" s="44" t="n"/>
      <c r="K237" s="44" t="n"/>
      <c r="L237" s="44" t="n"/>
      <c r="M237" s="44" t="n"/>
      <c r="N237" s="44" t="n"/>
      <c r="O237" s="44" t="n"/>
      <c r="P237" s="44" t="n"/>
      <c r="Q237" s="44" t="n"/>
      <c r="R237" s="44" t="n"/>
      <c r="S237" s="45" t="n"/>
      <c r="T237" s="46" t="inlineStr">
        <is>
          <t>IF(AQ237="","",AQ237)</t>
        </is>
      </c>
      <c r="U237" s="47" t="n"/>
      <c r="V237" s="48" t="n"/>
      <c r="W237" s="47" t="n"/>
      <c r="X237" s="46" t="inlineStr">
        <is>
          <t>IF(W237&lt;&gt;"",W237,IF(OR(T237="",V237=""),"",EDATE(T237,V237)))</t>
        </is>
      </c>
      <c r="Y237" s="47" t="n"/>
      <c r="Z237" s="48" t="n"/>
      <c r="AA237" s="44" t="n"/>
      <c r="AB237" s="44" t="n"/>
      <c r="AC237" s="42" t="inlineStr">
        <is>
          <t>IF(F237="","",IF(COUNT(AI237:AV237)=0,IF(AA237="","Not started",AA237),SUBSTITUTE(LOOKUP(2,1/(AI237:AV237&lt;&gt;""),$AI$3:$AV$3),"Date: ","")))</t>
        </is>
      </c>
      <c r="AD237" s="49" t="inlineStr">
        <is>
          <t>IF(OR(F237="",COUNT(AI237:AV237)=0),"",TODAY()-LOOKUP(2,1/(AI237:AV237&lt;&gt;""),AI237:AV237))</t>
        </is>
      </c>
      <c r="AE237" s="49" t="inlineStr">
        <is>
          <t>IF(OR(F237="",COUNT(AI237:AV237)&lt;2),"",LOOKUP(2,1/(AI237:AV237&lt;&gt;""),AI237:AV237)-MIN(AI237:AV237))</t>
        </is>
      </c>
      <c r="AF237" s="49" t="inlineStr">
        <is>
          <t>IF(OR(AD237="",AC237="Not started",AC237=""),"",IFERROR(AD237-IF(VLOOKUP(AC237,'06_Status_Pipeline'!$B$3:$E$20,4,FALSE)="",0,VLOOKUP(AC237,'06_Status_Pipeline'!$B$3:$E$20,4,FALSE)),""))</t>
        </is>
      </c>
      <c r="AG237" s="42" t="inlineStr">
        <is>
          <t>IF(F237="","",IF(OR(AA237="Cancelled",AC237="Cancelled"),"Cancelled",IF(OR(AC237="Completed / Handover",Y237&lt;&gt;"",Z237&gt;=100),"Completed — on track",IF(O237="Not awarded",IF(U237="",IF(X237="","No planned date",IF(TODAY()&gt;X237,"Behind — past planned date",IF(X237-TODAY()&lt;=30,"At risk — close to off track","On track"))),IF(TODAY()&gt;U237,"Behind — award date passed",IF(U237-TODAY()&lt;=30,"At risk — close to off track","On track"))),IF(X237="","No planned date",IF(AND(TODAY()&gt;X237,OR(Z237="",Z237&lt;100)),"Behind — past end date",IF(AND(T237&lt;&gt;"",X237&lt;&gt;"",Z237&lt;&gt;"",(Z237&lt;100),((TODAY()-T237)/MAX(X237-T237,1)*100)-Z237&gt;15),"Behind — progress lag",IF(AND(X237-TODAY()&lt;=30,X237-TODAY()&gt;=0,OR(Z237="",Z237&lt;90)),"At risk — close to off track","On track"))))))))</t>
        </is>
      </c>
      <c r="AH237" s="49" t="inlineStr">
        <is>
          <t>IF(OR(F237="",AC237="Completed / Handover",AC237="Cancelled"),"",IF(O237="Not awarded",IF(U237&lt;&gt;"",U237-TODAY(),IF(X237="","",X237-TODAY())),IF(X237="","",X237-TODAY())))</t>
        </is>
      </c>
      <c r="AI237" s="47" t="n"/>
      <c r="AJ237" s="47" t="n"/>
      <c r="AK237" s="47" t="n"/>
      <c r="AL237" s="47" t="n"/>
      <c r="AM237" s="47" t="n"/>
      <c r="AN237" s="47" t="n"/>
      <c r="AO237" s="47" t="n"/>
      <c r="AP237" s="47" t="n"/>
      <c r="AQ237" s="47" t="n"/>
      <c r="AR237" s="47" t="n"/>
      <c r="AS237" s="47" t="n"/>
      <c r="AT237" s="50" t="n"/>
      <c r="AU237" s="50" t="n"/>
      <c r="AV237" s="50" t="n"/>
      <c r="AW237" s="49" t="inlineStr">
        <is>
          <t>IF(OR(F237="",AJ237=""),"",IF(COUNT(AI237:AI237)=0,"",AJ237-LOOKUP(2,1/(AI237:AI237&lt;&gt;""),AI237:AI237)))</t>
        </is>
      </c>
      <c r="AX237" s="49" t="inlineStr">
        <is>
          <t>IF(OR(F237="",AK237=""),"",IF(COUNT(AI237:AJ237)=0,"",AK237-LOOKUP(2,1/(AI237:AJ237&lt;&gt;""),AI237:AJ237)))</t>
        </is>
      </c>
      <c r="AY237" s="49" t="inlineStr">
        <is>
          <t>IF(OR(F237="",AL237=""),"",IF(COUNT(AI237:AK237)=0,"",AL237-LOOKUP(2,1/(AI237:AK237&lt;&gt;""),AI237:AK237)))</t>
        </is>
      </c>
      <c r="AZ237" s="49" t="inlineStr">
        <is>
          <t>IF(OR(F237="",AM237=""),"",IF(COUNT(AI237:AL237)=0,"",AM237-LOOKUP(2,1/(AI237:AL237&lt;&gt;""),AI237:AL237)))</t>
        </is>
      </c>
      <c r="BA237" s="49" t="inlineStr">
        <is>
          <t>IF(OR(F237="",AN237=""),"",IF(COUNT(AI237:AM237)=0,"",AN237-LOOKUP(2,1/(AI237:AM237&lt;&gt;""),AI237:AM237)))</t>
        </is>
      </c>
      <c r="BB237" s="49" t="inlineStr">
        <is>
          <t>IF(OR(F237="",AO237=""),"",IF(COUNT(AI237:AN237)=0,"",AO237-LOOKUP(2,1/(AI237:AN237&lt;&gt;""),AI237:AN237)))</t>
        </is>
      </c>
      <c r="BC237" s="49" t="inlineStr">
        <is>
          <t>IF(OR(F237="",AP237=""),"",IF(COUNT(AI237:AO237)=0,"",AP237-LOOKUP(2,1/(AI237:AO237&lt;&gt;""),AI237:AO237)))</t>
        </is>
      </c>
      <c r="BD237" s="49" t="inlineStr">
        <is>
          <t>IF(OR(F237="",AQ237=""),"",IF(COUNT(AI237:AP237)=0,"",AQ237-LOOKUP(2,1/(AI237:AP237&lt;&gt;""),AI237:AP237)))</t>
        </is>
      </c>
      <c r="BE237" s="49" t="inlineStr">
        <is>
          <t>IF(OR(F237="",AR237=""),"",IF(COUNT(AI237:AQ237)=0,"",AR237-LOOKUP(2,1/(AI237:AQ237&lt;&gt;""),AI237:AQ237)))</t>
        </is>
      </c>
      <c r="BF237" s="49" t="inlineStr">
        <is>
          <t>IF(OR(F237="",AS237=""),"",IF(COUNT(AI237:AR237)=0,"",AS237-LOOKUP(2,1/(AI237:AR237&lt;&gt;""),AI237:AR237)))</t>
        </is>
      </c>
      <c r="BG237" s="49" t="inlineStr">
        <is>
          <t>IF(OR(F237="",AT237=""),"",IF(COUNT(AI237:AS237)=0,"",AT237-LOOKUP(2,1/(AI237:AS237&lt;&gt;""),AI237:AS237)))</t>
        </is>
      </c>
      <c r="BH237" s="49" t="inlineStr">
        <is>
          <t>IF(OR(F237="",AU237=""),"",IF(COUNT(AI237:AT237)=0,"",AU237-LOOKUP(2,1/(AI237:AT237&lt;&gt;""),AI237:AT237)))</t>
        </is>
      </c>
      <c r="BI237" s="49" t="inlineStr">
        <is>
          <t>IF(OR(F237="",AV237=""),"",IF(COUNT(AI237:AU237)=0,"",AV237-LOOKUP(2,1/(AI237:AU237&lt;&gt;""),AI237:AU237)))</t>
        </is>
      </c>
      <c r="BJ237" s="51" t="inlineStr">
        <is>
          <t>IF(J237="","All_Provinces",IFERROR(VLOOKUP(J237,'09_Lookups'!$A$4:$B$20,2,FALSE),"All_Provinces"))</t>
        </is>
      </c>
      <c r="BK237" s="51" t="inlineStr">
        <is>
          <t>IF(K237="","All_Districts",IFERROR(VLOOKUP(K237,'09_Lookups'!$E$4:$F$42,2,FALSE),"All_Districts"))</t>
        </is>
      </c>
    </row>
    <row r="238" ht="18" customHeight="1">
      <c r="A238" s="42" t="inlineStr">
        <is>
          <t>IF(F238="","",ROW()-3)</t>
        </is>
      </c>
      <c r="B238" s="52" t="n"/>
      <c r="C238" s="52" t="n"/>
      <c r="D238" s="52" t="n"/>
      <c r="E238" s="52" t="n"/>
      <c r="F238" s="52" t="n"/>
      <c r="G238" s="52" t="n"/>
      <c r="H238" s="52" t="n"/>
      <c r="I238" s="52" t="n"/>
      <c r="J238" s="52" t="n"/>
      <c r="K238" s="52" t="n"/>
      <c r="L238" s="52" t="n"/>
      <c r="M238" s="52" t="n"/>
      <c r="N238" s="52" t="n"/>
      <c r="O238" s="52" t="n"/>
      <c r="P238" s="52" t="n"/>
      <c r="Q238" s="52" t="n"/>
      <c r="R238" s="52" t="n"/>
      <c r="S238" s="53" t="n"/>
      <c r="T238" s="46" t="inlineStr">
        <is>
          <t>IF(AQ238="","",AQ238)</t>
        </is>
      </c>
      <c r="U238" s="54" t="n"/>
      <c r="V238" s="55" t="n"/>
      <c r="W238" s="54" t="n"/>
      <c r="X238" s="46" t="inlineStr">
        <is>
          <t>IF(W238&lt;&gt;"",W238,IF(OR(T238="",V238=""),"",EDATE(T238,V238)))</t>
        </is>
      </c>
      <c r="Y238" s="54" t="n"/>
      <c r="Z238" s="55" t="n"/>
      <c r="AA238" s="52" t="n"/>
      <c r="AB238" s="52" t="n"/>
      <c r="AC238" s="42" t="inlineStr">
        <is>
          <t>IF(F238="","",IF(COUNT(AI238:AV238)=0,IF(AA238="","Not started",AA238),SUBSTITUTE(LOOKUP(2,1/(AI238:AV238&lt;&gt;""),$AI$3:$AV$3),"Date: ","")))</t>
        </is>
      </c>
      <c r="AD238" s="49" t="inlineStr">
        <is>
          <t>IF(OR(F238="",COUNT(AI238:AV238)=0),"",TODAY()-LOOKUP(2,1/(AI238:AV238&lt;&gt;""),AI238:AV238))</t>
        </is>
      </c>
      <c r="AE238" s="49" t="inlineStr">
        <is>
          <t>IF(OR(F238="",COUNT(AI238:AV238)&lt;2),"",LOOKUP(2,1/(AI238:AV238&lt;&gt;""),AI238:AV238)-MIN(AI238:AV238))</t>
        </is>
      </c>
      <c r="AF238" s="49" t="inlineStr">
        <is>
          <t>IF(OR(AD238="",AC238="Not started",AC238=""),"",IFERROR(AD238-IF(VLOOKUP(AC238,'06_Status_Pipeline'!$B$3:$E$20,4,FALSE)="",0,VLOOKUP(AC238,'06_Status_Pipeline'!$B$3:$E$20,4,FALSE)),""))</t>
        </is>
      </c>
      <c r="AG238" s="42" t="inlineStr">
        <is>
          <t>IF(F238="","",IF(OR(AA238="Cancelled",AC238="Cancelled"),"Cancelled",IF(OR(AC238="Completed / Handover",Y238&lt;&gt;"",Z238&gt;=100),"Completed — on track",IF(O238="Not awarded",IF(U238="",IF(X238="","No planned date",IF(TODAY()&gt;X238,"Behind — past planned date",IF(X238-TODAY()&lt;=30,"At risk — close to off track","On track"))),IF(TODAY()&gt;U238,"Behind — award date passed",IF(U238-TODAY()&lt;=30,"At risk — close to off track","On track"))),IF(X238="","No planned date",IF(AND(TODAY()&gt;X238,OR(Z238="",Z238&lt;100)),"Behind — past end date",IF(AND(T238&lt;&gt;"",X238&lt;&gt;"",Z238&lt;&gt;"",(Z238&lt;100),((TODAY()-T238)/MAX(X238-T238,1)*100)-Z238&gt;15),"Behind — progress lag",IF(AND(X238-TODAY()&lt;=30,X238-TODAY()&gt;=0,OR(Z238="",Z238&lt;90)),"At risk — close to off track","On track"))))))))</t>
        </is>
      </c>
      <c r="AH238" s="49" t="inlineStr">
        <is>
          <t>IF(OR(F238="",AC238="Completed / Handover",AC238="Cancelled"),"",IF(O238="Not awarded",IF(U238&lt;&gt;"",U238-TODAY(),IF(X238="","",X238-TODAY())),IF(X238="","",X238-TODAY())))</t>
        </is>
      </c>
      <c r="AI238" s="54" t="n"/>
      <c r="AJ238" s="54" t="n"/>
      <c r="AK238" s="54" t="n"/>
      <c r="AL238" s="54" t="n"/>
      <c r="AM238" s="54" t="n"/>
      <c r="AN238" s="54" t="n"/>
      <c r="AO238" s="54" t="n"/>
      <c r="AP238" s="54" t="n"/>
      <c r="AQ238" s="54" t="n"/>
      <c r="AR238" s="54" t="n"/>
      <c r="AS238" s="54" t="n"/>
      <c r="AT238" s="50" t="n"/>
      <c r="AU238" s="50" t="n"/>
      <c r="AV238" s="50" t="n"/>
      <c r="AW238" s="49" t="inlineStr">
        <is>
          <t>IF(OR(F238="",AJ238=""),"",IF(COUNT(AI238:AI238)=0,"",AJ238-LOOKUP(2,1/(AI238:AI238&lt;&gt;""),AI238:AI238)))</t>
        </is>
      </c>
      <c r="AX238" s="49" t="inlineStr">
        <is>
          <t>IF(OR(F238="",AK238=""),"",IF(COUNT(AI238:AJ238)=0,"",AK238-LOOKUP(2,1/(AI238:AJ238&lt;&gt;""),AI238:AJ238)))</t>
        </is>
      </c>
      <c r="AY238" s="49" t="inlineStr">
        <is>
          <t>IF(OR(F238="",AL238=""),"",IF(COUNT(AI238:AK238)=0,"",AL238-LOOKUP(2,1/(AI238:AK238&lt;&gt;""),AI238:AK238)))</t>
        </is>
      </c>
      <c r="AZ238" s="49" t="inlineStr">
        <is>
          <t>IF(OR(F238="",AM238=""),"",IF(COUNT(AI238:AL238)=0,"",AM238-LOOKUP(2,1/(AI238:AL238&lt;&gt;""),AI238:AL238)))</t>
        </is>
      </c>
      <c r="BA238" s="49" t="inlineStr">
        <is>
          <t>IF(OR(F238="",AN238=""),"",IF(COUNT(AI238:AM238)=0,"",AN238-LOOKUP(2,1/(AI238:AM238&lt;&gt;""),AI238:AM238)))</t>
        </is>
      </c>
      <c r="BB238" s="49" t="inlineStr">
        <is>
          <t>IF(OR(F238="",AO238=""),"",IF(COUNT(AI238:AN238)=0,"",AO238-LOOKUP(2,1/(AI238:AN238&lt;&gt;""),AI238:AN238)))</t>
        </is>
      </c>
      <c r="BC238" s="49" t="inlineStr">
        <is>
          <t>IF(OR(F238="",AP238=""),"",IF(COUNT(AI238:AO238)=0,"",AP238-LOOKUP(2,1/(AI238:AO238&lt;&gt;""),AI238:AO238)))</t>
        </is>
      </c>
      <c r="BD238" s="49" t="inlineStr">
        <is>
          <t>IF(OR(F238="",AQ238=""),"",IF(COUNT(AI238:AP238)=0,"",AQ238-LOOKUP(2,1/(AI238:AP238&lt;&gt;""),AI238:AP238)))</t>
        </is>
      </c>
      <c r="BE238" s="49" t="inlineStr">
        <is>
          <t>IF(OR(F238="",AR238=""),"",IF(COUNT(AI238:AQ238)=0,"",AR238-LOOKUP(2,1/(AI238:AQ238&lt;&gt;""),AI238:AQ238)))</t>
        </is>
      </c>
      <c r="BF238" s="49" t="inlineStr">
        <is>
          <t>IF(OR(F238="",AS238=""),"",IF(COUNT(AI238:AR238)=0,"",AS238-LOOKUP(2,1/(AI238:AR238&lt;&gt;""),AI238:AR238)))</t>
        </is>
      </c>
      <c r="BG238" s="49" t="inlineStr">
        <is>
          <t>IF(OR(F238="",AT238=""),"",IF(COUNT(AI238:AS238)=0,"",AT238-LOOKUP(2,1/(AI238:AS238&lt;&gt;""),AI238:AS238)))</t>
        </is>
      </c>
      <c r="BH238" s="49" t="inlineStr">
        <is>
          <t>IF(OR(F238="",AU238=""),"",IF(COUNT(AI238:AT238)=0,"",AU238-LOOKUP(2,1/(AI238:AT238&lt;&gt;""),AI238:AT238)))</t>
        </is>
      </c>
      <c r="BI238" s="49" t="inlineStr">
        <is>
          <t>IF(OR(F238="",AV238=""),"",IF(COUNT(AI238:AU238)=0,"",AV238-LOOKUP(2,1/(AI238:AU238&lt;&gt;""),AI238:AU238)))</t>
        </is>
      </c>
      <c r="BJ238" s="51" t="inlineStr">
        <is>
          <t>IF(J238="","All_Provinces",IFERROR(VLOOKUP(J238,'09_Lookups'!$A$4:$B$20,2,FALSE),"All_Provinces"))</t>
        </is>
      </c>
      <c r="BK238" s="51" t="inlineStr">
        <is>
          <t>IF(K238="","All_Districts",IFERROR(VLOOKUP(K238,'09_Lookups'!$E$4:$F$42,2,FALSE),"All_Districts"))</t>
        </is>
      </c>
    </row>
    <row r="239" ht="18" customHeight="1">
      <c r="A239" s="42" t="inlineStr">
        <is>
          <t>IF(F239="","",ROW()-3)</t>
        </is>
      </c>
      <c r="B239" s="44" t="n"/>
      <c r="C239" s="44" t="n"/>
      <c r="D239" s="44" t="n"/>
      <c r="E239" s="44" t="n"/>
      <c r="F239" s="44" t="n"/>
      <c r="G239" s="44" t="n"/>
      <c r="H239" s="44" t="n"/>
      <c r="I239" s="44" t="n"/>
      <c r="J239" s="44" t="n"/>
      <c r="K239" s="44" t="n"/>
      <c r="L239" s="44" t="n"/>
      <c r="M239" s="44" t="n"/>
      <c r="N239" s="44" t="n"/>
      <c r="O239" s="44" t="n"/>
      <c r="P239" s="44" t="n"/>
      <c r="Q239" s="44" t="n"/>
      <c r="R239" s="44" t="n"/>
      <c r="S239" s="45" t="n"/>
      <c r="T239" s="46" t="inlineStr">
        <is>
          <t>IF(AQ239="","",AQ239)</t>
        </is>
      </c>
      <c r="U239" s="47" t="n"/>
      <c r="V239" s="48" t="n"/>
      <c r="W239" s="47" t="n"/>
      <c r="X239" s="46" t="inlineStr">
        <is>
          <t>IF(W239&lt;&gt;"",W239,IF(OR(T239="",V239=""),"",EDATE(T239,V239)))</t>
        </is>
      </c>
      <c r="Y239" s="47" t="n"/>
      <c r="Z239" s="48" t="n"/>
      <c r="AA239" s="44" t="n"/>
      <c r="AB239" s="44" t="n"/>
      <c r="AC239" s="42" t="inlineStr">
        <is>
          <t>IF(F239="","",IF(COUNT(AI239:AV239)=0,IF(AA239="","Not started",AA239),SUBSTITUTE(LOOKUP(2,1/(AI239:AV239&lt;&gt;""),$AI$3:$AV$3),"Date: ","")))</t>
        </is>
      </c>
      <c r="AD239" s="49" t="inlineStr">
        <is>
          <t>IF(OR(F239="",COUNT(AI239:AV239)=0),"",TODAY()-LOOKUP(2,1/(AI239:AV239&lt;&gt;""),AI239:AV239))</t>
        </is>
      </c>
      <c r="AE239" s="49" t="inlineStr">
        <is>
          <t>IF(OR(F239="",COUNT(AI239:AV239)&lt;2),"",LOOKUP(2,1/(AI239:AV239&lt;&gt;""),AI239:AV239)-MIN(AI239:AV239))</t>
        </is>
      </c>
      <c r="AF239" s="49" t="inlineStr">
        <is>
          <t>IF(OR(AD239="",AC239="Not started",AC239=""),"",IFERROR(AD239-IF(VLOOKUP(AC239,'06_Status_Pipeline'!$B$3:$E$20,4,FALSE)="",0,VLOOKUP(AC239,'06_Status_Pipeline'!$B$3:$E$20,4,FALSE)),""))</t>
        </is>
      </c>
      <c r="AG239" s="42" t="inlineStr">
        <is>
          <t>IF(F239="","",IF(OR(AA239="Cancelled",AC239="Cancelled"),"Cancelled",IF(OR(AC239="Completed / Handover",Y239&lt;&gt;"",Z239&gt;=100),"Completed — on track",IF(O239="Not awarded",IF(U239="",IF(X239="","No planned date",IF(TODAY()&gt;X239,"Behind — past planned date",IF(X239-TODAY()&lt;=30,"At risk — close to off track","On track"))),IF(TODAY()&gt;U239,"Behind — award date passed",IF(U239-TODAY()&lt;=30,"At risk — close to off track","On track"))),IF(X239="","No planned date",IF(AND(TODAY()&gt;X239,OR(Z239="",Z239&lt;100)),"Behind — past end date",IF(AND(T239&lt;&gt;"",X239&lt;&gt;"",Z239&lt;&gt;"",(Z239&lt;100),((TODAY()-T239)/MAX(X239-T239,1)*100)-Z239&gt;15),"Behind — progress lag",IF(AND(X239-TODAY()&lt;=30,X239-TODAY()&gt;=0,OR(Z239="",Z239&lt;90)),"At risk — close to off track","On track"))))))))</t>
        </is>
      </c>
      <c r="AH239" s="49" t="inlineStr">
        <is>
          <t>IF(OR(F239="",AC239="Completed / Handover",AC239="Cancelled"),"",IF(O239="Not awarded",IF(U239&lt;&gt;"",U239-TODAY(),IF(X239="","",X239-TODAY())),IF(X239="","",X239-TODAY())))</t>
        </is>
      </c>
      <c r="AI239" s="47" t="n"/>
      <c r="AJ239" s="47" t="n"/>
      <c r="AK239" s="47" t="n"/>
      <c r="AL239" s="47" t="n"/>
      <c r="AM239" s="47" t="n"/>
      <c r="AN239" s="47" t="n"/>
      <c r="AO239" s="47" t="n"/>
      <c r="AP239" s="47" t="n"/>
      <c r="AQ239" s="47" t="n"/>
      <c r="AR239" s="47" t="n"/>
      <c r="AS239" s="47" t="n"/>
      <c r="AT239" s="50" t="n"/>
      <c r="AU239" s="50" t="n"/>
      <c r="AV239" s="50" t="n"/>
      <c r="AW239" s="49" t="inlineStr">
        <is>
          <t>IF(OR(F239="",AJ239=""),"",IF(COUNT(AI239:AI239)=0,"",AJ239-LOOKUP(2,1/(AI239:AI239&lt;&gt;""),AI239:AI239)))</t>
        </is>
      </c>
      <c r="AX239" s="49" t="inlineStr">
        <is>
          <t>IF(OR(F239="",AK239=""),"",IF(COUNT(AI239:AJ239)=0,"",AK239-LOOKUP(2,1/(AI239:AJ239&lt;&gt;""),AI239:AJ239)))</t>
        </is>
      </c>
      <c r="AY239" s="49" t="inlineStr">
        <is>
          <t>IF(OR(F239="",AL239=""),"",IF(COUNT(AI239:AK239)=0,"",AL239-LOOKUP(2,1/(AI239:AK239&lt;&gt;""),AI239:AK239)))</t>
        </is>
      </c>
      <c r="AZ239" s="49" t="inlineStr">
        <is>
          <t>IF(OR(F239="",AM239=""),"",IF(COUNT(AI239:AL239)=0,"",AM239-LOOKUP(2,1/(AI239:AL239&lt;&gt;""),AI239:AL239)))</t>
        </is>
      </c>
      <c r="BA239" s="49" t="inlineStr">
        <is>
          <t>IF(OR(F239="",AN239=""),"",IF(COUNT(AI239:AM239)=0,"",AN239-LOOKUP(2,1/(AI239:AM239&lt;&gt;""),AI239:AM239)))</t>
        </is>
      </c>
      <c r="BB239" s="49" t="inlineStr">
        <is>
          <t>IF(OR(F239="",AO239=""),"",IF(COUNT(AI239:AN239)=0,"",AO239-LOOKUP(2,1/(AI239:AN239&lt;&gt;""),AI239:AN239)))</t>
        </is>
      </c>
      <c r="BC239" s="49" t="inlineStr">
        <is>
          <t>IF(OR(F239="",AP239=""),"",IF(COUNT(AI239:AO239)=0,"",AP239-LOOKUP(2,1/(AI239:AO239&lt;&gt;""),AI239:AO239)))</t>
        </is>
      </c>
      <c r="BD239" s="49" t="inlineStr">
        <is>
          <t>IF(OR(F239="",AQ239=""),"",IF(COUNT(AI239:AP239)=0,"",AQ239-LOOKUP(2,1/(AI239:AP239&lt;&gt;""),AI239:AP239)))</t>
        </is>
      </c>
      <c r="BE239" s="49" t="inlineStr">
        <is>
          <t>IF(OR(F239="",AR239=""),"",IF(COUNT(AI239:AQ239)=0,"",AR239-LOOKUP(2,1/(AI239:AQ239&lt;&gt;""),AI239:AQ239)))</t>
        </is>
      </c>
      <c r="BF239" s="49" t="inlineStr">
        <is>
          <t>IF(OR(F239="",AS239=""),"",IF(COUNT(AI239:AR239)=0,"",AS239-LOOKUP(2,1/(AI239:AR239&lt;&gt;""),AI239:AR239)))</t>
        </is>
      </c>
      <c r="BG239" s="49" t="inlineStr">
        <is>
          <t>IF(OR(F239="",AT239=""),"",IF(COUNT(AI239:AS239)=0,"",AT239-LOOKUP(2,1/(AI239:AS239&lt;&gt;""),AI239:AS239)))</t>
        </is>
      </c>
      <c r="BH239" s="49" t="inlineStr">
        <is>
          <t>IF(OR(F239="",AU239=""),"",IF(COUNT(AI239:AT239)=0,"",AU239-LOOKUP(2,1/(AI239:AT239&lt;&gt;""),AI239:AT239)))</t>
        </is>
      </c>
      <c r="BI239" s="49" t="inlineStr">
        <is>
          <t>IF(OR(F239="",AV239=""),"",IF(COUNT(AI239:AU239)=0,"",AV239-LOOKUP(2,1/(AI239:AU239&lt;&gt;""),AI239:AU239)))</t>
        </is>
      </c>
      <c r="BJ239" s="51" t="inlineStr">
        <is>
          <t>IF(J239="","All_Provinces",IFERROR(VLOOKUP(J239,'09_Lookups'!$A$4:$B$20,2,FALSE),"All_Provinces"))</t>
        </is>
      </c>
      <c r="BK239" s="51" t="inlineStr">
        <is>
          <t>IF(K239="","All_Districts",IFERROR(VLOOKUP(K239,'09_Lookups'!$E$4:$F$42,2,FALSE),"All_Districts"))</t>
        </is>
      </c>
    </row>
    <row r="240" ht="18" customHeight="1">
      <c r="A240" s="42" t="inlineStr">
        <is>
          <t>IF(F240="","",ROW()-3)</t>
        </is>
      </c>
      <c r="B240" s="52" t="n"/>
      <c r="C240" s="52" t="n"/>
      <c r="D240" s="52" t="n"/>
      <c r="E240" s="52" t="n"/>
      <c r="F240" s="52" t="n"/>
      <c r="G240" s="52" t="n"/>
      <c r="H240" s="52" t="n"/>
      <c r="I240" s="52" t="n"/>
      <c r="J240" s="52" t="n"/>
      <c r="K240" s="52" t="n"/>
      <c r="L240" s="52" t="n"/>
      <c r="M240" s="52" t="n"/>
      <c r="N240" s="52" t="n"/>
      <c r="O240" s="52" t="n"/>
      <c r="P240" s="52" t="n"/>
      <c r="Q240" s="52" t="n"/>
      <c r="R240" s="52" t="n"/>
      <c r="S240" s="53" t="n"/>
      <c r="T240" s="46" t="inlineStr">
        <is>
          <t>IF(AQ240="","",AQ240)</t>
        </is>
      </c>
      <c r="U240" s="54" t="n"/>
      <c r="V240" s="55" t="n"/>
      <c r="W240" s="54" t="n"/>
      <c r="X240" s="46" t="inlineStr">
        <is>
          <t>IF(W240&lt;&gt;"",W240,IF(OR(T240="",V240=""),"",EDATE(T240,V240)))</t>
        </is>
      </c>
      <c r="Y240" s="54" t="n"/>
      <c r="Z240" s="55" t="n"/>
      <c r="AA240" s="52" t="n"/>
      <c r="AB240" s="52" t="n"/>
      <c r="AC240" s="42" t="inlineStr">
        <is>
          <t>IF(F240="","",IF(COUNT(AI240:AV240)=0,IF(AA240="","Not started",AA240),SUBSTITUTE(LOOKUP(2,1/(AI240:AV240&lt;&gt;""),$AI$3:$AV$3),"Date: ","")))</t>
        </is>
      </c>
      <c r="AD240" s="49" t="inlineStr">
        <is>
          <t>IF(OR(F240="",COUNT(AI240:AV240)=0),"",TODAY()-LOOKUP(2,1/(AI240:AV240&lt;&gt;""),AI240:AV240))</t>
        </is>
      </c>
      <c r="AE240" s="49" t="inlineStr">
        <is>
          <t>IF(OR(F240="",COUNT(AI240:AV240)&lt;2),"",LOOKUP(2,1/(AI240:AV240&lt;&gt;""),AI240:AV240)-MIN(AI240:AV240))</t>
        </is>
      </c>
      <c r="AF240" s="49" t="inlineStr">
        <is>
          <t>IF(OR(AD240="",AC240="Not started",AC240=""),"",IFERROR(AD240-IF(VLOOKUP(AC240,'06_Status_Pipeline'!$B$3:$E$20,4,FALSE)="",0,VLOOKUP(AC240,'06_Status_Pipeline'!$B$3:$E$20,4,FALSE)),""))</t>
        </is>
      </c>
      <c r="AG240" s="42" t="inlineStr">
        <is>
          <t>IF(F240="","",IF(OR(AA240="Cancelled",AC240="Cancelled"),"Cancelled",IF(OR(AC240="Completed / Handover",Y240&lt;&gt;"",Z240&gt;=100),"Completed — on track",IF(O240="Not awarded",IF(U240="",IF(X240="","No planned date",IF(TODAY()&gt;X240,"Behind — past planned date",IF(X240-TODAY()&lt;=30,"At risk — close to off track","On track"))),IF(TODAY()&gt;U240,"Behind — award date passed",IF(U240-TODAY()&lt;=30,"At risk — close to off track","On track"))),IF(X240="","No planned date",IF(AND(TODAY()&gt;X240,OR(Z240="",Z240&lt;100)),"Behind — past end date",IF(AND(T240&lt;&gt;"",X240&lt;&gt;"",Z240&lt;&gt;"",(Z240&lt;100),((TODAY()-T240)/MAX(X240-T240,1)*100)-Z240&gt;15),"Behind — progress lag",IF(AND(X240-TODAY()&lt;=30,X240-TODAY()&gt;=0,OR(Z240="",Z240&lt;90)),"At risk — close to off track","On track"))))))))</t>
        </is>
      </c>
      <c r="AH240" s="49" t="inlineStr">
        <is>
          <t>IF(OR(F240="",AC240="Completed / Handover",AC240="Cancelled"),"",IF(O240="Not awarded",IF(U240&lt;&gt;"",U240-TODAY(),IF(X240="","",X240-TODAY())),IF(X240="","",X240-TODAY())))</t>
        </is>
      </c>
      <c r="AI240" s="54" t="n"/>
      <c r="AJ240" s="54" t="n"/>
      <c r="AK240" s="54" t="n"/>
      <c r="AL240" s="54" t="n"/>
      <c r="AM240" s="54" t="n"/>
      <c r="AN240" s="54" t="n"/>
      <c r="AO240" s="54" t="n"/>
      <c r="AP240" s="54" t="n"/>
      <c r="AQ240" s="54" t="n"/>
      <c r="AR240" s="54" t="n"/>
      <c r="AS240" s="54" t="n"/>
      <c r="AT240" s="50" t="n"/>
      <c r="AU240" s="50" t="n"/>
      <c r="AV240" s="50" t="n"/>
      <c r="AW240" s="49" t="inlineStr">
        <is>
          <t>IF(OR(F240="",AJ240=""),"",IF(COUNT(AI240:AI240)=0,"",AJ240-LOOKUP(2,1/(AI240:AI240&lt;&gt;""),AI240:AI240)))</t>
        </is>
      </c>
      <c r="AX240" s="49" t="inlineStr">
        <is>
          <t>IF(OR(F240="",AK240=""),"",IF(COUNT(AI240:AJ240)=0,"",AK240-LOOKUP(2,1/(AI240:AJ240&lt;&gt;""),AI240:AJ240)))</t>
        </is>
      </c>
      <c r="AY240" s="49" t="inlineStr">
        <is>
          <t>IF(OR(F240="",AL240=""),"",IF(COUNT(AI240:AK240)=0,"",AL240-LOOKUP(2,1/(AI240:AK240&lt;&gt;""),AI240:AK240)))</t>
        </is>
      </c>
      <c r="AZ240" s="49" t="inlineStr">
        <is>
          <t>IF(OR(F240="",AM240=""),"",IF(COUNT(AI240:AL240)=0,"",AM240-LOOKUP(2,1/(AI240:AL240&lt;&gt;""),AI240:AL240)))</t>
        </is>
      </c>
      <c r="BA240" s="49" t="inlineStr">
        <is>
          <t>IF(OR(F240="",AN240=""),"",IF(COUNT(AI240:AM240)=0,"",AN240-LOOKUP(2,1/(AI240:AM240&lt;&gt;""),AI240:AM240)))</t>
        </is>
      </c>
      <c r="BB240" s="49" t="inlineStr">
        <is>
          <t>IF(OR(F240="",AO240=""),"",IF(COUNT(AI240:AN240)=0,"",AO240-LOOKUP(2,1/(AI240:AN240&lt;&gt;""),AI240:AN240)))</t>
        </is>
      </c>
      <c r="BC240" s="49" t="inlineStr">
        <is>
          <t>IF(OR(F240="",AP240=""),"",IF(COUNT(AI240:AO240)=0,"",AP240-LOOKUP(2,1/(AI240:AO240&lt;&gt;""),AI240:AO240)))</t>
        </is>
      </c>
      <c r="BD240" s="49" t="inlineStr">
        <is>
          <t>IF(OR(F240="",AQ240=""),"",IF(COUNT(AI240:AP240)=0,"",AQ240-LOOKUP(2,1/(AI240:AP240&lt;&gt;""),AI240:AP240)))</t>
        </is>
      </c>
      <c r="BE240" s="49" t="inlineStr">
        <is>
          <t>IF(OR(F240="",AR240=""),"",IF(COUNT(AI240:AQ240)=0,"",AR240-LOOKUP(2,1/(AI240:AQ240&lt;&gt;""),AI240:AQ240)))</t>
        </is>
      </c>
      <c r="BF240" s="49" t="inlineStr">
        <is>
          <t>IF(OR(F240="",AS240=""),"",IF(COUNT(AI240:AR240)=0,"",AS240-LOOKUP(2,1/(AI240:AR240&lt;&gt;""),AI240:AR240)))</t>
        </is>
      </c>
      <c r="BG240" s="49" t="inlineStr">
        <is>
          <t>IF(OR(F240="",AT240=""),"",IF(COUNT(AI240:AS240)=0,"",AT240-LOOKUP(2,1/(AI240:AS240&lt;&gt;""),AI240:AS240)))</t>
        </is>
      </c>
      <c r="BH240" s="49" t="inlineStr">
        <is>
          <t>IF(OR(F240="",AU240=""),"",IF(COUNT(AI240:AT240)=0,"",AU240-LOOKUP(2,1/(AI240:AT240&lt;&gt;""),AI240:AT240)))</t>
        </is>
      </c>
      <c r="BI240" s="49" t="inlineStr">
        <is>
          <t>IF(OR(F240="",AV240=""),"",IF(COUNT(AI240:AU240)=0,"",AV240-LOOKUP(2,1/(AI240:AU240&lt;&gt;""),AI240:AU240)))</t>
        </is>
      </c>
      <c r="BJ240" s="51" t="inlineStr">
        <is>
          <t>IF(J240="","All_Provinces",IFERROR(VLOOKUP(J240,'09_Lookups'!$A$4:$B$20,2,FALSE),"All_Provinces"))</t>
        </is>
      </c>
      <c r="BK240" s="51" t="inlineStr">
        <is>
          <t>IF(K240="","All_Districts",IFERROR(VLOOKUP(K240,'09_Lookups'!$E$4:$F$42,2,FALSE),"All_Districts"))</t>
        </is>
      </c>
    </row>
    <row r="241" ht="18" customHeight="1">
      <c r="A241" s="42" t="inlineStr">
        <is>
          <t>IF(F241="","",ROW()-3)</t>
        </is>
      </c>
      <c r="B241" s="44" t="n"/>
      <c r="C241" s="44" t="n"/>
      <c r="D241" s="44" t="n"/>
      <c r="E241" s="44" t="n"/>
      <c r="F241" s="44" t="n"/>
      <c r="G241" s="44" t="n"/>
      <c r="H241" s="44" t="n"/>
      <c r="I241" s="44" t="n"/>
      <c r="J241" s="44" t="n"/>
      <c r="K241" s="44" t="n"/>
      <c r="L241" s="44" t="n"/>
      <c r="M241" s="44" t="n"/>
      <c r="N241" s="44" t="n"/>
      <c r="O241" s="44" t="n"/>
      <c r="P241" s="44" t="n"/>
      <c r="Q241" s="44" t="n"/>
      <c r="R241" s="44" t="n"/>
      <c r="S241" s="45" t="n"/>
      <c r="T241" s="46" t="inlineStr">
        <is>
          <t>IF(AQ241="","",AQ241)</t>
        </is>
      </c>
      <c r="U241" s="47" t="n"/>
      <c r="V241" s="48" t="n"/>
      <c r="W241" s="47" t="n"/>
      <c r="X241" s="46" t="inlineStr">
        <is>
          <t>IF(W241&lt;&gt;"",W241,IF(OR(T241="",V241=""),"",EDATE(T241,V241)))</t>
        </is>
      </c>
      <c r="Y241" s="47" t="n"/>
      <c r="Z241" s="48" t="n"/>
      <c r="AA241" s="44" t="n"/>
      <c r="AB241" s="44" t="n"/>
      <c r="AC241" s="42" t="inlineStr">
        <is>
          <t>IF(F241="","",IF(COUNT(AI241:AV241)=0,IF(AA241="","Not started",AA241),SUBSTITUTE(LOOKUP(2,1/(AI241:AV241&lt;&gt;""),$AI$3:$AV$3),"Date: ","")))</t>
        </is>
      </c>
      <c r="AD241" s="49" t="inlineStr">
        <is>
          <t>IF(OR(F241="",COUNT(AI241:AV241)=0),"",TODAY()-LOOKUP(2,1/(AI241:AV241&lt;&gt;""),AI241:AV241))</t>
        </is>
      </c>
      <c r="AE241" s="49" t="inlineStr">
        <is>
          <t>IF(OR(F241="",COUNT(AI241:AV241)&lt;2),"",LOOKUP(2,1/(AI241:AV241&lt;&gt;""),AI241:AV241)-MIN(AI241:AV241))</t>
        </is>
      </c>
      <c r="AF241" s="49" t="inlineStr">
        <is>
          <t>IF(OR(AD241="",AC241="Not started",AC241=""),"",IFERROR(AD241-IF(VLOOKUP(AC241,'06_Status_Pipeline'!$B$3:$E$20,4,FALSE)="",0,VLOOKUP(AC241,'06_Status_Pipeline'!$B$3:$E$20,4,FALSE)),""))</t>
        </is>
      </c>
      <c r="AG241" s="42" t="inlineStr">
        <is>
          <t>IF(F241="","",IF(OR(AA241="Cancelled",AC241="Cancelled"),"Cancelled",IF(OR(AC241="Completed / Handover",Y241&lt;&gt;"",Z241&gt;=100),"Completed — on track",IF(O241="Not awarded",IF(U241="",IF(X241="","No planned date",IF(TODAY()&gt;X241,"Behind — past planned date",IF(X241-TODAY()&lt;=30,"At risk — close to off track","On track"))),IF(TODAY()&gt;U241,"Behind — award date passed",IF(U241-TODAY()&lt;=30,"At risk — close to off track","On track"))),IF(X241="","No planned date",IF(AND(TODAY()&gt;X241,OR(Z241="",Z241&lt;100)),"Behind — past end date",IF(AND(T241&lt;&gt;"",X241&lt;&gt;"",Z241&lt;&gt;"",(Z241&lt;100),((TODAY()-T241)/MAX(X241-T241,1)*100)-Z241&gt;15),"Behind — progress lag",IF(AND(X241-TODAY()&lt;=30,X241-TODAY()&gt;=0,OR(Z241="",Z241&lt;90)),"At risk — close to off track","On track"))))))))</t>
        </is>
      </c>
      <c r="AH241" s="49" t="inlineStr">
        <is>
          <t>IF(OR(F241="",AC241="Completed / Handover",AC241="Cancelled"),"",IF(O241="Not awarded",IF(U241&lt;&gt;"",U241-TODAY(),IF(X241="","",X241-TODAY())),IF(X241="","",X241-TODAY())))</t>
        </is>
      </c>
      <c r="AI241" s="47" t="n"/>
      <c r="AJ241" s="47" t="n"/>
      <c r="AK241" s="47" t="n"/>
      <c r="AL241" s="47" t="n"/>
      <c r="AM241" s="47" t="n"/>
      <c r="AN241" s="47" t="n"/>
      <c r="AO241" s="47" t="n"/>
      <c r="AP241" s="47" t="n"/>
      <c r="AQ241" s="47" t="n"/>
      <c r="AR241" s="47" t="n"/>
      <c r="AS241" s="47" t="n"/>
      <c r="AT241" s="50" t="n"/>
      <c r="AU241" s="50" t="n"/>
      <c r="AV241" s="50" t="n"/>
      <c r="AW241" s="49" t="inlineStr">
        <is>
          <t>IF(OR(F241="",AJ241=""),"",IF(COUNT(AI241:AI241)=0,"",AJ241-LOOKUP(2,1/(AI241:AI241&lt;&gt;""),AI241:AI241)))</t>
        </is>
      </c>
      <c r="AX241" s="49" t="inlineStr">
        <is>
          <t>IF(OR(F241="",AK241=""),"",IF(COUNT(AI241:AJ241)=0,"",AK241-LOOKUP(2,1/(AI241:AJ241&lt;&gt;""),AI241:AJ241)))</t>
        </is>
      </c>
      <c r="AY241" s="49" t="inlineStr">
        <is>
          <t>IF(OR(F241="",AL241=""),"",IF(COUNT(AI241:AK241)=0,"",AL241-LOOKUP(2,1/(AI241:AK241&lt;&gt;""),AI241:AK241)))</t>
        </is>
      </c>
      <c r="AZ241" s="49" t="inlineStr">
        <is>
          <t>IF(OR(F241="",AM241=""),"",IF(COUNT(AI241:AL241)=0,"",AM241-LOOKUP(2,1/(AI241:AL241&lt;&gt;""),AI241:AL241)))</t>
        </is>
      </c>
      <c r="BA241" s="49" t="inlineStr">
        <is>
          <t>IF(OR(F241="",AN241=""),"",IF(COUNT(AI241:AM241)=0,"",AN241-LOOKUP(2,1/(AI241:AM241&lt;&gt;""),AI241:AM241)))</t>
        </is>
      </c>
      <c r="BB241" s="49" t="inlineStr">
        <is>
          <t>IF(OR(F241="",AO241=""),"",IF(COUNT(AI241:AN241)=0,"",AO241-LOOKUP(2,1/(AI241:AN241&lt;&gt;""),AI241:AN241)))</t>
        </is>
      </c>
      <c r="BC241" s="49" t="inlineStr">
        <is>
          <t>IF(OR(F241="",AP241=""),"",IF(COUNT(AI241:AO241)=0,"",AP241-LOOKUP(2,1/(AI241:AO241&lt;&gt;""),AI241:AO241)))</t>
        </is>
      </c>
      <c r="BD241" s="49" t="inlineStr">
        <is>
          <t>IF(OR(F241="",AQ241=""),"",IF(COUNT(AI241:AP241)=0,"",AQ241-LOOKUP(2,1/(AI241:AP241&lt;&gt;""),AI241:AP241)))</t>
        </is>
      </c>
      <c r="BE241" s="49" t="inlineStr">
        <is>
          <t>IF(OR(F241="",AR241=""),"",IF(COUNT(AI241:AQ241)=0,"",AR241-LOOKUP(2,1/(AI241:AQ241&lt;&gt;""),AI241:AQ241)))</t>
        </is>
      </c>
      <c r="BF241" s="49" t="inlineStr">
        <is>
          <t>IF(OR(F241="",AS241=""),"",IF(COUNT(AI241:AR241)=0,"",AS241-LOOKUP(2,1/(AI241:AR241&lt;&gt;""),AI241:AR241)))</t>
        </is>
      </c>
      <c r="BG241" s="49" t="inlineStr">
        <is>
          <t>IF(OR(F241="",AT241=""),"",IF(COUNT(AI241:AS241)=0,"",AT241-LOOKUP(2,1/(AI241:AS241&lt;&gt;""),AI241:AS241)))</t>
        </is>
      </c>
      <c r="BH241" s="49" t="inlineStr">
        <is>
          <t>IF(OR(F241="",AU241=""),"",IF(COUNT(AI241:AT241)=0,"",AU241-LOOKUP(2,1/(AI241:AT241&lt;&gt;""),AI241:AT241)))</t>
        </is>
      </c>
      <c r="BI241" s="49" t="inlineStr">
        <is>
          <t>IF(OR(F241="",AV241=""),"",IF(COUNT(AI241:AU241)=0,"",AV241-LOOKUP(2,1/(AI241:AU241&lt;&gt;""),AI241:AU241)))</t>
        </is>
      </c>
      <c r="BJ241" s="51" t="inlineStr">
        <is>
          <t>IF(J241="","All_Provinces",IFERROR(VLOOKUP(J241,'09_Lookups'!$A$4:$B$20,2,FALSE),"All_Provinces"))</t>
        </is>
      </c>
      <c r="BK241" s="51" t="inlineStr">
        <is>
          <t>IF(K241="","All_Districts",IFERROR(VLOOKUP(K241,'09_Lookups'!$E$4:$F$42,2,FALSE),"All_Districts"))</t>
        </is>
      </c>
    </row>
    <row r="242" ht="18" customHeight="1">
      <c r="A242" s="42" t="inlineStr">
        <is>
          <t>IF(F242="","",ROW()-3)</t>
        </is>
      </c>
      <c r="B242" s="52" t="n"/>
      <c r="C242" s="52" t="n"/>
      <c r="D242" s="52" t="n"/>
      <c r="E242" s="52" t="n"/>
      <c r="F242" s="52" t="n"/>
      <c r="G242" s="52" t="n"/>
      <c r="H242" s="52" t="n"/>
      <c r="I242" s="52" t="n"/>
      <c r="J242" s="52" t="n"/>
      <c r="K242" s="52" t="n"/>
      <c r="L242" s="52" t="n"/>
      <c r="M242" s="52" t="n"/>
      <c r="N242" s="52" t="n"/>
      <c r="O242" s="52" t="n"/>
      <c r="P242" s="52" t="n"/>
      <c r="Q242" s="52" t="n"/>
      <c r="R242" s="52" t="n"/>
      <c r="S242" s="53" t="n"/>
      <c r="T242" s="46" t="inlineStr">
        <is>
          <t>IF(AQ242="","",AQ242)</t>
        </is>
      </c>
      <c r="U242" s="54" t="n"/>
      <c r="V242" s="55" t="n"/>
      <c r="W242" s="54" t="n"/>
      <c r="X242" s="46" t="inlineStr">
        <is>
          <t>IF(W242&lt;&gt;"",W242,IF(OR(T242="",V242=""),"",EDATE(T242,V242)))</t>
        </is>
      </c>
      <c r="Y242" s="54" t="n"/>
      <c r="Z242" s="55" t="n"/>
      <c r="AA242" s="52" t="n"/>
      <c r="AB242" s="52" t="n"/>
      <c r="AC242" s="42" t="inlineStr">
        <is>
          <t>IF(F242="","",IF(COUNT(AI242:AV242)=0,IF(AA242="","Not started",AA242),SUBSTITUTE(LOOKUP(2,1/(AI242:AV242&lt;&gt;""),$AI$3:$AV$3),"Date: ","")))</t>
        </is>
      </c>
      <c r="AD242" s="49" t="inlineStr">
        <is>
          <t>IF(OR(F242="",COUNT(AI242:AV242)=0),"",TODAY()-LOOKUP(2,1/(AI242:AV242&lt;&gt;""),AI242:AV242))</t>
        </is>
      </c>
      <c r="AE242" s="49" t="inlineStr">
        <is>
          <t>IF(OR(F242="",COUNT(AI242:AV242)&lt;2),"",LOOKUP(2,1/(AI242:AV242&lt;&gt;""),AI242:AV242)-MIN(AI242:AV242))</t>
        </is>
      </c>
      <c r="AF242" s="49" t="inlineStr">
        <is>
          <t>IF(OR(AD242="",AC242="Not started",AC242=""),"",IFERROR(AD242-IF(VLOOKUP(AC242,'06_Status_Pipeline'!$B$3:$E$20,4,FALSE)="",0,VLOOKUP(AC242,'06_Status_Pipeline'!$B$3:$E$20,4,FALSE)),""))</t>
        </is>
      </c>
      <c r="AG242" s="42" t="inlineStr">
        <is>
          <t>IF(F242="","",IF(OR(AA242="Cancelled",AC242="Cancelled"),"Cancelled",IF(OR(AC242="Completed / Handover",Y242&lt;&gt;"",Z242&gt;=100),"Completed — on track",IF(O242="Not awarded",IF(U242="",IF(X242="","No planned date",IF(TODAY()&gt;X242,"Behind — past planned date",IF(X242-TODAY()&lt;=30,"At risk — close to off track","On track"))),IF(TODAY()&gt;U242,"Behind — award date passed",IF(U242-TODAY()&lt;=30,"At risk — close to off track","On track"))),IF(X242="","No planned date",IF(AND(TODAY()&gt;X242,OR(Z242="",Z242&lt;100)),"Behind — past end date",IF(AND(T242&lt;&gt;"",X242&lt;&gt;"",Z242&lt;&gt;"",(Z242&lt;100),((TODAY()-T242)/MAX(X242-T242,1)*100)-Z242&gt;15),"Behind — progress lag",IF(AND(X242-TODAY()&lt;=30,X242-TODAY()&gt;=0,OR(Z242="",Z242&lt;90)),"At risk — close to off track","On track"))))))))</t>
        </is>
      </c>
      <c r="AH242" s="49" t="inlineStr">
        <is>
          <t>IF(OR(F242="",AC242="Completed / Handover",AC242="Cancelled"),"",IF(O242="Not awarded",IF(U242&lt;&gt;"",U242-TODAY(),IF(X242="","",X242-TODAY())),IF(X242="","",X242-TODAY())))</t>
        </is>
      </c>
      <c r="AI242" s="54" t="n"/>
      <c r="AJ242" s="54" t="n"/>
      <c r="AK242" s="54" t="n"/>
      <c r="AL242" s="54" t="n"/>
      <c r="AM242" s="54" t="n"/>
      <c r="AN242" s="54" t="n"/>
      <c r="AO242" s="54" t="n"/>
      <c r="AP242" s="54" t="n"/>
      <c r="AQ242" s="54" t="n"/>
      <c r="AR242" s="54" t="n"/>
      <c r="AS242" s="54" t="n"/>
      <c r="AT242" s="50" t="n"/>
      <c r="AU242" s="50" t="n"/>
      <c r="AV242" s="50" t="n"/>
      <c r="AW242" s="49" t="inlineStr">
        <is>
          <t>IF(OR(F242="",AJ242=""),"",IF(COUNT(AI242:AI242)=0,"",AJ242-LOOKUP(2,1/(AI242:AI242&lt;&gt;""),AI242:AI242)))</t>
        </is>
      </c>
      <c r="AX242" s="49" t="inlineStr">
        <is>
          <t>IF(OR(F242="",AK242=""),"",IF(COUNT(AI242:AJ242)=0,"",AK242-LOOKUP(2,1/(AI242:AJ242&lt;&gt;""),AI242:AJ242)))</t>
        </is>
      </c>
      <c r="AY242" s="49" t="inlineStr">
        <is>
          <t>IF(OR(F242="",AL242=""),"",IF(COUNT(AI242:AK242)=0,"",AL242-LOOKUP(2,1/(AI242:AK242&lt;&gt;""),AI242:AK242)))</t>
        </is>
      </c>
      <c r="AZ242" s="49" t="inlineStr">
        <is>
          <t>IF(OR(F242="",AM242=""),"",IF(COUNT(AI242:AL242)=0,"",AM242-LOOKUP(2,1/(AI242:AL242&lt;&gt;""),AI242:AL242)))</t>
        </is>
      </c>
      <c r="BA242" s="49" t="inlineStr">
        <is>
          <t>IF(OR(F242="",AN242=""),"",IF(COUNT(AI242:AM242)=0,"",AN242-LOOKUP(2,1/(AI242:AM242&lt;&gt;""),AI242:AM242)))</t>
        </is>
      </c>
      <c r="BB242" s="49" t="inlineStr">
        <is>
          <t>IF(OR(F242="",AO242=""),"",IF(COUNT(AI242:AN242)=0,"",AO242-LOOKUP(2,1/(AI242:AN242&lt;&gt;""),AI242:AN242)))</t>
        </is>
      </c>
      <c r="BC242" s="49" t="inlineStr">
        <is>
          <t>IF(OR(F242="",AP242=""),"",IF(COUNT(AI242:AO242)=0,"",AP242-LOOKUP(2,1/(AI242:AO242&lt;&gt;""),AI242:AO242)))</t>
        </is>
      </c>
      <c r="BD242" s="49" t="inlineStr">
        <is>
          <t>IF(OR(F242="",AQ242=""),"",IF(COUNT(AI242:AP242)=0,"",AQ242-LOOKUP(2,1/(AI242:AP242&lt;&gt;""),AI242:AP242)))</t>
        </is>
      </c>
      <c r="BE242" s="49" t="inlineStr">
        <is>
          <t>IF(OR(F242="",AR242=""),"",IF(COUNT(AI242:AQ242)=0,"",AR242-LOOKUP(2,1/(AI242:AQ242&lt;&gt;""),AI242:AQ242)))</t>
        </is>
      </c>
      <c r="BF242" s="49" t="inlineStr">
        <is>
          <t>IF(OR(F242="",AS242=""),"",IF(COUNT(AI242:AR242)=0,"",AS242-LOOKUP(2,1/(AI242:AR242&lt;&gt;""),AI242:AR242)))</t>
        </is>
      </c>
      <c r="BG242" s="49" t="inlineStr">
        <is>
          <t>IF(OR(F242="",AT242=""),"",IF(COUNT(AI242:AS242)=0,"",AT242-LOOKUP(2,1/(AI242:AS242&lt;&gt;""),AI242:AS242)))</t>
        </is>
      </c>
      <c r="BH242" s="49" t="inlineStr">
        <is>
          <t>IF(OR(F242="",AU242=""),"",IF(COUNT(AI242:AT242)=0,"",AU242-LOOKUP(2,1/(AI242:AT242&lt;&gt;""),AI242:AT242)))</t>
        </is>
      </c>
      <c r="BI242" s="49" t="inlineStr">
        <is>
          <t>IF(OR(F242="",AV242=""),"",IF(COUNT(AI242:AU242)=0,"",AV242-LOOKUP(2,1/(AI242:AU242&lt;&gt;""),AI242:AU242)))</t>
        </is>
      </c>
      <c r="BJ242" s="51" t="inlineStr">
        <is>
          <t>IF(J242="","All_Provinces",IFERROR(VLOOKUP(J242,'09_Lookups'!$A$4:$B$20,2,FALSE),"All_Provinces"))</t>
        </is>
      </c>
      <c r="BK242" s="51" t="inlineStr">
        <is>
          <t>IF(K242="","All_Districts",IFERROR(VLOOKUP(K242,'09_Lookups'!$E$4:$F$42,2,FALSE),"All_Districts"))</t>
        </is>
      </c>
    </row>
    <row r="243" ht="18" customHeight="1">
      <c r="A243" s="42" t="inlineStr">
        <is>
          <t>IF(F243="","",ROW()-3)</t>
        </is>
      </c>
      <c r="B243" s="44" t="n"/>
      <c r="C243" s="44" t="n"/>
      <c r="D243" s="44" t="n"/>
      <c r="E243" s="44" t="n"/>
      <c r="F243" s="44" t="n"/>
      <c r="G243" s="44" t="n"/>
      <c r="H243" s="44" t="n"/>
      <c r="I243" s="44" t="n"/>
      <c r="J243" s="44" t="n"/>
      <c r="K243" s="44" t="n"/>
      <c r="L243" s="44" t="n"/>
      <c r="M243" s="44" t="n"/>
      <c r="N243" s="44" t="n"/>
      <c r="O243" s="44" t="n"/>
      <c r="P243" s="44" t="n"/>
      <c r="Q243" s="44" t="n"/>
      <c r="R243" s="44" t="n"/>
      <c r="S243" s="45" t="n"/>
      <c r="T243" s="46" t="inlineStr">
        <is>
          <t>IF(AQ243="","",AQ243)</t>
        </is>
      </c>
      <c r="U243" s="47" t="n"/>
      <c r="V243" s="48" t="n"/>
      <c r="W243" s="47" t="n"/>
      <c r="X243" s="46" t="inlineStr">
        <is>
          <t>IF(W243&lt;&gt;"",W243,IF(OR(T243="",V243=""),"",EDATE(T243,V243)))</t>
        </is>
      </c>
      <c r="Y243" s="47" t="n"/>
      <c r="Z243" s="48" t="n"/>
      <c r="AA243" s="44" t="n"/>
      <c r="AB243" s="44" t="n"/>
      <c r="AC243" s="42" t="inlineStr">
        <is>
          <t>IF(F243="","",IF(COUNT(AI243:AV243)=0,IF(AA243="","Not started",AA243),SUBSTITUTE(LOOKUP(2,1/(AI243:AV243&lt;&gt;""),$AI$3:$AV$3),"Date: ","")))</t>
        </is>
      </c>
      <c r="AD243" s="49" t="inlineStr">
        <is>
          <t>IF(OR(F243="",COUNT(AI243:AV243)=0),"",TODAY()-LOOKUP(2,1/(AI243:AV243&lt;&gt;""),AI243:AV243))</t>
        </is>
      </c>
      <c r="AE243" s="49" t="inlineStr">
        <is>
          <t>IF(OR(F243="",COUNT(AI243:AV243)&lt;2),"",LOOKUP(2,1/(AI243:AV243&lt;&gt;""),AI243:AV243)-MIN(AI243:AV243))</t>
        </is>
      </c>
      <c r="AF243" s="49" t="inlineStr">
        <is>
          <t>IF(OR(AD243="",AC243="Not started",AC243=""),"",IFERROR(AD243-IF(VLOOKUP(AC243,'06_Status_Pipeline'!$B$3:$E$20,4,FALSE)="",0,VLOOKUP(AC243,'06_Status_Pipeline'!$B$3:$E$20,4,FALSE)),""))</t>
        </is>
      </c>
      <c r="AG243" s="42" t="inlineStr">
        <is>
          <t>IF(F243="","",IF(OR(AA243="Cancelled",AC243="Cancelled"),"Cancelled",IF(OR(AC243="Completed / Handover",Y243&lt;&gt;"",Z243&gt;=100),"Completed — on track",IF(O243="Not awarded",IF(U243="",IF(X243="","No planned date",IF(TODAY()&gt;X243,"Behind — past planned date",IF(X243-TODAY()&lt;=30,"At risk — close to off track","On track"))),IF(TODAY()&gt;U243,"Behind — award date passed",IF(U243-TODAY()&lt;=30,"At risk — close to off track","On track"))),IF(X243="","No planned date",IF(AND(TODAY()&gt;X243,OR(Z243="",Z243&lt;100)),"Behind — past end date",IF(AND(T243&lt;&gt;"",X243&lt;&gt;"",Z243&lt;&gt;"",(Z243&lt;100),((TODAY()-T243)/MAX(X243-T243,1)*100)-Z243&gt;15),"Behind — progress lag",IF(AND(X243-TODAY()&lt;=30,X243-TODAY()&gt;=0,OR(Z243="",Z243&lt;90)),"At risk — close to off track","On track"))))))))</t>
        </is>
      </c>
      <c r="AH243" s="49" t="inlineStr">
        <is>
          <t>IF(OR(F243="",AC243="Completed / Handover",AC243="Cancelled"),"",IF(O243="Not awarded",IF(U243&lt;&gt;"",U243-TODAY(),IF(X243="","",X243-TODAY())),IF(X243="","",X243-TODAY())))</t>
        </is>
      </c>
      <c r="AI243" s="47" t="n"/>
      <c r="AJ243" s="47" t="n"/>
      <c r="AK243" s="47" t="n"/>
      <c r="AL243" s="47" t="n"/>
      <c r="AM243" s="47" t="n"/>
      <c r="AN243" s="47" t="n"/>
      <c r="AO243" s="47" t="n"/>
      <c r="AP243" s="47" t="n"/>
      <c r="AQ243" s="47" t="n"/>
      <c r="AR243" s="47" t="n"/>
      <c r="AS243" s="47" t="n"/>
      <c r="AT243" s="50" t="n"/>
      <c r="AU243" s="50" t="n"/>
      <c r="AV243" s="50" t="n"/>
      <c r="AW243" s="49" t="inlineStr">
        <is>
          <t>IF(OR(F243="",AJ243=""),"",IF(COUNT(AI243:AI243)=0,"",AJ243-LOOKUP(2,1/(AI243:AI243&lt;&gt;""),AI243:AI243)))</t>
        </is>
      </c>
      <c r="AX243" s="49" t="inlineStr">
        <is>
          <t>IF(OR(F243="",AK243=""),"",IF(COUNT(AI243:AJ243)=0,"",AK243-LOOKUP(2,1/(AI243:AJ243&lt;&gt;""),AI243:AJ243)))</t>
        </is>
      </c>
      <c r="AY243" s="49" t="inlineStr">
        <is>
          <t>IF(OR(F243="",AL243=""),"",IF(COUNT(AI243:AK243)=0,"",AL243-LOOKUP(2,1/(AI243:AK243&lt;&gt;""),AI243:AK243)))</t>
        </is>
      </c>
      <c r="AZ243" s="49" t="inlineStr">
        <is>
          <t>IF(OR(F243="",AM243=""),"",IF(COUNT(AI243:AL243)=0,"",AM243-LOOKUP(2,1/(AI243:AL243&lt;&gt;""),AI243:AL243)))</t>
        </is>
      </c>
      <c r="BA243" s="49" t="inlineStr">
        <is>
          <t>IF(OR(F243="",AN243=""),"",IF(COUNT(AI243:AM243)=0,"",AN243-LOOKUP(2,1/(AI243:AM243&lt;&gt;""),AI243:AM243)))</t>
        </is>
      </c>
      <c r="BB243" s="49" t="inlineStr">
        <is>
          <t>IF(OR(F243="",AO243=""),"",IF(COUNT(AI243:AN243)=0,"",AO243-LOOKUP(2,1/(AI243:AN243&lt;&gt;""),AI243:AN243)))</t>
        </is>
      </c>
      <c r="BC243" s="49" t="inlineStr">
        <is>
          <t>IF(OR(F243="",AP243=""),"",IF(COUNT(AI243:AO243)=0,"",AP243-LOOKUP(2,1/(AI243:AO243&lt;&gt;""),AI243:AO243)))</t>
        </is>
      </c>
      <c r="BD243" s="49" t="inlineStr">
        <is>
          <t>IF(OR(F243="",AQ243=""),"",IF(COUNT(AI243:AP243)=0,"",AQ243-LOOKUP(2,1/(AI243:AP243&lt;&gt;""),AI243:AP243)))</t>
        </is>
      </c>
      <c r="BE243" s="49" t="inlineStr">
        <is>
          <t>IF(OR(F243="",AR243=""),"",IF(COUNT(AI243:AQ243)=0,"",AR243-LOOKUP(2,1/(AI243:AQ243&lt;&gt;""),AI243:AQ243)))</t>
        </is>
      </c>
      <c r="BF243" s="49" t="inlineStr">
        <is>
          <t>IF(OR(F243="",AS243=""),"",IF(COUNT(AI243:AR243)=0,"",AS243-LOOKUP(2,1/(AI243:AR243&lt;&gt;""),AI243:AR243)))</t>
        </is>
      </c>
      <c r="BG243" s="49" t="inlineStr">
        <is>
          <t>IF(OR(F243="",AT243=""),"",IF(COUNT(AI243:AS243)=0,"",AT243-LOOKUP(2,1/(AI243:AS243&lt;&gt;""),AI243:AS243)))</t>
        </is>
      </c>
      <c r="BH243" s="49" t="inlineStr">
        <is>
          <t>IF(OR(F243="",AU243=""),"",IF(COUNT(AI243:AT243)=0,"",AU243-LOOKUP(2,1/(AI243:AT243&lt;&gt;""),AI243:AT243)))</t>
        </is>
      </c>
      <c r="BI243" s="49" t="inlineStr">
        <is>
          <t>IF(OR(F243="",AV243=""),"",IF(COUNT(AI243:AU243)=0,"",AV243-LOOKUP(2,1/(AI243:AU243&lt;&gt;""),AI243:AU243)))</t>
        </is>
      </c>
      <c r="BJ243" s="51" t="inlineStr">
        <is>
          <t>IF(J243="","All_Provinces",IFERROR(VLOOKUP(J243,'09_Lookups'!$A$4:$B$20,2,FALSE),"All_Provinces"))</t>
        </is>
      </c>
      <c r="BK243" s="51" t="inlineStr">
        <is>
          <t>IF(K243="","All_Districts",IFERROR(VLOOKUP(K243,'09_Lookups'!$E$4:$F$42,2,FALSE),"All_Districts"))</t>
        </is>
      </c>
    </row>
    <row r="244" ht="18" customHeight="1">
      <c r="A244" s="42" t="inlineStr">
        <is>
          <t>IF(F244="","",ROW()-3)</t>
        </is>
      </c>
      <c r="B244" s="52" t="n"/>
      <c r="C244" s="52" t="n"/>
      <c r="D244" s="52" t="n"/>
      <c r="E244" s="52" t="n"/>
      <c r="F244" s="52" t="n"/>
      <c r="G244" s="52" t="n"/>
      <c r="H244" s="52" t="n"/>
      <c r="I244" s="52" t="n"/>
      <c r="J244" s="52" t="n"/>
      <c r="K244" s="52" t="n"/>
      <c r="L244" s="52" t="n"/>
      <c r="M244" s="52" t="n"/>
      <c r="N244" s="52" t="n"/>
      <c r="O244" s="52" t="n"/>
      <c r="P244" s="52" t="n"/>
      <c r="Q244" s="52" t="n"/>
      <c r="R244" s="52" t="n"/>
      <c r="S244" s="53" t="n"/>
      <c r="T244" s="46" t="inlineStr">
        <is>
          <t>IF(AQ244="","",AQ244)</t>
        </is>
      </c>
      <c r="U244" s="54" t="n"/>
      <c r="V244" s="55" t="n"/>
      <c r="W244" s="54" t="n"/>
      <c r="X244" s="46" t="inlineStr">
        <is>
          <t>IF(W244&lt;&gt;"",W244,IF(OR(T244="",V244=""),"",EDATE(T244,V244)))</t>
        </is>
      </c>
      <c r="Y244" s="54" t="n"/>
      <c r="Z244" s="55" t="n"/>
      <c r="AA244" s="52" t="n"/>
      <c r="AB244" s="52" t="n"/>
      <c r="AC244" s="42" t="inlineStr">
        <is>
          <t>IF(F244="","",IF(COUNT(AI244:AV244)=0,IF(AA244="","Not started",AA244),SUBSTITUTE(LOOKUP(2,1/(AI244:AV244&lt;&gt;""),$AI$3:$AV$3),"Date: ","")))</t>
        </is>
      </c>
      <c r="AD244" s="49" t="inlineStr">
        <is>
          <t>IF(OR(F244="",COUNT(AI244:AV244)=0),"",TODAY()-LOOKUP(2,1/(AI244:AV244&lt;&gt;""),AI244:AV244))</t>
        </is>
      </c>
      <c r="AE244" s="49" t="inlineStr">
        <is>
          <t>IF(OR(F244="",COUNT(AI244:AV244)&lt;2),"",LOOKUP(2,1/(AI244:AV244&lt;&gt;""),AI244:AV244)-MIN(AI244:AV244))</t>
        </is>
      </c>
      <c r="AF244" s="49" t="inlineStr">
        <is>
          <t>IF(OR(AD244="",AC244="Not started",AC244=""),"",IFERROR(AD244-IF(VLOOKUP(AC244,'06_Status_Pipeline'!$B$3:$E$20,4,FALSE)="",0,VLOOKUP(AC244,'06_Status_Pipeline'!$B$3:$E$20,4,FALSE)),""))</t>
        </is>
      </c>
      <c r="AG244" s="42" t="inlineStr">
        <is>
          <t>IF(F244="","",IF(OR(AA244="Cancelled",AC244="Cancelled"),"Cancelled",IF(OR(AC244="Completed / Handover",Y244&lt;&gt;"",Z244&gt;=100),"Completed — on track",IF(O244="Not awarded",IF(U244="",IF(X244="","No planned date",IF(TODAY()&gt;X244,"Behind — past planned date",IF(X244-TODAY()&lt;=30,"At risk — close to off track","On track"))),IF(TODAY()&gt;U244,"Behind — award date passed",IF(U244-TODAY()&lt;=30,"At risk — close to off track","On track"))),IF(X244="","No planned date",IF(AND(TODAY()&gt;X244,OR(Z244="",Z244&lt;100)),"Behind — past end date",IF(AND(T244&lt;&gt;"",X244&lt;&gt;"",Z244&lt;&gt;"",(Z244&lt;100),((TODAY()-T244)/MAX(X244-T244,1)*100)-Z244&gt;15),"Behind — progress lag",IF(AND(X244-TODAY()&lt;=30,X244-TODAY()&gt;=0,OR(Z244="",Z244&lt;90)),"At risk — close to off track","On track"))))))))</t>
        </is>
      </c>
      <c r="AH244" s="49" t="inlineStr">
        <is>
          <t>IF(OR(F244="",AC244="Completed / Handover",AC244="Cancelled"),"",IF(O244="Not awarded",IF(U244&lt;&gt;"",U244-TODAY(),IF(X244="","",X244-TODAY())),IF(X244="","",X244-TODAY())))</t>
        </is>
      </c>
      <c r="AI244" s="54" t="n"/>
      <c r="AJ244" s="54" t="n"/>
      <c r="AK244" s="54" t="n"/>
      <c r="AL244" s="54" t="n"/>
      <c r="AM244" s="54" t="n"/>
      <c r="AN244" s="54" t="n"/>
      <c r="AO244" s="54" t="n"/>
      <c r="AP244" s="54" t="n"/>
      <c r="AQ244" s="54" t="n"/>
      <c r="AR244" s="54" t="n"/>
      <c r="AS244" s="54" t="n"/>
      <c r="AT244" s="50" t="n"/>
      <c r="AU244" s="50" t="n"/>
      <c r="AV244" s="50" t="n"/>
      <c r="AW244" s="49" t="inlineStr">
        <is>
          <t>IF(OR(F244="",AJ244=""),"",IF(COUNT(AI244:AI244)=0,"",AJ244-LOOKUP(2,1/(AI244:AI244&lt;&gt;""),AI244:AI244)))</t>
        </is>
      </c>
      <c r="AX244" s="49" t="inlineStr">
        <is>
          <t>IF(OR(F244="",AK244=""),"",IF(COUNT(AI244:AJ244)=0,"",AK244-LOOKUP(2,1/(AI244:AJ244&lt;&gt;""),AI244:AJ244)))</t>
        </is>
      </c>
      <c r="AY244" s="49" t="inlineStr">
        <is>
          <t>IF(OR(F244="",AL244=""),"",IF(COUNT(AI244:AK244)=0,"",AL244-LOOKUP(2,1/(AI244:AK244&lt;&gt;""),AI244:AK244)))</t>
        </is>
      </c>
      <c r="AZ244" s="49" t="inlineStr">
        <is>
          <t>IF(OR(F244="",AM244=""),"",IF(COUNT(AI244:AL244)=0,"",AM244-LOOKUP(2,1/(AI244:AL244&lt;&gt;""),AI244:AL244)))</t>
        </is>
      </c>
      <c r="BA244" s="49" t="inlineStr">
        <is>
          <t>IF(OR(F244="",AN244=""),"",IF(COUNT(AI244:AM244)=0,"",AN244-LOOKUP(2,1/(AI244:AM244&lt;&gt;""),AI244:AM244)))</t>
        </is>
      </c>
      <c r="BB244" s="49" t="inlineStr">
        <is>
          <t>IF(OR(F244="",AO244=""),"",IF(COUNT(AI244:AN244)=0,"",AO244-LOOKUP(2,1/(AI244:AN244&lt;&gt;""),AI244:AN244)))</t>
        </is>
      </c>
      <c r="BC244" s="49" t="inlineStr">
        <is>
          <t>IF(OR(F244="",AP244=""),"",IF(COUNT(AI244:AO244)=0,"",AP244-LOOKUP(2,1/(AI244:AO244&lt;&gt;""),AI244:AO244)))</t>
        </is>
      </c>
      <c r="BD244" s="49" t="inlineStr">
        <is>
          <t>IF(OR(F244="",AQ244=""),"",IF(COUNT(AI244:AP244)=0,"",AQ244-LOOKUP(2,1/(AI244:AP244&lt;&gt;""),AI244:AP244)))</t>
        </is>
      </c>
      <c r="BE244" s="49" t="inlineStr">
        <is>
          <t>IF(OR(F244="",AR244=""),"",IF(COUNT(AI244:AQ244)=0,"",AR244-LOOKUP(2,1/(AI244:AQ244&lt;&gt;""),AI244:AQ244)))</t>
        </is>
      </c>
      <c r="BF244" s="49" t="inlineStr">
        <is>
          <t>IF(OR(F244="",AS244=""),"",IF(COUNT(AI244:AR244)=0,"",AS244-LOOKUP(2,1/(AI244:AR244&lt;&gt;""),AI244:AR244)))</t>
        </is>
      </c>
      <c r="BG244" s="49" t="inlineStr">
        <is>
          <t>IF(OR(F244="",AT244=""),"",IF(COUNT(AI244:AS244)=0,"",AT244-LOOKUP(2,1/(AI244:AS244&lt;&gt;""),AI244:AS244)))</t>
        </is>
      </c>
      <c r="BH244" s="49" t="inlineStr">
        <is>
          <t>IF(OR(F244="",AU244=""),"",IF(COUNT(AI244:AT244)=0,"",AU244-LOOKUP(2,1/(AI244:AT244&lt;&gt;""),AI244:AT244)))</t>
        </is>
      </c>
      <c r="BI244" s="49" t="inlineStr">
        <is>
          <t>IF(OR(F244="",AV244=""),"",IF(COUNT(AI244:AU244)=0,"",AV244-LOOKUP(2,1/(AI244:AU244&lt;&gt;""),AI244:AU244)))</t>
        </is>
      </c>
      <c r="BJ244" s="51" t="inlineStr">
        <is>
          <t>IF(J244="","All_Provinces",IFERROR(VLOOKUP(J244,'09_Lookups'!$A$4:$B$20,2,FALSE),"All_Provinces"))</t>
        </is>
      </c>
      <c r="BK244" s="51" t="inlineStr">
        <is>
          <t>IF(K244="","All_Districts",IFERROR(VLOOKUP(K244,'09_Lookups'!$E$4:$F$42,2,FALSE),"All_Districts"))</t>
        </is>
      </c>
    </row>
    <row r="245" ht="18" customHeight="1">
      <c r="A245" s="42" t="inlineStr">
        <is>
          <t>IF(F245="","",ROW()-3)</t>
        </is>
      </c>
      <c r="B245" s="44" t="n"/>
      <c r="C245" s="44" t="n"/>
      <c r="D245" s="44" t="n"/>
      <c r="E245" s="44" t="n"/>
      <c r="F245" s="44" t="n"/>
      <c r="G245" s="44" t="n"/>
      <c r="H245" s="44" t="n"/>
      <c r="I245" s="44" t="n"/>
      <c r="J245" s="44" t="n"/>
      <c r="K245" s="44" t="n"/>
      <c r="L245" s="44" t="n"/>
      <c r="M245" s="44" t="n"/>
      <c r="N245" s="44" t="n"/>
      <c r="O245" s="44" t="n"/>
      <c r="P245" s="44" t="n"/>
      <c r="Q245" s="44" t="n"/>
      <c r="R245" s="44" t="n"/>
      <c r="S245" s="45" t="n"/>
      <c r="T245" s="46" t="inlineStr">
        <is>
          <t>IF(AQ245="","",AQ245)</t>
        </is>
      </c>
      <c r="U245" s="47" t="n"/>
      <c r="V245" s="48" t="n"/>
      <c r="W245" s="47" t="n"/>
      <c r="X245" s="46" t="inlineStr">
        <is>
          <t>IF(W245&lt;&gt;"",W245,IF(OR(T245="",V245=""),"",EDATE(T245,V245)))</t>
        </is>
      </c>
      <c r="Y245" s="47" t="n"/>
      <c r="Z245" s="48" t="n"/>
      <c r="AA245" s="44" t="n"/>
      <c r="AB245" s="44" t="n"/>
      <c r="AC245" s="42" t="inlineStr">
        <is>
          <t>IF(F245="","",IF(COUNT(AI245:AV245)=0,IF(AA245="","Not started",AA245),SUBSTITUTE(LOOKUP(2,1/(AI245:AV245&lt;&gt;""),$AI$3:$AV$3),"Date: ","")))</t>
        </is>
      </c>
      <c r="AD245" s="49" t="inlineStr">
        <is>
          <t>IF(OR(F245="",COUNT(AI245:AV245)=0),"",TODAY()-LOOKUP(2,1/(AI245:AV245&lt;&gt;""),AI245:AV245))</t>
        </is>
      </c>
      <c r="AE245" s="49" t="inlineStr">
        <is>
          <t>IF(OR(F245="",COUNT(AI245:AV245)&lt;2),"",LOOKUP(2,1/(AI245:AV245&lt;&gt;""),AI245:AV245)-MIN(AI245:AV245))</t>
        </is>
      </c>
      <c r="AF245" s="49" t="inlineStr">
        <is>
          <t>IF(OR(AD245="",AC245="Not started",AC245=""),"",IFERROR(AD245-IF(VLOOKUP(AC245,'06_Status_Pipeline'!$B$3:$E$20,4,FALSE)="",0,VLOOKUP(AC245,'06_Status_Pipeline'!$B$3:$E$20,4,FALSE)),""))</t>
        </is>
      </c>
      <c r="AG245" s="42" t="inlineStr">
        <is>
          <t>IF(F245="","",IF(OR(AA245="Cancelled",AC245="Cancelled"),"Cancelled",IF(OR(AC245="Completed / Handover",Y245&lt;&gt;"",Z245&gt;=100),"Completed — on track",IF(O245="Not awarded",IF(U245="",IF(X245="","No planned date",IF(TODAY()&gt;X245,"Behind — past planned date",IF(X245-TODAY()&lt;=30,"At risk — close to off track","On track"))),IF(TODAY()&gt;U245,"Behind — award date passed",IF(U245-TODAY()&lt;=30,"At risk — close to off track","On track"))),IF(X245="","No planned date",IF(AND(TODAY()&gt;X245,OR(Z245="",Z245&lt;100)),"Behind — past end date",IF(AND(T245&lt;&gt;"",X245&lt;&gt;"",Z245&lt;&gt;"",(Z245&lt;100),((TODAY()-T245)/MAX(X245-T245,1)*100)-Z245&gt;15),"Behind — progress lag",IF(AND(X245-TODAY()&lt;=30,X245-TODAY()&gt;=0,OR(Z245="",Z245&lt;90)),"At risk — close to off track","On track"))))))))</t>
        </is>
      </c>
      <c r="AH245" s="49" t="inlineStr">
        <is>
          <t>IF(OR(F245="",AC245="Completed / Handover",AC245="Cancelled"),"",IF(O245="Not awarded",IF(U245&lt;&gt;"",U245-TODAY(),IF(X245="","",X245-TODAY())),IF(X245="","",X245-TODAY())))</t>
        </is>
      </c>
      <c r="AI245" s="47" t="n"/>
      <c r="AJ245" s="47" t="n"/>
      <c r="AK245" s="47" t="n"/>
      <c r="AL245" s="47" t="n"/>
      <c r="AM245" s="47" t="n"/>
      <c r="AN245" s="47" t="n"/>
      <c r="AO245" s="47" t="n"/>
      <c r="AP245" s="47" t="n"/>
      <c r="AQ245" s="47" t="n"/>
      <c r="AR245" s="47" t="n"/>
      <c r="AS245" s="47" t="n"/>
      <c r="AT245" s="50" t="n"/>
      <c r="AU245" s="50" t="n"/>
      <c r="AV245" s="50" t="n"/>
      <c r="AW245" s="49" t="inlineStr">
        <is>
          <t>IF(OR(F245="",AJ245=""),"",IF(COUNT(AI245:AI245)=0,"",AJ245-LOOKUP(2,1/(AI245:AI245&lt;&gt;""),AI245:AI245)))</t>
        </is>
      </c>
      <c r="AX245" s="49" t="inlineStr">
        <is>
          <t>IF(OR(F245="",AK245=""),"",IF(COUNT(AI245:AJ245)=0,"",AK245-LOOKUP(2,1/(AI245:AJ245&lt;&gt;""),AI245:AJ245)))</t>
        </is>
      </c>
      <c r="AY245" s="49" t="inlineStr">
        <is>
          <t>IF(OR(F245="",AL245=""),"",IF(COUNT(AI245:AK245)=0,"",AL245-LOOKUP(2,1/(AI245:AK245&lt;&gt;""),AI245:AK245)))</t>
        </is>
      </c>
      <c r="AZ245" s="49" t="inlineStr">
        <is>
          <t>IF(OR(F245="",AM245=""),"",IF(COUNT(AI245:AL245)=0,"",AM245-LOOKUP(2,1/(AI245:AL245&lt;&gt;""),AI245:AL245)))</t>
        </is>
      </c>
      <c r="BA245" s="49" t="inlineStr">
        <is>
          <t>IF(OR(F245="",AN245=""),"",IF(COUNT(AI245:AM245)=0,"",AN245-LOOKUP(2,1/(AI245:AM245&lt;&gt;""),AI245:AM245)))</t>
        </is>
      </c>
      <c r="BB245" s="49" t="inlineStr">
        <is>
          <t>IF(OR(F245="",AO245=""),"",IF(COUNT(AI245:AN245)=0,"",AO245-LOOKUP(2,1/(AI245:AN245&lt;&gt;""),AI245:AN245)))</t>
        </is>
      </c>
      <c r="BC245" s="49" t="inlineStr">
        <is>
          <t>IF(OR(F245="",AP245=""),"",IF(COUNT(AI245:AO245)=0,"",AP245-LOOKUP(2,1/(AI245:AO245&lt;&gt;""),AI245:AO245)))</t>
        </is>
      </c>
      <c r="BD245" s="49" t="inlineStr">
        <is>
          <t>IF(OR(F245="",AQ245=""),"",IF(COUNT(AI245:AP245)=0,"",AQ245-LOOKUP(2,1/(AI245:AP245&lt;&gt;""),AI245:AP245)))</t>
        </is>
      </c>
      <c r="BE245" s="49" t="inlineStr">
        <is>
          <t>IF(OR(F245="",AR245=""),"",IF(COUNT(AI245:AQ245)=0,"",AR245-LOOKUP(2,1/(AI245:AQ245&lt;&gt;""),AI245:AQ245)))</t>
        </is>
      </c>
      <c r="BF245" s="49" t="inlineStr">
        <is>
          <t>IF(OR(F245="",AS245=""),"",IF(COUNT(AI245:AR245)=0,"",AS245-LOOKUP(2,1/(AI245:AR245&lt;&gt;""),AI245:AR245)))</t>
        </is>
      </c>
      <c r="BG245" s="49" t="inlineStr">
        <is>
          <t>IF(OR(F245="",AT245=""),"",IF(COUNT(AI245:AS245)=0,"",AT245-LOOKUP(2,1/(AI245:AS245&lt;&gt;""),AI245:AS245)))</t>
        </is>
      </c>
      <c r="BH245" s="49" t="inlineStr">
        <is>
          <t>IF(OR(F245="",AU245=""),"",IF(COUNT(AI245:AT245)=0,"",AU245-LOOKUP(2,1/(AI245:AT245&lt;&gt;""),AI245:AT245)))</t>
        </is>
      </c>
      <c r="BI245" s="49" t="inlineStr">
        <is>
          <t>IF(OR(F245="",AV245=""),"",IF(COUNT(AI245:AU245)=0,"",AV245-LOOKUP(2,1/(AI245:AU245&lt;&gt;""),AI245:AU245)))</t>
        </is>
      </c>
      <c r="BJ245" s="51" t="inlineStr">
        <is>
          <t>IF(J245="","All_Provinces",IFERROR(VLOOKUP(J245,'09_Lookups'!$A$4:$B$20,2,FALSE),"All_Provinces"))</t>
        </is>
      </c>
      <c r="BK245" s="51" t="inlineStr">
        <is>
          <t>IF(K245="","All_Districts",IFERROR(VLOOKUP(K245,'09_Lookups'!$E$4:$F$42,2,FALSE),"All_Districts"))</t>
        </is>
      </c>
    </row>
    <row r="246" ht="18" customHeight="1">
      <c r="A246" s="42" t="inlineStr">
        <is>
          <t>IF(F246="","",ROW()-3)</t>
        </is>
      </c>
      <c r="B246" s="52" t="n"/>
      <c r="C246" s="52" t="n"/>
      <c r="D246" s="52" t="n"/>
      <c r="E246" s="52" t="n"/>
      <c r="F246" s="52" t="n"/>
      <c r="G246" s="52" t="n"/>
      <c r="H246" s="52" t="n"/>
      <c r="I246" s="52" t="n"/>
      <c r="J246" s="52" t="n"/>
      <c r="K246" s="52" t="n"/>
      <c r="L246" s="52" t="n"/>
      <c r="M246" s="52" t="n"/>
      <c r="N246" s="52" t="n"/>
      <c r="O246" s="52" t="n"/>
      <c r="P246" s="52" t="n"/>
      <c r="Q246" s="52" t="n"/>
      <c r="R246" s="52" t="n"/>
      <c r="S246" s="53" t="n"/>
      <c r="T246" s="46" t="inlineStr">
        <is>
          <t>IF(AQ246="","",AQ246)</t>
        </is>
      </c>
      <c r="U246" s="54" t="n"/>
      <c r="V246" s="55" t="n"/>
      <c r="W246" s="54" t="n"/>
      <c r="X246" s="46" t="inlineStr">
        <is>
          <t>IF(W246&lt;&gt;"",W246,IF(OR(T246="",V246=""),"",EDATE(T246,V246)))</t>
        </is>
      </c>
      <c r="Y246" s="54" t="n"/>
      <c r="Z246" s="55" t="n"/>
      <c r="AA246" s="52" t="n"/>
      <c r="AB246" s="52" t="n"/>
      <c r="AC246" s="42" t="inlineStr">
        <is>
          <t>IF(F246="","",IF(COUNT(AI246:AV246)=0,IF(AA246="","Not started",AA246),SUBSTITUTE(LOOKUP(2,1/(AI246:AV246&lt;&gt;""),$AI$3:$AV$3),"Date: ","")))</t>
        </is>
      </c>
      <c r="AD246" s="49" t="inlineStr">
        <is>
          <t>IF(OR(F246="",COUNT(AI246:AV246)=0),"",TODAY()-LOOKUP(2,1/(AI246:AV246&lt;&gt;""),AI246:AV246))</t>
        </is>
      </c>
      <c r="AE246" s="49" t="inlineStr">
        <is>
          <t>IF(OR(F246="",COUNT(AI246:AV246)&lt;2),"",LOOKUP(2,1/(AI246:AV246&lt;&gt;""),AI246:AV246)-MIN(AI246:AV246))</t>
        </is>
      </c>
      <c r="AF246" s="49" t="inlineStr">
        <is>
          <t>IF(OR(AD246="",AC246="Not started",AC246=""),"",IFERROR(AD246-IF(VLOOKUP(AC246,'06_Status_Pipeline'!$B$3:$E$20,4,FALSE)="",0,VLOOKUP(AC246,'06_Status_Pipeline'!$B$3:$E$20,4,FALSE)),""))</t>
        </is>
      </c>
      <c r="AG246" s="42" t="inlineStr">
        <is>
          <t>IF(F246="","",IF(OR(AA246="Cancelled",AC246="Cancelled"),"Cancelled",IF(OR(AC246="Completed / Handover",Y246&lt;&gt;"",Z246&gt;=100),"Completed — on track",IF(O246="Not awarded",IF(U246="",IF(X246="","No planned date",IF(TODAY()&gt;X246,"Behind — past planned date",IF(X246-TODAY()&lt;=30,"At risk — close to off track","On track"))),IF(TODAY()&gt;U246,"Behind — award date passed",IF(U246-TODAY()&lt;=30,"At risk — close to off track","On track"))),IF(X246="","No planned date",IF(AND(TODAY()&gt;X246,OR(Z246="",Z246&lt;100)),"Behind — past end date",IF(AND(T246&lt;&gt;"",X246&lt;&gt;"",Z246&lt;&gt;"",(Z246&lt;100),((TODAY()-T246)/MAX(X246-T246,1)*100)-Z246&gt;15),"Behind — progress lag",IF(AND(X246-TODAY()&lt;=30,X246-TODAY()&gt;=0,OR(Z246="",Z246&lt;90)),"At risk — close to off track","On track"))))))))</t>
        </is>
      </c>
      <c r="AH246" s="49" t="inlineStr">
        <is>
          <t>IF(OR(F246="",AC246="Completed / Handover",AC246="Cancelled"),"",IF(O246="Not awarded",IF(U246&lt;&gt;"",U246-TODAY(),IF(X246="","",X246-TODAY())),IF(X246="","",X246-TODAY())))</t>
        </is>
      </c>
      <c r="AI246" s="54" t="n"/>
      <c r="AJ246" s="54" t="n"/>
      <c r="AK246" s="54" t="n"/>
      <c r="AL246" s="54" t="n"/>
      <c r="AM246" s="54" t="n"/>
      <c r="AN246" s="54" t="n"/>
      <c r="AO246" s="54" t="n"/>
      <c r="AP246" s="54" t="n"/>
      <c r="AQ246" s="54" t="n"/>
      <c r="AR246" s="54" t="n"/>
      <c r="AS246" s="54" t="n"/>
      <c r="AT246" s="50" t="n"/>
      <c r="AU246" s="50" t="n"/>
      <c r="AV246" s="50" t="n"/>
      <c r="AW246" s="49" t="inlineStr">
        <is>
          <t>IF(OR(F246="",AJ246=""),"",IF(COUNT(AI246:AI246)=0,"",AJ246-LOOKUP(2,1/(AI246:AI246&lt;&gt;""),AI246:AI246)))</t>
        </is>
      </c>
      <c r="AX246" s="49" t="inlineStr">
        <is>
          <t>IF(OR(F246="",AK246=""),"",IF(COUNT(AI246:AJ246)=0,"",AK246-LOOKUP(2,1/(AI246:AJ246&lt;&gt;""),AI246:AJ246)))</t>
        </is>
      </c>
      <c r="AY246" s="49" t="inlineStr">
        <is>
          <t>IF(OR(F246="",AL246=""),"",IF(COUNT(AI246:AK246)=0,"",AL246-LOOKUP(2,1/(AI246:AK246&lt;&gt;""),AI246:AK246)))</t>
        </is>
      </c>
      <c r="AZ246" s="49" t="inlineStr">
        <is>
          <t>IF(OR(F246="",AM246=""),"",IF(COUNT(AI246:AL246)=0,"",AM246-LOOKUP(2,1/(AI246:AL246&lt;&gt;""),AI246:AL246)))</t>
        </is>
      </c>
      <c r="BA246" s="49" t="inlineStr">
        <is>
          <t>IF(OR(F246="",AN246=""),"",IF(COUNT(AI246:AM246)=0,"",AN246-LOOKUP(2,1/(AI246:AM246&lt;&gt;""),AI246:AM246)))</t>
        </is>
      </c>
      <c r="BB246" s="49" t="inlineStr">
        <is>
          <t>IF(OR(F246="",AO246=""),"",IF(COUNT(AI246:AN246)=0,"",AO246-LOOKUP(2,1/(AI246:AN246&lt;&gt;""),AI246:AN246)))</t>
        </is>
      </c>
      <c r="BC246" s="49" t="inlineStr">
        <is>
          <t>IF(OR(F246="",AP246=""),"",IF(COUNT(AI246:AO246)=0,"",AP246-LOOKUP(2,1/(AI246:AO246&lt;&gt;""),AI246:AO246)))</t>
        </is>
      </c>
      <c r="BD246" s="49" t="inlineStr">
        <is>
          <t>IF(OR(F246="",AQ246=""),"",IF(COUNT(AI246:AP246)=0,"",AQ246-LOOKUP(2,1/(AI246:AP246&lt;&gt;""),AI246:AP246)))</t>
        </is>
      </c>
      <c r="BE246" s="49" t="inlineStr">
        <is>
          <t>IF(OR(F246="",AR246=""),"",IF(COUNT(AI246:AQ246)=0,"",AR246-LOOKUP(2,1/(AI246:AQ246&lt;&gt;""),AI246:AQ246)))</t>
        </is>
      </c>
      <c r="BF246" s="49" t="inlineStr">
        <is>
          <t>IF(OR(F246="",AS246=""),"",IF(COUNT(AI246:AR246)=0,"",AS246-LOOKUP(2,1/(AI246:AR246&lt;&gt;""),AI246:AR246)))</t>
        </is>
      </c>
      <c r="BG246" s="49" t="inlineStr">
        <is>
          <t>IF(OR(F246="",AT246=""),"",IF(COUNT(AI246:AS246)=0,"",AT246-LOOKUP(2,1/(AI246:AS246&lt;&gt;""),AI246:AS246)))</t>
        </is>
      </c>
      <c r="BH246" s="49" t="inlineStr">
        <is>
          <t>IF(OR(F246="",AU246=""),"",IF(COUNT(AI246:AT246)=0,"",AU246-LOOKUP(2,1/(AI246:AT246&lt;&gt;""),AI246:AT246)))</t>
        </is>
      </c>
      <c r="BI246" s="49" t="inlineStr">
        <is>
          <t>IF(OR(F246="",AV246=""),"",IF(COUNT(AI246:AU246)=0,"",AV246-LOOKUP(2,1/(AI246:AU246&lt;&gt;""),AI246:AU246)))</t>
        </is>
      </c>
      <c r="BJ246" s="51" t="inlineStr">
        <is>
          <t>IF(J246="","All_Provinces",IFERROR(VLOOKUP(J246,'09_Lookups'!$A$4:$B$20,2,FALSE),"All_Provinces"))</t>
        </is>
      </c>
      <c r="BK246" s="51" t="inlineStr">
        <is>
          <t>IF(K246="","All_Districts",IFERROR(VLOOKUP(K246,'09_Lookups'!$E$4:$F$42,2,FALSE),"All_Districts"))</t>
        </is>
      </c>
    </row>
    <row r="247" ht="18" customHeight="1">
      <c r="A247" s="42" t="inlineStr">
        <is>
          <t>IF(F247="","",ROW()-3)</t>
        </is>
      </c>
      <c r="B247" s="44" t="n"/>
      <c r="C247" s="44" t="n"/>
      <c r="D247" s="44" t="n"/>
      <c r="E247" s="44" t="n"/>
      <c r="F247" s="44" t="n"/>
      <c r="G247" s="44" t="n"/>
      <c r="H247" s="44" t="n"/>
      <c r="I247" s="44" t="n"/>
      <c r="J247" s="44" t="n"/>
      <c r="K247" s="44" t="n"/>
      <c r="L247" s="44" t="n"/>
      <c r="M247" s="44" t="n"/>
      <c r="N247" s="44" t="n"/>
      <c r="O247" s="44" t="n"/>
      <c r="P247" s="44" t="n"/>
      <c r="Q247" s="44" t="n"/>
      <c r="R247" s="44" t="n"/>
      <c r="S247" s="45" t="n"/>
      <c r="T247" s="46" t="inlineStr">
        <is>
          <t>IF(AQ247="","",AQ247)</t>
        </is>
      </c>
      <c r="U247" s="47" t="n"/>
      <c r="V247" s="48" t="n"/>
      <c r="W247" s="47" t="n"/>
      <c r="X247" s="46" t="inlineStr">
        <is>
          <t>IF(W247&lt;&gt;"",W247,IF(OR(T247="",V247=""),"",EDATE(T247,V247)))</t>
        </is>
      </c>
      <c r="Y247" s="47" t="n"/>
      <c r="Z247" s="48" t="n"/>
      <c r="AA247" s="44" t="n"/>
      <c r="AB247" s="44" t="n"/>
      <c r="AC247" s="42" t="inlineStr">
        <is>
          <t>IF(F247="","",IF(COUNT(AI247:AV247)=0,IF(AA247="","Not started",AA247),SUBSTITUTE(LOOKUP(2,1/(AI247:AV247&lt;&gt;""),$AI$3:$AV$3),"Date: ","")))</t>
        </is>
      </c>
      <c r="AD247" s="49" t="inlineStr">
        <is>
          <t>IF(OR(F247="",COUNT(AI247:AV247)=0),"",TODAY()-LOOKUP(2,1/(AI247:AV247&lt;&gt;""),AI247:AV247))</t>
        </is>
      </c>
      <c r="AE247" s="49" t="inlineStr">
        <is>
          <t>IF(OR(F247="",COUNT(AI247:AV247)&lt;2),"",LOOKUP(2,1/(AI247:AV247&lt;&gt;""),AI247:AV247)-MIN(AI247:AV247))</t>
        </is>
      </c>
      <c r="AF247" s="49" t="inlineStr">
        <is>
          <t>IF(OR(AD247="",AC247="Not started",AC247=""),"",IFERROR(AD247-IF(VLOOKUP(AC247,'06_Status_Pipeline'!$B$3:$E$20,4,FALSE)="",0,VLOOKUP(AC247,'06_Status_Pipeline'!$B$3:$E$20,4,FALSE)),""))</t>
        </is>
      </c>
      <c r="AG247" s="42" t="inlineStr">
        <is>
          <t>IF(F247="","",IF(OR(AA247="Cancelled",AC247="Cancelled"),"Cancelled",IF(OR(AC247="Completed / Handover",Y247&lt;&gt;"",Z247&gt;=100),"Completed — on track",IF(O247="Not awarded",IF(U247="",IF(X247="","No planned date",IF(TODAY()&gt;X247,"Behind — past planned date",IF(X247-TODAY()&lt;=30,"At risk — close to off track","On track"))),IF(TODAY()&gt;U247,"Behind — award date passed",IF(U247-TODAY()&lt;=30,"At risk — close to off track","On track"))),IF(X247="","No planned date",IF(AND(TODAY()&gt;X247,OR(Z247="",Z247&lt;100)),"Behind — past end date",IF(AND(T247&lt;&gt;"",X247&lt;&gt;"",Z247&lt;&gt;"",(Z247&lt;100),((TODAY()-T247)/MAX(X247-T247,1)*100)-Z247&gt;15),"Behind — progress lag",IF(AND(X247-TODAY()&lt;=30,X247-TODAY()&gt;=0,OR(Z247="",Z247&lt;90)),"At risk — close to off track","On track"))))))))</t>
        </is>
      </c>
      <c r="AH247" s="49" t="inlineStr">
        <is>
          <t>IF(OR(F247="",AC247="Completed / Handover",AC247="Cancelled"),"",IF(O247="Not awarded",IF(U247&lt;&gt;"",U247-TODAY(),IF(X247="","",X247-TODAY())),IF(X247="","",X247-TODAY())))</t>
        </is>
      </c>
      <c r="AI247" s="47" t="n"/>
      <c r="AJ247" s="47" t="n"/>
      <c r="AK247" s="47" t="n"/>
      <c r="AL247" s="47" t="n"/>
      <c r="AM247" s="47" t="n"/>
      <c r="AN247" s="47" t="n"/>
      <c r="AO247" s="47" t="n"/>
      <c r="AP247" s="47" t="n"/>
      <c r="AQ247" s="47" t="n"/>
      <c r="AR247" s="47" t="n"/>
      <c r="AS247" s="47" t="n"/>
      <c r="AT247" s="50" t="n"/>
      <c r="AU247" s="50" t="n"/>
      <c r="AV247" s="50" t="n"/>
      <c r="AW247" s="49" t="inlineStr">
        <is>
          <t>IF(OR(F247="",AJ247=""),"",IF(COUNT(AI247:AI247)=0,"",AJ247-LOOKUP(2,1/(AI247:AI247&lt;&gt;""),AI247:AI247)))</t>
        </is>
      </c>
      <c r="AX247" s="49" t="inlineStr">
        <is>
          <t>IF(OR(F247="",AK247=""),"",IF(COUNT(AI247:AJ247)=0,"",AK247-LOOKUP(2,1/(AI247:AJ247&lt;&gt;""),AI247:AJ247)))</t>
        </is>
      </c>
      <c r="AY247" s="49" t="inlineStr">
        <is>
          <t>IF(OR(F247="",AL247=""),"",IF(COUNT(AI247:AK247)=0,"",AL247-LOOKUP(2,1/(AI247:AK247&lt;&gt;""),AI247:AK247)))</t>
        </is>
      </c>
      <c r="AZ247" s="49" t="inlineStr">
        <is>
          <t>IF(OR(F247="",AM247=""),"",IF(COUNT(AI247:AL247)=0,"",AM247-LOOKUP(2,1/(AI247:AL247&lt;&gt;""),AI247:AL247)))</t>
        </is>
      </c>
      <c r="BA247" s="49" t="inlineStr">
        <is>
          <t>IF(OR(F247="",AN247=""),"",IF(COUNT(AI247:AM247)=0,"",AN247-LOOKUP(2,1/(AI247:AM247&lt;&gt;""),AI247:AM247)))</t>
        </is>
      </c>
      <c r="BB247" s="49" t="inlineStr">
        <is>
          <t>IF(OR(F247="",AO247=""),"",IF(COUNT(AI247:AN247)=0,"",AO247-LOOKUP(2,1/(AI247:AN247&lt;&gt;""),AI247:AN247)))</t>
        </is>
      </c>
      <c r="BC247" s="49" t="inlineStr">
        <is>
          <t>IF(OR(F247="",AP247=""),"",IF(COUNT(AI247:AO247)=0,"",AP247-LOOKUP(2,1/(AI247:AO247&lt;&gt;""),AI247:AO247)))</t>
        </is>
      </c>
      <c r="BD247" s="49" t="inlineStr">
        <is>
          <t>IF(OR(F247="",AQ247=""),"",IF(COUNT(AI247:AP247)=0,"",AQ247-LOOKUP(2,1/(AI247:AP247&lt;&gt;""),AI247:AP247)))</t>
        </is>
      </c>
      <c r="BE247" s="49" t="inlineStr">
        <is>
          <t>IF(OR(F247="",AR247=""),"",IF(COUNT(AI247:AQ247)=0,"",AR247-LOOKUP(2,1/(AI247:AQ247&lt;&gt;""),AI247:AQ247)))</t>
        </is>
      </c>
      <c r="BF247" s="49" t="inlineStr">
        <is>
          <t>IF(OR(F247="",AS247=""),"",IF(COUNT(AI247:AR247)=0,"",AS247-LOOKUP(2,1/(AI247:AR247&lt;&gt;""),AI247:AR247)))</t>
        </is>
      </c>
      <c r="BG247" s="49" t="inlineStr">
        <is>
          <t>IF(OR(F247="",AT247=""),"",IF(COUNT(AI247:AS247)=0,"",AT247-LOOKUP(2,1/(AI247:AS247&lt;&gt;""),AI247:AS247)))</t>
        </is>
      </c>
      <c r="BH247" s="49" t="inlineStr">
        <is>
          <t>IF(OR(F247="",AU247=""),"",IF(COUNT(AI247:AT247)=0,"",AU247-LOOKUP(2,1/(AI247:AT247&lt;&gt;""),AI247:AT247)))</t>
        </is>
      </c>
      <c r="BI247" s="49" t="inlineStr">
        <is>
          <t>IF(OR(F247="",AV247=""),"",IF(COUNT(AI247:AU247)=0,"",AV247-LOOKUP(2,1/(AI247:AU247&lt;&gt;""),AI247:AU247)))</t>
        </is>
      </c>
      <c r="BJ247" s="51" t="inlineStr">
        <is>
          <t>IF(J247="","All_Provinces",IFERROR(VLOOKUP(J247,'09_Lookups'!$A$4:$B$20,2,FALSE),"All_Provinces"))</t>
        </is>
      </c>
      <c r="BK247" s="51" t="inlineStr">
        <is>
          <t>IF(K247="","All_Districts",IFERROR(VLOOKUP(K247,'09_Lookups'!$E$4:$F$42,2,FALSE),"All_Districts"))</t>
        </is>
      </c>
    </row>
    <row r="248" ht="18" customHeight="1">
      <c r="A248" s="42" t="inlineStr">
        <is>
          <t>IF(F248="","",ROW()-3)</t>
        </is>
      </c>
      <c r="B248" s="52" t="n"/>
      <c r="C248" s="52" t="n"/>
      <c r="D248" s="52" t="n"/>
      <c r="E248" s="52" t="n"/>
      <c r="F248" s="52" t="n"/>
      <c r="G248" s="52" t="n"/>
      <c r="H248" s="52" t="n"/>
      <c r="I248" s="52" t="n"/>
      <c r="J248" s="52" t="n"/>
      <c r="K248" s="52" t="n"/>
      <c r="L248" s="52" t="n"/>
      <c r="M248" s="52" t="n"/>
      <c r="N248" s="52" t="n"/>
      <c r="O248" s="52" t="n"/>
      <c r="P248" s="52" t="n"/>
      <c r="Q248" s="52" t="n"/>
      <c r="R248" s="52" t="n"/>
      <c r="S248" s="53" t="n"/>
      <c r="T248" s="46" t="inlineStr">
        <is>
          <t>IF(AQ248="","",AQ248)</t>
        </is>
      </c>
      <c r="U248" s="54" t="n"/>
      <c r="V248" s="55" t="n"/>
      <c r="W248" s="54" t="n"/>
      <c r="X248" s="46" t="inlineStr">
        <is>
          <t>IF(W248&lt;&gt;"",W248,IF(OR(T248="",V248=""),"",EDATE(T248,V248)))</t>
        </is>
      </c>
      <c r="Y248" s="54" t="n"/>
      <c r="Z248" s="55" t="n"/>
      <c r="AA248" s="52" t="n"/>
      <c r="AB248" s="52" t="n"/>
      <c r="AC248" s="42" t="inlineStr">
        <is>
          <t>IF(F248="","",IF(COUNT(AI248:AV248)=0,IF(AA248="","Not started",AA248),SUBSTITUTE(LOOKUP(2,1/(AI248:AV248&lt;&gt;""),$AI$3:$AV$3),"Date: ","")))</t>
        </is>
      </c>
      <c r="AD248" s="49" t="inlineStr">
        <is>
          <t>IF(OR(F248="",COUNT(AI248:AV248)=0),"",TODAY()-LOOKUP(2,1/(AI248:AV248&lt;&gt;""),AI248:AV248))</t>
        </is>
      </c>
      <c r="AE248" s="49" t="inlineStr">
        <is>
          <t>IF(OR(F248="",COUNT(AI248:AV248)&lt;2),"",LOOKUP(2,1/(AI248:AV248&lt;&gt;""),AI248:AV248)-MIN(AI248:AV248))</t>
        </is>
      </c>
      <c r="AF248" s="49" t="inlineStr">
        <is>
          <t>IF(OR(AD248="",AC248="Not started",AC248=""),"",IFERROR(AD248-IF(VLOOKUP(AC248,'06_Status_Pipeline'!$B$3:$E$20,4,FALSE)="",0,VLOOKUP(AC248,'06_Status_Pipeline'!$B$3:$E$20,4,FALSE)),""))</t>
        </is>
      </c>
      <c r="AG248" s="42" t="inlineStr">
        <is>
          <t>IF(F248="","",IF(OR(AA248="Cancelled",AC248="Cancelled"),"Cancelled",IF(OR(AC248="Completed / Handover",Y248&lt;&gt;"",Z248&gt;=100),"Completed — on track",IF(O248="Not awarded",IF(U248="",IF(X248="","No planned date",IF(TODAY()&gt;X248,"Behind — past planned date",IF(X248-TODAY()&lt;=30,"At risk — close to off track","On track"))),IF(TODAY()&gt;U248,"Behind — award date passed",IF(U248-TODAY()&lt;=30,"At risk — close to off track","On track"))),IF(X248="","No planned date",IF(AND(TODAY()&gt;X248,OR(Z248="",Z248&lt;100)),"Behind — past end date",IF(AND(T248&lt;&gt;"",X248&lt;&gt;"",Z248&lt;&gt;"",(Z248&lt;100),((TODAY()-T248)/MAX(X248-T248,1)*100)-Z248&gt;15),"Behind — progress lag",IF(AND(X248-TODAY()&lt;=30,X248-TODAY()&gt;=0,OR(Z248="",Z248&lt;90)),"At risk — close to off track","On track"))))))))</t>
        </is>
      </c>
      <c r="AH248" s="49" t="inlineStr">
        <is>
          <t>IF(OR(F248="",AC248="Completed / Handover",AC248="Cancelled"),"",IF(O248="Not awarded",IF(U248&lt;&gt;"",U248-TODAY(),IF(X248="","",X248-TODAY())),IF(X248="","",X248-TODAY())))</t>
        </is>
      </c>
      <c r="AI248" s="54" t="n"/>
      <c r="AJ248" s="54" t="n"/>
      <c r="AK248" s="54" t="n"/>
      <c r="AL248" s="54" t="n"/>
      <c r="AM248" s="54" t="n"/>
      <c r="AN248" s="54" t="n"/>
      <c r="AO248" s="54" t="n"/>
      <c r="AP248" s="54" t="n"/>
      <c r="AQ248" s="54" t="n"/>
      <c r="AR248" s="54" t="n"/>
      <c r="AS248" s="54" t="n"/>
      <c r="AT248" s="50" t="n"/>
      <c r="AU248" s="50" t="n"/>
      <c r="AV248" s="50" t="n"/>
      <c r="AW248" s="49" t="inlineStr">
        <is>
          <t>IF(OR(F248="",AJ248=""),"",IF(COUNT(AI248:AI248)=0,"",AJ248-LOOKUP(2,1/(AI248:AI248&lt;&gt;""),AI248:AI248)))</t>
        </is>
      </c>
      <c r="AX248" s="49" t="inlineStr">
        <is>
          <t>IF(OR(F248="",AK248=""),"",IF(COUNT(AI248:AJ248)=0,"",AK248-LOOKUP(2,1/(AI248:AJ248&lt;&gt;""),AI248:AJ248)))</t>
        </is>
      </c>
      <c r="AY248" s="49" t="inlineStr">
        <is>
          <t>IF(OR(F248="",AL248=""),"",IF(COUNT(AI248:AK248)=0,"",AL248-LOOKUP(2,1/(AI248:AK248&lt;&gt;""),AI248:AK248)))</t>
        </is>
      </c>
      <c r="AZ248" s="49" t="inlineStr">
        <is>
          <t>IF(OR(F248="",AM248=""),"",IF(COUNT(AI248:AL248)=0,"",AM248-LOOKUP(2,1/(AI248:AL248&lt;&gt;""),AI248:AL248)))</t>
        </is>
      </c>
      <c r="BA248" s="49" t="inlineStr">
        <is>
          <t>IF(OR(F248="",AN248=""),"",IF(COUNT(AI248:AM248)=0,"",AN248-LOOKUP(2,1/(AI248:AM248&lt;&gt;""),AI248:AM248)))</t>
        </is>
      </c>
      <c r="BB248" s="49" t="inlineStr">
        <is>
          <t>IF(OR(F248="",AO248=""),"",IF(COUNT(AI248:AN248)=0,"",AO248-LOOKUP(2,1/(AI248:AN248&lt;&gt;""),AI248:AN248)))</t>
        </is>
      </c>
      <c r="BC248" s="49" t="inlineStr">
        <is>
          <t>IF(OR(F248="",AP248=""),"",IF(COUNT(AI248:AO248)=0,"",AP248-LOOKUP(2,1/(AI248:AO248&lt;&gt;""),AI248:AO248)))</t>
        </is>
      </c>
      <c r="BD248" s="49" t="inlineStr">
        <is>
          <t>IF(OR(F248="",AQ248=""),"",IF(COUNT(AI248:AP248)=0,"",AQ248-LOOKUP(2,1/(AI248:AP248&lt;&gt;""),AI248:AP248)))</t>
        </is>
      </c>
      <c r="BE248" s="49" t="inlineStr">
        <is>
          <t>IF(OR(F248="",AR248=""),"",IF(COUNT(AI248:AQ248)=0,"",AR248-LOOKUP(2,1/(AI248:AQ248&lt;&gt;""),AI248:AQ248)))</t>
        </is>
      </c>
      <c r="BF248" s="49" t="inlineStr">
        <is>
          <t>IF(OR(F248="",AS248=""),"",IF(COUNT(AI248:AR248)=0,"",AS248-LOOKUP(2,1/(AI248:AR248&lt;&gt;""),AI248:AR248)))</t>
        </is>
      </c>
      <c r="BG248" s="49" t="inlineStr">
        <is>
          <t>IF(OR(F248="",AT248=""),"",IF(COUNT(AI248:AS248)=0,"",AT248-LOOKUP(2,1/(AI248:AS248&lt;&gt;""),AI248:AS248)))</t>
        </is>
      </c>
      <c r="BH248" s="49" t="inlineStr">
        <is>
          <t>IF(OR(F248="",AU248=""),"",IF(COUNT(AI248:AT248)=0,"",AU248-LOOKUP(2,1/(AI248:AT248&lt;&gt;""),AI248:AT248)))</t>
        </is>
      </c>
      <c r="BI248" s="49" t="inlineStr">
        <is>
          <t>IF(OR(F248="",AV248=""),"",IF(COUNT(AI248:AU248)=0,"",AV248-LOOKUP(2,1/(AI248:AU248&lt;&gt;""),AI248:AU248)))</t>
        </is>
      </c>
      <c r="BJ248" s="51" t="inlineStr">
        <is>
          <t>IF(J248="","All_Provinces",IFERROR(VLOOKUP(J248,'09_Lookups'!$A$4:$B$20,2,FALSE),"All_Provinces"))</t>
        </is>
      </c>
      <c r="BK248" s="51" t="inlineStr">
        <is>
          <t>IF(K248="","All_Districts",IFERROR(VLOOKUP(K248,'09_Lookups'!$E$4:$F$42,2,FALSE),"All_Districts"))</t>
        </is>
      </c>
    </row>
    <row r="249" ht="18" customHeight="1">
      <c r="A249" s="42" t="inlineStr">
        <is>
          <t>IF(F249="","",ROW()-3)</t>
        </is>
      </c>
      <c r="B249" s="44" t="n"/>
      <c r="C249" s="44" t="n"/>
      <c r="D249" s="44" t="n"/>
      <c r="E249" s="44" t="n"/>
      <c r="F249" s="44" t="n"/>
      <c r="G249" s="44" t="n"/>
      <c r="H249" s="44" t="n"/>
      <c r="I249" s="44" t="n"/>
      <c r="J249" s="44" t="n"/>
      <c r="K249" s="44" t="n"/>
      <c r="L249" s="44" t="n"/>
      <c r="M249" s="44" t="n"/>
      <c r="N249" s="44" t="n"/>
      <c r="O249" s="44" t="n"/>
      <c r="P249" s="44" t="n"/>
      <c r="Q249" s="44" t="n"/>
      <c r="R249" s="44" t="n"/>
      <c r="S249" s="45" t="n"/>
      <c r="T249" s="46" t="inlineStr">
        <is>
          <t>IF(AQ249="","",AQ249)</t>
        </is>
      </c>
      <c r="U249" s="47" t="n"/>
      <c r="V249" s="48" t="n"/>
      <c r="W249" s="47" t="n"/>
      <c r="X249" s="46" t="inlineStr">
        <is>
          <t>IF(W249&lt;&gt;"",W249,IF(OR(T249="",V249=""),"",EDATE(T249,V249)))</t>
        </is>
      </c>
      <c r="Y249" s="47" t="n"/>
      <c r="Z249" s="48" t="n"/>
      <c r="AA249" s="44" t="n"/>
      <c r="AB249" s="44" t="n"/>
      <c r="AC249" s="42" t="inlineStr">
        <is>
          <t>IF(F249="","",IF(COUNT(AI249:AV249)=0,IF(AA249="","Not started",AA249),SUBSTITUTE(LOOKUP(2,1/(AI249:AV249&lt;&gt;""),$AI$3:$AV$3),"Date: ","")))</t>
        </is>
      </c>
      <c r="AD249" s="49" t="inlineStr">
        <is>
          <t>IF(OR(F249="",COUNT(AI249:AV249)=0),"",TODAY()-LOOKUP(2,1/(AI249:AV249&lt;&gt;""),AI249:AV249))</t>
        </is>
      </c>
      <c r="AE249" s="49" t="inlineStr">
        <is>
          <t>IF(OR(F249="",COUNT(AI249:AV249)&lt;2),"",LOOKUP(2,1/(AI249:AV249&lt;&gt;""),AI249:AV249)-MIN(AI249:AV249))</t>
        </is>
      </c>
      <c r="AF249" s="49" t="inlineStr">
        <is>
          <t>IF(OR(AD249="",AC249="Not started",AC249=""),"",IFERROR(AD249-IF(VLOOKUP(AC249,'06_Status_Pipeline'!$B$3:$E$20,4,FALSE)="",0,VLOOKUP(AC249,'06_Status_Pipeline'!$B$3:$E$20,4,FALSE)),""))</t>
        </is>
      </c>
      <c r="AG249" s="42" t="inlineStr">
        <is>
          <t>IF(F249="","",IF(OR(AA249="Cancelled",AC249="Cancelled"),"Cancelled",IF(OR(AC249="Completed / Handover",Y249&lt;&gt;"",Z249&gt;=100),"Completed — on track",IF(O249="Not awarded",IF(U249="",IF(X249="","No planned date",IF(TODAY()&gt;X249,"Behind — past planned date",IF(X249-TODAY()&lt;=30,"At risk — close to off track","On track"))),IF(TODAY()&gt;U249,"Behind — award date passed",IF(U249-TODAY()&lt;=30,"At risk — close to off track","On track"))),IF(X249="","No planned date",IF(AND(TODAY()&gt;X249,OR(Z249="",Z249&lt;100)),"Behind — past end date",IF(AND(T249&lt;&gt;"",X249&lt;&gt;"",Z249&lt;&gt;"",(Z249&lt;100),((TODAY()-T249)/MAX(X249-T249,1)*100)-Z249&gt;15),"Behind — progress lag",IF(AND(X249-TODAY()&lt;=30,X249-TODAY()&gt;=0,OR(Z249="",Z249&lt;90)),"At risk — close to off track","On track"))))))))</t>
        </is>
      </c>
      <c r="AH249" s="49" t="inlineStr">
        <is>
          <t>IF(OR(F249="",AC249="Completed / Handover",AC249="Cancelled"),"",IF(O249="Not awarded",IF(U249&lt;&gt;"",U249-TODAY(),IF(X249="","",X249-TODAY())),IF(X249="","",X249-TODAY())))</t>
        </is>
      </c>
      <c r="AI249" s="47" t="n"/>
      <c r="AJ249" s="47" t="n"/>
      <c r="AK249" s="47" t="n"/>
      <c r="AL249" s="47" t="n"/>
      <c r="AM249" s="47" t="n"/>
      <c r="AN249" s="47" t="n"/>
      <c r="AO249" s="47" t="n"/>
      <c r="AP249" s="47" t="n"/>
      <c r="AQ249" s="47" t="n"/>
      <c r="AR249" s="47" t="n"/>
      <c r="AS249" s="47" t="n"/>
      <c r="AT249" s="50" t="n"/>
      <c r="AU249" s="50" t="n"/>
      <c r="AV249" s="50" t="n"/>
      <c r="AW249" s="49" t="inlineStr">
        <is>
          <t>IF(OR(F249="",AJ249=""),"",IF(COUNT(AI249:AI249)=0,"",AJ249-LOOKUP(2,1/(AI249:AI249&lt;&gt;""),AI249:AI249)))</t>
        </is>
      </c>
      <c r="AX249" s="49" t="inlineStr">
        <is>
          <t>IF(OR(F249="",AK249=""),"",IF(COUNT(AI249:AJ249)=0,"",AK249-LOOKUP(2,1/(AI249:AJ249&lt;&gt;""),AI249:AJ249)))</t>
        </is>
      </c>
      <c r="AY249" s="49" t="inlineStr">
        <is>
          <t>IF(OR(F249="",AL249=""),"",IF(COUNT(AI249:AK249)=0,"",AL249-LOOKUP(2,1/(AI249:AK249&lt;&gt;""),AI249:AK249)))</t>
        </is>
      </c>
      <c r="AZ249" s="49" t="inlineStr">
        <is>
          <t>IF(OR(F249="",AM249=""),"",IF(COUNT(AI249:AL249)=0,"",AM249-LOOKUP(2,1/(AI249:AL249&lt;&gt;""),AI249:AL249)))</t>
        </is>
      </c>
      <c r="BA249" s="49" t="inlineStr">
        <is>
          <t>IF(OR(F249="",AN249=""),"",IF(COUNT(AI249:AM249)=0,"",AN249-LOOKUP(2,1/(AI249:AM249&lt;&gt;""),AI249:AM249)))</t>
        </is>
      </c>
      <c r="BB249" s="49" t="inlineStr">
        <is>
          <t>IF(OR(F249="",AO249=""),"",IF(COUNT(AI249:AN249)=0,"",AO249-LOOKUP(2,1/(AI249:AN249&lt;&gt;""),AI249:AN249)))</t>
        </is>
      </c>
      <c r="BC249" s="49" t="inlineStr">
        <is>
          <t>IF(OR(F249="",AP249=""),"",IF(COUNT(AI249:AO249)=0,"",AP249-LOOKUP(2,1/(AI249:AO249&lt;&gt;""),AI249:AO249)))</t>
        </is>
      </c>
      <c r="BD249" s="49" t="inlineStr">
        <is>
          <t>IF(OR(F249="",AQ249=""),"",IF(COUNT(AI249:AP249)=0,"",AQ249-LOOKUP(2,1/(AI249:AP249&lt;&gt;""),AI249:AP249)))</t>
        </is>
      </c>
      <c r="BE249" s="49" t="inlineStr">
        <is>
          <t>IF(OR(F249="",AR249=""),"",IF(COUNT(AI249:AQ249)=0,"",AR249-LOOKUP(2,1/(AI249:AQ249&lt;&gt;""),AI249:AQ249)))</t>
        </is>
      </c>
      <c r="BF249" s="49" t="inlineStr">
        <is>
          <t>IF(OR(F249="",AS249=""),"",IF(COUNT(AI249:AR249)=0,"",AS249-LOOKUP(2,1/(AI249:AR249&lt;&gt;""),AI249:AR249)))</t>
        </is>
      </c>
      <c r="BG249" s="49" t="inlineStr">
        <is>
          <t>IF(OR(F249="",AT249=""),"",IF(COUNT(AI249:AS249)=0,"",AT249-LOOKUP(2,1/(AI249:AS249&lt;&gt;""),AI249:AS249)))</t>
        </is>
      </c>
      <c r="BH249" s="49" t="inlineStr">
        <is>
          <t>IF(OR(F249="",AU249=""),"",IF(COUNT(AI249:AT249)=0,"",AU249-LOOKUP(2,1/(AI249:AT249&lt;&gt;""),AI249:AT249)))</t>
        </is>
      </c>
      <c r="BI249" s="49" t="inlineStr">
        <is>
          <t>IF(OR(F249="",AV249=""),"",IF(COUNT(AI249:AU249)=0,"",AV249-LOOKUP(2,1/(AI249:AU249&lt;&gt;""),AI249:AU249)))</t>
        </is>
      </c>
      <c r="BJ249" s="51" t="inlineStr">
        <is>
          <t>IF(J249="","All_Provinces",IFERROR(VLOOKUP(J249,'09_Lookups'!$A$4:$B$20,2,FALSE),"All_Provinces"))</t>
        </is>
      </c>
      <c r="BK249" s="51" t="inlineStr">
        <is>
          <t>IF(K249="","All_Districts",IFERROR(VLOOKUP(K249,'09_Lookups'!$E$4:$F$42,2,FALSE),"All_Districts"))</t>
        </is>
      </c>
    </row>
    <row r="250" ht="18" customHeight="1">
      <c r="A250" s="42" t="inlineStr">
        <is>
          <t>IF(F250="","",ROW()-3)</t>
        </is>
      </c>
      <c r="B250" s="52" t="n"/>
      <c r="C250" s="52" t="n"/>
      <c r="D250" s="52" t="n"/>
      <c r="E250" s="52" t="n"/>
      <c r="F250" s="52" t="n"/>
      <c r="G250" s="52" t="n"/>
      <c r="H250" s="52" t="n"/>
      <c r="I250" s="52" t="n"/>
      <c r="J250" s="52" t="n"/>
      <c r="K250" s="52" t="n"/>
      <c r="L250" s="52" t="n"/>
      <c r="M250" s="52" t="n"/>
      <c r="N250" s="52" t="n"/>
      <c r="O250" s="52" t="n"/>
      <c r="P250" s="52" t="n"/>
      <c r="Q250" s="52" t="n"/>
      <c r="R250" s="52" t="n"/>
      <c r="S250" s="53" t="n"/>
      <c r="T250" s="46" t="inlineStr">
        <is>
          <t>IF(AQ250="","",AQ250)</t>
        </is>
      </c>
      <c r="U250" s="54" t="n"/>
      <c r="V250" s="55" t="n"/>
      <c r="W250" s="54" t="n"/>
      <c r="X250" s="46" t="inlineStr">
        <is>
          <t>IF(W250&lt;&gt;"",W250,IF(OR(T250="",V250=""),"",EDATE(T250,V250)))</t>
        </is>
      </c>
      <c r="Y250" s="54" t="n"/>
      <c r="Z250" s="55" t="n"/>
      <c r="AA250" s="52" t="n"/>
      <c r="AB250" s="52" t="n"/>
      <c r="AC250" s="42" t="inlineStr">
        <is>
          <t>IF(F250="","",IF(COUNT(AI250:AV250)=0,IF(AA250="","Not started",AA250),SUBSTITUTE(LOOKUP(2,1/(AI250:AV250&lt;&gt;""),$AI$3:$AV$3),"Date: ","")))</t>
        </is>
      </c>
      <c r="AD250" s="49" t="inlineStr">
        <is>
          <t>IF(OR(F250="",COUNT(AI250:AV250)=0),"",TODAY()-LOOKUP(2,1/(AI250:AV250&lt;&gt;""),AI250:AV250))</t>
        </is>
      </c>
      <c r="AE250" s="49" t="inlineStr">
        <is>
          <t>IF(OR(F250="",COUNT(AI250:AV250)&lt;2),"",LOOKUP(2,1/(AI250:AV250&lt;&gt;""),AI250:AV250)-MIN(AI250:AV250))</t>
        </is>
      </c>
      <c r="AF250" s="49" t="inlineStr">
        <is>
          <t>IF(OR(AD250="",AC250="Not started",AC250=""),"",IFERROR(AD250-IF(VLOOKUP(AC250,'06_Status_Pipeline'!$B$3:$E$20,4,FALSE)="",0,VLOOKUP(AC250,'06_Status_Pipeline'!$B$3:$E$20,4,FALSE)),""))</t>
        </is>
      </c>
      <c r="AG250" s="42" t="inlineStr">
        <is>
          <t>IF(F250="","",IF(OR(AA250="Cancelled",AC250="Cancelled"),"Cancelled",IF(OR(AC250="Completed / Handover",Y250&lt;&gt;"",Z250&gt;=100),"Completed — on track",IF(O250="Not awarded",IF(U250="",IF(X250="","No planned date",IF(TODAY()&gt;X250,"Behind — past planned date",IF(X250-TODAY()&lt;=30,"At risk — close to off track","On track"))),IF(TODAY()&gt;U250,"Behind — award date passed",IF(U250-TODAY()&lt;=30,"At risk — close to off track","On track"))),IF(X250="","No planned date",IF(AND(TODAY()&gt;X250,OR(Z250="",Z250&lt;100)),"Behind — past end date",IF(AND(T250&lt;&gt;"",X250&lt;&gt;"",Z250&lt;&gt;"",(Z250&lt;100),((TODAY()-T250)/MAX(X250-T250,1)*100)-Z250&gt;15),"Behind — progress lag",IF(AND(X250-TODAY()&lt;=30,X250-TODAY()&gt;=0,OR(Z250="",Z250&lt;90)),"At risk — close to off track","On track"))))))))</t>
        </is>
      </c>
      <c r="AH250" s="49" t="inlineStr">
        <is>
          <t>IF(OR(F250="",AC250="Completed / Handover",AC250="Cancelled"),"",IF(O250="Not awarded",IF(U250&lt;&gt;"",U250-TODAY(),IF(X250="","",X250-TODAY())),IF(X250="","",X250-TODAY())))</t>
        </is>
      </c>
      <c r="AI250" s="54" t="n"/>
      <c r="AJ250" s="54" t="n"/>
      <c r="AK250" s="54" t="n"/>
      <c r="AL250" s="54" t="n"/>
      <c r="AM250" s="54" t="n"/>
      <c r="AN250" s="54" t="n"/>
      <c r="AO250" s="54" t="n"/>
      <c r="AP250" s="54" t="n"/>
      <c r="AQ250" s="54" t="n"/>
      <c r="AR250" s="54" t="n"/>
      <c r="AS250" s="54" t="n"/>
      <c r="AT250" s="50" t="n"/>
      <c r="AU250" s="50" t="n"/>
      <c r="AV250" s="50" t="n"/>
      <c r="AW250" s="49" t="inlineStr">
        <is>
          <t>IF(OR(F250="",AJ250=""),"",IF(COUNT(AI250:AI250)=0,"",AJ250-LOOKUP(2,1/(AI250:AI250&lt;&gt;""),AI250:AI250)))</t>
        </is>
      </c>
      <c r="AX250" s="49" t="inlineStr">
        <is>
          <t>IF(OR(F250="",AK250=""),"",IF(COUNT(AI250:AJ250)=0,"",AK250-LOOKUP(2,1/(AI250:AJ250&lt;&gt;""),AI250:AJ250)))</t>
        </is>
      </c>
      <c r="AY250" s="49" t="inlineStr">
        <is>
          <t>IF(OR(F250="",AL250=""),"",IF(COUNT(AI250:AK250)=0,"",AL250-LOOKUP(2,1/(AI250:AK250&lt;&gt;""),AI250:AK250)))</t>
        </is>
      </c>
      <c r="AZ250" s="49" t="inlineStr">
        <is>
          <t>IF(OR(F250="",AM250=""),"",IF(COUNT(AI250:AL250)=0,"",AM250-LOOKUP(2,1/(AI250:AL250&lt;&gt;""),AI250:AL250)))</t>
        </is>
      </c>
      <c r="BA250" s="49" t="inlineStr">
        <is>
          <t>IF(OR(F250="",AN250=""),"",IF(COUNT(AI250:AM250)=0,"",AN250-LOOKUP(2,1/(AI250:AM250&lt;&gt;""),AI250:AM250)))</t>
        </is>
      </c>
      <c r="BB250" s="49" t="inlineStr">
        <is>
          <t>IF(OR(F250="",AO250=""),"",IF(COUNT(AI250:AN250)=0,"",AO250-LOOKUP(2,1/(AI250:AN250&lt;&gt;""),AI250:AN250)))</t>
        </is>
      </c>
      <c r="BC250" s="49" t="inlineStr">
        <is>
          <t>IF(OR(F250="",AP250=""),"",IF(COUNT(AI250:AO250)=0,"",AP250-LOOKUP(2,1/(AI250:AO250&lt;&gt;""),AI250:AO250)))</t>
        </is>
      </c>
      <c r="BD250" s="49" t="inlineStr">
        <is>
          <t>IF(OR(F250="",AQ250=""),"",IF(COUNT(AI250:AP250)=0,"",AQ250-LOOKUP(2,1/(AI250:AP250&lt;&gt;""),AI250:AP250)))</t>
        </is>
      </c>
      <c r="BE250" s="49" t="inlineStr">
        <is>
          <t>IF(OR(F250="",AR250=""),"",IF(COUNT(AI250:AQ250)=0,"",AR250-LOOKUP(2,1/(AI250:AQ250&lt;&gt;""),AI250:AQ250)))</t>
        </is>
      </c>
      <c r="BF250" s="49" t="inlineStr">
        <is>
          <t>IF(OR(F250="",AS250=""),"",IF(COUNT(AI250:AR250)=0,"",AS250-LOOKUP(2,1/(AI250:AR250&lt;&gt;""),AI250:AR250)))</t>
        </is>
      </c>
      <c r="BG250" s="49" t="inlineStr">
        <is>
          <t>IF(OR(F250="",AT250=""),"",IF(COUNT(AI250:AS250)=0,"",AT250-LOOKUP(2,1/(AI250:AS250&lt;&gt;""),AI250:AS250)))</t>
        </is>
      </c>
      <c r="BH250" s="49" t="inlineStr">
        <is>
          <t>IF(OR(F250="",AU250=""),"",IF(COUNT(AI250:AT250)=0,"",AU250-LOOKUP(2,1/(AI250:AT250&lt;&gt;""),AI250:AT250)))</t>
        </is>
      </c>
      <c r="BI250" s="49" t="inlineStr">
        <is>
          <t>IF(OR(F250="",AV250=""),"",IF(COUNT(AI250:AU250)=0,"",AV250-LOOKUP(2,1/(AI250:AU250&lt;&gt;""),AI250:AU250)))</t>
        </is>
      </c>
      <c r="BJ250" s="51" t="inlineStr">
        <is>
          <t>IF(J250="","All_Provinces",IFERROR(VLOOKUP(J250,'09_Lookups'!$A$4:$B$20,2,FALSE),"All_Provinces"))</t>
        </is>
      </c>
      <c r="BK250" s="51" t="inlineStr">
        <is>
          <t>IF(K250="","All_Districts",IFERROR(VLOOKUP(K250,'09_Lookups'!$E$4:$F$42,2,FALSE),"All_Districts"))</t>
        </is>
      </c>
    </row>
    <row r="251" ht="18" customHeight="1">
      <c r="A251" s="42" t="inlineStr">
        <is>
          <t>IF(F251="","",ROW()-3)</t>
        </is>
      </c>
      <c r="B251" s="44" t="n"/>
      <c r="C251" s="44" t="n"/>
      <c r="D251" s="44" t="n"/>
      <c r="E251" s="44" t="n"/>
      <c r="F251" s="44" t="n"/>
      <c r="G251" s="44" t="n"/>
      <c r="H251" s="44" t="n"/>
      <c r="I251" s="44" t="n"/>
      <c r="J251" s="44" t="n"/>
      <c r="K251" s="44" t="n"/>
      <c r="L251" s="44" t="n"/>
      <c r="M251" s="44" t="n"/>
      <c r="N251" s="44" t="n"/>
      <c r="O251" s="44" t="n"/>
      <c r="P251" s="44" t="n"/>
      <c r="Q251" s="44" t="n"/>
      <c r="R251" s="44" t="n"/>
      <c r="S251" s="45" t="n"/>
      <c r="T251" s="46" t="inlineStr">
        <is>
          <t>IF(AQ251="","",AQ251)</t>
        </is>
      </c>
      <c r="U251" s="47" t="n"/>
      <c r="V251" s="48" t="n"/>
      <c r="W251" s="47" t="n"/>
      <c r="X251" s="46" t="inlineStr">
        <is>
          <t>IF(W251&lt;&gt;"",W251,IF(OR(T251="",V251=""),"",EDATE(T251,V251)))</t>
        </is>
      </c>
      <c r="Y251" s="47" t="n"/>
      <c r="Z251" s="48" t="n"/>
      <c r="AA251" s="44" t="n"/>
      <c r="AB251" s="44" t="n"/>
      <c r="AC251" s="42" t="inlineStr">
        <is>
          <t>IF(F251="","",IF(COUNT(AI251:AV251)=0,IF(AA251="","Not started",AA251),SUBSTITUTE(LOOKUP(2,1/(AI251:AV251&lt;&gt;""),$AI$3:$AV$3),"Date: ","")))</t>
        </is>
      </c>
      <c r="AD251" s="49" t="inlineStr">
        <is>
          <t>IF(OR(F251="",COUNT(AI251:AV251)=0),"",TODAY()-LOOKUP(2,1/(AI251:AV251&lt;&gt;""),AI251:AV251))</t>
        </is>
      </c>
      <c r="AE251" s="49" t="inlineStr">
        <is>
          <t>IF(OR(F251="",COUNT(AI251:AV251)&lt;2),"",LOOKUP(2,1/(AI251:AV251&lt;&gt;""),AI251:AV251)-MIN(AI251:AV251))</t>
        </is>
      </c>
      <c r="AF251" s="49" t="inlineStr">
        <is>
          <t>IF(OR(AD251="",AC251="Not started",AC251=""),"",IFERROR(AD251-IF(VLOOKUP(AC251,'06_Status_Pipeline'!$B$3:$E$20,4,FALSE)="",0,VLOOKUP(AC251,'06_Status_Pipeline'!$B$3:$E$20,4,FALSE)),""))</t>
        </is>
      </c>
      <c r="AG251" s="42" t="inlineStr">
        <is>
          <t>IF(F251="","",IF(OR(AA251="Cancelled",AC251="Cancelled"),"Cancelled",IF(OR(AC251="Completed / Handover",Y251&lt;&gt;"",Z251&gt;=100),"Completed — on track",IF(O251="Not awarded",IF(U251="",IF(X251="","No planned date",IF(TODAY()&gt;X251,"Behind — past planned date",IF(X251-TODAY()&lt;=30,"At risk — close to off track","On track"))),IF(TODAY()&gt;U251,"Behind — award date passed",IF(U251-TODAY()&lt;=30,"At risk — close to off track","On track"))),IF(X251="","No planned date",IF(AND(TODAY()&gt;X251,OR(Z251="",Z251&lt;100)),"Behind — past end date",IF(AND(T251&lt;&gt;"",X251&lt;&gt;"",Z251&lt;&gt;"",(Z251&lt;100),((TODAY()-T251)/MAX(X251-T251,1)*100)-Z251&gt;15),"Behind — progress lag",IF(AND(X251-TODAY()&lt;=30,X251-TODAY()&gt;=0,OR(Z251="",Z251&lt;90)),"At risk — close to off track","On track"))))))))</t>
        </is>
      </c>
      <c r="AH251" s="49" t="inlineStr">
        <is>
          <t>IF(OR(F251="",AC251="Completed / Handover",AC251="Cancelled"),"",IF(O251="Not awarded",IF(U251&lt;&gt;"",U251-TODAY(),IF(X251="","",X251-TODAY())),IF(X251="","",X251-TODAY())))</t>
        </is>
      </c>
      <c r="AI251" s="47" t="n"/>
      <c r="AJ251" s="47" t="n"/>
      <c r="AK251" s="47" t="n"/>
      <c r="AL251" s="47" t="n"/>
      <c r="AM251" s="47" t="n"/>
      <c r="AN251" s="47" t="n"/>
      <c r="AO251" s="47" t="n"/>
      <c r="AP251" s="47" t="n"/>
      <c r="AQ251" s="47" t="n"/>
      <c r="AR251" s="47" t="n"/>
      <c r="AS251" s="47" t="n"/>
      <c r="AT251" s="50" t="n"/>
      <c r="AU251" s="50" t="n"/>
      <c r="AV251" s="50" t="n"/>
      <c r="AW251" s="49" t="inlineStr">
        <is>
          <t>IF(OR(F251="",AJ251=""),"",IF(COUNT(AI251:AI251)=0,"",AJ251-LOOKUP(2,1/(AI251:AI251&lt;&gt;""),AI251:AI251)))</t>
        </is>
      </c>
      <c r="AX251" s="49" t="inlineStr">
        <is>
          <t>IF(OR(F251="",AK251=""),"",IF(COUNT(AI251:AJ251)=0,"",AK251-LOOKUP(2,1/(AI251:AJ251&lt;&gt;""),AI251:AJ251)))</t>
        </is>
      </c>
      <c r="AY251" s="49" t="inlineStr">
        <is>
          <t>IF(OR(F251="",AL251=""),"",IF(COUNT(AI251:AK251)=0,"",AL251-LOOKUP(2,1/(AI251:AK251&lt;&gt;""),AI251:AK251)))</t>
        </is>
      </c>
      <c r="AZ251" s="49" t="inlineStr">
        <is>
          <t>IF(OR(F251="",AM251=""),"",IF(COUNT(AI251:AL251)=0,"",AM251-LOOKUP(2,1/(AI251:AL251&lt;&gt;""),AI251:AL251)))</t>
        </is>
      </c>
      <c r="BA251" s="49" t="inlineStr">
        <is>
          <t>IF(OR(F251="",AN251=""),"",IF(COUNT(AI251:AM251)=0,"",AN251-LOOKUP(2,1/(AI251:AM251&lt;&gt;""),AI251:AM251)))</t>
        </is>
      </c>
      <c r="BB251" s="49" t="inlineStr">
        <is>
          <t>IF(OR(F251="",AO251=""),"",IF(COUNT(AI251:AN251)=0,"",AO251-LOOKUP(2,1/(AI251:AN251&lt;&gt;""),AI251:AN251)))</t>
        </is>
      </c>
      <c r="BC251" s="49" t="inlineStr">
        <is>
          <t>IF(OR(F251="",AP251=""),"",IF(COUNT(AI251:AO251)=0,"",AP251-LOOKUP(2,1/(AI251:AO251&lt;&gt;""),AI251:AO251)))</t>
        </is>
      </c>
      <c r="BD251" s="49" t="inlineStr">
        <is>
          <t>IF(OR(F251="",AQ251=""),"",IF(COUNT(AI251:AP251)=0,"",AQ251-LOOKUP(2,1/(AI251:AP251&lt;&gt;""),AI251:AP251)))</t>
        </is>
      </c>
      <c r="BE251" s="49" t="inlineStr">
        <is>
          <t>IF(OR(F251="",AR251=""),"",IF(COUNT(AI251:AQ251)=0,"",AR251-LOOKUP(2,1/(AI251:AQ251&lt;&gt;""),AI251:AQ251)))</t>
        </is>
      </c>
      <c r="BF251" s="49" t="inlineStr">
        <is>
          <t>IF(OR(F251="",AS251=""),"",IF(COUNT(AI251:AR251)=0,"",AS251-LOOKUP(2,1/(AI251:AR251&lt;&gt;""),AI251:AR251)))</t>
        </is>
      </c>
      <c r="BG251" s="49" t="inlineStr">
        <is>
          <t>IF(OR(F251="",AT251=""),"",IF(COUNT(AI251:AS251)=0,"",AT251-LOOKUP(2,1/(AI251:AS251&lt;&gt;""),AI251:AS251)))</t>
        </is>
      </c>
      <c r="BH251" s="49" t="inlineStr">
        <is>
          <t>IF(OR(F251="",AU251=""),"",IF(COUNT(AI251:AT251)=0,"",AU251-LOOKUP(2,1/(AI251:AT251&lt;&gt;""),AI251:AT251)))</t>
        </is>
      </c>
      <c r="BI251" s="49" t="inlineStr">
        <is>
          <t>IF(OR(F251="",AV251=""),"",IF(COUNT(AI251:AU251)=0,"",AV251-LOOKUP(2,1/(AI251:AU251&lt;&gt;""),AI251:AU251)))</t>
        </is>
      </c>
      <c r="BJ251" s="51" t="inlineStr">
        <is>
          <t>IF(J251="","All_Provinces",IFERROR(VLOOKUP(J251,'09_Lookups'!$A$4:$B$20,2,FALSE),"All_Provinces"))</t>
        </is>
      </c>
      <c r="BK251" s="51" t="inlineStr">
        <is>
          <t>IF(K251="","All_Districts",IFERROR(VLOOKUP(K251,'09_Lookups'!$E$4:$F$42,2,FALSE),"All_Districts"))</t>
        </is>
      </c>
    </row>
    <row r="252" ht="18" customHeight="1">
      <c r="A252" s="42" t="inlineStr">
        <is>
          <t>IF(F252="","",ROW()-3)</t>
        </is>
      </c>
      <c r="B252" s="52" t="n"/>
      <c r="C252" s="52" t="n"/>
      <c r="D252" s="52" t="n"/>
      <c r="E252" s="52" t="n"/>
      <c r="F252" s="52" t="n"/>
      <c r="G252" s="52" t="n"/>
      <c r="H252" s="52" t="n"/>
      <c r="I252" s="52" t="n"/>
      <c r="J252" s="52" t="n"/>
      <c r="K252" s="52" t="n"/>
      <c r="L252" s="52" t="n"/>
      <c r="M252" s="52" t="n"/>
      <c r="N252" s="52" t="n"/>
      <c r="O252" s="52" t="n"/>
      <c r="P252" s="52" t="n"/>
      <c r="Q252" s="52" t="n"/>
      <c r="R252" s="52" t="n"/>
      <c r="S252" s="53" t="n"/>
      <c r="T252" s="46" t="inlineStr">
        <is>
          <t>IF(AQ252="","",AQ252)</t>
        </is>
      </c>
      <c r="U252" s="54" t="n"/>
      <c r="V252" s="55" t="n"/>
      <c r="W252" s="54" t="n"/>
      <c r="X252" s="46" t="inlineStr">
        <is>
          <t>IF(W252&lt;&gt;"",W252,IF(OR(T252="",V252=""),"",EDATE(T252,V252)))</t>
        </is>
      </c>
      <c r="Y252" s="54" t="n"/>
      <c r="Z252" s="55" t="n"/>
      <c r="AA252" s="52" t="n"/>
      <c r="AB252" s="52" t="n"/>
      <c r="AC252" s="42" t="inlineStr">
        <is>
          <t>IF(F252="","",IF(COUNT(AI252:AV252)=0,IF(AA252="","Not started",AA252),SUBSTITUTE(LOOKUP(2,1/(AI252:AV252&lt;&gt;""),$AI$3:$AV$3),"Date: ","")))</t>
        </is>
      </c>
      <c r="AD252" s="49" t="inlineStr">
        <is>
          <t>IF(OR(F252="",COUNT(AI252:AV252)=0),"",TODAY()-LOOKUP(2,1/(AI252:AV252&lt;&gt;""),AI252:AV252))</t>
        </is>
      </c>
      <c r="AE252" s="49" t="inlineStr">
        <is>
          <t>IF(OR(F252="",COUNT(AI252:AV252)&lt;2),"",LOOKUP(2,1/(AI252:AV252&lt;&gt;""),AI252:AV252)-MIN(AI252:AV252))</t>
        </is>
      </c>
      <c r="AF252" s="49" t="inlineStr">
        <is>
          <t>IF(OR(AD252="",AC252="Not started",AC252=""),"",IFERROR(AD252-IF(VLOOKUP(AC252,'06_Status_Pipeline'!$B$3:$E$20,4,FALSE)="",0,VLOOKUP(AC252,'06_Status_Pipeline'!$B$3:$E$20,4,FALSE)),""))</t>
        </is>
      </c>
      <c r="AG252" s="42" t="inlineStr">
        <is>
          <t>IF(F252="","",IF(OR(AA252="Cancelled",AC252="Cancelled"),"Cancelled",IF(OR(AC252="Completed / Handover",Y252&lt;&gt;"",Z252&gt;=100),"Completed — on track",IF(O252="Not awarded",IF(U252="",IF(X252="","No planned date",IF(TODAY()&gt;X252,"Behind — past planned date",IF(X252-TODAY()&lt;=30,"At risk — close to off track","On track"))),IF(TODAY()&gt;U252,"Behind — award date passed",IF(U252-TODAY()&lt;=30,"At risk — close to off track","On track"))),IF(X252="","No planned date",IF(AND(TODAY()&gt;X252,OR(Z252="",Z252&lt;100)),"Behind — past end date",IF(AND(T252&lt;&gt;"",X252&lt;&gt;"",Z252&lt;&gt;"",(Z252&lt;100),((TODAY()-T252)/MAX(X252-T252,1)*100)-Z252&gt;15),"Behind — progress lag",IF(AND(X252-TODAY()&lt;=30,X252-TODAY()&gt;=0,OR(Z252="",Z252&lt;90)),"At risk — close to off track","On track"))))))))</t>
        </is>
      </c>
      <c r="AH252" s="49" t="inlineStr">
        <is>
          <t>IF(OR(F252="",AC252="Completed / Handover",AC252="Cancelled"),"",IF(O252="Not awarded",IF(U252&lt;&gt;"",U252-TODAY(),IF(X252="","",X252-TODAY())),IF(X252="","",X252-TODAY())))</t>
        </is>
      </c>
      <c r="AI252" s="54" t="n"/>
      <c r="AJ252" s="54" t="n"/>
      <c r="AK252" s="54" t="n"/>
      <c r="AL252" s="54" t="n"/>
      <c r="AM252" s="54" t="n"/>
      <c r="AN252" s="54" t="n"/>
      <c r="AO252" s="54" t="n"/>
      <c r="AP252" s="54" t="n"/>
      <c r="AQ252" s="54" t="n"/>
      <c r="AR252" s="54" t="n"/>
      <c r="AS252" s="54" t="n"/>
      <c r="AT252" s="50" t="n"/>
      <c r="AU252" s="50" t="n"/>
      <c r="AV252" s="50" t="n"/>
      <c r="AW252" s="49" t="inlineStr">
        <is>
          <t>IF(OR(F252="",AJ252=""),"",IF(COUNT(AI252:AI252)=0,"",AJ252-LOOKUP(2,1/(AI252:AI252&lt;&gt;""),AI252:AI252)))</t>
        </is>
      </c>
      <c r="AX252" s="49" t="inlineStr">
        <is>
          <t>IF(OR(F252="",AK252=""),"",IF(COUNT(AI252:AJ252)=0,"",AK252-LOOKUP(2,1/(AI252:AJ252&lt;&gt;""),AI252:AJ252)))</t>
        </is>
      </c>
      <c r="AY252" s="49" t="inlineStr">
        <is>
          <t>IF(OR(F252="",AL252=""),"",IF(COUNT(AI252:AK252)=0,"",AL252-LOOKUP(2,1/(AI252:AK252&lt;&gt;""),AI252:AK252)))</t>
        </is>
      </c>
      <c r="AZ252" s="49" t="inlineStr">
        <is>
          <t>IF(OR(F252="",AM252=""),"",IF(COUNT(AI252:AL252)=0,"",AM252-LOOKUP(2,1/(AI252:AL252&lt;&gt;""),AI252:AL252)))</t>
        </is>
      </c>
      <c r="BA252" s="49" t="inlineStr">
        <is>
          <t>IF(OR(F252="",AN252=""),"",IF(COUNT(AI252:AM252)=0,"",AN252-LOOKUP(2,1/(AI252:AM252&lt;&gt;""),AI252:AM252)))</t>
        </is>
      </c>
      <c r="BB252" s="49" t="inlineStr">
        <is>
          <t>IF(OR(F252="",AO252=""),"",IF(COUNT(AI252:AN252)=0,"",AO252-LOOKUP(2,1/(AI252:AN252&lt;&gt;""),AI252:AN252)))</t>
        </is>
      </c>
      <c r="BC252" s="49" t="inlineStr">
        <is>
          <t>IF(OR(F252="",AP252=""),"",IF(COUNT(AI252:AO252)=0,"",AP252-LOOKUP(2,1/(AI252:AO252&lt;&gt;""),AI252:AO252)))</t>
        </is>
      </c>
      <c r="BD252" s="49" t="inlineStr">
        <is>
          <t>IF(OR(F252="",AQ252=""),"",IF(COUNT(AI252:AP252)=0,"",AQ252-LOOKUP(2,1/(AI252:AP252&lt;&gt;""),AI252:AP252)))</t>
        </is>
      </c>
      <c r="BE252" s="49" t="inlineStr">
        <is>
          <t>IF(OR(F252="",AR252=""),"",IF(COUNT(AI252:AQ252)=0,"",AR252-LOOKUP(2,1/(AI252:AQ252&lt;&gt;""),AI252:AQ252)))</t>
        </is>
      </c>
      <c r="BF252" s="49" t="inlineStr">
        <is>
          <t>IF(OR(F252="",AS252=""),"",IF(COUNT(AI252:AR252)=0,"",AS252-LOOKUP(2,1/(AI252:AR252&lt;&gt;""),AI252:AR252)))</t>
        </is>
      </c>
      <c r="BG252" s="49" t="inlineStr">
        <is>
          <t>IF(OR(F252="",AT252=""),"",IF(COUNT(AI252:AS252)=0,"",AT252-LOOKUP(2,1/(AI252:AS252&lt;&gt;""),AI252:AS252)))</t>
        </is>
      </c>
      <c r="BH252" s="49" t="inlineStr">
        <is>
          <t>IF(OR(F252="",AU252=""),"",IF(COUNT(AI252:AT252)=0,"",AU252-LOOKUP(2,1/(AI252:AT252&lt;&gt;""),AI252:AT252)))</t>
        </is>
      </c>
      <c r="BI252" s="49" t="inlineStr">
        <is>
          <t>IF(OR(F252="",AV252=""),"",IF(COUNT(AI252:AU252)=0,"",AV252-LOOKUP(2,1/(AI252:AU252&lt;&gt;""),AI252:AU252)))</t>
        </is>
      </c>
      <c r="BJ252" s="51" t="inlineStr">
        <is>
          <t>IF(J252="","All_Provinces",IFERROR(VLOOKUP(J252,'09_Lookups'!$A$4:$B$20,2,FALSE),"All_Provinces"))</t>
        </is>
      </c>
      <c r="BK252" s="51" t="inlineStr">
        <is>
          <t>IF(K252="","All_Districts",IFERROR(VLOOKUP(K252,'09_Lookups'!$E$4:$F$42,2,FALSE),"All_Districts"))</t>
        </is>
      </c>
    </row>
    <row r="253" ht="18" customHeight="1">
      <c r="A253" s="42" t="inlineStr">
        <is>
          <t>IF(F253="","",ROW()-3)</t>
        </is>
      </c>
      <c r="B253" s="44" t="n"/>
      <c r="C253" s="44" t="n"/>
      <c r="D253" s="44" t="n"/>
      <c r="E253" s="44" t="n"/>
      <c r="F253" s="44" t="n"/>
      <c r="G253" s="44" t="n"/>
      <c r="H253" s="44" t="n"/>
      <c r="I253" s="44" t="n"/>
      <c r="J253" s="44" t="n"/>
      <c r="K253" s="44" t="n"/>
      <c r="L253" s="44" t="n"/>
      <c r="M253" s="44" t="n"/>
      <c r="N253" s="44" t="n"/>
      <c r="O253" s="44" t="n"/>
      <c r="P253" s="44" t="n"/>
      <c r="Q253" s="44" t="n"/>
      <c r="R253" s="44" t="n"/>
      <c r="S253" s="45" t="n"/>
      <c r="T253" s="46" t="inlineStr">
        <is>
          <t>IF(AQ253="","",AQ253)</t>
        </is>
      </c>
      <c r="U253" s="47" t="n"/>
      <c r="V253" s="48" t="n"/>
      <c r="W253" s="47" t="n"/>
      <c r="X253" s="46" t="inlineStr">
        <is>
          <t>IF(W253&lt;&gt;"",W253,IF(OR(T253="",V253=""),"",EDATE(T253,V253)))</t>
        </is>
      </c>
      <c r="Y253" s="47" t="n"/>
      <c r="Z253" s="48" t="n"/>
      <c r="AA253" s="44" t="n"/>
      <c r="AB253" s="44" t="n"/>
      <c r="AC253" s="42" t="inlineStr">
        <is>
          <t>IF(F253="","",IF(COUNT(AI253:AV253)=0,IF(AA253="","Not started",AA253),SUBSTITUTE(LOOKUP(2,1/(AI253:AV253&lt;&gt;""),$AI$3:$AV$3),"Date: ","")))</t>
        </is>
      </c>
      <c r="AD253" s="49" t="inlineStr">
        <is>
          <t>IF(OR(F253="",COUNT(AI253:AV253)=0),"",TODAY()-LOOKUP(2,1/(AI253:AV253&lt;&gt;""),AI253:AV253))</t>
        </is>
      </c>
      <c r="AE253" s="49" t="inlineStr">
        <is>
          <t>IF(OR(F253="",COUNT(AI253:AV253)&lt;2),"",LOOKUP(2,1/(AI253:AV253&lt;&gt;""),AI253:AV253)-MIN(AI253:AV253))</t>
        </is>
      </c>
      <c r="AF253" s="49" t="inlineStr">
        <is>
          <t>IF(OR(AD253="",AC253="Not started",AC253=""),"",IFERROR(AD253-IF(VLOOKUP(AC253,'06_Status_Pipeline'!$B$3:$E$20,4,FALSE)="",0,VLOOKUP(AC253,'06_Status_Pipeline'!$B$3:$E$20,4,FALSE)),""))</t>
        </is>
      </c>
      <c r="AG253" s="42" t="inlineStr">
        <is>
          <t>IF(F253="","",IF(OR(AA253="Cancelled",AC253="Cancelled"),"Cancelled",IF(OR(AC253="Completed / Handover",Y253&lt;&gt;"",Z253&gt;=100),"Completed — on track",IF(O253="Not awarded",IF(U253="",IF(X253="","No planned date",IF(TODAY()&gt;X253,"Behind — past planned date",IF(X253-TODAY()&lt;=30,"At risk — close to off track","On track"))),IF(TODAY()&gt;U253,"Behind — award date passed",IF(U253-TODAY()&lt;=30,"At risk — close to off track","On track"))),IF(X253="","No planned date",IF(AND(TODAY()&gt;X253,OR(Z253="",Z253&lt;100)),"Behind — past end date",IF(AND(T253&lt;&gt;"",X253&lt;&gt;"",Z253&lt;&gt;"",(Z253&lt;100),((TODAY()-T253)/MAX(X253-T253,1)*100)-Z253&gt;15),"Behind — progress lag",IF(AND(X253-TODAY()&lt;=30,X253-TODAY()&gt;=0,OR(Z253="",Z253&lt;90)),"At risk — close to off track","On track"))))))))</t>
        </is>
      </c>
      <c r="AH253" s="49" t="inlineStr">
        <is>
          <t>IF(OR(F253="",AC253="Completed / Handover",AC253="Cancelled"),"",IF(O253="Not awarded",IF(U253&lt;&gt;"",U253-TODAY(),IF(X253="","",X253-TODAY())),IF(X253="","",X253-TODAY())))</t>
        </is>
      </c>
      <c r="AI253" s="47" t="n"/>
      <c r="AJ253" s="47" t="n"/>
      <c r="AK253" s="47" t="n"/>
      <c r="AL253" s="47" t="n"/>
      <c r="AM253" s="47" t="n"/>
      <c r="AN253" s="47" t="n"/>
      <c r="AO253" s="47" t="n"/>
      <c r="AP253" s="47" t="n"/>
      <c r="AQ253" s="47" t="n"/>
      <c r="AR253" s="47" t="n"/>
      <c r="AS253" s="47" t="n"/>
      <c r="AT253" s="50" t="n"/>
      <c r="AU253" s="50" t="n"/>
      <c r="AV253" s="50" t="n"/>
      <c r="AW253" s="49" t="inlineStr">
        <is>
          <t>IF(OR(F253="",AJ253=""),"",IF(COUNT(AI253:AI253)=0,"",AJ253-LOOKUP(2,1/(AI253:AI253&lt;&gt;""),AI253:AI253)))</t>
        </is>
      </c>
      <c r="AX253" s="49" t="inlineStr">
        <is>
          <t>IF(OR(F253="",AK253=""),"",IF(COUNT(AI253:AJ253)=0,"",AK253-LOOKUP(2,1/(AI253:AJ253&lt;&gt;""),AI253:AJ253)))</t>
        </is>
      </c>
      <c r="AY253" s="49" t="inlineStr">
        <is>
          <t>IF(OR(F253="",AL253=""),"",IF(COUNT(AI253:AK253)=0,"",AL253-LOOKUP(2,1/(AI253:AK253&lt;&gt;""),AI253:AK253)))</t>
        </is>
      </c>
      <c r="AZ253" s="49" t="inlineStr">
        <is>
          <t>IF(OR(F253="",AM253=""),"",IF(COUNT(AI253:AL253)=0,"",AM253-LOOKUP(2,1/(AI253:AL253&lt;&gt;""),AI253:AL253)))</t>
        </is>
      </c>
      <c r="BA253" s="49" t="inlineStr">
        <is>
          <t>IF(OR(F253="",AN253=""),"",IF(COUNT(AI253:AM253)=0,"",AN253-LOOKUP(2,1/(AI253:AM253&lt;&gt;""),AI253:AM253)))</t>
        </is>
      </c>
      <c r="BB253" s="49" t="inlineStr">
        <is>
          <t>IF(OR(F253="",AO253=""),"",IF(COUNT(AI253:AN253)=0,"",AO253-LOOKUP(2,1/(AI253:AN253&lt;&gt;""),AI253:AN253)))</t>
        </is>
      </c>
      <c r="BC253" s="49" t="inlineStr">
        <is>
          <t>IF(OR(F253="",AP253=""),"",IF(COUNT(AI253:AO253)=0,"",AP253-LOOKUP(2,1/(AI253:AO253&lt;&gt;""),AI253:AO253)))</t>
        </is>
      </c>
      <c r="BD253" s="49" t="inlineStr">
        <is>
          <t>IF(OR(F253="",AQ253=""),"",IF(COUNT(AI253:AP253)=0,"",AQ253-LOOKUP(2,1/(AI253:AP253&lt;&gt;""),AI253:AP253)))</t>
        </is>
      </c>
      <c r="BE253" s="49" t="inlineStr">
        <is>
          <t>IF(OR(F253="",AR253=""),"",IF(COUNT(AI253:AQ253)=0,"",AR253-LOOKUP(2,1/(AI253:AQ253&lt;&gt;""),AI253:AQ253)))</t>
        </is>
      </c>
      <c r="BF253" s="49" t="inlineStr">
        <is>
          <t>IF(OR(F253="",AS253=""),"",IF(COUNT(AI253:AR253)=0,"",AS253-LOOKUP(2,1/(AI253:AR253&lt;&gt;""),AI253:AR253)))</t>
        </is>
      </c>
      <c r="BG253" s="49" t="inlineStr">
        <is>
          <t>IF(OR(F253="",AT253=""),"",IF(COUNT(AI253:AS253)=0,"",AT253-LOOKUP(2,1/(AI253:AS253&lt;&gt;""),AI253:AS253)))</t>
        </is>
      </c>
      <c r="BH253" s="49" t="inlineStr">
        <is>
          <t>IF(OR(F253="",AU253=""),"",IF(COUNT(AI253:AT253)=0,"",AU253-LOOKUP(2,1/(AI253:AT253&lt;&gt;""),AI253:AT253)))</t>
        </is>
      </c>
      <c r="BI253" s="49" t="inlineStr">
        <is>
          <t>IF(OR(F253="",AV253=""),"",IF(COUNT(AI253:AU253)=0,"",AV253-LOOKUP(2,1/(AI253:AU253&lt;&gt;""),AI253:AU253)))</t>
        </is>
      </c>
      <c r="BJ253" s="51" t="inlineStr">
        <is>
          <t>IF(J253="","All_Provinces",IFERROR(VLOOKUP(J253,'09_Lookups'!$A$4:$B$20,2,FALSE),"All_Provinces"))</t>
        </is>
      </c>
      <c r="BK253" s="51" t="inlineStr">
        <is>
          <t>IF(K253="","All_Districts",IFERROR(VLOOKUP(K253,'09_Lookups'!$E$4:$F$42,2,FALSE),"All_Districts"))</t>
        </is>
      </c>
    </row>
    <row r="254" ht="18" customHeight="1">
      <c r="A254" s="42" t="inlineStr">
        <is>
          <t>IF(F254="","",ROW()-3)</t>
        </is>
      </c>
      <c r="B254" s="52" t="n"/>
      <c r="C254" s="52" t="n"/>
      <c r="D254" s="52" t="n"/>
      <c r="E254" s="52" t="n"/>
      <c r="F254" s="52" t="n"/>
      <c r="G254" s="52" t="n"/>
      <c r="H254" s="52" t="n"/>
      <c r="I254" s="52" t="n"/>
      <c r="J254" s="52" t="n"/>
      <c r="K254" s="52" t="n"/>
      <c r="L254" s="52" t="n"/>
      <c r="M254" s="52" t="n"/>
      <c r="N254" s="52" t="n"/>
      <c r="O254" s="52" t="n"/>
      <c r="P254" s="52" t="n"/>
      <c r="Q254" s="52" t="n"/>
      <c r="R254" s="52" t="n"/>
      <c r="S254" s="53" t="n"/>
      <c r="T254" s="46" t="inlineStr">
        <is>
          <t>IF(AQ254="","",AQ254)</t>
        </is>
      </c>
      <c r="U254" s="54" t="n"/>
      <c r="V254" s="55" t="n"/>
      <c r="W254" s="54" t="n"/>
      <c r="X254" s="46" t="inlineStr">
        <is>
          <t>IF(W254&lt;&gt;"",W254,IF(OR(T254="",V254=""),"",EDATE(T254,V254)))</t>
        </is>
      </c>
      <c r="Y254" s="54" t="n"/>
      <c r="Z254" s="55" t="n"/>
      <c r="AA254" s="52" t="n"/>
      <c r="AB254" s="52" t="n"/>
      <c r="AC254" s="42" t="inlineStr">
        <is>
          <t>IF(F254="","",IF(COUNT(AI254:AV254)=0,IF(AA254="","Not started",AA254),SUBSTITUTE(LOOKUP(2,1/(AI254:AV254&lt;&gt;""),$AI$3:$AV$3),"Date: ","")))</t>
        </is>
      </c>
      <c r="AD254" s="49" t="inlineStr">
        <is>
          <t>IF(OR(F254="",COUNT(AI254:AV254)=0),"",TODAY()-LOOKUP(2,1/(AI254:AV254&lt;&gt;""),AI254:AV254))</t>
        </is>
      </c>
      <c r="AE254" s="49" t="inlineStr">
        <is>
          <t>IF(OR(F254="",COUNT(AI254:AV254)&lt;2),"",LOOKUP(2,1/(AI254:AV254&lt;&gt;""),AI254:AV254)-MIN(AI254:AV254))</t>
        </is>
      </c>
      <c r="AF254" s="49" t="inlineStr">
        <is>
          <t>IF(OR(AD254="",AC254="Not started",AC254=""),"",IFERROR(AD254-IF(VLOOKUP(AC254,'06_Status_Pipeline'!$B$3:$E$20,4,FALSE)="",0,VLOOKUP(AC254,'06_Status_Pipeline'!$B$3:$E$20,4,FALSE)),""))</t>
        </is>
      </c>
      <c r="AG254" s="42" t="inlineStr">
        <is>
          <t>IF(F254="","",IF(OR(AA254="Cancelled",AC254="Cancelled"),"Cancelled",IF(OR(AC254="Completed / Handover",Y254&lt;&gt;"",Z254&gt;=100),"Completed — on track",IF(O254="Not awarded",IF(U254="",IF(X254="","No planned date",IF(TODAY()&gt;X254,"Behind — past planned date",IF(X254-TODAY()&lt;=30,"At risk — close to off track","On track"))),IF(TODAY()&gt;U254,"Behind — award date passed",IF(U254-TODAY()&lt;=30,"At risk — close to off track","On track"))),IF(X254="","No planned date",IF(AND(TODAY()&gt;X254,OR(Z254="",Z254&lt;100)),"Behind — past end date",IF(AND(T254&lt;&gt;"",X254&lt;&gt;"",Z254&lt;&gt;"",(Z254&lt;100),((TODAY()-T254)/MAX(X254-T254,1)*100)-Z254&gt;15),"Behind — progress lag",IF(AND(X254-TODAY()&lt;=30,X254-TODAY()&gt;=0,OR(Z254="",Z254&lt;90)),"At risk — close to off track","On track"))))))))</t>
        </is>
      </c>
      <c r="AH254" s="49" t="inlineStr">
        <is>
          <t>IF(OR(F254="",AC254="Completed / Handover",AC254="Cancelled"),"",IF(O254="Not awarded",IF(U254&lt;&gt;"",U254-TODAY(),IF(X254="","",X254-TODAY())),IF(X254="","",X254-TODAY())))</t>
        </is>
      </c>
      <c r="AI254" s="54" t="n"/>
      <c r="AJ254" s="54" t="n"/>
      <c r="AK254" s="54" t="n"/>
      <c r="AL254" s="54" t="n"/>
      <c r="AM254" s="54" t="n"/>
      <c r="AN254" s="54" t="n"/>
      <c r="AO254" s="54" t="n"/>
      <c r="AP254" s="54" t="n"/>
      <c r="AQ254" s="54" t="n"/>
      <c r="AR254" s="54" t="n"/>
      <c r="AS254" s="54" t="n"/>
      <c r="AT254" s="50" t="n"/>
      <c r="AU254" s="50" t="n"/>
      <c r="AV254" s="50" t="n"/>
      <c r="AW254" s="49" t="inlineStr">
        <is>
          <t>IF(OR(F254="",AJ254=""),"",IF(COUNT(AI254:AI254)=0,"",AJ254-LOOKUP(2,1/(AI254:AI254&lt;&gt;""),AI254:AI254)))</t>
        </is>
      </c>
      <c r="AX254" s="49" t="inlineStr">
        <is>
          <t>IF(OR(F254="",AK254=""),"",IF(COUNT(AI254:AJ254)=0,"",AK254-LOOKUP(2,1/(AI254:AJ254&lt;&gt;""),AI254:AJ254)))</t>
        </is>
      </c>
      <c r="AY254" s="49" t="inlineStr">
        <is>
          <t>IF(OR(F254="",AL254=""),"",IF(COUNT(AI254:AK254)=0,"",AL254-LOOKUP(2,1/(AI254:AK254&lt;&gt;""),AI254:AK254)))</t>
        </is>
      </c>
      <c r="AZ254" s="49" t="inlineStr">
        <is>
          <t>IF(OR(F254="",AM254=""),"",IF(COUNT(AI254:AL254)=0,"",AM254-LOOKUP(2,1/(AI254:AL254&lt;&gt;""),AI254:AL254)))</t>
        </is>
      </c>
      <c r="BA254" s="49" t="inlineStr">
        <is>
          <t>IF(OR(F254="",AN254=""),"",IF(COUNT(AI254:AM254)=0,"",AN254-LOOKUP(2,1/(AI254:AM254&lt;&gt;""),AI254:AM254)))</t>
        </is>
      </c>
      <c r="BB254" s="49" t="inlineStr">
        <is>
          <t>IF(OR(F254="",AO254=""),"",IF(COUNT(AI254:AN254)=0,"",AO254-LOOKUP(2,1/(AI254:AN254&lt;&gt;""),AI254:AN254)))</t>
        </is>
      </c>
      <c r="BC254" s="49" t="inlineStr">
        <is>
          <t>IF(OR(F254="",AP254=""),"",IF(COUNT(AI254:AO254)=0,"",AP254-LOOKUP(2,1/(AI254:AO254&lt;&gt;""),AI254:AO254)))</t>
        </is>
      </c>
      <c r="BD254" s="49" t="inlineStr">
        <is>
          <t>IF(OR(F254="",AQ254=""),"",IF(COUNT(AI254:AP254)=0,"",AQ254-LOOKUP(2,1/(AI254:AP254&lt;&gt;""),AI254:AP254)))</t>
        </is>
      </c>
      <c r="BE254" s="49" t="inlineStr">
        <is>
          <t>IF(OR(F254="",AR254=""),"",IF(COUNT(AI254:AQ254)=0,"",AR254-LOOKUP(2,1/(AI254:AQ254&lt;&gt;""),AI254:AQ254)))</t>
        </is>
      </c>
      <c r="BF254" s="49" t="inlineStr">
        <is>
          <t>IF(OR(F254="",AS254=""),"",IF(COUNT(AI254:AR254)=0,"",AS254-LOOKUP(2,1/(AI254:AR254&lt;&gt;""),AI254:AR254)))</t>
        </is>
      </c>
      <c r="BG254" s="49" t="inlineStr">
        <is>
          <t>IF(OR(F254="",AT254=""),"",IF(COUNT(AI254:AS254)=0,"",AT254-LOOKUP(2,1/(AI254:AS254&lt;&gt;""),AI254:AS254)))</t>
        </is>
      </c>
      <c r="BH254" s="49" t="inlineStr">
        <is>
          <t>IF(OR(F254="",AU254=""),"",IF(COUNT(AI254:AT254)=0,"",AU254-LOOKUP(2,1/(AI254:AT254&lt;&gt;""),AI254:AT254)))</t>
        </is>
      </c>
      <c r="BI254" s="49" t="inlineStr">
        <is>
          <t>IF(OR(F254="",AV254=""),"",IF(COUNT(AI254:AU254)=0,"",AV254-LOOKUP(2,1/(AI254:AU254&lt;&gt;""),AI254:AU254)))</t>
        </is>
      </c>
      <c r="BJ254" s="51" t="inlineStr">
        <is>
          <t>IF(J254="","All_Provinces",IFERROR(VLOOKUP(J254,'09_Lookups'!$A$4:$B$20,2,FALSE),"All_Provinces"))</t>
        </is>
      </c>
      <c r="BK254" s="51" t="inlineStr">
        <is>
          <t>IF(K254="","All_Districts",IFERROR(VLOOKUP(K254,'09_Lookups'!$E$4:$F$42,2,FALSE),"All_Districts"))</t>
        </is>
      </c>
    </row>
    <row r="255" ht="18" customHeight="1">
      <c r="A255" s="42" t="inlineStr">
        <is>
          <t>IF(F255="","",ROW()-3)</t>
        </is>
      </c>
      <c r="B255" s="44" t="n"/>
      <c r="C255" s="44" t="n"/>
      <c r="D255" s="44" t="n"/>
      <c r="E255" s="44" t="n"/>
      <c r="F255" s="44" t="n"/>
      <c r="G255" s="44" t="n"/>
      <c r="H255" s="44" t="n"/>
      <c r="I255" s="44" t="n"/>
      <c r="J255" s="44" t="n"/>
      <c r="K255" s="44" t="n"/>
      <c r="L255" s="44" t="n"/>
      <c r="M255" s="44" t="n"/>
      <c r="N255" s="44" t="n"/>
      <c r="O255" s="44" t="n"/>
      <c r="P255" s="44" t="n"/>
      <c r="Q255" s="44" t="n"/>
      <c r="R255" s="44" t="n"/>
      <c r="S255" s="45" t="n"/>
      <c r="T255" s="46" t="inlineStr">
        <is>
          <t>IF(AQ255="","",AQ255)</t>
        </is>
      </c>
      <c r="U255" s="47" t="n"/>
      <c r="V255" s="48" t="n"/>
      <c r="W255" s="47" t="n"/>
      <c r="X255" s="46" t="inlineStr">
        <is>
          <t>IF(W255&lt;&gt;"",W255,IF(OR(T255="",V255=""),"",EDATE(T255,V255)))</t>
        </is>
      </c>
      <c r="Y255" s="47" t="n"/>
      <c r="Z255" s="48" t="n"/>
      <c r="AA255" s="44" t="n"/>
      <c r="AB255" s="44" t="n"/>
      <c r="AC255" s="42" t="inlineStr">
        <is>
          <t>IF(F255="","",IF(COUNT(AI255:AV255)=0,IF(AA255="","Not started",AA255),SUBSTITUTE(LOOKUP(2,1/(AI255:AV255&lt;&gt;""),$AI$3:$AV$3),"Date: ","")))</t>
        </is>
      </c>
      <c r="AD255" s="49" t="inlineStr">
        <is>
          <t>IF(OR(F255="",COUNT(AI255:AV255)=0),"",TODAY()-LOOKUP(2,1/(AI255:AV255&lt;&gt;""),AI255:AV255))</t>
        </is>
      </c>
      <c r="AE255" s="49" t="inlineStr">
        <is>
          <t>IF(OR(F255="",COUNT(AI255:AV255)&lt;2),"",LOOKUP(2,1/(AI255:AV255&lt;&gt;""),AI255:AV255)-MIN(AI255:AV255))</t>
        </is>
      </c>
      <c r="AF255" s="49" t="inlineStr">
        <is>
          <t>IF(OR(AD255="",AC255="Not started",AC255=""),"",IFERROR(AD255-IF(VLOOKUP(AC255,'06_Status_Pipeline'!$B$3:$E$20,4,FALSE)="",0,VLOOKUP(AC255,'06_Status_Pipeline'!$B$3:$E$20,4,FALSE)),""))</t>
        </is>
      </c>
      <c r="AG255" s="42" t="inlineStr">
        <is>
          <t>IF(F255="","",IF(OR(AA255="Cancelled",AC255="Cancelled"),"Cancelled",IF(OR(AC255="Completed / Handover",Y255&lt;&gt;"",Z255&gt;=100),"Completed — on track",IF(O255="Not awarded",IF(U255="",IF(X255="","No planned date",IF(TODAY()&gt;X255,"Behind — past planned date",IF(X255-TODAY()&lt;=30,"At risk — close to off track","On track"))),IF(TODAY()&gt;U255,"Behind — award date passed",IF(U255-TODAY()&lt;=30,"At risk — close to off track","On track"))),IF(X255="","No planned date",IF(AND(TODAY()&gt;X255,OR(Z255="",Z255&lt;100)),"Behind — past end date",IF(AND(T255&lt;&gt;"",X255&lt;&gt;"",Z255&lt;&gt;"",(Z255&lt;100),((TODAY()-T255)/MAX(X255-T255,1)*100)-Z255&gt;15),"Behind — progress lag",IF(AND(X255-TODAY()&lt;=30,X255-TODAY()&gt;=0,OR(Z255="",Z255&lt;90)),"At risk — close to off track","On track"))))))))</t>
        </is>
      </c>
      <c r="AH255" s="49" t="inlineStr">
        <is>
          <t>IF(OR(F255="",AC255="Completed / Handover",AC255="Cancelled"),"",IF(O255="Not awarded",IF(U255&lt;&gt;"",U255-TODAY(),IF(X255="","",X255-TODAY())),IF(X255="","",X255-TODAY())))</t>
        </is>
      </c>
      <c r="AI255" s="47" t="n"/>
      <c r="AJ255" s="47" t="n"/>
      <c r="AK255" s="47" t="n"/>
      <c r="AL255" s="47" t="n"/>
      <c r="AM255" s="47" t="n"/>
      <c r="AN255" s="47" t="n"/>
      <c r="AO255" s="47" t="n"/>
      <c r="AP255" s="47" t="n"/>
      <c r="AQ255" s="47" t="n"/>
      <c r="AR255" s="47" t="n"/>
      <c r="AS255" s="47" t="n"/>
      <c r="AT255" s="50" t="n"/>
      <c r="AU255" s="50" t="n"/>
      <c r="AV255" s="50" t="n"/>
      <c r="AW255" s="49" t="inlineStr">
        <is>
          <t>IF(OR(F255="",AJ255=""),"",IF(COUNT(AI255:AI255)=0,"",AJ255-LOOKUP(2,1/(AI255:AI255&lt;&gt;""),AI255:AI255)))</t>
        </is>
      </c>
      <c r="AX255" s="49" t="inlineStr">
        <is>
          <t>IF(OR(F255="",AK255=""),"",IF(COUNT(AI255:AJ255)=0,"",AK255-LOOKUP(2,1/(AI255:AJ255&lt;&gt;""),AI255:AJ255)))</t>
        </is>
      </c>
      <c r="AY255" s="49" t="inlineStr">
        <is>
          <t>IF(OR(F255="",AL255=""),"",IF(COUNT(AI255:AK255)=0,"",AL255-LOOKUP(2,1/(AI255:AK255&lt;&gt;""),AI255:AK255)))</t>
        </is>
      </c>
      <c r="AZ255" s="49" t="inlineStr">
        <is>
          <t>IF(OR(F255="",AM255=""),"",IF(COUNT(AI255:AL255)=0,"",AM255-LOOKUP(2,1/(AI255:AL255&lt;&gt;""),AI255:AL255)))</t>
        </is>
      </c>
      <c r="BA255" s="49" t="inlineStr">
        <is>
          <t>IF(OR(F255="",AN255=""),"",IF(COUNT(AI255:AM255)=0,"",AN255-LOOKUP(2,1/(AI255:AM255&lt;&gt;""),AI255:AM255)))</t>
        </is>
      </c>
      <c r="BB255" s="49" t="inlineStr">
        <is>
          <t>IF(OR(F255="",AO255=""),"",IF(COUNT(AI255:AN255)=0,"",AO255-LOOKUP(2,1/(AI255:AN255&lt;&gt;""),AI255:AN255)))</t>
        </is>
      </c>
      <c r="BC255" s="49" t="inlineStr">
        <is>
          <t>IF(OR(F255="",AP255=""),"",IF(COUNT(AI255:AO255)=0,"",AP255-LOOKUP(2,1/(AI255:AO255&lt;&gt;""),AI255:AO255)))</t>
        </is>
      </c>
      <c r="BD255" s="49" t="inlineStr">
        <is>
          <t>IF(OR(F255="",AQ255=""),"",IF(COUNT(AI255:AP255)=0,"",AQ255-LOOKUP(2,1/(AI255:AP255&lt;&gt;""),AI255:AP255)))</t>
        </is>
      </c>
      <c r="BE255" s="49" t="inlineStr">
        <is>
          <t>IF(OR(F255="",AR255=""),"",IF(COUNT(AI255:AQ255)=0,"",AR255-LOOKUP(2,1/(AI255:AQ255&lt;&gt;""),AI255:AQ255)))</t>
        </is>
      </c>
      <c r="BF255" s="49" t="inlineStr">
        <is>
          <t>IF(OR(F255="",AS255=""),"",IF(COUNT(AI255:AR255)=0,"",AS255-LOOKUP(2,1/(AI255:AR255&lt;&gt;""),AI255:AR255)))</t>
        </is>
      </c>
      <c r="BG255" s="49" t="inlineStr">
        <is>
          <t>IF(OR(F255="",AT255=""),"",IF(COUNT(AI255:AS255)=0,"",AT255-LOOKUP(2,1/(AI255:AS255&lt;&gt;""),AI255:AS255)))</t>
        </is>
      </c>
      <c r="BH255" s="49" t="inlineStr">
        <is>
          <t>IF(OR(F255="",AU255=""),"",IF(COUNT(AI255:AT255)=0,"",AU255-LOOKUP(2,1/(AI255:AT255&lt;&gt;""),AI255:AT255)))</t>
        </is>
      </c>
      <c r="BI255" s="49" t="inlineStr">
        <is>
          <t>IF(OR(F255="",AV255=""),"",IF(COUNT(AI255:AU255)=0,"",AV255-LOOKUP(2,1/(AI255:AU255&lt;&gt;""),AI255:AU255)))</t>
        </is>
      </c>
      <c r="BJ255" s="51" t="inlineStr">
        <is>
          <t>IF(J255="","All_Provinces",IFERROR(VLOOKUP(J255,'09_Lookups'!$A$4:$B$20,2,FALSE),"All_Provinces"))</t>
        </is>
      </c>
      <c r="BK255" s="51" t="inlineStr">
        <is>
          <t>IF(K255="","All_Districts",IFERROR(VLOOKUP(K255,'09_Lookups'!$E$4:$F$42,2,FALSE),"All_Districts"))</t>
        </is>
      </c>
    </row>
    <row r="256" ht="18" customHeight="1">
      <c r="A256" s="42" t="inlineStr">
        <is>
          <t>IF(F256="","",ROW()-3)</t>
        </is>
      </c>
      <c r="B256" s="52" t="n"/>
      <c r="C256" s="52" t="n"/>
      <c r="D256" s="52" t="n"/>
      <c r="E256" s="52" t="n"/>
      <c r="F256" s="52" t="n"/>
      <c r="G256" s="52" t="n"/>
      <c r="H256" s="52" t="n"/>
      <c r="I256" s="52" t="n"/>
      <c r="J256" s="52" t="n"/>
      <c r="K256" s="52" t="n"/>
      <c r="L256" s="52" t="n"/>
      <c r="M256" s="52" t="n"/>
      <c r="N256" s="52" t="n"/>
      <c r="O256" s="52" t="n"/>
      <c r="P256" s="52" t="n"/>
      <c r="Q256" s="52" t="n"/>
      <c r="R256" s="52" t="n"/>
      <c r="S256" s="53" t="n"/>
      <c r="T256" s="46" t="inlineStr">
        <is>
          <t>IF(AQ256="","",AQ256)</t>
        </is>
      </c>
      <c r="U256" s="54" t="n"/>
      <c r="V256" s="55" t="n"/>
      <c r="W256" s="54" t="n"/>
      <c r="X256" s="46" t="inlineStr">
        <is>
          <t>IF(W256&lt;&gt;"",W256,IF(OR(T256="",V256=""),"",EDATE(T256,V256)))</t>
        </is>
      </c>
      <c r="Y256" s="54" t="n"/>
      <c r="Z256" s="55" t="n"/>
      <c r="AA256" s="52" t="n"/>
      <c r="AB256" s="52" t="n"/>
      <c r="AC256" s="42" t="inlineStr">
        <is>
          <t>IF(F256="","",IF(COUNT(AI256:AV256)=0,IF(AA256="","Not started",AA256),SUBSTITUTE(LOOKUP(2,1/(AI256:AV256&lt;&gt;""),$AI$3:$AV$3),"Date: ","")))</t>
        </is>
      </c>
      <c r="AD256" s="49" t="inlineStr">
        <is>
          <t>IF(OR(F256="",COUNT(AI256:AV256)=0),"",TODAY()-LOOKUP(2,1/(AI256:AV256&lt;&gt;""),AI256:AV256))</t>
        </is>
      </c>
      <c r="AE256" s="49" t="inlineStr">
        <is>
          <t>IF(OR(F256="",COUNT(AI256:AV256)&lt;2),"",LOOKUP(2,1/(AI256:AV256&lt;&gt;""),AI256:AV256)-MIN(AI256:AV256))</t>
        </is>
      </c>
      <c r="AF256" s="49" t="inlineStr">
        <is>
          <t>IF(OR(AD256="",AC256="Not started",AC256=""),"",IFERROR(AD256-IF(VLOOKUP(AC256,'06_Status_Pipeline'!$B$3:$E$20,4,FALSE)="",0,VLOOKUP(AC256,'06_Status_Pipeline'!$B$3:$E$20,4,FALSE)),""))</t>
        </is>
      </c>
      <c r="AG256" s="42" t="inlineStr">
        <is>
          <t>IF(F256="","",IF(OR(AA256="Cancelled",AC256="Cancelled"),"Cancelled",IF(OR(AC256="Completed / Handover",Y256&lt;&gt;"",Z256&gt;=100),"Completed — on track",IF(O256="Not awarded",IF(U256="",IF(X256="","No planned date",IF(TODAY()&gt;X256,"Behind — past planned date",IF(X256-TODAY()&lt;=30,"At risk — close to off track","On track"))),IF(TODAY()&gt;U256,"Behind — award date passed",IF(U256-TODAY()&lt;=30,"At risk — close to off track","On track"))),IF(X256="","No planned date",IF(AND(TODAY()&gt;X256,OR(Z256="",Z256&lt;100)),"Behind — past end date",IF(AND(T256&lt;&gt;"",X256&lt;&gt;"",Z256&lt;&gt;"",(Z256&lt;100),((TODAY()-T256)/MAX(X256-T256,1)*100)-Z256&gt;15),"Behind — progress lag",IF(AND(X256-TODAY()&lt;=30,X256-TODAY()&gt;=0,OR(Z256="",Z256&lt;90)),"At risk — close to off track","On track"))))))))</t>
        </is>
      </c>
      <c r="AH256" s="49" t="inlineStr">
        <is>
          <t>IF(OR(F256="",AC256="Completed / Handover",AC256="Cancelled"),"",IF(O256="Not awarded",IF(U256&lt;&gt;"",U256-TODAY(),IF(X256="","",X256-TODAY())),IF(X256="","",X256-TODAY())))</t>
        </is>
      </c>
      <c r="AI256" s="54" t="n"/>
      <c r="AJ256" s="54" t="n"/>
      <c r="AK256" s="54" t="n"/>
      <c r="AL256" s="54" t="n"/>
      <c r="AM256" s="54" t="n"/>
      <c r="AN256" s="54" t="n"/>
      <c r="AO256" s="54" t="n"/>
      <c r="AP256" s="54" t="n"/>
      <c r="AQ256" s="54" t="n"/>
      <c r="AR256" s="54" t="n"/>
      <c r="AS256" s="54" t="n"/>
      <c r="AT256" s="50" t="n"/>
      <c r="AU256" s="50" t="n"/>
      <c r="AV256" s="50" t="n"/>
      <c r="AW256" s="49" t="inlineStr">
        <is>
          <t>IF(OR(F256="",AJ256=""),"",IF(COUNT(AI256:AI256)=0,"",AJ256-LOOKUP(2,1/(AI256:AI256&lt;&gt;""),AI256:AI256)))</t>
        </is>
      </c>
      <c r="AX256" s="49" t="inlineStr">
        <is>
          <t>IF(OR(F256="",AK256=""),"",IF(COUNT(AI256:AJ256)=0,"",AK256-LOOKUP(2,1/(AI256:AJ256&lt;&gt;""),AI256:AJ256)))</t>
        </is>
      </c>
      <c r="AY256" s="49" t="inlineStr">
        <is>
          <t>IF(OR(F256="",AL256=""),"",IF(COUNT(AI256:AK256)=0,"",AL256-LOOKUP(2,1/(AI256:AK256&lt;&gt;""),AI256:AK256)))</t>
        </is>
      </c>
      <c r="AZ256" s="49" t="inlineStr">
        <is>
          <t>IF(OR(F256="",AM256=""),"",IF(COUNT(AI256:AL256)=0,"",AM256-LOOKUP(2,1/(AI256:AL256&lt;&gt;""),AI256:AL256)))</t>
        </is>
      </c>
      <c r="BA256" s="49" t="inlineStr">
        <is>
          <t>IF(OR(F256="",AN256=""),"",IF(COUNT(AI256:AM256)=0,"",AN256-LOOKUP(2,1/(AI256:AM256&lt;&gt;""),AI256:AM256)))</t>
        </is>
      </c>
      <c r="BB256" s="49" t="inlineStr">
        <is>
          <t>IF(OR(F256="",AO256=""),"",IF(COUNT(AI256:AN256)=0,"",AO256-LOOKUP(2,1/(AI256:AN256&lt;&gt;""),AI256:AN256)))</t>
        </is>
      </c>
      <c r="BC256" s="49" t="inlineStr">
        <is>
          <t>IF(OR(F256="",AP256=""),"",IF(COUNT(AI256:AO256)=0,"",AP256-LOOKUP(2,1/(AI256:AO256&lt;&gt;""),AI256:AO256)))</t>
        </is>
      </c>
      <c r="BD256" s="49" t="inlineStr">
        <is>
          <t>IF(OR(F256="",AQ256=""),"",IF(COUNT(AI256:AP256)=0,"",AQ256-LOOKUP(2,1/(AI256:AP256&lt;&gt;""),AI256:AP256)))</t>
        </is>
      </c>
      <c r="BE256" s="49" t="inlineStr">
        <is>
          <t>IF(OR(F256="",AR256=""),"",IF(COUNT(AI256:AQ256)=0,"",AR256-LOOKUP(2,1/(AI256:AQ256&lt;&gt;""),AI256:AQ256)))</t>
        </is>
      </c>
      <c r="BF256" s="49" t="inlineStr">
        <is>
          <t>IF(OR(F256="",AS256=""),"",IF(COUNT(AI256:AR256)=0,"",AS256-LOOKUP(2,1/(AI256:AR256&lt;&gt;""),AI256:AR256)))</t>
        </is>
      </c>
      <c r="BG256" s="49" t="inlineStr">
        <is>
          <t>IF(OR(F256="",AT256=""),"",IF(COUNT(AI256:AS256)=0,"",AT256-LOOKUP(2,1/(AI256:AS256&lt;&gt;""),AI256:AS256)))</t>
        </is>
      </c>
      <c r="BH256" s="49" t="inlineStr">
        <is>
          <t>IF(OR(F256="",AU256=""),"",IF(COUNT(AI256:AT256)=0,"",AU256-LOOKUP(2,1/(AI256:AT256&lt;&gt;""),AI256:AT256)))</t>
        </is>
      </c>
      <c r="BI256" s="49" t="inlineStr">
        <is>
          <t>IF(OR(F256="",AV256=""),"",IF(COUNT(AI256:AU256)=0,"",AV256-LOOKUP(2,1/(AI256:AU256&lt;&gt;""),AI256:AU256)))</t>
        </is>
      </c>
      <c r="BJ256" s="51" t="inlineStr">
        <is>
          <t>IF(J256="","All_Provinces",IFERROR(VLOOKUP(J256,'09_Lookups'!$A$4:$B$20,2,FALSE),"All_Provinces"))</t>
        </is>
      </c>
      <c r="BK256" s="51" t="inlineStr">
        <is>
          <t>IF(K256="","All_Districts",IFERROR(VLOOKUP(K256,'09_Lookups'!$E$4:$F$42,2,FALSE),"All_Districts"))</t>
        </is>
      </c>
    </row>
    <row r="257" ht="18" customHeight="1">
      <c r="A257" s="42" t="inlineStr">
        <is>
          <t>IF(F257="","",ROW()-3)</t>
        </is>
      </c>
      <c r="B257" s="44" t="n"/>
      <c r="C257" s="44" t="n"/>
      <c r="D257" s="44" t="n"/>
      <c r="E257" s="44" t="n"/>
      <c r="F257" s="44" t="n"/>
      <c r="G257" s="44" t="n"/>
      <c r="H257" s="44" t="n"/>
      <c r="I257" s="44" t="n"/>
      <c r="J257" s="44" t="n"/>
      <c r="K257" s="44" t="n"/>
      <c r="L257" s="44" t="n"/>
      <c r="M257" s="44" t="n"/>
      <c r="N257" s="44" t="n"/>
      <c r="O257" s="44" t="n"/>
      <c r="P257" s="44" t="n"/>
      <c r="Q257" s="44" t="n"/>
      <c r="R257" s="44" t="n"/>
      <c r="S257" s="45" t="n"/>
      <c r="T257" s="46" t="inlineStr">
        <is>
          <t>IF(AQ257="","",AQ257)</t>
        </is>
      </c>
      <c r="U257" s="47" t="n"/>
      <c r="V257" s="48" t="n"/>
      <c r="W257" s="47" t="n"/>
      <c r="X257" s="46" t="inlineStr">
        <is>
          <t>IF(W257&lt;&gt;"",W257,IF(OR(T257="",V257=""),"",EDATE(T257,V257)))</t>
        </is>
      </c>
      <c r="Y257" s="47" t="n"/>
      <c r="Z257" s="48" t="n"/>
      <c r="AA257" s="44" t="n"/>
      <c r="AB257" s="44" t="n"/>
      <c r="AC257" s="42" t="inlineStr">
        <is>
          <t>IF(F257="","",IF(COUNT(AI257:AV257)=0,IF(AA257="","Not started",AA257),SUBSTITUTE(LOOKUP(2,1/(AI257:AV257&lt;&gt;""),$AI$3:$AV$3),"Date: ","")))</t>
        </is>
      </c>
      <c r="AD257" s="49" t="inlineStr">
        <is>
          <t>IF(OR(F257="",COUNT(AI257:AV257)=0),"",TODAY()-LOOKUP(2,1/(AI257:AV257&lt;&gt;""),AI257:AV257))</t>
        </is>
      </c>
      <c r="AE257" s="49" t="inlineStr">
        <is>
          <t>IF(OR(F257="",COUNT(AI257:AV257)&lt;2),"",LOOKUP(2,1/(AI257:AV257&lt;&gt;""),AI257:AV257)-MIN(AI257:AV257))</t>
        </is>
      </c>
      <c r="AF257" s="49" t="inlineStr">
        <is>
          <t>IF(OR(AD257="",AC257="Not started",AC257=""),"",IFERROR(AD257-IF(VLOOKUP(AC257,'06_Status_Pipeline'!$B$3:$E$20,4,FALSE)="",0,VLOOKUP(AC257,'06_Status_Pipeline'!$B$3:$E$20,4,FALSE)),""))</t>
        </is>
      </c>
      <c r="AG257" s="42" t="inlineStr">
        <is>
          <t>IF(F257="","",IF(OR(AA257="Cancelled",AC257="Cancelled"),"Cancelled",IF(OR(AC257="Completed / Handover",Y257&lt;&gt;"",Z257&gt;=100),"Completed — on track",IF(O257="Not awarded",IF(U257="",IF(X257="","No planned date",IF(TODAY()&gt;X257,"Behind — past planned date",IF(X257-TODAY()&lt;=30,"At risk — close to off track","On track"))),IF(TODAY()&gt;U257,"Behind — award date passed",IF(U257-TODAY()&lt;=30,"At risk — close to off track","On track"))),IF(X257="","No planned date",IF(AND(TODAY()&gt;X257,OR(Z257="",Z257&lt;100)),"Behind — past end date",IF(AND(T257&lt;&gt;"",X257&lt;&gt;"",Z257&lt;&gt;"",(Z257&lt;100),((TODAY()-T257)/MAX(X257-T257,1)*100)-Z257&gt;15),"Behind — progress lag",IF(AND(X257-TODAY()&lt;=30,X257-TODAY()&gt;=0,OR(Z257="",Z257&lt;90)),"At risk — close to off track","On track"))))))))</t>
        </is>
      </c>
      <c r="AH257" s="49" t="inlineStr">
        <is>
          <t>IF(OR(F257="",AC257="Completed / Handover",AC257="Cancelled"),"",IF(O257="Not awarded",IF(U257&lt;&gt;"",U257-TODAY(),IF(X257="","",X257-TODAY())),IF(X257="","",X257-TODAY())))</t>
        </is>
      </c>
      <c r="AI257" s="47" t="n"/>
      <c r="AJ257" s="47" t="n"/>
      <c r="AK257" s="47" t="n"/>
      <c r="AL257" s="47" t="n"/>
      <c r="AM257" s="47" t="n"/>
      <c r="AN257" s="47" t="n"/>
      <c r="AO257" s="47" t="n"/>
      <c r="AP257" s="47" t="n"/>
      <c r="AQ257" s="47" t="n"/>
      <c r="AR257" s="47" t="n"/>
      <c r="AS257" s="47" t="n"/>
      <c r="AT257" s="50" t="n"/>
      <c r="AU257" s="50" t="n"/>
      <c r="AV257" s="50" t="n"/>
      <c r="AW257" s="49" t="inlineStr">
        <is>
          <t>IF(OR(F257="",AJ257=""),"",IF(COUNT(AI257:AI257)=0,"",AJ257-LOOKUP(2,1/(AI257:AI257&lt;&gt;""),AI257:AI257)))</t>
        </is>
      </c>
      <c r="AX257" s="49" t="inlineStr">
        <is>
          <t>IF(OR(F257="",AK257=""),"",IF(COUNT(AI257:AJ257)=0,"",AK257-LOOKUP(2,1/(AI257:AJ257&lt;&gt;""),AI257:AJ257)))</t>
        </is>
      </c>
      <c r="AY257" s="49" t="inlineStr">
        <is>
          <t>IF(OR(F257="",AL257=""),"",IF(COUNT(AI257:AK257)=0,"",AL257-LOOKUP(2,1/(AI257:AK257&lt;&gt;""),AI257:AK257)))</t>
        </is>
      </c>
      <c r="AZ257" s="49" t="inlineStr">
        <is>
          <t>IF(OR(F257="",AM257=""),"",IF(COUNT(AI257:AL257)=0,"",AM257-LOOKUP(2,1/(AI257:AL257&lt;&gt;""),AI257:AL257)))</t>
        </is>
      </c>
      <c r="BA257" s="49" t="inlineStr">
        <is>
          <t>IF(OR(F257="",AN257=""),"",IF(COUNT(AI257:AM257)=0,"",AN257-LOOKUP(2,1/(AI257:AM257&lt;&gt;""),AI257:AM257)))</t>
        </is>
      </c>
      <c r="BB257" s="49" t="inlineStr">
        <is>
          <t>IF(OR(F257="",AO257=""),"",IF(COUNT(AI257:AN257)=0,"",AO257-LOOKUP(2,1/(AI257:AN257&lt;&gt;""),AI257:AN257)))</t>
        </is>
      </c>
      <c r="BC257" s="49" t="inlineStr">
        <is>
          <t>IF(OR(F257="",AP257=""),"",IF(COUNT(AI257:AO257)=0,"",AP257-LOOKUP(2,1/(AI257:AO257&lt;&gt;""),AI257:AO257)))</t>
        </is>
      </c>
      <c r="BD257" s="49" t="inlineStr">
        <is>
          <t>IF(OR(F257="",AQ257=""),"",IF(COUNT(AI257:AP257)=0,"",AQ257-LOOKUP(2,1/(AI257:AP257&lt;&gt;""),AI257:AP257)))</t>
        </is>
      </c>
      <c r="BE257" s="49" t="inlineStr">
        <is>
          <t>IF(OR(F257="",AR257=""),"",IF(COUNT(AI257:AQ257)=0,"",AR257-LOOKUP(2,1/(AI257:AQ257&lt;&gt;""),AI257:AQ257)))</t>
        </is>
      </c>
      <c r="BF257" s="49" t="inlineStr">
        <is>
          <t>IF(OR(F257="",AS257=""),"",IF(COUNT(AI257:AR257)=0,"",AS257-LOOKUP(2,1/(AI257:AR257&lt;&gt;""),AI257:AR257)))</t>
        </is>
      </c>
      <c r="BG257" s="49" t="inlineStr">
        <is>
          <t>IF(OR(F257="",AT257=""),"",IF(COUNT(AI257:AS257)=0,"",AT257-LOOKUP(2,1/(AI257:AS257&lt;&gt;""),AI257:AS257)))</t>
        </is>
      </c>
      <c r="BH257" s="49" t="inlineStr">
        <is>
          <t>IF(OR(F257="",AU257=""),"",IF(COUNT(AI257:AT257)=0,"",AU257-LOOKUP(2,1/(AI257:AT257&lt;&gt;""),AI257:AT257)))</t>
        </is>
      </c>
      <c r="BI257" s="49" t="inlineStr">
        <is>
          <t>IF(OR(F257="",AV257=""),"",IF(COUNT(AI257:AU257)=0,"",AV257-LOOKUP(2,1/(AI257:AU257&lt;&gt;""),AI257:AU257)))</t>
        </is>
      </c>
      <c r="BJ257" s="51" t="inlineStr">
        <is>
          <t>IF(J257="","All_Provinces",IFERROR(VLOOKUP(J257,'09_Lookups'!$A$4:$B$20,2,FALSE),"All_Provinces"))</t>
        </is>
      </c>
      <c r="BK257" s="51" t="inlineStr">
        <is>
          <t>IF(K257="","All_Districts",IFERROR(VLOOKUP(K257,'09_Lookups'!$E$4:$F$42,2,FALSE),"All_Districts"))</t>
        </is>
      </c>
    </row>
    <row r="258" ht="18" customHeight="1">
      <c r="A258" s="42" t="inlineStr">
        <is>
          <t>IF(F258="","",ROW()-3)</t>
        </is>
      </c>
      <c r="B258" s="52" t="n"/>
      <c r="C258" s="52" t="n"/>
      <c r="D258" s="52" t="n"/>
      <c r="E258" s="52" t="n"/>
      <c r="F258" s="52" t="n"/>
      <c r="G258" s="52" t="n"/>
      <c r="H258" s="52" t="n"/>
      <c r="I258" s="52" t="n"/>
      <c r="J258" s="52" t="n"/>
      <c r="K258" s="52" t="n"/>
      <c r="L258" s="52" t="n"/>
      <c r="M258" s="52" t="n"/>
      <c r="N258" s="52" t="n"/>
      <c r="O258" s="52" t="n"/>
      <c r="P258" s="52" t="n"/>
      <c r="Q258" s="52" t="n"/>
      <c r="R258" s="52" t="n"/>
      <c r="S258" s="53" t="n"/>
      <c r="T258" s="46" t="inlineStr">
        <is>
          <t>IF(AQ258="","",AQ258)</t>
        </is>
      </c>
      <c r="U258" s="54" t="n"/>
      <c r="V258" s="55" t="n"/>
      <c r="W258" s="54" t="n"/>
      <c r="X258" s="46" t="inlineStr">
        <is>
          <t>IF(W258&lt;&gt;"",W258,IF(OR(T258="",V258=""),"",EDATE(T258,V258)))</t>
        </is>
      </c>
      <c r="Y258" s="54" t="n"/>
      <c r="Z258" s="55" t="n"/>
      <c r="AA258" s="52" t="n"/>
      <c r="AB258" s="52" t="n"/>
      <c r="AC258" s="42" t="inlineStr">
        <is>
          <t>IF(F258="","",IF(COUNT(AI258:AV258)=0,IF(AA258="","Not started",AA258),SUBSTITUTE(LOOKUP(2,1/(AI258:AV258&lt;&gt;""),$AI$3:$AV$3),"Date: ","")))</t>
        </is>
      </c>
      <c r="AD258" s="49" t="inlineStr">
        <is>
          <t>IF(OR(F258="",COUNT(AI258:AV258)=0),"",TODAY()-LOOKUP(2,1/(AI258:AV258&lt;&gt;""),AI258:AV258))</t>
        </is>
      </c>
      <c r="AE258" s="49" t="inlineStr">
        <is>
          <t>IF(OR(F258="",COUNT(AI258:AV258)&lt;2),"",LOOKUP(2,1/(AI258:AV258&lt;&gt;""),AI258:AV258)-MIN(AI258:AV258))</t>
        </is>
      </c>
      <c r="AF258" s="49" t="inlineStr">
        <is>
          <t>IF(OR(AD258="",AC258="Not started",AC258=""),"",IFERROR(AD258-IF(VLOOKUP(AC258,'06_Status_Pipeline'!$B$3:$E$20,4,FALSE)="",0,VLOOKUP(AC258,'06_Status_Pipeline'!$B$3:$E$20,4,FALSE)),""))</t>
        </is>
      </c>
      <c r="AG258" s="42" t="inlineStr">
        <is>
          <t>IF(F258="","",IF(OR(AA258="Cancelled",AC258="Cancelled"),"Cancelled",IF(OR(AC258="Completed / Handover",Y258&lt;&gt;"",Z258&gt;=100),"Completed — on track",IF(O258="Not awarded",IF(U258="",IF(X258="","No planned date",IF(TODAY()&gt;X258,"Behind — past planned date",IF(X258-TODAY()&lt;=30,"At risk — close to off track","On track"))),IF(TODAY()&gt;U258,"Behind — award date passed",IF(U258-TODAY()&lt;=30,"At risk — close to off track","On track"))),IF(X258="","No planned date",IF(AND(TODAY()&gt;X258,OR(Z258="",Z258&lt;100)),"Behind — past end date",IF(AND(T258&lt;&gt;"",X258&lt;&gt;"",Z258&lt;&gt;"",(Z258&lt;100),((TODAY()-T258)/MAX(X258-T258,1)*100)-Z258&gt;15),"Behind — progress lag",IF(AND(X258-TODAY()&lt;=30,X258-TODAY()&gt;=0,OR(Z258="",Z258&lt;90)),"At risk — close to off track","On track"))))))))</t>
        </is>
      </c>
      <c r="AH258" s="49" t="inlineStr">
        <is>
          <t>IF(OR(F258="",AC258="Completed / Handover",AC258="Cancelled"),"",IF(O258="Not awarded",IF(U258&lt;&gt;"",U258-TODAY(),IF(X258="","",X258-TODAY())),IF(X258="","",X258-TODAY())))</t>
        </is>
      </c>
      <c r="AI258" s="54" t="n"/>
      <c r="AJ258" s="54" t="n"/>
      <c r="AK258" s="54" t="n"/>
      <c r="AL258" s="54" t="n"/>
      <c r="AM258" s="54" t="n"/>
      <c r="AN258" s="54" t="n"/>
      <c r="AO258" s="54" t="n"/>
      <c r="AP258" s="54" t="n"/>
      <c r="AQ258" s="54" t="n"/>
      <c r="AR258" s="54" t="n"/>
      <c r="AS258" s="54" t="n"/>
      <c r="AT258" s="50" t="n"/>
      <c r="AU258" s="50" t="n"/>
      <c r="AV258" s="50" t="n"/>
      <c r="AW258" s="49" t="inlineStr">
        <is>
          <t>IF(OR(F258="",AJ258=""),"",IF(COUNT(AI258:AI258)=0,"",AJ258-LOOKUP(2,1/(AI258:AI258&lt;&gt;""),AI258:AI258)))</t>
        </is>
      </c>
      <c r="AX258" s="49" t="inlineStr">
        <is>
          <t>IF(OR(F258="",AK258=""),"",IF(COUNT(AI258:AJ258)=0,"",AK258-LOOKUP(2,1/(AI258:AJ258&lt;&gt;""),AI258:AJ258)))</t>
        </is>
      </c>
      <c r="AY258" s="49" t="inlineStr">
        <is>
          <t>IF(OR(F258="",AL258=""),"",IF(COUNT(AI258:AK258)=0,"",AL258-LOOKUP(2,1/(AI258:AK258&lt;&gt;""),AI258:AK258)))</t>
        </is>
      </c>
      <c r="AZ258" s="49" t="inlineStr">
        <is>
          <t>IF(OR(F258="",AM258=""),"",IF(COUNT(AI258:AL258)=0,"",AM258-LOOKUP(2,1/(AI258:AL258&lt;&gt;""),AI258:AL258)))</t>
        </is>
      </c>
      <c r="BA258" s="49" t="inlineStr">
        <is>
          <t>IF(OR(F258="",AN258=""),"",IF(COUNT(AI258:AM258)=0,"",AN258-LOOKUP(2,1/(AI258:AM258&lt;&gt;""),AI258:AM258)))</t>
        </is>
      </c>
      <c r="BB258" s="49" t="inlineStr">
        <is>
          <t>IF(OR(F258="",AO258=""),"",IF(COUNT(AI258:AN258)=0,"",AO258-LOOKUP(2,1/(AI258:AN258&lt;&gt;""),AI258:AN258)))</t>
        </is>
      </c>
      <c r="BC258" s="49" t="inlineStr">
        <is>
          <t>IF(OR(F258="",AP258=""),"",IF(COUNT(AI258:AO258)=0,"",AP258-LOOKUP(2,1/(AI258:AO258&lt;&gt;""),AI258:AO258)))</t>
        </is>
      </c>
      <c r="BD258" s="49" t="inlineStr">
        <is>
          <t>IF(OR(F258="",AQ258=""),"",IF(COUNT(AI258:AP258)=0,"",AQ258-LOOKUP(2,1/(AI258:AP258&lt;&gt;""),AI258:AP258)))</t>
        </is>
      </c>
      <c r="BE258" s="49" t="inlineStr">
        <is>
          <t>IF(OR(F258="",AR258=""),"",IF(COUNT(AI258:AQ258)=0,"",AR258-LOOKUP(2,1/(AI258:AQ258&lt;&gt;""),AI258:AQ258)))</t>
        </is>
      </c>
      <c r="BF258" s="49" t="inlineStr">
        <is>
          <t>IF(OR(F258="",AS258=""),"",IF(COUNT(AI258:AR258)=0,"",AS258-LOOKUP(2,1/(AI258:AR258&lt;&gt;""),AI258:AR258)))</t>
        </is>
      </c>
      <c r="BG258" s="49" t="inlineStr">
        <is>
          <t>IF(OR(F258="",AT258=""),"",IF(COUNT(AI258:AS258)=0,"",AT258-LOOKUP(2,1/(AI258:AS258&lt;&gt;""),AI258:AS258)))</t>
        </is>
      </c>
      <c r="BH258" s="49" t="inlineStr">
        <is>
          <t>IF(OR(F258="",AU258=""),"",IF(COUNT(AI258:AT258)=0,"",AU258-LOOKUP(2,1/(AI258:AT258&lt;&gt;""),AI258:AT258)))</t>
        </is>
      </c>
      <c r="BI258" s="49" t="inlineStr">
        <is>
          <t>IF(OR(F258="",AV258=""),"",IF(COUNT(AI258:AU258)=0,"",AV258-LOOKUP(2,1/(AI258:AU258&lt;&gt;""),AI258:AU258)))</t>
        </is>
      </c>
      <c r="BJ258" s="51" t="inlineStr">
        <is>
          <t>IF(J258="","All_Provinces",IFERROR(VLOOKUP(J258,'09_Lookups'!$A$4:$B$20,2,FALSE),"All_Provinces"))</t>
        </is>
      </c>
      <c r="BK258" s="51" t="inlineStr">
        <is>
          <t>IF(K258="","All_Districts",IFERROR(VLOOKUP(K258,'09_Lookups'!$E$4:$F$42,2,FALSE),"All_Districts"))</t>
        </is>
      </c>
    </row>
    <row r="259" ht="18" customHeight="1">
      <c r="A259" s="42" t="inlineStr">
        <is>
          <t>IF(F259="","",ROW()-3)</t>
        </is>
      </c>
      <c r="B259" s="44" t="n"/>
      <c r="C259" s="44" t="n"/>
      <c r="D259" s="44" t="n"/>
      <c r="E259" s="44" t="n"/>
      <c r="F259" s="44" t="n"/>
      <c r="G259" s="44" t="n"/>
      <c r="H259" s="44" t="n"/>
      <c r="I259" s="44" t="n"/>
      <c r="J259" s="44" t="n"/>
      <c r="K259" s="44" t="n"/>
      <c r="L259" s="44" t="n"/>
      <c r="M259" s="44" t="n"/>
      <c r="N259" s="44" t="n"/>
      <c r="O259" s="44" t="n"/>
      <c r="P259" s="44" t="n"/>
      <c r="Q259" s="44" t="n"/>
      <c r="R259" s="44" t="n"/>
      <c r="S259" s="45" t="n"/>
      <c r="T259" s="46" t="inlineStr">
        <is>
          <t>IF(AQ259="","",AQ259)</t>
        </is>
      </c>
      <c r="U259" s="47" t="n"/>
      <c r="V259" s="48" t="n"/>
      <c r="W259" s="47" t="n"/>
      <c r="X259" s="46" t="inlineStr">
        <is>
          <t>IF(W259&lt;&gt;"",W259,IF(OR(T259="",V259=""),"",EDATE(T259,V259)))</t>
        </is>
      </c>
      <c r="Y259" s="47" t="n"/>
      <c r="Z259" s="48" t="n"/>
      <c r="AA259" s="44" t="n"/>
      <c r="AB259" s="44" t="n"/>
      <c r="AC259" s="42" t="inlineStr">
        <is>
          <t>IF(F259="","",IF(COUNT(AI259:AV259)=0,IF(AA259="","Not started",AA259),SUBSTITUTE(LOOKUP(2,1/(AI259:AV259&lt;&gt;""),$AI$3:$AV$3),"Date: ","")))</t>
        </is>
      </c>
      <c r="AD259" s="49" t="inlineStr">
        <is>
          <t>IF(OR(F259="",COUNT(AI259:AV259)=0),"",TODAY()-LOOKUP(2,1/(AI259:AV259&lt;&gt;""),AI259:AV259))</t>
        </is>
      </c>
      <c r="AE259" s="49" t="inlineStr">
        <is>
          <t>IF(OR(F259="",COUNT(AI259:AV259)&lt;2),"",LOOKUP(2,1/(AI259:AV259&lt;&gt;""),AI259:AV259)-MIN(AI259:AV259))</t>
        </is>
      </c>
      <c r="AF259" s="49" t="inlineStr">
        <is>
          <t>IF(OR(AD259="",AC259="Not started",AC259=""),"",IFERROR(AD259-IF(VLOOKUP(AC259,'06_Status_Pipeline'!$B$3:$E$20,4,FALSE)="",0,VLOOKUP(AC259,'06_Status_Pipeline'!$B$3:$E$20,4,FALSE)),""))</t>
        </is>
      </c>
      <c r="AG259" s="42" t="inlineStr">
        <is>
          <t>IF(F259="","",IF(OR(AA259="Cancelled",AC259="Cancelled"),"Cancelled",IF(OR(AC259="Completed / Handover",Y259&lt;&gt;"",Z259&gt;=100),"Completed — on track",IF(O259="Not awarded",IF(U259="",IF(X259="","No planned date",IF(TODAY()&gt;X259,"Behind — past planned date",IF(X259-TODAY()&lt;=30,"At risk — close to off track","On track"))),IF(TODAY()&gt;U259,"Behind — award date passed",IF(U259-TODAY()&lt;=30,"At risk — close to off track","On track"))),IF(X259="","No planned date",IF(AND(TODAY()&gt;X259,OR(Z259="",Z259&lt;100)),"Behind — past end date",IF(AND(T259&lt;&gt;"",X259&lt;&gt;"",Z259&lt;&gt;"",(Z259&lt;100),((TODAY()-T259)/MAX(X259-T259,1)*100)-Z259&gt;15),"Behind — progress lag",IF(AND(X259-TODAY()&lt;=30,X259-TODAY()&gt;=0,OR(Z259="",Z259&lt;90)),"At risk — close to off track","On track"))))))))</t>
        </is>
      </c>
      <c r="AH259" s="49" t="inlineStr">
        <is>
          <t>IF(OR(F259="",AC259="Completed / Handover",AC259="Cancelled"),"",IF(O259="Not awarded",IF(U259&lt;&gt;"",U259-TODAY(),IF(X259="","",X259-TODAY())),IF(X259="","",X259-TODAY())))</t>
        </is>
      </c>
      <c r="AI259" s="47" t="n"/>
      <c r="AJ259" s="47" t="n"/>
      <c r="AK259" s="47" t="n"/>
      <c r="AL259" s="47" t="n"/>
      <c r="AM259" s="47" t="n"/>
      <c r="AN259" s="47" t="n"/>
      <c r="AO259" s="47" t="n"/>
      <c r="AP259" s="47" t="n"/>
      <c r="AQ259" s="47" t="n"/>
      <c r="AR259" s="47" t="n"/>
      <c r="AS259" s="47" t="n"/>
      <c r="AT259" s="50" t="n"/>
      <c r="AU259" s="50" t="n"/>
      <c r="AV259" s="50" t="n"/>
      <c r="AW259" s="49" t="inlineStr">
        <is>
          <t>IF(OR(F259="",AJ259=""),"",IF(COUNT(AI259:AI259)=0,"",AJ259-LOOKUP(2,1/(AI259:AI259&lt;&gt;""),AI259:AI259)))</t>
        </is>
      </c>
      <c r="AX259" s="49" t="inlineStr">
        <is>
          <t>IF(OR(F259="",AK259=""),"",IF(COUNT(AI259:AJ259)=0,"",AK259-LOOKUP(2,1/(AI259:AJ259&lt;&gt;""),AI259:AJ259)))</t>
        </is>
      </c>
      <c r="AY259" s="49" t="inlineStr">
        <is>
          <t>IF(OR(F259="",AL259=""),"",IF(COUNT(AI259:AK259)=0,"",AL259-LOOKUP(2,1/(AI259:AK259&lt;&gt;""),AI259:AK259)))</t>
        </is>
      </c>
      <c r="AZ259" s="49" t="inlineStr">
        <is>
          <t>IF(OR(F259="",AM259=""),"",IF(COUNT(AI259:AL259)=0,"",AM259-LOOKUP(2,1/(AI259:AL259&lt;&gt;""),AI259:AL259)))</t>
        </is>
      </c>
      <c r="BA259" s="49" t="inlineStr">
        <is>
          <t>IF(OR(F259="",AN259=""),"",IF(COUNT(AI259:AM259)=0,"",AN259-LOOKUP(2,1/(AI259:AM259&lt;&gt;""),AI259:AM259)))</t>
        </is>
      </c>
      <c r="BB259" s="49" t="inlineStr">
        <is>
          <t>IF(OR(F259="",AO259=""),"",IF(COUNT(AI259:AN259)=0,"",AO259-LOOKUP(2,1/(AI259:AN259&lt;&gt;""),AI259:AN259)))</t>
        </is>
      </c>
      <c r="BC259" s="49" t="inlineStr">
        <is>
          <t>IF(OR(F259="",AP259=""),"",IF(COUNT(AI259:AO259)=0,"",AP259-LOOKUP(2,1/(AI259:AO259&lt;&gt;""),AI259:AO259)))</t>
        </is>
      </c>
      <c r="BD259" s="49" t="inlineStr">
        <is>
          <t>IF(OR(F259="",AQ259=""),"",IF(COUNT(AI259:AP259)=0,"",AQ259-LOOKUP(2,1/(AI259:AP259&lt;&gt;""),AI259:AP259)))</t>
        </is>
      </c>
      <c r="BE259" s="49" t="inlineStr">
        <is>
          <t>IF(OR(F259="",AR259=""),"",IF(COUNT(AI259:AQ259)=0,"",AR259-LOOKUP(2,1/(AI259:AQ259&lt;&gt;""),AI259:AQ259)))</t>
        </is>
      </c>
      <c r="BF259" s="49" t="inlineStr">
        <is>
          <t>IF(OR(F259="",AS259=""),"",IF(COUNT(AI259:AR259)=0,"",AS259-LOOKUP(2,1/(AI259:AR259&lt;&gt;""),AI259:AR259)))</t>
        </is>
      </c>
      <c r="BG259" s="49" t="inlineStr">
        <is>
          <t>IF(OR(F259="",AT259=""),"",IF(COUNT(AI259:AS259)=0,"",AT259-LOOKUP(2,1/(AI259:AS259&lt;&gt;""),AI259:AS259)))</t>
        </is>
      </c>
      <c r="BH259" s="49" t="inlineStr">
        <is>
          <t>IF(OR(F259="",AU259=""),"",IF(COUNT(AI259:AT259)=0,"",AU259-LOOKUP(2,1/(AI259:AT259&lt;&gt;""),AI259:AT259)))</t>
        </is>
      </c>
      <c r="BI259" s="49" t="inlineStr">
        <is>
          <t>IF(OR(F259="",AV259=""),"",IF(COUNT(AI259:AU259)=0,"",AV259-LOOKUP(2,1/(AI259:AU259&lt;&gt;""),AI259:AU259)))</t>
        </is>
      </c>
      <c r="BJ259" s="51" t="inlineStr">
        <is>
          <t>IF(J259="","All_Provinces",IFERROR(VLOOKUP(J259,'09_Lookups'!$A$4:$B$20,2,FALSE),"All_Provinces"))</t>
        </is>
      </c>
      <c r="BK259" s="51" t="inlineStr">
        <is>
          <t>IF(K259="","All_Districts",IFERROR(VLOOKUP(K259,'09_Lookups'!$E$4:$F$42,2,FALSE),"All_Districts"))</t>
        </is>
      </c>
    </row>
    <row r="260" ht="18" customHeight="1">
      <c r="A260" s="42" t="inlineStr">
        <is>
          <t>IF(F260="","",ROW()-3)</t>
        </is>
      </c>
      <c r="B260" s="52" t="n"/>
      <c r="C260" s="52" t="n"/>
      <c r="D260" s="52" t="n"/>
      <c r="E260" s="52" t="n"/>
      <c r="F260" s="52" t="n"/>
      <c r="G260" s="52" t="n"/>
      <c r="H260" s="52" t="n"/>
      <c r="I260" s="52" t="n"/>
      <c r="J260" s="52" t="n"/>
      <c r="K260" s="52" t="n"/>
      <c r="L260" s="52" t="n"/>
      <c r="M260" s="52" t="n"/>
      <c r="N260" s="52" t="n"/>
      <c r="O260" s="52" t="n"/>
      <c r="P260" s="52" t="n"/>
      <c r="Q260" s="52" t="n"/>
      <c r="R260" s="52" t="n"/>
      <c r="S260" s="53" t="n"/>
      <c r="T260" s="46" t="inlineStr">
        <is>
          <t>IF(AQ260="","",AQ260)</t>
        </is>
      </c>
      <c r="U260" s="54" t="n"/>
      <c r="V260" s="55" t="n"/>
      <c r="W260" s="54" t="n"/>
      <c r="X260" s="46" t="inlineStr">
        <is>
          <t>IF(W260&lt;&gt;"",W260,IF(OR(T260="",V260=""),"",EDATE(T260,V260)))</t>
        </is>
      </c>
      <c r="Y260" s="54" t="n"/>
      <c r="Z260" s="55" t="n"/>
      <c r="AA260" s="52" t="n"/>
      <c r="AB260" s="52" t="n"/>
      <c r="AC260" s="42" t="inlineStr">
        <is>
          <t>IF(F260="","",IF(COUNT(AI260:AV260)=0,IF(AA260="","Not started",AA260),SUBSTITUTE(LOOKUP(2,1/(AI260:AV260&lt;&gt;""),$AI$3:$AV$3),"Date: ","")))</t>
        </is>
      </c>
      <c r="AD260" s="49" t="inlineStr">
        <is>
          <t>IF(OR(F260="",COUNT(AI260:AV260)=0),"",TODAY()-LOOKUP(2,1/(AI260:AV260&lt;&gt;""),AI260:AV260))</t>
        </is>
      </c>
      <c r="AE260" s="49" t="inlineStr">
        <is>
          <t>IF(OR(F260="",COUNT(AI260:AV260)&lt;2),"",LOOKUP(2,1/(AI260:AV260&lt;&gt;""),AI260:AV260)-MIN(AI260:AV260))</t>
        </is>
      </c>
      <c r="AF260" s="49" t="inlineStr">
        <is>
          <t>IF(OR(AD260="",AC260="Not started",AC260=""),"",IFERROR(AD260-IF(VLOOKUP(AC260,'06_Status_Pipeline'!$B$3:$E$20,4,FALSE)="",0,VLOOKUP(AC260,'06_Status_Pipeline'!$B$3:$E$20,4,FALSE)),""))</t>
        </is>
      </c>
      <c r="AG260" s="42" t="inlineStr">
        <is>
          <t>IF(F260="","",IF(OR(AA260="Cancelled",AC260="Cancelled"),"Cancelled",IF(OR(AC260="Completed / Handover",Y260&lt;&gt;"",Z260&gt;=100),"Completed — on track",IF(O260="Not awarded",IF(U260="",IF(X260="","No planned date",IF(TODAY()&gt;X260,"Behind — past planned date",IF(X260-TODAY()&lt;=30,"At risk — close to off track","On track"))),IF(TODAY()&gt;U260,"Behind — award date passed",IF(U260-TODAY()&lt;=30,"At risk — close to off track","On track"))),IF(X260="","No planned date",IF(AND(TODAY()&gt;X260,OR(Z260="",Z260&lt;100)),"Behind — past end date",IF(AND(T260&lt;&gt;"",X260&lt;&gt;"",Z260&lt;&gt;"",(Z260&lt;100),((TODAY()-T260)/MAX(X260-T260,1)*100)-Z260&gt;15),"Behind — progress lag",IF(AND(X260-TODAY()&lt;=30,X260-TODAY()&gt;=0,OR(Z260="",Z260&lt;90)),"At risk — close to off track","On track"))))))))</t>
        </is>
      </c>
      <c r="AH260" s="49" t="inlineStr">
        <is>
          <t>IF(OR(F260="",AC260="Completed / Handover",AC260="Cancelled"),"",IF(O260="Not awarded",IF(U260&lt;&gt;"",U260-TODAY(),IF(X260="","",X260-TODAY())),IF(X260="","",X260-TODAY())))</t>
        </is>
      </c>
      <c r="AI260" s="54" t="n"/>
      <c r="AJ260" s="54" t="n"/>
      <c r="AK260" s="54" t="n"/>
      <c r="AL260" s="54" t="n"/>
      <c r="AM260" s="54" t="n"/>
      <c r="AN260" s="54" t="n"/>
      <c r="AO260" s="54" t="n"/>
      <c r="AP260" s="54" t="n"/>
      <c r="AQ260" s="54" t="n"/>
      <c r="AR260" s="54" t="n"/>
      <c r="AS260" s="54" t="n"/>
      <c r="AT260" s="50" t="n"/>
      <c r="AU260" s="50" t="n"/>
      <c r="AV260" s="50" t="n"/>
      <c r="AW260" s="49" t="inlineStr">
        <is>
          <t>IF(OR(F260="",AJ260=""),"",IF(COUNT(AI260:AI260)=0,"",AJ260-LOOKUP(2,1/(AI260:AI260&lt;&gt;""),AI260:AI260)))</t>
        </is>
      </c>
      <c r="AX260" s="49" t="inlineStr">
        <is>
          <t>IF(OR(F260="",AK260=""),"",IF(COUNT(AI260:AJ260)=0,"",AK260-LOOKUP(2,1/(AI260:AJ260&lt;&gt;""),AI260:AJ260)))</t>
        </is>
      </c>
      <c r="AY260" s="49" t="inlineStr">
        <is>
          <t>IF(OR(F260="",AL260=""),"",IF(COUNT(AI260:AK260)=0,"",AL260-LOOKUP(2,1/(AI260:AK260&lt;&gt;""),AI260:AK260)))</t>
        </is>
      </c>
      <c r="AZ260" s="49" t="inlineStr">
        <is>
          <t>IF(OR(F260="",AM260=""),"",IF(COUNT(AI260:AL260)=0,"",AM260-LOOKUP(2,1/(AI260:AL260&lt;&gt;""),AI260:AL260)))</t>
        </is>
      </c>
      <c r="BA260" s="49" t="inlineStr">
        <is>
          <t>IF(OR(F260="",AN260=""),"",IF(COUNT(AI260:AM260)=0,"",AN260-LOOKUP(2,1/(AI260:AM260&lt;&gt;""),AI260:AM260)))</t>
        </is>
      </c>
      <c r="BB260" s="49" t="inlineStr">
        <is>
          <t>IF(OR(F260="",AO260=""),"",IF(COUNT(AI260:AN260)=0,"",AO260-LOOKUP(2,1/(AI260:AN260&lt;&gt;""),AI260:AN260)))</t>
        </is>
      </c>
      <c r="BC260" s="49" t="inlineStr">
        <is>
          <t>IF(OR(F260="",AP260=""),"",IF(COUNT(AI260:AO260)=0,"",AP260-LOOKUP(2,1/(AI260:AO260&lt;&gt;""),AI260:AO260)))</t>
        </is>
      </c>
      <c r="BD260" s="49" t="inlineStr">
        <is>
          <t>IF(OR(F260="",AQ260=""),"",IF(COUNT(AI260:AP260)=0,"",AQ260-LOOKUP(2,1/(AI260:AP260&lt;&gt;""),AI260:AP260)))</t>
        </is>
      </c>
      <c r="BE260" s="49" t="inlineStr">
        <is>
          <t>IF(OR(F260="",AR260=""),"",IF(COUNT(AI260:AQ260)=0,"",AR260-LOOKUP(2,1/(AI260:AQ260&lt;&gt;""),AI260:AQ260)))</t>
        </is>
      </c>
      <c r="BF260" s="49" t="inlineStr">
        <is>
          <t>IF(OR(F260="",AS260=""),"",IF(COUNT(AI260:AR260)=0,"",AS260-LOOKUP(2,1/(AI260:AR260&lt;&gt;""),AI260:AR260)))</t>
        </is>
      </c>
      <c r="BG260" s="49" t="inlineStr">
        <is>
          <t>IF(OR(F260="",AT260=""),"",IF(COUNT(AI260:AS260)=0,"",AT260-LOOKUP(2,1/(AI260:AS260&lt;&gt;""),AI260:AS260)))</t>
        </is>
      </c>
      <c r="BH260" s="49" t="inlineStr">
        <is>
          <t>IF(OR(F260="",AU260=""),"",IF(COUNT(AI260:AT260)=0,"",AU260-LOOKUP(2,1/(AI260:AT260&lt;&gt;""),AI260:AT260)))</t>
        </is>
      </c>
      <c r="BI260" s="49" t="inlineStr">
        <is>
          <t>IF(OR(F260="",AV260=""),"",IF(COUNT(AI260:AU260)=0,"",AV260-LOOKUP(2,1/(AI260:AU260&lt;&gt;""),AI260:AU260)))</t>
        </is>
      </c>
      <c r="BJ260" s="51" t="inlineStr">
        <is>
          <t>IF(J260="","All_Provinces",IFERROR(VLOOKUP(J260,'09_Lookups'!$A$4:$B$20,2,FALSE),"All_Provinces"))</t>
        </is>
      </c>
      <c r="BK260" s="51" t="inlineStr">
        <is>
          <t>IF(K260="","All_Districts",IFERROR(VLOOKUP(K260,'09_Lookups'!$E$4:$F$42,2,FALSE),"All_Districts"))</t>
        </is>
      </c>
    </row>
    <row r="261" ht="18" customHeight="1">
      <c r="A261" s="42" t="inlineStr">
        <is>
          <t>IF(F261="","",ROW()-3)</t>
        </is>
      </c>
      <c r="B261" s="44" t="n"/>
      <c r="C261" s="44" t="n"/>
      <c r="D261" s="44" t="n"/>
      <c r="E261" s="44" t="n"/>
      <c r="F261" s="44" t="n"/>
      <c r="G261" s="44" t="n"/>
      <c r="H261" s="44" t="n"/>
      <c r="I261" s="44" t="n"/>
      <c r="J261" s="44" t="n"/>
      <c r="K261" s="44" t="n"/>
      <c r="L261" s="44" t="n"/>
      <c r="M261" s="44" t="n"/>
      <c r="N261" s="44" t="n"/>
      <c r="O261" s="44" t="n"/>
      <c r="P261" s="44" t="n"/>
      <c r="Q261" s="44" t="n"/>
      <c r="R261" s="44" t="n"/>
      <c r="S261" s="45" t="n"/>
      <c r="T261" s="46" t="inlineStr">
        <is>
          <t>IF(AQ261="","",AQ261)</t>
        </is>
      </c>
      <c r="U261" s="47" t="n"/>
      <c r="V261" s="48" t="n"/>
      <c r="W261" s="47" t="n"/>
      <c r="X261" s="46" t="inlineStr">
        <is>
          <t>IF(W261&lt;&gt;"",W261,IF(OR(T261="",V261=""),"",EDATE(T261,V261)))</t>
        </is>
      </c>
      <c r="Y261" s="47" t="n"/>
      <c r="Z261" s="48" t="n"/>
      <c r="AA261" s="44" t="n"/>
      <c r="AB261" s="44" t="n"/>
      <c r="AC261" s="42" t="inlineStr">
        <is>
          <t>IF(F261="","",IF(COUNT(AI261:AV261)=0,IF(AA261="","Not started",AA261),SUBSTITUTE(LOOKUP(2,1/(AI261:AV261&lt;&gt;""),$AI$3:$AV$3),"Date: ","")))</t>
        </is>
      </c>
      <c r="AD261" s="49" t="inlineStr">
        <is>
          <t>IF(OR(F261="",COUNT(AI261:AV261)=0),"",TODAY()-LOOKUP(2,1/(AI261:AV261&lt;&gt;""),AI261:AV261))</t>
        </is>
      </c>
      <c r="AE261" s="49" t="inlineStr">
        <is>
          <t>IF(OR(F261="",COUNT(AI261:AV261)&lt;2),"",LOOKUP(2,1/(AI261:AV261&lt;&gt;""),AI261:AV261)-MIN(AI261:AV261))</t>
        </is>
      </c>
      <c r="AF261" s="49" t="inlineStr">
        <is>
          <t>IF(OR(AD261="",AC261="Not started",AC261=""),"",IFERROR(AD261-IF(VLOOKUP(AC261,'06_Status_Pipeline'!$B$3:$E$20,4,FALSE)="",0,VLOOKUP(AC261,'06_Status_Pipeline'!$B$3:$E$20,4,FALSE)),""))</t>
        </is>
      </c>
      <c r="AG261" s="42" t="inlineStr">
        <is>
          <t>IF(F261="","",IF(OR(AA261="Cancelled",AC261="Cancelled"),"Cancelled",IF(OR(AC261="Completed / Handover",Y261&lt;&gt;"",Z261&gt;=100),"Completed — on track",IF(O261="Not awarded",IF(U261="",IF(X261="","No planned date",IF(TODAY()&gt;X261,"Behind — past planned date",IF(X261-TODAY()&lt;=30,"At risk — close to off track","On track"))),IF(TODAY()&gt;U261,"Behind — award date passed",IF(U261-TODAY()&lt;=30,"At risk — close to off track","On track"))),IF(X261="","No planned date",IF(AND(TODAY()&gt;X261,OR(Z261="",Z261&lt;100)),"Behind — past end date",IF(AND(T261&lt;&gt;"",X261&lt;&gt;"",Z261&lt;&gt;"",(Z261&lt;100),((TODAY()-T261)/MAX(X261-T261,1)*100)-Z261&gt;15),"Behind — progress lag",IF(AND(X261-TODAY()&lt;=30,X261-TODAY()&gt;=0,OR(Z261="",Z261&lt;90)),"At risk — close to off track","On track"))))))))</t>
        </is>
      </c>
      <c r="AH261" s="49" t="inlineStr">
        <is>
          <t>IF(OR(F261="",AC261="Completed / Handover",AC261="Cancelled"),"",IF(O261="Not awarded",IF(U261&lt;&gt;"",U261-TODAY(),IF(X261="","",X261-TODAY())),IF(X261="","",X261-TODAY())))</t>
        </is>
      </c>
      <c r="AI261" s="47" t="n"/>
      <c r="AJ261" s="47" t="n"/>
      <c r="AK261" s="47" t="n"/>
      <c r="AL261" s="47" t="n"/>
      <c r="AM261" s="47" t="n"/>
      <c r="AN261" s="47" t="n"/>
      <c r="AO261" s="47" t="n"/>
      <c r="AP261" s="47" t="n"/>
      <c r="AQ261" s="47" t="n"/>
      <c r="AR261" s="47" t="n"/>
      <c r="AS261" s="47" t="n"/>
      <c r="AT261" s="50" t="n"/>
      <c r="AU261" s="50" t="n"/>
      <c r="AV261" s="50" t="n"/>
      <c r="AW261" s="49" t="inlineStr">
        <is>
          <t>IF(OR(F261="",AJ261=""),"",IF(COUNT(AI261:AI261)=0,"",AJ261-LOOKUP(2,1/(AI261:AI261&lt;&gt;""),AI261:AI261)))</t>
        </is>
      </c>
      <c r="AX261" s="49" t="inlineStr">
        <is>
          <t>IF(OR(F261="",AK261=""),"",IF(COUNT(AI261:AJ261)=0,"",AK261-LOOKUP(2,1/(AI261:AJ261&lt;&gt;""),AI261:AJ261)))</t>
        </is>
      </c>
      <c r="AY261" s="49" t="inlineStr">
        <is>
          <t>IF(OR(F261="",AL261=""),"",IF(COUNT(AI261:AK261)=0,"",AL261-LOOKUP(2,1/(AI261:AK261&lt;&gt;""),AI261:AK261)))</t>
        </is>
      </c>
      <c r="AZ261" s="49" t="inlineStr">
        <is>
          <t>IF(OR(F261="",AM261=""),"",IF(COUNT(AI261:AL261)=0,"",AM261-LOOKUP(2,1/(AI261:AL261&lt;&gt;""),AI261:AL261)))</t>
        </is>
      </c>
      <c r="BA261" s="49" t="inlineStr">
        <is>
          <t>IF(OR(F261="",AN261=""),"",IF(COUNT(AI261:AM261)=0,"",AN261-LOOKUP(2,1/(AI261:AM261&lt;&gt;""),AI261:AM261)))</t>
        </is>
      </c>
      <c r="BB261" s="49" t="inlineStr">
        <is>
          <t>IF(OR(F261="",AO261=""),"",IF(COUNT(AI261:AN261)=0,"",AO261-LOOKUP(2,1/(AI261:AN261&lt;&gt;""),AI261:AN261)))</t>
        </is>
      </c>
      <c r="BC261" s="49" t="inlineStr">
        <is>
          <t>IF(OR(F261="",AP261=""),"",IF(COUNT(AI261:AO261)=0,"",AP261-LOOKUP(2,1/(AI261:AO261&lt;&gt;""),AI261:AO261)))</t>
        </is>
      </c>
      <c r="BD261" s="49" t="inlineStr">
        <is>
          <t>IF(OR(F261="",AQ261=""),"",IF(COUNT(AI261:AP261)=0,"",AQ261-LOOKUP(2,1/(AI261:AP261&lt;&gt;""),AI261:AP261)))</t>
        </is>
      </c>
      <c r="BE261" s="49" t="inlineStr">
        <is>
          <t>IF(OR(F261="",AR261=""),"",IF(COUNT(AI261:AQ261)=0,"",AR261-LOOKUP(2,1/(AI261:AQ261&lt;&gt;""),AI261:AQ261)))</t>
        </is>
      </c>
      <c r="BF261" s="49" t="inlineStr">
        <is>
          <t>IF(OR(F261="",AS261=""),"",IF(COUNT(AI261:AR261)=0,"",AS261-LOOKUP(2,1/(AI261:AR261&lt;&gt;""),AI261:AR261)))</t>
        </is>
      </c>
      <c r="BG261" s="49" t="inlineStr">
        <is>
          <t>IF(OR(F261="",AT261=""),"",IF(COUNT(AI261:AS261)=0,"",AT261-LOOKUP(2,1/(AI261:AS261&lt;&gt;""),AI261:AS261)))</t>
        </is>
      </c>
      <c r="BH261" s="49" t="inlineStr">
        <is>
          <t>IF(OR(F261="",AU261=""),"",IF(COUNT(AI261:AT261)=0,"",AU261-LOOKUP(2,1/(AI261:AT261&lt;&gt;""),AI261:AT261)))</t>
        </is>
      </c>
      <c r="BI261" s="49" t="inlineStr">
        <is>
          <t>IF(OR(F261="",AV261=""),"",IF(COUNT(AI261:AU261)=0,"",AV261-LOOKUP(2,1/(AI261:AU261&lt;&gt;""),AI261:AU261)))</t>
        </is>
      </c>
      <c r="BJ261" s="51" t="inlineStr">
        <is>
          <t>IF(J261="","All_Provinces",IFERROR(VLOOKUP(J261,'09_Lookups'!$A$4:$B$20,2,FALSE),"All_Provinces"))</t>
        </is>
      </c>
      <c r="BK261" s="51" t="inlineStr">
        <is>
          <t>IF(K261="","All_Districts",IFERROR(VLOOKUP(K261,'09_Lookups'!$E$4:$F$42,2,FALSE),"All_Districts"))</t>
        </is>
      </c>
    </row>
    <row r="262" ht="18" customHeight="1">
      <c r="A262" s="42" t="inlineStr">
        <is>
          <t>IF(F262="","",ROW()-3)</t>
        </is>
      </c>
      <c r="B262" s="52" t="n"/>
      <c r="C262" s="52" t="n"/>
      <c r="D262" s="52" t="n"/>
      <c r="E262" s="52" t="n"/>
      <c r="F262" s="52" t="n"/>
      <c r="G262" s="52" t="n"/>
      <c r="H262" s="52" t="n"/>
      <c r="I262" s="52" t="n"/>
      <c r="J262" s="52" t="n"/>
      <c r="K262" s="52" t="n"/>
      <c r="L262" s="52" t="n"/>
      <c r="M262" s="52" t="n"/>
      <c r="N262" s="52" t="n"/>
      <c r="O262" s="52" t="n"/>
      <c r="P262" s="52" t="n"/>
      <c r="Q262" s="52" t="n"/>
      <c r="R262" s="52" t="n"/>
      <c r="S262" s="53" t="n"/>
      <c r="T262" s="46" t="inlineStr">
        <is>
          <t>IF(AQ262="","",AQ262)</t>
        </is>
      </c>
      <c r="U262" s="54" t="n"/>
      <c r="V262" s="55" t="n"/>
      <c r="W262" s="54" t="n"/>
      <c r="X262" s="46" t="inlineStr">
        <is>
          <t>IF(W262&lt;&gt;"",W262,IF(OR(T262="",V262=""),"",EDATE(T262,V262)))</t>
        </is>
      </c>
      <c r="Y262" s="54" t="n"/>
      <c r="Z262" s="55" t="n"/>
      <c r="AA262" s="52" t="n"/>
      <c r="AB262" s="52" t="n"/>
      <c r="AC262" s="42" t="inlineStr">
        <is>
          <t>IF(F262="","",IF(COUNT(AI262:AV262)=0,IF(AA262="","Not started",AA262),SUBSTITUTE(LOOKUP(2,1/(AI262:AV262&lt;&gt;""),$AI$3:$AV$3),"Date: ","")))</t>
        </is>
      </c>
      <c r="AD262" s="49" t="inlineStr">
        <is>
          <t>IF(OR(F262="",COUNT(AI262:AV262)=0),"",TODAY()-LOOKUP(2,1/(AI262:AV262&lt;&gt;""),AI262:AV262))</t>
        </is>
      </c>
      <c r="AE262" s="49" t="inlineStr">
        <is>
          <t>IF(OR(F262="",COUNT(AI262:AV262)&lt;2),"",LOOKUP(2,1/(AI262:AV262&lt;&gt;""),AI262:AV262)-MIN(AI262:AV262))</t>
        </is>
      </c>
      <c r="AF262" s="49" t="inlineStr">
        <is>
          <t>IF(OR(AD262="",AC262="Not started",AC262=""),"",IFERROR(AD262-IF(VLOOKUP(AC262,'06_Status_Pipeline'!$B$3:$E$20,4,FALSE)="",0,VLOOKUP(AC262,'06_Status_Pipeline'!$B$3:$E$20,4,FALSE)),""))</t>
        </is>
      </c>
      <c r="AG262" s="42" t="inlineStr">
        <is>
          <t>IF(F262="","",IF(OR(AA262="Cancelled",AC262="Cancelled"),"Cancelled",IF(OR(AC262="Completed / Handover",Y262&lt;&gt;"",Z262&gt;=100),"Completed — on track",IF(O262="Not awarded",IF(U262="",IF(X262="","No planned date",IF(TODAY()&gt;X262,"Behind — past planned date",IF(X262-TODAY()&lt;=30,"At risk — close to off track","On track"))),IF(TODAY()&gt;U262,"Behind — award date passed",IF(U262-TODAY()&lt;=30,"At risk — close to off track","On track"))),IF(X262="","No planned date",IF(AND(TODAY()&gt;X262,OR(Z262="",Z262&lt;100)),"Behind — past end date",IF(AND(T262&lt;&gt;"",X262&lt;&gt;"",Z262&lt;&gt;"",(Z262&lt;100),((TODAY()-T262)/MAX(X262-T262,1)*100)-Z262&gt;15),"Behind — progress lag",IF(AND(X262-TODAY()&lt;=30,X262-TODAY()&gt;=0,OR(Z262="",Z262&lt;90)),"At risk — close to off track","On track"))))))))</t>
        </is>
      </c>
      <c r="AH262" s="49" t="inlineStr">
        <is>
          <t>IF(OR(F262="",AC262="Completed / Handover",AC262="Cancelled"),"",IF(O262="Not awarded",IF(U262&lt;&gt;"",U262-TODAY(),IF(X262="","",X262-TODAY())),IF(X262="","",X262-TODAY())))</t>
        </is>
      </c>
      <c r="AI262" s="54" t="n"/>
      <c r="AJ262" s="54" t="n"/>
      <c r="AK262" s="54" t="n"/>
      <c r="AL262" s="54" t="n"/>
      <c r="AM262" s="54" t="n"/>
      <c r="AN262" s="54" t="n"/>
      <c r="AO262" s="54" t="n"/>
      <c r="AP262" s="54" t="n"/>
      <c r="AQ262" s="54" t="n"/>
      <c r="AR262" s="54" t="n"/>
      <c r="AS262" s="54" t="n"/>
      <c r="AT262" s="50" t="n"/>
      <c r="AU262" s="50" t="n"/>
      <c r="AV262" s="50" t="n"/>
      <c r="AW262" s="49" t="inlineStr">
        <is>
          <t>IF(OR(F262="",AJ262=""),"",IF(COUNT(AI262:AI262)=0,"",AJ262-LOOKUP(2,1/(AI262:AI262&lt;&gt;""),AI262:AI262)))</t>
        </is>
      </c>
      <c r="AX262" s="49" t="inlineStr">
        <is>
          <t>IF(OR(F262="",AK262=""),"",IF(COUNT(AI262:AJ262)=0,"",AK262-LOOKUP(2,1/(AI262:AJ262&lt;&gt;""),AI262:AJ262)))</t>
        </is>
      </c>
      <c r="AY262" s="49" t="inlineStr">
        <is>
          <t>IF(OR(F262="",AL262=""),"",IF(COUNT(AI262:AK262)=0,"",AL262-LOOKUP(2,1/(AI262:AK262&lt;&gt;""),AI262:AK262)))</t>
        </is>
      </c>
      <c r="AZ262" s="49" t="inlineStr">
        <is>
          <t>IF(OR(F262="",AM262=""),"",IF(COUNT(AI262:AL262)=0,"",AM262-LOOKUP(2,1/(AI262:AL262&lt;&gt;""),AI262:AL262)))</t>
        </is>
      </c>
      <c r="BA262" s="49" t="inlineStr">
        <is>
          <t>IF(OR(F262="",AN262=""),"",IF(COUNT(AI262:AM262)=0,"",AN262-LOOKUP(2,1/(AI262:AM262&lt;&gt;""),AI262:AM262)))</t>
        </is>
      </c>
      <c r="BB262" s="49" t="inlineStr">
        <is>
          <t>IF(OR(F262="",AO262=""),"",IF(COUNT(AI262:AN262)=0,"",AO262-LOOKUP(2,1/(AI262:AN262&lt;&gt;""),AI262:AN262)))</t>
        </is>
      </c>
      <c r="BC262" s="49" t="inlineStr">
        <is>
          <t>IF(OR(F262="",AP262=""),"",IF(COUNT(AI262:AO262)=0,"",AP262-LOOKUP(2,1/(AI262:AO262&lt;&gt;""),AI262:AO262)))</t>
        </is>
      </c>
      <c r="BD262" s="49" t="inlineStr">
        <is>
          <t>IF(OR(F262="",AQ262=""),"",IF(COUNT(AI262:AP262)=0,"",AQ262-LOOKUP(2,1/(AI262:AP262&lt;&gt;""),AI262:AP262)))</t>
        </is>
      </c>
      <c r="BE262" s="49" t="inlineStr">
        <is>
          <t>IF(OR(F262="",AR262=""),"",IF(COUNT(AI262:AQ262)=0,"",AR262-LOOKUP(2,1/(AI262:AQ262&lt;&gt;""),AI262:AQ262)))</t>
        </is>
      </c>
      <c r="BF262" s="49" t="inlineStr">
        <is>
          <t>IF(OR(F262="",AS262=""),"",IF(COUNT(AI262:AR262)=0,"",AS262-LOOKUP(2,1/(AI262:AR262&lt;&gt;""),AI262:AR262)))</t>
        </is>
      </c>
      <c r="BG262" s="49" t="inlineStr">
        <is>
          <t>IF(OR(F262="",AT262=""),"",IF(COUNT(AI262:AS262)=0,"",AT262-LOOKUP(2,1/(AI262:AS262&lt;&gt;""),AI262:AS262)))</t>
        </is>
      </c>
      <c r="BH262" s="49" t="inlineStr">
        <is>
          <t>IF(OR(F262="",AU262=""),"",IF(COUNT(AI262:AT262)=0,"",AU262-LOOKUP(2,1/(AI262:AT262&lt;&gt;""),AI262:AT262)))</t>
        </is>
      </c>
      <c r="BI262" s="49" t="inlineStr">
        <is>
          <t>IF(OR(F262="",AV262=""),"",IF(COUNT(AI262:AU262)=0,"",AV262-LOOKUP(2,1/(AI262:AU262&lt;&gt;""),AI262:AU262)))</t>
        </is>
      </c>
      <c r="BJ262" s="51" t="inlineStr">
        <is>
          <t>IF(J262="","All_Provinces",IFERROR(VLOOKUP(J262,'09_Lookups'!$A$4:$B$20,2,FALSE),"All_Provinces"))</t>
        </is>
      </c>
      <c r="BK262" s="51" t="inlineStr">
        <is>
          <t>IF(K262="","All_Districts",IFERROR(VLOOKUP(K262,'09_Lookups'!$E$4:$F$42,2,FALSE),"All_Districts"))</t>
        </is>
      </c>
    </row>
    <row r="263" ht="18" customHeight="1">
      <c r="A263" s="42" t="inlineStr">
        <is>
          <t>IF(F263="","",ROW()-3)</t>
        </is>
      </c>
      <c r="B263" s="44" t="n"/>
      <c r="C263" s="44" t="n"/>
      <c r="D263" s="44" t="n"/>
      <c r="E263" s="44" t="n"/>
      <c r="F263" s="44" t="n"/>
      <c r="G263" s="44" t="n"/>
      <c r="H263" s="44" t="n"/>
      <c r="I263" s="44" t="n"/>
      <c r="J263" s="44" t="n"/>
      <c r="K263" s="44" t="n"/>
      <c r="L263" s="44" t="n"/>
      <c r="M263" s="44" t="n"/>
      <c r="N263" s="44" t="n"/>
      <c r="O263" s="44" t="n"/>
      <c r="P263" s="44" t="n"/>
      <c r="Q263" s="44" t="n"/>
      <c r="R263" s="44" t="n"/>
      <c r="S263" s="45" t="n"/>
      <c r="T263" s="46" t="inlineStr">
        <is>
          <t>IF(AQ263="","",AQ263)</t>
        </is>
      </c>
      <c r="U263" s="47" t="n"/>
      <c r="V263" s="48" t="n"/>
      <c r="W263" s="47" t="n"/>
      <c r="X263" s="46" t="inlineStr">
        <is>
          <t>IF(W263&lt;&gt;"",W263,IF(OR(T263="",V263=""),"",EDATE(T263,V263)))</t>
        </is>
      </c>
      <c r="Y263" s="47" t="n"/>
      <c r="Z263" s="48" t="n"/>
      <c r="AA263" s="44" t="n"/>
      <c r="AB263" s="44" t="n"/>
      <c r="AC263" s="42" t="inlineStr">
        <is>
          <t>IF(F263="","",IF(COUNT(AI263:AV263)=0,IF(AA263="","Not started",AA263),SUBSTITUTE(LOOKUP(2,1/(AI263:AV263&lt;&gt;""),$AI$3:$AV$3),"Date: ","")))</t>
        </is>
      </c>
      <c r="AD263" s="49" t="inlineStr">
        <is>
          <t>IF(OR(F263="",COUNT(AI263:AV263)=0),"",TODAY()-LOOKUP(2,1/(AI263:AV263&lt;&gt;""),AI263:AV263))</t>
        </is>
      </c>
      <c r="AE263" s="49" t="inlineStr">
        <is>
          <t>IF(OR(F263="",COUNT(AI263:AV263)&lt;2),"",LOOKUP(2,1/(AI263:AV263&lt;&gt;""),AI263:AV263)-MIN(AI263:AV263))</t>
        </is>
      </c>
      <c r="AF263" s="49" t="inlineStr">
        <is>
          <t>IF(OR(AD263="",AC263="Not started",AC263=""),"",IFERROR(AD263-IF(VLOOKUP(AC263,'06_Status_Pipeline'!$B$3:$E$20,4,FALSE)="",0,VLOOKUP(AC263,'06_Status_Pipeline'!$B$3:$E$20,4,FALSE)),""))</t>
        </is>
      </c>
      <c r="AG263" s="42" t="inlineStr">
        <is>
          <t>IF(F263="","",IF(OR(AA263="Cancelled",AC263="Cancelled"),"Cancelled",IF(OR(AC263="Completed / Handover",Y263&lt;&gt;"",Z263&gt;=100),"Completed — on track",IF(O263="Not awarded",IF(U263="",IF(X263="","No planned date",IF(TODAY()&gt;X263,"Behind — past planned date",IF(X263-TODAY()&lt;=30,"At risk — close to off track","On track"))),IF(TODAY()&gt;U263,"Behind — award date passed",IF(U263-TODAY()&lt;=30,"At risk — close to off track","On track"))),IF(X263="","No planned date",IF(AND(TODAY()&gt;X263,OR(Z263="",Z263&lt;100)),"Behind — past end date",IF(AND(T263&lt;&gt;"",X263&lt;&gt;"",Z263&lt;&gt;"",(Z263&lt;100),((TODAY()-T263)/MAX(X263-T263,1)*100)-Z263&gt;15),"Behind — progress lag",IF(AND(X263-TODAY()&lt;=30,X263-TODAY()&gt;=0,OR(Z263="",Z263&lt;90)),"At risk — close to off track","On track"))))))))</t>
        </is>
      </c>
      <c r="AH263" s="49" t="inlineStr">
        <is>
          <t>IF(OR(F263="",AC263="Completed / Handover",AC263="Cancelled"),"",IF(O263="Not awarded",IF(U263&lt;&gt;"",U263-TODAY(),IF(X263="","",X263-TODAY())),IF(X263="","",X263-TODAY())))</t>
        </is>
      </c>
      <c r="AI263" s="47" t="n"/>
      <c r="AJ263" s="47" t="n"/>
      <c r="AK263" s="47" t="n"/>
      <c r="AL263" s="47" t="n"/>
      <c r="AM263" s="47" t="n"/>
      <c r="AN263" s="47" t="n"/>
      <c r="AO263" s="47" t="n"/>
      <c r="AP263" s="47" t="n"/>
      <c r="AQ263" s="47" t="n"/>
      <c r="AR263" s="47" t="n"/>
      <c r="AS263" s="47" t="n"/>
      <c r="AT263" s="50" t="n"/>
      <c r="AU263" s="50" t="n"/>
      <c r="AV263" s="50" t="n"/>
      <c r="AW263" s="49" t="inlineStr">
        <is>
          <t>IF(OR(F263="",AJ263=""),"",IF(COUNT(AI263:AI263)=0,"",AJ263-LOOKUP(2,1/(AI263:AI263&lt;&gt;""),AI263:AI263)))</t>
        </is>
      </c>
      <c r="AX263" s="49" t="inlineStr">
        <is>
          <t>IF(OR(F263="",AK263=""),"",IF(COUNT(AI263:AJ263)=0,"",AK263-LOOKUP(2,1/(AI263:AJ263&lt;&gt;""),AI263:AJ263)))</t>
        </is>
      </c>
      <c r="AY263" s="49" t="inlineStr">
        <is>
          <t>IF(OR(F263="",AL263=""),"",IF(COUNT(AI263:AK263)=0,"",AL263-LOOKUP(2,1/(AI263:AK263&lt;&gt;""),AI263:AK263)))</t>
        </is>
      </c>
      <c r="AZ263" s="49" t="inlineStr">
        <is>
          <t>IF(OR(F263="",AM263=""),"",IF(COUNT(AI263:AL263)=0,"",AM263-LOOKUP(2,1/(AI263:AL263&lt;&gt;""),AI263:AL263)))</t>
        </is>
      </c>
      <c r="BA263" s="49" t="inlineStr">
        <is>
          <t>IF(OR(F263="",AN263=""),"",IF(COUNT(AI263:AM263)=0,"",AN263-LOOKUP(2,1/(AI263:AM263&lt;&gt;""),AI263:AM263)))</t>
        </is>
      </c>
      <c r="BB263" s="49" t="inlineStr">
        <is>
          <t>IF(OR(F263="",AO263=""),"",IF(COUNT(AI263:AN263)=0,"",AO263-LOOKUP(2,1/(AI263:AN263&lt;&gt;""),AI263:AN263)))</t>
        </is>
      </c>
      <c r="BC263" s="49" t="inlineStr">
        <is>
          <t>IF(OR(F263="",AP263=""),"",IF(COUNT(AI263:AO263)=0,"",AP263-LOOKUP(2,1/(AI263:AO263&lt;&gt;""),AI263:AO263)))</t>
        </is>
      </c>
      <c r="BD263" s="49" t="inlineStr">
        <is>
          <t>IF(OR(F263="",AQ263=""),"",IF(COUNT(AI263:AP263)=0,"",AQ263-LOOKUP(2,1/(AI263:AP263&lt;&gt;""),AI263:AP263)))</t>
        </is>
      </c>
      <c r="BE263" s="49" t="inlineStr">
        <is>
          <t>IF(OR(F263="",AR263=""),"",IF(COUNT(AI263:AQ263)=0,"",AR263-LOOKUP(2,1/(AI263:AQ263&lt;&gt;""),AI263:AQ263)))</t>
        </is>
      </c>
      <c r="BF263" s="49" t="inlineStr">
        <is>
          <t>IF(OR(F263="",AS263=""),"",IF(COUNT(AI263:AR263)=0,"",AS263-LOOKUP(2,1/(AI263:AR263&lt;&gt;""),AI263:AR263)))</t>
        </is>
      </c>
      <c r="BG263" s="49" t="inlineStr">
        <is>
          <t>IF(OR(F263="",AT263=""),"",IF(COUNT(AI263:AS263)=0,"",AT263-LOOKUP(2,1/(AI263:AS263&lt;&gt;""),AI263:AS263)))</t>
        </is>
      </c>
      <c r="BH263" s="49" t="inlineStr">
        <is>
          <t>IF(OR(F263="",AU263=""),"",IF(COUNT(AI263:AT263)=0,"",AU263-LOOKUP(2,1/(AI263:AT263&lt;&gt;""),AI263:AT263)))</t>
        </is>
      </c>
      <c r="BI263" s="49" t="inlineStr">
        <is>
          <t>IF(OR(F263="",AV263=""),"",IF(COUNT(AI263:AU263)=0,"",AV263-LOOKUP(2,1/(AI263:AU263&lt;&gt;""),AI263:AU263)))</t>
        </is>
      </c>
      <c r="BJ263" s="51" t="inlineStr">
        <is>
          <t>IF(J263="","All_Provinces",IFERROR(VLOOKUP(J263,'09_Lookups'!$A$4:$B$20,2,FALSE),"All_Provinces"))</t>
        </is>
      </c>
      <c r="BK263" s="51" t="inlineStr">
        <is>
          <t>IF(K263="","All_Districts",IFERROR(VLOOKUP(K263,'09_Lookups'!$E$4:$F$42,2,FALSE),"All_Districts"))</t>
        </is>
      </c>
    </row>
    <row r="264" ht="18" customHeight="1">
      <c r="A264" s="42" t="inlineStr">
        <is>
          <t>IF(F264="","",ROW()-3)</t>
        </is>
      </c>
      <c r="B264" s="52" t="n"/>
      <c r="C264" s="52" t="n"/>
      <c r="D264" s="52" t="n"/>
      <c r="E264" s="52" t="n"/>
      <c r="F264" s="52" t="n"/>
      <c r="G264" s="52" t="n"/>
      <c r="H264" s="52" t="n"/>
      <c r="I264" s="52" t="n"/>
      <c r="J264" s="52" t="n"/>
      <c r="K264" s="52" t="n"/>
      <c r="L264" s="52" t="n"/>
      <c r="M264" s="52" t="n"/>
      <c r="N264" s="52" t="n"/>
      <c r="O264" s="52" t="n"/>
      <c r="P264" s="52" t="n"/>
      <c r="Q264" s="52" t="n"/>
      <c r="R264" s="52" t="n"/>
      <c r="S264" s="53" t="n"/>
      <c r="T264" s="46" t="inlineStr">
        <is>
          <t>IF(AQ264="","",AQ264)</t>
        </is>
      </c>
      <c r="U264" s="54" t="n"/>
      <c r="V264" s="55" t="n"/>
      <c r="W264" s="54" t="n"/>
      <c r="X264" s="46" t="inlineStr">
        <is>
          <t>IF(W264&lt;&gt;"",W264,IF(OR(T264="",V264=""),"",EDATE(T264,V264)))</t>
        </is>
      </c>
      <c r="Y264" s="54" t="n"/>
      <c r="Z264" s="55" t="n"/>
      <c r="AA264" s="52" t="n"/>
      <c r="AB264" s="52" t="n"/>
      <c r="AC264" s="42" t="inlineStr">
        <is>
          <t>IF(F264="","",IF(COUNT(AI264:AV264)=0,IF(AA264="","Not started",AA264),SUBSTITUTE(LOOKUP(2,1/(AI264:AV264&lt;&gt;""),$AI$3:$AV$3),"Date: ","")))</t>
        </is>
      </c>
      <c r="AD264" s="49" t="inlineStr">
        <is>
          <t>IF(OR(F264="",COUNT(AI264:AV264)=0),"",TODAY()-LOOKUP(2,1/(AI264:AV264&lt;&gt;""),AI264:AV264))</t>
        </is>
      </c>
      <c r="AE264" s="49" t="inlineStr">
        <is>
          <t>IF(OR(F264="",COUNT(AI264:AV264)&lt;2),"",LOOKUP(2,1/(AI264:AV264&lt;&gt;""),AI264:AV264)-MIN(AI264:AV264))</t>
        </is>
      </c>
      <c r="AF264" s="49" t="inlineStr">
        <is>
          <t>IF(OR(AD264="",AC264="Not started",AC264=""),"",IFERROR(AD264-IF(VLOOKUP(AC264,'06_Status_Pipeline'!$B$3:$E$20,4,FALSE)="",0,VLOOKUP(AC264,'06_Status_Pipeline'!$B$3:$E$20,4,FALSE)),""))</t>
        </is>
      </c>
      <c r="AG264" s="42" t="inlineStr">
        <is>
          <t>IF(F264="","",IF(OR(AA264="Cancelled",AC264="Cancelled"),"Cancelled",IF(OR(AC264="Completed / Handover",Y264&lt;&gt;"",Z264&gt;=100),"Completed — on track",IF(O264="Not awarded",IF(U264="",IF(X264="","No planned date",IF(TODAY()&gt;X264,"Behind — past planned date",IF(X264-TODAY()&lt;=30,"At risk — close to off track","On track"))),IF(TODAY()&gt;U264,"Behind — award date passed",IF(U264-TODAY()&lt;=30,"At risk — close to off track","On track"))),IF(X264="","No planned date",IF(AND(TODAY()&gt;X264,OR(Z264="",Z264&lt;100)),"Behind — past end date",IF(AND(T264&lt;&gt;"",X264&lt;&gt;"",Z264&lt;&gt;"",(Z264&lt;100),((TODAY()-T264)/MAX(X264-T264,1)*100)-Z264&gt;15),"Behind — progress lag",IF(AND(X264-TODAY()&lt;=30,X264-TODAY()&gt;=0,OR(Z264="",Z264&lt;90)),"At risk — close to off track","On track"))))))))</t>
        </is>
      </c>
      <c r="AH264" s="49" t="inlineStr">
        <is>
          <t>IF(OR(F264="",AC264="Completed / Handover",AC264="Cancelled"),"",IF(O264="Not awarded",IF(U264&lt;&gt;"",U264-TODAY(),IF(X264="","",X264-TODAY())),IF(X264="","",X264-TODAY())))</t>
        </is>
      </c>
      <c r="AI264" s="54" t="n"/>
      <c r="AJ264" s="54" t="n"/>
      <c r="AK264" s="54" t="n"/>
      <c r="AL264" s="54" t="n"/>
      <c r="AM264" s="54" t="n"/>
      <c r="AN264" s="54" t="n"/>
      <c r="AO264" s="54" t="n"/>
      <c r="AP264" s="54" t="n"/>
      <c r="AQ264" s="54" t="n"/>
      <c r="AR264" s="54" t="n"/>
      <c r="AS264" s="54" t="n"/>
      <c r="AT264" s="50" t="n"/>
      <c r="AU264" s="50" t="n"/>
      <c r="AV264" s="50" t="n"/>
      <c r="AW264" s="49" t="inlineStr">
        <is>
          <t>IF(OR(F264="",AJ264=""),"",IF(COUNT(AI264:AI264)=0,"",AJ264-LOOKUP(2,1/(AI264:AI264&lt;&gt;""),AI264:AI264)))</t>
        </is>
      </c>
      <c r="AX264" s="49" t="inlineStr">
        <is>
          <t>IF(OR(F264="",AK264=""),"",IF(COUNT(AI264:AJ264)=0,"",AK264-LOOKUP(2,1/(AI264:AJ264&lt;&gt;""),AI264:AJ264)))</t>
        </is>
      </c>
      <c r="AY264" s="49" t="inlineStr">
        <is>
          <t>IF(OR(F264="",AL264=""),"",IF(COUNT(AI264:AK264)=0,"",AL264-LOOKUP(2,1/(AI264:AK264&lt;&gt;""),AI264:AK264)))</t>
        </is>
      </c>
      <c r="AZ264" s="49" t="inlineStr">
        <is>
          <t>IF(OR(F264="",AM264=""),"",IF(COUNT(AI264:AL264)=0,"",AM264-LOOKUP(2,1/(AI264:AL264&lt;&gt;""),AI264:AL264)))</t>
        </is>
      </c>
      <c r="BA264" s="49" t="inlineStr">
        <is>
          <t>IF(OR(F264="",AN264=""),"",IF(COUNT(AI264:AM264)=0,"",AN264-LOOKUP(2,1/(AI264:AM264&lt;&gt;""),AI264:AM264)))</t>
        </is>
      </c>
      <c r="BB264" s="49" t="inlineStr">
        <is>
          <t>IF(OR(F264="",AO264=""),"",IF(COUNT(AI264:AN264)=0,"",AO264-LOOKUP(2,1/(AI264:AN264&lt;&gt;""),AI264:AN264)))</t>
        </is>
      </c>
      <c r="BC264" s="49" t="inlineStr">
        <is>
          <t>IF(OR(F264="",AP264=""),"",IF(COUNT(AI264:AO264)=0,"",AP264-LOOKUP(2,1/(AI264:AO264&lt;&gt;""),AI264:AO264)))</t>
        </is>
      </c>
      <c r="BD264" s="49" t="inlineStr">
        <is>
          <t>IF(OR(F264="",AQ264=""),"",IF(COUNT(AI264:AP264)=0,"",AQ264-LOOKUP(2,1/(AI264:AP264&lt;&gt;""),AI264:AP264)))</t>
        </is>
      </c>
      <c r="BE264" s="49" t="inlineStr">
        <is>
          <t>IF(OR(F264="",AR264=""),"",IF(COUNT(AI264:AQ264)=0,"",AR264-LOOKUP(2,1/(AI264:AQ264&lt;&gt;""),AI264:AQ264)))</t>
        </is>
      </c>
      <c r="BF264" s="49" t="inlineStr">
        <is>
          <t>IF(OR(F264="",AS264=""),"",IF(COUNT(AI264:AR264)=0,"",AS264-LOOKUP(2,1/(AI264:AR264&lt;&gt;""),AI264:AR264)))</t>
        </is>
      </c>
      <c r="BG264" s="49" t="inlineStr">
        <is>
          <t>IF(OR(F264="",AT264=""),"",IF(COUNT(AI264:AS264)=0,"",AT264-LOOKUP(2,1/(AI264:AS264&lt;&gt;""),AI264:AS264)))</t>
        </is>
      </c>
      <c r="BH264" s="49" t="inlineStr">
        <is>
          <t>IF(OR(F264="",AU264=""),"",IF(COUNT(AI264:AT264)=0,"",AU264-LOOKUP(2,1/(AI264:AT264&lt;&gt;""),AI264:AT264)))</t>
        </is>
      </c>
      <c r="BI264" s="49" t="inlineStr">
        <is>
          <t>IF(OR(F264="",AV264=""),"",IF(COUNT(AI264:AU264)=0,"",AV264-LOOKUP(2,1/(AI264:AU264&lt;&gt;""),AI264:AU264)))</t>
        </is>
      </c>
      <c r="BJ264" s="51" t="inlineStr">
        <is>
          <t>IF(J264="","All_Provinces",IFERROR(VLOOKUP(J264,'09_Lookups'!$A$4:$B$20,2,FALSE),"All_Provinces"))</t>
        </is>
      </c>
      <c r="BK264" s="51" t="inlineStr">
        <is>
          <t>IF(K264="","All_Districts",IFERROR(VLOOKUP(K264,'09_Lookups'!$E$4:$F$42,2,FALSE),"All_Districts"))</t>
        </is>
      </c>
    </row>
    <row r="265" ht="18" customHeight="1">
      <c r="A265" s="42" t="inlineStr">
        <is>
          <t>IF(F265="","",ROW()-3)</t>
        </is>
      </c>
      <c r="B265" s="44" t="n"/>
      <c r="C265" s="44" t="n"/>
      <c r="D265" s="44" t="n"/>
      <c r="E265" s="44" t="n"/>
      <c r="F265" s="44" t="n"/>
      <c r="G265" s="44" t="n"/>
      <c r="H265" s="44" t="n"/>
      <c r="I265" s="44" t="n"/>
      <c r="J265" s="44" t="n"/>
      <c r="K265" s="44" t="n"/>
      <c r="L265" s="44" t="n"/>
      <c r="M265" s="44" t="n"/>
      <c r="N265" s="44" t="n"/>
      <c r="O265" s="44" t="n"/>
      <c r="P265" s="44" t="n"/>
      <c r="Q265" s="44" t="n"/>
      <c r="R265" s="44" t="n"/>
      <c r="S265" s="45" t="n"/>
      <c r="T265" s="46" t="inlineStr">
        <is>
          <t>IF(AQ265="","",AQ265)</t>
        </is>
      </c>
      <c r="U265" s="47" t="n"/>
      <c r="V265" s="48" t="n"/>
      <c r="W265" s="47" t="n"/>
      <c r="X265" s="46" t="inlineStr">
        <is>
          <t>IF(W265&lt;&gt;"",W265,IF(OR(T265="",V265=""),"",EDATE(T265,V265)))</t>
        </is>
      </c>
      <c r="Y265" s="47" t="n"/>
      <c r="Z265" s="48" t="n"/>
      <c r="AA265" s="44" t="n"/>
      <c r="AB265" s="44" t="n"/>
      <c r="AC265" s="42" t="inlineStr">
        <is>
          <t>IF(F265="","",IF(COUNT(AI265:AV265)=0,IF(AA265="","Not started",AA265),SUBSTITUTE(LOOKUP(2,1/(AI265:AV265&lt;&gt;""),$AI$3:$AV$3),"Date: ","")))</t>
        </is>
      </c>
      <c r="AD265" s="49" t="inlineStr">
        <is>
          <t>IF(OR(F265="",COUNT(AI265:AV265)=0),"",TODAY()-LOOKUP(2,1/(AI265:AV265&lt;&gt;""),AI265:AV265))</t>
        </is>
      </c>
      <c r="AE265" s="49" t="inlineStr">
        <is>
          <t>IF(OR(F265="",COUNT(AI265:AV265)&lt;2),"",LOOKUP(2,1/(AI265:AV265&lt;&gt;""),AI265:AV265)-MIN(AI265:AV265))</t>
        </is>
      </c>
      <c r="AF265" s="49" t="inlineStr">
        <is>
          <t>IF(OR(AD265="",AC265="Not started",AC265=""),"",IFERROR(AD265-IF(VLOOKUP(AC265,'06_Status_Pipeline'!$B$3:$E$20,4,FALSE)="",0,VLOOKUP(AC265,'06_Status_Pipeline'!$B$3:$E$20,4,FALSE)),""))</t>
        </is>
      </c>
      <c r="AG265" s="42" t="inlineStr">
        <is>
          <t>IF(F265="","",IF(OR(AA265="Cancelled",AC265="Cancelled"),"Cancelled",IF(OR(AC265="Completed / Handover",Y265&lt;&gt;"",Z265&gt;=100),"Completed — on track",IF(O265="Not awarded",IF(U265="",IF(X265="","No planned date",IF(TODAY()&gt;X265,"Behind — past planned date",IF(X265-TODAY()&lt;=30,"At risk — close to off track","On track"))),IF(TODAY()&gt;U265,"Behind — award date passed",IF(U265-TODAY()&lt;=30,"At risk — close to off track","On track"))),IF(X265="","No planned date",IF(AND(TODAY()&gt;X265,OR(Z265="",Z265&lt;100)),"Behind — past end date",IF(AND(T265&lt;&gt;"",X265&lt;&gt;"",Z265&lt;&gt;"",(Z265&lt;100),((TODAY()-T265)/MAX(X265-T265,1)*100)-Z265&gt;15),"Behind — progress lag",IF(AND(X265-TODAY()&lt;=30,X265-TODAY()&gt;=0,OR(Z265="",Z265&lt;90)),"At risk — close to off track","On track"))))))))</t>
        </is>
      </c>
      <c r="AH265" s="49" t="inlineStr">
        <is>
          <t>IF(OR(F265="",AC265="Completed / Handover",AC265="Cancelled"),"",IF(O265="Not awarded",IF(U265&lt;&gt;"",U265-TODAY(),IF(X265="","",X265-TODAY())),IF(X265="","",X265-TODAY())))</t>
        </is>
      </c>
      <c r="AI265" s="47" t="n"/>
      <c r="AJ265" s="47" t="n"/>
      <c r="AK265" s="47" t="n"/>
      <c r="AL265" s="47" t="n"/>
      <c r="AM265" s="47" t="n"/>
      <c r="AN265" s="47" t="n"/>
      <c r="AO265" s="47" t="n"/>
      <c r="AP265" s="47" t="n"/>
      <c r="AQ265" s="47" t="n"/>
      <c r="AR265" s="47" t="n"/>
      <c r="AS265" s="47" t="n"/>
      <c r="AT265" s="50" t="n"/>
      <c r="AU265" s="50" t="n"/>
      <c r="AV265" s="50" t="n"/>
      <c r="AW265" s="49" t="inlineStr">
        <is>
          <t>IF(OR(F265="",AJ265=""),"",IF(COUNT(AI265:AI265)=0,"",AJ265-LOOKUP(2,1/(AI265:AI265&lt;&gt;""),AI265:AI265)))</t>
        </is>
      </c>
      <c r="AX265" s="49" t="inlineStr">
        <is>
          <t>IF(OR(F265="",AK265=""),"",IF(COUNT(AI265:AJ265)=0,"",AK265-LOOKUP(2,1/(AI265:AJ265&lt;&gt;""),AI265:AJ265)))</t>
        </is>
      </c>
      <c r="AY265" s="49" t="inlineStr">
        <is>
          <t>IF(OR(F265="",AL265=""),"",IF(COUNT(AI265:AK265)=0,"",AL265-LOOKUP(2,1/(AI265:AK265&lt;&gt;""),AI265:AK265)))</t>
        </is>
      </c>
      <c r="AZ265" s="49" t="inlineStr">
        <is>
          <t>IF(OR(F265="",AM265=""),"",IF(COUNT(AI265:AL265)=0,"",AM265-LOOKUP(2,1/(AI265:AL265&lt;&gt;""),AI265:AL265)))</t>
        </is>
      </c>
      <c r="BA265" s="49" t="inlineStr">
        <is>
          <t>IF(OR(F265="",AN265=""),"",IF(COUNT(AI265:AM265)=0,"",AN265-LOOKUP(2,1/(AI265:AM265&lt;&gt;""),AI265:AM265)))</t>
        </is>
      </c>
      <c r="BB265" s="49" t="inlineStr">
        <is>
          <t>IF(OR(F265="",AO265=""),"",IF(COUNT(AI265:AN265)=0,"",AO265-LOOKUP(2,1/(AI265:AN265&lt;&gt;""),AI265:AN265)))</t>
        </is>
      </c>
      <c r="BC265" s="49" t="inlineStr">
        <is>
          <t>IF(OR(F265="",AP265=""),"",IF(COUNT(AI265:AO265)=0,"",AP265-LOOKUP(2,1/(AI265:AO265&lt;&gt;""),AI265:AO265)))</t>
        </is>
      </c>
      <c r="BD265" s="49" t="inlineStr">
        <is>
          <t>IF(OR(F265="",AQ265=""),"",IF(COUNT(AI265:AP265)=0,"",AQ265-LOOKUP(2,1/(AI265:AP265&lt;&gt;""),AI265:AP265)))</t>
        </is>
      </c>
      <c r="BE265" s="49" t="inlineStr">
        <is>
          <t>IF(OR(F265="",AR265=""),"",IF(COUNT(AI265:AQ265)=0,"",AR265-LOOKUP(2,1/(AI265:AQ265&lt;&gt;""),AI265:AQ265)))</t>
        </is>
      </c>
      <c r="BF265" s="49" t="inlineStr">
        <is>
          <t>IF(OR(F265="",AS265=""),"",IF(COUNT(AI265:AR265)=0,"",AS265-LOOKUP(2,1/(AI265:AR265&lt;&gt;""),AI265:AR265)))</t>
        </is>
      </c>
      <c r="BG265" s="49" t="inlineStr">
        <is>
          <t>IF(OR(F265="",AT265=""),"",IF(COUNT(AI265:AS265)=0,"",AT265-LOOKUP(2,1/(AI265:AS265&lt;&gt;""),AI265:AS265)))</t>
        </is>
      </c>
      <c r="BH265" s="49" t="inlineStr">
        <is>
          <t>IF(OR(F265="",AU265=""),"",IF(COUNT(AI265:AT265)=0,"",AU265-LOOKUP(2,1/(AI265:AT265&lt;&gt;""),AI265:AT265)))</t>
        </is>
      </c>
      <c r="BI265" s="49" t="inlineStr">
        <is>
          <t>IF(OR(F265="",AV265=""),"",IF(COUNT(AI265:AU265)=0,"",AV265-LOOKUP(2,1/(AI265:AU265&lt;&gt;""),AI265:AU265)))</t>
        </is>
      </c>
      <c r="BJ265" s="51" t="inlineStr">
        <is>
          <t>IF(J265="","All_Provinces",IFERROR(VLOOKUP(J265,'09_Lookups'!$A$4:$B$20,2,FALSE),"All_Provinces"))</t>
        </is>
      </c>
      <c r="BK265" s="51" t="inlineStr">
        <is>
          <t>IF(K265="","All_Districts",IFERROR(VLOOKUP(K265,'09_Lookups'!$E$4:$F$42,2,FALSE),"All_Districts"))</t>
        </is>
      </c>
    </row>
    <row r="266" ht="18" customHeight="1">
      <c r="A266" s="42" t="inlineStr">
        <is>
          <t>IF(F266="","",ROW()-3)</t>
        </is>
      </c>
      <c r="B266" s="52" t="n"/>
      <c r="C266" s="52" t="n"/>
      <c r="D266" s="52" t="n"/>
      <c r="E266" s="52" t="n"/>
      <c r="F266" s="52" t="n"/>
      <c r="G266" s="52" t="n"/>
      <c r="H266" s="52" t="n"/>
      <c r="I266" s="52" t="n"/>
      <c r="J266" s="52" t="n"/>
      <c r="K266" s="52" t="n"/>
      <c r="L266" s="52" t="n"/>
      <c r="M266" s="52" t="n"/>
      <c r="N266" s="52" t="n"/>
      <c r="O266" s="52" t="n"/>
      <c r="P266" s="52" t="n"/>
      <c r="Q266" s="52" t="n"/>
      <c r="R266" s="52" t="n"/>
      <c r="S266" s="53" t="n"/>
      <c r="T266" s="46" t="inlineStr">
        <is>
          <t>IF(AQ266="","",AQ266)</t>
        </is>
      </c>
      <c r="U266" s="54" t="n"/>
      <c r="V266" s="55" t="n"/>
      <c r="W266" s="54" t="n"/>
      <c r="X266" s="46" t="inlineStr">
        <is>
          <t>IF(W266&lt;&gt;"",W266,IF(OR(T266="",V266=""),"",EDATE(T266,V266)))</t>
        </is>
      </c>
      <c r="Y266" s="54" t="n"/>
      <c r="Z266" s="55" t="n"/>
      <c r="AA266" s="52" t="n"/>
      <c r="AB266" s="52" t="n"/>
      <c r="AC266" s="42" t="inlineStr">
        <is>
          <t>IF(F266="","",IF(COUNT(AI266:AV266)=0,IF(AA266="","Not started",AA266),SUBSTITUTE(LOOKUP(2,1/(AI266:AV266&lt;&gt;""),$AI$3:$AV$3),"Date: ","")))</t>
        </is>
      </c>
      <c r="AD266" s="49" t="inlineStr">
        <is>
          <t>IF(OR(F266="",COUNT(AI266:AV266)=0),"",TODAY()-LOOKUP(2,1/(AI266:AV266&lt;&gt;""),AI266:AV266))</t>
        </is>
      </c>
      <c r="AE266" s="49" t="inlineStr">
        <is>
          <t>IF(OR(F266="",COUNT(AI266:AV266)&lt;2),"",LOOKUP(2,1/(AI266:AV266&lt;&gt;""),AI266:AV266)-MIN(AI266:AV266))</t>
        </is>
      </c>
      <c r="AF266" s="49" t="inlineStr">
        <is>
          <t>IF(OR(AD266="",AC266="Not started",AC266=""),"",IFERROR(AD266-IF(VLOOKUP(AC266,'06_Status_Pipeline'!$B$3:$E$20,4,FALSE)="",0,VLOOKUP(AC266,'06_Status_Pipeline'!$B$3:$E$20,4,FALSE)),""))</t>
        </is>
      </c>
      <c r="AG266" s="42" t="inlineStr">
        <is>
          <t>IF(F266="","",IF(OR(AA266="Cancelled",AC266="Cancelled"),"Cancelled",IF(OR(AC266="Completed / Handover",Y266&lt;&gt;"",Z266&gt;=100),"Completed — on track",IF(O266="Not awarded",IF(U266="",IF(X266="","No planned date",IF(TODAY()&gt;X266,"Behind — past planned date",IF(X266-TODAY()&lt;=30,"At risk — close to off track","On track"))),IF(TODAY()&gt;U266,"Behind — award date passed",IF(U266-TODAY()&lt;=30,"At risk — close to off track","On track"))),IF(X266="","No planned date",IF(AND(TODAY()&gt;X266,OR(Z266="",Z266&lt;100)),"Behind — past end date",IF(AND(T266&lt;&gt;"",X266&lt;&gt;"",Z266&lt;&gt;"",(Z266&lt;100),((TODAY()-T266)/MAX(X266-T266,1)*100)-Z266&gt;15),"Behind — progress lag",IF(AND(X266-TODAY()&lt;=30,X266-TODAY()&gt;=0,OR(Z266="",Z266&lt;90)),"At risk — close to off track","On track"))))))))</t>
        </is>
      </c>
      <c r="AH266" s="49" t="inlineStr">
        <is>
          <t>IF(OR(F266="",AC266="Completed / Handover",AC266="Cancelled"),"",IF(O266="Not awarded",IF(U266&lt;&gt;"",U266-TODAY(),IF(X266="","",X266-TODAY())),IF(X266="","",X266-TODAY())))</t>
        </is>
      </c>
      <c r="AI266" s="54" t="n"/>
      <c r="AJ266" s="54" t="n"/>
      <c r="AK266" s="54" t="n"/>
      <c r="AL266" s="54" t="n"/>
      <c r="AM266" s="54" t="n"/>
      <c r="AN266" s="54" t="n"/>
      <c r="AO266" s="54" t="n"/>
      <c r="AP266" s="54" t="n"/>
      <c r="AQ266" s="54" t="n"/>
      <c r="AR266" s="54" t="n"/>
      <c r="AS266" s="54" t="n"/>
      <c r="AT266" s="50" t="n"/>
      <c r="AU266" s="50" t="n"/>
      <c r="AV266" s="50" t="n"/>
      <c r="AW266" s="49" t="inlineStr">
        <is>
          <t>IF(OR(F266="",AJ266=""),"",IF(COUNT(AI266:AI266)=0,"",AJ266-LOOKUP(2,1/(AI266:AI266&lt;&gt;""),AI266:AI266)))</t>
        </is>
      </c>
      <c r="AX266" s="49" t="inlineStr">
        <is>
          <t>IF(OR(F266="",AK266=""),"",IF(COUNT(AI266:AJ266)=0,"",AK266-LOOKUP(2,1/(AI266:AJ266&lt;&gt;""),AI266:AJ266)))</t>
        </is>
      </c>
      <c r="AY266" s="49" t="inlineStr">
        <is>
          <t>IF(OR(F266="",AL266=""),"",IF(COUNT(AI266:AK266)=0,"",AL266-LOOKUP(2,1/(AI266:AK266&lt;&gt;""),AI266:AK266)))</t>
        </is>
      </c>
      <c r="AZ266" s="49" t="inlineStr">
        <is>
          <t>IF(OR(F266="",AM266=""),"",IF(COUNT(AI266:AL266)=0,"",AM266-LOOKUP(2,1/(AI266:AL266&lt;&gt;""),AI266:AL266)))</t>
        </is>
      </c>
      <c r="BA266" s="49" t="inlineStr">
        <is>
          <t>IF(OR(F266="",AN266=""),"",IF(COUNT(AI266:AM266)=0,"",AN266-LOOKUP(2,1/(AI266:AM266&lt;&gt;""),AI266:AM266)))</t>
        </is>
      </c>
      <c r="BB266" s="49" t="inlineStr">
        <is>
          <t>IF(OR(F266="",AO266=""),"",IF(COUNT(AI266:AN266)=0,"",AO266-LOOKUP(2,1/(AI266:AN266&lt;&gt;""),AI266:AN266)))</t>
        </is>
      </c>
      <c r="BC266" s="49" t="inlineStr">
        <is>
          <t>IF(OR(F266="",AP266=""),"",IF(COUNT(AI266:AO266)=0,"",AP266-LOOKUP(2,1/(AI266:AO266&lt;&gt;""),AI266:AO266)))</t>
        </is>
      </c>
      <c r="BD266" s="49" t="inlineStr">
        <is>
          <t>IF(OR(F266="",AQ266=""),"",IF(COUNT(AI266:AP266)=0,"",AQ266-LOOKUP(2,1/(AI266:AP266&lt;&gt;""),AI266:AP266)))</t>
        </is>
      </c>
      <c r="BE266" s="49" t="inlineStr">
        <is>
          <t>IF(OR(F266="",AR266=""),"",IF(COUNT(AI266:AQ266)=0,"",AR266-LOOKUP(2,1/(AI266:AQ266&lt;&gt;""),AI266:AQ266)))</t>
        </is>
      </c>
      <c r="BF266" s="49" t="inlineStr">
        <is>
          <t>IF(OR(F266="",AS266=""),"",IF(COUNT(AI266:AR266)=0,"",AS266-LOOKUP(2,1/(AI266:AR266&lt;&gt;""),AI266:AR266)))</t>
        </is>
      </c>
      <c r="BG266" s="49" t="inlineStr">
        <is>
          <t>IF(OR(F266="",AT266=""),"",IF(COUNT(AI266:AS266)=0,"",AT266-LOOKUP(2,1/(AI266:AS266&lt;&gt;""),AI266:AS266)))</t>
        </is>
      </c>
      <c r="BH266" s="49" t="inlineStr">
        <is>
          <t>IF(OR(F266="",AU266=""),"",IF(COUNT(AI266:AT266)=0,"",AU266-LOOKUP(2,1/(AI266:AT266&lt;&gt;""),AI266:AT266)))</t>
        </is>
      </c>
      <c r="BI266" s="49" t="inlineStr">
        <is>
          <t>IF(OR(F266="",AV266=""),"",IF(COUNT(AI266:AU266)=0,"",AV266-LOOKUP(2,1/(AI266:AU266&lt;&gt;""),AI266:AU266)))</t>
        </is>
      </c>
      <c r="BJ266" s="51" t="inlineStr">
        <is>
          <t>IF(J266="","All_Provinces",IFERROR(VLOOKUP(J266,'09_Lookups'!$A$4:$B$20,2,FALSE),"All_Provinces"))</t>
        </is>
      </c>
      <c r="BK266" s="51" t="inlineStr">
        <is>
          <t>IF(K266="","All_Districts",IFERROR(VLOOKUP(K266,'09_Lookups'!$E$4:$F$42,2,FALSE),"All_Districts"))</t>
        </is>
      </c>
    </row>
    <row r="267" ht="18" customHeight="1">
      <c r="A267" s="42" t="inlineStr">
        <is>
          <t>IF(F267="","",ROW()-3)</t>
        </is>
      </c>
      <c r="B267" s="44" t="n"/>
      <c r="C267" s="44" t="n"/>
      <c r="D267" s="44" t="n"/>
      <c r="E267" s="44" t="n"/>
      <c r="F267" s="44" t="n"/>
      <c r="G267" s="44" t="n"/>
      <c r="H267" s="44" t="n"/>
      <c r="I267" s="44" t="n"/>
      <c r="J267" s="44" t="n"/>
      <c r="K267" s="44" t="n"/>
      <c r="L267" s="44" t="n"/>
      <c r="M267" s="44" t="n"/>
      <c r="N267" s="44" t="n"/>
      <c r="O267" s="44" t="n"/>
      <c r="P267" s="44" t="n"/>
      <c r="Q267" s="44" t="n"/>
      <c r="R267" s="44" t="n"/>
      <c r="S267" s="45" t="n"/>
      <c r="T267" s="46" t="inlineStr">
        <is>
          <t>IF(AQ267="","",AQ267)</t>
        </is>
      </c>
      <c r="U267" s="47" t="n"/>
      <c r="V267" s="48" t="n"/>
      <c r="W267" s="47" t="n"/>
      <c r="X267" s="46" t="inlineStr">
        <is>
          <t>IF(W267&lt;&gt;"",W267,IF(OR(T267="",V267=""),"",EDATE(T267,V267)))</t>
        </is>
      </c>
      <c r="Y267" s="47" t="n"/>
      <c r="Z267" s="48" t="n"/>
      <c r="AA267" s="44" t="n"/>
      <c r="AB267" s="44" t="n"/>
      <c r="AC267" s="42" t="inlineStr">
        <is>
          <t>IF(F267="","",IF(COUNT(AI267:AV267)=0,IF(AA267="","Not started",AA267),SUBSTITUTE(LOOKUP(2,1/(AI267:AV267&lt;&gt;""),$AI$3:$AV$3),"Date: ","")))</t>
        </is>
      </c>
      <c r="AD267" s="49" t="inlineStr">
        <is>
          <t>IF(OR(F267="",COUNT(AI267:AV267)=0),"",TODAY()-LOOKUP(2,1/(AI267:AV267&lt;&gt;""),AI267:AV267))</t>
        </is>
      </c>
      <c r="AE267" s="49" t="inlineStr">
        <is>
          <t>IF(OR(F267="",COUNT(AI267:AV267)&lt;2),"",LOOKUP(2,1/(AI267:AV267&lt;&gt;""),AI267:AV267)-MIN(AI267:AV267))</t>
        </is>
      </c>
      <c r="AF267" s="49" t="inlineStr">
        <is>
          <t>IF(OR(AD267="",AC267="Not started",AC267=""),"",IFERROR(AD267-IF(VLOOKUP(AC267,'06_Status_Pipeline'!$B$3:$E$20,4,FALSE)="",0,VLOOKUP(AC267,'06_Status_Pipeline'!$B$3:$E$20,4,FALSE)),""))</t>
        </is>
      </c>
      <c r="AG267" s="42" t="inlineStr">
        <is>
          <t>IF(F267="","",IF(OR(AA267="Cancelled",AC267="Cancelled"),"Cancelled",IF(OR(AC267="Completed / Handover",Y267&lt;&gt;"",Z267&gt;=100),"Completed — on track",IF(O267="Not awarded",IF(U267="",IF(X267="","No planned date",IF(TODAY()&gt;X267,"Behind — past planned date",IF(X267-TODAY()&lt;=30,"At risk — close to off track","On track"))),IF(TODAY()&gt;U267,"Behind — award date passed",IF(U267-TODAY()&lt;=30,"At risk — close to off track","On track"))),IF(X267="","No planned date",IF(AND(TODAY()&gt;X267,OR(Z267="",Z267&lt;100)),"Behind — past end date",IF(AND(T267&lt;&gt;"",X267&lt;&gt;"",Z267&lt;&gt;"",(Z267&lt;100),((TODAY()-T267)/MAX(X267-T267,1)*100)-Z267&gt;15),"Behind — progress lag",IF(AND(X267-TODAY()&lt;=30,X267-TODAY()&gt;=0,OR(Z267="",Z267&lt;90)),"At risk — close to off track","On track"))))))))</t>
        </is>
      </c>
      <c r="AH267" s="49" t="inlineStr">
        <is>
          <t>IF(OR(F267="",AC267="Completed / Handover",AC267="Cancelled"),"",IF(O267="Not awarded",IF(U267&lt;&gt;"",U267-TODAY(),IF(X267="","",X267-TODAY())),IF(X267="","",X267-TODAY())))</t>
        </is>
      </c>
      <c r="AI267" s="47" t="n"/>
      <c r="AJ267" s="47" t="n"/>
      <c r="AK267" s="47" t="n"/>
      <c r="AL267" s="47" t="n"/>
      <c r="AM267" s="47" t="n"/>
      <c r="AN267" s="47" t="n"/>
      <c r="AO267" s="47" t="n"/>
      <c r="AP267" s="47" t="n"/>
      <c r="AQ267" s="47" t="n"/>
      <c r="AR267" s="47" t="n"/>
      <c r="AS267" s="47" t="n"/>
      <c r="AT267" s="50" t="n"/>
      <c r="AU267" s="50" t="n"/>
      <c r="AV267" s="50" t="n"/>
      <c r="AW267" s="49" t="inlineStr">
        <is>
          <t>IF(OR(F267="",AJ267=""),"",IF(COUNT(AI267:AI267)=0,"",AJ267-LOOKUP(2,1/(AI267:AI267&lt;&gt;""),AI267:AI267)))</t>
        </is>
      </c>
      <c r="AX267" s="49" t="inlineStr">
        <is>
          <t>IF(OR(F267="",AK267=""),"",IF(COUNT(AI267:AJ267)=0,"",AK267-LOOKUP(2,1/(AI267:AJ267&lt;&gt;""),AI267:AJ267)))</t>
        </is>
      </c>
      <c r="AY267" s="49" t="inlineStr">
        <is>
          <t>IF(OR(F267="",AL267=""),"",IF(COUNT(AI267:AK267)=0,"",AL267-LOOKUP(2,1/(AI267:AK267&lt;&gt;""),AI267:AK267)))</t>
        </is>
      </c>
      <c r="AZ267" s="49" t="inlineStr">
        <is>
          <t>IF(OR(F267="",AM267=""),"",IF(COUNT(AI267:AL267)=0,"",AM267-LOOKUP(2,1/(AI267:AL267&lt;&gt;""),AI267:AL267)))</t>
        </is>
      </c>
      <c r="BA267" s="49" t="inlineStr">
        <is>
          <t>IF(OR(F267="",AN267=""),"",IF(COUNT(AI267:AM267)=0,"",AN267-LOOKUP(2,1/(AI267:AM267&lt;&gt;""),AI267:AM267)))</t>
        </is>
      </c>
      <c r="BB267" s="49" t="inlineStr">
        <is>
          <t>IF(OR(F267="",AO267=""),"",IF(COUNT(AI267:AN267)=0,"",AO267-LOOKUP(2,1/(AI267:AN267&lt;&gt;""),AI267:AN267)))</t>
        </is>
      </c>
      <c r="BC267" s="49" t="inlineStr">
        <is>
          <t>IF(OR(F267="",AP267=""),"",IF(COUNT(AI267:AO267)=0,"",AP267-LOOKUP(2,1/(AI267:AO267&lt;&gt;""),AI267:AO267)))</t>
        </is>
      </c>
      <c r="BD267" s="49" t="inlineStr">
        <is>
          <t>IF(OR(F267="",AQ267=""),"",IF(COUNT(AI267:AP267)=0,"",AQ267-LOOKUP(2,1/(AI267:AP267&lt;&gt;""),AI267:AP267)))</t>
        </is>
      </c>
      <c r="BE267" s="49" t="inlineStr">
        <is>
          <t>IF(OR(F267="",AR267=""),"",IF(COUNT(AI267:AQ267)=0,"",AR267-LOOKUP(2,1/(AI267:AQ267&lt;&gt;""),AI267:AQ267)))</t>
        </is>
      </c>
      <c r="BF267" s="49" t="inlineStr">
        <is>
          <t>IF(OR(F267="",AS267=""),"",IF(COUNT(AI267:AR267)=0,"",AS267-LOOKUP(2,1/(AI267:AR267&lt;&gt;""),AI267:AR267)))</t>
        </is>
      </c>
      <c r="BG267" s="49" t="inlineStr">
        <is>
          <t>IF(OR(F267="",AT267=""),"",IF(COUNT(AI267:AS267)=0,"",AT267-LOOKUP(2,1/(AI267:AS267&lt;&gt;""),AI267:AS267)))</t>
        </is>
      </c>
      <c r="BH267" s="49" t="inlineStr">
        <is>
          <t>IF(OR(F267="",AU267=""),"",IF(COUNT(AI267:AT267)=0,"",AU267-LOOKUP(2,1/(AI267:AT267&lt;&gt;""),AI267:AT267)))</t>
        </is>
      </c>
      <c r="BI267" s="49" t="inlineStr">
        <is>
          <t>IF(OR(F267="",AV267=""),"",IF(COUNT(AI267:AU267)=0,"",AV267-LOOKUP(2,1/(AI267:AU267&lt;&gt;""),AI267:AU267)))</t>
        </is>
      </c>
      <c r="BJ267" s="51" t="inlineStr">
        <is>
          <t>IF(J267="","All_Provinces",IFERROR(VLOOKUP(J267,'09_Lookups'!$A$4:$B$20,2,FALSE),"All_Provinces"))</t>
        </is>
      </c>
      <c r="BK267" s="51" t="inlineStr">
        <is>
          <t>IF(K267="","All_Districts",IFERROR(VLOOKUP(K267,'09_Lookups'!$E$4:$F$42,2,FALSE),"All_Districts"))</t>
        </is>
      </c>
    </row>
    <row r="268" ht="18" customHeight="1">
      <c r="A268" s="42" t="inlineStr">
        <is>
          <t>IF(F268="","",ROW()-3)</t>
        </is>
      </c>
      <c r="B268" s="52" t="n"/>
      <c r="C268" s="52" t="n"/>
      <c r="D268" s="52" t="n"/>
      <c r="E268" s="52" t="n"/>
      <c r="F268" s="52" t="n"/>
      <c r="G268" s="52" t="n"/>
      <c r="H268" s="52" t="n"/>
      <c r="I268" s="52" t="n"/>
      <c r="J268" s="52" t="n"/>
      <c r="K268" s="52" t="n"/>
      <c r="L268" s="52" t="n"/>
      <c r="M268" s="52" t="n"/>
      <c r="N268" s="52" t="n"/>
      <c r="O268" s="52" t="n"/>
      <c r="P268" s="52" t="n"/>
      <c r="Q268" s="52" t="n"/>
      <c r="R268" s="52" t="n"/>
      <c r="S268" s="53" t="n"/>
      <c r="T268" s="46" t="inlineStr">
        <is>
          <t>IF(AQ268="","",AQ268)</t>
        </is>
      </c>
      <c r="U268" s="54" t="n"/>
      <c r="V268" s="55" t="n"/>
      <c r="W268" s="54" t="n"/>
      <c r="X268" s="46" t="inlineStr">
        <is>
          <t>IF(W268&lt;&gt;"",W268,IF(OR(T268="",V268=""),"",EDATE(T268,V268)))</t>
        </is>
      </c>
      <c r="Y268" s="54" t="n"/>
      <c r="Z268" s="55" t="n"/>
      <c r="AA268" s="52" t="n"/>
      <c r="AB268" s="52" t="n"/>
      <c r="AC268" s="42" t="inlineStr">
        <is>
          <t>IF(F268="","",IF(COUNT(AI268:AV268)=0,IF(AA268="","Not started",AA268),SUBSTITUTE(LOOKUP(2,1/(AI268:AV268&lt;&gt;""),$AI$3:$AV$3),"Date: ","")))</t>
        </is>
      </c>
      <c r="AD268" s="49" t="inlineStr">
        <is>
          <t>IF(OR(F268="",COUNT(AI268:AV268)=0),"",TODAY()-LOOKUP(2,1/(AI268:AV268&lt;&gt;""),AI268:AV268))</t>
        </is>
      </c>
      <c r="AE268" s="49" t="inlineStr">
        <is>
          <t>IF(OR(F268="",COUNT(AI268:AV268)&lt;2),"",LOOKUP(2,1/(AI268:AV268&lt;&gt;""),AI268:AV268)-MIN(AI268:AV268))</t>
        </is>
      </c>
      <c r="AF268" s="49" t="inlineStr">
        <is>
          <t>IF(OR(AD268="",AC268="Not started",AC268=""),"",IFERROR(AD268-IF(VLOOKUP(AC268,'06_Status_Pipeline'!$B$3:$E$20,4,FALSE)="",0,VLOOKUP(AC268,'06_Status_Pipeline'!$B$3:$E$20,4,FALSE)),""))</t>
        </is>
      </c>
      <c r="AG268" s="42" t="inlineStr">
        <is>
          <t>IF(F268="","",IF(OR(AA268="Cancelled",AC268="Cancelled"),"Cancelled",IF(OR(AC268="Completed / Handover",Y268&lt;&gt;"",Z268&gt;=100),"Completed — on track",IF(O268="Not awarded",IF(U268="",IF(X268="","No planned date",IF(TODAY()&gt;X268,"Behind — past planned date",IF(X268-TODAY()&lt;=30,"At risk — close to off track","On track"))),IF(TODAY()&gt;U268,"Behind — award date passed",IF(U268-TODAY()&lt;=30,"At risk — close to off track","On track"))),IF(X268="","No planned date",IF(AND(TODAY()&gt;X268,OR(Z268="",Z268&lt;100)),"Behind — past end date",IF(AND(T268&lt;&gt;"",X268&lt;&gt;"",Z268&lt;&gt;"",(Z268&lt;100),((TODAY()-T268)/MAX(X268-T268,1)*100)-Z268&gt;15),"Behind — progress lag",IF(AND(X268-TODAY()&lt;=30,X268-TODAY()&gt;=0,OR(Z268="",Z268&lt;90)),"At risk — close to off track","On track"))))))))</t>
        </is>
      </c>
      <c r="AH268" s="49" t="inlineStr">
        <is>
          <t>IF(OR(F268="",AC268="Completed / Handover",AC268="Cancelled"),"",IF(O268="Not awarded",IF(U268&lt;&gt;"",U268-TODAY(),IF(X268="","",X268-TODAY())),IF(X268="","",X268-TODAY())))</t>
        </is>
      </c>
      <c r="AI268" s="54" t="n"/>
      <c r="AJ268" s="54" t="n"/>
      <c r="AK268" s="54" t="n"/>
      <c r="AL268" s="54" t="n"/>
      <c r="AM268" s="54" t="n"/>
      <c r="AN268" s="54" t="n"/>
      <c r="AO268" s="54" t="n"/>
      <c r="AP268" s="54" t="n"/>
      <c r="AQ268" s="54" t="n"/>
      <c r="AR268" s="54" t="n"/>
      <c r="AS268" s="54" t="n"/>
      <c r="AT268" s="50" t="n"/>
      <c r="AU268" s="50" t="n"/>
      <c r="AV268" s="50" t="n"/>
      <c r="AW268" s="49" t="inlineStr">
        <is>
          <t>IF(OR(F268="",AJ268=""),"",IF(COUNT(AI268:AI268)=0,"",AJ268-LOOKUP(2,1/(AI268:AI268&lt;&gt;""),AI268:AI268)))</t>
        </is>
      </c>
      <c r="AX268" s="49" t="inlineStr">
        <is>
          <t>IF(OR(F268="",AK268=""),"",IF(COUNT(AI268:AJ268)=0,"",AK268-LOOKUP(2,1/(AI268:AJ268&lt;&gt;""),AI268:AJ268)))</t>
        </is>
      </c>
      <c r="AY268" s="49" t="inlineStr">
        <is>
          <t>IF(OR(F268="",AL268=""),"",IF(COUNT(AI268:AK268)=0,"",AL268-LOOKUP(2,1/(AI268:AK268&lt;&gt;""),AI268:AK268)))</t>
        </is>
      </c>
      <c r="AZ268" s="49" t="inlineStr">
        <is>
          <t>IF(OR(F268="",AM268=""),"",IF(COUNT(AI268:AL268)=0,"",AM268-LOOKUP(2,1/(AI268:AL268&lt;&gt;""),AI268:AL268)))</t>
        </is>
      </c>
      <c r="BA268" s="49" t="inlineStr">
        <is>
          <t>IF(OR(F268="",AN268=""),"",IF(COUNT(AI268:AM268)=0,"",AN268-LOOKUP(2,1/(AI268:AM268&lt;&gt;""),AI268:AM268)))</t>
        </is>
      </c>
      <c r="BB268" s="49" t="inlineStr">
        <is>
          <t>IF(OR(F268="",AO268=""),"",IF(COUNT(AI268:AN268)=0,"",AO268-LOOKUP(2,1/(AI268:AN268&lt;&gt;""),AI268:AN268)))</t>
        </is>
      </c>
      <c r="BC268" s="49" t="inlineStr">
        <is>
          <t>IF(OR(F268="",AP268=""),"",IF(COUNT(AI268:AO268)=0,"",AP268-LOOKUP(2,1/(AI268:AO268&lt;&gt;""),AI268:AO268)))</t>
        </is>
      </c>
      <c r="BD268" s="49" t="inlineStr">
        <is>
          <t>IF(OR(F268="",AQ268=""),"",IF(COUNT(AI268:AP268)=0,"",AQ268-LOOKUP(2,1/(AI268:AP268&lt;&gt;""),AI268:AP268)))</t>
        </is>
      </c>
      <c r="BE268" s="49" t="inlineStr">
        <is>
          <t>IF(OR(F268="",AR268=""),"",IF(COUNT(AI268:AQ268)=0,"",AR268-LOOKUP(2,1/(AI268:AQ268&lt;&gt;""),AI268:AQ268)))</t>
        </is>
      </c>
      <c r="BF268" s="49" t="inlineStr">
        <is>
          <t>IF(OR(F268="",AS268=""),"",IF(COUNT(AI268:AR268)=0,"",AS268-LOOKUP(2,1/(AI268:AR268&lt;&gt;""),AI268:AR268)))</t>
        </is>
      </c>
      <c r="BG268" s="49" t="inlineStr">
        <is>
          <t>IF(OR(F268="",AT268=""),"",IF(COUNT(AI268:AS268)=0,"",AT268-LOOKUP(2,1/(AI268:AS268&lt;&gt;""),AI268:AS268)))</t>
        </is>
      </c>
      <c r="BH268" s="49" t="inlineStr">
        <is>
          <t>IF(OR(F268="",AU268=""),"",IF(COUNT(AI268:AT268)=0,"",AU268-LOOKUP(2,1/(AI268:AT268&lt;&gt;""),AI268:AT268)))</t>
        </is>
      </c>
      <c r="BI268" s="49" t="inlineStr">
        <is>
          <t>IF(OR(F268="",AV268=""),"",IF(COUNT(AI268:AU268)=0,"",AV268-LOOKUP(2,1/(AI268:AU268&lt;&gt;""),AI268:AU268)))</t>
        </is>
      </c>
      <c r="BJ268" s="51" t="inlineStr">
        <is>
          <t>IF(J268="","All_Provinces",IFERROR(VLOOKUP(J268,'09_Lookups'!$A$4:$B$20,2,FALSE),"All_Provinces"))</t>
        </is>
      </c>
      <c r="BK268" s="51" t="inlineStr">
        <is>
          <t>IF(K268="","All_Districts",IFERROR(VLOOKUP(K268,'09_Lookups'!$E$4:$F$42,2,FALSE),"All_Districts"))</t>
        </is>
      </c>
    </row>
    <row r="269" ht="18" customHeight="1">
      <c r="A269" s="42" t="inlineStr">
        <is>
          <t>IF(F269="","",ROW()-3)</t>
        </is>
      </c>
      <c r="B269" s="44" t="n"/>
      <c r="C269" s="44" t="n"/>
      <c r="D269" s="44" t="n"/>
      <c r="E269" s="44" t="n"/>
      <c r="F269" s="44" t="n"/>
      <c r="G269" s="44" t="n"/>
      <c r="H269" s="44" t="n"/>
      <c r="I269" s="44" t="n"/>
      <c r="J269" s="44" t="n"/>
      <c r="K269" s="44" t="n"/>
      <c r="L269" s="44" t="n"/>
      <c r="M269" s="44" t="n"/>
      <c r="N269" s="44" t="n"/>
      <c r="O269" s="44" t="n"/>
      <c r="P269" s="44" t="n"/>
      <c r="Q269" s="44" t="n"/>
      <c r="R269" s="44" t="n"/>
      <c r="S269" s="45" t="n"/>
      <c r="T269" s="46" t="inlineStr">
        <is>
          <t>IF(AQ269="","",AQ269)</t>
        </is>
      </c>
      <c r="U269" s="47" t="n"/>
      <c r="V269" s="48" t="n"/>
      <c r="W269" s="47" t="n"/>
      <c r="X269" s="46" t="inlineStr">
        <is>
          <t>IF(W269&lt;&gt;"",W269,IF(OR(T269="",V269=""),"",EDATE(T269,V269)))</t>
        </is>
      </c>
      <c r="Y269" s="47" t="n"/>
      <c r="Z269" s="48" t="n"/>
      <c r="AA269" s="44" t="n"/>
      <c r="AB269" s="44" t="n"/>
      <c r="AC269" s="42" t="inlineStr">
        <is>
          <t>IF(F269="","",IF(COUNT(AI269:AV269)=0,IF(AA269="","Not started",AA269),SUBSTITUTE(LOOKUP(2,1/(AI269:AV269&lt;&gt;""),$AI$3:$AV$3),"Date: ","")))</t>
        </is>
      </c>
      <c r="AD269" s="49" t="inlineStr">
        <is>
          <t>IF(OR(F269="",COUNT(AI269:AV269)=0),"",TODAY()-LOOKUP(2,1/(AI269:AV269&lt;&gt;""),AI269:AV269))</t>
        </is>
      </c>
      <c r="AE269" s="49" t="inlineStr">
        <is>
          <t>IF(OR(F269="",COUNT(AI269:AV269)&lt;2),"",LOOKUP(2,1/(AI269:AV269&lt;&gt;""),AI269:AV269)-MIN(AI269:AV269))</t>
        </is>
      </c>
      <c r="AF269" s="49" t="inlineStr">
        <is>
          <t>IF(OR(AD269="",AC269="Not started",AC269=""),"",IFERROR(AD269-IF(VLOOKUP(AC269,'06_Status_Pipeline'!$B$3:$E$20,4,FALSE)="",0,VLOOKUP(AC269,'06_Status_Pipeline'!$B$3:$E$20,4,FALSE)),""))</t>
        </is>
      </c>
      <c r="AG269" s="42" t="inlineStr">
        <is>
          <t>IF(F269="","",IF(OR(AA269="Cancelled",AC269="Cancelled"),"Cancelled",IF(OR(AC269="Completed / Handover",Y269&lt;&gt;"",Z269&gt;=100),"Completed — on track",IF(O269="Not awarded",IF(U269="",IF(X269="","No planned date",IF(TODAY()&gt;X269,"Behind — past planned date",IF(X269-TODAY()&lt;=30,"At risk — close to off track","On track"))),IF(TODAY()&gt;U269,"Behind — award date passed",IF(U269-TODAY()&lt;=30,"At risk — close to off track","On track"))),IF(X269="","No planned date",IF(AND(TODAY()&gt;X269,OR(Z269="",Z269&lt;100)),"Behind — past end date",IF(AND(T269&lt;&gt;"",X269&lt;&gt;"",Z269&lt;&gt;"",(Z269&lt;100),((TODAY()-T269)/MAX(X269-T269,1)*100)-Z269&gt;15),"Behind — progress lag",IF(AND(X269-TODAY()&lt;=30,X269-TODAY()&gt;=0,OR(Z269="",Z269&lt;90)),"At risk — close to off track","On track"))))))))</t>
        </is>
      </c>
      <c r="AH269" s="49" t="inlineStr">
        <is>
          <t>IF(OR(F269="",AC269="Completed / Handover",AC269="Cancelled"),"",IF(O269="Not awarded",IF(U269&lt;&gt;"",U269-TODAY(),IF(X269="","",X269-TODAY())),IF(X269="","",X269-TODAY())))</t>
        </is>
      </c>
      <c r="AI269" s="47" t="n"/>
      <c r="AJ269" s="47" t="n"/>
      <c r="AK269" s="47" t="n"/>
      <c r="AL269" s="47" t="n"/>
      <c r="AM269" s="47" t="n"/>
      <c r="AN269" s="47" t="n"/>
      <c r="AO269" s="47" t="n"/>
      <c r="AP269" s="47" t="n"/>
      <c r="AQ269" s="47" t="n"/>
      <c r="AR269" s="47" t="n"/>
      <c r="AS269" s="47" t="n"/>
      <c r="AT269" s="50" t="n"/>
      <c r="AU269" s="50" t="n"/>
      <c r="AV269" s="50" t="n"/>
      <c r="AW269" s="49" t="inlineStr">
        <is>
          <t>IF(OR(F269="",AJ269=""),"",IF(COUNT(AI269:AI269)=0,"",AJ269-LOOKUP(2,1/(AI269:AI269&lt;&gt;""),AI269:AI269)))</t>
        </is>
      </c>
      <c r="AX269" s="49" t="inlineStr">
        <is>
          <t>IF(OR(F269="",AK269=""),"",IF(COUNT(AI269:AJ269)=0,"",AK269-LOOKUP(2,1/(AI269:AJ269&lt;&gt;""),AI269:AJ269)))</t>
        </is>
      </c>
      <c r="AY269" s="49" t="inlineStr">
        <is>
          <t>IF(OR(F269="",AL269=""),"",IF(COUNT(AI269:AK269)=0,"",AL269-LOOKUP(2,1/(AI269:AK269&lt;&gt;""),AI269:AK269)))</t>
        </is>
      </c>
      <c r="AZ269" s="49" t="inlineStr">
        <is>
          <t>IF(OR(F269="",AM269=""),"",IF(COUNT(AI269:AL269)=0,"",AM269-LOOKUP(2,1/(AI269:AL269&lt;&gt;""),AI269:AL269)))</t>
        </is>
      </c>
      <c r="BA269" s="49" t="inlineStr">
        <is>
          <t>IF(OR(F269="",AN269=""),"",IF(COUNT(AI269:AM269)=0,"",AN269-LOOKUP(2,1/(AI269:AM269&lt;&gt;""),AI269:AM269)))</t>
        </is>
      </c>
      <c r="BB269" s="49" t="inlineStr">
        <is>
          <t>IF(OR(F269="",AO269=""),"",IF(COUNT(AI269:AN269)=0,"",AO269-LOOKUP(2,1/(AI269:AN269&lt;&gt;""),AI269:AN269)))</t>
        </is>
      </c>
      <c r="BC269" s="49" t="inlineStr">
        <is>
          <t>IF(OR(F269="",AP269=""),"",IF(COUNT(AI269:AO269)=0,"",AP269-LOOKUP(2,1/(AI269:AO269&lt;&gt;""),AI269:AO269)))</t>
        </is>
      </c>
      <c r="BD269" s="49" t="inlineStr">
        <is>
          <t>IF(OR(F269="",AQ269=""),"",IF(COUNT(AI269:AP269)=0,"",AQ269-LOOKUP(2,1/(AI269:AP269&lt;&gt;""),AI269:AP269)))</t>
        </is>
      </c>
      <c r="BE269" s="49" t="inlineStr">
        <is>
          <t>IF(OR(F269="",AR269=""),"",IF(COUNT(AI269:AQ269)=0,"",AR269-LOOKUP(2,1/(AI269:AQ269&lt;&gt;""),AI269:AQ269)))</t>
        </is>
      </c>
      <c r="BF269" s="49" t="inlineStr">
        <is>
          <t>IF(OR(F269="",AS269=""),"",IF(COUNT(AI269:AR269)=0,"",AS269-LOOKUP(2,1/(AI269:AR269&lt;&gt;""),AI269:AR269)))</t>
        </is>
      </c>
      <c r="BG269" s="49" t="inlineStr">
        <is>
          <t>IF(OR(F269="",AT269=""),"",IF(COUNT(AI269:AS269)=0,"",AT269-LOOKUP(2,1/(AI269:AS269&lt;&gt;""),AI269:AS269)))</t>
        </is>
      </c>
      <c r="BH269" s="49" t="inlineStr">
        <is>
          <t>IF(OR(F269="",AU269=""),"",IF(COUNT(AI269:AT269)=0,"",AU269-LOOKUP(2,1/(AI269:AT269&lt;&gt;""),AI269:AT269)))</t>
        </is>
      </c>
      <c r="BI269" s="49" t="inlineStr">
        <is>
          <t>IF(OR(F269="",AV269=""),"",IF(COUNT(AI269:AU269)=0,"",AV269-LOOKUP(2,1/(AI269:AU269&lt;&gt;""),AI269:AU269)))</t>
        </is>
      </c>
      <c r="BJ269" s="51" t="inlineStr">
        <is>
          <t>IF(J269="","All_Provinces",IFERROR(VLOOKUP(J269,'09_Lookups'!$A$4:$B$20,2,FALSE),"All_Provinces"))</t>
        </is>
      </c>
      <c r="BK269" s="51" t="inlineStr">
        <is>
          <t>IF(K269="","All_Districts",IFERROR(VLOOKUP(K269,'09_Lookups'!$E$4:$F$42,2,FALSE),"All_Districts"))</t>
        </is>
      </c>
    </row>
    <row r="270" ht="18" customHeight="1">
      <c r="A270" s="42" t="inlineStr">
        <is>
          <t>IF(F270="","",ROW()-3)</t>
        </is>
      </c>
      <c r="B270" s="52" t="n"/>
      <c r="C270" s="52" t="n"/>
      <c r="D270" s="52" t="n"/>
      <c r="E270" s="52" t="n"/>
      <c r="F270" s="52" t="n"/>
      <c r="G270" s="52" t="n"/>
      <c r="H270" s="52" t="n"/>
      <c r="I270" s="52" t="n"/>
      <c r="J270" s="52" t="n"/>
      <c r="K270" s="52" t="n"/>
      <c r="L270" s="52" t="n"/>
      <c r="M270" s="52" t="n"/>
      <c r="N270" s="52" t="n"/>
      <c r="O270" s="52" t="n"/>
      <c r="P270" s="52" t="n"/>
      <c r="Q270" s="52" t="n"/>
      <c r="R270" s="52" t="n"/>
      <c r="S270" s="53" t="n"/>
      <c r="T270" s="46" t="inlineStr">
        <is>
          <t>IF(AQ270="","",AQ270)</t>
        </is>
      </c>
      <c r="U270" s="54" t="n"/>
      <c r="V270" s="55" t="n"/>
      <c r="W270" s="54" t="n"/>
      <c r="X270" s="46" t="inlineStr">
        <is>
          <t>IF(W270&lt;&gt;"",W270,IF(OR(T270="",V270=""),"",EDATE(T270,V270)))</t>
        </is>
      </c>
      <c r="Y270" s="54" t="n"/>
      <c r="Z270" s="55" t="n"/>
      <c r="AA270" s="52" t="n"/>
      <c r="AB270" s="52" t="n"/>
      <c r="AC270" s="42" t="inlineStr">
        <is>
          <t>IF(F270="","",IF(COUNT(AI270:AV270)=0,IF(AA270="","Not started",AA270),SUBSTITUTE(LOOKUP(2,1/(AI270:AV270&lt;&gt;""),$AI$3:$AV$3),"Date: ","")))</t>
        </is>
      </c>
      <c r="AD270" s="49" t="inlineStr">
        <is>
          <t>IF(OR(F270="",COUNT(AI270:AV270)=0),"",TODAY()-LOOKUP(2,1/(AI270:AV270&lt;&gt;""),AI270:AV270))</t>
        </is>
      </c>
      <c r="AE270" s="49" t="inlineStr">
        <is>
          <t>IF(OR(F270="",COUNT(AI270:AV270)&lt;2),"",LOOKUP(2,1/(AI270:AV270&lt;&gt;""),AI270:AV270)-MIN(AI270:AV270))</t>
        </is>
      </c>
      <c r="AF270" s="49" t="inlineStr">
        <is>
          <t>IF(OR(AD270="",AC270="Not started",AC270=""),"",IFERROR(AD270-IF(VLOOKUP(AC270,'06_Status_Pipeline'!$B$3:$E$20,4,FALSE)="",0,VLOOKUP(AC270,'06_Status_Pipeline'!$B$3:$E$20,4,FALSE)),""))</t>
        </is>
      </c>
      <c r="AG270" s="42" t="inlineStr">
        <is>
          <t>IF(F270="","",IF(OR(AA270="Cancelled",AC270="Cancelled"),"Cancelled",IF(OR(AC270="Completed / Handover",Y270&lt;&gt;"",Z270&gt;=100),"Completed — on track",IF(O270="Not awarded",IF(U270="",IF(X270="","No planned date",IF(TODAY()&gt;X270,"Behind — past planned date",IF(X270-TODAY()&lt;=30,"At risk — close to off track","On track"))),IF(TODAY()&gt;U270,"Behind — award date passed",IF(U270-TODAY()&lt;=30,"At risk — close to off track","On track"))),IF(X270="","No planned date",IF(AND(TODAY()&gt;X270,OR(Z270="",Z270&lt;100)),"Behind — past end date",IF(AND(T270&lt;&gt;"",X270&lt;&gt;"",Z270&lt;&gt;"",(Z270&lt;100),((TODAY()-T270)/MAX(X270-T270,1)*100)-Z270&gt;15),"Behind — progress lag",IF(AND(X270-TODAY()&lt;=30,X270-TODAY()&gt;=0,OR(Z270="",Z270&lt;90)),"At risk — close to off track","On track"))))))))</t>
        </is>
      </c>
      <c r="AH270" s="49" t="inlineStr">
        <is>
          <t>IF(OR(F270="",AC270="Completed / Handover",AC270="Cancelled"),"",IF(O270="Not awarded",IF(U270&lt;&gt;"",U270-TODAY(),IF(X270="","",X270-TODAY())),IF(X270="","",X270-TODAY())))</t>
        </is>
      </c>
      <c r="AI270" s="54" t="n"/>
      <c r="AJ270" s="54" t="n"/>
      <c r="AK270" s="54" t="n"/>
      <c r="AL270" s="54" t="n"/>
      <c r="AM270" s="54" t="n"/>
      <c r="AN270" s="54" t="n"/>
      <c r="AO270" s="54" t="n"/>
      <c r="AP270" s="54" t="n"/>
      <c r="AQ270" s="54" t="n"/>
      <c r="AR270" s="54" t="n"/>
      <c r="AS270" s="54" t="n"/>
      <c r="AT270" s="50" t="n"/>
      <c r="AU270" s="50" t="n"/>
      <c r="AV270" s="50" t="n"/>
      <c r="AW270" s="49" t="inlineStr">
        <is>
          <t>IF(OR(F270="",AJ270=""),"",IF(COUNT(AI270:AI270)=0,"",AJ270-LOOKUP(2,1/(AI270:AI270&lt;&gt;""),AI270:AI270)))</t>
        </is>
      </c>
      <c r="AX270" s="49" t="inlineStr">
        <is>
          <t>IF(OR(F270="",AK270=""),"",IF(COUNT(AI270:AJ270)=0,"",AK270-LOOKUP(2,1/(AI270:AJ270&lt;&gt;""),AI270:AJ270)))</t>
        </is>
      </c>
      <c r="AY270" s="49" t="inlineStr">
        <is>
          <t>IF(OR(F270="",AL270=""),"",IF(COUNT(AI270:AK270)=0,"",AL270-LOOKUP(2,1/(AI270:AK270&lt;&gt;""),AI270:AK270)))</t>
        </is>
      </c>
      <c r="AZ270" s="49" t="inlineStr">
        <is>
          <t>IF(OR(F270="",AM270=""),"",IF(COUNT(AI270:AL270)=0,"",AM270-LOOKUP(2,1/(AI270:AL270&lt;&gt;""),AI270:AL270)))</t>
        </is>
      </c>
      <c r="BA270" s="49" t="inlineStr">
        <is>
          <t>IF(OR(F270="",AN270=""),"",IF(COUNT(AI270:AM270)=0,"",AN270-LOOKUP(2,1/(AI270:AM270&lt;&gt;""),AI270:AM270)))</t>
        </is>
      </c>
      <c r="BB270" s="49" t="inlineStr">
        <is>
          <t>IF(OR(F270="",AO270=""),"",IF(COUNT(AI270:AN270)=0,"",AO270-LOOKUP(2,1/(AI270:AN270&lt;&gt;""),AI270:AN270)))</t>
        </is>
      </c>
      <c r="BC270" s="49" t="inlineStr">
        <is>
          <t>IF(OR(F270="",AP270=""),"",IF(COUNT(AI270:AO270)=0,"",AP270-LOOKUP(2,1/(AI270:AO270&lt;&gt;""),AI270:AO270)))</t>
        </is>
      </c>
      <c r="BD270" s="49" t="inlineStr">
        <is>
          <t>IF(OR(F270="",AQ270=""),"",IF(COUNT(AI270:AP270)=0,"",AQ270-LOOKUP(2,1/(AI270:AP270&lt;&gt;""),AI270:AP270)))</t>
        </is>
      </c>
      <c r="BE270" s="49" t="inlineStr">
        <is>
          <t>IF(OR(F270="",AR270=""),"",IF(COUNT(AI270:AQ270)=0,"",AR270-LOOKUP(2,1/(AI270:AQ270&lt;&gt;""),AI270:AQ270)))</t>
        </is>
      </c>
      <c r="BF270" s="49" t="inlineStr">
        <is>
          <t>IF(OR(F270="",AS270=""),"",IF(COUNT(AI270:AR270)=0,"",AS270-LOOKUP(2,1/(AI270:AR270&lt;&gt;""),AI270:AR270)))</t>
        </is>
      </c>
      <c r="BG270" s="49" t="inlineStr">
        <is>
          <t>IF(OR(F270="",AT270=""),"",IF(COUNT(AI270:AS270)=0,"",AT270-LOOKUP(2,1/(AI270:AS270&lt;&gt;""),AI270:AS270)))</t>
        </is>
      </c>
      <c r="BH270" s="49" t="inlineStr">
        <is>
          <t>IF(OR(F270="",AU270=""),"",IF(COUNT(AI270:AT270)=0,"",AU270-LOOKUP(2,1/(AI270:AT270&lt;&gt;""),AI270:AT270)))</t>
        </is>
      </c>
      <c r="BI270" s="49" t="inlineStr">
        <is>
          <t>IF(OR(F270="",AV270=""),"",IF(COUNT(AI270:AU270)=0,"",AV270-LOOKUP(2,1/(AI270:AU270&lt;&gt;""),AI270:AU270)))</t>
        </is>
      </c>
      <c r="BJ270" s="51" t="inlineStr">
        <is>
          <t>IF(J270="","All_Provinces",IFERROR(VLOOKUP(J270,'09_Lookups'!$A$4:$B$20,2,FALSE),"All_Provinces"))</t>
        </is>
      </c>
      <c r="BK270" s="51" t="inlineStr">
        <is>
          <t>IF(K270="","All_Districts",IFERROR(VLOOKUP(K270,'09_Lookups'!$E$4:$F$42,2,FALSE),"All_Districts"))</t>
        </is>
      </c>
    </row>
    <row r="271" ht="18" customHeight="1">
      <c r="A271" s="42" t="inlineStr">
        <is>
          <t>IF(F271="","",ROW()-3)</t>
        </is>
      </c>
      <c r="B271" s="44" t="n"/>
      <c r="C271" s="44" t="n"/>
      <c r="D271" s="44" t="n"/>
      <c r="E271" s="44" t="n"/>
      <c r="F271" s="44" t="n"/>
      <c r="G271" s="44" t="n"/>
      <c r="H271" s="44" t="n"/>
      <c r="I271" s="44" t="n"/>
      <c r="J271" s="44" t="n"/>
      <c r="K271" s="44" t="n"/>
      <c r="L271" s="44" t="n"/>
      <c r="M271" s="44" t="n"/>
      <c r="N271" s="44" t="n"/>
      <c r="O271" s="44" t="n"/>
      <c r="P271" s="44" t="n"/>
      <c r="Q271" s="44" t="n"/>
      <c r="R271" s="44" t="n"/>
      <c r="S271" s="45" t="n"/>
      <c r="T271" s="46" t="inlineStr">
        <is>
          <t>IF(AQ271="","",AQ271)</t>
        </is>
      </c>
      <c r="U271" s="47" t="n"/>
      <c r="V271" s="48" t="n"/>
      <c r="W271" s="47" t="n"/>
      <c r="X271" s="46" t="inlineStr">
        <is>
          <t>IF(W271&lt;&gt;"",W271,IF(OR(T271="",V271=""),"",EDATE(T271,V271)))</t>
        </is>
      </c>
      <c r="Y271" s="47" t="n"/>
      <c r="Z271" s="48" t="n"/>
      <c r="AA271" s="44" t="n"/>
      <c r="AB271" s="44" t="n"/>
      <c r="AC271" s="42" t="inlineStr">
        <is>
          <t>IF(F271="","",IF(COUNT(AI271:AV271)=0,IF(AA271="","Not started",AA271),SUBSTITUTE(LOOKUP(2,1/(AI271:AV271&lt;&gt;""),$AI$3:$AV$3),"Date: ","")))</t>
        </is>
      </c>
      <c r="AD271" s="49" t="inlineStr">
        <is>
          <t>IF(OR(F271="",COUNT(AI271:AV271)=0),"",TODAY()-LOOKUP(2,1/(AI271:AV271&lt;&gt;""),AI271:AV271))</t>
        </is>
      </c>
      <c r="AE271" s="49" t="inlineStr">
        <is>
          <t>IF(OR(F271="",COUNT(AI271:AV271)&lt;2),"",LOOKUP(2,1/(AI271:AV271&lt;&gt;""),AI271:AV271)-MIN(AI271:AV271))</t>
        </is>
      </c>
      <c r="AF271" s="49" t="inlineStr">
        <is>
          <t>IF(OR(AD271="",AC271="Not started",AC271=""),"",IFERROR(AD271-IF(VLOOKUP(AC271,'06_Status_Pipeline'!$B$3:$E$20,4,FALSE)="",0,VLOOKUP(AC271,'06_Status_Pipeline'!$B$3:$E$20,4,FALSE)),""))</t>
        </is>
      </c>
      <c r="AG271" s="42" t="inlineStr">
        <is>
          <t>IF(F271="","",IF(OR(AA271="Cancelled",AC271="Cancelled"),"Cancelled",IF(OR(AC271="Completed / Handover",Y271&lt;&gt;"",Z271&gt;=100),"Completed — on track",IF(O271="Not awarded",IF(U271="",IF(X271="","No planned date",IF(TODAY()&gt;X271,"Behind — past planned date",IF(X271-TODAY()&lt;=30,"At risk — close to off track","On track"))),IF(TODAY()&gt;U271,"Behind — award date passed",IF(U271-TODAY()&lt;=30,"At risk — close to off track","On track"))),IF(X271="","No planned date",IF(AND(TODAY()&gt;X271,OR(Z271="",Z271&lt;100)),"Behind — past end date",IF(AND(T271&lt;&gt;"",X271&lt;&gt;"",Z271&lt;&gt;"",(Z271&lt;100),((TODAY()-T271)/MAX(X271-T271,1)*100)-Z271&gt;15),"Behind — progress lag",IF(AND(X271-TODAY()&lt;=30,X271-TODAY()&gt;=0,OR(Z271="",Z271&lt;90)),"At risk — close to off track","On track"))))))))</t>
        </is>
      </c>
      <c r="AH271" s="49" t="inlineStr">
        <is>
          <t>IF(OR(F271="",AC271="Completed / Handover",AC271="Cancelled"),"",IF(O271="Not awarded",IF(U271&lt;&gt;"",U271-TODAY(),IF(X271="","",X271-TODAY())),IF(X271="","",X271-TODAY())))</t>
        </is>
      </c>
      <c r="AI271" s="47" t="n"/>
      <c r="AJ271" s="47" t="n"/>
      <c r="AK271" s="47" t="n"/>
      <c r="AL271" s="47" t="n"/>
      <c r="AM271" s="47" t="n"/>
      <c r="AN271" s="47" t="n"/>
      <c r="AO271" s="47" t="n"/>
      <c r="AP271" s="47" t="n"/>
      <c r="AQ271" s="47" t="n"/>
      <c r="AR271" s="47" t="n"/>
      <c r="AS271" s="47" t="n"/>
      <c r="AT271" s="50" t="n"/>
      <c r="AU271" s="50" t="n"/>
      <c r="AV271" s="50" t="n"/>
      <c r="AW271" s="49" t="inlineStr">
        <is>
          <t>IF(OR(F271="",AJ271=""),"",IF(COUNT(AI271:AI271)=0,"",AJ271-LOOKUP(2,1/(AI271:AI271&lt;&gt;""),AI271:AI271)))</t>
        </is>
      </c>
      <c r="AX271" s="49" t="inlineStr">
        <is>
          <t>IF(OR(F271="",AK271=""),"",IF(COUNT(AI271:AJ271)=0,"",AK271-LOOKUP(2,1/(AI271:AJ271&lt;&gt;""),AI271:AJ271)))</t>
        </is>
      </c>
      <c r="AY271" s="49" t="inlineStr">
        <is>
          <t>IF(OR(F271="",AL271=""),"",IF(COUNT(AI271:AK271)=0,"",AL271-LOOKUP(2,1/(AI271:AK271&lt;&gt;""),AI271:AK271)))</t>
        </is>
      </c>
      <c r="AZ271" s="49" t="inlineStr">
        <is>
          <t>IF(OR(F271="",AM271=""),"",IF(COUNT(AI271:AL271)=0,"",AM271-LOOKUP(2,1/(AI271:AL271&lt;&gt;""),AI271:AL271)))</t>
        </is>
      </c>
      <c r="BA271" s="49" t="inlineStr">
        <is>
          <t>IF(OR(F271="",AN271=""),"",IF(COUNT(AI271:AM271)=0,"",AN271-LOOKUP(2,1/(AI271:AM271&lt;&gt;""),AI271:AM271)))</t>
        </is>
      </c>
      <c r="BB271" s="49" t="inlineStr">
        <is>
          <t>IF(OR(F271="",AO271=""),"",IF(COUNT(AI271:AN271)=0,"",AO271-LOOKUP(2,1/(AI271:AN271&lt;&gt;""),AI271:AN271)))</t>
        </is>
      </c>
      <c r="BC271" s="49" t="inlineStr">
        <is>
          <t>IF(OR(F271="",AP271=""),"",IF(COUNT(AI271:AO271)=0,"",AP271-LOOKUP(2,1/(AI271:AO271&lt;&gt;""),AI271:AO271)))</t>
        </is>
      </c>
      <c r="BD271" s="49" t="inlineStr">
        <is>
          <t>IF(OR(F271="",AQ271=""),"",IF(COUNT(AI271:AP271)=0,"",AQ271-LOOKUP(2,1/(AI271:AP271&lt;&gt;""),AI271:AP271)))</t>
        </is>
      </c>
      <c r="BE271" s="49" t="inlineStr">
        <is>
          <t>IF(OR(F271="",AR271=""),"",IF(COUNT(AI271:AQ271)=0,"",AR271-LOOKUP(2,1/(AI271:AQ271&lt;&gt;""),AI271:AQ271)))</t>
        </is>
      </c>
      <c r="BF271" s="49" t="inlineStr">
        <is>
          <t>IF(OR(F271="",AS271=""),"",IF(COUNT(AI271:AR271)=0,"",AS271-LOOKUP(2,1/(AI271:AR271&lt;&gt;""),AI271:AR271)))</t>
        </is>
      </c>
      <c r="BG271" s="49" t="inlineStr">
        <is>
          <t>IF(OR(F271="",AT271=""),"",IF(COUNT(AI271:AS271)=0,"",AT271-LOOKUP(2,1/(AI271:AS271&lt;&gt;""),AI271:AS271)))</t>
        </is>
      </c>
      <c r="BH271" s="49" t="inlineStr">
        <is>
          <t>IF(OR(F271="",AU271=""),"",IF(COUNT(AI271:AT271)=0,"",AU271-LOOKUP(2,1/(AI271:AT271&lt;&gt;""),AI271:AT271)))</t>
        </is>
      </c>
      <c r="BI271" s="49" t="inlineStr">
        <is>
          <t>IF(OR(F271="",AV271=""),"",IF(COUNT(AI271:AU271)=0,"",AV271-LOOKUP(2,1/(AI271:AU271&lt;&gt;""),AI271:AU271)))</t>
        </is>
      </c>
      <c r="BJ271" s="51" t="inlineStr">
        <is>
          <t>IF(J271="","All_Provinces",IFERROR(VLOOKUP(J271,'09_Lookups'!$A$4:$B$20,2,FALSE),"All_Provinces"))</t>
        </is>
      </c>
      <c r="BK271" s="51" t="inlineStr">
        <is>
          <t>IF(K271="","All_Districts",IFERROR(VLOOKUP(K271,'09_Lookups'!$E$4:$F$42,2,FALSE),"All_Districts"))</t>
        </is>
      </c>
    </row>
    <row r="272" ht="18" customHeight="1">
      <c r="A272" s="42" t="inlineStr">
        <is>
          <t>IF(F272="","",ROW()-3)</t>
        </is>
      </c>
      <c r="B272" s="52" t="n"/>
      <c r="C272" s="52" t="n"/>
      <c r="D272" s="52" t="n"/>
      <c r="E272" s="52" t="n"/>
      <c r="F272" s="52" t="n"/>
      <c r="G272" s="52" t="n"/>
      <c r="H272" s="52" t="n"/>
      <c r="I272" s="52" t="n"/>
      <c r="J272" s="52" t="n"/>
      <c r="K272" s="52" t="n"/>
      <c r="L272" s="52" t="n"/>
      <c r="M272" s="52" t="n"/>
      <c r="N272" s="52" t="n"/>
      <c r="O272" s="52" t="n"/>
      <c r="P272" s="52" t="n"/>
      <c r="Q272" s="52" t="n"/>
      <c r="R272" s="52" t="n"/>
      <c r="S272" s="53" t="n"/>
      <c r="T272" s="46" t="inlineStr">
        <is>
          <t>IF(AQ272="","",AQ272)</t>
        </is>
      </c>
      <c r="U272" s="54" t="n"/>
      <c r="V272" s="55" t="n"/>
      <c r="W272" s="54" t="n"/>
      <c r="X272" s="46" t="inlineStr">
        <is>
          <t>IF(W272&lt;&gt;"",W272,IF(OR(T272="",V272=""),"",EDATE(T272,V272)))</t>
        </is>
      </c>
      <c r="Y272" s="54" t="n"/>
      <c r="Z272" s="55" t="n"/>
      <c r="AA272" s="52" t="n"/>
      <c r="AB272" s="52" t="n"/>
      <c r="AC272" s="42" t="inlineStr">
        <is>
          <t>IF(F272="","",IF(COUNT(AI272:AV272)=0,IF(AA272="","Not started",AA272),SUBSTITUTE(LOOKUP(2,1/(AI272:AV272&lt;&gt;""),$AI$3:$AV$3),"Date: ","")))</t>
        </is>
      </c>
      <c r="AD272" s="49" t="inlineStr">
        <is>
          <t>IF(OR(F272="",COUNT(AI272:AV272)=0),"",TODAY()-LOOKUP(2,1/(AI272:AV272&lt;&gt;""),AI272:AV272))</t>
        </is>
      </c>
      <c r="AE272" s="49" t="inlineStr">
        <is>
          <t>IF(OR(F272="",COUNT(AI272:AV272)&lt;2),"",LOOKUP(2,1/(AI272:AV272&lt;&gt;""),AI272:AV272)-MIN(AI272:AV272))</t>
        </is>
      </c>
      <c r="AF272" s="49" t="inlineStr">
        <is>
          <t>IF(OR(AD272="",AC272="Not started",AC272=""),"",IFERROR(AD272-IF(VLOOKUP(AC272,'06_Status_Pipeline'!$B$3:$E$20,4,FALSE)="",0,VLOOKUP(AC272,'06_Status_Pipeline'!$B$3:$E$20,4,FALSE)),""))</t>
        </is>
      </c>
      <c r="AG272" s="42" t="inlineStr">
        <is>
          <t>IF(F272="","",IF(OR(AA272="Cancelled",AC272="Cancelled"),"Cancelled",IF(OR(AC272="Completed / Handover",Y272&lt;&gt;"",Z272&gt;=100),"Completed — on track",IF(O272="Not awarded",IF(U272="",IF(X272="","No planned date",IF(TODAY()&gt;X272,"Behind — past planned date",IF(X272-TODAY()&lt;=30,"At risk — close to off track","On track"))),IF(TODAY()&gt;U272,"Behind — award date passed",IF(U272-TODAY()&lt;=30,"At risk — close to off track","On track"))),IF(X272="","No planned date",IF(AND(TODAY()&gt;X272,OR(Z272="",Z272&lt;100)),"Behind — past end date",IF(AND(T272&lt;&gt;"",X272&lt;&gt;"",Z272&lt;&gt;"",(Z272&lt;100),((TODAY()-T272)/MAX(X272-T272,1)*100)-Z272&gt;15),"Behind — progress lag",IF(AND(X272-TODAY()&lt;=30,X272-TODAY()&gt;=0,OR(Z272="",Z272&lt;90)),"At risk — close to off track","On track"))))))))</t>
        </is>
      </c>
      <c r="AH272" s="49" t="inlineStr">
        <is>
          <t>IF(OR(F272="",AC272="Completed / Handover",AC272="Cancelled"),"",IF(O272="Not awarded",IF(U272&lt;&gt;"",U272-TODAY(),IF(X272="","",X272-TODAY())),IF(X272="","",X272-TODAY())))</t>
        </is>
      </c>
      <c r="AI272" s="54" t="n"/>
      <c r="AJ272" s="54" t="n"/>
      <c r="AK272" s="54" t="n"/>
      <c r="AL272" s="54" t="n"/>
      <c r="AM272" s="54" t="n"/>
      <c r="AN272" s="54" t="n"/>
      <c r="AO272" s="54" t="n"/>
      <c r="AP272" s="54" t="n"/>
      <c r="AQ272" s="54" t="n"/>
      <c r="AR272" s="54" t="n"/>
      <c r="AS272" s="54" t="n"/>
      <c r="AT272" s="50" t="n"/>
      <c r="AU272" s="50" t="n"/>
      <c r="AV272" s="50" t="n"/>
      <c r="AW272" s="49" t="inlineStr">
        <is>
          <t>IF(OR(F272="",AJ272=""),"",IF(COUNT(AI272:AI272)=0,"",AJ272-LOOKUP(2,1/(AI272:AI272&lt;&gt;""),AI272:AI272)))</t>
        </is>
      </c>
      <c r="AX272" s="49" t="inlineStr">
        <is>
          <t>IF(OR(F272="",AK272=""),"",IF(COUNT(AI272:AJ272)=0,"",AK272-LOOKUP(2,1/(AI272:AJ272&lt;&gt;""),AI272:AJ272)))</t>
        </is>
      </c>
      <c r="AY272" s="49" t="inlineStr">
        <is>
          <t>IF(OR(F272="",AL272=""),"",IF(COUNT(AI272:AK272)=0,"",AL272-LOOKUP(2,1/(AI272:AK272&lt;&gt;""),AI272:AK272)))</t>
        </is>
      </c>
      <c r="AZ272" s="49" t="inlineStr">
        <is>
          <t>IF(OR(F272="",AM272=""),"",IF(COUNT(AI272:AL272)=0,"",AM272-LOOKUP(2,1/(AI272:AL272&lt;&gt;""),AI272:AL272)))</t>
        </is>
      </c>
      <c r="BA272" s="49" t="inlineStr">
        <is>
          <t>IF(OR(F272="",AN272=""),"",IF(COUNT(AI272:AM272)=0,"",AN272-LOOKUP(2,1/(AI272:AM272&lt;&gt;""),AI272:AM272)))</t>
        </is>
      </c>
      <c r="BB272" s="49" t="inlineStr">
        <is>
          <t>IF(OR(F272="",AO272=""),"",IF(COUNT(AI272:AN272)=0,"",AO272-LOOKUP(2,1/(AI272:AN272&lt;&gt;""),AI272:AN272)))</t>
        </is>
      </c>
      <c r="BC272" s="49" t="inlineStr">
        <is>
          <t>IF(OR(F272="",AP272=""),"",IF(COUNT(AI272:AO272)=0,"",AP272-LOOKUP(2,1/(AI272:AO272&lt;&gt;""),AI272:AO272)))</t>
        </is>
      </c>
      <c r="BD272" s="49" t="inlineStr">
        <is>
          <t>IF(OR(F272="",AQ272=""),"",IF(COUNT(AI272:AP272)=0,"",AQ272-LOOKUP(2,1/(AI272:AP272&lt;&gt;""),AI272:AP272)))</t>
        </is>
      </c>
      <c r="BE272" s="49" t="inlineStr">
        <is>
          <t>IF(OR(F272="",AR272=""),"",IF(COUNT(AI272:AQ272)=0,"",AR272-LOOKUP(2,1/(AI272:AQ272&lt;&gt;""),AI272:AQ272)))</t>
        </is>
      </c>
      <c r="BF272" s="49" t="inlineStr">
        <is>
          <t>IF(OR(F272="",AS272=""),"",IF(COUNT(AI272:AR272)=0,"",AS272-LOOKUP(2,1/(AI272:AR272&lt;&gt;""),AI272:AR272)))</t>
        </is>
      </c>
      <c r="BG272" s="49" t="inlineStr">
        <is>
          <t>IF(OR(F272="",AT272=""),"",IF(COUNT(AI272:AS272)=0,"",AT272-LOOKUP(2,1/(AI272:AS272&lt;&gt;""),AI272:AS272)))</t>
        </is>
      </c>
      <c r="BH272" s="49" t="inlineStr">
        <is>
          <t>IF(OR(F272="",AU272=""),"",IF(COUNT(AI272:AT272)=0,"",AU272-LOOKUP(2,1/(AI272:AT272&lt;&gt;""),AI272:AT272)))</t>
        </is>
      </c>
      <c r="BI272" s="49" t="inlineStr">
        <is>
          <t>IF(OR(F272="",AV272=""),"",IF(COUNT(AI272:AU272)=0,"",AV272-LOOKUP(2,1/(AI272:AU272&lt;&gt;""),AI272:AU272)))</t>
        </is>
      </c>
      <c r="BJ272" s="51" t="inlineStr">
        <is>
          <t>IF(J272="","All_Provinces",IFERROR(VLOOKUP(J272,'09_Lookups'!$A$4:$B$20,2,FALSE),"All_Provinces"))</t>
        </is>
      </c>
      <c r="BK272" s="51" t="inlineStr">
        <is>
          <t>IF(K272="","All_Districts",IFERROR(VLOOKUP(K272,'09_Lookups'!$E$4:$F$42,2,FALSE),"All_Districts"))</t>
        </is>
      </c>
    </row>
    <row r="273" ht="18" customHeight="1">
      <c r="A273" s="42" t="inlineStr">
        <is>
          <t>IF(F273="","",ROW()-3)</t>
        </is>
      </c>
      <c r="B273" s="44" t="n"/>
      <c r="C273" s="44" t="n"/>
      <c r="D273" s="44" t="n"/>
      <c r="E273" s="44" t="n"/>
      <c r="F273" s="44" t="n"/>
      <c r="G273" s="44" t="n"/>
      <c r="H273" s="44" t="n"/>
      <c r="I273" s="44" t="n"/>
      <c r="J273" s="44" t="n"/>
      <c r="K273" s="44" t="n"/>
      <c r="L273" s="44" t="n"/>
      <c r="M273" s="44" t="n"/>
      <c r="N273" s="44" t="n"/>
      <c r="O273" s="44" t="n"/>
      <c r="P273" s="44" t="n"/>
      <c r="Q273" s="44" t="n"/>
      <c r="R273" s="44" t="n"/>
      <c r="S273" s="45" t="n"/>
      <c r="T273" s="46" t="inlineStr">
        <is>
          <t>IF(AQ273="","",AQ273)</t>
        </is>
      </c>
      <c r="U273" s="47" t="n"/>
      <c r="V273" s="48" t="n"/>
      <c r="W273" s="47" t="n"/>
      <c r="X273" s="46" t="inlineStr">
        <is>
          <t>IF(W273&lt;&gt;"",W273,IF(OR(T273="",V273=""),"",EDATE(T273,V273)))</t>
        </is>
      </c>
      <c r="Y273" s="47" t="n"/>
      <c r="Z273" s="48" t="n"/>
      <c r="AA273" s="44" t="n"/>
      <c r="AB273" s="44" t="n"/>
      <c r="AC273" s="42" t="inlineStr">
        <is>
          <t>IF(F273="","",IF(COUNT(AI273:AV273)=0,IF(AA273="","Not started",AA273),SUBSTITUTE(LOOKUP(2,1/(AI273:AV273&lt;&gt;""),$AI$3:$AV$3),"Date: ","")))</t>
        </is>
      </c>
      <c r="AD273" s="49" t="inlineStr">
        <is>
          <t>IF(OR(F273="",COUNT(AI273:AV273)=0),"",TODAY()-LOOKUP(2,1/(AI273:AV273&lt;&gt;""),AI273:AV273))</t>
        </is>
      </c>
      <c r="AE273" s="49" t="inlineStr">
        <is>
          <t>IF(OR(F273="",COUNT(AI273:AV273)&lt;2),"",LOOKUP(2,1/(AI273:AV273&lt;&gt;""),AI273:AV273)-MIN(AI273:AV273))</t>
        </is>
      </c>
      <c r="AF273" s="49" t="inlineStr">
        <is>
          <t>IF(OR(AD273="",AC273="Not started",AC273=""),"",IFERROR(AD273-IF(VLOOKUP(AC273,'06_Status_Pipeline'!$B$3:$E$20,4,FALSE)="",0,VLOOKUP(AC273,'06_Status_Pipeline'!$B$3:$E$20,4,FALSE)),""))</t>
        </is>
      </c>
      <c r="AG273" s="42" t="inlineStr">
        <is>
          <t>IF(F273="","",IF(OR(AA273="Cancelled",AC273="Cancelled"),"Cancelled",IF(OR(AC273="Completed / Handover",Y273&lt;&gt;"",Z273&gt;=100),"Completed — on track",IF(O273="Not awarded",IF(U273="",IF(X273="","No planned date",IF(TODAY()&gt;X273,"Behind — past planned date",IF(X273-TODAY()&lt;=30,"At risk — close to off track","On track"))),IF(TODAY()&gt;U273,"Behind — award date passed",IF(U273-TODAY()&lt;=30,"At risk — close to off track","On track"))),IF(X273="","No planned date",IF(AND(TODAY()&gt;X273,OR(Z273="",Z273&lt;100)),"Behind — past end date",IF(AND(T273&lt;&gt;"",X273&lt;&gt;"",Z273&lt;&gt;"",(Z273&lt;100),((TODAY()-T273)/MAX(X273-T273,1)*100)-Z273&gt;15),"Behind — progress lag",IF(AND(X273-TODAY()&lt;=30,X273-TODAY()&gt;=0,OR(Z273="",Z273&lt;90)),"At risk — close to off track","On track"))))))))</t>
        </is>
      </c>
      <c r="AH273" s="49" t="inlineStr">
        <is>
          <t>IF(OR(F273="",AC273="Completed / Handover",AC273="Cancelled"),"",IF(O273="Not awarded",IF(U273&lt;&gt;"",U273-TODAY(),IF(X273="","",X273-TODAY())),IF(X273="","",X273-TODAY())))</t>
        </is>
      </c>
      <c r="AI273" s="47" t="n"/>
      <c r="AJ273" s="47" t="n"/>
      <c r="AK273" s="47" t="n"/>
      <c r="AL273" s="47" t="n"/>
      <c r="AM273" s="47" t="n"/>
      <c r="AN273" s="47" t="n"/>
      <c r="AO273" s="47" t="n"/>
      <c r="AP273" s="47" t="n"/>
      <c r="AQ273" s="47" t="n"/>
      <c r="AR273" s="47" t="n"/>
      <c r="AS273" s="47" t="n"/>
      <c r="AT273" s="50" t="n"/>
      <c r="AU273" s="50" t="n"/>
      <c r="AV273" s="50" t="n"/>
      <c r="AW273" s="49" t="inlineStr">
        <is>
          <t>IF(OR(F273="",AJ273=""),"",IF(COUNT(AI273:AI273)=0,"",AJ273-LOOKUP(2,1/(AI273:AI273&lt;&gt;""),AI273:AI273)))</t>
        </is>
      </c>
      <c r="AX273" s="49" t="inlineStr">
        <is>
          <t>IF(OR(F273="",AK273=""),"",IF(COUNT(AI273:AJ273)=0,"",AK273-LOOKUP(2,1/(AI273:AJ273&lt;&gt;""),AI273:AJ273)))</t>
        </is>
      </c>
      <c r="AY273" s="49" t="inlineStr">
        <is>
          <t>IF(OR(F273="",AL273=""),"",IF(COUNT(AI273:AK273)=0,"",AL273-LOOKUP(2,1/(AI273:AK273&lt;&gt;""),AI273:AK273)))</t>
        </is>
      </c>
      <c r="AZ273" s="49" t="inlineStr">
        <is>
          <t>IF(OR(F273="",AM273=""),"",IF(COUNT(AI273:AL273)=0,"",AM273-LOOKUP(2,1/(AI273:AL273&lt;&gt;""),AI273:AL273)))</t>
        </is>
      </c>
      <c r="BA273" s="49" t="inlineStr">
        <is>
          <t>IF(OR(F273="",AN273=""),"",IF(COUNT(AI273:AM273)=0,"",AN273-LOOKUP(2,1/(AI273:AM273&lt;&gt;""),AI273:AM273)))</t>
        </is>
      </c>
      <c r="BB273" s="49" t="inlineStr">
        <is>
          <t>IF(OR(F273="",AO273=""),"",IF(COUNT(AI273:AN273)=0,"",AO273-LOOKUP(2,1/(AI273:AN273&lt;&gt;""),AI273:AN273)))</t>
        </is>
      </c>
      <c r="BC273" s="49" t="inlineStr">
        <is>
          <t>IF(OR(F273="",AP273=""),"",IF(COUNT(AI273:AO273)=0,"",AP273-LOOKUP(2,1/(AI273:AO273&lt;&gt;""),AI273:AO273)))</t>
        </is>
      </c>
      <c r="BD273" s="49" t="inlineStr">
        <is>
          <t>IF(OR(F273="",AQ273=""),"",IF(COUNT(AI273:AP273)=0,"",AQ273-LOOKUP(2,1/(AI273:AP273&lt;&gt;""),AI273:AP273)))</t>
        </is>
      </c>
      <c r="BE273" s="49" t="inlineStr">
        <is>
          <t>IF(OR(F273="",AR273=""),"",IF(COUNT(AI273:AQ273)=0,"",AR273-LOOKUP(2,1/(AI273:AQ273&lt;&gt;""),AI273:AQ273)))</t>
        </is>
      </c>
      <c r="BF273" s="49" t="inlineStr">
        <is>
          <t>IF(OR(F273="",AS273=""),"",IF(COUNT(AI273:AR273)=0,"",AS273-LOOKUP(2,1/(AI273:AR273&lt;&gt;""),AI273:AR273)))</t>
        </is>
      </c>
      <c r="BG273" s="49" t="inlineStr">
        <is>
          <t>IF(OR(F273="",AT273=""),"",IF(COUNT(AI273:AS273)=0,"",AT273-LOOKUP(2,1/(AI273:AS273&lt;&gt;""),AI273:AS273)))</t>
        </is>
      </c>
      <c r="BH273" s="49" t="inlineStr">
        <is>
          <t>IF(OR(F273="",AU273=""),"",IF(COUNT(AI273:AT273)=0,"",AU273-LOOKUP(2,1/(AI273:AT273&lt;&gt;""),AI273:AT273)))</t>
        </is>
      </c>
      <c r="BI273" s="49" t="inlineStr">
        <is>
          <t>IF(OR(F273="",AV273=""),"",IF(COUNT(AI273:AU273)=0,"",AV273-LOOKUP(2,1/(AI273:AU273&lt;&gt;""),AI273:AU273)))</t>
        </is>
      </c>
      <c r="BJ273" s="51" t="inlineStr">
        <is>
          <t>IF(J273="","All_Provinces",IFERROR(VLOOKUP(J273,'09_Lookups'!$A$4:$B$20,2,FALSE),"All_Provinces"))</t>
        </is>
      </c>
      <c r="BK273" s="51" t="inlineStr">
        <is>
          <t>IF(K273="","All_Districts",IFERROR(VLOOKUP(K273,'09_Lookups'!$E$4:$F$42,2,FALSE),"All_Districts"))</t>
        </is>
      </c>
    </row>
    <row r="274" ht="18" customHeight="1">
      <c r="A274" s="42" t="inlineStr">
        <is>
          <t>IF(F274="","",ROW()-3)</t>
        </is>
      </c>
      <c r="B274" s="52" t="n"/>
      <c r="C274" s="52" t="n"/>
      <c r="D274" s="52" t="n"/>
      <c r="E274" s="52" t="n"/>
      <c r="F274" s="52" t="n"/>
      <c r="G274" s="52" t="n"/>
      <c r="H274" s="52" t="n"/>
      <c r="I274" s="52" t="n"/>
      <c r="J274" s="52" t="n"/>
      <c r="K274" s="52" t="n"/>
      <c r="L274" s="52" t="n"/>
      <c r="M274" s="52" t="n"/>
      <c r="N274" s="52" t="n"/>
      <c r="O274" s="52" t="n"/>
      <c r="P274" s="52" t="n"/>
      <c r="Q274" s="52" t="n"/>
      <c r="R274" s="52" t="n"/>
      <c r="S274" s="53" t="n"/>
      <c r="T274" s="46" t="inlineStr">
        <is>
          <t>IF(AQ274="","",AQ274)</t>
        </is>
      </c>
      <c r="U274" s="54" t="n"/>
      <c r="V274" s="55" t="n"/>
      <c r="W274" s="54" t="n"/>
      <c r="X274" s="46" t="inlineStr">
        <is>
          <t>IF(W274&lt;&gt;"",W274,IF(OR(T274="",V274=""),"",EDATE(T274,V274)))</t>
        </is>
      </c>
      <c r="Y274" s="54" t="n"/>
      <c r="Z274" s="55" t="n"/>
      <c r="AA274" s="52" t="n"/>
      <c r="AB274" s="52" t="n"/>
      <c r="AC274" s="42" t="inlineStr">
        <is>
          <t>IF(F274="","",IF(COUNT(AI274:AV274)=0,IF(AA274="","Not started",AA274),SUBSTITUTE(LOOKUP(2,1/(AI274:AV274&lt;&gt;""),$AI$3:$AV$3),"Date: ","")))</t>
        </is>
      </c>
      <c r="AD274" s="49" t="inlineStr">
        <is>
          <t>IF(OR(F274="",COUNT(AI274:AV274)=0),"",TODAY()-LOOKUP(2,1/(AI274:AV274&lt;&gt;""),AI274:AV274))</t>
        </is>
      </c>
      <c r="AE274" s="49" t="inlineStr">
        <is>
          <t>IF(OR(F274="",COUNT(AI274:AV274)&lt;2),"",LOOKUP(2,1/(AI274:AV274&lt;&gt;""),AI274:AV274)-MIN(AI274:AV274))</t>
        </is>
      </c>
      <c r="AF274" s="49" t="inlineStr">
        <is>
          <t>IF(OR(AD274="",AC274="Not started",AC274=""),"",IFERROR(AD274-IF(VLOOKUP(AC274,'06_Status_Pipeline'!$B$3:$E$20,4,FALSE)="",0,VLOOKUP(AC274,'06_Status_Pipeline'!$B$3:$E$20,4,FALSE)),""))</t>
        </is>
      </c>
      <c r="AG274" s="42" t="inlineStr">
        <is>
          <t>IF(F274="","",IF(OR(AA274="Cancelled",AC274="Cancelled"),"Cancelled",IF(OR(AC274="Completed / Handover",Y274&lt;&gt;"",Z274&gt;=100),"Completed — on track",IF(O274="Not awarded",IF(U274="",IF(X274="","No planned date",IF(TODAY()&gt;X274,"Behind — past planned date",IF(X274-TODAY()&lt;=30,"At risk — close to off track","On track"))),IF(TODAY()&gt;U274,"Behind — award date passed",IF(U274-TODAY()&lt;=30,"At risk — close to off track","On track"))),IF(X274="","No planned date",IF(AND(TODAY()&gt;X274,OR(Z274="",Z274&lt;100)),"Behind — past end date",IF(AND(T274&lt;&gt;"",X274&lt;&gt;"",Z274&lt;&gt;"",(Z274&lt;100),((TODAY()-T274)/MAX(X274-T274,1)*100)-Z274&gt;15),"Behind — progress lag",IF(AND(X274-TODAY()&lt;=30,X274-TODAY()&gt;=0,OR(Z274="",Z274&lt;90)),"At risk — close to off track","On track"))))))))</t>
        </is>
      </c>
      <c r="AH274" s="49" t="inlineStr">
        <is>
          <t>IF(OR(F274="",AC274="Completed / Handover",AC274="Cancelled"),"",IF(O274="Not awarded",IF(U274&lt;&gt;"",U274-TODAY(),IF(X274="","",X274-TODAY())),IF(X274="","",X274-TODAY())))</t>
        </is>
      </c>
      <c r="AI274" s="54" t="n"/>
      <c r="AJ274" s="54" t="n"/>
      <c r="AK274" s="54" t="n"/>
      <c r="AL274" s="54" t="n"/>
      <c r="AM274" s="54" t="n"/>
      <c r="AN274" s="54" t="n"/>
      <c r="AO274" s="54" t="n"/>
      <c r="AP274" s="54" t="n"/>
      <c r="AQ274" s="54" t="n"/>
      <c r="AR274" s="54" t="n"/>
      <c r="AS274" s="54" t="n"/>
      <c r="AT274" s="50" t="n"/>
      <c r="AU274" s="50" t="n"/>
      <c r="AV274" s="50" t="n"/>
      <c r="AW274" s="49" t="inlineStr">
        <is>
          <t>IF(OR(F274="",AJ274=""),"",IF(COUNT(AI274:AI274)=0,"",AJ274-LOOKUP(2,1/(AI274:AI274&lt;&gt;""),AI274:AI274)))</t>
        </is>
      </c>
      <c r="AX274" s="49" t="inlineStr">
        <is>
          <t>IF(OR(F274="",AK274=""),"",IF(COUNT(AI274:AJ274)=0,"",AK274-LOOKUP(2,1/(AI274:AJ274&lt;&gt;""),AI274:AJ274)))</t>
        </is>
      </c>
      <c r="AY274" s="49" t="inlineStr">
        <is>
          <t>IF(OR(F274="",AL274=""),"",IF(COUNT(AI274:AK274)=0,"",AL274-LOOKUP(2,1/(AI274:AK274&lt;&gt;""),AI274:AK274)))</t>
        </is>
      </c>
      <c r="AZ274" s="49" t="inlineStr">
        <is>
          <t>IF(OR(F274="",AM274=""),"",IF(COUNT(AI274:AL274)=0,"",AM274-LOOKUP(2,1/(AI274:AL274&lt;&gt;""),AI274:AL274)))</t>
        </is>
      </c>
      <c r="BA274" s="49" t="inlineStr">
        <is>
          <t>IF(OR(F274="",AN274=""),"",IF(COUNT(AI274:AM274)=0,"",AN274-LOOKUP(2,1/(AI274:AM274&lt;&gt;""),AI274:AM274)))</t>
        </is>
      </c>
      <c r="BB274" s="49" t="inlineStr">
        <is>
          <t>IF(OR(F274="",AO274=""),"",IF(COUNT(AI274:AN274)=0,"",AO274-LOOKUP(2,1/(AI274:AN274&lt;&gt;""),AI274:AN274)))</t>
        </is>
      </c>
      <c r="BC274" s="49" t="inlineStr">
        <is>
          <t>IF(OR(F274="",AP274=""),"",IF(COUNT(AI274:AO274)=0,"",AP274-LOOKUP(2,1/(AI274:AO274&lt;&gt;""),AI274:AO274)))</t>
        </is>
      </c>
      <c r="BD274" s="49" t="inlineStr">
        <is>
          <t>IF(OR(F274="",AQ274=""),"",IF(COUNT(AI274:AP274)=0,"",AQ274-LOOKUP(2,1/(AI274:AP274&lt;&gt;""),AI274:AP274)))</t>
        </is>
      </c>
      <c r="BE274" s="49" t="inlineStr">
        <is>
          <t>IF(OR(F274="",AR274=""),"",IF(COUNT(AI274:AQ274)=0,"",AR274-LOOKUP(2,1/(AI274:AQ274&lt;&gt;""),AI274:AQ274)))</t>
        </is>
      </c>
      <c r="BF274" s="49" t="inlineStr">
        <is>
          <t>IF(OR(F274="",AS274=""),"",IF(COUNT(AI274:AR274)=0,"",AS274-LOOKUP(2,1/(AI274:AR274&lt;&gt;""),AI274:AR274)))</t>
        </is>
      </c>
      <c r="BG274" s="49" t="inlineStr">
        <is>
          <t>IF(OR(F274="",AT274=""),"",IF(COUNT(AI274:AS274)=0,"",AT274-LOOKUP(2,1/(AI274:AS274&lt;&gt;""),AI274:AS274)))</t>
        </is>
      </c>
      <c r="BH274" s="49" t="inlineStr">
        <is>
          <t>IF(OR(F274="",AU274=""),"",IF(COUNT(AI274:AT274)=0,"",AU274-LOOKUP(2,1/(AI274:AT274&lt;&gt;""),AI274:AT274)))</t>
        </is>
      </c>
      <c r="BI274" s="49" t="inlineStr">
        <is>
          <t>IF(OR(F274="",AV274=""),"",IF(COUNT(AI274:AU274)=0,"",AV274-LOOKUP(2,1/(AI274:AU274&lt;&gt;""),AI274:AU274)))</t>
        </is>
      </c>
      <c r="BJ274" s="51" t="inlineStr">
        <is>
          <t>IF(J274="","All_Provinces",IFERROR(VLOOKUP(J274,'09_Lookups'!$A$4:$B$20,2,FALSE),"All_Provinces"))</t>
        </is>
      </c>
      <c r="BK274" s="51" t="inlineStr">
        <is>
          <t>IF(K274="","All_Districts",IFERROR(VLOOKUP(K274,'09_Lookups'!$E$4:$F$42,2,FALSE),"All_Districts"))</t>
        </is>
      </c>
    </row>
    <row r="275" ht="18" customHeight="1">
      <c r="A275" s="42" t="inlineStr">
        <is>
          <t>IF(F275="","",ROW()-3)</t>
        </is>
      </c>
      <c r="B275" s="44" t="n"/>
      <c r="C275" s="44" t="n"/>
      <c r="D275" s="44" t="n"/>
      <c r="E275" s="44" t="n"/>
      <c r="F275" s="44" t="n"/>
      <c r="G275" s="44" t="n"/>
      <c r="H275" s="44" t="n"/>
      <c r="I275" s="44" t="n"/>
      <c r="J275" s="44" t="n"/>
      <c r="K275" s="44" t="n"/>
      <c r="L275" s="44" t="n"/>
      <c r="M275" s="44" t="n"/>
      <c r="N275" s="44" t="n"/>
      <c r="O275" s="44" t="n"/>
      <c r="P275" s="44" t="n"/>
      <c r="Q275" s="44" t="n"/>
      <c r="R275" s="44" t="n"/>
      <c r="S275" s="45" t="n"/>
      <c r="T275" s="46" t="inlineStr">
        <is>
          <t>IF(AQ275="","",AQ275)</t>
        </is>
      </c>
      <c r="U275" s="47" t="n"/>
      <c r="V275" s="48" t="n"/>
      <c r="W275" s="47" t="n"/>
      <c r="X275" s="46" t="inlineStr">
        <is>
          <t>IF(W275&lt;&gt;"",W275,IF(OR(T275="",V275=""),"",EDATE(T275,V275)))</t>
        </is>
      </c>
      <c r="Y275" s="47" t="n"/>
      <c r="Z275" s="48" t="n"/>
      <c r="AA275" s="44" t="n"/>
      <c r="AB275" s="44" t="n"/>
      <c r="AC275" s="42" t="inlineStr">
        <is>
          <t>IF(F275="","",IF(COUNT(AI275:AV275)=0,IF(AA275="","Not started",AA275),SUBSTITUTE(LOOKUP(2,1/(AI275:AV275&lt;&gt;""),$AI$3:$AV$3),"Date: ","")))</t>
        </is>
      </c>
      <c r="AD275" s="49" t="inlineStr">
        <is>
          <t>IF(OR(F275="",COUNT(AI275:AV275)=0),"",TODAY()-LOOKUP(2,1/(AI275:AV275&lt;&gt;""),AI275:AV275))</t>
        </is>
      </c>
      <c r="AE275" s="49" t="inlineStr">
        <is>
          <t>IF(OR(F275="",COUNT(AI275:AV275)&lt;2),"",LOOKUP(2,1/(AI275:AV275&lt;&gt;""),AI275:AV275)-MIN(AI275:AV275))</t>
        </is>
      </c>
      <c r="AF275" s="49" t="inlineStr">
        <is>
          <t>IF(OR(AD275="",AC275="Not started",AC275=""),"",IFERROR(AD275-IF(VLOOKUP(AC275,'06_Status_Pipeline'!$B$3:$E$20,4,FALSE)="",0,VLOOKUP(AC275,'06_Status_Pipeline'!$B$3:$E$20,4,FALSE)),""))</t>
        </is>
      </c>
      <c r="AG275" s="42" t="inlineStr">
        <is>
          <t>IF(F275="","",IF(OR(AA275="Cancelled",AC275="Cancelled"),"Cancelled",IF(OR(AC275="Completed / Handover",Y275&lt;&gt;"",Z275&gt;=100),"Completed — on track",IF(O275="Not awarded",IF(U275="",IF(X275="","No planned date",IF(TODAY()&gt;X275,"Behind — past planned date",IF(X275-TODAY()&lt;=30,"At risk — close to off track","On track"))),IF(TODAY()&gt;U275,"Behind — award date passed",IF(U275-TODAY()&lt;=30,"At risk — close to off track","On track"))),IF(X275="","No planned date",IF(AND(TODAY()&gt;X275,OR(Z275="",Z275&lt;100)),"Behind — past end date",IF(AND(T275&lt;&gt;"",X275&lt;&gt;"",Z275&lt;&gt;"",(Z275&lt;100),((TODAY()-T275)/MAX(X275-T275,1)*100)-Z275&gt;15),"Behind — progress lag",IF(AND(X275-TODAY()&lt;=30,X275-TODAY()&gt;=0,OR(Z275="",Z275&lt;90)),"At risk — close to off track","On track"))))))))</t>
        </is>
      </c>
      <c r="AH275" s="49" t="inlineStr">
        <is>
          <t>IF(OR(F275="",AC275="Completed / Handover",AC275="Cancelled"),"",IF(O275="Not awarded",IF(U275&lt;&gt;"",U275-TODAY(),IF(X275="","",X275-TODAY())),IF(X275="","",X275-TODAY())))</t>
        </is>
      </c>
      <c r="AI275" s="47" t="n"/>
      <c r="AJ275" s="47" t="n"/>
      <c r="AK275" s="47" t="n"/>
      <c r="AL275" s="47" t="n"/>
      <c r="AM275" s="47" t="n"/>
      <c r="AN275" s="47" t="n"/>
      <c r="AO275" s="47" t="n"/>
      <c r="AP275" s="47" t="n"/>
      <c r="AQ275" s="47" t="n"/>
      <c r="AR275" s="47" t="n"/>
      <c r="AS275" s="47" t="n"/>
      <c r="AT275" s="50" t="n"/>
      <c r="AU275" s="50" t="n"/>
      <c r="AV275" s="50" t="n"/>
      <c r="AW275" s="49" t="inlineStr">
        <is>
          <t>IF(OR(F275="",AJ275=""),"",IF(COUNT(AI275:AI275)=0,"",AJ275-LOOKUP(2,1/(AI275:AI275&lt;&gt;""),AI275:AI275)))</t>
        </is>
      </c>
      <c r="AX275" s="49" t="inlineStr">
        <is>
          <t>IF(OR(F275="",AK275=""),"",IF(COUNT(AI275:AJ275)=0,"",AK275-LOOKUP(2,1/(AI275:AJ275&lt;&gt;""),AI275:AJ275)))</t>
        </is>
      </c>
      <c r="AY275" s="49" t="inlineStr">
        <is>
          <t>IF(OR(F275="",AL275=""),"",IF(COUNT(AI275:AK275)=0,"",AL275-LOOKUP(2,1/(AI275:AK275&lt;&gt;""),AI275:AK275)))</t>
        </is>
      </c>
      <c r="AZ275" s="49" t="inlineStr">
        <is>
          <t>IF(OR(F275="",AM275=""),"",IF(COUNT(AI275:AL275)=0,"",AM275-LOOKUP(2,1/(AI275:AL275&lt;&gt;""),AI275:AL275)))</t>
        </is>
      </c>
      <c r="BA275" s="49" t="inlineStr">
        <is>
          <t>IF(OR(F275="",AN275=""),"",IF(COUNT(AI275:AM275)=0,"",AN275-LOOKUP(2,1/(AI275:AM275&lt;&gt;""),AI275:AM275)))</t>
        </is>
      </c>
      <c r="BB275" s="49" t="inlineStr">
        <is>
          <t>IF(OR(F275="",AO275=""),"",IF(COUNT(AI275:AN275)=0,"",AO275-LOOKUP(2,1/(AI275:AN275&lt;&gt;""),AI275:AN275)))</t>
        </is>
      </c>
      <c r="BC275" s="49" t="inlineStr">
        <is>
          <t>IF(OR(F275="",AP275=""),"",IF(COUNT(AI275:AO275)=0,"",AP275-LOOKUP(2,1/(AI275:AO275&lt;&gt;""),AI275:AO275)))</t>
        </is>
      </c>
      <c r="BD275" s="49" t="inlineStr">
        <is>
          <t>IF(OR(F275="",AQ275=""),"",IF(COUNT(AI275:AP275)=0,"",AQ275-LOOKUP(2,1/(AI275:AP275&lt;&gt;""),AI275:AP275)))</t>
        </is>
      </c>
      <c r="BE275" s="49" t="inlineStr">
        <is>
          <t>IF(OR(F275="",AR275=""),"",IF(COUNT(AI275:AQ275)=0,"",AR275-LOOKUP(2,1/(AI275:AQ275&lt;&gt;""),AI275:AQ275)))</t>
        </is>
      </c>
      <c r="BF275" s="49" t="inlineStr">
        <is>
          <t>IF(OR(F275="",AS275=""),"",IF(COUNT(AI275:AR275)=0,"",AS275-LOOKUP(2,1/(AI275:AR275&lt;&gt;""),AI275:AR275)))</t>
        </is>
      </c>
      <c r="BG275" s="49" t="inlineStr">
        <is>
          <t>IF(OR(F275="",AT275=""),"",IF(COUNT(AI275:AS275)=0,"",AT275-LOOKUP(2,1/(AI275:AS275&lt;&gt;""),AI275:AS275)))</t>
        </is>
      </c>
      <c r="BH275" s="49" t="inlineStr">
        <is>
          <t>IF(OR(F275="",AU275=""),"",IF(COUNT(AI275:AT275)=0,"",AU275-LOOKUP(2,1/(AI275:AT275&lt;&gt;""),AI275:AT275)))</t>
        </is>
      </c>
      <c r="BI275" s="49" t="inlineStr">
        <is>
          <t>IF(OR(F275="",AV275=""),"",IF(COUNT(AI275:AU275)=0,"",AV275-LOOKUP(2,1/(AI275:AU275&lt;&gt;""),AI275:AU275)))</t>
        </is>
      </c>
      <c r="BJ275" s="51" t="inlineStr">
        <is>
          <t>IF(J275="","All_Provinces",IFERROR(VLOOKUP(J275,'09_Lookups'!$A$4:$B$20,2,FALSE),"All_Provinces"))</t>
        </is>
      </c>
      <c r="BK275" s="51" t="inlineStr">
        <is>
          <t>IF(K275="","All_Districts",IFERROR(VLOOKUP(K275,'09_Lookups'!$E$4:$F$42,2,FALSE),"All_Districts"))</t>
        </is>
      </c>
    </row>
    <row r="276" ht="18" customHeight="1">
      <c r="A276" s="42" t="inlineStr">
        <is>
          <t>IF(F276="","",ROW()-3)</t>
        </is>
      </c>
      <c r="B276" s="52" t="n"/>
      <c r="C276" s="52" t="n"/>
      <c r="D276" s="52" t="n"/>
      <c r="E276" s="52" t="n"/>
      <c r="F276" s="52" t="n"/>
      <c r="G276" s="52" t="n"/>
      <c r="H276" s="52" t="n"/>
      <c r="I276" s="52" t="n"/>
      <c r="J276" s="52" t="n"/>
      <c r="K276" s="52" t="n"/>
      <c r="L276" s="52" t="n"/>
      <c r="M276" s="52" t="n"/>
      <c r="N276" s="52" t="n"/>
      <c r="O276" s="52" t="n"/>
      <c r="P276" s="52" t="n"/>
      <c r="Q276" s="52" t="n"/>
      <c r="R276" s="52" t="n"/>
      <c r="S276" s="53" t="n"/>
      <c r="T276" s="46" t="inlineStr">
        <is>
          <t>IF(AQ276="","",AQ276)</t>
        </is>
      </c>
      <c r="U276" s="54" t="n"/>
      <c r="V276" s="55" t="n"/>
      <c r="W276" s="54" t="n"/>
      <c r="X276" s="46" t="inlineStr">
        <is>
          <t>IF(W276&lt;&gt;"",W276,IF(OR(T276="",V276=""),"",EDATE(T276,V276)))</t>
        </is>
      </c>
      <c r="Y276" s="54" t="n"/>
      <c r="Z276" s="55" t="n"/>
      <c r="AA276" s="52" t="n"/>
      <c r="AB276" s="52" t="n"/>
      <c r="AC276" s="42" t="inlineStr">
        <is>
          <t>IF(F276="","",IF(COUNT(AI276:AV276)=0,IF(AA276="","Not started",AA276),SUBSTITUTE(LOOKUP(2,1/(AI276:AV276&lt;&gt;""),$AI$3:$AV$3),"Date: ","")))</t>
        </is>
      </c>
      <c r="AD276" s="49" t="inlineStr">
        <is>
          <t>IF(OR(F276="",COUNT(AI276:AV276)=0),"",TODAY()-LOOKUP(2,1/(AI276:AV276&lt;&gt;""),AI276:AV276))</t>
        </is>
      </c>
      <c r="AE276" s="49" t="inlineStr">
        <is>
          <t>IF(OR(F276="",COUNT(AI276:AV276)&lt;2),"",LOOKUP(2,1/(AI276:AV276&lt;&gt;""),AI276:AV276)-MIN(AI276:AV276))</t>
        </is>
      </c>
      <c r="AF276" s="49" t="inlineStr">
        <is>
          <t>IF(OR(AD276="",AC276="Not started",AC276=""),"",IFERROR(AD276-IF(VLOOKUP(AC276,'06_Status_Pipeline'!$B$3:$E$20,4,FALSE)="",0,VLOOKUP(AC276,'06_Status_Pipeline'!$B$3:$E$20,4,FALSE)),""))</t>
        </is>
      </c>
      <c r="AG276" s="42" t="inlineStr">
        <is>
          <t>IF(F276="","",IF(OR(AA276="Cancelled",AC276="Cancelled"),"Cancelled",IF(OR(AC276="Completed / Handover",Y276&lt;&gt;"",Z276&gt;=100),"Completed — on track",IF(O276="Not awarded",IF(U276="",IF(X276="","No planned date",IF(TODAY()&gt;X276,"Behind — past planned date",IF(X276-TODAY()&lt;=30,"At risk — close to off track","On track"))),IF(TODAY()&gt;U276,"Behind — award date passed",IF(U276-TODAY()&lt;=30,"At risk — close to off track","On track"))),IF(X276="","No planned date",IF(AND(TODAY()&gt;X276,OR(Z276="",Z276&lt;100)),"Behind — past end date",IF(AND(T276&lt;&gt;"",X276&lt;&gt;"",Z276&lt;&gt;"",(Z276&lt;100),((TODAY()-T276)/MAX(X276-T276,1)*100)-Z276&gt;15),"Behind — progress lag",IF(AND(X276-TODAY()&lt;=30,X276-TODAY()&gt;=0,OR(Z276="",Z276&lt;90)),"At risk — close to off track","On track"))))))))</t>
        </is>
      </c>
      <c r="AH276" s="49" t="inlineStr">
        <is>
          <t>IF(OR(F276="",AC276="Completed / Handover",AC276="Cancelled"),"",IF(O276="Not awarded",IF(U276&lt;&gt;"",U276-TODAY(),IF(X276="","",X276-TODAY())),IF(X276="","",X276-TODAY())))</t>
        </is>
      </c>
      <c r="AI276" s="54" t="n"/>
      <c r="AJ276" s="54" t="n"/>
      <c r="AK276" s="54" t="n"/>
      <c r="AL276" s="54" t="n"/>
      <c r="AM276" s="54" t="n"/>
      <c r="AN276" s="54" t="n"/>
      <c r="AO276" s="54" t="n"/>
      <c r="AP276" s="54" t="n"/>
      <c r="AQ276" s="54" t="n"/>
      <c r="AR276" s="54" t="n"/>
      <c r="AS276" s="54" t="n"/>
      <c r="AT276" s="50" t="n"/>
      <c r="AU276" s="50" t="n"/>
      <c r="AV276" s="50" t="n"/>
      <c r="AW276" s="49" t="inlineStr">
        <is>
          <t>IF(OR(F276="",AJ276=""),"",IF(COUNT(AI276:AI276)=0,"",AJ276-LOOKUP(2,1/(AI276:AI276&lt;&gt;""),AI276:AI276)))</t>
        </is>
      </c>
      <c r="AX276" s="49" t="inlineStr">
        <is>
          <t>IF(OR(F276="",AK276=""),"",IF(COUNT(AI276:AJ276)=0,"",AK276-LOOKUP(2,1/(AI276:AJ276&lt;&gt;""),AI276:AJ276)))</t>
        </is>
      </c>
      <c r="AY276" s="49" t="inlineStr">
        <is>
          <t>IF(OR(F276="",AL276=""),"",IF(COUNT(AI276:AK276)=0,"",AL276-LOOKUP(2,1/(AI276:AK276&lt;&gt;""),AI276:AK276)))</t>
        </is>
      </c>
      <c r="AZ276" s="49" t="inlineStr">
        <is>
          <t>IF(OR(F276="",AM276=""),"",IF(COUNT(AI276:AL276)=0,"",AM276-LOOKUP(2,1/(AI276:AL276&lt;&gt;""),AI276:AL276)))</t>
        </is>
      </c>
      <c r="BA276" s="49" t="inlineStr">
        <is>
          <t>IF(OR(F276="",AN276=""),"",IF(COUNT(AI276:AM276)=0,"",AN276-LOOKUP(2,1/(AI276:AM276&lt;&gt;""),AI276:AM276)))</t>
        </is>
      </c>
      <c r="BB276" s="49" t="inlineStr">
        <is>
          <t>IF(OR(F276="",AO276=""),"",IF(COUNT(AI276:AN276)=0,"",AO276-LOOKUP(2,1/(AI276:AN276&lt;&gt;""),AI276:AN276)))</t>
        </is>
      </c>
      <c r="BC276" s="49" t="inlineStr">
        <is>
          <t>IF(OR(F276="",AP276=""),"",IF(COUNT(AI276:AO276)=0,"",AP276-LOOKUP(2,1/(AI276:AO276&lt;&gt;""),AI276:AO276)))</t>
        </is>
      </c>
      <c r="BD276" s="49" t="inlineStr">
        <is>
          <t>IF(OR(F276="",AQ276=""),"",IF(COUNT(AI276:AP276)=0,"",AQ276-LOOKUP(2,1/(AI276:AP276&lt;&gt;""),AI276:AP276)))</t>
        </is>
      </c>
      <c r="BE276" s="49" t="inlineStr">
        <is>
          <t>IF(OR(F276="",AR276=""),"",IF(COUNT(AI276:AQ276)=0,"",AR276-LOOKUP(2,1/(AI276:AQ276&lt;&gt;""),AI276:AQ276)))</t>
        </is>
      </c>
      <c r="BF276" s="49" t="inlineStr">
        <is>
          <t>IF(OR(F276="",AS276=""),"",IF(COUNT(AI276:AR276)=0,"",AS276-LOOKUP(2,1/(AI276:AR276&lt;&gt;""),AI276:AR276)))</t>
        </is>
      </c>
      <c r="BG276" s="49" t="inlineStr">
        <is>
          <t>IF(OR(F276="",AT276=""),"",IF(COUNT(AI276:AS276)=0,"",AT276-LOOKUP(2,1/(AI276:AS276&lt;&gt;""),AI276:AS276)))</t>
        </is>
      </c>
      <c r="BH276" s="49" t="inlineStr">
        <is>
          <t>IF(OR(F276="",AU276=""),"",IF(COUNT(AI276:AT276)=0,"",AU276-LOOKUP(2,1/(AI276:AT276&lt;&gt;""),AI276:AT276)))</t>
        </is>
      </c>
      <c r="BI276" s="49" t="inlineStr">
        <is>
          <t>IF(OR(F276="",AV276=""),"",IF(COUNT(AI276:AU276)=0,"",AV276-LOOKUP(2,1/(AI276:AU276&lt;&gt;""),AI276:AU276)))</t>
        </is>
      </c>
      <c r="BJ276" s="51" t="inlineStr">
        <is>
          <t>IF(J276="","All_Provinces",IFERROR(VLOOKUP(J276,'09_Lookups'!$A$4:$B$20,2,FALSE),"All_Provinces"))</t>
        </is>
      </c>
      <c r="BK276" s="51" t="inlineStr">
        <is>
          <t>IF(K276="","All_Districts",IFERROR(VLOOKUP(K276,'09_Lookups'!$E$4:$F$42,2,FALSE),"All_Districts"))</t>
        </is>
      </c>
    </row>
    <row r="277" ht="18" customHeight="1">
      <c r="A277" s="42" t="inlineStr">
        <is>
          <t>IF(F277="","",ROW()-3)</t>
        </is>
      </c>
      <c r="B277" s="44" t="n"/>
      <c r="C277" s="44" t="n"/>
      <c r="D277" s="44" t="n"/>
      <c r="E277" s="44" t="n"/>
      <c r="F277" s="44" t="n"/>
      <c r="G277" s="44" t="n"/>
      <c r="H277" s="44" t="n"/>
      <c r="I277" s="44" t="n"/>
      <c r="J277" s="44" t="n"/>
      <c r="K277" s="44" t="n"/>
      <c r="L277" s="44" t="n"/>
      <c r="M277" s="44" t="n"/>
      <c r="N277" s="44" t="n"/>
      <c r="O277" s="44" t="n"/>
      <c r="P277" s="44" t="n"/>
      <c r="Q277" s="44" t="n"/>
      <c r="R277" s="44" t="n"/>
      <c r="S277" s="45" t="n"/>
      <c r="T277" s="46" t="inlineStr">
        <is>
          <t>IF(AQ277="","",AQ277)</t>
        </is>
      </c>
      <c r="U277" s="47" t="n"/>
      <c r="V277" s="48" t="n"/>
      <c r="W277" s="47" t="n"/>
      <c r="X277" s="46" t="inlineStr">
        <is>
          <t>IF(W277&lt;&gt;"",W277,IF(OR(T277="",V277=""),"",EDATE(T277,V277)))</t>
        </is>
      </c>
      <c r="Y277" s="47" t="n"/>
      <c r="Z277" s="48" t="n"/>
      <c r="AA277" s="44" t="n"/>
      <c r="AB277" s="44" t="n"/>
      <c r="AC277" s="42" t="inlineStr">
        <is>
          <t>IF(F277="","",IF(COUNT(AI277:AV277)=0,IF(AA277="","Not started",AA277),SUBSTITUTE(LOOKUP(2,1/(AI277:AV277&lt;&gt;""),$AI$3:$AV$3),"Date: ","")))</t>
        </is>
      </c>
      <c r="AD277" s="49" t="inlineStr">
        <is>
          <t>IF(OR(F277="",COUNT(AI277:AV277)=0),"",TODAY()-LOOKUP(2,1/(AI277:AV277&lt;&gt;""),AI277:AV277))</t>
        </is>
      </c>
      <c r="AE277" s="49" t="inlineStr">
        <is>
          <t>IF(OR(F277="",COUNT(AI277:AV277)&lt;2),"",LOOKUP(2,1/(AI277:AV277&lt;&gt;""),AI277:AV277)-MIN(AI277:AV277))</t>
        </is>
      </c>
      <c r="AF277" s="49" t="inlineStr">
        <is>
          <t>IF(OR(AD277="",AC277="Not started",AC277=""),"",IFERROR(AD277-IF(VLOOKUP(AC277,'06_Status_Pipeline'!$B$3:$E$20,4,FALSE)="",0,VLOOKUP(AC277,'06_Status_Pipeline'!$B$3:$E$20,4,FALSE)),""))</t>
        </is>
      </c>
      <c r="AG277" s="42" t="inlineStr">
        <is>
          <t>IF(F277="","",IF(OR(AA277="Cancelled",AC277="Cancelled"),"Cancelled",IF(OR(AC277="Completed / Handover",Y277&lt;&gt;"",Z277&gt;=100),"Completed — on track",IF(O277="Not awarded",IF(U277="",IF(X277="","No planned date",IF(TODAY()&gt;X277,"Behind — past planned date",IF(X277-TODAY()&lt;=30,"At risk — close to off track","On track"))),IF(TODAY()&gt;U277,"Behind — award date passed",IF(U277-TODAY()&lt;=30,"At risk — close to off track","On track"))),IF(X277="","No planned date",IF(AND(TODAY()&gt;X277,OR(Z277="",Z277&lt;100)),"Behind — past end date",IF(AND(T277&lt;&gt;"",X277&lt;&gt;"",Z277&lt;&gt;"",(Z277&lt;100),((TODAY()-T277)/MAX(X277-T277,1)*100)-Z277&gt;15),"Behind — progress lag",IF(AND(X277-TODAY()&lt;=30,X277-TODAY()&gt;=0,OR(Z277="",Z277&lt;90)),"At risk — close to off track","On track"))))))))</t>
        </is>
      </c>
      <c r="AH277" s="49" t="inlineStr">
        <is>
          <t>IF(OR(F277="",AC277="Completed / Handover",AC277="Cancelled"),"",IF(O277="Not awarded",IF(U277&lt;&gt;"",U277-TODAY(),IF(X277="","",X277-TODAY())),IF(X277="","",X277-TODAY())))</t>
        </is>
      </c>
      <c r="AI277" s="47" t="n"/>
      <c r="AJ277" s="47" t="n"/>
      <c r="AK277" s="47" t="n"/>
      <c r="AL277" s="47" t="n"/>
      <c r="AM277" s="47" t="n"/>
      <c r="AN277" s="47" t="n"/>
      <c r="AO277" s="47" t="n"/>
      <c r="AP277" s="47" t="n"/>
      <c r="AQ277" s="47" t="n"/>
      <c r="AR277" s="47" t="n"/>
      <c r="AS277" s="47" t="n"/>
      <c r="AT277" s="50" t="n"/>
      <c r="AU277" s="50" t="n"/>
      <c r="AV277" s="50" t="n"/>
      <c r="AW277" s="49" t="inlineStr">
        <is>
          <t>IF(OR(F277="",AJ277=""),"",IF(COUNT(AI277:AI277)=0,"",AJ277-LOOKUP(2,1/(AI277:AI277&lt;&gt;""),AI277:AI277)))</t>
        </is>
      </c>
      <c r="AX277" s="49" t="inlineStr">
        <is>
          <t>IF(OR(F277="",AK277=""),"",IF(COUNT(AI277:AJ277)=0,"",AK277-LOOKUP(2,1/(AI277:AJ277&lt;&gt;""),AI277:AJ277)))</t>
        </is>
      </c>
      <c r="AY277" s="49" t="inlineStr">
        <is>
          <t>IF(OR(F277="",AL277=""),"",IF(COUNT(AI277:AK277)=0,"",AL277-LOOKUP(2,1/(AI277:AK277&lt;&gt;""),AI277:AK277)))</t>
        </is>
      </c>
      <c r="AZ277" s="49" t="inlineStr">
        <is>
          <t>IF(OR(F277="",AM277=""),"",IF(COUNT(AI277:AL277)=0,"",AM277-LOOKUP(2,1/(AI277:AL277&lt;&gt;""),AI277:AL277)))</t>
        </is>
      </c>
      <c r="BA277" s="49" t="inlineStr">
        <is>
          <t>IF(OR(F277="",AN277=""),"",IF(COUNT(AI277:AM277)=0,"",AN277-LOOKUP(2,1/(AI277:AM277&lt;&gt;""),AI277:AM277)))</t>
        </is>
      </c>
      <c r="BB277" s="49" t="inlineStr">
        <is>
          <t>IF(OR(F277="",AO277=""),"",IF(COUNT(AI277:AN277)=0,"",AO277-LOOKUP(2,1/(AI277:AN277&lt;&gt;""),AI277:AN277)))</t>
        </is>
      </c>
      <c r="BC277" s="49" t="inlineStr">
        <is>
          <t>IF(OR(F277="",AP277=""),"",IF(COUNT(AI277:AO277)=0,"",AP277-LOOKUP(2,1/(AI277:AO277&lt;&gt;""),AI277:AO277)))</t>
        </is>
      </c>
      <c r="BD277" s="49" t="inlineStr">
        <is>
          <t>IF(OR(F277="",AQ277=""),"",IF(COUNT(AI277:AP277)=0,"",AQ277-LOOKUP(2,1/(AI277:AP277&lt;&gt;""),AI277:AP277)))</t>
        </is>
      </c>
      <c r="BE277" s="49" t="inlineStr">
        <is>
          <t>IF(OR(F277="",AR277=""),"",IF(COUNT(AI277:AQ277)=0,"",AR277-LOOKUP(2,1/(AI277:AQ277&lt;&gt;""),AI277:AQ277)))</t>
        </is>
      </c>
      <c r="BF277" s="49" t="inlineStr">
        <is>
          <t>IF(OR(F277="",AS277=""),"",IF(COUNT(AI277:AR277)=0,"",AS277-LOOKUP(2,1/(AI277:AR277&lt;&gt;""),AI277:AR277)))</t>
        </is>
      </c>
      <c r="BG277" s="49" t="inlineStr">
        <is>
          <t>IF(OR(F277="",AT277=""),"",IF(COUNT(AI277:AS277)=0,"",AT277-LOOKUP(2,1/(AI277:AS277&lt;&gt;""),AI277:AS277)))</t>
        </is>
      </c>
      <c r="BH277" s="49" t="inlineStr">
        <is>
          <t>IF(OR(F277="",AU277=""),"",IF(COUNT(AI277:AT277)=0,"",AU277-LOOKUP(2,1/(AI277:AT277&lt;&gt;""),AI277:AT277)))</t>
        </is>
      </c>
      <c r="BI277" s="49" t="inlineStr">
        <is>
          <t>IF(OR(F277="",AV277=""),"",IF(COUNT(AI277:AU277)=0,"",AV277-LOOKUP(2,1/(AI277:AU277&lt;&gt;""),AI277:AU277)))</t>
        </is>
      </c>
      <c r="BJ277" s="51" t="inlineStr">
        <is>
          <t>IF(J277="","All_Provinces",IFERROR(VLOOKUP(J277,'09_Lookups'!$A$4:$B$20,2,FALSE),"All_Provinces"))</t>
        </is>
      </c>
      <c r="BK277" s="51" t="inlineStr">
        <is>
          <t>IF(K277="","All_Districts",IFERROR(VLOOKUP(K277,'09_Lookups'!$E$4:$F$42,2,FALSE),"All_Districts"))</t>
        </is>
      </c>
    </row>
    <row r="278" ht="18" customHeight="1">
      <c r="A278" s="42" t="inlineStr">
        <is>
          <t>IF(F278="","",ROW()-3)</t>
        </is>
      </c>
      <c r="B278" s="52" t="n"/>
      <c r="C278" s="52" t="n"/>
      <c r="D278" s="52" t="n"/>
      <c r="E278" s="52" t="n"/>
      <c r="F278" s="52" t="n"/>
      <c r="G278" s="52" t="n"/>
      <c r="H278" s="52" t="n"/>
      <c r="I278" s="52" t="n"/>
      <c r="J278" s="52" t="n"/>
      <c r="K278" s="52" t="n"/>
      <c r="L278" s="52" t="n"/>
      <c r="M278" s="52" t="n"/>
      <c r="N278" s="52" t="n"/>
      <c r="O278" s="52" t="n"/>
      <c r="P278" s="52" t="n"/>
      <c r="Q278" s="52" t="n"/>
      <c r="R278" s="52" t="n"/>
      <c r="S278" s="53" t="n"/>
      <c r="T278" s="46" t="inlineStr">
        <is>
          <t>IF(AQ278="","",AQ278)</t>
        </is>
      </c>
      <c r="U278" s="54" t="n"/>
      <c r="V278" s="55" t="n"/>
      <c r="W278" s="54" t="n"/>
      <c r="X278" s="46" t="inlineStr">
        <is>
          <t>IF(W278&lt;&gt;"",W278,IF(OR(T278="",V278=""),"",EDATE(T278,V278)))</t>
        </is>
      </c>
      <c r="Y278" s="54" t="n"/>
      <c r="Z278" s="55" t="n"/>
      <c r="AA278" s="52" t="n"/>
      <c r="AB278" s="52" t="n"/>
      <c r="AC278" s="42" t="inlineStr">
        <is>
          <t>IF(F278="","",IF(COUNT(AI278:AV278)=0,IF(AA278="","Not started",AA278),SUBSTITUTE(LOOKUP(2,1/(AI278:AV278&lt;&gt;""),$AI$3:$AV$3),"Date: ","")))</t>
        </is>
      </c>
      <c r="AD278" s="49" t="inlineStr">
        <is>
          <t>IF(OR(F278="",COUNT(AI278:AV278)=0),"",TODAY()-LOOKUP(2,1/(AI278:AV278&lt;&gt;""),AI278:AV278))</t>
        </is>
      </c>
      <c r="AE278" s="49" t="inlineStr">
        <is>
          <t>IF(OR(F278="",COUNT(AI278:AV278)&lt;2),"",LOOKUP(2,1/(AI278:AV278&lt;&gt;""),AI278:AV278)-MIN(AI278:AV278))</t>
        </is>
      </c>
      <c r="AF278" s="49" t="inlineStr">
        <is>
          <t>IF(OR(AD278="",AC278="Not started",AC278=""),"",IFERROR(AD278-IF(VLOOKUP(AC278,'06_Status_Pipeline'!$B$3:$E$20,4,FALSE)="",0,VLOOKUP(AC278,'06_Status_Pipeline'!$B$3:$E$20,4,FALSE)),""))</t>
        </is>
      </c>
      <c r="AG278" s="42" t="inlineStr">
        <is>
          <t>IF(F278="","",IF(OR(AA278="Cancelled",AC278="Cancelled"),"Cancelled",IF(OR(AC278="Completed / Handover",Y278&lt;&gt;"",Z278&gt;=100),"Completed — on track",IF(O278="Not awarded",IF(U278="",IF(X278="","No planned date",IF(TODAY()&gt;X278,"Behind — past planned date",IF(X278-TODAY()&lt;=30,"At risk — close to off track","On track"))),IF(TODAY()&gt;U278,"Behind — award date passed",IF(U278-TODAY()&lt;=30,"At risk — close to off track","On track"))),IF(X278="","No planned date",IF(AND(TODAY()&gt;X278,OR(Z278="",Z278&lt;100)),"Behind — past end date",IF(AND(T278&lt;&gt;"",X278&lt;&gt;"",Z278&lt;&gt;"",(Z278&lt;100),((TODAY()-T278)/MAX(X278-T278,1)*100)-Z278&gt;15),"Behind — progress lag",IF(AND(X278-TODAY()&lt;=30,X278-TODAY()&gt;=0,OR(Z278="",Z278&lt;90)),"At risk — close to off track","On track"))))))))</t>
        </is>
      </c>
      <c r="AH278" s="49" t="inlineStr">
        <is>
          <t>IF(OR(F278="",AC278="Completed / Handover",AC278="Cancelled"),"",IF(O278="Not awarded",IF(U278&lt;&gt;"",U278-TODAY(),IF(X278="","",X278-TODAY())),IF(X278="","",X278-TODAY())))</t>
        </is>
      </c>
      <c r="AI278" s="54" t="n"/>
      <c r="AJ278" s="54" t="n"/>
      <c r="AK278" s="54" t="n"/>
      <c r="AL278" s="54" t="n"/>
      <c r="AM278" s="54" t="n"/>
      <c r="AN278" s="54" t="n"/>
      <c r="AO278" s="54" t="n"/>
      <c r="AP278" s="54" t="n"/>
      <c r="AQ278" s="54" t="n"/>
      <c r="AR278" s="54" t="n"/>
      <c r="AS278" s="54" t="n"/>
      <c r="AT278" s="50" t="n"/>
      <c r="AU278" s="50" t="n"/>
      <c r="AV278" s="50" t="n"/>
      <c r="AW278" s="49" t="inlineStr">
        <is>
          <t>IF(OR(F278="",AJ278=""),"",IF(COUNT(AI278:AI278)=0,"",AJ278-LOOKUP(2,1/(AI278:AI278&lt;&gt;""),AI278:AI278)))</t>
        </is>
      </c>
      <c r="AX278" s="49" t="inlineStr">
        <is>
          <t>IF(OR(F278="",AK278=""),"",IF(COUNT(AI278:AJ278)=0,"",AK278-LOOKUP(2,1/(AI278:AJ278&lt;&gt;""),AI278:AJ278)))</t>
        </is>
      </c>
      <c r="AY278" s="49" t="inlineStr">
        <is>
          <t>IF(OR(F278="",AL278=""),"",IF(COUNT(AI278:AK278)=0,"",AL278-LOOKUP(2,1/(AI278:AK278&lt;&gt;""),AI278:AK278)))</t>
        </is>
      </c>
      <c r="AZ278" s="49" t="inlineStr">
        <is>
          <t>IF(OR(F278="",AM278=""),"",IF(COUNT(AI278:AL278)=0,"",AM278-LOOKUP(2,1/(AI278:AL278&lt;&gt;""),AI278:AL278)))</t>
        </is>
      </c>
      <c r="BA278" s="49" t="inlineStr">
        <is>
          <t>IF(OR(F278="",AN278=""),"",IF(COUNT(AI278:AM278)=0,"",AN278-LOOKUP(2,1/(AI278:AM278&lt;&gt;""),AI278:AM278)))</t>
        </is>
      </c>
      <c r="BB278" s="49" t="inlineStr">
        <is>
          <t>IF(OR(F278="",AO278=""),"",IF(COUNT(AI278:AN278)=0,"",AO278-LOOKUP(2,1/(AI278:AN278&lt;&gt;""),AI278:AN278)))</t>
        </is>
      </c>
      <c r="BC278" s="49" t="inlineStr">
        <is>
          <t>IF(OR(F278="",AP278=""),"",IF(COUNT(AI278:AO278)=0,"",AP278-LOOKUP(2,1/(AI278:AO278&lt;&gt;""),AI278:AO278)))</t>
        </is>
      </c>
      <c r="BD278" s="49" t="inlineStr">
        <is>
          <t>IF(OR(F278="",AQ278=""),"",IF(COUNT(AI278:AP278)=0,"",AQ278-LOOKUP(2,1/(AI278:AP278&lt;&gt;""),AI278:AP278)))</t>
        </is>
      </c>
      <c r="BE278" s="49" t="inlineStr">
        <is>
          <t>IF(OR(F278="",AR278=""),"",IF(COUNT(AI278:AQ278)=0,"",AR278-LOOKUP(2,1/(AI278:AQ278&lt;&gt;""),AI278:AQ278)))</t>
        </is>
      </c>
      <c r="BF278" s="49" t="inlineStr">
        <is>
          <t>IF(OR(F278="",AS278=""),"",IF(COUNT(AI278:AR278)=0,"",AS278-LOOKUP(2,1/(AI278:AR278&lt;&gt;""),AI278:AR278)))</t>
        </is>
      </c>
      <c r="BG278" s="49" t="inlineStr">
        <is>
          <t>IF(OR(F278="",AT278=""),"",IF(COUNT(AI278:AS278)=0,"",AT278-LOOKUP(2,1/(AI278:AS278&lt;&gt;""),AI278:AS278)))</t>
        </is>
      </c>
      <c r="BH278" s="49" t="inlineStr">
        <is>
          <t>IF(OR(F278="",AU278=""),"",IF(COUNT(AI278:AT278)=0,"",AU278-LOOKUP(2,1/(AI278:AT278&lt;&gt;""),AI278:AT278)))</t>
        </is>
      </c>
      <c r="BI278" s="49" t="inlineStr">
        <is>
          <t>IF(OR(F278="",AV278=""),"",IF(COUNT(AI278:AU278)=0,"",AV278-LOOKUP(2,1/(AI278:AU278&lt;&gt;""),AI278:AU278)))</t>
        </is>
      </c>
      <c r="BJ278" s="51" t="inlineStr">
        <is>
          <t>IF(J278="","All_Provinces",IFERROR(VLOOKUP(J278,'09_Lookups'!$A$4:$B$20,2,FALSE),"All_Provinces"))</t>
        </is>
      </c>
      <c r="BK278" s="51" t="inlineStr">
        <is>
          <t>IF(K278="","All_Districts",IFERROR(VLOOKUP(K278,'09_Lookups'!$E$4:$F$42,2,FALSE),"All_Districts"))</t>
        </is>
      </c>
    </row>
    <row r="279" ht="18" customHeight="1">
      <c r="A279" s="42" t="inlineStr">
        <is>
          <t>IF(F279="","",ROW()-3)</t>
        </is>
      </c>
      <c r="B279" s="44" t="n"/>
      <c r="C279" s="44" t="n"/>
      <c r="D279" s="44" t="n"/>
      <c r="E279" s="44" t="n"/>
      <c r="F279" s="44" t="n"/>
      <c r="G279" s="44" t="n"/>
      <c r="H279" s="44" t="n"/>
      <c r="I279" s="44" t="n"/>
      <c r="J279" s="44" t="n"/>
      <c r="K279" s="44" t="n"/>
      <c r="L279" s="44" t="n"/>
      <c r="M279" s="44" t="n"/>
      <c r="N279" s="44" t="n"/>
      <c r="O279" s="44" t="n"/>
      <c r="P279" s="44" t="n"/>
      <c r="Q279" s="44" t="n"/>
      <c r="R279" s="44" t="n"/>
      <c r="S279" s="45" t="n"/>
      <c r="T279" s="46" t="inlineStr">
        <is>
          <t>IF(AQ279="","",AQ279)</t>
        </is>
      </c>
      <c r="U279" s="47" t="n"/>
      <c r="V279" s="48" t="n"/>
      <c r="W279" s="47" t="n"/>
      <c r="X279" s="46" t="inlineStr">
        <is>
          <t>IF(W279&lt;&gt;"",W279,IF(OR(T279="",V279=""),"",EDATE(T279,V279)))</t>
        </is>
      </c>
      <c r="Y279" s="47" t="n"/>
      <c r="Z279" s="48" t="n"/>
      <c r="AA279" s="44" t="n"/>
      <c r="AB279" s="44" t="n"/>
      <c r="AC279" s="42" t="inlineStr">
        <is>
          <t>IF(F279="","",IF(COUNT(AI279:AV279)=0,IF(AA279="","Not started",AA279),SUBSTITUTE(LOOKUP(2,1/(AI279:AV279&lt;&gt;""),$AI$3:$AV$3),"Date: ","")))</t>
        </is>
      </c>
      <c r="AD279" s="49" t="inlineStr">
        <is>
          <t>IF(OR(F279="",COUNT(AI279:AV279)=0),"",TODAY()-LOOKUP(2,1/(AI279:AV279&lt;&gt;""),AI279:AV279))</t>
        </is>
      </c>
      <c r="AE279" s="49" t="inlineStr">
        <is>
          <t>IF(OR(F279="",COUNT(AI279:AV279)&lt;2),"",LOOKUP(2,1/(AI279:AV279&lt;&gt;""),AI279:AV279)-MIN(AI279:AV279))</t>
        </is>
      </c>
      <c r="AF279" s="49" t="inlineStr">
        <is>
          <t>IF(OR(AD279="",AC279="Not started",AC279=""),"",IFERROR(AD279-IF(VLOOKUP(AC279,'06_Status_Pipeline'!$B$3:$E$20,4,FALSE)="",0,VLOOKUP(AC279,'06_Status_Pipeline'!$B$3:$E$20,4,FALSE)),""))</t>
        </is>
      </c>
      <c r="AG279" s="42" t="inlineStr">
        <is>
          <t>IF(F279="","",IF(OR(AA279="Cancelled",AC279="Cancelled"),"Cancelled",IF(OR(AC279="Completed / Handover",Y279&lt;&gt;"",Z279&gt;=100),"Completed — on track",IF(O279="Not awarded",IF(U279="",IF(X279="","No planned date",IF(TODAY()&gt;X279,"Behind — past planned date",IF(X279-TODAY()&lt;=30,"At risk — close to off track","On track"))),IF(TODAY()&gt;U279,"Behind — award date passed",IF(U279-TODAY()&lt;=30,"At risk — close to off track","On track"))),IF(X279="","No planned date",IF(AND(TODAY()&gt;X279,OR(Z279="",Z279&lt;100)),"Behind — past end date",IF(AND(T279&lt;&gt;"",X279&lt;&gt;"",Z279&lt;&gt;"",(Z279&lt;100),((TODAY()-T279)/MAX(X279-T279,1)*100)-Z279&gt;15),"Behind — progress lag",IF(AND(X279-TODAY()&lt;=30,X279-TODAY()&gt;=0,OR(Z279="",Z279&lt;90)),"At risk — close to off track","On track"))))))))</t>
        </is>
      </c>
      <c r="AH279" s="49" t="inlineStr">
        <is>
          <t>IF(OR(F279="",AC279="Completed / Handover",AC279="Cancelled"),"",IF(O279="Not awarded",IF(U279&lt;&gt;"",U279-TODAY(),IF(X279="","",X279-TODAY())),IF(X279="","",X279-TODAY())))</t>
        </is>
      </c>
      <c r="AI279" s="47" t="n"/>
      <c r="AJ279" s="47" t="n"/>
      <c r="AK279" s="47" t="n"/>
      <c r="AL279" s="47" t="n"/>
      <c r="AM279" s="47" t="n"/>
      <c r="AN279" s="47" t="n"/>
      <c r="AO279" s="47" t="n"/>
      <c r="AP279" s="47" t="n"/>
      <c r="AQ279" s="47" t="n"/>
      <c r="AR279" s="47" t="n"/>
      <c r="AS279" s="47" t="n"/>
      <c r="AT279" s="50" t="n"/>
      <c r="AU279" s="50" t="n"/>
      <c r="AV279" s="50" t="n"/>
      <c r="AW279" s="49" t="inlineStr">
        <is>
          <t>IF(OR(F279="",AJ279=""),"",IF(COUNT(AI279:AI279)=0,"",AJ279-LOOKUP(2,1/(AI279:AI279&lt;&gt;""),AI279:AI279)))</t>
        </is>
      </c>
      <c r="AX279" s="49" t="inlineStr">
        <is>
          <t>IF(OR(F279="",AK279=""),"",IF(COUNT(AI279:AJ279)=0,"",AK279-LOOKUP(2,1/(AI279:AJ279&lt;&gt;""),AI279:AJ279)))</t>
        </is>
      </c>
      <c r="AY279" s="49" t="inlineStr">
        <is>
          <t>IF(OR(F279="",AL279=""),"",IF(COUNT(AI279:AK279)=0,"",AL279-LOOKUP(2,1/(AI279:AK279&lt;&gt;""),AI279:AK279)))</t>
        </is>
      </c>
      <c r="AZ279" s="49" t="inlineStr">
        <is>
          <t>IF(OR(F279="",AM279=""),"",IF(COUNT(AI279:AL279)=0,"",AM279-LOOKUP(2,1/(AI279:AL279&lt;&gt;""),AI279:AL279)))</t>
        </is>
      </c>
      <c r="BA279" s="49" t="inlineStr">
        <is>
          <t>IF(OR(F279="",AN279=""),"",IF(COUNT(AI279:AM279)=0,"",AN279-LOOKUP(2,1/(AI279:AM279&lt;&gt;""),AI279:AM279)))</t>
        </is>
      </c>
      <c r="BB279" s="49" t="inlineStr">
        <is>
          <t>IF(OR(F279="",AO279=""),"",IF(COUNT(AI279:AN279)=0,"",AO279-LOOKUP(2,1/(AI279:AN279&lt;&gt;""),AI279:AN279)))</t>
        </is>
      </c>
      <c r="BC279" s="49" t="inlineStr">
        <is>
          <t>IF(OR(F279="",AP279=""),"",IF(COUNT(AI279:AO279)=0,"",AP279-LOOKUP(2,1/(AI279:AO279&lt;&gt;""),AI279:AO279)))</t>
        </is>
      </c>
      <c r="BD279" s="49" t="inlineStr">
        <is>
          <t>IF(OR(F279="",AQ279=""),"",IF(COUNT(AI279:AP279)=0,"",AQ279-LOOKUP(2,1/(AI279:AP279&lt;&gt;""),AI279:AP279)))</t>
        </is>
      </c>
      <c r="BE279" s="49" t="inlineStr">
        <is>
          <t>IF(OR(F279="",AR279=""),"",IF(COUNT(AI279:AQ279)=0,"",AR279-LOOKUP(2,1/(AI279:AQ279&lt;&gt;""),AI279:AQ279)))</t>
        </is>
      </c>
      <c r="BF279" s="49" t="inlineStr">
        <is>
          <t>IF(OR(F279="",AS279=""),"",IF(COUNT(AI279:AR279)=0,"",AS279-LOOKUP(2,1/(AI279:AR279&lt;&gt;""),AI279:AR279)))</t>
        </is>
      </c>
      <c r="BG279" s="49" t="inlineStr">
        <is>
          <t>IF(OR(F279="",AT279=""),"",IF(COUNT(AI279:AS279)=0,"",AT279-LOOKUP(2,1/(AI279:AS279&lt;&gt;""),AI279:AS279)))</t>
        </is>
      </c>
      <c r="BH279" s="49" t="inlineStr">
        <is>
          <t>IF(OR(F279="",AU279=""),"",IF(COUNT(AI279:AT279)=0,"",AU279-LOOKUP(2,1/(AI279:AT279&lt;&gt;""),AI279:AT279)))</t>
        </is>
      </c>
      <c r="BI279" s="49" t="inlineStr">
        <is>
          <t>IF(OR(F279="",AV279=""),"",IF(COUNT(AI279:AU279)=0,"",AV279-LOOKUP(2,1/(AI279:AU279&lt;&gt;""),AI279:AU279)))</t>
        </is>
      </c>
      <c r="BJ279" s="51" t="inlineStr">
        <is>
          <t>IF(J279="","All_Provinces",IFERROR(VLOOKUP(J279,'09_Lookups'!$A$4:$B$20,2,FALSE),"All_Provinces"))</t>
        </is>
      </c>
      <c r="BK279" s="51" t="inlineStr">
        <is>
          <t>IF(K279="","All_Districts",IFERROR(VLOOKUP(K279,'09_Lookups'!$E$4:$F$42,2,FALSE),"All_Districts"))</t>
        </is>
      </c>
    </row>
    <row r="280" ht="18" customHeight="1">
      <c r="A280" s="42" t="inlineStr">
        <is>
          <t>IF(F280="","",ROW()-3)</t>
        </is>
      </c>
      <c r="B280" s="52" t="n"/>
      <c r="C280" s="52" t="n"/>
      <c r="D280" s="52" t="n"/>
      <c r="E280" s="52" t="n"/>
      <c r="F280" s="52" t="n"/>
      <c r="G280" s="52" t="n"/>
      <c r="H280" s="52" t="n"/>
      <c r="I280" s="52" t="n"/>
      <c r="J280" s="52" t="n"/>
      <c r="K280" s="52" t="n"/>
      <c r="L280" s="52" t="n"/>
      <c r="M280" s="52" t="n"/>
      <c r="N280" s="52" t="n"/>
      <c r="O280" s="52" t="n"/>
      <c r="P280" s="52" t="n"/>
      <c r="Q280" s="52" t="n"/>
      <c r="R280" s="52" t="n"/>
      <c r="S280" s="53" t="n"/>
      <c r="T280" s="46" t="inlineStr">
        <is>
          <t>IF(AQ280="","",AQ280)</t>
        </is>
      </c>
      <c r="U280" s="54" t="n"/>
      <c r="V280" s="55" t="n"/>
      <c r="W280" s="54" t="n"/>
      <c r="X280" s="46" t="inlineStr">
        <is>
          <t>IF(W280&lt;&gt;"",W280,IF(OR(T280="",V280=""),"",EDATE(T280,V280)))</t>
        </is>
      </c>
      <c r="Y280" s="54" t="n"/>
      <c r="Z280" s="55" t="n"/>
      <c r="AA280" s="52" t="n"/>
      <c r="AB280" s="52" t="n"/>
      <c r="AC280" s="42" t="inlineStr">
        <is>
          <t>IF(F280="","",IF(COUNT(AI280:AV280)=0,IF(AA280="","Not started",AA280),SUBSTITUTE(LOOKUP(2,1/(AI280:AV280&lt;&gt;""),$AI$3:$AV$3),"Date: ","")))</t>
        </is>
      </c>
      <c r="AD280" s="49" t="inlineStr">
        <is>
          <t>IF(OR(F280="",COUNT(AI280:AV280)=0),"",TODAY()-LOOKUP(2,1/(AI280:AV280&lt;&gt;""),AI280:AV280))</t>
        </is>
      </c>
      <c r="AE280" s="49" t="inlineStr">
        <is>
          <t>IF(OR(F280="",COUNT(AI280:AV280)&lt;2),"",LOOKUP(2,1/(AI280:AV280&lt;&gt;""),AI280:AV280)-MIN(AI280:AV280))</t>
        </is>
      </c>
      <c r="AF280" s="49" t="inlineStr">
        <is>
          <t>IF(OR(AD280="",AC280="Not started",AC280=""),"",IFERROR(AD280-IF(VLOOKUP(AC280,'06_Status_Pipeline'!$B$3:$E$20,4,FALSE)="",0,VLOOKUP(AC280,'06_Status_Pipeline'!$B$3:$E$20,4,FALSE)),""))</t>
        </is>
      </c>
      <c r="AG280" s="42" t="inlineStr">
        <is>
          <t>IF(F280="","",IF(OR(AA280="Cancelled",AC280="Cancelled"),"Cancelled",IF(OR(AC280="Completed / Handover",Y280&lt;&gt;"",Z280&gt;=100),"Completed — on track",IF(O280="Not awarded",IF(U280="",IF(X280="","No planned date",IF(TODAY()&gt;X280,"Behind — past planned date",IF(X280-TODAY()&lt;=30,"At risk — close to off track","On track"))),IF(TODAY()&gt;U280,"Behind — award date passed",IF(U280-TODAY()&lt;=30,"At risk — close to off track","On track"))),IF(X280="","No planned date",IF(AND(TODAY()&gt;X280,OR(Z280="",Z280&lt;100)),"Behind — past end date",IF(AND(T280&lt;&gt;"",X280&lt;&gt;"",Z280&lt;&gt;"",(Z280&lt;100),((TODAY()-T280)/MAX(X280-T280,1)*100)-Z280&gt;15),"Behind — progress lag",IF(AND(X280-TODAY()&lt;=30,X280-TODAY()&gt;=0,OR(Z280="",Z280&lt;90)),"At risk — close to off track","On track"))))))))</t>
        </is>
      </c>
      <c r="AH280" s="49" t="inlineStr">
        <is>
          <t>IF(OR(F280="",AC280="Completed / Handover",AC280="Cancelled"),"",IF(O280="Not awarded",IF(U280&lt;&gt;"",U280-TODAY(),IF(X280="","",X280-TODAY())),IF(X280="","",X280-TODAY())))</t>
        </is>
      </c>
      <c r="AI280" s="54" t="n"/>
      <c r="AJ280" s="54" t="n"/>
      <c r="AK280" s="54" t="n"/>
      <c r="AL280" s="54" t="n"/>
      <c r="AM280" s="54" t="n"/>
      <c r="AN280" s="54" t="n"/>
      <c r="AO280" s="54" t="n"/>
      <c r="AP280" s="54" t="n"/>
      <c r="AQ280" s="54" t="n"/>
      <c r="AR280" s="54" t="n"/>
      <c r="AS280" s="54" t="n"/>
      <c r="AT280" s="50" t="n"/>
      <c r="AU280" s="50" t="n"/>
      <c r="AV280" s="50" t="n"/>
      <c r="AW280" s="49" t="inlineStr">
        <is>
          <t>IF(OR(F280="",AJ280=""),"",IF(COUNT(AI280:AI280)=0,"",AJ280-LOOKUP(2,1/(AI280:AI280&lt;&gt;""),AI280:AI280)))</t>
        </is>
      </c>
      <c r="AX280" s="49" t="inlineStr">
        <is>
          <t>IF(OR(F280="",AK280=""),"",IF(COUNT(AI280:AJ280)=0,"",AK280-LOOKUP(2,1/(AI280:AJ280&lt;&gt;""),AI280:AJ280)))</t>
        </is>
      </c>
      <c r="AY280" s="49" t="inlineStr">
        <is>
          <t>IF(OR(F280="",AL280=""),"",IF(COUNT(AI280:AK280)=0,"",AL280-LOOKUP(2,1/(AI280:AK280&lt;&gt;""),AI280:AK280)))</t>
        </is>
      </c>
      <c r="AZ280" s="49" t="inlineStr">
        <is>
          <t>IF(OR(F280="",AM280=""),"",IF(COUNT(AI280:AL280)=0,"",AM280-LOOKUP(2,1/(AI280:AL280&lt;&gt;""),AI280:AL280)))</t>
        </is>
      </c>
      <c r="BA280" s="49" t="inlineStr">
        <is>
          <t>IF(OR(F280="",AN280=""),"",IF(COUNT(AI280:AM280)=0,"",AN280-LOOKUP(2,1/(AI280:AM280&lt;&gt;""),AI280:AM280)))</t>
        </is>
      </c>
      <c r="BB280" s="49" t="inlineStr">
        <is>
          <t>IF(OR(F280="",AO280=""),"",IF(COUNT(AI280:AN280)=0,"",AO280-LOOKUP(2,1/(AI280:AN280&lt;&gt;""),AI280:AN280)))</t>
        </is>
      </c>
      <c r="BC280" s="49" t="inlineStr">
        <is>
          <t>IF(OR(F280="",AP280=""),"",IF(COUNT(AI280:AO280)=0,"",AP280-LOOKUP(2,1/(AI280:AO280&lt;&gt;""),AI280:AO280)))</t>
        </is>
      </c>
      <c r="BD280" s="49" t="inlineStr">
        <is>
          <t>IF(OR(F280="",AQ280=""),"",IF(COUNT(AI280:AP280)=0,"",AQ280-LOOKUP(2,1/(AI280:AP280&lt;&gt;""),AI280:AP280)))</t>
        </is>
      </c>
      <c r="BE280" s="49" t="inlineStr">
        <is>
          <t>IF(OR(F280="",AR280=""),"",IF(COUNT(AI280:AQ280)=0,"",AR280-LOOKUP(2,1/(AI280:AQ280&lt;&gt;""),AI280:AQ280)))</t>
        </is>
      </c>
      <c r="BF280" s="49" t="inlineStr">
        <is>
          <t>IF(OR(F280="",AS280=""),"",IF(COUNT(AI280:AR280)=0,"",AS280-LOOKUP(2,1/(AI280:AR280&lt;&gt;""),AI280:AR280)))</t>
        </is>
      </c>
      <c r="BG280" s="49" t="inlineStr">
        <is>
          <t>IF(OR(F280="",AT280=""),"",IF(COUNT(AI280:AS280)=0,"",AT280-LOOKUP(2,1/(AI280:AS280&lt;&gt;""),AI280:AS280)))</t>
        </is>
      </c>
      <c r="BH280" s="49" t="inlineStr">
        <is>
          <t>IF(OR(F280="",AU280=""),"",IF(COUNT(AI280:AT280)=0,"",AU280-LOOKUP(2,1/(AI280:AT280&lt;&gt;""),AI280:AT280)))</t>
        </is>
      </c>
      <c r="BI280" s="49" t="inlineStr">
        <is>
          <t>IF(OR(F280="",AV280=""),"",IF(COUNT(AI280:AU280)=0,"",AV280-LOOKUP(2,1/(AI280:AU280&lt;&gt;""),AI280:AU280)))</t>
        </is>
      </c>
      <c r="BJ280" s="51" t="inlineStr">
        <is>
          <t>IF(J280="","All_Provinces",IFERROR(VLOOKUP(J280,'09_Lookups'!$A$4:$B$20,2,FALSE),"All_Provinces"))</t>
        </is>
      </c>
      <c r="BK280" s="51" t="inlineStr">
        <is>
          <t>IF(K280="","All_Districts",IFERROR(VLOOKUP(K280,'09_Lookups'!$E$4:$F$42,2,FALSE),"All_Districts"))</t>
        </is>
      </c>
    </row>
    <row r="281" ht="18" customHeight="1">
      <c r="A281" s="42" t="inlineStr">
        <is>
          <t>IF(F281="","",ROW()-3)</t>
        </is>
      </c>
      <c r="B281" s="44" t="n"/>
      <c r="C281" s="44" t="n"/>
      <c r="D281" s="44" t="n"/>
      <c r="E281" s="44" t="n"/>
      <c r="F281" s="44" t="n"/>
      <c r="G281" s="44" t="n"/>
      <c r="H281" s="44" t="n"/>
      <c r="I281" s="44" t="n"/>
      <c r="J281" s="44" t="n"/>
      <c r="K281" s="44" t="n"/>
      <c r="L281" s="44" t="n"/>
      <c r="M281" s="44" t="n"/>
      <c r="N281" s="44" t="n"/>
      <c r="O281" s="44" t="n"/>
      <c r="P281" s="44" t="n"/>
      <c r="Q281" s="44" t="n"/>
      <c r="R281" s="44" t="n"/>
      <c r="S281" s="45" t="n"/>
      <c r="T281" s="46" t="inlineStr">
        <is>
          <t>IF(AQ281="","",AQ281)</t>
        </is>
      </c>
      <c r="U281" s="47" t="n"/>
      <c r="V281" s="48" t="n"/>
      <c r="W281" s="47" t="n"/>
      <c r="X281" s="46" t="inlineStr">
        <is>
          <t>IF(W281&lt;&gt;"",W281,IF(OR(T281="",V281=""),"",EDATE(T281,V281)))</t>
        </is>
      </c>
      <c r="Y281" s="47" t="n"/>
      <c r="Z281" s="48" t="n"/>
      <c r="AA281" s="44" t="n"/>
      <c r="AB281" s="44" t="n"/>
      <c r="AC281" s="42" t="inlineStr">
        <is>
          <t>IF(F281="","",IF(COUNT(AI281:AV281)=0,IF(AA281="","Not started",AA281),SUBSTITUTE(LOOKUP(2,1/(AI281:AV281&lt;&gt;""),$AI$3:$AV$3),"Date: ","")))</t>
        </is>
      </c>
      <c r="AD281" s="49" t="inlineStr">
        <is>
          <t>IF(OR(F281="",COUNT(AI281:AV281)=0),"",TODAY()-LOOKUP(2,1/(AI281:AV281&lt;&gt;""),AI281:AV281))</t>
        </is>
      </c>
      <c r="AE281" s="49" t="inlineStr">
        <is>
          <t>IF(OR(F281="",COUNT(AI281:AV281)&lt;2),"",LOOKUP(2,1/(AI281:AV281&lt;&gt;""),AI281:AV281)-MIN(AI281:AV281))</t>
        </is>
      </c>
      <c r="AF281" s="49" t="inlineStr">
        <is>
          <t>IF(OR(AD281="",AC281="Not started",AC281=""),"",IFERROR(AD281-IF(VLOOKUP(AC281,'06_Status_Pipeline'!$B$3:$E$20,4,FALSE)="",0,VLOOKUP(AC281,'06_Status_Pipeline'!$B$3:$E$20,4,FALSE)),""))</t>
        </is>
      </c>
      <c r="AG281" s="42" t="inlineStr">
        <is>
          <t>IF(F281="","",IF(OR(AA281="Cancelled",AC281="Cancelled"),"Cancelled",IF(OR(AC281="Completed / Handover",Y281&lt;&gt;"",Z281&gt;=100),"Completed — on track",IF(O281="Not awarded",IF(U281="",IF(X281="","No planned date",IF(TODAY()&gt;X281,"Behind — past planned date",IF(X281-TODAY()&lt;=30,"At risk — close to off track","On track"))),IF(TODAY()&gt;U281,"Behind — award date passed",IF(U281-TODAY()&lt;=30,"At risk — close to off track","On track"))),IF(X281="","No planned date",IF(AND(TODAY()&gt;X281,OR(Z281="",Z281&lt;100)),"Behind — past end date",IF(AND(T281&lt;&gt;"",X281&lt;&gt;"",Z281&lt;&gt;"",(Z281&lt;100),((TODAY()-T281)/MAX(X281-T281,1)*100)-Z281&gt;15),"Behind — progress lag",IF(AND(X281-TODAY()&lt;=30,X281-TODAY()&gt;=0,OR(Z281="",Z281&lt;90)),"At risk — close to off track","On track"))))))))</t>
        </is>
      </c>
      <c r="AH281" s="49" t="inlineStr">
        <is>
          <t>IF(OR(F281="",AC281="Completed / Handover",AC281="Cancelled"),"",IF(O281="Not awarded",IF(U281&lt;&gt;"",U281-TODAY(),IF(X281="","",X281-TODAY())),IF(X281="","",X281-TODAY())))</t>
        </is>
      </c>
      <c r="AI281" s="47" t="n"/>
      <c r="AJ281" s="47" t="n"/>
      <c r="AK281" s="47" t="n"/>
      <c r="AL281" s="47" t="n"/>
      <c r="AM281" s="47" t="n"/>
      <c r="AN281" s="47" t="n"/>
      <c r="AO281" s="47" t="n"/>
      <c r="AP281" s="47" t="n"/>
      <c r="AQ281" s="47" t="n"/>
      <c r="AR281" s="47" t="n"/>
      <c r="AS281" s="47" t="n"/>
      <c r="AT281" s="50" t="n"/>
      <c r="AU281" s="50" t="n"/>
      <c r="AV281" s="50" t="n"/>
      <c r="AW281" s="49" t="inlineStr">
        <is>
          <t>IF(OR(F281="",AJ281=""),"",IF(COUNT(AI281:AI281)=0,"",AJ281-LOOKUP(2,1/(AI281:AI281&lt;&gt;""),AI281:AI281)))</t>
        </is>
      </c>
      <c r="AX281" s="49" t="inlineStr">
        <is>
          <t>IF(OR(F281="",AK281=""),"",IF(COUNT(AI281:AJ281)=0,"",AK281-LOOKUP(2,1/(AI281:AJ281&lt;&gt;""),AI281:AJ281)))</t>
        </is>
      </c>
      <c r="AY281" s="49" t="inlineStr">
        <is>
          <t>IF(OR(F281="",AL281=""),"",IF(COUNT(AI281:AK281)=0,"",AL281-LOOKUP(2,1/(AI281:AK281&lt;&gt;""),AI281:AK281)))</t>
        </is>
      </c>
      <c r="AZ281" s="49" t="inlineStr">
        <is>
          <t>IF(OR(F281="",AM281=""),"",IF(COUNT(AI281:AL281)=0,"",AM281-LOOKUP(2,1/(AI281:AL281&lt;&gt;""),AI281:AL281)))</t>
        </is>
      </c>
      <c r="BA281" s="49" t="inlineStr">
        <is>
          <t>IF(OR(F281="",AN281=""),"",IF(COUNT(AI281:AM281)=0,"",AN281-LOOKUP(2,1/(AI281:AM281&lt;&gt;""),AI281:AM281)))</t>
        </is>
      </c>
      <c r="BB281" s="49" t="inlineStr">
        <is>
          <t>IF(OR(F281="",AO281=""),"",IF(COUNT(AI281:AN281)=0,"",AO281-LOOKUP(2,1/(AI281:AN281&lt;&gt;""),AI281:AN281)))</t>
        </is>
      </c>
      <c r="BC281" s="49" t="inlineStr">
        <is>
          <t>IF(OR(F281="",AP281=""),"",IF(COUNT(AI281:AO281)=0,"",AP281-LOOKUP(2,1/(AI281:AO281&lt;&gt;""),AI281:AO281)))</t>
        </is>
      </c>
      <c r="BD281" s="49" t="inlineStr">
        <is>
          <t>IF(OR(F281="",AQ281=""),"",IF(COUNT(AI281:AP281)=0,"",AQ281-LOOKUP(2,1/(AI281:AP281&lt;&gt;""),AI281:AP281)))</t>
        </is>
      </c>
      <c r="BE281" s="49" t="inlineStr">
        <is>
          <t>IF(OR(F281="",AR281=""),"",IF(COUNT(AI281:AQ281)=0,"",AR281-LOOKUP(2,1/(AI281:AQ281&lt;&gt;""),AI281:AQ281)))</t>
        </is>
      </c>
      <c r="BF281" s="49" t="inlineStr">
        <is>
          <t>IF(OR(F281="",AS281=""),"",IF(COUNT(AI281:AR281)=0,"",AS281-LOOKUP(2,1/(AI281:AR281&lt;&gt;""),AI281:AR281)))</t>
        </is>
      </c>
      <c r="BG281" s="49" t="inlineStr">
        <is>
          <t>IF(OR(F281="",AT281=""),"",IF(COUNT(AI281:AS281)=0,"",AT281-LOOKUP(2,1/(AI281:AS281&lt;&gt;""),AI281:AS281)))</t>
        </is>
      </c>
      <c r="BH281" s="49" t="inlineStr">
        <is>
          <t>IF(OR(F281="",AU281=""),"",IF(COUNT(AI281:AT281)=0,"",AU281-LOOKUP(2,1/(AI281:AT281&lt;&gt;""),AI281:AT281)))</t>
        </is>
      </c>
      <c r="BI281" s="49" t="inlineStr">
        <is>
          <t>IF(OR(F281="",AV281=""),"",IF(COUNT(AI281:AU281)=0,"",AV281-LOOKUP(2,1/(AI281:AU281&lt;&gt;""),AI281:AU281)))</t>
        </is>
      </c>
      <c r="BJ281" s="51" t="inlineStr">
        <is>
          <t>IF(J281="","All_Provinces",IFERROR(VLOOKUP(J281,'09_Lookups'!$A$4:$B$20,2,FALSE),"All_Provinces"))</t>
        </is>
      </c>
      <c r="BK281" s="51" t="inlineStr">
        <is>
          <t>IF(K281="","All_Districts",IFERROR(VLOOKUP(K281,'09_Lookups'!$E$4:$F$42,2,FALSE),"All_Districts"))</t>
        </is>
      </c>
    </row>
    <row r="282" ht="18" customHeight="1">
      <c r="A282" s="42" t="inlineStr">
        <is>
          <t>IF(F282="","",ROW()-3)</t>
        </is>
      </c>
      <c r="B282" s="52" t="n"/>
      <c r="C282" s="52" t="n"/>
      <c r="D282" s="52" t="n"/>
      <c r="E282" s="52" t="n"/>
      <c r="F282" s="52" t="n"/>
      <c r="G282" s="52" t="n"/>
      <c r="H282" s="52" t="n"/>
      <c r="I282" s="52" t="n"/>
      <c r="J282" s="52" t="n"/>
      <c r="K282" s="52" t="n"/>
      <c r="L282" s="52" t="n"/>
      <c r="M282" s="52" t="n"/>
      <c r="N282" s="52" t="n"/>
      <c r="O282" s="52" t="n"/>
      <c r="P282" s="52" t="n"/>
      <c r="Q282" s="52" t="n"/>
      <c r="R282" s="52" t="n"/>
      <c r="S282" s="53" t="n"/>
      <c r="T282" s="46" t="inlineStr">
        <is>
          <t>IF(AQ282="","",AQ282)</t>
        </is>
      </c>
      <c r="U282" s="54" t="n"/>
      <c r="V282" s="55" t="n"/>
      <c r="W282" s="54" t="n"/>
      <c r="X282" s="46" t="inlineStr">
        <is>
          <t>IF(W282&lt;&gt;"",W282,IF(OR(T282="",V282=""),"",EDATE(T282,V282)))</t>
        </is>
      </c>
      <c r="Y282" s="54" t="n"/>
      <c r="Z282" s="55" t="n"/>
      <c r="AA282" s="52" t="n"/>
      <c r="AB282" s="52" t="n"/>
      <c r="AC282" s="42" t="inlineStr">
        <is>
          <t>IF(F282="","",IF(COUNT(AI282:AV282)=0,IF(AA282="","Not started",AA282),SUBSTITUTE(LOOKUP(2,1/(AI282:AV282&lt;&gt;""),$AI$3:$AV$3),"Date: ","")))</t>
        </is>
      </c>
      <c r="AD282" s="49" t="inlineStr">
        <is>
          <t>IF(OR(F282="",COUNT(AI282:AV282)=0),"",TODAY()-LOOKUP(2,1/(AI282:AV282&lt;&gt;""),AI282:AV282))</t>
        </is>
      </c>
      <c r="AE282" s="49" t="inlineStr">
        <is>
          <t>IF(OR(F282="",COUNT(AI282:AV282)&lt;2),"",LOOKUP(2,1/(AI282:AV282&lt;&gt;""),AI282:AV282)-MIN(AI282:AV282))</t>
        </is>
      </c>
      <c r="AF282" s="49" t="inlineStr">
        <is>
          <t>IF(OR(AD282="",AC282="Not started",AC282=""),"",IFERROR(AD282-IF(VLOOKUP(AC282,'06_Status_Pipeline'!$B$3:$E$20,4,FALSE)="",0,VLOOKUP(AC282,'06_Status_Pipeline'!$B$3:$E$20,4,FALSE)),""))</t>
        </is>
      </c>
      <c r="AG282" s="42" t="inlineStr">
        <is>
          <t>IF(F282="","",IF(OR(AA282="Cancelled",AC282="Cancelled"),"Cancelled",IF(OR(AC282="Completed / Handover",Y282&lt;&gt;"",Z282&gt;=100),"Completed — on track",IF(O282="Not awarded",IF(U282="",IF(X282="","No planned date",IF(TODAY()&gt;X282,"Behind — past planned date",IF(X282-TODAY()&lt;=30,"At risk — close to off track","On track"))),IF(TODAY()&gt;U282,"Behind — award date passed",IF(U282-TODAY()&lt;=30,"At risk — close to off track","On track"))),IF(X282="","No planned date",IF(AND(TODAY()&gt;X282,OR(Z282="",Z282&lt;100)),"Behind — past end date",IF(AND(T282&lt;&gt;"",X282&lt;&gt;"",Z282&lt;&gt;"",(Z282&lt;100),((TODAY()-T282)/MAX(X282-T282,1)*100)-Z282&gt;15),"Behind — progress lag",IF(AND(X282-TODAY()&lt;=30,X282-TODAY()&gt;=0,OR(Z282="",Z282&lt;90)),"At risk — close to off track","On track"))))))))</t>
        </is>
      </c>
      <c r="AH282" s="49" t="inlineStr">
        <is>
          <t>IF(OR(F282="",AC282="Completed / Handover",AC282="Cancelled"),"",IF(O282="Not awarded",IF(U282&lt;&gt;"",U282-TODAY(),IF(X282="","",X282-TODAY())),IF(X282="","",X282-TODAY())))</t>
        </is>
      </c>
      <c r="AI282" s="54" t="n"/>
      <c r="AJ282" s="54" t="n"/>
      <c r="AK282" s="54" t="n"/>
      <c r="AL282" s="54" t="n"/>
      <c r="AM282" s="54" t="n"/>
      <c r="AN282" s="54" t="n"/>
      <c r="AO282" s="54" t="n"/>
      <c r="AP282" s="54" t="n"/>
      <c r="AQ282" s="54" t="n"/>
      <c r="AR282" s="54" t="n"/>
      <c r="AS282" s="54" t="n"/>
      <c r="AT282" s="50" t="n"/>
      <c r="AU282" s="50" t="n"/>
      <c r="AV282" s="50" t="n"/>
      <c r="AW282" s="49" t="inlineStr">
        <is>
          <t>IF(OR(F282="",AJ282=""),"",IF(COUNT(AI282:AI282)=0,"",AJ282-LOOKUP(2,1/(AI282:AI282&lt;&gt;""),AI282:AI282)))</t>
        </is>
      </c>
      <c r="AX282" s="49" t="inlineStr">
        <is>
          <t>IF(OR(F282="",AK282=""),"",IF(COUNT(AI282:AJ282)=0,"",AK282-LOOKUP(2,1/(AI282:AJ282&lt;&gt;""),AI282:AJ282)))</t>
        </is>
      </c>
      <c r="AY282" s="49" t="inlineStr">
        <is>
          <t>IF(OR(F282="",AL282=""),"",IF(COUNT(AI282:AK282)=0,"",AL282-LOOKUP(2,1/(AI282:AK282&lt;&gt;""),AI282:AK282)))</t>
        </is>
      </c>
      <c r="AZ282" s="49" t="inlineStr">
        <is>
          <t>IF(OR(F282="",AM282=""),"",IF(COUNT(AI282:AL282)=0,"",AM282-LOOKUP(2,1/(AI282:AL282&lt;&gt;""),AI282:AL282)))</t>
        </is>
      </c>
      <c r="BA282" s="49" t="inlineStr">
        <is>
          <t>IF(OR(F282="",AN282=""),"",IF(COUNT(AI282:AM282)=0,"",AN282-LOOKUP(2,1/(AI282:AM282&lt;&gt;""),AI282:AM282)))</t>
        </is>
      </c>
      <c r="BB282" s="49" t="inlineStr">
        <is>
          <t>IF(OR(F282="",AO282=""),"",IF(COUNT(AI282:AN282)=0,"",AO282-LOOKUP(2,1/(AI282:AN282&lt;&gt;""),AI282:AN282)))</t>
        </is>
      </c>
      <c r="BC282" s="49" t="inlineStr">
        <is>
          <t>IF(OR(F282="",AP282=""),"",IF(COUNT(AI282:AO282)=0,"",AP282-LOOKUP(2,1/(AI282:AO282&lt;&gt;""),AI282:AO282)))</t>
        </is>
      </c>
      <c r="BD282" s="49" t="inlineStr">
        <is>
          <t>IF(OR(F282="",AQ282=""),"",IF(COUNT(AI282:AP282)=0,"",AQ282-LOOKUP(2,1/(AI282:AP282&lt;&gt;""),AI282:AP282)))</t>
        </is>
      </c>
      <c r="BE282" s="49" t="inlineStr">
        <is>
          <t>IF(OR(F282="",AR282=""),"",IF(COUNT(AI282:AQ282)=0,"",AR282-LOOKUP(2,1/(AI282:AQ282&lt;&gt;""),AI282:AQ282)))</t>
        </is>
      </c>
      <c r="BF282" s="49" t="inlineStr">
        <is>
          <t>IF(OR(F282="",AS282=""),"",IF(COUNT(AI282:AR282)=0,"",AS282-LOOKUP(2,1/(AI282:AR282&lt;&gt;""),AI282:AR282)))</t>
        </is>
      </c>
      <c r="BG282" s="49" t="inlineStr">
        <is>
          <t>IF(OR(F282="",AT282=""),"",IF(COUNT(AI282:AS282)=0,"",AT282-LOOKUP(2,1/(AI282:AS282&lt;&gt;""),AI282:AS282)))</t>
        </is>
      </c>
      <c r="BH282" s="49" t="inlineStr">
        <is>
          <t>IF(OR(F282="",AU282=""),"",IF(COUNT(AI282:AT282)=0,"",AU282-LOOKUP(2,1/(AI282:AT282&lt;&gt;""),AI282:AT282)))</t>
        </is>
      </c>
      <c r="BI282" s="49" t="inlineStr">
        <is>
          <t>IF(OR(F282="",AV282=""),"",IF(COUNT(AI282:AU282)=0,"",AV282-LOOKUP(2,1/(AI282:AU282&lt;&gt;""),AI282:AU282)))</t>
        </is>
      </c>
      <c r="BJ282" s="51" t="inlineStr">
        <is>
          <t>IF(J282="","All_Provinces",IFERROR(VLOOKUP(J282,'09_Lookups'!$A$4:$B$20,2,FALSE),"All_Provinces"))</t>
        </is>
      </c>
      <c r="BK282" s="51" t="inlineStr">
        <is>
          <t>IF(K282="","All_Districts",IFERROR(VLOOKUP(K282,'09_Lookups'!$E$4:$F$42,2,FALSE),"All_Districts"))</t>
        </is>
      </c>
    </row>
    <row r="283" ht="18" customHeight="1">
      <c r="A283" s="42" t="inlineStr">
        <is>
          <t>IF(F283="","",ROW()-3)</t>
        </is>
      </c>
      <c r="B283" s="44" t="n"/>
      <c r="C283" s="44" t="n"/>
      <c r="D283" s="44" t="n"/>
      <c r="E283" s="44" t="n"/>
      <c r="F283" s="44" t="n"/>
      <c r="G283" s="44" t="n"/>
      <c r="H283" s="44" t="n"/>
      <c r="I283" s="44" t="n"/>
      <c r="J283" s="44" t="n"/>
      <c r="K283" s="44" t="n"/>
      <c r="L283" s="44" t="n"/>
      <c r="M283" s="44" t="n"/>
      <c r="N283" s="44" t="n"/>
      <c r="O283" s="44" t="n"/>
      <c r="P283" s="44" t="n"/>
      <c r="Q283" s="44" t="n"/>
      <c r="R283" s="44" t="n"/>
      <c r="S283" s="45" t="n"/>
      <c r="T283" s="46" t="inlineStr">
        <is>
          <t>IF(AQ283="","",AQ283)</t>
        </is>
      </c>
      <c r="U283" s="47" t="n"/>
      <c r="V283" s="48" t="n"/>
      <c r="W283" s="47" t="n"/>
      <c r="X283" s="46" t="inlineStr">
        <is>
          <t>IF(W283&lt;&gt;"",W283,IF(OR(T283="",V283=""),"",EDATE(T283,V283)))</t>
        </is>
      </c>
      <c r="Y283" s="47" t="n"/>
      <c r="Z283" s="48" t="n"/>
      <c r="AA283" s="44" t="n"/>
      <c r="AB283" s="44" t="n"/>
      <c r="AC283" s="42" t="inlineStr">
        <is>
          <t>IF(F283="","",IF(COUNT(AI283:AV283)=0,IF(AA283="","Not started",AA283),SUBSTITUTE(LOOKUP(2,1/(AI283:AV283&lt;&gt;""),$AI$3:$AV$3),"Date: ","")))</t>
        </is>
      </c>
      <c r="AD283" s="49" t="inlineStr">
        <is>
          <t>IF(OR(F283="",COUNT(AI283:AV283)=0),"",TODAY()-LOOKUP(2,1/(AI283:AV283&lt;&gt;""),AI283:AV283))</t>
        </is>
      </c>
      <c r="AE283" s="49" t="inlineStr">
        <is>
          <t>IF(OR(F283="",COUNT(AI283:AV283)&lt;2),"",LOOKUP(2,1/(AI283:AV283&lt;&gt;""),AI283:AV283)-MIN(AI283:AV283))</t>
        </is>
      </c>
      <c r="AF283" s="49" t="inlineStr">
        <is>
          <t>IF(OR(AD283="",AC283="Not started",AC283=""),"",IFERROR(AD283-IF(VLOOKUP(AC283,'06_Status_Pipeline'!$B$3:$E$20,4,FALSE)="",0,VLOOKUP(AC283,'06_Status_Pipeline'!$B$3:$E$20,4,FALSE)),""))</t>
        </is>
      </c>
      <c r="AG283" s="42" t="inlineStr">
        <is>
          <t>IF(F283="","",IF(OR(AA283="Cancelled",AC283="Cancelled"),"Cancelled",IF(OR(AC283="Completed / Handover",Y283&lt;&gt;"",Z283&gt;=100),"Completed — on track",IF(O283="Not awarded",IF(U283="",IF(X283="","No planned date",IF(TODAY()&gt;X283,"Behind — past planned date",IF(X283-TODAY()&lt;=30,"At risk — close to off track","On track"))),IF(TODAY()&gt;U283,"Behind — award date passed",IF(U283-TODAY()&lt;=30,"At risk — close to off track","On track"))),IF(X283="","No planned date",IF(AND(TODAY()&gt;X283,OR(Z283="",Z283&lt;100)),"Behind — past end date",IF(AND(T283&lt;&gt;"",X283&lt;&gt;"",Z283&lt;&gt;"",(Z283&lt;100),((TODAY()-T283)/MAX(X283-T283,1)*100)-Z283&gt;15),"Behind — progress lag",IF(AND(X283-TODAY()&lt;=30,X283-TODAY()&gt;=0,OR(Z283="",Z283&lt;90)),"At risk — close to off track","On track"))))))))</t>
        </is>
      </c>
      <c r="AH283" s="49" t="inlineStr">
        <is>
          <t>IF(OR(F283="",AC283="Completed / Handover",AC283="Cancelled"),"",IF(O283="Not awarded",IF(U283&lt;&gt;"",U283-TODAY(),IF(X283="","",X283-TODAY())),IF(X283="","",X283-TODAY())))</t>
        </is>
      </c>
      <c r="AI283" s="47" t="n"/>
      <c r="AJ283" s="47" t="n"/>
      <c r="AK283" s="47" t="n"/>
      <c r="AL283" s="47" t="n"/>
      <c r="AM283" s="47" t="n"/>
      <c r="AN283" s="47" t="n"/>
      <c r="AO283" s="47" t="n"/>
      <c r="AP283" s="47" t="n"/>
      <c r="AQ283" s="47" t="n"/>
      <c r="AR283" s="47" t="n"/>
      <c r="AS283" s="47" t="n"/>
      <c r="AT283" s="50" t="n"/>
      <c r="AU283" s="50" t="n"/>
      <c r="AV283" s="50" t="n"/>
      <c r="AW283" s="49" t="inlineStr">
        <is>
          <t>IF(OR(F283="",AJ283=""),"",IF(COUNT(AI283:AI283)=0,"",AJ283-LOOKUP(2,1/(AI283:AI283&lt;&gt;""),AI283:AI283)))</t>
        </is>
      </c>
      <c r="AX283" s="49" t="inlineStr">
        <is>
          <t>IF(OR(F283="",AK283=""),"",IF(COUNT(AI283:AJ283)=0,"",AK283-LOOKUP(2,1/(AI283:AJ283&lt;&gt;""),AI283:AJ283)))</t>
        </is>
      </c>
      <c r="AY283" s="49" t="inlineStr">
        <is>
          <t>IF(OR(F283="",AL283=""),"",IF(COUNT(AI283:AK283)=0,"",AL283-LOOKUP(2,1/(AI283:AK283&lt;&gt;""),AI283:AK283)))</t>
        </is>
      </c>
      <c r="AZ283" s="49" t="inlineStr">
        <is>
          <t>IF(OR(F283="",AM283=""),"",IF(COUNT(AI283:AL283)=0,"",AM283-LOOKUP(2,1/(AI283:AL283&lt;&gt;""),AI283:AL283)))</t>
        </is>
      </c>
      <c r="BA283" s="49" t="inlineStr">
        <is>
          <t>IF(OR(F283="",AN283=""),"",IF(COUNT(AI283:AM283)=0,"",AN283-LOOKUP(2,1/(AI283:AM283&lt;&gt;""),AI283:AM283)))</t>
        </is>
      </c>
      <c r="BB283" s="49" t="inlineStr">
        <is>
          <t>IF(OR(F283="",AO283=""),"",IF(COUNT(AI283:AN283)=0,"",AO283-LOOKUP(2,1/(AI283:AN283&lt;&gt;""),AI283:AN283)))</t>
        </is>
      </c>
      <c r="BC283" s="49" t="inlineStr">
        <is>
          <t>IF(OR(F283="",AP283=""),"",IF(COUNT(AI283:AO283)=0,"",AP283-LOOKUP(2,1/(AI283:AO283&lt;&gt;""),AI283:AO283)))</t>
        </is>
      </c>
      <c r="BD283" s="49" t="inlineStr">
        <is>
          <t>IF(OR(F283="",AQ283=""),"",IF(COUNT(AI283:AP283)=0,"",AQ283-LOOKUP(2,1/(AI283:AP283&lt;&gt;""),AI283:AP283)))</t>
        </is>
      </c>
      <c r="BE283" s="49" t="inlineStr">
        <is>
          <t>IF(OR(F283="",AR283=""),"",IF(COUNT(AI283:AQ283)=0,"",AR283-LOOKUP(2,1/(AI283:AQ283&lt;&gt;""),AI283:AQ283)))</t>
        </is>
      </c>
      <c r="BF283" s="49" t="inlineStr">
        <is>
          <t>IF(OR(F283="",AS283=""),"",IF(COUNT(AI283:AR283)=0,"",AS283-LOOKUP(2,1/(AI283:AR283&lt;&gt;""),AI283:AR283)))</t>
        </is>
      </c>
      <c r="BG283" s="49" t="inlineStr">
        <is>
          <t>IF(OR(F283="",AT283=""),"",IF(COUNT(AI283:AS283)=0,"",AT283-LOOKUP(2,1/(AI283:AS283&lt;&gt;""),AI283:AS283)))</t>
        </is>
      </c>
      <c r="BH283" s="49" t="inlineStr">
        <is>
          <t>IF(OR(F283="",AU283=""),"",IF(COUNT(AI283:AT283)=0,"",AU283-LOOKUP(2,1/(AI283:AT283&lt;&gt;""),AI283:AT283)))</t>
        </is>
      </c>
      <c r="BI283" s="49" t="inlineStr">
        <is>
          <t>IF(OR(F283="",AV283=""),"",IF(COUNT(AI283:AU283)=0,"",AV283-LOOKUP(2,1/(AI283:AU283&lt;&gt;""),AI283:AU283)))</t>
        </is>
      </c>
      <c r="BJ283" s="51" t="inlineStr">
        <is>
          <t>IF(J283="","All_Provinces",IFERROR(VLOOKUP(J283,'09_Lookups'!$A$4:$B$20,2,FALSE),"All_Provinces"))</t>
        </is>
      </c>
      <c r="BK283" s="51" t="inlineStr">
        <is>
          <t>IF(K283="","All_Districts",IFERROR(VLOOKUP(K283,'09_Lookups'!$E$4:$F$42,2,FALSE),"All_Districts"))</t>
        </is>
      </c>
    </row>
    <row r="284" ht="18" customHeight="1">
      <c r="A284" s="42" t="inlineStr">
        <is>
          <t>IF(F284="","",ROW()-3)</t>
        </is>
      </c>
      <c r="B284" s="52" t="n"/>
      <c r="C284" s="52" t="n"/>
      <c r="D284" s="52" t="n"/>
      <c r="E284" s="52" t="n"/>
      <c r="F284" s="52" t="n"/>
      <c r="G284" s="52" t="n"/>
      <c r="H284" s="52" t="n"/>
      <c r="I284" s="52" t="n"/>
      <c r="J284" s="52" t="n"/>
      <c r="K284" s="52" t="n"/>
      <c r="L284" s="52" t="n"/>
      <c r="M284" s="52" t="n"/>
      <c r="N284" s="52" t="n"/>
      <c r="O284" s="52" t="n"/>
      <c r="P284" s="52" t="n"/>
      <c r="Q284" s="52" t="n"/>
      <c r="R284" s="52" t="n"/>
      <c r="S284" s="53" t="n"/>
      <c r="T284" s="46" t="inlineStr">
        <is>
          <t>IF(AQ284="","",AQ284)</t>
        </is>
      </c>
      <c r="U284" s="54" t="n"/>
      <c r="V284" s="55" t="n"/>
      <c r="W284" s="54" t="n"/>
      <c r="X284" s="46" t="inlineStr">
        <is>
          <t>IF(W284&lt;&gt;"",W284,IF(OR(T284="",V284=""),"",EDATE(T284,V284)))</t>
        </is>
      </c>
      <c r="Y284" s="54" t="n"/>
      <c r="Z284" s="55" t="n"/>
      <c r="AA284" s="52" t="n"/>
      <c r="AB284" s="52" t="n"/>
      <c r="AC284" s="42" t="inlineStr">
        <is>
          <t>IF(F284="","",IF(COUNT(AI284:AV284)=0,IF(AA284="","Not started",AA284),SUBSTITUTE(LOOKUP(2,1/(AI284:AV284&lt;&gt;""),$AI$3:$AV$3),"Date: ","")))</t>
        </is>
      </c>
      <c r="AD284" s="49" t="inlineStr">
        <is>
          <t>IF(OR(F284="",COUNT(AI284:AV284)=0),"",TODAY()-LOOKUP(2,1/(AI284:AV284&lt;&gt;""),AI284:AV284))</t>
        </is>
      </c>
      <c r="AE284" s="49" t="inlineStr">
        <is>
          <t>IF(OR(F284="",COUNT(AI284:AV284)&lt;2),"",LOOKUP(2,1/(AI284:AV284&lt;&gt;""),AI284:AV284)-MIN(AI284:AV284))</t>
        </is>
      </c>
      <c r="AF284" s="49" t="inlineStr">
        <is>
          <t>IF(OR(AD284="",AC284="Not started",AC284=""),"",IFERROR(AD284-IF(VLOOKUP(AC284,'06_Status_Pipeline'!$B$3:$E$20,4,FALSE)="",0,VLOOKUP(AC284,'06_Status_Pipeline'!$B$3:$E$20,4,FALSE)),""))</t>
        </is>
      </c>
      <c r="AG284" s="42" t="inlineStr">
        <is>
          <t>IF(F284="","",IF(OR(AA284="Cancelled",AC284="Cancelled"),"Cancelled",IF(OR(AC284="Completed / Handover",Y284&lt;&gt;"",Z284&gt;=100),"Completed — on track",IF(O284="Not awarded",IF(U284="",IF(X284="","No planned date",IF(TODAY()&gt;X284,"Behind — past planned date",IF(X284-TODAY()&lt;=30,"At risk — close to off track","On track"))),IF(TODAY()&gt;U284,"Behind — award date passed",IF(U284-TODAY()&lt;=30,"At risk — close to off track","On track"))),IF(X284="","No planned date",IF(AND(TODAY()&gt;X284,OR(Z284="",Z284&lt;100)),"Behind — past end date",IF(AND(T284&lt;&gt;"",X284&lt;&gt;"",Z284&lt;&gt;"",(Z284&lt;100),((TODAY()-T284)/MAX(X284-T284,1)*100)-Z284&gt;15),"Behind — progress lag",IF(AND(X284-TODAY()&lt;=30,X284-TODAY()&gt;=0,OR(Z284="",Z284&lt;90)),"At risk — close to off track","On track"))))))))</t>
        </is>
      </c>
      <c r="AH284" s="49" t="inlineStr">
        <is>
          <t>IF(OR(F284="",AC284="Completed / Handover",AC284="Cancelled"),"",IF(O284="Not awarded",IF(U284&lt;&gt;"",U284-TODAY(),IF(X284="","",X284-TODAY())),IF(X284="","",X284-TODAY())))</t>
        </is>
      </c>
      <c r="AI284" s="54" t="n"/>
      <c r="AJ284" s="54" t="n"/>
      <c r="AK284" s="54" t="n"/>
      <c r="AL284" s="54" t="n"/>
      <c r="AM284" s="54" t="n"/>
      <c r="AN284" s="54" t="n"/>
      <c r="AO284" s="54" t="n"/>
      <c r="AP284" s="54" t="n"/>
      <c r="AQ284" s="54" t="n"/>
      <c r="AR284" s="54" t="n"/>
      <c r="AS284" s="54" t="n"/>
      <c r="AT284" s="50" t="n"/>
      <c r="AU284" s="50" t="n"/>
      <c r="AV284" s="50" t="n"/>
      <c r="AW284" s="49" t="inlineStr">
        <is>
          <t>IF(OR(F284="",AJ284=""),"",IF(COUNT(AI284:AI284)=0,"",AJ284-LOOKUP(2,1/(AI284:AI284&lt;&gt;""),AI284:AI284)))</t>
        </is>
      </c>
      <c r="AX284" s="49" t="inlineStr">
        <is>
          <t>IF(OR(F284="",AK284=""),"",IF(COUNT(AI284:AJ284)=0,"",AK284-LOOKUP(2,1/(AI284:AJ284&lt;&gt;""),AI284:AJ284)))</t>
        </is>
      </c>
      <c r="AY284" s="49" t="inlineStr">
        <is>
          <t>IF(OR(F284="",AL284=""),"",IF(COUNT(AI284:AK284)=0,"",AL284-LOOKUP(2,1/(AI284:AK284&lt;&gt;""),AI284:AK284)))</t>
        </is>
      </c>
      <c r="AZ284" s="49" t="inlineStr">
        <is>
          <t>IF(OR(F284="",AM284=""),"",IF(COUNT(AI284:AL284)=0,"",AM284-LOOKUP(2,1/(AI284:AL284&lt;&gt;""),AI284:AL284)))</t>
        </is>
      </c>
      <c r="BA284" s="49" t="inlineStr">
        <is>
          <t>IF(OR(F284="",AN284=""),"",IF(COUNT(AI284:AM284)=0,"",AN284-LOOKUP(2,1/(AI284:AM284&lt;&gt;""),AI284:AM284)))</t>
        </is>
      </c>
      <c r="BB284" s="49" t="inlineStr">
        <is>
          <t>IF(OR(F284="",AO284=""),"",IF(COUNT(AI284:AN284)=0,"",AO284-LOOKUP(2,1/(AI284:AN284&lt;&gt;""),AI284:AN284)))</t>
        </is>
      </c>
      <c r="BC284" s="49" t="inlineStr">
        <is>
          <t>IF(OR(F284="",AP284=""),"",IF(COUNT(AI284:AO284)=0,"",AP284-LOOKUP(2,1/(AI284:AO284&lt;&gt;""),AI284:AO284)))</t>
        </is>
      </c>
      <c r="BD284" s="49" t="inlineStr">
        <is>
          <t>IF(OR(F284="",AQ284=""),"",IF(COUNT(AI284:AP284)=0,"",AQ284-LOOKUP(2,1/(AI284:AP284&lt;&gt;""),AI284:AP284)))</t>
        </is>
      </c>
      <c r="BE284" s="49" t="inlineStr">
        <is>
          <t>IF(OR(F284="",AR284=""),"",IF(COUNT(AI284:AQ284)=0,"",AR284-LOOKUP(2,1/(AI284:AQ284&lt;&gt;""),AI284:AQ284)))</t>
        </is>
      </c>
      <c r="BF284" s="49" t="inlineStr">
        <is>
          <t>IF(OR(F284="",AS284=""),"",IF(COUNT(AI284:AR284)=0,"",AS284-LOOKUP(2,1/(AI284:AR284&lt;&gt;""),AI284:AR284)))</t>
        </is>
      </c>
      <c r="BG284" s="49" t="inlineStr">
        <is>
          <t>IF(OR(F284="",AT284=""),"",IF(COUNT(AI284:AS284)=0,"",AT284-LOOKUP(2,1/(AI284:AS284&lt;&gt;""),AI284:AS284)))</t>
        </is>
      </c>
      <c r="BH284" s="49" t="inlineStr">
        <is>
          <t>IF(OR(F284="",AU284=""),"",IF(COUNT(AI284:AT284)=0,"",AU284-LOOKUP(2,1/(AI284:AT284&lt;&gt;""),AI284:AT284)))</t>
        </is>
      </c>
      <c r="BI284" s="49" t="inlineStr">
        <is>
          <t>IF(OR(F284="",AV284=""),"",IF(COUNT(AI284:AU284)=0,"",AV284-LOOKUP(2,1/(AI284:AU284&lt;&gt;""),AI284:AU284)))</t>
        </is>
      </c>
      <c r="BJ284" s="51" t="inlineStr">
        <is>
          <t>IF(J284="","All_Provinces",IFERROR(VLOOKUP(J284,'09_Lookups'!$A$4:$B$20,2,FALSE),"All_Provinces"))</t>
        </is>
      </c>
      <c r="BK284" s="51" t="inlineStr">
        <is>
          <t>IF(K284="","All_Districts",IFERROR(VLOOKUP(K284,'09_Lookups'!$E$4:$F$42,2,FALSE),"All_Districts"))</t>
        </is>
      </c>
    </row>
    <row r="285" ht="18" customHeight="1">
      <c r="A285" s="42" t="inlineStr">
        <is>
          <t>IF(F285="","",ROW()-3)</t>
        </is>
      </c>
      <c r="B285" s="44" t="n"/>
      <c r="C285" s="44" t="n"/>
      <c r="D285" s="44" t="n"/>
      <c r="E285" s="44" t="n"/>
      <c r="F285" s="44" t="n"/>
      <c r="G285" s="44" t="n"/>
      <c r="H285" s="44" t="n"/>
      <c r="I285" s="44" t="n"/>
      <c r="J285" s="44" t="n"/>
      <c r="K285" s="44" t="n"/>
      <c r="L285" s="44" t="n"/>
      <c r="M285" s="44" t="n"/>
      <c r="N285" s="44" t="n"/>
      <c r="O285" s="44" t="n"/>
      <c r="P285" s="44" t="n"/>
      <c r="Q285" s="44" t="n"/>
      <c r="R285" s="44" t="n"/>
      <c r="S285" s="45" t="n"/>
      <c r="T285" s="46" t="inlineStr">
        <is>
          <t>IF(AQ285="","",AQ285)</t>
        </is>
      </c>
      <c r="U285" s="47" t="n"/>
      <c r="V285" s="48" t="n"/>
      <c r="W285" s="47" t="n"/>
      <c r="X285" s="46" t="inlineStr">
        <is>
          <t>IF(W285&lt;&gt;"",W285,IF(OR(T285="",V285=""),"",EDATE(T285,V285)))</t>
        </is>
      </c>
      <c r="Y285" s="47" t="n"/>
      <c r="Z285" s="48" t="n"/>
      <c r="AA285" s="44" t="n"/>
      <c r="AB285" s="44" t="n"/>
      <c r="AC285" s="42" t="inlineStr">
        <is>
          <t>IF(F285="","",IF(COUNT(AI285:AV285)=0,IF(AA285="","Not started",AA285),SUBSTITUTE(LOOKUP(2,1/(AI285:AV285&lt;&gt;""),$AI$3:$AV$3),"Date: ","")))</t>
        </is>
      </c>
      <c r="AD285" s="49" t="inlineStr">
        <is>
          <t>IF(OR(F285="",COUNT(AI285:AV285)=0),"",TODAY()-LOOKUP(2,1/(AI285:AV285&lt;&gt;""),AI285:AV285))</t>
        </is>
      </c>
      <c r="AE285" s="49" t="inlineStr">
        <is>
          <t>IF(OR(F285="",COUNT(AI285:AV285)&lt;2),"",LOOKUP(2,1/(AI285:AV285&lt;&gt;""),AI285:AV285)-MIN(AI285:AV285))</t>
        </is>
      </c>
      <c r="AF285" s="49" t="inlineStr">
        <is>
          <t>IF(OR(AD285="",AC285="Not started",AC285=""),"",IFERROR(AD285-IF(VLOOKUP(AC285,'06_Status_Pipeline'!$B$3:$E$20,4,FALSE)="",0,VLOOKUP(AC285,'06_Status_Pipeline'!$B$3:$E$20,4,FALSE)),""))</t>
        </is>
      </c>
      <c r="AG285" s="42" t="inlineStr">
        <is>
          <t>IF(F285="","",IF(OR(AA285="Cancelled",AC285="Cancelled"),"Cancelled",IF(OR(AC285="Completed / Handover",Y285&lt;&gt;"",Z285&gt;=100),"Completed — on track",IF(O285="Not awarded",IF(U285="",IF(X285="","No planned date",IF(TODAY()&gt;X285,"Behind — past planned date",IF(X285-TODAY()&lt;=30,"At risk — close to off track","On track"))),IF(TODAY()&gt;U285,"Behind — award date passed",IF(U285-TODAY()&lt;=30,"At risk — close to off track","On track"))),IF(X285="","No planned date",IF(AND(TODAY()&gt;X285,OR(Z285="",Z285&lt;100)),"Behind — past end date",IF(AND(T285&lt;&gt;"",X285&lt;&gt;"",Z285&lt;&gt;"",(Z285&lt;100),((TODAY()-T285)/MAX(X285-T285,1)*100)-Z285&gt;15),"Behind — progress lag",IF(AND(X285-TODAY()&lt;=30,X285-TODAY()&gt;=0,OR(Z285="",Z285&lt;90)),"At risk — close to off track","On track"))))))))</t>
        </is>
      </c>
      <c r="AH285" s="49" t="inlineStr">
        <is>
          <t>IF(OR(F285="",AC285="Completed / Handover",AC285="Cancelled"),"",IF(O285="Not awarded",IF(U285&lt;&gt;"",U285-TODAY(),IF(X285="","",X285-TODAY())),IF(X285="","",X285-TODAY())))</t>
        </is>
      </c>
      <c r="AI285" s="47" t="n"/>
      <c r="AJ285" s="47" t="n"/>
      <c r="AK285" s="47" t="n"/>
      <c r="AL285" s="47" t="n"/>
      <c r="AM285" s="47" t="n"/>
      <c r="AN285" s="47" t="n"/>
      <c r="AO285" s="47" t="n"/>
      <c r="AP285" s="47" t="n"/>
      <c r="AQ285" s="47" t="n"/>
      <c r="AR285" s="47" t="n"/>
      <c r="AS285" s="47" t="n"/>
      <c r="AT285" s="50" t="n"/>
      <c r="AU285" s="50" t="n"/>
      <c r="AV285" s="50" t="n"/>
      <c r="AW285" s="49" t="inlineStr">
        <is>
          <t>IF(OR(F285="",AJ285=""),"",IF(COUNT(AI285:AI285)=0,"",AJ285-LOOKUP(2,1/(AI285:AI285&lt;&gt;""),AI285:AI285)))</t>
        </is>
      </c>
      <c r="AX285" s="49" t="inlineStr">
        <is>
          <t>IF(OR(F285="",AK285=""),"",IF(COUNT(AI285:AJ285)=0,"",AK285-LOOKUP(2,1/(AI285:AJ285&lt;&gt;""),AI285:AJ285)))</t>
        </is>
      </c>
      <c r="AY285" s="49" t="inlineStr">
        <is>
          <t>IF(OR(F285="",AL285=""),"",IF(COUNT(AI285:AK285)=0,"",AL285-LOOKUP(2,1/(AI285:AK285&lt;&gt;""),AI285:AK285)))</t>
        </is>
      </c>
      <c r="AZ285" s="49" t="inlineStr">
        <is>
          <t>IF(OR(F285="",AM285=""),"",IF(COUNT(AI285:AL285)=0,"",AM285-LOOKUP(2,1/(AI285:AL285&lt;&gt;""),AI285:AL285)))</t>
        </is>
      </c>
      <c r="BA285" s="49" t="inlineStr">
        <is>
          <t>IF(OR(F285="",AN285=""),"",IF(COUNT(AI285:AM285)=0,"",AN285-LOOKUP(2,1/(AI285:AM285&lt;&gt;""),AI285:AM285)))</t>
        </is>
      </c>
      <c r="BB285" s="49" t="inlineStr">
        <is>
          <t>IF(OR(F285="",AO285=""),"",IF(COUNT(AI285:AN285)=0,"",AO285-LOOKUP(2,1/(AI285:AN285&lt;&gt;""),AI285:AN285)))</t>
        </is>
      </c>
      <c r="BC285" s="49" t="inlineStr">
        <is>
          <t>IF(OR(F285="",AP285=""),"",IF(COUNT(AI285:AO285)=0,"",AP285-LOOKUP(2,1/(AI285:AO285&lt;&gt;""),AI285:AO285)))</t>
        </is>
      </c>
      <c r="BD285" s="49" t="inlineStr">
        <is>
          <t>IF(OR(F285="",AQ285=""),"",IF(COUNT(AI285:AP285)=0,"",AQ285-LOOKUP(2,1/(AI285:AP285&lt;&gt;""),AI285:AP285)))</t>
        </is>
      </c>
      <c r="BE285" s="49" t="inlineStr">
        <is>
          <t>IF(OR(F285="",AR285=""),"",IF(COUNT(AI285:AQ285)=0,"",AR285-LOOKUP(2,1/(AI285:AQ285&lt;&gt;""),AI285:AQ285)))</t>
        </is>
      </c>
      <c r="BF285" s="49" t="inlineStr">
        <is>
          <t>IF(OR(F285="",AS285=""),"",IF(COUNT(AI285:AR285)=0,"",AS285-LOOKUP(2,1/(AI285:AR285&lt;&gt;""),AI285:AR285)))</t>
        </is>
      </c>
      <c r="BG285" s="49" t="inlineStr">
        <is>
          <t>IF(OR(F285="",AT285=""),"",IF(COUNT(AI285:AS285)=0,"",AT285-LOOKUP(2,1/(AI285:AS285&lt;&gt;""),AI285:AS285)))</t>
        </is>
      </c>
      <c r="BH285" s="49" t="inlineStr">
        <is>
          <t>IF(OR(F285="",AU285=""),"",IF(COUNT(AI285:AT285)=0,"",AU285-LOOKUP(2,1/(AI285:AT285&lt;&gt;""),AI285:AT285)))</t>
        </is>
      </c>
      <c r="BI285" s="49" t="inlineStr">
        <is>
          <t>IF(OR(F285="",AV285=""),"",IF(COUNT(AI285:AU285)=0,"",AV285-LOOKUP(2,1/(AI285:AU285&lt;&gt;""),AI285:AU285)))</t>
        </is>
      </c>
      <c r="BJ285" s="51" t="inlineStr">
        <is>
          <t>IF(J285="","All_Provinces",IFERROR(VLOOKUP(J285,'09_Lookups'!$A$4:$B$20,2,FALSE),"All_Provinces"))</t>
        </is>
      </c>
      <c r="BK285" s="51" t="inlineStr">
        <is>
          <t>IF(K285="","All_Districts",IFERROR(VLOOKUP(K285,'09_Lookups'!$E$4:$F$42,2,FALSE),"All_Districts"))</t>
        </is>
      </c>
    </row>
    <row r="286" ht="18" customHeight="1">
      <c r="A286" s="42" t="inlineStr">
        <is>
          <t>IF(F286="","",ROW()-3)</t>
        </is>
      </c>
      <c r="B286" s="52" t="n"/>
      <c r="C286" s="52" t="n"/>
      <c r="D286" s="52" t="n"/>
      <c r="E286" s="52" t="n"/>
      <c r="F286" s="52" t="n"/>
      <c r="G286" s="52" t="n"/>
      <c r="H286" s="52" t="n"/>
      <c r="I286" s="52" t="n"/>
      <c r="J286" s="52" t="n"/>
      <c r="K286" s="52" t="n"/>
      <c r="L286" s="52" t="n"/>
      <c r="M286" s="52" t="n"/>
      <c r="N286" s="52" t="n"/>
      <c r="O286" s="52" t="n"/>
      <c r="P286" s="52" t="n"/>
      <c r="Q286" s="52" t="n"/>
      <c r="R286" s="52" t="n"/>
      <c r="S286" s="53" t="n"/>
      <c r="T286" s="46" t="inlineStr">
        <is>
          <t>IF(AQ286="","",AQ286)</t>
        </is>
      </c>
      <c r="U286" s="54" t="n"/>
      <c r="V286" s="55" t="n"/>
      <c r="W286" s="54" t="n"/>
      <c r="X286" s="46" t="inlineStr">
        <is>
          <t>IF(W286&lt;&gt;"",W286,IF(OR(T286="",V286=""),"",EDATE(T286,V286)))</t>
        </is>
      </c>
      <c r="Y286" s="54" t="n"/>
      <c r="Z286" s="55" t="n"/>
      <c r="AA286" s="52" t="n"/>
      <c r="AB286" s="52" t="n"/>
      <c r="AC286" s="42" t="inlineStr">
        <is>
          <t>IF(F286="","",IF(COUNT(AI286:AV286)=0,IF(AA286="","Not started",AA286),SUBSTITUTE(LOOKUP(2,1/(AI286:AV286&lt;&gt;""),$AI$3:$AV$3),"Date: ","")))</t>
        </is>
      </c>
      <c r="AD286" s="49" t="inlineStr">
        <is>
          <t>IF(OR(F286="",COUNT(AI286:AV286)=0),"",TODAY()-LOOKUP(2,1/(AI286:AV286&lt;&gt;""),AI286:AV286))</t>
        </is>
      </c>
      <c r="AE286" s="49" t="inlineStr">
        <is>
          <t>IF(OR(F286="",COUNT(AI286:AV286)&lt;2),"",LOOKUP(2,1/(AI286:AV286&lt;&gt;""),AI286:AV286)-MIN(AI286:AV286))</t>
        </is>
      </c>
      <c r="AF286" s="49" t="inlineStr">
        <is>
          <t>IF(OR(AD286="",AC286="Not started",AC286=""),"",IFERROR(AD286-IF(VLOOKUP(AC286,'06_Status_Pipeline'!$B$3:$E$20,4,FALSE)="",0,VLOOKUP(AC286,'06_Status_Pipeline'!$B$3:$E$20,4,FALSE)),""))</t>
        </is>
      </c>
      <c r="AG286" s="42" t="inlineStr">
        <is>
          <t>IF(F286="","",IF(OR(AA286="Cancelled",AC286="Cancelled"),"Cancelled",IF(OR(AC286="Completed / Handover",Y286&lt;&gt;"",Z286&gt;=100),"Completed — on track",IF(O286="Not awarded",IF(U286="",IF(X286="","No planned date",IF(TODAY()&gt;X286,"Behind — past planned date",IF(X286-TODAY()&lt;=30,"At risk — close to off track","On track"))),IF(TODAY()&gt;U286,"Behind — award date passed",IF(U286-TODAY()&lt;=30,"At risk — close to off track","On track"))),IF(X286="","No planned date",IF(AND(TODAY()&gt;X286,OR(Z286="",Z286&lt;100)),"Behind — past end date",IF(AND(T286&lt;&gt;"",X286&lt;&gt;"",Z286&lt;&gt;"",(Z286&lt;100),((TODAY()-T286)/MAX(X286-T286,1)*100)-Z286&gt;15),"Behind — progress lag",IF(AND(X286-TODAY()&lt;=30,X286-TODAY()&gt;=0,OR(Z286="",Z286&lt;90)),"At risk — close to off track","On track"))))))))</t>
        </is>
      </c>
      <c r="AH286" s="49" t="inlineStr">
        <is>
          <t>IF(OR(F286="",AC286="Completed / Handover",AC286="Cancelled"),"",IF(O286="Not awarded",IF(U286&lt;&gt;"",U286-TODAY(),IF(X286="","",X286-TODAY())),IF(X286="","",X286-TODAY())))</t>
        </is>
      </c>
      <c r="AI286" s="54" t="n"/>
      <c r="AJ286" s="54" t="n"/>
      <c r="AK286" s="54" t="n"/>
      <c r="AL286" s="54" t="n"/>
      <c r="AM286" s="54" t="n"/>
      <c r="AN286" s="54" t="n"/>
      <c r="AO286" s="54" t="n"/>
      <c r="AP286" s="54" t="n"/>
      <c r="AQ286" s="54" t="n"/>
      <c r="AR286" s="54" t="n"/>
      <c r="AS286" s="54" t="n"/>
      <c r="AT286" s="50" t="n"/>
      <c r="AU286" s="50" t="n"/>
      <c r="AV286" s="50" t="n"/>
      <c r="AW286" s="49" t="inlineStr">
        <is>
          <t>IF(OR(F286="",AJ286=""),"",IF(COUNT(AI286:AI286)=0,"",AJ286-LOOKUP(2,1/(AI286:AI286&lt;&gt;""),AI286:AI286)))</t>
        </is>
      </c>
      <c r="AX286" s="49" t="inlineStr">
        <is>
          <t>IF(OR(F286="",AK286=""),"",IF(COUNT(AI286:AJ286)=0,"",AK286-LOOKUP(2,1/(AI286:AJ286&lt;&gt;""),AI286:AJ286)))</t>
        </is>
      </c>
      <c r="AY286" s="49" t="inlineStr">
        <is>
          <t>IF(OR(F286="",AL286=""),"",IF(COUNT(AI286:AK286)=0,"",AL286-LOOKUP(2,1/(AI286:AK286&lt;&gt;""),AI286:AK286)))</t>
        </is>
      </c>
      <c r="AZ286" s="49" t="inlineStr">
        <is>
          <t>IF(OR(F286="",AM286=""),"",IF(COUNT(AI286:AL286)=0,"",AM286-LOOKUP(2,1/(AI286:AL286&lt;&gt;""),AI286:AL286)))</t>
        </is>
      </c>
      <c r="BA286" s="49" t="inlineStr">
        <is>
          <t>IF(OR(F286="",AN286=""),"",IF(COUNT(AI286:AM286)=0,"",AN286-LOOKUP(2,1/(AI286:AM286&lt;&gt;""),AI286:AM286)))</t>
        </is>
      </c>
      <c r="BB286" s="49" t="inlineStr">
        <is>
          <t>IF(OR(F286="",AO286=""),"",IF(COUNT(AI286:AN286)=0,"",AO286-LOOKUP(2,1/(AI286:AN286&lt;&gt;""),AI286:AN286)))</t>
        </is>
      </c>
      <c r="BC286" s="49" t="inlineStr">
        <is>
          <t>IF(OR(F286="",AP286=""),"",IF(COUNT(AI286:AO286)=0,"",AP286-LOOKUP(2,1/(AI286:AO286&lt;&gt;""),AI286:AO286)))</t>
        </is>
      </c>
      <c r="BD286" s="49" t="inlineStr">
        <is>
          <t>IF(OR(F286="",AQ286=""),"",IF(COUNT(AI286:AP286)=0,"",AQ286-LOOKUP(2,1/(AI286:AP286&lt;&gt;""),AI286:AP286)))</t>
        </is>
      </c>
      <c r="BE286" s="49" t="inlineStr">
        <is>
          <t>IF(OR(F286="",AR286=""),"",IF(COUNT(AI286:AQ286)=0,"",AR286-LOOKUP(2,1/(AI286:AQ286&lt;&gt;""),AI286:AQ286)))</t>
        </is>
      </c>
      <c r="BF286" s="49" t="inlineStr">
        <is>
          <t>IF(OR(F286="",AS286=""),"",IF(COUNT(AI286:AR286)=0,"",AS286-LOOKUP(2,1/(AI286:AR286&lt;&gt;""),AI286:AR286)))</t>
        </is>
      </c>
      <c r="BG286" s="49" t="inlineStr">
        <is>
          <t>IF(OR(F286="",AT286=""),"",IF(COUNT(AI286:AS286)=0,"",AT286-LOOKUP(2,1/(AI286:AS286&lt;&gt;""),AI286:AS286)))</t>
        </is>
      </c>
      <c r="BH286" s="49" t="inlineStr">
        <is>
          <t>IF(OR(F286="",AU286=""),"",IF(COUNT(AI286:AT286)=0,"",AU286-LOOKUP(2,1/(AI286:AT286&lt;&gt;""),AI286:AT286)))</t>
        </is>
      </c>
      <c r="BI286" s="49" t="inlineStr">
        <is>
          <t>IF(OR(F286="",AV286=""),"",IF(COUNT(AI286:AU286)=0,"",AV286-LOOKUP(2,1/(AI286:AU286&lt;&gt;""),AI286:AU286)))</t>
        </is>
      </c>
      <c r="BJ286" s="51" t="inlineStr">
        <is>
          <t>IF(J286="","All_Provinces",IFERROR(VLOOKUP(J286,'09_Lookups'!$A$4:$B$20,2,FALSE),"All_Provinces"))</t>
        </is>
      </c>
      <c r="BK286" s="51" t="inlineStr">
        <is>
          <t>IF(K286="","All_Districts",IFERROR(VLOOKUP(K286,'09_Lookups'!$E$4:$F$42,2,FALSE),"All_Districts"))</t>
        </is>
      </c>
    </row>
    <row r="287" ht="18" customHeight="1">
      <c r="A287" s="42" t="inlineStr">
        <is>
          <t>IF(F287="","",ROW()-3)</t>
        </is>
      </c>
      <c r="B287" s="44" t="n"/>
      <c r="C287" s="44" t="n"/>
      <c r="D287" s="44" t="n"/>
      <c r="E287" s="44" t="n"/>
      <c r="F287" s="44" t="n"/>
      <c r="G287" s="44" t="n"/>
      <c r="H287" s="44" t="n"/>
      <c r="I287" s="44" t="n"/>
      <c r="J287" s="44" t="n"/>
      <c r="K287" s="44" t="n"/>
      <c r="L287" s="44" t="n"/>
      <c r="M287" s="44" t="n"/>
      <c r="N287" s="44" t="n"/>
      <c r="O287" s="44" t="n"/>
      <c r="P287" s="44" t="n"/>
      <c r="Q287" s="44" t="n"/>
      <c r="R287" s="44" t="n"/>
      <c r="S287" s="45" t="n"/>
      <c r="T287" s="46" t="inlineStr">
        <is>
          <t>IF(AQ287="","",AQ287)</t>
        </is>
      </c>
      <c r="U287" s="47" t="n"/>
      <c r="V287" s="48" t="n"/>
      <c r="W287" s="47" t="n"/>
      <c r="X287" s="46" t="inlineStr">
        <is>
          <t>IF(W287&lt;&gt;"",W287,IF(OR(T287="",V287=""),"",EDATE(T287,V287)))</t>
        </is>
      </c>
      <c r="Y287" s="47" t="n"/>
      <c r="Z287" s="48" t="n"/>
      <c r="AA287" s="44" t="n"/>
      <c r="AB287" s="44" t="n"/>
      <c r="AC287" s="42" t="inlineStr">
        <is>
          <t>IF(F287="","",IF(COUNT(AI287:AV287)=0,IF(AA287="","Not started",AA287),SUBSTITUTE(LOOKUP(2,1/(AI287:AV287&lt;&gt;""),$AI$3:$AV$3),"Date: ","")))</t>
        </is>
      </c>
      <c r="AD287" s="49" t="inlineStr">
        <is>
          <t>IF(OR(F287="",COUNT(AI287:AV287)=0),"",TODAY()-LOOKUP(2,1/(AI287:AV287&lt;&gt;""),AI287:AV287))</t>
        </is>
      </c>
      <c r="AE287" s="49" t="inlineStr">
        <is>
          <t>IF(OR(F287="",COUNT(AI287:AV287)&lt;2),"",LOOKUP(2,1/(AI287:AV287&lt;&gt;""),AI287:AV287)-MIN(AI287:AV287))</t>
        </is>
      </c>
      <c r="AF287" s="49" t="inlineStr">
        <is>
          <t>IF(OR(AD287="",AC287="Not started",AC287=""),"",IFERROR(AD287-IF(VLOOKUP(AC287,'06_Status_Pipeline'!$B$3:$E$20,4,FALSE)="",0,VLOOKUP(AC287,'06_Status_Pipeline'!$B$3:$E$20,4,FALSE)),""))</t>
        </is>
      </c>
      <c r="AG287" s="42" t="inlineStr">
        <is>
          <t>IF(F287="","",IF(OR(AA287="Cancelled",AC287="Cancelled"),"Cancelled",IF(OR(AC287="Completed / Handover",Y287&lt;&gt;"",Z287&gt;=100),"Completed — on track",IF(O287="Not awarded",IF(U287="",IF(X287="","No planned date",IF(TODAY()&gt;X287,"Behind — past planned date",IF(X287-TODAY()&lt;=30,"At risk — close to off track","On track"))),IF(TODAY()&gt;U287,"Behind — award date passed",IF(U287-TODAY()&lt;=30,"At risk — close to off track","On track"))),IF(X287="","No planned date",IF(AND(TODAY()&gt;X287,OR(Z287="",Z287&lt;100)),"Behind — past end date",IF(AND(T287&lt;&gt;"",X287&lt;&gt;"",Z287&lt;&gt;"",(Z287&lt;100),((TODAY()-T287)/MAX(X287-T287,1)*100)-Z287&gt;15),"Behind — progress lag",IF(AND(X287-TODAY()&lt;=30,X287-TODAY()&gt;=0,OR(Z287="",Z287&lt;90)),"At risk — close to off track","On track"))))))))</t>
        </is>
      </c>
      <c r="AH287" s="49" t="inlineStr">
        <is>
          <t>IF(OR(F287="",AC287="Completed / Handover",AC287="Cancelled"),"",IF(O287="Not awarded",IF(U287&lt;&gt;"",U287-TODAY(),IF(X287="","",X287-TODAY())),IF(X287="","",X287-TODAY())))</t>
        </is>
      </c>
      <c r="AI287" s="47" t="n"/>
      <c r="AJ287" s="47" t="n"/>
      <c r="AK287" s="47" t="n"/>
      <c r="AL287" s="47" t="n"/>
      <c r="AM287" s="47" t="n"/>
      <c r="AN287" s="47" t="n"/>
      <c r="AO287" s="47" t="n"/>
      <c r="AP287" s="47" t="n"/>
      <c r="AQ287" s="47" t="n"/>
      <c r="AR287" s="47" t="n"/>
      <c r="AS287" s="47" t="n"/>
      <c r="AT287" s="50" t="n"/>
      <c r="AU287" s="50" t="n"/>
      <c r="AV287" s="50" t="n"/>
      <c r="AW287" s="49" t="inlineStr">
        <is>
          <t>IF(OR(F287="",AJ287=""),"",IF(COUNT(AI287:AI287)=0,"",AJ287-LOOKUP(2,1/(AI287:AI287&lt;&gt;""),AI287:AI287)))</t>
        </is>
      </c>
      <c r="AX287" s="49" t="inlineStr">
        <is>
          <t>IF(OR(F287="",AK287=""),"",IF(COUNT(AI287:AJ287)=0,"",AK287-LOOKUP(2,1/(AI287:AJ287&lt;&gt;""),AI287:AJ287)))</t>
        </is>
      </c>
      <c r="AY287" s="49" t="inlineStr">
        <is>
          <t>IF(OR(F287="",AL287=""),"",IF(COUNT(AI287:AK287)=0,"",AL287-LOOKUP(2,1/(AI287:AK287&lt;&gt;""),AI287:AK287)))</t>
        </is>
      </c>
      <c r="AZ287" s="49" t="inlineStr">
        <is>
          <t>IF(OR(F287="",AM287=""),"",IF(COUNT(AI287:AL287)=0,"",AM287-LOOKUP(2,1/(AI287:AL287&lt;&gt;""),AI287:AL287)))</t>
        </is>
      </c>
      <c r="BA287" s="49" t="inlineStr">
        <is>
          <t>IF(OR(F287="",AN287=""),"",IF(COUNT(AI287:AM287)=0,"",AN287-LOOKUP(2,1/(AI287:AM287&lt;&gt;""),AI287:AM287)))</t>
        </is>
      </c>
      <c r="BB287" s="49" t="inlineStr">
        <is>
          <t>IF(OR(F287="",AO287=""),"",IF(COUNT(AI287:AN287)=0,"",AO287-LOOKUP(2,1/(AI287:AN287&lt;&gt;""),AI287:AN287)))</t>
        </is>
      </c>
      <c r="BC287" s="49" t="inlineStr">
        <is>
          <t>IF(OR(F287="",AP287=""),"",IF(COUNT(AI287:AO287)=0,"",AP287-LOOKUP(2,1/(AI287:AO287&lt;&gt;""),AI287:AO287)))</t>
        </is>
      </c>
      <c r="BD287" s="49" t="inlineStr">
        <is>
          <t>IF(OR(F287="",AQ287=""),"",IF(COUNT(AI287:AP287)=0,"",AQ287-LOOKUP(2,1/(AI287:AP287&lt;&gt;""),AI287:AP287)))</t>
        </is>
      </c>
      <c r="BE287" s="49" t="inlineStr">
        <is>
          <t>IF(OR(F287="",AR287=""),"",IF(COUNT(AI287:AQ287)=0,"",AR287-LOOKUP(2,1/(AI287:AQ287&lt;&gt;""),AI287:AQ287)))</t>
        </is>
      </c>
      <c r="BF287" s="49" t="inlineStr">
        <is>
          <t>IF(OR(F287="",AS287=""),"",IF(COUNT(AI287:AR287)=0,"",AS287-LOOKUP(2,1/(AI287:AR287&lt;&gt;""),AI287:AR287)))</t>
        </is>
      </c>
      <c r="BG287" s="49" t="inlineStr">
        <is>
          <t>IF(OR(F287="",AT287=""),"",IF(COUNT(AI287:AS287)=0,"",AT287-LOOKUP(2,1/(AI287:AS287&lt;&gt;""),AI287:AS287)))</t>
        </is>
      </c>
      <c r="BH287" s="49" t="inlineStr">
        <is>
          <t>IF(OR(F287="",AU287=""),"",IF(COUNT(AI287:AT287)=0,"",AU287-LOOKUP(2,1/(AI287:AT287&lt;&gt;""),AI287:AT287)))</t>
        </is>
      </c>
      <c r="BI287" s="49" t="inlineStr">
        <is>
          <t>IF(OR(F287="",AV287=""),"",IF(COUNT(AI287:AU287)=0,"",AV287-LOOKUP(2,1/(AI287:AU287&lt;&gt;""),AI287:AU287)))</t>
        </is>
      </c>
      <c r="BJ287" s="51" t="inlineStr">
        <is>
          <t>IF(J287="","All_Provinces",IFERROR(VLOOKUP(J287,'09_Lookups'!$A$4:$B$20,2,FALSE),"All_Provinces"))</t>
        </is>
      </c>
      <c r="BK287" s="51" t="inlineStr">
        <is>
          <t>IF(K287="","All_Districts",IFERROR(VLOOKUP(K287,'09_Lookups'!$E$4:$F$42,2,FALSE),"All_Districts"))</t>
        </is>
      </c>
    </row>
    <row r="288" ht="18" customHeight="1">
      <c r="A288" s="42" t="inlineStr">
        <is>
          <t>IF(F288="","",ROW()-3)</t>
        </is>
      </c>
      <c r="B288" s="52" t="n"/>
      <c r="C288" s="52" t="n"/>
      <c r="D288" s="52" t="n"/>
      <c r="E288" s="52" t="n"/>
      <c r="F288" s="52" t="n"/>
      <c r="G288" s="52" t="n"/>
      <c r="H288" s="52" t="n"/>
      <c r="I288" s="52" t="n"/>
      <c r="J288" s="52" t="n"/>
      <c r="K288" s="52" t="n"/>
      <c r="L288" s="52" t="n"/>
      <c r="M288" s="52" t="n"/>
      <c r="N288" s="52" t="n"/>
      <c r="O288" s="52" t="n"/>
      <c r="P288" s="52" t="n"/>
      <c r="Q288" s="52" t="n"/>
      <c r="R288" s="52" t="n"/>
      <c r="S288" s="53" t="n"/>
      <c r="T288" s="46" t="inlineStr">
        <is>
          <t>IF(AQ288="","",AQ288)</t>
        </is>
      </c>
      <c r="U288" s="54" t="n"/>
      <c r="V288" s="55" t="n"/>
      <c r="W288" s="54" t="n"/>
      <c r="X288" s="46" t="inlineStr">
        <is>
          <t>IF(W288&lt;&gt;"",W288,IF(OR(T288="",V288=""),"",EDATE(T288,V288)))</t>
        </is>
      </c>
      <c r="Y288" s="54" t="n"/>
      <c r="Z288" s="55" t="n"/>
      <c r="AA288" s="52" t="n"/>
      <c r="AB288" s="52" t="n"/>
      <c r="AC288" s="42" t="inlineStr">
        <is>
          <t>IF(F288="","",IF(COUNT(AI288:AV288)=0,IF(AA288="","Not started",AA288),SUBSTITUTE(LOOKUP(2,1/(AI288:AV288&lt;&gt;""),$AI$3:$AV$3),"Date: ","")))</t>
        </is>
      </c>
      <c r="AD288" s="49" t="inlineStr">
        <is>
          <t>IF(OR(F288="",COUNT(AI288:AV288)=0),"",TODAY()-LOOKUP(2,1/(AI288:AV288&lt;&gt;""),AI288:AV288))</t>
        </is>
      </c>
      <c r="AE288" s="49" t="inlineStr">
        <is>
          <t>IF(OR(F288="",COUNT(AI288:AV288)&lt;2),"",LOOKUP(2,1/(AI288:AV288&lt;&gt;""),AI288:AV288)-MIN(AI288:AV288))</t>
        </is>
      </c>
      <c r="AF288" s="49" t="inlineStr">
        <is>
          <t>IF(OR(AD288="",AC288="Not started",AC288=""),"",IFERROR(AD288-IF(VLOOKUP(AC288,'06_Status_Pipeline'!$B$3:$E$20,4,FALSE)="",0,VLOOKUP(AC288,'06_Status_Pipeline'!$B$3:$E$20,4,FALSE)),""))</t>
        </is>
      </c>
      <c r="AG288" s="42" t="inlineStr">
        <is>
          <t>IF(F288="","",IF(OR(AA288="Cancelled",AC288="Cancelled"),"Cancelled",IF(OR(AC288="Completed / Handover",Y288&lt;&gt;"",Z288&gt;=100),"Completed — on track",IF(O288="Not awarded",IF(U288="",IF(X288="","No planned date",IF(TODAY()&gt;X288,"Behind — past planned date",IF(X288-TODAY()&lt;=30,"At risk — close to off track","On track"))),IF(TODAY()&gt;U288,"Behind — award date passed",IF(U288-TODAY()&lt;=30,"At risk — close to off track","On track"))),IF(X288="","No planned date",IF(AND(TODAY()&gt;X288,OR(Z288="",Z288&lt;100)),"Behind — past end date",IF(AND(T288&lt;&gt;"",X288&lt;&gt;"",Z288&lt;&gt;"",(Z288&lt;100),((TODAY()-T288)/MAX(X288-T288,1)*100)-Z288&gt;15),"Behind — progress lag",IF(AND(X288-TODAY()&lt;=30,X288-TODAY()&gt;=0,OR(Z288="",Z288&lt;90)),"At risk — close to off track","On track"))))))))</t>
        </is>
      </c>
      <c r="AH288" s="49" t="inlineStr">
        <is>
          <t>IF(OR(F288="",AC288="Completed / Handover",AC288="Cancelled"),"",IF(O288="Not awarded",IF(U288&lt;&gt;"",U288-TODAY(),IF(X288="","",X288-TODAY())),IF(X288="","",X288-TODAY())))</t>
        </is>
      </c>
      <c r="AI288" s="54" t="n"/>
      <c r="AJ288" s="54" t="n"/>
      <c r="AK288" s="54" t="n"/>
      <c r="AL288" s="54" t="n"/>
      <c r="AM288" s="54" t="n"/>
      <c r="AN288" s="54" t="n"/>
      <c r="AO288" s="54" t="n"/>
      <c r="AP288" s="54" t="n"/>
      <c r="AQ288" s="54" t="n"/>
      <c r="AR288" s="54" t="n"/>
      <c r="AS288" s="54" t="n"/>
      <c r="AT288" s="50" t="n"/>
      <c r="AU288" s="50" t="n"/>
      <c r="AV288" s="50" t="n"/>
      <c r="AW288" s="49" t="inlineStr">
        <is>
          <t>IF(OR(F288="",AJ288=""),"",IF(COUNT(AI288:AI288)=0,"",AJ288-LOOKUP(2,1/(AI288:AI288&lt;&gt;""),AI288:AI288)))</t>
        </is>
      </c>
      <c r="AX288" s="49" t="inlineStr">
        <is>
          <t>IF(OR(F288="",AK288=""),"",IF(COUNT(AI288:AJ288)=0,"",AK288-LOOKUP(2,1/(AI288:AJ288&lt;&gt;""),AI288:AJ288)))</t>
        </is>
      </c>
      <c r="AY288" s="49" t="inlineStr">
        <is>
          <t>IF(OR(F288="",AL288=""),"",IF(COUNT(AI288:AK288)=0,"",AL288-LOOKUP(2,1/(AI288:AK288&lt;&gt;""),AI288:AK288)))</t>
        </is>
      </c>
      <c r="AZ288" s="49" t="inlineStr">
        <is>
          <t>IF(OR(F288="",AM288=""),"",IF(COUNT(AI288:AL288)=0,"",AM288-LOOKUP(2,1/(AI288:AL288&lt;&gt;""),AI288:AL288)))</t>
        </is>
      </c>
      <c r="BA288" s="49" t="inlineStr">
        <is>
          <t>IF(OR(F288="",AN288=""),"",IF(COUNT(AI288:AM288)=0,"",AN288-LOOKUP(2,1/(AI288:AM288&lt;&gt;""),AI288:AM288)))</t>
        </is>
      </c>
      <c r="BB288" s="49" t="inlineStr">
        <is>
          <t>IF(OR(F288="",AO288=""),"",IF(COUNT(AI288:AN288)=0,"",AO288-LOOKUP(2,1/(AI288:AN288&lt;&gt;""),AI288:AN288)))</t>
        </is>
      </c>
      <c r="BC288" s="49" t="inlineStr">
        <is>
          <t>IF(OR(F288="",AP288=""),"",IF(COUNT(AI288:AO288)=0,"",AP288-LOOKUP(2,1/(AI288:AO288&lt;&gt;""),AI288:AO288)))</t>
        </is>
      </c>
      <c r="BD288" s="49" t="inlineStr">
        <is>
          <t>IF(OR(F288="",AQ288=""),"",IF(COUNT(AI288:AP288)=0,"",AQ288-LOOKUP(2,1/(AI288:AP288&lt;&gt;""),AI288:AP288)))</t>
        </is>
      </c>
      <c r="BE288" s="49" t="inlineStr">
        <is>
          <t>IF(OR(F288="",AR288=""),"",IF(COUNT(AI288:AQ288)=0,"",AR288-LOOKUP(2,1/(AI288:AQ288&lt;&gt;""),AI288:AQ288)))</t>
        </is>
      </c>
      <c r="BF288" s="49" t="inlineStr">
        <is>
          <t>IF(OR(F288="",AS288=""),"",IF(COUNT(AI288:AR288)=0,"",AS288-LOOKUP(2,1/(AI288:AR288&lt;&gt;""),AI288:AR288)))</t>
        </is>
      </c>
      <c r="BG288" s="49" t="inlineStr">
        <is>
          <t>IF(OR(F288="",AT288=""),"",IF(COUNT(AI288:AS288)=0,"",AT288-LOOKUP(2,1/(AI288:AS288&lt;&gt;""),AI288:AS288)))</t>
        </is>
      </c>
      <c r="BH288" s="49" t="inlineStr">
        <is>
          <t>IF(OR(F288="",AU288=""),"",IF(COUNT(AI288:AT288)=0,"",AU288-LOOKUP(2,1/(AI288:AT288&lt;&gt;""),AI288:AT288)))</t>
        </is>
      </c>
      <c r="BI288" s="49" t="inlineStr">
        <is>
          <t>IF(OR(F288="",AV288=""),"",IF(COUNT(AI288:AU288)=0,"",AV288-LOOKUP(2,1/(AI288:AU288&lt;&gt;""),AI288:AU288)))</t>
        </is>
      </c>
      <c r="BJ288" s="51" t="inlineStr">
        <is>
          <t>IF(J288="","All_Provinces",IFERROR(VLOOKUP(J288,'09_Lookups'!$A$4:$B$20,2,FALSE),"All_Provinces"))</t>
        </is>
      </c>
      <c r="BK288" s="51" t="inlineStr">
        <is>
          <t>IF(K288="","All_Districts",IFERROR(VLOOKUP(K288,'09_Lookups'!$E$4:$F$42,2,FALSE),"All_Districts"))</t>
        </is>
      </c>
    </row>
    <row r="289" ht="18" customHeight="1">
      <c r="A289" s="42" t="inlineStr">
        <is>
          <t>IF(F289="","",ROW()-3)</t>
        </is>
      </c>
      <c r="B289" s="44" t="n"/>
      <c r="C289" s="44" t="n"/>
      <c r="D289" s="44" t="n"/>
      <c r="E289" s="44" t="n"/>
      <c r="F289" s="44" t="n"/>
      <c r="G289" s="44" t="n"/>
      <c r="H289" s="44" t="n"/>
      <c r="I289" s="44" t="n"/>
      <c r="J289" s="44" t="n"/>
      <c r="K289" s="44" t="n"/>
      <c r="L289" s="44" t="n"/>
      <c r="M289" s="44" t="n"/>
      <c r="N289" s="44" t="n"/>
      <c r="O289" s="44" t="n"/>
      <c r="P289" s="44" t="n"/>
      <c r="Q289" s="44" t="n"/>
      <c r="R289" s="44" t="n"/>
      <c r="S289" s="45" t="n"/>
      <c r="T289" s="46" t="inlineStr">
        <is>
          <t>IF(AQ289="","",AQ289)</t>
        </is>
      </c>
      <c r="U289" s="47" t="n"/>
      <c r="V289" s="48" t="n"/>
      <c r="W289" s="47" t="n"/>
      <c r="X289" s="46" t="inlineStr">
        <is>
          <t>IF(W289&lt;&gt;"",W289,IF(OR(T289="",V289=""),"",EDATE(T289,V289)))</t>
        </is>
      </c>
      <c r="Y289" s="47" t="n"/>
      <c r="Z289" s="48" t="n"/>
      <c r="AA289" s="44" t="n"/>
      <c r="AB289" s="44" t="n"/>
      <c r="AC289" s="42" t="inlineStr">
        <is>
          <t>IF(F289="","",IF(COUNT(AI289:AV289)=0,IF(AA289="","Not started",AA289),SUBSTITUTE(LOOKUP(2,1/(AI289:AV289&lt;&gt;""),$AI$3:$AV$3),"Date: ","")))</t>
        </is>
      </c>
      <c r="AD289" s="49" t="inlineStr">
        <is>
          <t>IF(OR(F289="",COUNT(AI289:AV289)=0),"",TODAY()-LOOKUP(2,1/(AI289:AV289&lt;&gt;""),AI289:AV289))</t>
        </is>
      </c>
      <c r="AE289" s="49" t="inlineStr">
        <is>
          <t>IF(OR(F289="",COUNT(AI289:AV289)&lt;2),"",LOOKUP(2,1/(AI289:AV289&lt;&gt;""),AI289:AV289)-MIN(AI289:AV289))</t>
        </is>
      </c>
      <c r="AF289" s="49" t="inlineStr">
        <is>
          <t>IF(OR(AD289="",AC289="Not started",AC289=""),"",IFERROR(AD289-IF(VLOOKUP(AC289,'06_Status_Pipeline'!$B$3:$E$20,4,FALSE)="",0,VLOOKUP(AC289,'06_Status_Pipeline'!$B$3:$E$20,4,FALSE)),""))</t>
        </is>
      </c>
      <c r="AG289" s="42" t="inlineStr">
        <is>
          <t>IF(F289="","",IF(OR(AA289="Cancelled",AC289="Cancelled"),"Cancelled",IF(OR(AC289="Completed / Handover",Y289&lt;&gt;"",Z289&gt;=100),"Completed — on track",IF(O289="Not awarded",IF(U289="",IF(X289="","No planned date",IF(TODAY()&gt;X289,"Behind — past planned date",IF(X289-TODAY()&lt;=30,"At risk — close to off track","On track"))),IF(TODAY()&gt;U289,"Behind — award date passed",IF(U289-TODAY()&lt;=30,"At risk — close to off track","On track"))),IF(X289="","No planned date",IF(AND(TODAY()&gt;X289,OR(Z289="",Z289&lt;100)),"Behind — past end date",IF(AND(T289&lt;&gt;"",X289&lt;&gt;"",Z289&lt;&gt;"",(Z289&lt;100),((TODAY()-T289)/MAX(X289-T289,1)*100)-Z289&gt;15),"Behind — progress lag",IF(AND(X289-TODAY()&lt;=30,X289-TODAY()&gt;=0,OR(Z289="",Z289&lt;90)),"At risk — close to off track","On track"))))))))</t>
        </is>
      </c>
      <c r="AH289" s="49" t="inlineStr">
        <is>
          <t>IF(OR(F289="",AC289="Completed / Handover",AC289="Cancelled"),"",IF(O289="Not awarded",IF(U289&lt;&gt;"",U289-TODAY(),IF(X289="","",X289-TODAY())),IF(X289="","",X289-TODAY())))</t>
        </is>
      </c>
      <c r="AI289" s="47" t="n"/>
      <c r="AJ289" s="47" t="n"/>
      <c r="AK289" s="47" t="n"/>
      <c r="AL289" s="47" t="n"/>
      <c r="AM289" s="47" t="n"/>
      <c r="AN289" s="47" t="n"/>
      <c r="AO289" s="47" t="n"/>
      <c r="AP289" s="47" t="n"/>
      <c r="AQ289" s="47" t="n"/>
      <c r="AR289" s="47" t="n"/>
      <c r="AS289" s="47" t="n"/>
      <c r="AT289" s="50" t="n"/>
      <c r="AU289" s="50" t="n"/>
      <c r="AV289" s="50" t="n"/>
      <c r="AW289" s="49" t="inlineStr">
        <is>
          <t>IF(OR(F289="",AJ289=""),"",IF(COUNT(AI289:AI289)=0,"",AJ289-LOOKUP(2,1/(AI289:AI289&lt;&gt;""),AI289:AI289)))</t>
        </is>
      </c>
      <c r="AX289" s="49" t="inlineStr">
        <is>
          <t>IF(OR(F289="",AK289=""),"",IF(COUNT(AI289:AJ289)=0,"",AK289-LOOKUP(2,1/(AI289:AJ289&lt;&gt;""),AI289:AJ289)))</t>
        </is>
      </c>
      <c r="AY289" s="49" t="inlineStr">
        <is>
          <t>IF(OR(F289="",AL289=""),"",IF(COUNT(AI289:AK289)=0,"",AL289-LOOKUP(2,1/(AI289:AK289&lt;&gt;""),AI289:AK289)))</t>
        </is>
      </c>
      <c r="AZ289" s="49" t="inlineStr">
        <is>
          <t>IF(OR(F289="",AM289=""),"",IF(COUNT(AI289:AL289)=0,"",AM289-LOOKUP(2,1/(AI289:AL289&lt;&gt;""),AI289:AL289)))</t>
        </is>
      </c>
      <c r="BA289" s="49" t="inlineStr">
        <is>
          <t>IF(OR(F289="",AN289=""),"",IF(COUNT(AI289:AM289)=0,"",AN289-LOOKUP(2,1/(AI289:AM289&lt;&gt;""),AI289:AM289)))</t>
        </is>
      </c>
      <c r="BB289" s="49" t="inlineStr">
        <is>
          <t>IF(OR(F289="",AO289=""),"",IF(COUNT(AI289:AN289)=0,"",AO289-LOOKUP(2,1/(AI289:AN289&lt;&gt;""),AI289:AN289)))</t>
        </is>
      </c>
      <c r="BC289" s="49" t="inlineStr">
        <is>
          <t>IF(OR(F289="",AP289=""),"",IF(COUNT(AI289:AO289)=0,"",AP289-LOOKUP(2,1/(AI289:AO289&lt;&gt;""),AI289:AO289)))</t>
        </is>
      </c>
      <c r="BD289" s="49" t="inlineStr">
        <is>
          <t>IF(OR(F289="",AQ289=""),"",IF(COUNT(AI289:AP289)=0,"",AQ289-LOOKUP(2,1/(AI289:AP289&lt;&gt;""),AI289:AP289)))</t>
        </is>
      </c>
      <c r="BE289" s="49" t="inlineStr">
        <is>
          <t>IF(OR(F289="",AR289=""),"",IF(COUNT(AI289:AQ289)=0,"",AR289-LOOKUP(2,1/(AI289:AQ289&lt;&gt;""),AI289:AQ289)))</t>
        </is>
      </c>
      <c r="BF289" s="49" t="inlineStr">
        <is>
          <t>IF(OR(F289="",AS289=""),"",IF(COUNT(AI289:AR289)=0,"",AS289-LOOKUP(2,1/(AI289:AR289&lt;&gt;""),AI289:AR289)))</t>
        </is>
      </c>
      <c r="BG289" s="49" t="inlineStr">
        <is>
          <t>IF(OR(F289="",AT289=""),"",IF(COUNT(AI289:AS289)=0,"",AT289-LOOKUP(2,1/(AI289:AS289&lt;&gt;""),AI289:AS289)))</t>
        </is>
      </c>
      <c r="BH289" s="49" t="inlineStr">
        <is>
          <t>IF(OR(F289="",AU289=""),"",IF(COUNT(AI289:AT289)=0,"",AU289-LOOKUP(2,1/(AI289:AT289&lt;&gt;""),AI289:AT289)))</t>
        </is>
      </c>
      <c r="BI289" s="49" t="inlineStr">
        <is>
          <t>IF(OR(F289="",AV289=""),"",IF(COUNT(AI289:AU289)=0,"",AV289-LOOKUP(2,1/(AI289:AU289&lt;&gt;""),AI289:AU289)))</t>
        </is>
      </c>
      <c r="BJ289" s="51" t="inlineStr">
        <is>
          <t>IF(J289="","All_Provinces",IFERROR(VLOOKUP(J289,'09_Lookups'!$A$4:$B$20,2,FALSE),"All_Provinces"))</t>
        </is>
      </c>
      <c r="BK289" s="51" t="inlineStr">
        <is>
          <t>IF(K289="","All_Districts",IFERROR(VLOOKUP(K289,'09_Lookups'!$E$4:$F$42,2,FALSE),"All_Districts"))</t>
        </is>
      </c>
    </row>
    <row r="290" ht="18" customHeight="1">
      <c r="A290" s="42" t="inlineStr">
        <is>
          <t>IF(F290="","",ROW()-3)</t>
        </is>
      </c>
      <c r="B290" s="52" t="n"/>
      <c r="C290" s="52" t="n"/>
      <c r="D290" s="52" t="n"/>
      <c r="E290" s="52" t="n"/>
      <c r="F290" s="52" t="n"/>
      <c r="G290" s="52" t="n"/>
      <c r="H290" s="52" t="n"/>
      <c r="I290" s="52" t="n"/>
      <c r="J290" s="52" t="n"/>
      <c r="K290" s="52" t="n"/>
      <c r="L290" s="52" t="n"/>
      <c r="M290" s="52" t="n"/>
      <c r="N290" s="52" t="n"/>
      <c r="O290" s="52" t="n"/>
      <c r="P290" s="52" t="n"/>
      <c r="Q290" s="52" t="n"/>
      <c r="R290" s="52" t="n"/>
      <c r="S290" s="53" t="n"/>
      <c r="T290" s="46" t="inlineStr">
        <is>
          <t>IF(AQ290="","",AQ290)</t>
        </is>
      </c>
      <c r="U290" s="54" t="n"/>
      <c r="V290" s="55" t="n"/>
      <c r="W290" s="54" t="n"/>
      <c r="X290" s="46" t="inlineStr">
        <is>
          <t>IF(W290&lt;&gt;"",W290,IF(OR(T290="",V290=""),"",EDATE(T290,V290)))</t>
        </is>
      </c>
      <c r="Y290" s="54" t="n"/>
      <c r="Z290" s="55" t="n"/>
      <c r="AA290" s="52" t="n"/>
      <c r="AB290" s="52" t="n"/>
      <c r="AC290" s="42" t="inlineStr">
        <is>
          <t>IF(F290="","",IF(COUNT(AI290:AV290)=0,IF(AA290="","Not started",AA290),SUBSTITUTE(LOOKUP(2,1/(AI290:AV290&lt;&gt;""),$AI$3:$AV$3),"Date: ","")))</t>
        </is>
      </c>
      <c r="AD290" s="49" t="inlineStr">
        <is>
          <t>IF(OR(F290="",COUNT(AI290:AV290)=0),"",TODAY()-LOOKUP(2,1/(AI290:AV290&lt;&gt;""),AI290:AV290))</t>
        </is>
      </c>
      <c r="AE290" s="49" t="inlineStr">
        <is>
          <t>IF(OR(F290="",COUNT(AI290:AV290)&lt;2),"",LOOKUP(2,1/(AI290:AV290&lt;&gt;""),AI290:AV290)-MIN(AI290:AV290))</t>
        </is>
      </c>
      <c r="AF290" s="49" t="inlineStr">
        <is>
          <t>IF(OR(AD290="",AC290="Not started",AC290=""),"",IFERROR(AD290-IF(VLOOKUP(AC290,'06_Status_Pipeline'!$B$3:$E$20,4,FALSE)="",0,VLOOKUP(AC290,'06_Status_Pipeline'!$B$3:$E$20,4,FALSE)),""))</t>
        </is>
      </c>
      <c r="AG290" s="42" t="inlineStr">
        <is>
          <t>IF(F290="","",IF(OR(AA290="Cancelled",AC290="Cancelled"),"Cancelled",IF(OR(AC290="Completed / Handover",Y290&lt;&gt;"",Z290&gt;=100),"Completed — on track",IF(O290="Not awarded",IF(U290="",IF(X290="","No planned date",IF(TODAY()&gt;X290,"Behind — past planned date",IF(X290-TODAY()&lt;=30,"At risk — close to off track","On track"))),IF(TODAY()&gt;U290,"Behind — award date passed",IF(U290-TODAY()&lt;=30,"At risk — close to off track","On track"))),IF(X290="","No planned date",IF(AND(TODAY()&gt;X290,OR(Z290="",Z290&lt;100)),"Behind — past end date",IF(AND(T290&lt;&gt;"",X290&lt;&gt;"",Z290&lt;&gt;"",(Z290&lt;100),((TODAY()-T290)/MAX(X290-T290,1)*100)-Z290&gt;15),"Behind — progress lag",IF(AND(X290-TODAY()&lt;=30,X290-TODAY()&gt;=0,OR(Z290="",Z290&lt;90)),"At risk — close to off track","On track"))))))))</t>
        </is>
      </c>
      <c r="AH290" s="49" t="inlineStr">
        <is>
          <t>IF(OR(F290="",AC290="Completed / Handover",AC290="Cancelled"),"",IF(O290="Not awarded",IF(U290&lt;&gt;"",U290-TODAY(),IF(X290="","",X290-TODAY())),IF(X290="","",X290-TODAY())))</t>
        </is>
      </c>
      <c r="AI290" s="54" t="n"/>
      <c r="AJ290" s="54" t="n"/>
      <c r="AK290" s="54" t="n"/>
      <c r="AL290" s="54" t="n"/>
      <c r="AM290" s="54" t="n"/>
      <c r="AN290" s="54" t="n"/>
      <c r="AO290" s="54" t="n"/>
      <c r="AP290" s="54" t="n"/>
      <c r="AQ290" s="54" t="n"/>
      <c r="AR290" s="54" t="n"/>
      <c r="AS290" s="54" t="n"/>
      <c r="AT290" s="50" t="n"/>
      <c r="AU290" s="50" t="n"/>
      <c r="AV290" s="50" t="n"/>
      <c r="AW290" s="49" t="inlineStr">
        <is>
          <t>IF(OR(F290="",AJ290=""),"",IF(COUNT(AI290:AI290)=0,"",AJ290-LOOKUP(2,1/(AI290:AI290&lt;&gt;""),AI290:AI290)))</t>
        </is>
      </c>
      <c r="AX290" s="49" t="inlineStr">
        <is>
          <t>IF(OR(F290="",AK290=""),"",IF(COUNT(AI290:AJ290)=0,"",AK290-LOOKUP(2,1/(AI290:AJ290&lt;&gt;""),AI290:AJ290)))</t>
        </is>
      </c>
      <c r="AY290" s="49" t="inlineStr">
        <is>
          <t>IF(OR(F290="",AL290=""),"",IF(COUNT(AI290:AK290)=0,"",AL290-LOOKUP(2,1/(AI290:AK290&lt;&gt;""),AI290:AK290)))</t>
        </is>
      </c>
      <c r="AZ290" s="49" t="inlineStr">
        <is>
          <t>IF(OR(F290="",AM290=""),"",IF(COUNT(AI290:AL290)=0,"",AM290-LOOKUP(2,1/(AI290:AL290&lt;&gt;""),AI290:AL290)))</t>
        </is>
      </c>
      <c r="BA290" s="49" t="inlineStr">
        <is>
          <t>IF(OR(F290="",AN290=""),"",IF(COUNT(AI290:AM290)=0,"",AN290-LOOKUP(2,1/(AI290:AM290&lt;&gt;""),AI290:AM290)))</t>
        </is>
      </c>
      <c r="BB290" s="49" t="inlineStr">
        <is>
          <t>IF(OR(F290="",AO290=""),"",IF(COUNT(AI290:AN290)=0,"",AO290-LOOKUP(2,1/(AI290:AN290&lt;&gt;""),AI290:AN290)))</t>
        </is>
      </c>
      <c r="BC290" s="49" t="inlineStr">
        <is>
          <t>IF(OR(F290="",AP290=""),"",IF(COUNT(AI290:AO290)=0,"",AP290-LOOKUP(2,1/(AI290:AO290&lt;&gt;""),AI290:AO290)))</t>
        </is>
      </c>
      <c r="BD290" s="49" t="inlineStr">
        <is>
          <t>IF(OR(F290="",AQ290=""),"",IF(COUNT(AI290:AP290)=0,"",AQ290-LOOKUP(2,1/(AI290:AP290&lt;&gt;""),AI290:AP290)))</t>
        </is>
      </c>
      <c r="BE290" s="49" t="inlineStr">
        <is>
          <t>IF(OR(F290="",AR290=""),"",IF(COUNT(AI290:AQ290)=0,"",AR290-LOOKUP(2,1/(AI290:AQ290&lt;&gt;""),AI290:AQ290)))</t>
        </is>
      </c>
      <c r="BF290" s="49" t="inlineStr">
        <is>
          <t>IF(OR(F290="",AS290=""),"",IF(COUNT(AI290:AR290)=0,"",AS290-LOOKUP(2,1/(AI290:AR290&lt;&gt;""),AI290:AR290)))</t>
        </is>
      </c>
      <c r="BG290" s="49" t="inlineStr">
        <is>
          <t>IF(OR(F290="",AT290=""),"",IF(COUNT(AI290:AS290)=0,"",AT290-LOOKUP(2,1/(AI290:AS290&lt;&gt;""),AI290:AS290)))</t>
        </is>
      </c>
      <c r="BH290" s="49" t="inlineStr">
        <is>
          <t>IF(OR(F290="",AU290=""),"",IF(COUNT(AI290:AT290)=0,"",AU290-LOOKUP(2,1/(AI290:AT290&lt;&gt;""),AI290:AT290)))</t>
        </is>
      </c>
      <c r="BI290" s="49" t="inlineStr">
        <is>
          <t>IF(OR(F290="",AV290=""),"",IF(COUNT(AI290:AU290)=0,"",AV290-LOOKUP(2,1/(AI290:AU290&lt;&gt;""),AI290:AU290)))</t>
        </is>
      </c>
      <c r="BJ290" s="51" t="inlineStr">
        <is>
          <t>IF(J290="","All_Provinces",IFERROR(VLOOKUP(J290,'09_Lookups'!$A$4:$B$20,2,FALSE),"All_Provinces"))</t>
        </is>
      </c>
      <c r="BK290" s="51" t="inlineStr">
        <is>
          <t>IF(K290="","All_Districts",IFERROR(VLOOKUP(K290,'09_Lookups'!$E$4:$F$42,2,FALSE),"All_Districts"))</t>
        </is>
      </c>
    </row>
    <row r="291" ht="18" customHeight="1">
      <c r="A291" s="42" t="inlineStr">
        <is>
          <t>IF(F291="","",ROW()-3)</t>
        </is>
      </c>
      <c r="B291" s="44" t="n"/>
      <c r="C291" s="44" t="n"/>
      <c r="D291" s="44" t="n"/>
      <c r="E291" s="44" t="n"/>
      <c r="F291" s="44" t="n"/>
      <c r="G291" s="44" t="n"/>
      <c r="H291" s="44" t="n"/>
      <c r="I291" s="44" t="n"/>
      <c r="J291" s="44" t="n"/>
      <c r="K291" s="44" t="n"/>
      <c r="L291" s="44" t="n"/>
      <c r="M291" s="44" t="n"/>
      <c r="N291" s="44" t="n"/>
      <c r="O291" s="44" t="n"/>
      <c r="P291" s="44" t="n"/>
      <c r="Q291" s="44" t="n"/>
      <c r="R291" s="44" t="n"/>
      <c r="S291" s="45" t="n"/>
      <c r="T291" s="46" t="inlineStr">
        <is>
          <t>IF(AQ291="","",AQ291)</t>
        </is>
      </c>
      <c r="U291" s="47" t="n"/>
      <c r="V291" s="48" t="n"/>
      <c r="W291" s="47" t="n"/>
      <c r="X291" s="46" t="inlineStr">
        <is>
          <t>IF(W291&lt;&gt;"",W291,IF(OR(T291="",V291=""),"",EDATE(T291,V291)))</t>
        </is>
      </c>
      <c r="Y291" s="47" t="n"/>
      <c r="Z291" s="48" t="n"/>
      <c r="AA291" s="44" t="n"/>
      <c r="AB291" s="44" t="n"/>
      <c r="AC291" s="42" t="inlineStr">
        <is>
          <t>IF(F291="","",IF(COUNT(AI291:AV291)=0,IF(AA291="","Not started",AA291),SUBSTITUTE(LOOKUP(2,1/(AI291:AV291&lt;&gt;""),$AI$3:$AV$3),"Date: ","")))</t>
        </is>
      </c>
      <c r="AD291" s="49" t="inlineStr">
        <is>
          <t>IF(OR(F291="",COUNT(AI291:AV291)=0),"",TODAY()-LOOKUP(2,1/(AI291:AV291&lt;&gt;""),AI291:AV291))</t>
        </is>
      </c>
      <c r="AE291" s="49" t="inlineStr">
        <is>
          <t>IF(OR(F291="",COUNT(AI291:AV291)&lt;2),"",LOOKUP(2,1/(AI291:AV291&lt;&gt;""),AI291:AV291)-MIN(AI291:AV291))</t>
        </is>
      </c>
      <c r="AF291" s="49" t="inlineStr">
        <is>
          <t>IF(OR(AD291="",AC291="Not started",AC291=""),"",IFERROR(AD291-IF(VLOOKUP(AC291,'06_Status_Pipeline'!$B$3:$E$20,4,FALSE)="",0,VLOOKUP(AC291,'06_Status_Pipeline'!$B$3:$E$20,4,FALSE)),""))</t>
        </is>
      </c>
      <c r="AG291" s="42" t="inlineStr">
        <is>
          <t>IF(F291="","",IF(OR(AA291="Cancelled",AC291="Cancelled"),"Cancelled",IF(OR(AC291="Completed / Handover",Y291&lt;&gt;"",Z291&gt;=100),"Completed — on track",IF(O291="Not awarded",IF(U291="",IF(X291="","No planned date",IF(TODAY()&gt;X291,"Behind — past planned date",IF(X291-TODAY()&lt;=30,"At risk — close to off track","On track"))),IF(TODAY()&gt;U291,"Behind — award date passed",IF(U291-TODAY()&lt;=30,"At risk — close to off track","On track"))),IF(X291="","No planned date",IF(AND(TODAY()&gt;X291,OR(Z291="",Z291&lt;100)),"Behind — past end date",IF(AND(T291&lt;&gt;"",X291&lt;&gt;"",Z291&lt;&gt;"",(Z291&lt;100),((TODAY()-T291)/MAX(X291-T291,1)*100)-Z291&gt;15),"Behind — progress lag",IF(AND(X291-TODAY()&lt;=30,X291-TODAY()&gt;=0,OR(Z291="",Z291&lt;90)),"At risk — close to off track","On track"))))))))</t>
        </is>
      </c>
      <c r="AH291" s="49" t="inlineStr">
        <is>
          <t>IF(OR(F291="",AC291="Completed / Handover",AC291="Cancelled"),"",IF(O291="Not awarded",IF(U291&lt;&gt;"",U291-TODAY(),IF(X291="","",X291-TODAY())),IF(X291="","",X291-TODAY())))</t>
        </is>
      </c>
      <c r="AI291" s="47" t="n"/>
      <c r="AJ291" s="47" t="n"/>
      <c r="AK291" s="47" t="n"/>
      <c r="AL291" s="47" t="n"/>
      <c r="AM291" s="47" t="n"/>
      <c r="AN291" s="47" t="n"/>
      <c r="AO291" s="47" t="n"/>
      <c r="AP291" s="47" t="n"/>
      <c r="AQ291" s="47" t="n"/>
      <c r="AR291" s="47" t="n"/>
      <c r="AS291" s="47" t="n"/>
      <c r="AT291" s="50" t="n"/>
      <c r="AU291" s="50" t="n"/>
      <c r="AV291" s="50" t="n"/>
      <c r="AW291" s="49" t="inlineStr">
        <is>
          <t>IF(OR(F291="",AJ291=""),"",IF(COUNT(AI291:AI291)=0,"",AJ291-LOOKUP(2,1/(AI291:AI291&lt;&gt;""),AI291:AI291)))</t>
        </is>
      </c>
      <c r="AX291" s="49" t="inlineStr">
        <is>
          <t>IF(OR(F291="",AK291=""),"",IF(COUNT(AI291:AJ291)=0,"",AK291-LOOKUP(2,1/(AI291:AJ291&lt;&gt;""),AI291:AJ291)))</t>
        </is>
      </c>
      <c r="AY291" s="49" t="inlineStr">
        <is>
          <t>IF(OR(F291="",AL291=""),"",IF(COUNT(AI291:AK291)=0,"",AL291-LOOKUP(2,1/(AI291:AK291&lt;&gt;""),AI291:AK291)))</t>
        </is>
      </c>
      <c r="AZ291" s="49" t="inlineStr">
        <is>
          <t>IF(OR(F291="",AM291=""),"",IF(COUNT(AI291:AL291)=0,"",AM291-LOOKUP(2,1/(AI291:AL291&lt;&gt;""),AI291:AL291)))</t>
        </is>
      </c>
      <c r="BA291" s="49" t="inlineStr">
        <is>
          <t>IF(OR(F291="",AN291=""),"",IF(COUNT(AI291:AM291)=0,"",AN291-LOOKUP(2,1/(AI291:AM291&lt;&gt;""),AI291:AM291)))</t>
        </is>
      </c>
      <c r="BB291" s="49" t="inlineStr">
        <is>
          <t>IF(OR(F291="",AO291=""),"",IF(COUNT(AI291:AN291)=0,"",AO291-LOOKUP(2,1/(AI291:AN291&lt;&gt;""),AI291:AN291)))</t>
        </is>
      </c>
      <c r="BC291" s="49" t="inlineStr">
        <is>
          <t>IF(OR(F291="",AP291=""),"",IF(COUNT(AI291:AO291)=0,"",AP291-LOOKUP(2,1/(AI291:AO291&lt;&gt;""),AI291:AO291)))</t>
        </is>
      </c>
      <c r="BD291" s="49" t="inlineStr">
        <is>
          <t>IF(OR(F291="",AQ291=""),"",IF(COUNT(AI291:AP291)=0,"",AQ291-LOOKUP(2,1/(AI291:AP291&lt;&gt;""),AI291:AP291)))</t>
        </is>
      </c>
      <c r="BE291" s="49" t="inlineStr">
        <is>
          <t>IF(OR(F291="",AR291=""),"",IF(COUNT(AI291:AQ291)=0,"",AR291-LOOKUP(2,1/(AI291:AQ291&lt;&gt;""),AI291:AQ291)))</t>
        </is>
      </c>
      <c r="BF291" s="49" t="inlineStr">
        <is>
          <t>IF(OR(F291="",AS291=""),"",IF(COUNT(AI291:AR291)=0,"",AS291-LOOKUP(2,1/(AI291:AR291&lt;&gt;""),AI291:AR291)))</t>
        </is>
      </c>
      <c r="BG291" s="49" t="inlineStr">
        <is>
          <t>IF(OR(F291="",AT291=""),"",IF(COUNT(AI291:AS291)=0,"",AT291-LOOKUP(2,1/(AI291:AS291&lt;&gt;""),AI291:AS291)))</t>
        </is>
      </c>
      <c r="BH291" s="49" t="inlineStr">
        <is>
          <t>IF(OR(F291="",AU291=""),"",IF(COUNT(AI291:AT291)=0,"",AU291-LOOKUP(2,1/(AI291:AT291&lt;&gt;""),AI291:AT291)))</t>
        </is>
      </c>
      <c r="BI291" s="49" t="inlineStr">
        <is>
          <t>IF(OR(F291="",AV291=""),"",IF(COUNT(AI291:AU291)=0,"",AV291-LOOKUP(2,1/(AI291:AU291&lt;&gt;""),AI291:AU291)))</t>
        </is>
      </c>
      <c r="BJ291" s="51" t="inlineStr">
        <is>
          <t>IF(J291="","All_Provinces",IFERROR(VLOOKUP(J291,'09_Lookups'!$A$4:$B$20,2,FALSE),"All_Provinces"))</t>
        </is>
      </c>
      <c r="BK291" s="51" t="inlineStr">
        <is>
          <t>IF(K291="","All_Districts",IFERROR(VLOOKUP(K291,'09_Lookups'!$E$4:$F$42,2,FALSE),"All_Districts"))</t>
        </is>
      </c>
    </row>
    <row r="292" ht="18" customHeight="1">
      <c r="A292" s="42" t="inlineStr">
        <is>
          <t>IF(F292="","",ROW()-3)</t>
        </is>
      </c>
      <c r="B292" s="52" t="n"/>
      <c r="C292" s="52" t="n"/>
      <c r="D292" s="52" t="n"/>
      <c r="E292" s="52" t="n"/>
      <c r="F292" s="52" t="n"/>
      <c r="G292" s="52" t="n"/>
      <c r="H292" s="52" t="n"/>
      <c r="I292" s="52" t="n"/>
      <c r="J292" s="52" t="n"/>
      <c r="K292" s="52" t="n"/>
      <c r="L292" s="52" t="n"/>
      <c r="M292" s="52" t="n"/>
      <c r="N292" s="52" t="n"/>
      <c r="O292" s="52" t="n"/>
      <c r="P292" s="52" t="n"/>
      <c r="Q292" s="52" t="n"/>
      <c r="R292" s="52" t="n"/>
      <c r="S292" s="53" t="n"/>
      <c r="T292" s="46" t="inlineStr">
        <is>
          <t>IF(AQ292="","",AQ292)</t>
        </is>
      </c>
      <c r="U292" s="54" t="n"/>
      <c r="V292" s="55" t="n"/>
      <c r="W292" s="54" t="n"/>
      <c r="X292" s="46" t="inlineStr">
        <is>
          <t>IF(W292&lt;&gt;"",W292,IF(OR(T292="",V292=""),"",EDATE(T292,V292)))</t>
        </is>
      </c>
      <c r="Y292" s="54" t="n"/>
      <c r="Z292" s="55" t="n"/>
      <c r="AA292" s="52" t="n"/>
      <c r="AB292" s="52" t="n"/>
      <c r="AC292" s="42" t="inlineStr">
        <is>
          <t>IF(F292="","",IF(COUNT(AI292:AV292)=0,IF(AA292="","Not started",AA292),SUBSTITUTE(LOOKUP(2,1/(AI292:AV292&lt;&gt;""),$AI$3:$AV$3),"Date: ","")))</t>
        </is>
      </c>
      <c r="AD292" s="49" t="inlineStr">
        <is>
          <t>IF(OR(F292="",COUNT(AI292:AV292)=0),"",TODAY()-LOOKUP(2,1/(AI292:AV292&lt;&gt;""),AI292:AV292))</t>
        </is>
      </c>
      <c r="AE292" s="49" t="inlineStr">
        <is>
          <t>IF(OR(F292="",COUNT(AI292:AV292)&lt;2),"",LOOKUP(2,1/(AI292:AV292&lt;&gt;""),AI292:AV292)-MIN(AI292:AV292))</t>
        </is>
      </c>
      <c r="AF292" s="49" t="inlineStr">
        <is>
          <t>IF(OR(AD292="",AC292="Not started",AC292=""),"",IFERROR(AD292-IF(VLOOKUP(AC292,'06_Status_Pipeline'!$B$3:$E$20,4,FALSE)="",0,VLOOKUP(AC292,'06_Status_Pipeline'!$B$3:$E$20,4,FALSE)),""))</t>
        </is>
      </c>
      <c r="AG292" s="42" t="inlineStr">
        <is>
          <t>IF(F292="","",IF(OR(AA292="Cancelled",AC292="Cancelled"),"Cancelled",IF(OR(AC292="Completed / Handover",Y292&lt;&gt;"",Z292&gt;=100),"Completed — on track",IF(O292="Not awarded",IF(U292="",IF(X292="","No planned date",IF(TODAY()&gt;X292,"Behind — past planned date",IF(X292-TODAY()&lt;=30,"At risk — close to off track","On track"))),IF(TODAY()&gt;U292,"Behind — award date passed",IF(U292-TODAY()&lt;=30,"At risk — close to off track","On track"))),IF(X292="","No planned date",IF(AND(TODAY()&gt;X292,OR(Z292="",Z292&lt;100)),"Behind — past end date",IF(AND(T292&lt;&gt;"",X292&lt;&gt;"",Z292&lt;&gt;"",(Z292&lt;100),((TODAY()-T292)/MAX(X292-T292,1)*100)-Z292&gt;15),"Behind — progress lag",IF(AND(X292-TODAY()&lt;=30,X292-TODAY()&gt;=0,OR(Z292="",Z292&lt;90)),"At risk — close to off track","On track"))))))))</t>
        </is>
      </c>
      <c r="AH292" s="49" t="inlineStr">
        <is>
          <t>IF(OR(F292="",AC292="Completed / Handover",AC292="Cancelled"),"",IF(O292="Not awarded",IF(U292&lt;&gt;"",U292-TODAY(),IF(X292="","",X292-TODAY())),IF(X292="","",X292-TODAY())))</t>
        </is>
      </c>
      <c r="AI292" s="54" t="n"/>
      <c r="AJ292" s="54" t="n"/>
      <c r="AK292" s="54" t="n"/>
      <c r="AL292" s="54" t="n"/>
      <c r="AM292" s="54" t="n"/>
      <c r="AN292" s="54" t="n"/>
      <c r="AO292" s="54" t="n"/>
      <c r="AP292" s="54" t="n"/>
      <c r="AQ292" s="54" t="n"/>
      <c r="AR292" s="54" t="n"/>
      <c r="AS292" s="54" t="n"/>
      <c r="AT292" s="50" t="n"/>
      <c r="AU292" s="50" t="n"/>
      <c r="AV292" s="50" t="n"/>
      <c r="AW292" s="49" t="inlineStr">
        <is>
          <t>IF(OR(F292="",AJ292=""),"",IF(COUNT(AI292:AI292)=0,"",AJ292-LOOKUP(2,1/(AI292:AI292&lt;&gt;""),AI292:AI292)))</t>
        </is>
      </c>
      <c r="AX292" s="49" t="inlineStr">
        <is>
          <t>IF(OR(F292="",AK292=""),"",IF(COUNT(AI292:AJ292)=0,"",AK292-LOOKUP(2,1/(AI292:AJ292&lt;&gt;""),AI292:AJ292)))</t>
        </is>
      </c>
      <c r="AY292" s="49" t="inlineStr">
        <is>
          <t>IF(OR(F292="",AL292=""),"",IF(COUNT(AI292:AK292)=0,"",AL292-LOOKUP(2,1/(AI292:AK292&lt;&gt;""),AI292:AK292)))</t>
        </is>
      </c>
      <c r="AZ292" s="49" t="inlineStr">
        <is>
          <t>IF(OR(F292="",AM292=""),"",IF(COUNT(AI292:AL292)=0,"",AM292-LOOKUP(2,1/(AI292:AL292&lt;&gt;""),AI292:AL292)))</t>
        </is>
      </c>
      <c r="BA292" s="49" t="inlineStr">
        <is>
          <t>IF(OR(F292="",AN292=""),"",IF(COUNT(AI292:AM292)=0,"",AN292-LOOKUP(2,1/(AI292:AM292&lt;&gt;""),AI292:AM292)))</t>
        </is>
      </c>
      <c r="BB292" s="49" t="inlineStr">
        <is>
          <t>IF(OR(F292="",AO292=""),"",IF(COUNT(AI292:AN292)=0,"",AO292-LOOKUP(2,1/(AI292:AN292&lt;&gt;""),AI292:AN292)))</t>
        </is>
      </c>
      <c r="BC292" s="49" t="inlineStr">
        <is>
          <t>IF(OR(F292="",AP292=""),"",IF(COUNT(AI292:AO292)=0,"",AP292-LOOKUP(2,1/(AI292:AO292&lt;&gt;""),AI292:AO292)))</t>
        </is>
      </c>
      <c r="BD292" s="49" t="inlineStr">
        <is>
          <t>IF(OR(F292="",AQ292=""),"",IF(COUNT(AI292:AP292)=0,"",AQ292-LOOKUP(2,1/(AI292:AP292&lt;&gt;""),AI292:AP292)))</t>
        </is>
      </c>
      <c r="BE292" s="49" t="inlineStr">
        <is>
          <t>IF(OR(F292="",AR292=""),"",IF(COUNT(AI292:AQ292)=0,"",AR292-LOOKUP(2,1/(AI292:AQ292&lt;&gt;""),AI292:AQ292)))</t>
        </is>
      </c>
      <c r="BF292" s="49" t="inlineStr">
        <is>
          <t>IF(OR(F292="",AS292=""),"",IF(COUNT(AI292:AR292)=0,"",AS292-LOOKUP(2,1/(AI292:AR292&lt;&gt;""),AI292:AR292)))</t>
        </is>
      </c>
      <c r="BG292" s="49" t="inlineStr">
        <is>
          <t>IF(OR(F292="",AT292=""),"",IF(COUNT(AI292:AS292)=0,"",AT292-LOOKUP(2,1/(AI292:AS292&lt;&gt;""),AI292:AS292)))</t>
        </is>
      </c>
      <c r="BH292" s="49" t="inlineStr">
        <is>
          <t>IF(OR(F292="",AU292=""),"",IF(COUNT(AI292:AT292)=0,"",AU292-LOOKUP(2,1/(AI292:AT292&lt;&gt;""),AI292:AT292)))</t>
        </is>
      </c>
      <c r="BI292" s="49" t="inlineStr">
        <is>
          <t>IF(OR(F292="",AV292=""),"",IF(COUNT(AI292:AU292)=0,"",AV292-LOOKUP(2,1/(AI292:AU292&lt;&gt;""),AI292:AU292)))</t>
        </is>
      </c>
      <c r="BJ292" s="51" t="inlineStr">
        <is>
          <t>IF(J292="","All_Provinces",IFERROR(VLOOKUP(J292,'09_Lookups'!$A$4:$B$20,2,FALSE),"All_Provinces"))</t>
        </is>
      </c>
      <c r="BK292" s="51" t="inlineStr">
        <is>
          <t>IF(K292="","All_Districts",IFERROR(VLOOKUP(K292,'09_Lookups'!$E$4:$F$42,2,FALSE),"All_Districts"))</t>
        </is>
      </c>
    </row>
    <row r="293" ht="18" customHeight="1">
      <c r="A293" s="42" t="inlineStr">
        <is>
          <t>IF(F293="","",ROW()-3)</t>
        </is>
      </c>
      <c r="B293" s="44" t="n"/>
      <c r="C293" s="44" t="n"/>
      <c r="D293" s="44" t="n"/>
      <c r="E293" s="44" t="n"/>
      <c r="F293" s="44" t="n"/>
      <c r="G293" s="44" t="n"/>
      <c r="H293" s="44" t="n"/>
      <c r="I293" s="44" t="n"/>
      <c r="J293" s="44" t="n"/>
      <c r="K293" s="44" t="n"/>
      <c r="L293" s="44" t="n"/>
      <c r="M293" s="44" t="n"/>
      <c r="N293" s="44" t="n"/>
      <c r="O293" s="44" t="n"/>
      <c r="P293" s="44" t="n"/>
      <c r="Q293" s="44" t="n"/>
      <c r="R293" s="44" t="n"/>
      <c r="S293" s="45" t="n"/>
      <c r="T293" s="46" t="inlineStr">
        <is>
          <t>IF(AQ293="","",AQ293)</t>
        </is>
      </c>
      <c r="U293" s="47" t="n"/>
      <c r="V293" s="48" t="n"/>
      <c r="W293" s="47" t="n"/>
      <c r="X293" s="46" t="inlineStr">
        <is>
          <t>IF(W293&lt;&gt;"",W293,IF(OR(T293="",V293=""),"",EDATE(T293,V293)))</t>
        </is>
      </c>
      <c r="Y293" s="47" t="n"/>
      <c r="Z293" s="48" t="n"/>
      <c r="AA293" s="44" t="n"/>
      <c r="AB293" s="44" t="n"/>
      <c r="AC293" s="42" t="inlineStr">
        <is>
          <t>IF(F293="","",IF(COUNT(AI293:AV293)=0,IF(AA293="","Not started",AA293),SUBSTITUTE(LOOKUP(2,1/(AI293:AV293&lt;&gt;""),$AI$3:$AV$3),"Date: ","")))</t>
        </is>
      </c>
      <c r="AD293" s="49" t="inlineStr">
        <is>
          <t>IF(OR(F293="",COUNT(AI293:AV293)=0),"",TODAY()-LOOKUP(2,1/(AI293:AV293&lt;&gt;""),AI293:AV293))</t>
        </is>
      </c>
      <c r="AE293" s="49" t="inlineStr">
        <is>
          <t>IF(OR(F293="",COUNT(AI293:AV293)&lt;2),"",LOOKUP(2,1/(AI293:AV293&lt;&gt;""),AI293:AV293)-MIN(AI293:AV293))</t>
        </is>
      </c>
      <c r="AF293" s="49" t="inlineStr">
        <is>
          <t>IF(OR(AD293="",AC293="Not started",AC293=""),"",IFERROR(AD293-IF(VLOOKUP(AC293,'06_Status_Pipeline'!$B$3:$E$20,4,FALSE)="",0,VLOOKUP(AC293,'06_Status_Pipeline'!$B$3:$E$20,4,FALSE)),""))</t>
        </is>
      </c>
      <c r="AG293" s="42" t="inlineStr">
        <is>
          <t>IF(F293="","",IF(OR(AA293="Cancelled",AC293="Cancelled"),"Cancelled",IF(OR(AC293="Completed / Handover",Y293&lt;&gt;"",Z293&gt;=100),"Completed — on track",IF(O293="Not awarded",IF(U293="",IF(X293="","No planned date",IF(TODAY()&gt;X293,"Behind — past planned date",IF(X293-TODAY()&lt;=30,"At risk — close to off track","On track"))),IF(TODAY()&gt;U293,"Behind — award date passed",IF(U293-TODAY()&lt;=30,"At risk — close to off track","On track"))),IF(X293="","No planned date",IF(AND(TODAY()&gt;X293,OR(Z293="",Z293&lt;100)),"Behind — past end date",IF(AND(T293&lt;&gt;"",X293&lt;&gt;"",Z293&lt;&gt;"",(Z293&lt;100),((TODAY()-T293)/MAX(X293-T293,1)*100)-Z293&gt;15),"Behind — progress lag",IF(AND(X293-TODAY()&lt;=30,X293-TODAY()&gt;=0,OR(Z293="",Z293&lt;90)),"At risk — close to off track","On track"))))))))</t>
        </is>
      </c>
      <c r="AH293" s="49" t="inlineStr">
        <is>
          <t>IF(OR(F293="",AC293="Completed / Handover",AC293="Cancelled"),"",IF(O293="Not awarded",IF(U293&lt;&gt;"",U293-TODAY(),IF(X293="","",X293-TODAY())),IF(X293="","",X293-TODAY())))</t>
        </is>
      </c>
      <c r="AI293" s="47" t="n"/>
      <c r="AJ293" s="47" t="n"/>
      <c r="AK293" s="47" t="n"/>
      <c r="AL293" s="47" t="n"/>
      <c r="AM293" s="47" t="n"/>
      <c r="AN293" s="47" t="n"/>
      <c r="AO293" s="47" t="n"/>
      <c r="AP293" s="47" t="n"/>
      <c r="AQ293" s="47" t="n"/>
      <c r="AR293" s="47" t="n"/>
      <c r="AS293" s="47" t="n"/>
      <c r="AT293" s="50" t="n"/>
      <c r="AU293" s="50" t="n"/>
      <c r="AV293" s="50" t="n"/>
      <c r="AW293" s="49" t="inlineStr">
        <is>
          <t>IF(OR(F293="",AJ293=""),"",IF(COUNT(AI293:AI293)=0,"",AJ293-LOOKUP(2,1/(AI293:AI293&lt;&gt;""),AI293:AI293)))</t>
        </is>
      </c>
      <c r="AX293" s="49" t="inlineStr">
        <is>
          <t>IF(OR(F293="",AK293=""),"",IF(COUNT(AI293:AJ293)=0,"",AK293-LOOKUP(2,1/(AI293:AJ293&lt;&gt;""),AI293:AJ293)))</t>
        </is>
      </c>
      <c r="AY293" s="49" t="inlineStr">
        <is>
          <t>IF(OR(F293="",AL293=""),"",IF(COUNT(AI293:AK293)=0,"",AL293-LOOKUP(2,1/(AI293:AK293&lt;&gt;""),AI293:AK293)))</t>
        </is>
      </c>
      <c r="AZ293" s="49" t="inlineStr">
        <is>
          <t>IF(OR(F293="",AM293=""),"",IF(COUNT(AI293:AL293)=0,"",AM293-LOOKUP(2,1/(AI293:AL293&lt;&gt;""),AI293:AL293)))</t>
        </is>
      </c>
      <c r="BA293" s="49" t="inlineStr">
        <is>
          <t>IF(OR(F293="",AN293=""),"",IF(COUNT(AI293:AM293)=0,"",AN293-LOOKUP(2,1/(AI293:AM293&lt;&gt;""),AI293:AM293)))</t>
        </is>
      </c>
      <c r="BB293" s="49" t="inlineStr">
        <is>
          <t>IF(OR(F293="",AO293=""),"",IF(COUNT(AI293:AN293)=0,"",AO293-LOOKUP(2,1/(AI293:AN293&lt;&gt;""),AI293:AN293)))</t>
        </is>
      </c>
      <c r="BC293" s="49" t="inlineStr">
        <is>
          <t>IF(OR(F293="",AP293=""),"",IF(COUNT(AI293:AO293)=0,"",AP293-LOOKUP(2,1/(AI293:AO293&lt;&gt;""),AI293:AO293)))</t>
        </is>
      </c>
      <c r="BD293" s="49" t="inlineStr">
        <is>
          <t>IF(OR(F293="",AQ293=""),"",IF(COUNT(AI293:AP293)=0,"",AQ293-LOOKUP(2,1/(AI293:AP293&lt;&gt;""),AI293:AP293)))</t>
        </is>
      </c>
      <c r="BE293" s="49" t="inlineStr">
        <is>
          <t>IF(OR(F293="",AR293=""),"",IF(COUNT(AI293:AQ293)=0,"",AR293-LOOKUP(2,1/(AI293:AQ293&lt;&gt;""),AI293:AQ293)))</t>
        </is>
      </c>
      <c r="BF293" s="49" t="inlineStr">
        <is>
          <t>IF(OR(F293="",AS293=""),"",IF(COUNT(AI293:AR293)=0,"",AS293-LOOKUP(2,1/(AI293:AR293&lt;&gt;""),AI293:AR293)))</t>
        </is>
      </c>
      <c r="BG293" s="49" t="inlineStr">
        <is>
          <t>IF(OR(F293="",AT293=""),"",IF(COUNT(AI293:AS293)=0,"",AT293-LOOKUP(2,1/(AI293:AS293&lt;&gt;""),AI293:AS293)))</t>
        </is>
      </c>
      <c r="BH293" s="49" t="inlineStr">
        <is>
          <t>IF(OR(F293="",AU293=""),"",IF(COUNT(AI293:AT293)=0,"",AU293-LOOKUP(2,1/(AI293:AT293&lt;&gt;""),AI293:AT293)))</t>
        </is>
      </c>
      <c r="BI293" s="49" t="inlineStr">
        <is>
          <t>IF(OR(F293="",AV293=""),"",IF(COUNT(AI293:AU293)=0,"",AV293-LOOKUP(2,1/(AI293:AU293&lt;&gt;""),AI293:AU293)))</t>
        </is>
      </c>
      <c r="BJ293" s="51" t="inlineStr">
        <is>
          <t>IF(J293="","All_Provinces",IFERROR(VLOOKUP(J293,'09_Lookups'!$A$4:$B$20,2,FALSE),"All_Provinces"))</t>
        </is>
      </c>
      <c r="BK293" s="51" t="inlineStr">
        <is>
          <t>IF(K293="","All_Districts",IFERROR(VLOOKUP(K293,'09_Lookups'!$E$4:$F$42,2,FALSE),"All_Districts"))</t>
        </is>
      </c>
    </row>
    <row r="294" ht="18" customHeight="1">
      <c r="A294" s="42" t="inlineStr">
        <is>
          <t>IF(F294="","",ROW()-3)</t>
        </is>
      </c>
      <c r="B294" s="52" t="n"/>
      <c r="C294" s="52" t="n"/>
      <c r="D294" s="52" t="n"/>
      <c r="E294" s="52" t="n"/>
      <c r="F294" s="52" t="n"/>
      <c r="G294" s="52" t="n"/>
      <c r="H294" s="52" t="n"/>
      <c r="I294" s="52" t="n"/>
      <c r="J294" s="52" t="n"/>
      <c r="K294" s="52" t="n"/>
      <c r="L294" s="52" t="n"/>
      <c r="M294" s="52" t="n"/>
      <c r="N294" s="52" t="n"/>
      <c r="O294" s="52" t="n"/>
      <c r="P294" s="52" t="n"/>
      <c r="Q294" s="52" t="n"/>
      <c r="R294" s="52" t="n"/>
      <c r="S294" s="53" t="n"/>
      <c r="T294" s="46" t="inlineStr">
        <is>
          <t>IF(AQ294="","",AQ294)</t>
        </is>
      </c>
      <c r="U294" s="54" t="n"/>
      <c r="V294" s="55" t="n"/>
      <c r="W294" s="54" t="n"/>
      <c r="X294" s="46" t="inlineStr">
        <is>
          <t>IF(W294&lt;&gt;"",W294,IF(OR(T294="",V294=""),"",EDATE(T294,V294)))</t>
        </is>
      </c>
      <c r="Y294" s="54" t="n"/>
      <c r="Z294" s="55" t="n"/>
      <c r="AA294" s="52" t="n"/>
      <c r="AB294" s="52" t="n"/>
      <c r="AC294" s="42" t="inlineStr">
        <is>
          <t>IF(F294="","",IF(COUNT(AI294:AV294)=0,IF(AA294="","Not started",AA294),SUBSTITUTE(LOOKUP(2,1/(AI294:AV294&lt;&gt;""),$AI$3:$AV$3),"Date: ","")))</t>
        </is>
      </c>
      <c r="AD294" s="49" t="inlineStr">
        <is>
          <t>IF(OR(F294="",COUNT(AI294:AV294)=0),"",TODAY()-LOOKUP(2,1/(AI294:AV294&lt;&gt;""),AI294:AV294))</t>
        </is>
      </c>
      <c r="AE294" s="49" t="inlineStr">
        <is>
          <t>IF(OR(F294="",COUNT(AI294:AV294)&lt;2),"",LOOKUP(2,1/(AI294:AV294&lt;&gt;""),AI294:AV294)-MIN(AI294:AV294))</t>
        </is>
      </c>
      <c r="AF294" s="49" t="inlineStr">
        <is>
          <t>IF(OR(AD294="",AC294="Not started",AC294=""),"",IFERROR(AD294-IF(VLOOKUP(AC294,'06_Status_Pipeline'!$B$3:$E$20,4,FALSE)="",0,VLOOKUP(AC294,'06_Status_Pipeline'!$B$3:$E$20,4,FALSE)),""))</t>
        </is>
      </c>
      <c r="AG294" s="42" t="inlineStr">
        <is>
          <t>IF(F294="","",IF(OR(AA294="Cancelled",AC294="Cancelled"),"Cancelled",IF(OR(AC294="Completed / Handover",Y294&lt;&gt;"",Z294&gt;=100),"Completed — on track",IF(O294="Not awarded",IF(U294="",IF(X294="","No planned date",IF(TODAY()&gt;X294,"Behind — past planned date",IF(X294-TODAY()&lt;=30,"At risk — close to off track","On track"))),IF(TODAY()&gt;U294,"Behind — award date passed",IF(U294-TODAY()&lt;=30,"At risk — close to off track","On track"))),IF(X294="","No planned date",IF(AND(TODAY()&gt;X294,OR(Z294="",Z294&lt;100)),"Behind — past end date",IF(AND(T294&lt;&gt;"",X294&lt;&gt;"",Z294&lt;&gt;"",(Z294&lt;100),((TODAY()-T294)/MAX(X294-T294,1)*100)-Z294&gt;15),"Behind — progress lag",IF(AND(X294-TODAY()&lt;=30,X294-TODAY()&gt;=0,OR(Z294="",Z294&lt;90)),"At risk — close to off track","On track"))))))))</t>
        </is>
      </c>
      <c r="AH294" s="49" t="inlineStr">
        <is>
          <t>IF(OR(F294="",AC294="Completed / Handover",AC294="Cancelled"),"",IF(O294="Not awarded",IF(U294&lt;&gt;"",U294-TODAY(),IF(X294="","",X294-TODAY())),IF(X294="","",X294-TODAY())))</t>
        </is>
      </c>
      <c r="AI294" s="54" t="n"/>
      <c r="AJ294" s="54" t="n"/>
      <c r="AK294" s="54" t="n"/>
      <c r="AL294" s="54" t="n"/>
      <c r="AM294" s="54" t="n"/>
      <c r="AN294" s="54" t="n"/>
      <c r="AO294" s="54" t="n"/>
      <c r="AP294" s="54" t="n"/>
      <c r="AQ294" s="54" t="n"/>
      <c r="AR294" s="54" t="n"/>
      <c r="AS294" s="54" t="n"/>
      <c r="AT294" s="50" t="n"/>
      <c r="AU294" s="50" t="n"/>
      <c r="AV294" s="50" t="n"/>
      <c r="AW294" s="49" t="inlineStr">
        <is>
          <t>IF(OR(F294="",AJ294=""),"",IF(COUNT(AI294:AI294)=0,"",AJ294-LOOKUP(2,1/(AI294:AI294&lt;&gt;""),AI294:AI294)))</t>
        </is>
      </c>
      <c r="AX294" s="49" t="inlineStr">
        <is>
          <t>IF(OR(F294="",AK294=""),"",IF(COUNT(AI294:AJ294)=0,"",AK294-LOOKUP(2,1/(AI294:AJ294&lt;&gt;""),AI294:AJ294)))</t>
        </is>
      </c>
      <c r="AY294" s="49" t="inlineStr">
        <is>
          <t>IF(OR(F294="",AL294=""),"",IF(COUNT(AI294:AK294)=0,"",AL294-LOOKUP(2,1/(AI294:AK294&lt;&gt;""),AI294:AK294)))</t>
        </is>
      </c>
      <c r="AZ294" s="49" t="inlineStr">
        <is>
          <t>IF(OR(F294="",AM294=""),"",IF(COUNT(AI294:AL294)=0,"",AM294-LOOKUP(2,1/(AI294:AL294&lt;&gt;""),AI294:AL294)))</t>
        </is>
      </c>
      <c r="BA294" s="49" t="inlineStr">
        <is>
          <t>IF(OR(F294="",AN294=""),"",IF(COUNT(AI294:AM294)=0,"",AN294-LOOKUP(2,1/(AI294:AM294&lt;&gt;""),AI294:AM294)))</t>
        </is>
      </c>
      <c r="BB294" s="49" t="inlineStr">
        <is>
          <t>IF(OR(F294="",AO294=""),"",IF(COUNT(AI294:AN294)=0,"",AO294-LOOKUP(2,1/(AI294:AN294&lt;&gt;""),AI294:AN294)))</t>
        </is>
      </c>
      <c r="BC294" s="49" t="inlineStr">
        <is>
          <t>IF(OR(F294="",AP294=""),"",IF(COUNT(AI294:AO294)=0,"",AP294-LOOKUP(2,1/(AI294:AO294&lt;&gt;""),AI294:AO294)))</t>
        </is>
      </c>
      <c r="BD294" s="49" t="inlineStr">
        <is>
          <t>IF(OR(F294="",AQ294=""),"",IF(COUNT(AI294:AP294)=0,"",AQ294-LOOKUP(2,1/(AI294:AP294&lt;&gt;""),AI294:AP294)))</t>
        </is>
      </c>
      <c r="BE294" s="49" t="inlineStr">
        <is>
          <t>IF(OR(F294="",AR294=""),"",IF(COUNT(AI294:AQ294)=0,"",AR294-LOOKUP(2,1/(AI294:AQ294&lt;&gt;""),AI294:AQ294)))</t>
        </is>
      </c>
      <c r="BF294" s="49" t="inlineStr">
        <is>
          <t>IF(OR(F294="",AS294=""),"",IF(COUNT(AI294:AR294)=0,"",AS294-LOOKUP(2,1/(AI294:AR294&lt;&gt;""),AI294:AR294)))</t>
        </is>
      </c>
      <c r="BG294" s="49" t="inlineStr">
        <is>
          <t>IF(OR(F294="",AT294=""),"",IF(COUNT(AI294:AS294)=0,"",AT294-LOOKUP(2,1/(AI294:AS294&lt;&gt;""),AI294:AS294)))</t>
        </is>
      </c>
      <c r="BH294" s="49" t="inlineStr">
        <is>
          <t>IF(OR(F294="",AU294=""),"",IF(COUNT(AI294:AT294)=0,"",AU294-LOOKUP(2,1/(AI294:AT294&lt;&gt;""),AI294:AT294)))</t>
        </is>
      </c>
      <c r="BI294" s="49" t="inlineStr">
        <is>
          <t>IF(OR(F294="",AV294=""),"",IF(COUNT(AI294:AU294)=0,"",AV294-LOOKUP(2,1/(AI294:AU294&lt;&gt;""),AI294:AU294)))</t>
        </is>
      </c>
      <c r="BJ294" s="51" t="inlineStr">
        <is>
          <t>IF(J294="","All_Provinces",IFERROR(VLOOKUP(J294,'09_Lookups'!$A$4:$B$20,2,FALSE),"All_Provinces"))</t>
        </is>
      </c>
      <c r="BK294" s="51" t="inlineStr">
        <is>
          <t>IF(K294="","All_Districts",IFERROR(VLOOKUP(K294,'09_Lookups'!$E$4:$F$42,2,FALSE),"All_Districts"))</t>
        </is>
      </c>
    </row>
    <row r="295" ht="18" customHeight="1">
      <c r="A295" s="42" t="inlineStr">
        <is>
          <t>IF(F295="","",ROW()-3)</t>
        </is>
      </c>
      <c r="B295" s="44" t="n"/>
      <c r="C295" s="44" t="n"/>
      <c r="D295" s="44" t="n"/>
      <c r="E295" s="44" t="n"/>
      <c r="F295" s="44" t="n"/>
      <c r="G295" s="44" t="n"/>
      <c r="H295" s="44" t="n"/>
      <c r="I295" s="44" t="n"/>
      <c r="J295" s="44" t="n"/>
      <c r="K295" s="44" t="n"/>
      <c r="L295" s="44" t="n"/>
      <c r="M295" s="44" t="n"/>
      <c r="N295" s="44" t="n"/>
      <c r="O295" s="44" t="n"/>
      <c r="P295" s="44" t="n"/>
      <c r="Q295" s="44" t="n"/>
      <c r="R295" s="44" t="n"/>
      <c r="S295" s="45" t="n"/>
      <c r="T295" s="46" t="inlineStr">
        <is>
          <t>IF(AQ295="","",AQ295)</t>
        </is>
      </c>
      <c r="U295" s="47" t="n"/>
      <c r="V295" s="48" t="n"/>
      <c r="W295" s="47" t="n"/>
      <c r="X295" s="46" t="inlineStr">
        <is>
          <t>IF(W295&lt;&gt;"",W295,IF(OR(T295="",V295=""),"",EDATE(T295,V295)))</t>
        </is>
      </c>
      <c r="Y295" s="47" t="n"/>
      <c r="Z295" s="48" t="n"/>
      <c r="AA295" s="44" t="n"/>
      <c r="AB295" s="44" t="n"/>
      <c r="AC295" s="42" t="inlineStr">
        <is>
          <t>IF(F295="","",IF(COUNT(AI295:AV295)=0,IF(AA295="","Not started",AA295),SUBSTITUTE(LOOKUP(2,1/(AI295:AV295&lt;&gt;""),$AI$3:$AV$3),"Date: ","")))</t>
        </is>
      </c>
      <c r="AD295" s="49" t="inlineStr">
        <is>
          <t>IF(OR(F295="",COUNT(AI295:AV295)=0),"",TODAY()-LOOKUP(2,1/(AI295:AV295&lt;&gt;""),AI295:AV295))</t>
        </is>
      </c>
      <c r="AE295" s="49" t="inlineStr">
        <is>
          <t>IF(OR(F295="",COUNT(AI295:AV295)&lt;2),"",LOOKUP(2,1/(AI295:AV295&lt;&gt;""),AI295:AV295)-MIN(AI295:AV295))</t>
        </is>
      </c>
      <c r="AF295" s="49" t="inlineStr">
        <is>
          <t>IF(OR(AD295="",AC295="Not started",AC295=""),"",IFERROR(AD295-IF(VLOOKUP(AC295,'06_Status_Pipeline'!$B$3:$E$20,4,FALSE)="",0,VLOOKUP(AC295,'06_Status_Pipeline'!$B$3:$E$20,4,FALSE)),""))</t>
        </is>
      </c>
      <c r="AG295" s="42" t="inlineStr">
        <is>
          <t>IF(F295="","",IF(OR(AA295="Cancelled",AC295="Cancelled"),"Cancelled",IF(OR(AC295="Completed / Handover",Y295&lt;&gt;"",Z295&gt;=100),"Completed — on track",IF(O295="Not awarded",IF(U295="",IF(X295="","No planned date",IF(TODAY()&gt;X295,"Behind — past planned date",IF(X295-TODAY()&lt;=30,"At risk — close to off track","On track"))),IF(TODAY()&gt;U295,"Behind — award date passed",IF(U295-TODAY()&lt;=30,"At risk — close to off track","On track"))),IF(X295="","No planned date",IF(AND(TODAY()&gt;X295,OR(Z295="",Z295&lt;100)),"Behind — past end date",IF(AND(T295&lt;&gt;"",X295&lt;&gt;"",Z295&lt;&gt;"",(Z295&lt;100),((TODAY()-T295)/MAX(X295-T295,1)*100)-Z295&gt;15),"Behind — progress lag",IF(AND(X295-TODAY()&lt;=30,X295-TODAY()&gt;=0,OR(Z295="",Z295&lt;90)),"At risk — close to off track","On track"))))))))</t>
        </is>
      </c>
      <c r="AH295" s="49" t="inlineStr">
        <is>
          <t>IF(OR(F295="",AC295="Completed / Handover",AC295="Cancelled"),"",IF(O295="Not awarded",IF(U295&lt;&gt;"",U295-TODAY(),IF(X295="","",X295-TODAY())),IF(X295="","",X295-TODAY())))</t>
        </is>
      </c>
      <c r="AI295" s="47" t="n"/>
      <c r="AJ295" s="47" t="n"/>
      <c r="AK295" s="47" t="n"/>
      <c r="AL295" s="47" t="n"/>
      <c r="AM295" s="47" t="n"/>
      <c r="AN295" s="47" t="n"/>
      <c r="AO295" s="47" t="n"/>
      <c r="AP295" s="47" t="n"/>
      <c r="AQ295" s="47" t="n"/>
      <c r="AR295" s="47" t="n"/>
      <c r="AS295" s="47" t="n"/>
      <c r="AT295" s="50" t="n"/>
      <c r="AU295" s="50" t="n"/>
      <c r="AV295" s="50" t="n"/>
      <c r="AW295" s="49" t="inlineStr">
        <is>
          <t>IF(OR(F295="",AJ295=""),"",IF(COUNT(AI295:AI295)=0,"",AJ295-LOOKUP(2,1/(AI295:AI295&lt;&gt;""),AI295:AI295)))</t>
        </is>
      </c>
      <c r="AX295" s="49" t="inlineStr">
        <is>
          <t>IF(OR(F295="",AK295=""),"",IF(COUNT(AI295:AJ295)=0,"",AK295-LOOKUP(2,1/(AI295:AJ295&lt;&gt;""),AI295:AJ295)))</t>
        </is>
      </c>
      <c r="AY295" s="49" t="inlineStr">
        <is>
          <t>IF(OR(F295="",AL295=""),"",IF(COUNT(AI295:AK295)=0,"",AL295-LOOKUP(2,1/(AI295:AK295&lt;&gt;""),AI295:AK295)))</t>
        </is>
      </c>
      <c r="AZ295" s="49" t="inlineStr">
        <is>
          <t>IF(OR(F295="",AM295=""),"",IF(COUNT(AI295:AL295)=0,"",AM295-LOOKUP(2,1/(AI295:AL295&lt;&gt;""),AI295:AL295)))</t>
        </is>
      </c>
      <c r="BA295" s="49" t="inlineStr">
        <is>
          <t>IF(OR(F295="",AN295=""),"",IF(COUNT(AI295:AM295)=0,"",AN295-LOOKUP(2,1/(AI295:AM295&lt;&gt;""),AI295:AM295)))</t>
        </is>
      </c>
      <c r="BB295" s="49" t="inlineStr">
        <is>
          <t>IF(OR(F295="",AO295=""),"",IF(COUNT(AI295:AN295)=0,"",AO295-LOOKUP(2,1/(AI295:AN295&lt;&gt;""),AI295:AN295)))</t>
        </is>
      </c>
      <c r="BC295" s="49" t="inlineStr">
        <is>
          <t>IF(OR(F295="",AP295=""),"",IF(COUNT(AI295:AO295)=0,"",AP295-LOOKUP(2,1/(AI295:AO295&lt;&gt;""),AI295:AO295)))</t>
        </is>
      </c>
      <c r="BD295" s="49" t="inlineStr">
        <is>
          <t>IF(OR(F295="",AQ295=""),"",IF(COUNT(AI295:AP295)=0,"",AQ295-LOOKUP(2,1/(AI295:AP295&lt;&gt;""),AI295:AP295)))</t>
        </is>
      </c>
      <c r="BE295" s="49" t="inlineStr">
        <is>
          <t>IF(OR(F295="",AR295=""),"",IF(COUNT(AI295:AQ295)=0,"",AR295-LOOKUP(2,1/(AI295:AQ295&lt;&gt;""),AI295:AQ295)))</t>
        </is>
      </c>
      <c r="BF295" s="49" t="inlineStr">
        <is>
          <t>IF(OR(F295="",AS295=""),"",IF(COUNT(AI295:AR295)=0,"",AS295-LOOKUP(2,1/(AI295:AR295&lt;&gt;""),AI295:AR295)))</t>
        </is>
      </c>
      <c r="BG295" s="49" t="inlineStr">
        <is>
          <t>IF(OR(F295="",AT295=""),"",IF(COUNT(AI295:AS295)=0,"",AT295-LOOKUP(2,1/(AI295:AS295&lt;&gt;""),AI295:AS295)))</t>
        </is>
      </c>
      <c r="BH295" s="49" t="inlineStr">
        <is>
          <t>IF(OR(F295="",AU295=""),"",IF(COUNT(AI295:AT295)=0,"",AU295-LOOKUP(2,1/(AI295:AT295&lt;&gt;""),AI295:AT295)))</t>
        </is>
      </c>
      <c r="BI295" s="49" t="inlineStr">
        <is>
          <t>IF(OR(F295="",AV295=""),"",IF(COUNT(AI295:AU295)=0,"",AV295-LOOKUP(2,1/(AI295:AU295&lt;&gt;""),AI295:AU295)))</t>
        </is>
      </c>
      <c r="BJ295" s="51" t="inlineStr">
        <is>
          <t>IF(J295="","All_Provinces",IFERROR(VLOOKUP(J295,'09_Lookups'!$A$4:$B$20,2,FALSE),"All_Provinces"))</t>
        </is>
      </c>
      <c r="BK295" s="51" t="inlineStr">
        <is>
          <t>IF(K295="","All_Districts",IFERROR(VLOOKUP(K295,'09_Lookups'!$E$4:$F$42,2,FALSE),"All_Districts"))</t>
        </is>
      </c>
    </row>
    <row r="296" ht="18" customHeight="1">
      <c r="A296" s="42" t="inlineStr">
        <is>
          <t>IF(F296="","",ROW()-3)</t>
        </is>
      </c>
      <c r="B296" s="52" t="n"/>
      <c r="C296" s="52" t="n"/>
      <c r="D296" s="52" t="n"/>
      <c r="E296" s="52" t="n"/>
      <c r="F296" s="52" t="n"/>
      <c r="G296" s="52" t="n"/>
      <c r="H296" s="52" t="n"/>
      <c r="I296" s="52" t="n"/>
      <c r="J296" s="52" t="n"/>
      <c r="K296" s="52" t="n"/>
      <c r="L296" s="52" t="n"/>
      <c r="M296" s="52" t="n"/>
      <c r="N296" s="52" t="n"/>
      <c r="O296" s="52" t="n"/>
      <c r="P296" s="52" t="n"/>
      <c r="Q296" s="52" t="n"/>
      <c r="R296" s="52" t="n"/>
      <c r="S296" s="53" t="n"/>
      <c r="T296" s="46" t="inlineStr">
        <is>
          <t>IF(AQ296="","",AQ296)</t>
        </is>
      </c>
      <c r="U296" s="54" t="n"/>
      <c r="V296" s="55" t="n"/>
      <c r="W296" s="54" t="n"/>
      <c r="X296" s="46" t="inlineStr">
        <is>
          <t>IF(W296&lt;&gt;"",W296,IF(OR(T296="",V296=""),"",EDATE(T296,V296)))</t>
        </is>
      </c>
      <c r="Y296" s="54" t="n"/>
      <c r="Z296" s="55" t="n"/>
      <c r="AA296" s="52" t="n"/>
      <c r="AB296" s="52" t="n"/>
      <c r="AC296" s="42" t="inlineStr">
        <is>
          <t>IF(F296="","",IF(COUNT(AI296:AV296)=0,IF(AA296="","Not started",AA296),SUBSTITUTE(LOOKUP(2,1/(AI296:AV296&lt;&gt;""),$AI$3:$AV$3),"Date: ","")))</t>
        </is>
      </c>
      <c r="AD296" s="49" t="inlineStr">
        <is>
          <t>IF(OR(F296="",COUNT(AI296:AV296)=0),"",TODAY()-LOOKUP(2,1/(AI296:AV296&lt;&gt;""),AI296:AV296))</t>
        </is>
      </c>
      <c r="AE296" s="49" t="inlineStr">
        <is>
          <t>IF(OR(F296="",COUNT(AI296:AV296)&lt;2),"",LOOKUP(2,1/(AI296:AV296&lt;&gt;""),AI296:AV296)-MIN(AI296:AV296))</t>
        </is>
      </c>
      <c r="AF296" s="49" t="inlineStr">
        <is>
          <t>IF(OR(AD296="",AC296="Not started",AC296=""),"",IFERROR(AD296-IF(VLOOKUP(AC296,'06_Status_Pipeline'!$B$3:$E$20,4,FALSE)="",0,VLOOKUP(AC296,'06_Status_Pipeline'!$B$3:$E$20,4,FALSE)),""))</t>
        </is>
      </c>
      <c r="AG296" s="42" t="inlineStr">
        <is>
          <t>IF(F296="","",IF(OR(AA296="Cancelled",AC296="Cancelled"),"Cancelled",IF(OR(AC296="Completed / Handover",Y296&lt;&gt;"",Z296&gt;=100),"Completed — on track",IF(O296="Not awarded",IF(U296="",IF(X296="","No planned date",IF(TODAY()&gt;X296,"Behind — past planned date",IF(X296-TODAY()&lt;=30,"At risk — close to off track","On track"))),IF(TODAY()&gt;U296,"Behind — award date passed",IF(U296-TODAY()&lt;=30,"At risk — close to off track","On track"))),IF(X296="","No planned date",IF(AND(TODAY()&gt;X296,OR(Z296="",Z296&lt;100)),"Behind — past end date",IF(AND(T296&lt;&gt;"",X296&lt;&gt;"",Z296&lt;&gt;"",(Z296&lt;100),((TODAY()-T296)/MAX(X296-T296,1)*100)-Z296&gt;15),"Behind — progress lag",IF(AND(X296-TODAY()&lt;=30,X296-TODAY()&gt;=0,OR(Z296="",Z296&lt;90)),"At risk — close to off track","On track"))))))))</t>
        </is>
      </c>
      <c r="AH296" s="49" t="inlineStr">
        <is>
          <t>IF(OR(F296="",AC296="Completed / Handover",AC296="Cancelled"),"",IF(O296="Not awarded",IF(U296&lt;&gt;"",U296-TODAY(),IF(X296="","",X296-TODAY())),IF(X296="","",X296-TODAY())))</t>
        </is>
      </c>
      <c r="AI296" s="54" t="n"/>
      <c r="AJ296" s="54" t="n"/>
      <c r="AK296" s="54" t="n"/>
      <c r="AL296" s="54" t="n"/>
      <c r="AM296" s="54" t="n"/>
      <c r="AN296" s="54" t="n"/>
      <c r="AO296" s="54" t="n"/>
      <c r="AP296" s="54" t="n"/>
      <c r="AQ296" s="54" t="n"/>
      <c r="AR296" s="54" t="n"/>
      <c r="AS296" s="54" t="n"/>
      <c r="AT296" s="50" t="n"/>
      <c r="AU296" s="50" t="n"/>
      <c r="AV296" s="50" t="n"/>
      <c r="AW296" s="49" t="inlineStr">
        <is>
          <t>IF(OR(F296="",AJ296=""),"",IF(COUNT(AI296:AI296)=0,"",AJ296-LOOKUP(2,1/(AI296:AI296&lt;&gt;""),AI296:AI296)))</t>
        </is>
      </c>
      <c r="AX296" s="49" t="inlineStr">
        <is>
          <t>IF(OR(F296="",AK296=""),"",IF(COUNT(AI296:AJ296)=0,"",AK296-LOOKUP(2,1/(AI296:AJ296&lt;&gt;""),AI296:AJ296)))</t>
        </is>
      </c>
      <c r="AY296" s="49" t="inlineStr">
        <is>
          <t>IF(OR(F296="",AL296=""),"",IF(COUNT(AI296:AK296)=0,"",AL296-LOOKUP(2,1/(AI296:AK296&lt;&gt;""),AI296:AK296)))</t>
        </is>
      </c>
      <c r="AZ296" s="49" t="inlineStr">
        <is>
          <t>IF(OR(F296="",AM296=""),"",IF(COUNT(AI296:AL296)=0,"",AM296-LOOKUP(2,1/(AI296:AL296&lt;&gt;""),AI296:AL296)))</t>
        </is>
      </c>
      <c r="BA296" s="49" t="inlineStr">
        <is>
          <t>IF(OR(F296="",AN296=""),"",IF(COUNT(AI296:AM296)=0,"",AN296-LOOKUP(2,1/(AI296:AM296&lt;&gt;""),AI296:AM296)))</t>
        </is>
      </c>
      <c r="BB296" s="49" t="inlineStr">
        <is>
          <t>IF(OR(F296="",AO296=""),"",IF(COUNT(AI296:AN296)=0,"",AO296-LOOKUP(2,1/(AI296:AN296&lt;&gt;""),AI296:AN296)))</t>
        </is>
      </c>
      <c r="BC296" s="49" t="inlineStr">
        <is>
          <t>IF(OR(F296="",AP296=""),"",IF(COUNT(AI296:AO296)=0,"",AP296-LOOKUP(2,1/(AI296:AO296&lt;&gt;""),AI296:AO296)))</t>
        </is>
      </c>
      <c r="BD296" s="49" t="inlineStr">
        <is>
          <t>IF(OR(F296="",AQ296=""),"",IF(COUNT(AI296:AP296)=0,"",AQ296-LOOKUP(2,1/(AI296:AP296&lt;&gt;""),AI296:AP296)))</t>
        </is>
      </c>
      <c r="BE296" s="49" t="inlineStr">
        <is>
          <t>IF(OR(F296="",AR296=""),"",IF(COUNT(AI296:AQ296)=0,"",AR296-LOOKUP(2,1/(AI296:AQ296&lt;&gt;""),AI296:AQ296)))</t>
        </is>
      </c>
      <c r="BF296" s="49" t="inlineStr">
        <is>
          <t>IF(OR(F296="",AS296=""),"",IF(COUNT(AI296:AR296)=0,"",AS296-LOOKUP(2,1/(AI296:AR296&lt;&gt;""),AI296:AR296)))</t>
        </is>
      </c>
      <c r="BG296" s="49" t="inlineStr">
        <is>
          <t>IF(OR(F296="",AT296=""),"",IF(COUNT(AI296:AS296)=0,"",AT296-LOOKUP(2,1/(AI296:AS296&lt;&gt;""),AI296:AS296)))</t>
        </is>
      </c>
      <c r="BH296" s="49" t="inlineStr">
        <is>
          <t>IF(OR(F296="",AU296=""),"",IF(COUNT(AI296:AT296)=0,"",AU296-LOOKUP(2,1/(AI296:AT296&lt;&gt;""),AI296:AT296)))</t>
        </is>
      </c>
      <c r="BI296" s="49" t="inlineStr">
        <is>
          <t>IF(OR(F296="",AV296=""),"",IF(COUNT(AI296:AU296)=0,"",AV296-LOOKUP(2,1/(AI296:AU296&lt;&gt;""),AI296:AU296)))</t>
        </is>
      </c>
      <c r="BJ296" s="51" t="inlineStr">
        <is>
          <t>IF(J296="","All_Provinces",IFERROR(VLOOKUP(J296,'09_Lookups'!$A$4:$B$20,2,FALSE),"All_Provinces"))</t>
        </is>
      </c>
      <c r="BK296" s="51" t="inlineStr">
        <is>
          <t>IF(K296="","All_Districts",IFERROR(VLOOKUP(K296,'09_Lookups'!$E$4:$F$42,2,FALSE),"All_Districts"))</t>
        </is>
      </c>
    </row>
    <row r="297" ht="18" customHeight="1">
      <c r="A297" s="42" t="inlineStr">
        <is>
          <t>IF(F297="","",ROW()-3)</t>
        </is>
      </c>
      <c r="B297" s="44" t="n"/>
      <c r="C297" s="44" t="n"/>
      <c r="D297" s="44" t="n"/>
      <c r="E297" s="44" t="n"/>
      <c r="F297" s="44" t="n"/>
      <c r="G297" s="44" t="n"/>
      <c r="H297" s="44" t="n"/>
      <c r="I297" s="44" t="n"/>
      <c r="J297" s="44" t="n"/>
      <c r="K297" s="44" t="n"/>
      <c r="L297" s="44" t="n"/>
      <c r="M297" s="44" t="n"/>
      <c r="N297" s="44" t="n"/>
      <c r="O297" s="44" t="n"/>
      <c r="P297" s="44" t="n"/>
      <c r="Q297" s="44" t="n"/>
      <c r="R297" s="44" t="n"/>
      <c r="S297" s="45" t="n"/>
      <c r="T297" s="46" t="inlineStr">
        <is>
          <t>IF(AQ297="","",AQ297)</t>
        </is>
      </c>
      <c r="U297" s="47" t="n"/>
      <c r="V297" s="48" t="n"/>
      <c r="W297" s="47" t="n"/>
      <c r="X297" s="46" t="inlineStr">
        <is>
          <t>IF(W297&lt;&gt;"",W297,IF(OR(T297="",V297=""),"",EDATE(T297,V297)))</t>
        </is>
      </c>
      <c r="Y297" s="47" t="n"/>
      <c r="Z297" s="48" t="n"/>
      <c r="AA297" s="44" t="n"/>
      <c r="AB297" s="44" t="n"/>
      <c r="AC297" s="42" t="inlineStr">
        <is>
          <t>IF(F297="","",IF(COUNT(AI297:AV297)=0,IF(AA297="","Not started",AA297),SUBSTITUTE(LOOKUP(2,1/(AI297:AV297&lt;&gt;""),$AI$3:$AV$3),"Date: ","")))</t>
        </is>
      </c>
      <c r="AD297" s="49" t="inlineStr">
        <is>
          <t>IF(OR(F297="",COUNT(AI297:AV297)=0),"",TODAY()-LOOKUP(2,1/(AI297:AV297&lt;&gt;""),AI297:AV297))</t>
        </is>
      </c>
      <c r="AE297" s="49" t="inlineStr">
        <is>
          <t>IF(OR(F297="",COUNT(AI297:AV297)&lt;2),"",LOOKUP(2,1/(AI297:AV297&lt;&gt;""),AI297:AV297)-MIN(AI297:AV297))</t>
        </is>
      </c>
      <c r="AF297" s="49" t="inlineStr">
        <is>
          <t>IF(OR(AD297="",AC297="Not started",AC297=""),"",IFERROR(AD297-IF(VLOOKUP(AC297,'06_Status_Pipeline'!$B$3:$E$20,4,FALSE)="",0,VLOOKUP(AC297,'06_Status_Pipeline'!$B$3:$E$20,4,FALSE)),""))</t>
        </is>
      </c>
      <c r="AG297" s="42" t="inlineStr">
        <is>
          <t>IF(F297="","",IF(OR(AA297="Cancelled",AC297="Cancelled"),"Cancelled",IF(OR(AC297="Completed / Handover",Y297&lt;&gt;"",Z297&gt;=100),"Completed — on track",IF(O297="Not awarded",IF(U297="",IF(X297="","No planned date",IF(TODAY()&gt;X297,"Behind — past planned date",IF(X297-TODAY()&lt;=30,"At risk — close to off track","On track"))),IF(TODAY()&gt;U297,"Behind — award date passed",IF(U297-TODAY()&lt;=30,"At risk — close to off track","On track"))),IF(X297="","No planned date",IF(AND(TODAY()&gt;X297,OR(Z297="",Z297&lt;100)),"Behind — past end date",IF(AND(T297&lt;&gt;"",X297&lt;&gt;"",Z297&lt;&gt;"",(Z297&lt;100),((TODAY()-T297)/MAX(X297-T297,1)*100)-Z297&gt;15),"Behind — progress lag",IF(AND(X297-TODAY()&lt;=30,X297-TODAY()&gt;=0,OR(Z297="",Z297&lt;90)),"At risk — close to off track","On track"))))))))</t>
        </is>
      </c>
      <c r="AH297" s="49" t="inlineStr">
        <is>
          <t>IF(OR(F297="",AC297="Completed / Handover",AC297="Cancelled"),"",IF(O297="Not awarded",IF(U297&lt;&gt;"",U297-TODAY(),IF(X297="","",X297-TODAY())),IF(X297="","",X297-TODAY())))</t>
        </is>
      </c>
      <c r="AI297" s="47" t="n"/>
      <c r="AJ297" s="47" t="n"/>
      <c r="AK297" s="47" t="n"/>
      <c r="AL297" s="47" t="n"/>
      <c r="AM297" s="47" t="n"/>
      <c r="AN297" s="47" t="n"/>
      <c r="AO297" s="47" t="n"/>
      <c r="AP297" s="47" t="n"/>
      <c r="AQ297" s="47" t="n"/>
      <c r="AR297" s="47" t="n"/>
      <c r="AS297" s="47" t="n"/>
      <c r="AT297" s="50" t="n"/>
      <c r="AU297" s="50" t="n"/>
      <c r="AV297" s="50" t="n"/>
      <c r="AW297" s="49" t="inlineStr">
        <is>
          <t>IF(OR(F297="",AJ297=""),"",IF(COUNT(AI297:AI297)=0,"",AJ297-LOOKUP(2,1/(AI297:AI297&lt;&gt;""),AI297:AI297)))</t>
        </is>
      </c>
      <c r="AX297" s="49" t="inlineStr">
        <is>
          <t>IF(OR(F297="",AK297=""),"",IF(COUNT(AI297:AJ297)=0,"",AK297-LOOKUP(2,1/(AI297:AJ297&lt;&gt;""),AI297:AJ297)))</t>
        </is>
      </c>
      <c r="AY297" s="49" t="inlineStr">
        <is>
          <t>IF(OR(F297="",AL297=""),"",IF(COUNT(AI297:AK297)=0,"",AL297-LOOKUP(2,1/(AI297:AK297&lt;&gt;""),AI297:AK297)))</t>
        </is>
      </c>
      <c r="AZ297" s="49" t="inlineStr">
        <is>
          <t>IF(OR(F297="",AM297=""),"",IF(COUNT(AI297:AL297)=0,"",AM297-LOOKUP(2,1/(AI297:AL297&lt;&gt;""),AI297:AL297)))</t>
        </is>
      </c>
      <c r="BA297" s="49" t="inlineStr">
        <is>
          <t>IF(OR(F297="",AN297=""),"",IF(COUNT(AI297:AM297)=0,"",AN297-LOOKUP(2,1/(AI297:AM297&lt;&gt;""),AI297:AM297)))</t>
        </is>
      </c>
      <c r="BB297" s="49" t="inlineStr">
        <is>
          <t>IF(OR(F297="",AO297=""),"",IF(COUNT(AI297:AN297)=0,"",AO297-LOOKUP(2,1/(AI297:AN297&lt;&gt;""),AI297:AN297)))</t>
        </is>
      </c>
      <c r="BC297" s="49" t="inlineStr">
        <is>
          <t>IF(OR(F297="",AP297=""),"",IF(COUNT(AI297:AO297)=0,"",AP297-LOOKUP(2,1/(AI297:AO297&lt;&gt;""),AI297:AO297)))</t>
        </is>
      </c>
      <c r="BD297" s="49" t="inlineStr">
        <is>
          <t>IF(OR(F297="",AQ297=""),"",IF(COUNT(AI297:AP297)=0,"",AQ297-LOOKUP(2,1/(AI297:AP297&lt;&gt;""),AI297:AP297)))</t>
        </is>
      </c>
      <c r="BE297" s="49" t="inlineStr">
        <is>
          <t>IF(OR(F297="",AR297=""),"",IF(COUNT(AI297:AQ297)=0,"",AR297-LOOKUP(2,1/(AI297:AQ297&lt;&gt;""),AI297:AQ297)))</t>
        </is>
      </c>
      <c r="BF297" s="49" t="inlineStr">
        <is>
          <t>IF(OR(F297="",AS297=""),"",IF(COUNT(AI297:AR297)=0,"",AS297-LOOKUP(2,1/(AI297:AR297&lt;&gt;""),AI297:AR297)))</t>
        </is>
      </c>
      <c r="BG297" s="49" t="inlineStr">
        <is>
          <t>IF(OR(F297="",AT297=""),"",IF(COUNT(AI297:AS297)=0,"",AT297-LOOKUP(2,1/(AI297:AS297&lt;&gt;""),AI297:AS297)))</t>
        </is>
      </c>
      <c r="BH297" s="49" t="inlineStr">
        <is>
          <t>IF(OR(F297="",AU297=""),"",IF(COUNT(AI297:AT297)=0,"",AU297-LOOKUP(2,1/(AI297:AT297&lt;&gt;""),AI297:AT297)))</t>
        </is>
      </c>
      <c r="BI297" s="49" t="inlineStr">
        <is>
          <t>IF(OR(F297="",AV297=""),"",IF(COUNT(AI297:AU297)=0,"",AV297-LOOKUP(2,1/(AI297:AU297&lt;&gt;""),AI297:AU297)))</t>
        </is>
      </c>
      <c r="BJ297" s="51" t="inlineStr">
        <is>
          <t>IF(J297="","All_Provinces",IFERROR(VLOOKUP(J297,'09_Lookups'!$A$4:$B$20,2,FALSE),"All_Provinces"))</t>
        </is>
      </c>
      <c r="BK297" s="51" t="inlineStr">
        <is>
          <t>IF(K297="","All_Districts",IFERROR(VLOOKUP(K297,'09_Lookups'!$E$4:$F$42,2,FALSE),"All_Districts"))</t>
        </is>
      </c>
    </row>
    <row r="298" ht="18" customHeight="1">
      <c r="A298" s="42" t="inlineStr">
        <is>
          <t>IF(F298="","",ROW()-3)</t>
        </is>
      </c>
      <c r="B298" s="52" t="n"/>
      <c r="C298" s="52" t="n"/>
      <c r="D298" s="52" t="n"/>
      <c r="E298" s="52" t="n"/>
      <c r="F298" s="52" t="n"/>
      <c r="G298" s="52" t="n"/>
      <c r="H298" s="52" t="n"/>
      <c r="I298" s="52" t="n"/>
      <c r="J298" s="52" t="n"/>
      <c r="K298" s="52" t="n"/>
      <c r="L298" s="52" t="n"/>
      <c r="M298" s="52" t="n"/>
      <c r="N298" s="52" t="n"/>
      <c r="O298" s="52" t="n"/>
      <c r="P298" s="52" t="n"/>
      <c r="Q298" s="52" t="n"/>
      <c r="R298" s="52" t="n"/>
      <c r="S298" s="53" t="n"/>
      <c r="T298" s="46" t="inlineStr">
        <is>
          <t>IF(AQ298="","",AQ298)</t>
        </is>
      </c>
      <c r="U298" s="54" t="n"/>
      <c r="V298" s="55" t="n"/>
      <c r="W298" s="54" t="n"/>
      <c r="X298" s="46" t="inlineStr">
        <is>
          <t>IF(W298&lt;&gt;"",W298,IF(OR(T298="",V298=""),"",EDATE(T298,V298)))</t>
        </is>
      </c>
      <c r="Y298" s="54" t="n"/>
      <c r="Z298" s="55" t="n"/>
      <c r="AA298" s="52" t="n"/>
      <c r="AB298" s="52" t="n"/>
      <c r="AC298" s="42" t="inlineStr">
        <is>
          <t>IF(F298="","",IF(COUNT(AI298:AV298)=0,IF(AA298="","Not started",AA298),SUBSTITUTE(LOOKUP(2,1/(AI298:AV298&lt;&gt;""),$AI$3:$AV$3),"Date: ","")))</t>
        </is>
      </c>
      <c r="AD298" s="49" t="inlineStr">
        <is>
          <t>IF(OR(F298="",COUNT(AI298:AV298)=0),"",TODAY()-LOOKUP(2,1/(AI298:AV298&lt;&gt;""),AI298:AV298))</t>
        </is>
      </c>
      <c r="AE298" s="49" t="inlineStr">
        <is>
          <t>IF(OR(F298="",COUNT(AI298:AV298)&lt;2),"",LOOKUP(2,1/(AI298:AV298&lt;&gt;""),AI298:AV298)-MIN(AI298:AV298))</t>
        </is>
      </c>
      <c r="AF298" s="49" t="inlineStr">
        <is>
          <t>IF(OR(AD298="",AC298="Not started",AC298=""),"",IFERROR(AD298-IF(VLOOKUP(AC298,'06_Status_Pipeline'!$B$3:$E$20,4,FALSE)="",0,VLOOKUP(AC298,'06_Status_Pipeline'!$B$3:$E$20,4,FALSE)),""))</t>
        </is>
      </c>
      <c r="AG298" s="42" t="inlineStr">
        <is>
          <t>IF(F298="","",IF(OR(AA298="Cancelled",AC298="Cancelled"),"Cancelled",IF(OR(AC298="Completed / Handover",Y298&lt;&gt;"",Z298&gt;=100),"Completed — on track",IF(O298="Not awarded",IF(U298="",IF(X298="","No planned date",IF(TODAY()&gt;X298,"Behind — past planned date",IF(X298-TODAY()&lt;=30,"At risk — close to off track","On track"))),IF(TODAY()&gt;U298,"Behind — award date passed",IF(U298-TODAY()&lt;=30,"At risk — close to off track","On track"))),IF(X298="","No planned date",IF(AND(TODAY()&gt;X298,OR(Z298="",Z298&lt;100)),"Behind — past end date",IF(AND(T298&lt;&gt;"",X298&lt;&gt;"",Z298&lt;&gt;"",(Z298&lt;100),((TODAY()-T298)/MAX(X298-T298,1)*100)-Z298&gt;15),"Behind — progress lag",IF(AND(X298-TODAY()&lt;=30,X298-TODAY()&gt;=0,OR(Z298="",Z298&lt;90)),"At risk — close to off track","On track"))))))))</t>
        </is>
      </c>
      <c r="AH298" s="49" t="inlineStr">
        <is>
          <t>IF(OR(F298="",AC298="Completed / Handover",AC298="Cancelled"),"",IF(O298="Not awarded",IF(U298&lt;&gt;"",U298-TODAY(),IF(X298="","",X298-TODAY())),IF(X298="","",X298-TODAY())))</t>
        </is>
      </c>
      <c r="AI298" s="54" t="n"/>
      <c r="AJ298" s="54" t="n"/>
      <c r="AK298" s="54" t="n"/>
      <c r="AL298" s="54" t="n"/>
      <c r="AM298" s="54" t="n"/>
      <c r="AN298" s="54" t="n"/>
      <c r="AO298" s="54" t="n"/>
      <c r="AP298" s="54" t="n"/>
      <c r="AQ298" s="54" t="n"/>
      <c r="AR298" s="54" t="n"/>
      <c r="AS298" s="54" t="n"/>
      <c r="AT298" s="50" t="n"/>
      <c r="AU298" s="50" t="n"/>
      <c r="AV298" s="50" t="n"/>
      <c r="AW298" s="49" t="inlineStr">
        <is>
          <t>IF(OR(F298="",AJ298=""),"",IF(COUNT(AI298:AI298)=0,"",AJ298-LOOKUP(2,1/(AI298:AI298&lt;&gt;""),AI298:AI298)))</t>
        </is>
      </c>
      <c r="AX298" s="49" t="inlineStr">
        <is>
          <t>IF(OR(F298="",AK298=""),"",IF(COUNT(AI298:AJ298)=0,"",AK298-LOOKUP(2,1/(AI298:AJ298&lt;&gt;""),AI298:AJ298)))</t>
        </is>
      </c>
      <c r="AY298" s="49" t="inlineStr">
        <is>
          <t>IF(OR(F298="",AL298=""),"",IF(COUNT(AI298:AK298)=0,"",AL298-LOOKUP(2,1/(AI298:AK298&lt;&gt;""),AI298:AK298)))</t>
        </is>
      </c>
      <c r="AZ298" s="49" t="inlineStr">
        <is>
          <t>IF(OR(F298="",AM298=""),"",IF(COUNT(AI298:AL298)=0,"",AM298-LOOKUP(2,1/(AI298:AL298&lt;&gt;""),AI298:AL298)))</t>
        </is>
      </c>
      <c r="BA298" s="49" t="inlineStr">
        <is>
          <t>IF(OR(F298="",AN298=""),"",IF(COUNT(AI298:AM298)=0,"",AN298-LOOKUP(2,1/(AI298:AM298&lt;&gt;""),AI298:AM298)))</t>
        </is>
      </c>
      <c r="BB298" s="49" t="inlineStr">
        <is>
          <t>IF(OR(F298="",AO298=""),"",IF(COUNT(AI298:AN298)=0,"",AO298-LOOKUP(2,1/(AI298:AN298&lt;&gt;""),AI298:AN298)))</t>
        </is>
      </c>
      <c r="BC298" s="49" t="inlineStr">
        <is>
          <t>IF(OR(F298="",AP298=""),"",IF(COUNT(AI298:AO298)=0,"",AP298-LOOKUP(2,1/(AI298:AO298&lt;&gt;""),AI298:AO298)))</t>
        </is>
      </c>
      <c r="BD298" s="49" t="inlineStr">
        <is>
          <t>IF(OR(F298="",AQ298=""),"",IF(COUNT(AI298:AP298)=0,"",AQ298-LOOKUP(2,1/(AI298:AP298&lt;&gt;""),AI298:AP298)))</t>
        </is>
      </c>
      <c r="BE298" s="49" t="inlineStr">
        <is>
          <t>IF(OR(F298="",AR298=""),"",IF(COUNT(AI298:AQ298)=0,"",AR298-LOOKUP(2,1/(AI298:AQ298&lt;&gt;""),AI298:AQ298)))</t>
        </is>
      </c>
      <c r="BF298" s="49" t="inlineStr">
        <is>
          <t>IF(OR(F298="",AS298=""),"",IF(COUNT(AI298:AR298)=0,"",AS298-LOOKUP(2,1/(AI298:AR298&lt;&gt;""),AI298:AR298)))</t>
        </is>
      </c>
      <c r="BG298" s="49" t="inlineStr">
        <is>
          <t>IF(OR(F298="",AT298=""),"",IF(COUNT(AI298:AS298)=0,"",AT298-LOOKUP(2,1/(AI298:AS298&lt;&gt;""),AI298:AS298)))</t>
        </is>
      </c>
      <c r="BH298" s="49" t="inlineStr">
        <is>
          <t>IF(OR(F298="",AU298=""),"",IF(COUNT(AI298:AT298)=0,"",AU298-LOOKUP(2,1/(AI298:AT298&lt;&gt;""),AI298:AT298)))</t>
        </is>
      </c>
      <c r="BI298" s="49" t="inlineStr">
        <is>
          <t>IF(OR(F298="",AV298=""),"",IF(COUNT(AI298:AU298)=0,"",AV298-LOOKUP(2,1/(AI298:AU298&lt;&gt;""),AI298:AU298)))</t>
        </is>
      </c>
      <c r="BJ298" s="51" t="inlineStr">
        <is>
          <t>IF(J298="","All_Provinces",IFERROR(VLOOKUP(J298,'09_Lookups'!$A$4:$B$20,2,FALSE),"All_Provinces"))</t>
        </is>
      </c>
      <c r="BK298" s="51" t="inlineStr">
        <is>
          <t>IF(K298="","All_Districts",IFERROR(VLOOKUP(K298,'09_Lookups'!$E$4:$F$42,2,FALSE),"All_Districts"))</t>
        </is>
      </c>
    </row>
    <row r="299" ht="18" customHeight="1">
      <c r="A299" s="42" t="inlineStr">
        <is>
          <t>IF(F299="","",ROW()-3)</t>
        </is>
      </c>
      <c r="B299" s="44" t="n"/>
      <c r="C299" s="44" t="n"/>
      <c r="D299" s="44" t="n"/>
      <c r="E299" s="44" t="n"/>
      <c r="F299" s="44" t="n"/>
      <c r="G299" s="44" t="n"/>
      <c r="H299" s="44" t="n"/>
      <c r="I299" s="44" t="n"/>
      <c r="J299" s="44" t="n"/>
      <c r="K299" s="44" t="n"/>
      <c r="L299" s="44" t="n"/>
      <c r="M299" s="44" t="n"/>
      <c r="N299" s="44" t="n"/>
      <c r="O299" s="44" t="n"/>
      <c r="P299" s="44" t="n"/>
      <c r="Q299" s="44" t="n"/>
      <c r="R299" s="44" t="n"/>
      <c r="S299" s="45" t="n"/>
      <c r="T299" s="46" t="inlineStr">
        <is>
          <t>IF(AQ299="","",AQ299)</t>
        </is>
      </c>
      <c r="U299" s="47" t="n"/>
      <c r="V299" s="48" t="n"/>
      <c r="W299" s="47" t="n"/>
      <c r="X299" s="46" t="inlineStr">
        <is>
          <t>IF(W299&lt;&gt;"",W299,IF(OR(T299="",V299=""),"",EDATE(T299,V299)))</t>
        </is>
      </c>
      <c r="Y299" s="47" t="n"/>
      <c r="Z299" s="48" t="n"/>
      <c r="AA299" s="44" t="n"/>
      <c r="AB299" s="44" t="n"/>
      <c r="AC299" s="42" t="inlineStr">
        <is>
          <t>IF(F299="","",IF(COUNT(AI299:AV299)=0,IF(AA299="","Not started",AA299),SUBSTITUTE(LOOKUP(2,1/(AI299:AV299&lt;&gt;""),$AI$3:$AV$3),"Date: ","")))</t>
        </is>
      </c>
      <c r="AD299" s="49" t="inlineStr">
        <is>
          <t>IF(OR(F299="",COUNT(AI299:AV299)=0),"",TODAY()-LOOKUP(2,1/(AI299:AV299&lt;&gt;""),AI299:AV299))</t>
        </is>
      </c>
      <c r="AE299" s="49" t="inlineStr">
        <is>
          <t>IF(OR(F299="",COUNT(AI299:AV299)&lt;2),"",LOOKUP(2,1/(AI299:AV299&lt;&gt;""),AI299:AV299)-MIN(AI299:AV299))</t>
        </is>
      </c>
      <c r="AF299" s="49" t="inlineStr">
        <is>
          <t>IF(OR(AD299="",AC299="Not started",AC299=""),"",IFERROR(AD299-IF(VLOOKUP(AC299,'06_Status_Pipeline'!$B$3:$E$20,4,FALSE)="",0,VLOOKUP(AC299,'06_Status_Pipeline'!$B$3:$E$20,4,FALSE)),""))</t>
        </is>
      </c>
      <c r="AG299" s="42" t="inlineStr">
        <is>
          <t>IF(F299="","",IF(OR(AA299="Cancelled",AC299="Cancelled"),"Cancelled",IF(OR(AC299="Completed / Handover",Y299&lt;&gt;"",Z299&gt;=100),"Completed — on track",IF(O299="Not awarded",IF(U299="",IF(X299="","No planned date",IF(TODAY()&gt;X299,"Behind — past planned date",IF(X299-TODAY()&lt;=30,"At risk — close to off track","On track"))),IF(TODAY()&gt;U299,"Behind — award date passed",IF(U299-TODAY()&lt;=30,"At risk — close to off track","On track"))),IF(X299="","No planned date",IF(AND(TODAY()&gt;X299,OR(Z299="",Z299&lt;100)),"Behind — past end date",IF(AND(T299&lt;&gt;"",X299&lt;&gt;"",Z299&lt;&gt;"",(Z299&lt;100),((TODAY()-T299)/MAX(X299-T299,1)*100)-Z299&gt;15),"Behind — progress lag",IF(AND(X299-TODAY()&lt;=30,X299-TODAY()&gt;=0,OR(Z299="",Z299&lt;90)),"At risk — close to off track","On track"))))))))</t>
        </is>
      </c>
      <c r="AH299" s="49" t="inlineStr">
        <is>
          <t>IF(OR(F299="",AC299="Completed / Handover",AC299="Cancelled"),"",IF(O299="Not awarded",IF(U299&lt;&gt;"",U299-TODAY(),IF(X299="","",X299-TODAY())),IF(X299="","",X299-TODAY())))</t>
        </is>
      </c>
      <c r="AI299" s="47" t="n"/>
      <c r="AJ299" s="47" t="n"/>
      <c r="AK299" s="47" t="n"/>
      <c r="AL299" s="47" t="n"/>
      <c r="AM299" s="47" t="n"/>
      <c r="AN299" s="47" t="n"/>
      <c r="AO299" s="47" t="n"/>
      <c r="AP299" s="47" t="n"/>
      <c r="AQ299" s="47" t="n"/>
      <c r="AR299" s="47" t="n"/>
      <c r="AS299" s="47" t="n"/>
      <c r="AT299" s="50" t="n"/>
      <c r="AU299" s="50" t="n"/>
      <c r="AV299" s="50" t="n"/>
      <c r="AW299" s="49" t="inlineStr">
        <is>
          <t>IF(OR(F299="",AJ299=""),"",IF(COUNT(AI299:AI299)=0,"",AJ299-LOOKUP(2,1/(AI299:AI299&lt;&gt;""),AI299:AI299)))</t>
        </is>
      </c>
      <c r="AX299" s="49" t="inlineStr">
        <is>
          <t>IF(OR(F299="",AK299=""),"",IF(COUNT(AI299:AJ299)=0,"",AK299-LOOKUP(2,1/(AI299:AJ299&lt;&gt;""),AI299:AJ299)))</t>
        </is>
      </c>
      <c r="AY299" s="49" t="inlineStr">
        <is>
          <t>IF(OR(F299="",AL299=""),"",IF(COUNT(AI299:AK299)=0,"",AL299-LOOKUP(2,1/(AI299:AK299&lt;&gt;""),AI299:AK299)))</t>
        </is>
      </c>
      <c r="AZ299" s="49" t="inlineStr">
        <is>
          <t>IF(OR(F299="",AM299=""),"",IF(COUNT(AI299:AL299)=0,"",AM299-LOOKUP(2,1/(AI299:AL299&lt;&gt;""),AI299:AL299)))</t>
        </is>
      </c>
      <c r="BA299" s="49" t="inlineStr">
        <is>
          <t>IF(OR(F299="",AN299=""),"",IF(COUNT(AI299:AM299)=0,"",AN299-LOOKUP(2,1/(AI299:AM299&lt;&gt;""),AI299:AM299)))</t>
        </is>
      </c>
      <c r="BB299" s="49" t="inlineStr">
        <is>
          <t>IF(OR(F299="",AO299=""),"",IF(COUNT(AI299:AN299)=0,"",AO299-LOOKUP(2,1/(AI299:AN299&lt;&gt;""),AI299:AN299)))</t>
        </is>
      </c>
      <c r="BC299" s="49" t="inlineStr">
        <is>
          <t>IF(OR(F299="",AP299=""),"",IF(COUNT(AI299:AO299)=0,"",AP299-LOOKUP(2,1/(AI299:AO299&lt;&gt;""),AI299:AO299)))</t>
        </is>
      </c>
      <c r="BD299" s="49" t="inlineStr">
        <is>
          <t>IF(OR(F299="",AQ299=""),"",IF(COUNT(AI299:AP299)=0,"",AQ299-LOOKUP(2,1/(AI299:AP299&lt;&gt;""),AI299:AP299)))</t>
        </is>
      </c>
      <c r="BE299" s="49" t="inlineStr">
        <is>
          <t>IF(OR(F299="",AR299=""),"",IF(COUNT(AI299:AQ299)=0,"",AR299-LOOKUP(2,1/(AI299:AQ299&lt;&gt;""),AI299:AQ299)))</t>
        </is>
      </c>
      <c r="BF299" s="49" t="inlineStr">
        <is>
          <t>IF(OR(F299="",AS299=""),"",IF(COUNT(AI299:AR299)=0,"",AS299-LOOKUP(2,1/(AI299:AR299&lt;&gt;""),AI299:AR299)))</t>
        </is>
      </c>
      <c r="BG299" s="49" t="inlineStr">
        <is>
          <t>IF(OR(F299="",AT299=""),"",IF(COUNT(AI299:AS299)=0,"",AT299-LOOKUP(2,1/(AI299:AS299&lt;&gt;""),AI299:AS299)))</t>
        </is>
      </c>
      <c r="BH299" s="49" t="inlineStr">
        <is>
          <t>IF(OR(F299="",AU299=""),"",IF(COUNT(AI299:AT299)=0,"",AU299-LOOKUP(2,1/(AI299:AT299&lt;&gt;""),AI299:AT299)))</t>
        </is>
      </c>
      <c r="BI299" s="49" t="inlineStr">
        <is>
          <t>IF(OR(F299="",AV299=""),"",IF(COUNT(AI299:AU299)=0,"",AV299-LOOKUP(2,1/(AI299:AU299&lt;&gt;""),AI299:AU299)))</t>
        </is>
      </c>
      <c r="BJ299" s="51" t="inlineStr">
        <is>
          <t>IF(J299="","All_Provinces",IFERROR(VLOOKUP(J299,'09_Lookups'!$A$4:$B$20,2,FALSE),"All_Provinces"))</t>
        </is>
      </c>
      <c r="BK299" s="51" t="inlineStr">
        <is>
          <t>IF(K299="","All_Districts",IFERROR(VLOOKUP(K299,'09_Lookups'!$E$4:$F$42,2,FALSE),"All_Districts"))</t>
        </is>
      </c>
    </row>
    <row r="300" ht="18" customHeight="1">
      <c r="A300" s="42" t="inlineStr">
        <is>
          <t>IF(F300="","",ROW()-3)</t>
        </is>
      </c>
      <c r="B300" s="52" t="n"/>
      <c r="C300" s="52" t="n"/>
      <c r="D300" s="52" t="n"/>
      <c r="E300" s="52" t="n"/>
      <c r="F300" s="52" t="n"/>
      <c r="G300" s="52" t="n"/>
      <c r="H300" s="52" t="n"/>
      <c r="I300" s="52" t="n"/>
      <c r="J300" s="52" t="n"/>
      <c r="K300" s="52" t="n"/>
      <c r="L300" s="52" t="n"/>
      <c r="M300" s="52" t="n"/>
      <c r="N300" s="52" t="n"/>
      <c r="O300" s="52" t="n"/>
      <c r="P300" s="52" t="n"/>
      <c r="Q300" s="52" t="n"/>
      <c r="R300" s="52" t="n"/>
      <c r="S300" s="53" t="n"/>
      <c r="T300" s="46" t="inlineStr">
        <is>
          <t>IF(AQ300="","",AQ300)</t>
        </is>
      </c>
      <c r="U300" s="54" t="n"/>
      <c r="V300" s="55" t="n"/>
      <c r="W300" s="54" t="n"/>
      <c r="X300" s="46" t="inlineStr">
        <is>
          <t>IF(W300&lt;&gt;"",W300,IF(OR(T300="",V300=""),"",EDATE(T300,V300)))</t>
        </is>
      </c>
      <c r="Y300" s="54" t="n"/>
      <c r="Z300" s="55" t="n"/>
      <c r="AA300" s="52" t="n"/>
      <c r="AB300" s="52" t="n"/>
      <c r="AC300" s="42" t="inlineStr">
        <is>
          <t>IF(F300="","",IF(COUNT(AI300:AV300)=0,IF(AA300="","Not started",AA300),SUBSTITUTE(LOOKUP(2,1/(AI300:AV300&lt;&gt;""),$AI$3:$AV$3),"Date: ","")))</t>
        </is>
      </c>
      <c r="AD300" s="49" t="inlineStr">
        <is>
          <t>IF(OR(F300="",COUNT(AI300:AV300)=0),"",TODAY()-LOOKUP(2,1/(AI300:AV300&lt;&gt;""),AI300:AV300))</t>
        </is>
      </c>
      <c r="AE300" s="49" t="inlineStr">
        <is>
          <t>IF(OR(F300="",COUNT(AI300:AV300)&lt;2),"",LOOKUP(2,1/(AI300:AV300&lt;&gt;""),AI300:AV300)-MIN(AI300:AV300))</t>
        </is>
      </c>
      <c r="AF300" s="49" t="inlineStr">
        <is>
          <t>IF(OR(AD300="",AC300="Not started",AC300=""),"",IFERROR(AD300-IF(VLOOKUP(AC300,'06_Status_Pipeline'!$B$3:$E$20,4,FALSE)="",0,VLOOKUP(AC300,'06_Status_Pipeline'!$B$3:$E$20,4,FALSE)),""))</t>
        </is>
      </c>
      <c r="AG300" s="42" t="inlineStr">
        <is>
          <t>IF(F300="","",IF(OR(AA300="Cancelled",AC300="Cancelled"),"Cancelled",IF(OR(AC300="Completed / Handover",Y300&lt;&gt;"",Z300&gt;=100),"Completed — on track",IF(O300="Not awarded",IF(U300="",IF(X300="","No planned date",IF(TODAY()&gt;X300,"Behind — past planned date",IF(X300-TODAY()&lt;=30,"At risk — close to off track","On track"))),IF(TODAY()&gt;U300,"Behind — award date passed",IF(U300-TODAY()&lt;=30,"At risk — close to off track","On track"))),IF(X300="","No planned date",IF(AND(TODAY()&gt;X300,OR(Z300="",Z300&lt;100)),"Behind — past end date",IF(AND(T300&lt;&gt;"",X300&lt;&gt;"",Z300&lt;&gt;"",(Z300&lt;100),((TODAY()-T300)/MAX(X300-T300,1)*100)-Z300&gt;15),"Behind — progress lag",IF(AND(X300-TODAY()&lt;=30,X300-TODAY()&gt;=0,OR(Z300="",Z300&lt;90)),"At risk — close to off track","On track"))))))))</t>
        </is>
      </c>
      <c r="AH300" s="49" t="inlineStr">
        <is>
          <t>IF(OR(F300="",AC300="Completed / Handover",AC300="Cancelled"),"",IF(O300="Not awarded",IF(U300&lt;&gt;"",U300-TODAY(),IF(X300="","",X300-TODAY())),IF(X300="","",X300-TODAY())))</t>
        </is>
      </c>
      <c r="AI300" s="54" t="n"/>
      <c r="AJ300" s="54" t="n"/>
      <c r="AK300" s="54" t="n"/>
      <c r="AL300" s="54" t="n"/>
      <c r="AM300" s="54" t="n"/>
      <c r="AN300" s="54" t="n"/>
      <c r="AO300" s="54" t="n"/>
      <c r="AP300" s="54" t="n"/>
      <c r="AQ300" s="54" t="n"/>
      <c r="AR300" s="54" t="n"/>
      <c r="AS300" s="54" t="n"/>
      <c r="AT300" s="50" t="n"/>
      <c r="AU300" s="50" t="n"/>
      <c r="AV300" s="50" t="n"/>
      <c r="AW300" s="49" t="inlineStr">
        <is>
          <t>IF(OR(F300="",AJ300=""),"",IF(COUNT(AI300:AI300)=0,"",AJ300-LOOKUP(2,1/(AI300:AI300&lt;&gt;""),AI300:AI300)))</t>
        </is>
      </c>
      <c r="AX300" s="49" t="inlineStr">
        <is>
          <t>IF(OR(F300="",AK300=""),"",IF(COUNT(AI300:AJ300)=0,"",AK300-LOOKUP(2,1/(AI300:AJ300&lt;&gt;""),AI300:AJ300)))</t>
        </is>
      </c>
      <c r="AY300" s="49" t="inlineStr">
        <is>
          <t>IF(OR(F300="",AL300=""),"",IF(COUNT(AI300:AK300)=0,"",AL300-LOOKUP(2,1/(AI300:AK300&lt;&gt;""),AI300:AK300)))</t>
        </is>
      </c>
      <c r="AZ300" s="49" t="inlineStr">
        <is>
          <t>IF(OR(F300="",AM300=""),"",IF(COUNT(AI300:AL300)=0,"",AM300-LOOKUP(2,1/(AI300:AL300&lt;&gt;""),AI300:AL300)))</t>
        </is>
      </c>
      <c r="BA300" s="49" t="inlineStr">
        <is>
          <t>IF(OR(F300="",AN300=""),"",IF(COUNT(AI300:AM300)=0,"",AN300-LOOKUP(2,1/(AI300:AM300&lt;&gt;""),AI300:AM300)))</t>
        </is>
      </c>
      <c r="BB300" s="49" t="inlineStr">
        <is>
          <t>IF(OR(F300="",AO300=""),"",IF(COUNT(AI300:AN300)=0,"",AO300-LOOKUP(2,1/(AI300:AN300&lt;&gt;""),AI300:AN300)))</t>
        </is>
      </c>
      <c r="BC300" s="49" t="inlineStr">
        <is>
          <t>IF(OR(F300="",AP300=""),"",IF(COUNT(AI300:AO300)=0,"",AP300-LOOKUP(2,1/(AI300:AO300&lt;&gt;""),AI300:AO300)))</t>
        </is>
      </c>
      <c r="BD300" s="49" t="inlineStr">
        <is>
          <t>IF(OR(F300="",AQ300=""),"",IF(COUNT(AI300:AP300)=0,"",AQ300-LOOKUP(2,1/(AI300:AP300&lt;&gt;""),AI300:AP300)))</t>
        </is>
      </c>
      <c r="BE300" s="49" t="inlineStr">
        <is>
          <t>IF(OR(F300="",AR300=""),"",IF(COUNT(AI300:AQ300)=0,"",AR300-LOOKUP(2,1/(AI300:AQ300&lt;&gt;""),AI300:AQ300)))</t>
        </is>
      </c>
      <c r="BF300" s="49" t="inlineStr">
        <is>
          <t>IF(OR(F300="",AS300=""),"",IF(COUNT(AI300:AR300)=0,"",AS300-LOOKUP(2,1/(AI300:AR300&lt;&gt;""),AI300:AR300)))</t>
        </is>
      </c>
      <c r="BG300" s="49" t="inlineStr">
        <is>
          <t>IF(OR(F300="",AT300=""),"",IF(COUNT(AI300:AS300)=0,"",AT300-LOOKUP(2,1/(AI300:AS300&lt;&gt;""),AI300:AS300)))</t>
        </is>
      </c>
      <c r="BH300" s="49" t="inlineStr">
        <is>
          <t>IF(OR(F300="",AU300=""),"",IF(COUNT(AI300:AT300)=0,"",AU300-LOOKUP(2,1/(AI300:AT300&lt;&gt;""),AI300:AT300)))</t>
        </is>
      </c>
      <c r="BI300" s="49" t="inlineStr">
        <is>
          <t>IF(OR(F300="",AV300=""),"",IF(COUNT(AI300:AU300)=0,"",AV300-LOOKUP(2,1/(AI300:AU300&lt;&gt;""),AI300:AU300)))</t>
        </is>
      </c>
      <c r="BJ300" s="51" t="inlineStr">
        <is>
          <t>IF(J300="","All_Provinces",IFERROR(VLOOKUP(J300,'09_Lookups'!$A$4:$B$20,2,FALSE),"All_Provinces"))</t>
        </is>
      </c>
      <c r="BK300" s="51" t="inlineStr">
        <is>
          <t>IF(K300="","All_Districts",IFERROR(VLOOKUP(K300,'09_Lookups'!$E$4:$F$42,2,FALSE),"All_Districts"))</t>
        </is>
      </c>
    </row>
    <row r="301" ht="18" customHeight="1">
      <c r="A301" s="42" t="inlineStr">
        <is>
          <t>IF(F301="","",ROW()-3)</t>
        </is>
      </c>
      <c r="B301" s="44" t="n"/>
      <c r="C301" s="44" t="n"/>
      <c r="D301" s="44" t="n"/>
      <c r="E301" s="44" t="n"/>
      <c r="F301" s="44" t="n"/>
      <c r="G301" s="44" t="n"/>
      <c r="H301" s="44" t="n"/>
      <c r="I301" s="44" t="n"/>
      <c r="J301" s="44" t="n"/>
      <c r="K301" s="44" t="n"/>
      <c r="L301" s="44" t="n"/>
      <c r="M301" s="44" t="n"/>
      <c r="N301" s="44" t="n"/>
      <c r="O301" s="44" t="n"/>
      <c r="P301" s="44" t="n"/>
      <c r="Q301" s="44" t="n"/>
      <c r="R301" s="44" t="n"/>
      <c r="S301" s="45" t="n"/>
      <c r="T301" s="46" t="inlineStr">
        <is>
          <t>IF(AQ301="","",AQ301)</t>
        </is>
      </c>
      <c r="U301" s="47" t="n"/>
      <c r="V301" s="48" t="n"/>
      <c r="W301" s="47" t="n"/>
      <c r="X301" s="46" t="inlineStr">
        <is>
          <t>IF(W301&lt;&gt;"",W301,IF(OR(T301="",V301=""),"",EDATE(T301,V301)))</t>
        </is>
      </c>
      <c r="Y301" s="47" t="n"/>
      <c r="Z301" s="48" t="n"/>
      <c r="AA301" s="44" t="n"/>
      <c r="AB301" s="44" t="n"/>
      <c r="AC301" s="42" t="inlineStr">
        <is>
          <t>IF(F301="","",IF(COUNT(AI301:AV301)=0,IF(AA301="","Not started",AA301),SUBSTITUTE(LOOKUP(2,1/(AI301:AV301&lt;&gt;""),$AI$3:$AV$3),"Date: ","")))</t>
        </is>
      </c>
      <c r="AD301" s="49" t="inlineStr">
        <is>
          <t>IF(OR(F301="",COUNT(AI301:AV301)=0),"",TODAY()-LOOKUP(2,1/(AI301:AV301&lt;&gt;""),AI301:AV301))</t>
        </is>
      </c>
      <c r="AE301" s="49" t="inlineStr">
        <is>
          <t>IF(OR(F301="",COUNT(AI301:AV301)&lt;2),"",LOOKUP(2,1/(AI301:AV301&lt;&gt;""),AI301:AV301)-MIN(AI301:AV301))</t>
        </is>
      </c>
      <c r="AF301" s="49" t="inlineStr">
        <is>
          <t>IF(OR(AD301="",AC301="Not started",AC301=""),"",IFERROR(AD301-IF(VLOOKUP(AC301,'06_Status_Pipeline'!$B$3:$E$20,4,FALSE)="",0,VLOOKUP(AC301,'06_Status_Pipeline'!$B$3:$E$20,4,FALSE)),""))</t>
        </is>
      </c>
      <c r="AG301" s="42" t="inlineStr">
        <is>
          <t>IF(F301="","",IF(OR(AA301="Cancelled",AC301="Cancelled"),"Cancelled",IF(OR(AC301="Completed / Handover",Y301&lt;&gt;"",Z301&gt;=100),"Completed — on track",IF(O301="Not awarded",IF(U301="",IF(X301="","No planned date",IF(TODAY()&gt;X301,"Behind — past planned date",IF(X301-TODAY()&lt;=30,"At risk — close to off track","On track"))),IF(TODAY()&gt;U301,"Behind — award date passed",IF(U301-TODAY()&lt;=30,"At risk — close to off track","On track"))),IF(X301="","No planned date",IF(AND(TODAY()&gt;X301,OR(Z301="",Z301&lt;100)),"Behind — past end date",IF(AND(T301&lt;&gt;"",X301&lt;&gt;"",Z301&lt;&gt;"",(Z301&lt;100),((TODAY()-T301)/MAX(X301-T301,1)*100)-Z301&gt;15),"Behind — progress lag",IF(AND(X301-TODAY()&lt;=30,X301-TODAY()&gt;=0,OR(Z301="",Z301&lt;90)),"At risk — close to off track","On track"))))))))</t>
        </is>
      </c>
      <c r="AH301" s="49" t="inlineStr">
        <is>
          <t>IF(OR(F301="",AC301="Completed / Handover",AC301="Cancelled"),"",IF(O301="Not awarded",IF(U301&lt;&gt;"",U301-TODAY(),IF(X301="","",X301-TODAY())),IF(X301="","",X301-TODAY())))</t>
        </is>
      </c>
      <c r="AI301" s="47" t="n"/>
      <c r="AJ301" s="47" t="n"/>
      <c r="AK301" s="47" t="n"/>
      <c r="AL301" s="47" t="n"/>
      <c r="AM301" s="47" t="n"/>
      <c r="AN301" s="47" t="n"/>
      <c r="AO301" s="47" t="n"/>
      <c r="AP301" s="47" t="n"/>
      <c r="AQ301" s="47" t="n"/>
      <c r="AR301" s="47" t="n"/>
      <c r="AS301" s="47" t="n"/>
      <c r="AT301" s="50" t="n"/>
      <c r="AU301" s="50" t="n"/>
      <c r="AV301" s="50" t="n"/>
      <c r="AW301" s="49" t="inlineStr">
        <is>
          <t>IF(OR(F301="",AJ301=""),"",IF(COUNT(AI301:AI301)=0,"",AJ301-LOOKUP(2,1/(AI301:AI301&lt;&gt;""),AI301:AI301)))</t>
        </is>
      </c>
      <c r="AX301" s="49" t="inlineStr">
        <is>
          <t>IF(OR(F301="",AK301=""),"",IF(COUNT(AI301:AJ301)=0,"",AK301-LOOKUP(2,1/(AI301:AJ301&lt;&gt;""),AI301:AJ301)))</t>
        </is>
      </c>
      <c r="AY301" s="49" t="inlineStr">
        <is>
          <t>IF(OR(F301="",AL301=""),"",IF(COUNT(AI301:AK301)=0,"",AL301-LOOKUP(2,1/(AI301:AK301&lt;&gt;""),AI301:AK301)))</t>
        </is>
      </c>
      <c r="AZ301" s="49" t="inlineStr">
        <is>
          <t>IF(OR(F301="",AM301=""),"",IF(COUNT(AI301:AL301)=0,"",AM301-LOOKUP(2,1/(AI301:AL301&lt;&gt;""),AI301:AL301)))</t>
        </is>
      </c>
      <c r="BA301" s="49" t="inlineStr">
        <is>
          <t>IF(OR(F301="",AN301=""),"",IF(COUNT(AI301:AM301)=0,"",AN301-LOOKUP(2,1/(AI301:AM301&lt;&gt;""),AI301:AM301)))</t>
        </is>
      </c>
      <c r="BB301" s="49" t="inlineStr">
        <is>
          <t>IF(OR(F301="",AO301=""),"",IF(COUNT(AI301:AN301)=0,"",AO301-LOOKUP(2,1/(AI301:AN301&lt;&gt;""),AI301:AN301)))</t>
        </is>
      </c>
      <c r="BC301" s="49" t="inlineStr">
        <is>
          <t>IF(OR(F301="",AP301=""),"",IF(COUNT(AI301:AO301)=0,"",AP301-LOOKUP(2,1/(AI301:AO301&lt;&gt;""),AI301:AO301)))</t>
        </is>
      </c>
      <c r="BD301" s="49" t="inlineStr">
        <is>
          <t>IF(OR(F301="",AQ301=""),"",IF(COUNT(AI301:AP301)=0,"",AQ301-LOOKUP(2,1/(AI301:AP301&lt;&gt;""),AI301:AP301)))</t>
        </is>
      </c>
      <c r="BE301" s="49" t="inlineStr">
        <is>
          <t>IF(OR(F301="",AR301=""),"",IF(COUNT(AI301:AQ301)=0,"",AR301-LOOKUP(2,1/(AI301:AQ301&lt;&gt;""),AI301:AQ301)))</t>
        </is>
      </c>
      <c r="BF301" s="49" t="inlineStr">
        <is>
          <t>IF(OR(F301="",AS301=""),"",IF(COUNT(AI301:AR301)=0,"",AS301-LOOKUP(2,1/(AI301:AR301&lt;&gt;""),AI301:AR301)))</t>
        </is>
      </c>
      <c r="BG301" s="49" t="inlineStr">
        <is>
          <t>IF(OR(F301="",AT301=""),"",IF(COUNT(AI301:AS301)=0,"",AT301-LOOKUP(2,1/(AI301:AS301&lt;&gt;""),AI301:AS301)))</t>
        </is>
      </c>
      <c r="BH301" s="49" t="inlineStr">
        <is>
          <t>IF(OR(F301="",AU301=""),"",IF(COUNT(AI301:AT301)=0,"",AU301-LOOKUP(2,1/(AI301:AT301&lt;&gt;""),AI301:AT301)))</t>
        </is>
      </c>
      <c r="BI301" s="49" t="inlineStr">
        <is>
          <t>IF(OR(F301="",AV301=""),"",IF(COUNT(AI301:AU301)=0,"",AV301-LOOKUP(2,1/(AI301:AU301&lt;&gt;""),AI301:AU301)))</t>
        </is>
      </c>
      <c r="BJ301" s="51" t="inlineStr">
        <is>
          <t>IF(J301="","All_Provinces",IFERROR(VLOOKUP(J301,'09_Lookups'!$A$4:$B$20,2,FALSE),"All_Provinces"))</t>
        </is>
      </c>
      <c r="BK301" s="51" t="inlineStr">
        <is>
          <t>IF(K301="","All_Districts",IFERROR(VLOOKUP(K301,'09_Lookups'!$E$4:$F$42,2,FALSE),"All_Districts"))</t>
        </is>
      </c>
    </row>
    <row r="302" ht="18" customHeight="1">
      <c r="A302" s="42" t="inlineStr">
        <is>
          <t>IF(F302="","",ROW()-3)</t>
        </is>
      </c>
      <c r="B302" s="52" t="n"/>
      <c r="C302" s="52" t="n"/>
      <c r="D302" s="52" t="n"/>
      <c r="E302" s="52" t="n"/>
      <c r="F302" s="52" t="n"/>
      <c r="G302" s="52" t="n"/>
      <c r="H302" s="52" t="n"/>
      <c r="I302" s="52" t="n"/>
      <c r="J302" s="52" t="n"/>
      <c r="K302" s="52" t="n"/>
      <c r="L302" s="52" t="n"/>
      <c r="M302" s="52" t="n"/>
      <c r="N302" s="52" t="n"/>
      <c r="O302" s="52" t="n"/>
      <c r="P302" s="52" t="n"/>
      <c r="Q302" s="52" t="n"/>
      <c r="R302" s="52" t="n"/>
      <c r="S302" s="53" t="n"/>
      <c r="T302" s="46" t="inlineStr">
        <is>
          <t>IF(AQ302="","",AQ302)</t>
        </is>
      </c>
      <c r="U302" s="54" t="n"/>
      <c r="V302" s="55" t="n"/>
      <c r="W302" s="54" t="n"/>
      <c r="X302" s="46" t="inlineStr">
        <is>
          <t>IF(W302&lt;&gt;"",W302,IF(OR(T302="",V302=""),"",EDATE(T302,V302)))</t>
        </is>
      </c>
      <c r="Y302" s="54" t="n"/>
      <c r="Z302" s="55" t="n"/>
      <c r="AA302" s="52" t="n"/>
      <c r="AB302" s="52" t="n"/>
      <c r="AC302" s="42" t="inlineStr">
        <is>
          <t>IF(F302="","",IF(COUNT(AI302:AV302)=0,IF(AA302="","Not started",AA302),SUBSTITUTE(LOOKUP(2,1/(AI302:AV302&lt;&gt;""),$AI$3:$AV$3),"Date: ","")))</t>
        </is>
      </c>
      <c r="AD302" s="49" t="inlineStr">
        <is>
          <t>IF(OR(F302="",COUNT(AI302:AV302)=0),"",TODAY()-LOOKUP(2,1/(AI302:AV302&lt;&gt;""),AI302:AV302))</t>
        </is>
      </c>
      <c r="AE302" s="49" t="inlineStr">
        <is>
          <t>IF(OR(F302="",COUNT(AI302:AV302)&lt;2),"",LOOKUP(2,1/(AI302:AV302&lt;&gt;""),AI302:AV302)-MIN(AI302:AV302))</t>
        </is>
      </c>
      <c r="AF302" s="49" t="inlineStr">
        <is>
          <t>IF(OR(AD302="",AC302="Not started",AC302=""),"",IFERROR(AD302-IF(VLOOKUP(AC302,'06_Status_Pipeline'!$B$3:$E$20,4,FALSE)="",0,VLOOKUP(AC302,'06_Status_Pipeline'!$B$3:$E$20,4,FALSE)),""))</t>
        </is>
      </c>
      <c r="AG302" s="42" t="inlineStr">
        <is>
          <t>IF(F302="","",IF(OR(AA302="Cancelled",AC302="Cancelled"),"Cancelled",IF(OR(AC302="Completed / Handover",Y302&lt;&gt;"",Z302&gt;=100),"Completed — on track",IF(O302="Not awarded",IF(U302="",IF(X302="","No planned date",IF(TODAY()&gt;X302,"Behind — past planned date",IF(X302-TODAY()&lt;=30,"At risk — close to off track","On track"))),IF(TODAY()&gt;U302,"Behind — award date passed",IF(U302-TODAY()&lt;=30,"At risk — close to off track","On track"))),IF(X302="","No planned date",IF(AND(TODAY()&gt;X302,OR(Z302="",Z302&lt;100)),"Behind — past end date",IF(AND(T302&lt;&gt;"",X302&lt;&gt;"",Z302&lt;&gt;"",(Z302&lt;100),((TODAY()-T302)/MAX(X302-T302,1)*100)-Z302&gt;15),"Behind — progress lag",IF(AND(X302-TODAY()&lt;=30,X302-TODAY()&gt;=0,OR(Z302="",Z302&lt;90)),"At risk — close to off track","On track"))))))))</t>
        </is>
      </c>
      <c r="AH302" s="49" t="inlineStr">
        <is>
          <t>IF(OR(F302="",AC302="Completed / Handover",AC302="Cancelled"),"",IF(O302="Not awarded",IF(U302&lt;&gt;"",U302-TODAY(),IF(X302="","",X302-TODAY())),IF(X302="","",X302-TODAY())))</t>
        </is>
      </c>
      <c r="AI302" s="54" t="n"/>
      <c r="AJ302" s="54" t="n"/>
      <c r="AK302" s="54" t="n"/>
      <c r="AL302" s="54" t="n"/>
      <c r="AM302" s="54" t="n"/>
      <c r="AN302" s="54" t="n"/>
      <c r="AO302" s="54" t="n"/>
      <c r="AP302" s="54" t="n"/>
      <c r="AQ302" s="54" t="n"/>
      <c r="AR302" s="54" t="n"/>
      <c r="AS302" s="54" t="n"/>
      <c r="AT302" s="50" t="n"/>
      <c r="AU302" s="50" t="n"/>
      <c r="AV302" s="50" t="n"/>
      <c r="AW302" s="49" t="inlineStr">
        <is>
          <t>IF(OR(F302="",AJ302=""),"",IF(COUNT(AI302:AI302)=0,"",AJ302-LOOKUP(2,1/(AI302:AI302&lt;&gt;""),AI302:AI302)))</t>
        </is>
      </c>
      <c r="AX302" s="49" t="inlineStr">
        <is>
          <t>IF(OR(F302="",AK302=""),"",IF(COUNT(AI302:AJ302)=0,"",AK302-LOOKUP(2,1/(AI302:AJ302&lt;&gt;""),AI302:AJ302)))</t>
        </is>
      </c>
      <c r="AY302" s="49" t="inlineStr">
        <is>
          <t>IF(OR(F302="",AL302=""),"",IF(COUNT(AI302:AK302)=0,"",AL302-LOOKUP(2,1/(AI302:AK302&lt;&gt;""),AI302:AK302)))</t>
        </is>
      </c>
      <c r="AZ302" s="49" t="inlineStr">
        <is>
          <t>IF(OR(F302="",AM302=""),"",IF(COUNT(AI302:AL302)=0,"",AM302-LOOKUP(2,1/(AI302:AL302&lt;&gt;""),AI302:AL302)))</t>
        </is>
      </c>
      <c r="BA302" s="49" t="inlineStr">
        <is>
          <t>IF(OR(F302="",AN302=""),"",IF(COUNT(AI302:AM302)=0,"",AN302-LOOKUP(2,1/(AI302:AM302&lt;&gt;""),AI302:AM302)))</t>
        </is>
      </c>
      <c r="BB302" s="49" t="inlineStr">
        <is>
          <t>IF(OR(F302="",AO302=""),"",IF(COUNT(AI302:AN302)=0,"",AO302-LOOKUP(2,1/(AI302:AN302&lt;&gt;""),AI302:AN302)))</t>
        </is>
      </c>
      <c r="BC302" s="49" t="inlineStr">
        <is>
          <t>IF(OR(F302="",AP302=""),"",IF(COUNT(AI302:AO302)=0,"",AP302-LOOKUP(2,1/(AI302:AO302&lt;&gt;""),AI302:AO302)))</t>
        </is>
      </c>
      <c r="BD302" s="49" t="inlineStr">
        <is>
          <t>IF(OR(F302="",AQ302=""),"",IF(COUNT(AI302:AP302)=0,"",AQ302-LOOKUP(2,1/(AI302:AP302&lt;&gt;""),AI302:AP302)))</t>
        </is>
      </c>
      <c r="BE302" s="49" t="inlineStr">
        <is>
          <t>IF(OR(F302="",AR302=""),"",IF(COUNT(AI302:AQ302)=0,"",AR302-LOOKUP(2,1/(AI302:AQ302&lt;&gt;""),AI302:AQ302)))</t>
        </is>
      </c>
      <c r="BF302" s="49" t="inlineStr">
        <is>
          <t>IF(OR(F302="",AS302=""),"",IF(COUNT(AI302:AR302)=0,"",AS302-LOOKUP(2,1/(AI302:AR302&lt;&gt;""),AI302:AR302)))</t>
        </is>
      </c>
      <c r="BG302" s="49" t="inlineStr">
        <is>
          <t>IF(OR(F302="",AT302=""),"",IF(COUNT(AI302:AS302)=0,"",AT302-LOOKUP(2,1/(AI302:AS302&lt;&gt;""),AI302:AS302)))</t>
        </is>
      </c>
      <c r="BH302" s="49" t="inlineStr">
        <is>
          <t>IF(OR(F302="",AU302=""),"",IF(COUNT(AI302:AT302)=0,"",AU302-LOOKUP(2,1/(AI302:AT302&lt;&gt;""),AI302:AT302)))</t>
        </is>
      </c>
      <c r="BI302" s="49" t="inlineStr">
        <is>
          <t>IF(OR(F302="",AV302=""),"",IF(COUNT(AI302:AU302)=0,"",AV302-LOOKUP(2,1/(AI302:AU302&lt;&gt;""),AI302:AU302)))</t>
        </is>
      </c>
      <c r="BJ302" s="51" t="inlineStr">
        <is>
          <t>IF(J302="","All_Provinces",IFERROR(VLOOKUP(J302,'09_Lookups'!$A$4:$B$20,2,FALSE),"All_Provinces"))</t>
        </is>
      </c>
      <c r="BK302" s="51" t="inlineStr">
        <is>
          <t>IF(K302="","All_Districts",IFERROR(VLOOKUP(K302,'09_Lookups'!$E$4:$F$42,2,FALSE),"All_Districts"))</t>
        </is>
      </c>
    </row>
    <row r="303" ht="18" customHeight="1">
      <c r="A303" s="42" t="inlineStr">
        <is>
          <t>IF(F303="","",ROW()-3)</t>
        </is>
      </c>
      <c r="B303" s="44" t="n"/>
      <c r="C303" s="44" t="n"/>
      <c r="D303" s="44" t="n"/>
      <c r="E303" s="44" t="n"/>
      <c r="F303" s="44" t="n"/>
      <c r="G303" s="44" t="n"/>
      <c r="H303" s="44" t="n"/>
      <c r="I303" s="44" t="n"/>
      <c r="J303" s="44" t="n"/>
      <c r="K303" s="44" t="n"/>
      <c r="L303" s="44" t="n"/>
      <c r="M303" s="44" t="n"/>
      <c r="N303" s="44" t="n"/>
      <c r="O303" s="44" t="n"/>
      <c r="P303" s="44" t="n"/>
      <c r="Q303" s="44" t="n"/>
      <c r="R303" s="44" t="n"/>
      <c r="S303" s="45" t="n"/>
      <c r="T303" s="46" t="inlineStr">
        <is>
          <t>IF(AQ303="","",AQ303)</t>
        </is>
      </c>
      <c r="U303" s="47" t="n"/>
      <c r="V303" s="48" t="n"/>
      <c r="W303" s="47" t="n"/>
      <c r="X303" s="46" t="inlineStr">
        <is>
          <t>IF(W303&lt;&gt;"",W303,IF(OR(T303="",V303=""),"",EDATE(T303,V303)))</t>
        </is>
      </c>
      <c r="Y303" s="47" t="n"/>
      <c r="Z303" s="48" t="n"/>
      <c r="AA303" s="44" t="n"/>
      <c r="AB303" s="44" t="n"/>
      <c r="AC303" s="42" t="inlineStr">
        <is>
          <t>IF(F303="","",IF(COUNT(AI303:AV303)=0,IF(AA303="","Not started",AA303),SUBSTITUTE(LOOKUP(2,1/(AI303:AV303&lt;&gt;""),$AI$3:$AV$3),"Date: ","")))</t>
        </is>
      </c>
      <c r="AD303" s="49" t="inlineStr">
        <is>
          <t>IF(OR(F303="",COUNT(AI303:AV303)=0),"",TODAY()-LOOKUP(2,1/(AI303:AV303&lt;&gt;""),AI303:AV303))</t>
        </is>
      </c>
      <c r="AE303" s="49" t="inlineStr">
        <is>
          <t>IF(OR(F303="",COUNT(AI303:AV303)&lt;2),"",LOOKUP(2,1/(AI303:AV303&lt;&gt;""),AI303:AV303)-MIN(AI303:AV303))</t>
        </is>
      </c>
      <c r="AF303" s="49" t="inlineStr">
        <is>
          <t>IF(OR(AD303="",AC303="Not started",AC303=""),"",IFERROR(AD303-IF(VLOOKUP(AC303,'06_Status_Pipeline'!$B$3:$E$20,4,FALSE)="",0,VLOOKUP(AC303,'06_Status_Pipeline'!$B$3:$E$20,4,FALSE)),""))</t>
        </is>
      </c>
      <c r="AG303" s="42" t="inlineStr">
        <is>
          <t>IF(F303="","",IF(OR(AA303="Cancelled",AC303="Cancelled"),"Cancelled",IF(OR(AC303="Completed / Handover",Y303&lt;&gt;"",Z303&gt;=100),"Completed — on track",IF(O303="Not awarded",IF(U303="",IF(X303="","No planned date",IF(TODAY()&gt;X303,"Behind — past planned date",IF(X303-TODAY()&lt;=30,"At risk — close to off track","On track"))),IF(TODAY()&gt;U303,"Behind — award date passed",IF(U303-TODAY()&lt;=30,"At risk — close to off track","On track"))),IF(X303="","No planned date",IF(AND(TODAY()&gt;X303,OR(Z303="",Z303&lt;100)),"Behind — past end date",IF(AND(T303&lt;&gt;"",X303&lt;&gt;"",Z303&lt;&gt;"",(Z303&lt;100),((TODAY()-T303)/MAX(X303-T303,1)*100)-Z303&gt;15),"Behind — progress lag",IF(AND(X303-TODAY()&lt;=30,X303-TODAY()&gt;=0,OR(Z303="",Z303&lt;90)),"At risk — close to off track","On track"))))))))</t>
        </is>
      </c>
      <c r="AH303" s="49" t="inlineStr">
        <is>
          <t>IF(OR(F303="",AC303="Completed / Handover",AC303="Cancelled"),"",IF(O303="Not awarded",IF(U303&lt;&gt;"",U303-TODAY(),IF(X303="","",X303-TODAY())),IF(X303="","",X303-TODAY())))</t>
        </is>
      </c>
      <c r="AI303" s="47" t="n"/>
      <c r="AJ303" s="47" t="n"/>
      <c r="AK303" s="47" t="n"/>
      <c r="AL303" s="47" t="n"/>
      <c r="AM303" s="47" t="n"/>
      <c r="AN303" s="47" t="n"/>
      <c r="AO303" s="47" t="n"/>
      <c r="AP303" s="47" t="n"/>
      <c r="AQ303" s="47" t="n"/>
      <c r="AR303" s="47" t="n"/>
      <c r="AS303" s="47" t="n"/>
      <c r="AT303" s="50" t="n"/>
      <c r="AU303" s="50" t="n"/>
      <c r="AV303" s="50" t="n"/>
      <c r="AW303" s="49" t="inlineStr">
        <is>
          <t>IF(OR(F303="",AJ303=""),"",IF(COUNT(AI303:AI303)=0,"",AJ303-LOOKUP(2,1/(AI303:AI303&lt;&gt;""),AI303:AI303)))</t>
        </is>
      </c>
      <c r="AX303" s="49" t="inlineStr">
        <is>
          <t>IF(OR(F303="",AK303=""),"",IF(COUNT(AI303:AJ303)=0,"",AK303-LOOKUP(2,1/(AI303:AJ303&lt;&gt;""),AI303:AJ303)))</t>
        </is>
      </c>
      <c r="AY303" s="49" t="inlineStr">
        <is>
          <t>IF(OR(F303="",AL303=""),"",IF(COUNT(AI303:AK303)=0,"",AL303-LOOKUP(2,1/(AI303:AK303&lt;&gt;""),AI303:AK303)))</t>
        </is>
      </c>
      <c r="AZ303" s="49" t="inlineStr">
        <is>
          <t>IF(OR(F303="",AM303=""),"",IF(COUNT(AI303:AL303)=0,"",AM303-LOOKUP(2,1/(AI303:AL303&lt;&gt;""),AI303:AL303)))</t>
        </is>
      </c>
      <c r="BA303" s="49" t="inlineStr">
        <is>
          <t>IF(OR(F303="",AN303=""),"",IF(COUNT(AI303:AM303)=0,"",AN303-LOOKUP(2,1/(AI303:AM303&lt;&gt;""),AI303:AM303)))</t>
        </is>
      </c>
      <c r="BB303" s="49" t="inlineStr">
        <is>
          <t>IF(OR(F303="",AO303=""),"",IF(COUNT(AI303:AN303)=0,"",AO303-LOOKUP(2,1/(AI303:AN303&lt;&gt;""),AI303:AN303)))</t>
        </is>
      </c>
      <c r="BC303" s="49" t="inlineStr">
        <is>
          <t>IF(OR(F303="",AP303=""),"",IF(COUNT(AI303:AO303)=0,"",AP303-LOOKUP(2,1/(AI303:AO303&lt;&gt;""),AI303:AO303)))</t>
        </is>
      </c>
      <c r="BD303" s="49" t="inlineStr">
        <is>
          <t>IF(OR(F303="",AQ303=""),"",IF(COUNT(AI303:AP303)=0,"",AQ303-LOOKUP(2,1/(AI303:AP303&lt;&gt;""),AI303:AP303)))</t>
        </is>
      </c>
      <c r="BE303" s="49" t="inlineStr">
        <is>
          <t>IF(OR(F303="",AR303=""),"",IF(COUNT(AI303:AQ303)=0,"",AR303-LOOKUP(2,1/(AI303:AQ303&lt;&gt;""),AI303:AQ303)))</t>
        </is>
      </c>
      <c r="BF303" s="49" t="inlineStr">
        <is>
          <t>IF(OR(F303="",AS303=""),"",IF(COUNT(AI303:AR303)=0,"",AS303-LOOKUP(2,1/(AI303:AR303&lt;&gt;""),AI303:AR303)))</t>
        </is>
      </c>
      <c r="BG303" s="49" t="inlineStr">
        <is>
          <t>IF(OR(F303="",AT303=""),"",IF(COUNT(AI303:AS303)=0,"",AT303-LOOKUP(2,1/(AI303:AS303&lt;&gt;""),AI303:AS303)))</t>
        </is>
      </c>
      <c r="BH303" s="49" t="inlineStr">
        <is>
          <t>IF(OR(F303="",AU303=""),"",IF(COUNT(AI303:AT303)=0,"",AU303-LOOKUP(2,1/(AI303:AT303&lt;&gt;""),AI303:AT303)))</t>
        </is>
      </c>
      <c r="BI303" s="49" t="inlineStr">
        <is>
          <t>IF(OR(F303="",AV303=""),"",IF(COUNT(AI303:AU303)=0,"",AV303-LOOKUP(2,1/(AI303:AU303&lt;&gt;""),AI303:AU303)))</t>
        </is>
      </c>
      <c r="BJ303" s="51" t="inlineStr">
        <is>
          <t>IF(J303="","All_Provinces",IFERROR(VLOOKUP(J303,'09_Lookups'!$A$4:$B$20,2,FALSE),"All_Provinces"))</t>
        </is>
      </c>
      <c r="BK303" s="51" t="inlineStr">
        <is>
          <t>IF(K303="","All_Districts",IFERROR(VLOOKUP(K303,'09_Lookups'!$E$4:$F$42,2,FALSE),"All_Districts"))</t>
        </is>
      </c>
    </row>
    <row r="304" ht="18" customHeight="1">
      <c r="A304" s="42" t="inlineStr">
        <is>
          <t>IF(F304="","",ROW()-3)</t>
        </is>
      </c>
      <c r="B304" s="52" t="n"/>
      <c r="C304" s="52" t="n"/>
      <c r="D304" s="52" t="n"/>
      <c r="E304" s="52" t="n"/>
      <c r="F304" s="52" t="n"/>
      <c r="G304" s="52" t="n"/>
      <c r="H304" s="52" t="n"/>
      <c r="I304" s="52" t="n"/>
      <c r="J304" s="52" t="n"/>
      <c r="K304" s="52" t="n"/>
      <c r="L304" s="52" t="n"/>
      <c r="M304" s="52" t="n"/>
      <c r="N304" s="52" t="n"/>
      <c r="O304" s="52" t="n"/>
      <c r="P304" s="52" t="n"/>
      <c r="Q304" s="52" t="n"/>
      <c r="R304" s="52" t="n"/>
      <c r="S304" s="53" t="n"/>
      <c r="T304" s="46" t="inlineStr">
        <is>
          <t>IF(AQ304="","",AQ304)</t>
        </is>
      </c>
      <c r="U304" s="54" t="n"/>
      <c r="V304" s="55" t="n"/>
      <c r="W304" s="54" t="n"/>
      <c r="X304" s="46" t="inlineStr">
        <is>
          <t>IF(W304&lt;&gt;"",W304,IF(OR(T304="",V304=""),"",EDATE(T304,V304)))</t>
        </is>
      </c>
      <c r="Y304" s="54" t="n"/>
      <c r="Z304" s="55" t="n"/>
      <c r="AA304" s="52" t="n"/>
      <c r="AB304" s="52" t="n"/>
      <c r="AC304" s="42" t="inlineStr">
        <is>
          <t>IF(F304="","",IF(COUNT(AI304:AV304)=0,IF(AA304="","Not started",AA304),SUBSTITUTE(LOOKUP(2,1/(AI304:AV304&lt;&gt;""),$AI$3:$AV$3),"Date: ","")))</t>
        </is>
      </c>
      <c r="AD304" s="49" t="inlineStr">
        <is>
          <t>IF(OR(F304="",COUNT(AI304:AV304)=0),"",TODAY()-LOOKUP(2,1/(AI304:AV304&lt;&gt;""),AI304:AV304))</t>
        </is>
      </c>
      <c r="AE304" s="49" t="inlineStr">
        <is>
          <t>IF(OR(F304="",COUNT(AI304:AV304)&lt;2),"",LOOKUP(2,1/(AI304:AV304&lt;&gt;""),AI304:AV304)-MIN(AI304:AV304))</t>
        </is>
      </c>
      <c r="AF304" s="49" t="inlineStr">
        <is>
          <t>IF(OR(AD304="",AC304="Not started",AC304=""),"",IFERROR(AD304-IF(VLOOKUP(AC304,'06_Status_Pipeline'!$B$3:$E$20,4,FALSE)="",0,VLOOKUP(AC304,'06_Status_Pipeline'!$B$3:$E$20,4,FALSE)),""))</t>
        </is>
      </c>
      <c r="AG304" s="42" t="inlineStr">
        <is>
          <t>IF(F304="","",IF(OR(AA304="Cancelled",AC304="Cancelled"),"Cancelled",IF(OR(AC304="Completed / Handover",Y304&lt;&gt;"",Z304&gt;=100),"Completed — on track",IF(O304="Not awarded",IF(U304="",IF(X304="","No planned date",IF(TODAY()&gt;X304,"Behind — past planned date",IF(X304-TODAY()&lt;=30,"At risk — close to off track","On track"))),IF(TODAY()&gt;U304,"Behind — award date passed",IF(U304-TODAY()&lt;=30,"At risk — close to off track","On track"))),IF(X304="","No planned date",IF(AND(TODAY()&gt;X304,OR(Z304="",Z304&lt;100)),"Behind — past end date",IF(AND(T304&lt;&gt;"",X304&lt;&gt;"",Z304&lt;&gt;"",(Z304&lt;100),((TODAY()-T304)/MAX(X304-T304,1)*100)-Z304&gt;15),"Behind — progress lag",IF(AND(X304-TODAY()&lt;=30,X304-TODAY()&gt;=0,OR(Z304="",Z304&lt;90)),"At risk — close to off track","On track"))))))))</t>
        </is>
      </c>
      <c r="AH304" s="49" t="inlineStr">
        <is>
          <t>IF(OR(F304="",AC304="Completed / Handover",AC304="Cancelled"),"",IF(O304="Not awarded",IF(U304&lt;&gt;"",U304-TODAY(),IF(X304="","",X304-TODAY())),IF(X304="","",X304-TODAY())))</t>
        </is>
      </c>
      <c r="AI304" s="54" t="n"/>
      <c r="AJ304" s="54" t="n"/>
      <c r="AK304" s="54" t="n"/>
      <c r="AL304" s="54" t="n"/>
      <c r="AM304" s="54" t="n"/>
      <c r="AN304" s="54" t="n"/>
      <c r="AO304" s="54" t="n"/>
      <c r="AP304" s="54" t="n"/>
      <c r="AQ304" s="54" t="n"/>
      <c r="AR304" s="54" t="n"/>
      <c r="AS304" s="54" t="n"/>
      <c r="AT304" s="50" t="n"/>
      <c r="AU304" s="50" t="n"/>
      <c r="AV304" s="50" t="n"/>
      <c r="AW304" s="49" t="inlineStr">
        <is>
          <t>IF(OR(F304="",AJ304=""),"",IF(COUNT(AI304:AI304)=0,"",AJ304-LOOKUP(2,1/(AI304:AI304&lt;&gt;""),AI304:AI304)))</t>
        </is>
      </c>
      <c r="AX304" s="49" t="inlineStr">
        <is>
          <t>IF(OR(F304="",AK304=""),"",IF(COUNT(AI304:AJ304)=0,"",AK304-LOOKUP(2,1/(AI304:AJ304&lt;&gt;""),AI304:AJ304)))</t>
        </is>
      </c>
      <c r="AY304" s="49" t="inlineStr">
        <is>
          <t>IF(OR(F304="",AL304=""),"",IF(COUNT(AI304:AK304)=0,"",AL304-LOOKUP(2,1/(AI304:AK304&lt;&gt;""),AI304:AK304)))</t>
        </is>
      </c>
      <c r="AZ304" s="49" t="inlineStr">
        <is>
          <t>IF(OR(F304="",AM304=""),"",IF(COUNT(AI304:AL304)=0,"",AM304-LOOKUP(2,1/(AI304:AL304&lt;&gt;""),AI304:AL304)))</t>
        </is>
      </c>
      <c r="BA304" s="49" t="inlineStr">
        <is>
          <t>IF(OR(F304="",AN304=""),"",IF(COUNT(AI304:AM304)=0,"",AN304-LOOKUP(2,1/(AI304:AM304&lt;&gt;""),AI304:AM304)))</t>
        </is>
      </c>
      <c r="BB304" s="49" t="inlineStr">
        <is>
          <t>IF(OR(F304="",AO304=""),"",IF(COUNT(AI304:AN304)=0,"",AO304-LOOKUP(2,1/(AI304:AN304&lt;&gt;""),AI304:AN304)))</t>
        </is>
      </c>
      <c r="BC304" s="49" t="inlineStr">
        <is>
          <t>IF(OR(F304="",AP304=""),"",IF(COUNT(AI304:AO304)=0,"",AP304-LOOKUP(2,1/(AI304:AO304&lt;&gt;""),AI304:AO304)))</t>
        </is>
      </c>
      <c r="BD304" s="49" t="inlineStr">
        <is>
          <t>IF(OR(F304="",AQ304=""),"",IF(COUNT(AI304:AP304)=0,"",AQ304-LOOKUP(2,1/(AI304:AP304&lt;&gt;""),AI304:AP304)))</t>
        </is>
      </c>
      <c r="BE304" s="49" t="inlineStr">
        <is>
          <t>IF(OR(F304="",AR304=""),"",IF(COUNT(AI304:AQ304)=0,"",AR304-LOOKUP(2,1/(AI304:AQ304&lt;&gt;""),AI304:AQ304)))</t>
        </is>
      </c>
      <c r="BF304" s="49" t="inlineStr">
        <is>
          <t>IF(OR(F304="",AS304=""),"",IF(COUNT(AI304:AR304)=0,"",AS304-LOOKUP(2,1/(AI304:AR304&lt;&gt;""),AI304:AR304)))</t>
        </is>
      </c>
      <c r="BG304" s="49" t="inlineStr">
        <is>
          <t>IF(OR(F304="",AT304=""),"",IF(COUNT(AI304:AS304)=0,"",AT304-LOOKUP(2,1/(AI304:AS304&lt;&gt;""),AI304:AS304)))</t>
        </is>
      </c>
      <c r="BH304" s="49" t="inlineStr">
        <is>
          <t>IF(OR(F304="",AU304=""),"",IF(COUNT(AI304:AT304)=0,"",AU304-LOOKUP(2,1/(AI304:AT304&lt;&gt;""),AI304:AT304)))</t>
        </is>
      </c>
      <c r="BI304" s="49" t="inlineStr">
        <is>
          <t>IF(OR(F304="",AV304=""),"",IF(COUNT(AI304:AU304)=0,"",AV304-LOOKUP(2,1/(AI304:AU304&lt;&gt;""),AI304:AU304)))</t>
        </is>
      </c>
      <c r="BJ304" s="51" t="inlineStr">
        <is>
          <t>IF(J304="","All_Provinces",IFERROR(VLOOKUP(J304,'09_Lookups'!$A$4:$B$20,2,FALSE),"All_Provinces"))</t>
        </is>
      </c>
      <c r="BK304" s="51" t="inlineStr">
        <is>
          <t>IF(K304="","All_Districts",IFERROR(VLOOKUP(K304,'09_Lookups'!$E$4:$F$42,2,FALSE),"All_Districts"))</t>
        </is>
      </c>
    </row>
    <row r="305" ht="18" customHeight="1">
      <c r="A305" s="42" t="inlineStr">
        <is>
          <t>IF(F305="","",ROW()-3)</t>
        </is>
      </c>
      <c r="B305" s="44" t="n"/>
      <c r="C305" s="44" t="n"/>
      <c r="D305" s="44" t="n"/>
      <c r="E305" s="44" t="n"/>
      <c r="F305" s="44" t="n"/>
      <c r="G305" s="44" t="n"/>
      <c r="H305" s="44" t="n"/>
      <c r="I305" s="44" t="n"/>
      <c r="J305" s="44" t="n"/>
      <c r="K305" s="44" t="n"/>
      <c r="L305" s="44" t="n"/>
      <c r="M305" s="44" t="n"/>
      <c r="N305" s="44" t="n"/>
      <c r="O305" s="44" t="n"/>
      <c r="P305" s="44" t="n"/>
      <c r="Q305" s="44" t="n"/>
      <c r="R305" s="44" t="n"/>
      <c r="S305" s="45" t="n"/>
      <c r="T305" s="46" t="inlineStr">
        <is>
          <t>IF(AQ305="","",AQ305)</t>
        </is>
      </c>
      <c r="U305" s="47" t="n"/>
      <c r="V305" s="48" t="n"/>
      <c r="W305" s="47" t="n"/>
      <c r="X305" s="46" t="inlineStr">
        <is>
          <t>IF(W305&lt;&gt;"",W305,IF(OR(T305="",V305=""),"",EDATE(T305,V305)))</t>
        </is>
      </c>
      <c r="Y305" s="47" t="n"/>
      <c r="Z305" s="48" t="n"/>
      <c r="AA305" s="44" t="n"/>
      <c r="AB305" s="44" t="n"/>
      <c r="AC305" s="42" t="inlineStr">
        <is>
          <t>IF(F305="","",IF(COUNT(AI305:AV305)=0,IF(AA305="","Not started",AA305),SUBSTITUTE(LOOKUP(2,1/(AI305:AV305&lt;&gt;""),$AI$3:$AV$3),"Date: ","")))</t>
        </is>
      </c>
      <c r="AD305" s="49" t="inlineStr">
        <is>
          <t>IF(OR(F305="",COUNT(AI305:AV305)=0),"",TODAY()-LOOKUP(2,1/(AI305:AV305&lt;&gt;""),AI305:AV305))</t>
        </is>
      </c>
      <c r="AE305" s="49" t="inlineStr">
        <is>
          <t>IF(OR(F305="",COUNT(AI305:AV305)&lt;2),"",LOOKUP(2,1/(AI305:AV305&lt;&gt;""),AI305:AV305)-MIN(AI305:AV305))</t>
        </is>
      </c>
      <c r="AF305" s="49" t="inlineStr">
        <is>
          <t>IF(OR(AD305="",AC305="Not started",AC305=""),"",IFERROR(AD305-IF(VLOOKUP(AC305,'06_Status_Pipeline'!$B$3:$E$20,4,FALSE)="",0,VLOOKUP(AC305,'06_Status_Pipeline'!$B$3:$E$20,4,FALSE)),""))</t>
        </is>
      </c>
      <c r="AG305" s="42" t="inlineStr">
        <is>
          <t>IF(F305="","",IF(OR(AA305="Cancelled",AC305="Cancelled"),"Cancelled",IF(OR(AC305="Completed / Handover",Y305&lt;&gt;"",Z305&gt;=100),"Completed — on track",IF(O305="Not awarded",IF(U305="",IF(X305="","No planned date",IF(TODAY()&gt;X305,"Behind — past planned date",IF(X305-TODAY()&lt;=30,"At risk — close to off track","On track"))),IF(TODAY()&gt;U305,"Behind — award date passed",IF(U305-TODAY()&lt;=30,"At risk — close to off track","On track"))),IF(X305="","No planned date",IF(AND(TODAY()&gt;X305,OR(Z305="",Z305&lt;100)),"Behind — past end date",IF(AND(T305&lt;&gt;"",X305&lt;&gt;"",Z305&lt;&gt;"",(Z305&lt;100),((TODAY()-T305)/MAX(X305-T305,1)*100)-Z305&gt;15),"Behind — progress lag",IF(AND(X305-TODAY()&lt;=30,X305-TODAY()&gt;=0,OR(Z305="",Z305&lt;90)),"At risk — close to off track","On track"))))))))</t>
        </is>
      </c>
      <c r="AH305" s="49" t="inlineStr">
        <is>
          <t>IF(OR(F305="",AC305="Completed / Handover",AC305="Cancelled"),"",IF(O305="Not awarded",IF(U305&lt;&gt;"",U305-TODAY(),IF(X305="","",X305-TODAY())),IF(X305="","",X305-TODAY())))</t>
        </is>
      </c>
      <c r="AI305" s="47" t="n"/>
      <c r="AJ305" s="47" t="n"/>
      <c r="AK305" s="47" t="n"/>
      <c r="AL305" s="47" t="n"/>
      <c r="AM305" s="47" t="n"/>
      <c r="AN305" s="47" t="n"/>
      <c r="AO305" s="47" t="n"/>
      <c r="AP305" s="47" t="n"/>
      <c r="AQ305" s="47" t="n"/>
      <c r="AR305" s="47" t="n"/>
      <c r="AS305" s="47" t="n"/>
      <c r="AT305" s="50" t="n"/>
      <c r="AU305" s="50" t="n"/>
      <c r="AV305" s="50" t="n"/>
      <c r="AW305" s="49" t="inlineStr">
        <is>
          <t>IF(OR(F305="",AJ305=""),"",IF(COUNT(AI305:AI305)=0,"",AJ305-LOOKUP(2,1/(AI305:AI305&lt;&gt;""),AI305:AI305)))</t>
        </is>
      </c>
      <c r="AX305" s="49" t="inlineStr">
        <is>
          <t>IF(OR(F305="",AK305=""),"",IF(COUNT(AI305:AJ305)=0,"",AK305-LOOKUP(2,1/(AI305:AJ305&lt;&gt;""),AI305:AJ305)))</t>
        </is>
      </c>
      <c r="AY305" s="49" t="inlineStr">
        <is>
          <t>IF(OR(F305="",AL305=""),"",IF(COUNT(AI305:AK305)=0,"",AL305-LOOKUP(2,1/(AI305:AK305&lt;&gt;""),AI305:AK305)))</t>
        </is>
      </c>
      <c r="AZ305" s="49" t="inlineStr">
        <is>
          <t>IF(OR(F305="",AM305=""),"",IF(COUNT(AI305:AL305)=0,"",AM305-LOOKUP(2,1/(AI305:AL305&lt;&gt;""),AI305:AL305)))</t>
        </is>
      </c>
      <c r="BA305" s="49" t="inlineStr">
        <is>
          <t>IF(OR(F305="",AN305=""),"",IF(COUNT(AI305:AM305)=0,"",AN305-LOOKUP(2,1/(AI305:AM305&lt;&gt;""),AI305:AM305)))</t>
        </is>
      </c>
      <c r="BB305" s="49" t="inlineStr">
        <is>
          <t>IF(OR(F305="",AO305=""),"",IF(COUNT(AI305:AN305)=0,"",AO305-LOOKUP(2,1/(AI305:AN305&lt;&gt;""),AI305:AN305)))</t>
        </is>
      </c>
      <c r="BC305" s="49" t="inlineStr">
        <is>
          <t>IF(OR(F305="",AP305=""),"",IF(COUNT(AI305:AO305)=0,"",AP305-LOOKUP(2,1/(AI305:AO305&lt;&gt;""),AI305:AO305)))</t>
        </is>
      </c>
      <c r="BD305" s="49" t="inlineStr">
        <is>
          <t>IF(OR(F305="",AQ305=""),"",IF(COUNT(AI305:AP305)=0,"",AQ305-LOOKUP(2,1/(AI305:AP305&lt;&gt;""),AI305:AP305)))</t>
        </is>
      </c>
      <c r="BE305" s="49" t="inlineStr">
        <is>
          <t>IF(OR(F305="",AR305=""),"",IF(COUNT(AI305:AQ305)=0,"",AR305-LOOKUP(2,1/(AI305:AQ305&lt;&gt;""),AI305:AQ305)))</t>
        </is>
      </c>
      <c r="BF305" s="49" t="inlineStr">
        <is>
          <t>IF(OR(F305="",AS305=""),"",IF(COUNT(AI305:AR305)=0,"",AS305-LOOKUP(2,1/(AI305:AR305&lt;&gt;""),AI305:AR305)))</t>
        </is>
      </c>
      <c r="BG305" s="49" t="inlineStr">
        <is>
          <t>IF(OR(F305="",AT305=""),"",IF(COUNT(AI305:AS305)=0,"",AT305-LOOKUP(2,1/(AI305:AS305&lt;&gt;""),AI305:AS305)))</t>
        </is>
      </c>
      <c r="BH305" s="49" t="inlineStr">
        <is>
          <t>IF(OR(F305="",AU305=""),"",IF(COUNT(AI305:AT305)=0,"",AU305-LOOKUP(2,1/(AI305:AT305&lt;&gt;""),AI305:AT305)))</t>
        </is>
      </c>
      <c r="BI305" s="49" t="inlineStr">
        <is>
          <t>IF(OR(F305="",AV305=""),"",IF(COUNT(AI305:AU305)=0,"",AV305-LOOKUP(2,1/(AI305:AU305&lt;&gt;""),AI305:AU305)))</t>
        </is>
      </c>
      <c r="BJ305" s="51" t="inlineStr">
        <is>
          <t>IF(J305="","All_Provinces",IFERROR(VLOOKUP(J305,'09_Lookups'!$A$4:$B$20,2,FALSE),"All_Provinces"))</t>
        </is>
      </c>
      <c r="BK305" s="51" t="inlineStr">
        <is>
          <t>IF(K305="","All_Districts",IFERROR(VLOOKUP(K305,'09_Lookups'!$E$4:$F$42,2,FALSE),"All_Districts"))</t>
        </is>
      </c>
    </row>
    <row r="306" ht="18" customHeight="1">
      <c r="A306" s="42" t="inlineStr">
        <is>
          <t>IF(F306="","",ROW()-3)</t>
        </is>
      </c>
      <c r="B306" s="52" t="n"/>
      <c r="C306" s="52" t="n"/>
      <c r="D306" s="52" t="n"/>
      <c r="E306" s="52" t="n"/>
      <c r="F306" s="52" t="n"/>
      <c r="G306" s="52" t="n"/>
      <c r="H306" s="52" t="n"/>
      <c r="I306" s="52" t="n"/>
      <c r="J306" s="52" t="n"/>
      <c r="K306" s="52" t="n"/>
      <c r="L306" s="52" t="n"/>
      <c r="M306" s="52" t="n"/>
      <c r="N306" s="52" t="n"/>
      <c r="O306" s="52" t="n"/>
      <c r="P306" s="52" t="n"/>
      <c r="Q306" s="52" t="n"/>
      <c r="R306" s="52" t="n"/>
      <c r="S306" s="53" t="n"/>
      <c r="T306" s="46" t="inlineStr">
        <is>
          <t>IF(AQ306="","",AQ306)</t>
        </is>
      </c>
      <c r="U306" s="54" t="n"/>
      <c r="V306" s="55" t="n"/>
      <c r="W306" s="54" t="n"/>
      <c r="X306" s="46" t="inlineStr">
        <is>
          <t>IF(W306&lt;&gt;"",W306,IF(OR(T306="",V306=""),"",EDATE(T306,V306)))</t>
        </is>
      </c>
      <c r="Y306" s="54" t="n"/>
      <c r="Z306" s="55" t="n"/>
      <c r="AA306" s="52" t="n"/>
      <c r="AB306" s="52" t="n"/>
      <c r="AC306" s="42" t="inlineStr">
        <is>
          <t>IF(F306="","",IF(COUNT(AI306:AV306)=0,IF(AA306="","Not started",AA306),SUBSTITUTE(LOOKUP(2,1/(AI306:AV306&lt;&gt;""),$AI$3:$AV$3),"Date: ","")))</t>
        </is>
      </c>
      <c r="AD306" s="49" t="inlineStr">
        <is>
          <t>IF(OR(F306="",COUNT(AI306:AV306)=0),"",TODAY()-LOOKUP(2,1/(AI306:AV306&lt;&gt;""),AI306:AV306))</t>
        </is>
      </c>
      <c r="AE306" s="49" t="inlineStr">
        <is>
          <t>IF(OR(F306="",COUNT(AI306:AV306)&lt;2),"",LOOKUP(2,1/(AI306:AV306&lt;&gt;""),AI306:AV306)-MIN(AI306:AV306))</t>
        </is>
      </c>
      <c r="AF306" s="49" t="inlineStr">
        <is>
          <t>IF(OR(AD306="",AC306="Not started",AC306=""),"",IFERROR(AD306-IF(VLOOKUP(AC306,'06_Status_Pipeline'!$B$3:$E$20,4,FALSE)="",0,VLOOKUP(AC306,'06_Status_Pipeline'!$B$3:$E$20,4,FALSE)),""))</t>
        </is>
      </c>
      <c r="AG306" s="42" t="inlineStr">
        <is>
          <t>IF(F306="","",IF(OR(AA306="Cancelled",AC306="Cancelled"),"Cancelled",IF(OR(AC306="Completed / Handover",Y306&lt;&gt;"",Z306&gt;=100),"Completed — on track",IF(O306="Not awarded",IF(U306="",IF(X306="","No planned date",IF(TODAY()&gt;X306,"Behind — past planned date",IF(X306-TODAY()&lt;=30,"At risk — close to off track","On track"))),IF(TODAY()&gt;U306,"Behind — award date passed",IF(U306-TODAY()&lt;=30,"At risk — close to off track","On track"))),IF(X306="","No planned date",IF(AND(TODAY()&gt;X306,OR(Z306="",Z306&lt;100)),"Behind — past end date",IF(AND(T306&lt;&gt;"",X306&lt;&gt;"",Z306&lt;&gt;"",(Z306&lt;100),((TODAY()-T306)/MAX(X306-T306,1)*100)-Z306&gt;15),"Behind — progress lag",IF(AND(X306-TODAY()&lt;=30,X306-TODAY()&gt;=0,OR(Z306="",Z306&lt;90)),"At risk — close to off track","On track"))))))))</t>
        </is>
      </c>
      <c r="AH306" s="49" t="inlineStr">
        <is>
          <t>IF(OR(F306="",AC306="Completed / Handover",AC306="Cancelled"),"",IF(O306="Not awarded",IF(U306&lt;&gt;"",U306-TODAY(),IF(X306="","",X306-TODAY())),IF(X306="","",X306-TODAY())))</t>
        </is>
      </c>
      <c r="AI306" s="54" t="n"/>
      <c r="AJ306" s="54" t="n"/>
      <c r="AK306" s="54" t="n"/>
      <c r="AL306" s="54" t="n"/>
      <c r="AM306" s="54" t="n"/>
      <c r="AN306" s="54" t="n"/>
      <c r="AO306" s="54" t="n"/>
      <c r="AP306" s="54" t="n"/>
      <c r="AQ306" s="54" t="n"/>
      <c r="AR306" s="54" t="n"/>
      <c r="AS306" s="54" t="n"/>
      <c r="AT306" s="50" t="n"/>
      <c r="AU306" s="50" t="n"/>
      <c r="AV306" s="50" t="n"/>
      <c r="AW306" s="49" t="inlineStr">
        <is>
          <t>IF(OR(F306="",AJ306=""),"",IF(COUNT(AI306:AI306)=0,"",AJ306-LOOKUP(2,1/(AI306:AI306&lt;&gt;""),AI306:AI306)))</t>
        </is>
      </c>
      <c r="AX306" s="49" t="inlineStr">
        <is>
          <t>IF(OR(F306="",AK306=""),"",IF(COUNT(AI306:AJ306)=0,"",AK306-LOOKUP(2,1/(AI306:AJ306&lt;&gt;""),AI306:AJ306)))</t>
        </is>
      </c>
      <c r="AY306" s="49" t="inlineStr">
        <is>
          <t>IF(OR(F306="",AL306=""),"",IF(COUNT(AI306:AK306)=0,"",AL306-LOOKUP(2,1/(AI306:AK306&lt;&gt;""),AI306:AK306)))</t>
        </is>
      </c>
      <c r="AZ306" s="49" t="inlineStr">
        <is>
          <t>IF(OR(F306="",AM306=""),"",IF(COUNT(AI306:AL306)=0,"",AM306-LOOKUP(2,1/(AI306:AL306&lt;&gt;""),AI306:AL306)))</t>
        </is>
      </c>
      <c r="BA306" s="49" t="inlineStr">
        <is>
          <t>IF(OR(F306="",AN306=""),"",IF(COUNT(AI306:AM306)=0,"",AN306-LOOKUP(2,1/(AI306:AM306&lt;&gt;""),AI306:AM306)))</t>
        </is>
      </c>
      <c r="BB306" s="49" t="inlineStr">
        <is>
          <t>IF(OR(F306="",AO306=""),"",IF(COUNT(AI306:AN306)=0,"",AO306-LOOKUP(2,1/(AI306:AN306&lt;&gt;""),AI306:AN306)))</t>
        </is>
      </c>
      <c r="BC306" s="49" t="inlineStr">
        <is>
          <t>IF(OR(F306="",AP306=""),"",IF(COUNT(AI306:AO306)=0,"",AP306-LOOKUP(2,1/(AI306:AO306&lt;&gt;""),AI306:AO306)))</t>
        </is>
      </c>
      <c r="BD306" s="49" t="inlineStr">
        <is>
          <t>IF(OR(F306="",AQ306=""),"",IF(COUNT(AI306:AP306)=0,"",AQ306-LOOKUP(2,1/(AI306:AP306&lt;&gt;""),AI306:AP306)))</t>
        </is>
      </c>
      <c r="BE306" s="49" t="inlineStr">
        <is>
          <t>IF(OR(F306="",AR306=""),"",IF(COUNT(AI306:AQ306)=0,"",AR306-LOOKUP(2,1/(AI306:AQ306&lt;&gt;""),AI306:AQ306)))</t>
        </is>
      </c>
      <c r="BF306" s="49" t="inlineStr">
        <is>
          <t>IF(OR(F306="",AS306=""),"",IF(COUNT(AI306:AR306)=0,"",AS306-LOOKUP(2,1/(AI306:AR306&lt;&gt;""),AI306:AR306)))</t>
        </is>
      </c>
      <c r="BG306" s="49" t="inlineStr">
        <is>
          <t>IF(OR(F306="",AT306=""),"",IF(COUNT(AI306:AS306)=0,"",AT306-LOOKUP(2,1/(AI306:AS306&lt;&gt;""),AI306:AS306)))</t>
        </is>
      </c>
      <c r="BH306" s="49" t="inlineStr">
        <is>
          <t>IF(OR(F306="",AU306=""),"",IF(COUNT(AI306:AT306)=0,"",AU306-LOOKUP(2,1/(AI306:AT306&lt;&gt;""),AI306:AT306)))</t>
        </is>
      </c>
      <c r="BI306" s="49" t="inlineStr">
        <is>
          <t>IF(OR(F306="",AV306=""),"",IF(COUNT(AI306:AU306)=0,"",AV306-LOOKUP(2,1/(AI306:AU306&lt;&gt;""),AI306:AU306)))</t>
        </is>
      </c>
      <c r="BJ306" s="51" t="inlineStr">
        <is>
          <t>IF(J306="","All_Provinces",IFERROR(VLOOKUP(J306,'09_Lookups'!$A$4:$B$20,2,FALSE),"All_Provinces"))</t>
        </is>
      </c>
      <c r="BK306" s="51" t="inlineStr">
        <is>
          <t>IF(K306="","All_Districts",IFERROR(VLOOKUP(K306,'09_Lookups'!$E$4:$F$42,2,FALSE),"All_Districts"))</t>
        </is>
      </c>
    </row>
    <row r="307" ht="18" customHeight="1">
      <c r="A307" s="42" t="inlineStr">
        <is>
          <t>IF(F307="","",ROW()-3)</t>
        </is>
      </c>
      <c r="B307" s="44" t="n"/>
      <c r="C307" s="44" t="n"/>
      <c r="D307" s="44" t="n"/>
      <c r="E307" s="44" t="n"/>
      <c r="F307" s="44" t="n"/>
      <c r="G307" s="44" t="n"/>
      <c r="H307" s="44" t="n"/>
      <c r="I307" s="44" t="n"/>
      <c r="J307" s="44" t="n"/>
      <c r="K307" s="44" t="n"/>
      <c r="L307" s="44" t="n"/>
      <c r="M307" s="44" t="n"/>
      <c r="N307" s="44" t="n"/>
      <c r="O307" s="44" t="n"/>
      <c r="P307" s="44" t="n"/>
      <c r="Q307" s="44" t="n"/>
      <c r="R307" s="44" t="n"/>
      <c r="S307" s="45" t="n"/>
      <c r="T307" s="46" t="inlineStr">
        <is>
          <t>IF(AQ307="","",AQ307)</t>
        </is>
      </c>
      <c r="U307" s="47" t="n"/>
      <c r="V307" s="48" t="n"/>
      <c r="W307" s="47" t="n"/>
      <c r="X307" s="46" t="inlineStr">
        <is>
          <t>IF(W307&lt;&gt;"",W307,IF(OR(T307="",V307=""),"",EDATE(T307,V307)))</t>
        </is>
      </c>
      <c r="Y307" s="47" t="n"/>
      <c r="Z307" s="48" t="n"/>
      <c r="AA307" s="44" t="n"/>
      <c r="AB307" s="44" t="n"/>
      <c r="AC307" s="42" t="inlineStr">
        <is>
          <t>IF(F307="","",IF(COUNT(AI307:AV307)=0,IF(AA307="","Not started",AA307),SUBSTITUTE(LOOKUP(2,1/(AI307:AV307&lt;&gt;""),$AI$3:$AV$3),"Date: ","")))</t>
        </is>
      </c>
      <c r="AD307" s="49" t="inlineStr">
        <is>
          <t>IF(OR(F307="",COUNT(AI307:AV307)=0),"",TODAY()-LOOKUP(2,1/(AI307:AV307&lt;&gt;""),AI307:AV307))</t>
        </is>
      </c>
      <c r="AE307" s="49" t="inlineStr">
        <is>
          <t>IF(OR(F307="",COUNT(AI307:AV307)&lt;2),"",LOOKUP(2,1/(AI307:AV307&lt;&gt;""),AI307:AV307)-MIN(AI307:AV307))</t>
        </is>
      </c>
      <c r="AF307" s="49" t="inlineStr">
        <is>
          <t>IF(OR(AD307="",AC307="Not started",AC307=""),"",IFERROR(AD307-IF(VLOOKUP(AC307,'06_Status_Pipeline'!$B$3:$E$20,4,FALSE)="",0,VLOOKUP(AC307,'06_Status_Pipeline'!$B$3:$E$20,4,FALSE)),""))</t>
        </is>
      </c>
      <c r="AG307" s="42" t="inlineStr">
        <is>
          <t>IF(F307="","",IF(OR(AA307="Cancelled",AC307="Cancelled"),"Cancelled",IF(OR(AC307="Completed / Handover",Y307&lt;&gt;"",Z307&gt;=100),"Completed — on track",IF(O307="Not awarded",IF(U307="",IF(X307="","No planned date",IF(TODAY()&gt;X307,"Behind — past planned date",IF(X307-TODAY()&lt;=30,"At risk — close to off track","On track"))),IF(TODAY()&gt;U307,"Behind — award date passed",IF(U307-TODAY()&lt;=30,"At risk — close to off track","On track"))),IF(X307="","No planned date",IF(AND(TODAY()&gt;X307,OR(Z307="",Z307&lt;100)),"Behind — past end date",IF(AND(T307&lt;&gt;"",X307&lt;&gt;"",Z307&lt;&gt;"",(Z307&lt;100),((TODAY()-T307)/MAX(X307-T307,1)*100)-Z307&gt;15),"Behind — progress lag",IF(AND(X307-TODAY()&lt;=30,X307-TODAY()&gt;=0,OR(Z307="",Z307&lt;90)),"At risk — close to off track","On track"))))))))</t>
        </is>
      </c>
      <c r="AH307" s="49" t="inlineStr">
        <is>
          <t>IF(OR(F307="",AC307="Completed / Handover",AC307="Cancelled"),"",IF(O307="Not awarded",IF(U307&lt;&gt;"",U307-TODAY(),IF(X307="","",X307-TODAY())),IF(X307="","",X307-TODAY())))</t>
        </is>
      </c>
      <c r="AI307" s="47" t="n"/>
      <c r="AJ307" s="47" t="n"/>
      <c r="AK307" s="47" t="n"/>
      <c r="AL307" s="47" t="n"/>
      <c r="AM307" s="47" t="n"/>
      <c r="AN307" s="47" t="n"/>
      <c r="AO307" s="47" t="n"/>
      <c r="AP307" s="47" t="n"/>
      <c r="AQ307" s="47" t="n"/>
      <c r="AR307" s="47" t="n"/>
      <c r="AS307" s="47" t="n"/>
      <c r="AT307" s="50" t="n"/>
      <c r="AU307" s="50" t="n"/>
      <c r="AV307" s="50" t="n"/>
      <c r="AW307" s="49" t="inlineStr">
        <is>
          <t>IF(OR(F307="",AJ307=""),"",IF(COUNT(AI307:AI307)=0,"",AJ307-LOOKUP(2,1/(AI307:AI307&lt;&gt;""),AI307:AI307)))</t>
        </is>
      </c>
      <c r="AX307" s="49" t="inlineStr">
        <is>
          <t>IF(OR(F307="",AK307=""),"",IF(COUNT(AI307:AJ307)=0,"",AK307-LOOKUP(2,1/(AI307:AJ307&lt;&gt;""),AI307:AJ307)))</t>
        </is>
      </c>
      <c r="AY307" s="49" t="inlineStr">
        <is>
          <t>IF(OR(F307="",AL307=""),"",IF(COUNT(AI307:AK307)=0,"",AL307-LOOKUP(2,1/(AI307:AK307&lt;&gt;""),AI307:AK307)))</t>
        </is>
      </c>
      <c r="AZ307" s="49" t="inlineStr">
        <is>
          <t>IF(OR(F307="",AM307=""),"",IF(COUNT(AI307:AL307)=0,"",AM307-LOOKUP(2,1/(AI307:AL307&lt;&gt;""),AI307:AL307)))</t>
        </is>
      </c>
      <c r="BA307" s="49" t="inlineStr">
        <is>
          <t>IF(OR(F307="",AN307=""),"",IF(COUNT(AI307:AM307)=0,"",AN307-LOOKUP(2,1/(AI307:AM307&lt;&gt;""),AI307:AM307)))</t>
        </is>
      </c>
      <c r="BB307" s="49" t="inlineStr">
        <is>
          <t>IF(OR(F307="",AO307=""),"",IF(COUNT(AI307:AN307)=0,"",AO307-LOOKUP(2,1/(AI307:AN307&lt;&gt;""),AI307:AN307)))</t>
        </is>
      </c>
      <c r="BC307" s="49" t="inlineStr">
        <is>
          <t>IF(OR(F307="",AP307=""),"",IF(COUNT(AI307:AO307)=0,"",AP307-LOOKUP(2,1/(AI307:AO307&lt;&gt;""),AI307:AO307)))</t>
        </is>
      </c>
      <c r="BD307" s="49" t="inlineStr">
        <is>
          <t>IF(OR(F307="",AQ307=""),"",IF(COUNT(AI307:AP307)=0,"",AQ307-LOOKUP(2,1/(AI307:AP307&lt;&gt;""),AI307:AP307)))</t>
        </is>
      </c>
      <c r="BE307" s="49" t="inlineStr">
        <is>
          <t>IF(OR(F307="",AR307=""),"",IF(COUNT(AI307:AQ307)=0,"",AR307-LOOKUP(2,1/(AI307:AQ307&lt;&gt;""),AI307:AQ307)))</t>
        </is>
      </c>
      <c r="BF307" s="49" t="inlineStr">
        <is>
          <t>IF(OR(F307="",AS307=""),"",IF(COUNT(AI307:AR307)=0,"",AS307-LOOKUP(2,1/(AI307:AR307&lt;&gt;""),AI307:AR307)))</t>
        </is>
      </c>
      <c r="BG307" s="49" t="inlineStr">
        <is>
          <t>IF(OR(F307="",AT307=""),"",IF(COUNT(AI307:AS307)=0,"",AT307-LOOKUP(2,1/(AI307:AS307&lt;&gt;""),AI307:AS307)))</t>
        </is>
      </c>
      <c r="BH307" s="49" t="inlineStr">
        <is>
          <t>IF(OR(F307="",AU307=""),"",IF(COUNT(AI307:AT307)=0,"",AU307-LOOKUP(2,1/(AI307:AT307&lt;&gt;""),AI307:AT307)))</t>
        </is>
      </c>
      <c r="BI307" s="49" t="inlineStr">
        <is>
          <t>IF(OR(F307="",AV307=""),"",IF(COUNT(AI307:AU307)=0,"",AV307-LOOKUP(2,1/(AI307:AU307&lt;&gt;""),AI307:AU307)))</t>
        </is>
      </c>
      <c r="BJ307" s="51" t="inlineStr">
        <is>
          <t>IF(J307="","All_Provinces",IFERROR(VLOOKUP(J307,'09_Lookups'!$A$4:$B$20,2,FALSE),"All_Provinces"))</t>
        </is>
      </c>
      <c r="BK307" s="51" t="inlineStr">
        <is>
          <t>IF(K307="","All_Districts",IFERROR(VLOOKUP(K307,'09_Lookups'!$E$4:$F$42,2,FALSE),"All_Districts"))</t>
        </is>
      </c>
    </row>
    <row r="308" ht="18" customHeight="1">
      <c r="A308" s="42" t="inlineStr">
        <is>
          <t>IF(F308="","",ROW()-3)</t>
        </is>
      </c>
      <c r="B308" s="52" t="n"/>
      <c r="C308" s="52" t="n"/>
      <c r="D308" s="52" t="n"/>
      <c r="E308" s="52" t="n"/>
      <c r="F308" s="52" t="n"/>
      <c r="G308" s="52" t="n"/>
      <c r="H308" s="52" t="n"/>
      <c r="I308" s="52" t="n"/>
      <c r="J308" s="52" t="n"/>
      <c r="K308" s="52" t="n"/>
      <c r="L308" s="52" t="n"/>
      <c r="M308" s="52" t="n"/>
      <c r="N308" s="52" t="n"/>
      <c r="O308" s="52" t="n"/>
      <c r="P308" s="52" t="n"/>
      <c r="Q308" s="52" t="n"/>
      <c r="R308" s="52" t="n"/>
      <c r="S308" s="53" t="n"/>
      <c r="T308" s="46" t="inlineStr">
        <is>
          <t>IF(AQ308="","",AQ308)</t>
        </is>
      </c>
      <c r="U308" s="54" t="n"/>
      <c r="V308" s="55" t="n"/>
      <c r="W308" s="54" t="n"/>
      <c r="X308" s="46" t="inlineStr">
        <is>
          <t>IF(W308&lt;&gt;"",W308,IF(OR(T308="",V308=""),"",EDATE(T308,V308)))</t>
        </is>
      </c>
      <c r="Y308" s="54" t="n"/>
      <c r="Z308" s="55" t="n"/>
      <c r="AA308" s="52" t="n"/>
      <c r="AB308" s="52" t="n"/>
      <c r="AC308" s="42" t="inlineStr">
        <is>
          <t>IF(F308="","",IF(COUNT(AI308:AV308)=0,IF(AA308="","Not started",AA308),SUBSTITUTE(LOOKUP(2,1/(AI308:AV308&lt;&gt;""),$AI$3:$AV$3),"Date: ","")))</t>
        </is>
      </c>
      <c r="AD308" s="49" t="inlineStr">
        <is>
          <t>IF(OR(F308="",COUNT(AI308:AV308)=0),"",TODAY()-LOOKUP(2,1/(AI308:AV308&lt;&gt;""),AI308:AV308))</t>
        </is>
      </c>
      <c r="AE308" s="49" t="inlineStr">
        <is>
          <t>IF(OR(F308="",COUNT(AI308:AV308)&lt;2),"",LOOKUP(2,1/(AI308:AV308&lt;&gt;""),AI308:AV308)-MIN(AI308:AV308))</t>
        </is>
      </c>
      <c r="AF308" s="49" t="inlineStr">
        <is>
          <t>IF(OR(AD308="",AC308="Not started",AC308=""),"",IFERROR(AD308-IF(VLOOKUP(AC308,'06_Status_Pipeline'!$B$3:$E$20,4,FALSE)="",0,VLOOKUP(AC308,'06_Status_Pipeline'!$B$3:$E$20,4,FALSE)),""))</t>
        </is>
      </c>
      <c r="AG308" s="42" t="inlineStr">
        <is>
          <t>IF(F308="","",IF(OR(AA308="Cancelled",AC308="Cancelled"),"Cancelled",IF(OR(AC308="Completed / Handover",Y308&lt;&gt;"",Z308&gt;=100),"Completed — on track",IF(O308="Not awarded",IF(U308="",IF(X308="","No planned date",IF(TODAY()&gt;X308,"Behind — past planned date",IF(X308-TODAY()&lt;=30,"At risk — close to off track","On track"))),IF(TODAY()&gt;U308,"Behind — award date passed",IF(U308-TODAY()&lt;=30,"At risk — close to off track","On track"))),IF(X308="","No planned date",IF(AND(TODAY()&gt;X308,OR(Z308="",Z308&lt;100)),"Behind — past end date",IF(AND(T308&lt;&gt;"",X308&lt;&gt;"",Z308&lt;&gt;"",(Z308&lt;100),((TODAY()-T308)/MAX(X308-T308,1)*100)-Z308&gt;15),"Behind — progress lag",IF(AND(X308-TODAY()&lt;=30,X308-TODAY()&gt;=0,OR(Z308="",Z308&lt;90)),"At risk — close to off track","On track"))))))))</t>
        </is>
      </c>
      <c r="AH308" s="49" t="inlineStr">
        <is>
          <t>IF(OR(F308="",AC308="Completed / Handover",AC308="Cancelled"),"",IF(O308="Not awarded",IF(U308&lt;&gt;"",U308-TODAY(),IF(X308="","",X308-TODAY())),IF(X308="","",X308-TODAY())))</t>
        </is>
      </c>
      <c r="AI308" s="54" t="n"/>
      <c r="AJ308" s="54" t="n"/>
      <c r="AK308" s="54" t="n"/>
      <c r="AL308" s="54" t="n"/>
      <c r="AM308" s="54" t="n"/>
      <c r="AN308" s="54" t="n"/>
      <c r="AO308" s="54" t="n"/>
      <c r="AP308" s="54" t="n"/>
      <c r="AQ308" s="54" t="n"/>
      <c r="AR308" s="54" t="n"/>
      <c r="AS308" s="54" t="n"/>
      <c r="AT308" s="50" t="n"/>
      <c r="AU308" s="50" t="n"/>
      <c r="AV308" s="50" t="n"/>
      <c r="AW308" s="49" t="inlineStr">
        <is>
          <t>IF(OR(F308="",AJ308=""),"",IF(COUNT(AI308:AI308)=0,"",AJ308-LOOKUP(2,1/(AI308:AI308&lt;&gt;""),AI308:AI308)))</t>
        </is>
      </c>
      <c r="AX308" s="49" t="inlineStr">
        <is>
          <t>IF(OR(F308="",AK308=""),"",IF(COUNT(AI308:AJ308)=0,"",AK308-LOOKUP(2,1/(AI308:AJ308&lt;&gt;""),AI308:AJ308)))</t>
        </is>
      </c>
      <c r="AY308" s="49" t="inlineStr">
        <is>
          <t>IF(OR(F308="",AL308=""),"",IF(COUNT(AI308:AK308)=0,"",AL308-LOOKUP(2,1/(AI308:AK308&lt;&gt;""),AI308:AK308)))</t>
        </is>
      </c>
      <c r="AZ308" s="49" t="inlineStr">
        <is>
          <t>IF(OR(F308="",AM308=""),"",IF(COUNT(AI308:AL308)=0,"",AM308-LOOKUP(2,1/(AI308:AL308&lt;&gt;""),AI308:AL308)))</t>
        </is>
      </c>
      <c r="BA308" s="49" t="inlineStr">
        <is>
          <t>IF(OR(F308="",AN308=""),"",IF(COUNT(AI308:AM308)=0,"",AN308-LOOKUP(2,1/(AI308:AM308&lt;&gt;""),AI308:AM308)))</t>
        </is>
      </c>
      <c r="BB308" s="49" t="inlineStr">
        <is>
          <t>IF(OR(F308="",AO308=""),"",IF(COUNT(AI308:AN308)=0,"",AO308-LOOKUP(2,1/(AI308:AN308&lt;&gt;""),AI308:AN308)))</t>
        </is>
      </c>
      <c r="BC308" s="49" t="inlineStr">
        <is>
          <t>IF(OR(F308="",AP308=""),"",IF(COUNT(AI308:AO308)=0,"",AP308-LOOKUP(2,1/(AI308:AO308&lt;&gt;""),AI308:AO308)))</t>
        </is>
      </c>
      <c r="BD308" s="49" t="inlineStr">
        <is>
          <t>IF(OR(F308="",AQ308=""),"",IF(COUNT(AI308:AP308)=0,"",AQ308-LOOKUP(2,1/(AI308:AP308&lt;&gt;""),AI308:AP308)))</t>
        </is>
      </c>
      <c r="BE308" s="49" t="inlineStr">
        <is>
          <t>IF(OR(F308="",AR308=""),"",IF(COUNT(AI308:AQ308)=0,"",AR308-LOOKUP(2,1/(AI308:AQ308&lt;&gt;""),AI308:AQ308)))</t>
        </is>
      </c>
      <c r="BF308" s="49" t="inlineStr">
        <is>
          <t>IF(OR(F308="",AS308=""),"",IF(COUNT(AI308:AR308)=0,"",AS308-LOOKUP(2,1/(AI308:AR308&lt;&gt;""),AI308:AR308)))</t>
        </is>
      </c>
      <c r="BG308" s="49" t="inlineStr">
        <is>
          <t>IF(OR(F308="",AT308=""),"",IF(COUNT(AI308:AS308)=0,"",AT308-LOOKUP(2,1/(AI308:AS308&lt;&gt;""),AI308:AS308)))</t>
        </is>
      </c>
      <c r="BH308" s="49" t="inlineStr">
        <is>
          <t>IF(OR(F308="",AU308=""),"",IF(COUNT(AI308:AT308)=0,"",AU308-LOOKUP(2,1/(AI308:AT308&lt;&gt;""),AI308:AT308)))</t>
        </is>
      </c>
      <c r="BI308" s="49" t="inlineStr">
        <is>
          <t>IF(OR(F308="",AV308=""),"",IF(COUNT(AI308:AU308)=0,"",AV308-LOOKUP(2,1/(AI308:AU308&lt;&gt;""),AI308:AU308)))</t>
        </is>
      </c>
      <c r="BJ308" s="51" t="inlineStr">
        <is>
          <t>IF(J308="","All_Provinces",IFERROR(VLOOKUP(J308,'09_Lookups'!$A$4:$B$20,2,FALSE),"All_Provinces"))</t>
        </is>
      </c>
      <c r="BK308" s="51" t="inlineStr">
        <is>
          <t>IF(K308="","All_Districts",IFERROR(VLOOKUP(K308,'09_Lookups'!$E$4:$F$42,2,FALSE),"All_Districts"))</t>
        </is>
      </c>
    </row>
    <row r="309" ht="18" customHeight="1">
      <c r="A309" s="42" t="inlineStr">
        <is>
          <t>IF(F309="","",ROW()-3)</t>
        </is>
      </c>
      <c r="B309" s="44" t="n"/>
      <c r="C309" s="44" t="n"/>
      <c r="D309" s="44" t="n"/>
      <c r="E309" s="44" t="n"/>
      <c r="F309" s="44" t="n"/>
      <c r="G309" s="44" t="n"/>
      <c r="H309" s="44" t="n"/>
      <c r="I309" s="44" t="n"/>
      <c r="J309" s="44" t="n"/>
      <c r="K309" s="44" t="n"/>
      <c r="L309" s="44" t="n"/>
      <c r="M309" s="44" t="n"/>
      <c r="N309" s="44" t="n"/>
      <c r="O309" s="44" t="n"/>
      <c r="P309" s="44" t="n"/>
      <c r="Q309" s="44" t="n"/>
      <c r="R309" s="44" t="n"/>
      <c r="S309" s="45" t="n"/>
      <c r="T309" s="46" t="inlineStr">
        <is>
          <t>IF(AQ309="","",AQ309)</t>
        </is>
      </c>
      <c r="U309" s="47" t="n"/>
      <c r="V309" s="48" t="n"/>
      <c r="W309" s="47" t="n"/>
      <c r="X309" s="46" t="inlineStr">
        <is>
          <t>IF(W309&lt;&gt;"",W309,IF(OR(T309="",V309=""),"",EDATE(T309,V309)))</t>
        </is>
      </c>
      <c r="Y309" s="47" t="n"/>
      <c r="Z309" s="48" t="n"/>
      <c r="AA309" s="44" t="n"/>
      <c r="AB309" s="44" t="n"/>
      <c r="AC309" s="42" t="inlineStr">
        <is>
          <t>IF(F309="","",IF(COUNT(AI309:AV309)=0,IF(AA309="","Not started",AA309),SUBSTITUTE(LOOKUP(2,1/(AI309:AV309&lt;&gt;""),$AI$3:$AV$3),"Date: ","")))</t>
        </is>
      </c>
      <c r="AD309" s="49" t="inlineStr">
        <is>
          <t>IF(OR(F309="",COUNT(AI309:AV309)=0),"",TODAY()-LOOKUP(2,1/(AI309:AV309&lt;&gt;""),AI309:AV309))</t>
        </is>
      </c>
      <c r="AE309" s="49" t="inlineStr">
        <is>
          <t>IF(OR(F309="",COUNT(AI309:AV309)&lt;2),"",LOOKUP(2,1/(AI309:AV309&lt;&gt;""),AI309:AV309)-MIN(AI309:AV309))</t>
        </is>
      </c>
      <c r="AF309" s="49" t="inlineStr">
        <is>
          <t>IF(OR(AD309="",AC309="Not started",AC309=""),"",IFERROR(AD309-IF(VLOOKUP(AC309,'06_Status_Pipeline'!$B$3:$E$20,4,FALSE)="",0,VLOOKUP(AC309,'06_Status_Pipeline'!$B$3:$E$20,4,FALSE)),""))</t>
        </is>
      </c>
      <c r="AG309" s="42" t="inlineStr">
        <is>
          <t>IF(F309="","",IF(OR(AA309="Cancelled",AC309="Cancelled"),"Cancelled",IF(OR(AC309="Completed / Handover",Y309&lt;&gt;"",Z309&gt;=100),"Completed — on track",IF(O309="Not awarded",IF(U309="",IF(X309="","No planned date",IF(TODAY()&gt;X309,"Behind — past planned date",IF(X309-TODAY()&lt;=30,"At risk — close to off track","On track"))),IF(TODAY()&gt;U309,"Behind — award date passed",IF(U309-TODAY()&lt;=30,"At risk — close to off track","On track"))),IF(X309="","No planned date",IF(AND(TODAY()&gt;X309,OR(Z309="",Z309&lt;100)),"Behind — past end date",IF(AND(T309&lt;&gt;"",X309&lt;&gt;"",Z309&lt;&gt;"",(Z309&lt;100),((TODAY()-T309)/MAX(X309-T309,1)*100)-Z309&gt;15),"Behind — progress lag",IF(AND(X309-TODAY()&lt;=30,X309-TODAY()&gt;=0,OR(Z309="",Z309&lt;90)),"At risk — close to off track","On track"))))))))</t>
        </is>
      </c>
      <c r="AH309" s="49" t="inlineStr">
        <is>
          <t>IF(OR(F309="",AC309="Completed / Handover",AC309="Cancelled"),"",IF(O309="Not awarded",IF(U309&lt;&gt;"",U309-TODAY(),IF(X309="","",X309-TODAY())),IF(X309="","",X309-TODAY())))</t>
        </is>
      </c>
      <c r="AI309" s="47" t="n"/>
      <c r="AJ309" s="47" t="n"/>
      <c r="AK309" s="47" t="n"/>
      <c r="AL309" s="47" t="n"/>
      <c r="AM309" s="47" t="n"/>
      <c r="AN309" s="47" t="n"/>
      <c r="AO309" s="47" t="n"/>
      <c r="AP309" s="47" t="n"/>
      <c r="AQ309" s="47" t="n"/>
      <c r="AR309" s="47" t="n"/>
      <c r="AS309" s="47" t="n"/>
      <c r="AT309" s="50" t="n"/>
      <c r="AU309" s="50" t="n"/>
      <c r="AV309" s="50" t="n"/>
      <c r="AW309" s="49" t="inlineStr">
        <is>
          <t>IF(OR(F309="",AJ309=""),"",IF(COUNT(AI309:AI309)=0,"",AJ309-LOOKUP(2,1/(AI309:AI309&lt;&gt;""),AI309:AI309)))</t>
        </is>
      </c>
      <c r="AX309" s="49" t="inlineStr">
        <is>
          <t>IF(OR(F309="",AK309=""),"",IF(COUNT(AI309:AJ309)=0,"",AK309-LOOKUP(2,1/(AI309:AJ309&lt;&gt;""),AI309:AJ309)))</t>
        </is>
      </c>
      <c r="AY309" s="49" t="inlineStr">
        <is>
          <t>IF(OR(F309="",AL309=""),"",IF(COUNT(AI309:AK309)=0,"",AL309-LOOKUP(2,1/(AI309:AK309&lt;&gt;""),AI309:AK309)))</t>
        </is>
      </c>
      <c r="AZ309" s="49" t="inlineStr">
        <is>
          <t>IF(OR(F309="",AM309=""),"",IF(COUNT(AI309:AL309)=0,"",AM309-LOOKUP(2,1/(AI309:AL309&lt;&gt;""),AI309:AL309)))</t>
        </is>
      </c>
      <c r="BA309" s="49" t="inlineStr">
        <is>
          <t>IF(OR(F309="",AN309=""),"",IF(COUNT(AI309:AM309)=0,"",AN309-LOOKUP(2,1/(AI309:AM309&lt;&gt;""),AI309:AM309)))</t>
        </is>
      </c>
      <c r="BB309" s="49" t="inlineStr">
        <is>
          <t>IF(OR(F309="",AO309=""),"",IF(COUNT(AI309:AN309)=0,"",AO309-LOOKUP(2,1/(AI309:AN309&lt;&gt;""),AI309:AN309)))</t>
        </is>
      </c>
      <c r="BC309" s="49" t="inlineStr">
        <is>
          <t>IF(OR(F309="",AP309=""),"",IF(COUNT(AI309:AO309)=0,"",AP309-LOOKUP(2,1/(AI309:AO309&lt;&gt;""),AI309:AO309)))</t>
        </is>
      </c>
      <c r="BD309" s="49" t="inlineStr">
        <is>
          <t>IF(OR(F309="",AQ309=""),"",IF(COUNT(AI309:AP309)=0,"",AQ309-LOOKUP(2,1/(AI309:AP309&lt;&gt;""),AI309:AP309)))</t>
        </is>
      </c>
      <c r="BE309" s="49" t="inlineStr">
        <is>
          <t>IF(OR(F309="",AR309=""),"",IF(COUNT(AI309:AQ309)=0,"",AR309-LOOKUP(2,1/(AI309:AQ309&lt;&gt;""),AI309:AQ309)))</t>
        </is>
      </c>
      <c r="BF309" s="49" t="inlineStr">
        <is>
          <t>IF(OR(F309="",AS309=""),"",IF(COUNT(AI309:AR309)=0,"",AS309-LOOKUP(2,1/(AI309:AR309&lt;&gt;""),AI309:AR309)))</t>
        </is>
      </c>
      <c r="BG309" s="49" t="inlineStr">
        <is>
          <t>IF(OR(F309="",AT309=""),"",IF(COUNT(AI309:AS309)=0,"",AT309-LOOKUP(2,1/(AI309:AS309&lt;&gt;""),AI309:AS309)))</t>
        </is>
      </c>
      <c r="BH309" s="49" t="inlineStr">
        <is>
          <t>IF(OR(F309="",AU309=""),"",IF(COUNT(AI309:AT309)=0,"",AU309-LOOKUP(2,1/(AI309:AT309&lt;&gt;""),AI309:AT309)))</t>
        </is>
      </c>
      <c r="BI309" s="49" t="inlineStr">
        <is>
          <t>IF(OR(F309="",AV309=""),"",IF(COUNT(AI309:AU309)=0,"",AV309-LOOKUP(2,1/(AI309:AU309&lt;&gt;""),AI309:AU309)))</t>
        </is>
      </c>
      <c r="BJ309" s="51" t="inlineStr">
        <is>
          <t>IF(J309="","All_Provinces",IFERROR(VLOOKUP(J309,'09_Lookups'!$A$4:$B$20,2,FALSE),"All_Provinces"))</t>
        </is>
      </c>
      <c r="BK309" s="51" t="inlineStr">
        <is>
          <t>IF(K309="","All_Districts",IFERROR(VLOOKUP(K309,'09_Lookups'!$E$4:$F$42,2,FALSE),"All_Districts"))</t>
        </is>
      </c>
    </row>
    <row r="310" ht="18" customHeight="1">
      <c r="A310" s="42" t="inlineStr">
        <is>
          <t>IF(F310="","",ROW()-3)</t>
        </is>
      </c>
      <c r="B310" s="52" t="n"/>
      <c r="C310" s="52" t="n"/>
      <c r="D310" s="52" t="n"/>
      <c r="E310" s="52" t="n"/>
      <c r="F310" s="52" t="n"/>
      <c r="G310" s="52" t="n"/>
      <c r="H310" s="52" t="n"/>
      <c r="I310" s="52" t="n"/>
      <c r="J310" s="52" t="n"/>
      <c r="K310" s="52" t="n"/>
      <c r="L310" s="52" t="n"/>
      <c r="M310" s="52" t="n"/>
      <c r="N310" s="52" t="n"/>
      <c r="O310" s="52" t="n"/>
      <c r="P310" s="52" t="n"/>
      <c r="Q310" s="52" t="n"/>
      <c r="R310" s="52" t="n"/>
      <c r="S310" s="53" t="n"/>
      <c r="T310" s="46" t="inlineStr">
        <is>
          <t>IF(AQ310="","",AQ310)</t>
        </is>
      </c>
      <c r="U310" s="54" t="n"/>
      <c r="V310" s="55" t="n"/>
      <c r="W310" s="54" t="n"/>
      <c r="X310" s="46" t="inlineStr">
        <is>
          <t>IF(W310&lt;&gt;"",W310,IF(OR(T310="",V310=""),"",EDATE(T310,V310)))</t>
        </is>
      </c>
      <c r="Y310" s="54" t="n"/>
      <c r="Z310" s="55" t="n"/>
      <c r="AA310" s="52" t="n"/>
      <c r="AB310" s="52" t="n"/>
      <c r="AC310" s="42" t="inlineStr">
        <is>
          <t>IF(F310="","",IF(COUNT(AI310:AV310)=0,IF(AA310="","Not started",AA310),SUBSTITUTE(LOOKUP(2,1/(AI310:AV310&lt;&gt;""),$AI$3:$AV$3),"Date: ","")))</t>
        </is>
      </c>
      <c r="AD310" s="49" t="inlineStr">
        <is>
          <t>IF(OR(F310="",COUNT(AI310:AV310)=0),"",TODAY()-LOOKUP(2,1/(AI310:AV310&lt;&gt;""),AI310:AV310))</t>
        </is>
      </c>
      <c r="AE310" s="49" t="inlineStr">
        <is>
          <t>IF(OR(F310="",COUNT(AI310:AV310)&lt;2),"",LOOKUP(2,1/(AI310:AV310&lt;&gt;""),AI310:AV310)-MIN(AI310:AV310))</t>
        </is>
      </c>
      <c r="AF310" s="49" t="inlineStr">
        <is>
          <t>IF(OR(AD310="",AC310="Not started",AC310=""),"",IFERROR(AD310-IF(VLOOKUP(AC310,'06_Status_Pipeline'!$B$3:$E$20,4,FALSE)="",0,VLOOKUP(AC310,'06_Status_Pipeline'!$B$3:$E$20,4,FALSE)),""))</t>
        </is>
      </c>
      <c r="AG310" s="42" t="inlineStr">
        <is>
          <t>IF(F310="","",IF(OR(AA310="Cancelled",AC310="Cancelled"),"Cancelled",IF(OR(AC310="Completed / Handover",Y310&lt;&gt;"",Z310&gt;=100),"Completed — on track",IF(O310="Not awarded",IF(U310="",IF(X310="","No planned date",IF(TODAY()&gt;X310,"Behind — past planned date",IF(X310-TODAY()&lt;=30,"At risk — close to off track","On track"))),IF(TODAY()&gt;U310,"Behind — award date passed",IF(U310-TODAY()&lt;=30,"At risk — close to off track","On track"))),IF(X310="","No planned date",IF(AND(TODAY()&gt;X310,OR(Z310="",Z310&lt;100)),"Behind — past end date",IF(AND(T310&lt;&gt;"",X310&lt;&gt;"",Z310&lt;&gt;"",(Z310&lt;100),((TODAY()-T310)/MAX(X310-T310,1)*100)-Z310&gt;15),"Behind — progress lag",IF(AND(X310-TODAY()&lt;=30,X310-TODAY()&gt;=0,OR(Z310="",Z310&lt;90)),"At risk — close to off track","On track"))))))))</t>
        </is>
      </c>
      <c r="AH310" s="49" t="inlineStr">
        <is>
          <t>IF(OR(F310="",AC310="Completed / Handover",AC310="Cancelled"),"",IF(O310="Not awarded",IF(U310&lt;&gt;"",U310-TODAY(),IF(X310="","",X310-TODAY())),IF(X310="","",X310-TODAY())))</t>
        </is>
      </c>
      <c r="AI310" s="54" t="n"/>
      <c r="AJ310" s="54" t="n"/>
      <c r="AK310" s="54" t="n"/>
      <c r="AL310" s="54" t="n"/>
      <c r="AM310" s="54" t="n"/>
      <c r="AN310" s="54" t="n"/>
      <c r="AO310" s="54" t="n"/>
      <c r="AP310" s="54" t="n"/>
      <c r="AQ310" s="54" t="n"/>
      <c r="AR310" s="54" t="n"/>
      <c r="AS310" s="54" t="n"/>
      <c r="AT310" s="50" t="n"/>
      <c r="AU310" s="50" t="n"/>
      <c r="AV310" s="50" t="n"/>
      <c r="AW310" s="49" t="inlineStr">
        <is>
          <t>IF(OR(F310="",AJ310=""),"",IF(COUNT(AI310:AI310)=0,"",AJ310-LOOKUP(2,1/(AI310:AI310&lt;&gt;""),AI310:AI310)))</t>
        </is>
      </c>
      <c r="AX310" s="49" t="inlineStr">
        <is>
          <t>IF(OR(F310="",AK310=""),"",IF(COUNT(AI310:AJ310)=0,"",AK310-LOOKUP(2,1/(AI310:AJ310&lt;&gt;""),AI310:AJ310)))</t>
        </is>
      </c>
      <c r="AY310" s="49" t="inlineStr">
        <is>
          <t>IF(OR(F310="",AL310=""),"",IF(COUNT(AI310:AK310)=0,"",AL310-LOOKUP(2,1/(AI310:AK310&lt;&gt;""),AI310:AK310)))</t>
        </is>
      </c>
      <c r="AZ310" s="49" t="inlineStr">
        <is>
          <t>IF(OR(F310="",AM310=""),"",IF(COUNT(AI310:AL310)=0,"",AM310-LOOKUP(2,1/(AI310:AL310&lt;&gt;""),AI310:AL310)))</t>
        </is>
      </c>
      <c r="BA310" s="49" t="inlineStr">
        <is>
          <t>IF(OR(F310="",AN310=""),"",IF(COUNT(AI310:AM310)=0,"",AN310-LOOKUP(2,1/(AI310:AM310&lt;&gt;""),AI310:AM310)))</t>
        </is>
      </c>
      <c r="BB310" s="49" t="inlineStr">
        <is>
          <t>IF(OR(F310="",AO310=""),"",IF(COUNT(AI310:AN310)=0,"",AO310-LOOKUP(2,1/(AI310:AN310&lt;&gt;""),AI310:AN310)))</t>
        </is>
      </c>
      <c r="BC310" s="49" t="inlineStr">
        <is>
          <t>IF(OR(F310="",AP310=""),"",IF(COUNT(AI310:AO310)=0,"",AP310-LOOKUP(2,1/(AI310:AO310&lt;&gt;""),AI310:AO310)))</t>
        </is>
      </c>
      <c r="BD310" s="49" t="inlineStr">
        <is>
          <t>IF(OR(F310="",AQ310=""),"",IF(COUNT(AI310:AP310)=0,"",AQ310-LOOKUP(2,1/(AI310:AP310&lt;&gt;""),AI310:AP310)))</t>
        </is>
      </c>
      <c r="BE310" s="49" t="inlineStr">
        <is>
          <t>IF(OR(F310="",AR310=""),"",IF(COUNT(AI310:AQ310)=0,"",AR310-LOOKUP(2,1/(AI310:AQ310&lt;&gt;""),AI310:AQ310)))</t>
        </is>
      </c>
      <c r="BF310" s="49" t="inlineStr">
        <is>
          <t>IF(OR(F310="",AS310=""),"",IF(COUNT(AI310:AR310)=0,"",AS310-LOOKUP(2,1/(AI310:AR310&lt;&gt;""),AI310:AR310)))</t>
        </is>
      </c>
      <c r="BG310" s="49" t="inlineStr">
        <is>
          <t>IF(OR(F310="",AT310=""),"",IF(COUNT(AI310:AS310)=0,"",AT310-LOOKUP(2,1/(AI310:AS310&lt;&gt;""),AI310:AS310)))</t>
        </is>
      </c>
      <c r="BH310" s="49" t="inlineStr">
        <is>
          <t>IF(OR(F310="",AU310=""),"",IF(COUNT(AI310:AT310)=0,"",AU310-LOOKUP(2,1/(AI310:AT310&lt;&gt;""),AI310:AT310)))</t>
        </is>
      </c>
      <c r="BI310" s="49" t="inlineStr">
        <is>
          <t>IF(OR(F310="",AV310=""),"",IF(COUNT(AI310:AU310)=0,"",AV310-LOOKUP(2,1/(AI310:AU310&lt;&gt;""),AI310:AU310)))</t>
        </is>
      </c>
      <c r="BJ310" s="51" t="inlineStr">
        <is>
          <t>IF(J310="","All_Provinces",IFERROR(VLOOKUP(J310,'09_Lookups'!$A$4:$B$20,2,FALSE),"All_Provinces"))</t>
        </is>
      </c>
      <c r="BK310" s="51" t="inlineStr">
        <is>
          <t>IF(K310="","All_Districts",IFERROR(VLOOKUP(K310,'09_Lookups'!$E$4:$F$42,2,FALSE),"All_Districts"))</t>
        </is>
      </c>
    </row>
    <row r="311" ht="18" customHeight="1">
      <c r="A311" s="42" t="inlineStr">
        <is>
          <t>IF(F311="","",ROW()-3)</t>
        </is>
      </c>
      <c r="B311" s="44" t="n"/>
      <c r="C311" s="44" t="n"/>
      <c r="D311" s="44" t="n"/>
      <c r="E311" s="44" t="n"/>
      <c r="F311" s="44" t="n"/>
      <c r="G311" s="44" t="n"/>
      <c r="H311" s="44" t="n"/>
      <c r="I311" s="44" t="n"/>
      <c r="J311" s="44" t="n"/>
      <c r="K311" s="44" t="n"/>
      <c r="L311" s="44" t="n"/>
      <c r="M311" s="44" t="n"/>
      <c r="N311" s="44" t="n"/>
      <c r="O311" s="44" t="n"/>
      <c r="P311" s="44" t="n"/>
      <c r="Q311" s="44" t="n"/>
      <c r="R311" s="44" t="n"/>
      <c r="S311" s="45" t="n"/>
      <c r="T311" s="46" t="inlineStr">
        <is>
          <t>IF(AQ311="","",AQ311)</t>
        </is>
      </c>
      <c r="U311" s="47" t="n"/>
      <c r="V311" s="48" t="n"/>
      <c r="W311" s="47" t="n"/>
      <c r="X311" s="46" t="inlineStr">
        <is>
          <t>IF(W311&lt;&gt;"",W311,IF(OR(T311="",V311=""),"",EDATE(T311,V311)))</t>
        </is>
      </c>
      <c r="Y311" s="47" t="n"/>
      <c r="Z311" s="48" t="n"/>
      <c r="AA311" s="44" t="n"/>
      <c r="AB311" s="44" t="n"/>
      <c r="AC311" s="42" t="inlineStr">
        <is>
          <t>IF(F311="","",IF(COUNT(AI311:AV311)=0,IF(AA311="","Not started",AA311),SUBSTITUTE(LOOKUP(2,1/(AI311:AV311&lt;&gt;""),$AI$3:$AV$3),"Date: ","")))</t>
        </is>
      </c>
      <c r="AD311" s="49" t="inlineStr">
        <is>
          <t>IF(OR(F311="",COUNT(AI311:AV311)=0),"",TODAY()-LOOKUP(2,1/(AI311:AV311&lt;&gt;""),AI311:AV311))</t>
        </is>
      </c>
      <c r="AE311" s="49" t="inlineStr">
        <is>
          <t>IF(OR(F311="",COUNT(AI311:AV311)&lt;2),"",LOOKUP(2,1/(AI311:AV311&lt;&gt;""),AI311:AV311)-MIN(AI311:AV311))</t>
        </is>
      </c>
      <c r="AF311" s="49" t="inlineStr">
        <is>
          <t>IF(OR(AD311="",AC311="Not started",AC311=""),"",IFERROR(AD311-IF(VLOOKUP(AC311,'06_Status_Pipeline'!$B$3:$E$20,4,FALSE)="",0,VLOOKUP(AC311,'06_Status_Pipeline'!$B$3:$E$20,4,FALSE)),""))</t>
        </is>
      </c>
      <c r="AG311" s="42" t="inlineStr">
        <is>
          <t>IF(F311="","",IF(OR(AA311="Cancelled",AC311="Cancelled"),"Cancelled",IF(OR(AC311="Completed / Handover",Y311&lt;&gt;"",Z311&gt;=100),"Completed — on track",IF(O311="Not awarded",IF(U311="",IF(X311="","No planned date",IF(TODAY()&gt;X311,"Behind — past planned date",IF(X311-TODAY()&lt;=30,"At risk — close to off track","On track"))),IF(TODAY()&gt;U311,"Behind — award date passed",IF(U311-TODAY()&lt;=30,"At risk — close to off track","On track"))),IF(X311="","No planned date",IF(AND(TODAY()&gt;X311,OR(Z311="",Z311&lt;100)),"Behind — past end date",IF(AND(T311&lt;&gt;"",X311&lt;&gt;"",Z311&lt;&gt;"",(Z311&lt;100),((TODAY()-T311)/MAX(X311-T311,1)*100)-Z311&gt;15),"Behind — progress lag",IF(AND(X311-TODAY()&lt;=30,X311-TODAY()&gt;=0,OR(Z311="",Z311&lt;90)),"At risk — close to off track","On track"))))))))</t>
        </is>
      </c>
      <c r="AH311" s="49" t="inlineStr">
        <is>
          <t>IF(OR(F311="",AC311="Completed / Handover",AC311="Cancelled"),"",IF(O311="Not awarded",IF(U311&lt;&gt;"",U311-TODAY(),IF(X311="","",X311-TODAY())),IF(X311="","",X311-TODAY())))</t>
        </is>
      </c>
      <c r="AI311" s="47" t="n"/>
      <c r="AJ311" s="47" t="n"/>
      <c r="AK311" s="47" t="n"/>
      <c r="AL311" s="47" t="n"/>
      <c r="AM311" s="47" t="n"/>
      <c r="AN311" s="47" t="n"/>
      <c r="AO311" s="47" t="n"/>
      <c r="AP311" s="47" t="n"/>
      <c r="AQ311" s="47" t="n"/>
      <c r="AR311" s="47" t="n"/>
      <c r="AS311" s="47" t="n"/>
      <c r="AT311" s="50" t="n"/>
      <c r="AU311" s="50" t="n"/>
      <c r="AV311" s="50" t="n"/>
      <c r="AW311" s="49" t="inlineStr">
        <is>
          <t>IF(OR(F311="",AJ311=""),"",IF(COUNT(AI311:AI311)=0,"",AJ311-LOOKUP(2,1/(AI311:AI311&lt;&gt;""),AI311:AI311)))</t>
        </is>
      </c>
      <c r="AX311" s="49" t="inlineStr">
        <is>
          <t>IF(OR(F311="",AK311=""),"",IF(COUNT(AI311:AJ311)=0,"",AK311-LOOKUP(2,1/(AI311:AJ311&lt;&gt;""),AI311:AJ311)))</t>
        </is>
      </c>
      <c r="AY311" s="49" t="inlineStr">
        <is>
          <t>IF(OR(F311="",AL311=""),"",IF(COUNT(AI311:AK311)=0,"",AL311-LOOKUP(2,1/(AI311:AK311&lt;&gt;""),AI311:AK311)))</t>
        </is>
      </c>
      <c r="AZ311" s="49" t="inlineStr">
        <is>
          <t>IF(OR(F311="",AM311=""),"",IF(COUNT(AI311:AL311)=0,"",AM311-LOOKUP(2,1/(AI311:AL311&lt;&gt;""),AI311:AL311)))</t>
        </is>
      </c>
      <c r="BA311" s="49" t="inlineStr">
        <is>
          <t>IF(OR(F311="",AN311=""),"",IF(COUNT(AI311:AM311)=0,"",AN311-LOOKUP(2,1/(AI311:AM311&lt;&gt;""),AI311:AM311)))</t>
        </is>
      </c>
      <c r="BB311" s="49" t="inlineStr">
        <is>
          <t>IF(OR(F311="",AO311=""),"",IF(COUNT(AI311:AN311)=0,"",AO311-LOOKUP(2,1/(AI311:AN311&lt;&gt;""),AI311:AN311)))</t>
        </is>
      </c>
      <c r="BC311" s="49" t="inlineStr">
        <is>
          <t>IF(OR(F311="",AP311=""),"",IF(COUNT(AI311:AO311)=0,"",AP311-LOOKUP(2,1/(AI311:AO311&lt;&gt;""),AI311:AO311)))</t>
        </is>
      </c>
      <c r="BD311" s="49" t="inlineStr">
        <is>
          <t>IF(OR(F311="",AQ311=""),"",IF(COUNT(AI311:AP311)=0,"",AQ311-LOOKUP(2,1/(AI311:AP311&lt;&gt;""),AI311:AP311)))</t>
        </is>
      </c>
      <c r="BE311" s="49" t="inlineStr">
        <is>
          <t>IF(OR(F311="",AR311=""),"",IF(COUNT(AI311:AQ311)=0,"",AR311-LOOKUP(2,1/(AI311:AQ311&lt;&gt;""),AI311:AQ311)))</t>
        </is>
      </c>
      <c r="BF311" s="49" t="inlineStr">
        <is>
          <t>IF(OR(F311="",AS311=""),"",IF(COUNT(AI311:AR311)=0,"",AS311-LOOKUP(2,1/(AI311:AR311&lt;&gt;""),AI311:AR311)))</t>
        </is>
      </c>
      <c r="BG311" s="49" t="inlineStr">
        <is>
          <t>IF(OR(F311="",AT311=""),"",IF(COUNT(AI311:AS311)=0,"",AT311-LOOKUP(2,1/(AI311:AS311&lt;&gt;""),AI311:AS311)))</t>
        </is>
      </c>
      <c r="BH311" s="49" t="inlineStr">
        <is>
          <t>IF(OR(F311="",AU311=""),"",IF(COUNT(AI311:AT311)=0,"",AU311-LOOKUP(2,1/(AI311:AT311&lt;&gt;""),AI311:AT311)))</t>
        </is>
      </c>
      <c r="BI311" s="49" t="inlineStr">
        <is>
          <t>IF(OR(F311="",AV311=""),"",IF(COUNT(AI311:AU311)=0,"",AV311-LOOKUP(2,1/(AI311:AU311&lt;&gt;""),AI311:AU311)))</t>
        </is>
      </c>
      <c r="BJ311" s="51" t="inlineStr">
        <is>
          <t>IF(J311="","All_Provinces",IFERROR(VLOOKUP(J311,'09_Lookups'!$A$4:$B$20,2,FALSE),"All_Provinces"))</t>
        </is>
      </c>
      <c r="BK311" s="51" t="inlineStr">
        <is>
          <t>IF(K311="","All_Districts",IFERROR(VLOOKUP(K311,'09_Lookups'!$E$4:$F$42,2,FALSE),"All_Districts"))</t>
        </is>
      </c>
    </row>
    <row r="312" ht="18" customHeight="1">
      <c r="A312" s="42" t="inlineStr">
        <is>
          <t>IF(F312="","",ROW()-3)</t>
        </is>
      </c>
      <c r="B312" s="52" t="n"/>
      <c r="C312" s="52" t="n"/>
      <c r="D312" s="52" t="n"/>
      <c r="E312" s="52" t="n"/>
      <c r="F312" s="52" t="n"/>
      <c r="G312" s="52" t="n"/>
      <c r="H312" s="52" t="n"/>
      <c r="I312" s="52" t="n"/>
      <c r="J312" s="52" t="n"/>
      <c r="K312" s="52" t="n"/>
      <c r="L312" s="52" t="n"/>
      <c r="M312" s="52" t="n"/>
      <c r="N312" s="52" t="n"/>
      <c r="O312" s="52" t="n"/>
      <c r="P312" s="52" t="n"/>
      <c r="Q312" s="52" t="n"/>
      <c r="R312" s="52" t="n"/>
      <c r="S312" s="53" t="n"/>
      <c r="T312" s="46" t="inlineStr">
        <is>
          <t>IF(AQ312="","",AQ312)</t>
        </is>
      </c>
      <c r="U312" s="54" t="n"/>
      <c r="V312" s="55" t="n"/>
      <c r="W312" s="54" t="n"/>
      <c r="X312" s="46" t="inlineStr">
        <is>
          <t>IF(W312&lt;&gt;"",W312,IF(OR(T312="",V312=""),"",EDATE(T312,V312)))</t>
        </is>
      </c>
      <c r="Y312" s="54" t="n"/>
      <c r="Z312" s="55" t="n"/>
      <c r="AA312" s="52" t="n"/>
      <c r="AB312" s="52" t="n"/>
      <c r="AC312" s="42" t="inlineStr">
        <is>
          <t>IF(F312="","",IF(COUNT(AI312:AV312)=0,IF(AA312="","Not started",AA312),SUBSTITUTE(LOOKUP(2,1/(AI312:AV312&lt;&gt;""),$AI$3:$AV$3),"Date: ","")))</t>
        </is>
      </c>
      <c r="AD312" s="49" t="inlineStr">
        <is>
          <t>IF(OR(F312="",COUNT(AI312:AV312)=0),"",TODAY()-LOOKUP(2,1/(AI312:AV312&lt;&gt;""),AI312:AV312))</t>
        </is>
      </c>
      <c r="AE312" s="49" t="inlineStr">
        <is>
          <t>IF(OR(F312="",COUNT(AI312:AV312)&lt;2),"",LOOKUP(2,1/(AI312:AV312&lt;&gt;""),AI312:AV312)-MIN(AI312:AV312))</t>
        </is>
      </c>
      <c r="AF312" s="49" t="inlineStr">
        <is>
          <t>IF(OR(AD312="",AC312="Not started",AC312=""),"",IFERROR(AD312-IF(VLOOKUP(AC312,'06_Status_Pipeline'!$B$3:$E$20,4,FALSE)="",0,VLOOKUP(AC312,'06_Status_Pipeline'!$B$3:$E$20,4,FALSE)),""))</t>
        </is>
      </c>
      <c r="AG312" s="42" t="inlineStr">
        <is>
          <t>IF(F312="","",IF(OR(AA312="Cancelled",AC312="Cancelled"),"Cancelled",IF(OR(AC312="Completed / Handover",Y312&lt;&gt;"",Z312&gt;=100),"Completed — on track",IF(O312="Not awarded",IF(U312="",IF(X312="","No planned date",IF(TODAY()&gt;X312,"Behind — past planned date",IF(X312-TODAY()&lt;=30,"At risk — close to off track","On track"))),IF(TODAY()&gt;U312,"Behind — award date passed",IF(U312-TODAY()&lt;=30,"At risk — close to off track","On track"))),IF(X312="","No planned date",IF(AND(TODAY()&gt;X312,OR(Z312="",Z312&lt;100)),"Behind — past end date",IF(AND(T312&lt;&gt;"",X312&lt;&gt;"",Z312&lt;&gt;"",(Z312&lt;100),((TODAY()-T312)/MAX(X312-T312,1)*100)-Z312&gt;15),"Behind — progress lag",IF(AND(X312-TODAY()&lt;=30,X312-TODAY()&gt;=0,OR(Z312="",Z312&lt;90)),"At risk — close to off track","On track"))))))))</t>
        </is>
      </c>
      <c r="AH312" s="49" t="inlineStr">
        <is>
          <t>IF(OR(F312="",AC312="Completed / Handover",AC312="Cancelled"),"",IF(O312="Not awarded",IF(U312&lt;&gt;"",U312-TODAY(),IF(X312="","",X312-TODAY())),IF(X312="","",X312-TODAY())))</t>
        </is>
      </c>
      <c r="AI312" s="54" t="n"/>
      <c r="AJ312" s="54" t="n"/>
      <c r="AK312" s="54" t="n"/>
      <c r="AL312" s="54" t="n"/>
      <c r="AM312" s="54" t="n"/>
      <c r="AN312" s="54" t="n"/>
      <c r="AO312" s="54" t="n"/>
      <c r="AP312" s="54" t="n"/>
      <c r="AQ312" s="54" t="n"/>
      <c r="AR312" s="54" t="n"/>
      <c r="AS312" s="54" t="n"/>
      <c r="AT312" s="50" t="n"/>
      <c r="AU312" s="50" t="n"/>
      <c r="AV312" s="50" t="n"/>
      <c r="AW312" s="49" t="inlineStr">
        <is>
          <t>IF(OR(F312="",AJ312=""),"",IF(COUNT(AI312:AI312)=0,"",AJ312-LOOKUP(2,1/(AI312:AI312&lt;&gt;""),AI312:AI312)))</t>
        </is>
      </c>
      <c r="AX312" s="49" t="inlineStr">
        <is>
          <t>IF(OR(F312="",AK312=""),"",IF(COUNT(AI312:AJ312)=0,"",AK312-LOOKUP(2,1/(AI312:AJ312&lt;&gt;""),AI312:AJ312)))</t>
        </is>
      </c>
      <c r="AY312" s="49" t="inlineStr">
        <is>
          <t>IF(OR(F312="",AL312=""),"",IF(COUNT(AI312:AK312)=0,"",AL312-LOOKUP(2,1/(AI312:AK312&lt;&gt;""),AI312:AK312)))</t>
        </is>
      </c>
      <c r="AZ312" s="49" t="inlineStr">
        <is>
          <t>IF(OR(F312="",AM312=""),"",IF(COUNT(AI312:AL312)=0,"",AM312-LOOKUP(2,1/(AI312:AL312&lt;&gt;""),AI312:AL312)))</t>
        </is>
      </c>
      <c r="BA312" s="49" t="inlineStr">
        <is>
          <t>IF(OR(F312="",AN312=""),"",IF(COUNT(AI312:AM312)=0,"",AN312-LOOKUP(2,1/(AI312:AM312&lt;&gt;""),AI312:AM312)))</t>
        </is>
      </c>
      <c r="BB312" s="49" t="inlineStr">
        <is>
          <t>IF(OR(F312="",AO312=""),"",IF(COUNT(AI312:AN312)=0,"",AO312-LOOKUP(2,1/(AI312:AN312&lt;&gt;""),AI312:AN312)))</t>
        </is>
      </c>
      <c r="BC312" s="49" t="inlineStr">
        <is>
          <t>IF(OR(F312="",AP312=""),"",IF(COUNT(AI312:AO312)=0,"",AP312-LOOKUP(2,1/(AI312:AO312&lt;&gt;""),AI312:AO312)))</t>
        </is>
      </c>
      <c r="BD312" s="49" t="inlineStr">
        <is>
          <t>IF(OR(F312="",AQ312=""),"",IF(COUNT(AI312:AP312)=0,"",AQ312-LOOKUP(2,1/(AI312:AP312&lt;&gt;""),AI312:AP312)))</t>
        </is>
      </c>
      <c r="BE312" s="49" t="inlineStr">
        <is>
          <t>IF(OR(F312="",AR312=""),"",IF(COUNT(AI312:AQ312)=0,"",AR312-LOOKUP(2,1/(AI312:AQ312&lt;&gt;""),AI312:AQ312)))</t>
        </is>
      </c>
      <c r="BF312" s="49" t="inlineStr">
        <is>
          <t>IF(OR(F312="",AS312=""),"",IF(COUNT(AI312:AR312)=0,"",AS312-LOOKUP(2,1/(AI312:AR312&lt;&gt;""),AI312:AR312)))</t>
        </is>
      </c>
      <c r="BG312" s="49" t="inlineStr">
        <is>
          <t>IF(OR(F312="",AT312=""),"",IF(COUNT(AI312:AS312)=0,"",AT312-LOOKUP(2,1/(AI312:AS312&lt;&gt;""),AI312:AS312)))</t>
        </is>
      </c>
      <c r="BH312" s="49" t="inlineStr">
        <is>
          <t>IF(OR(F312="",AU312=""),"",IF(COUNT(AI312:AT312)=0,"",AU312-LOOKUP(2,1/(AI312:AT312&lt;&gt;""),AI312:AT312)))</t>
        </is>
      </c>
      <c r="BI312" s="49" t="inlineStr">
        <is>
          <t>IF(OR(F312="",AV312=""),"",IF(COUNT(AI312:AU312)=0,"",AV312-LOOKUP(2,1/(AI312:AU312&lt;&gt;""),AI312:AU312)))</t>
        </is>
      </c>
      <c r="BJ312" s="51" t="inlineStr">
        <is>
          <t>IF(J312="","All_Provinces",IFERROR(VLOOKUP(J312,'09_Lookups'!$A$4:$B$20,2,FALSE),"All_Provinces"))</t>
        </is>
      </c>
      <c r="BK312" s="51" t="inlineStr">
        <is>
          <t>IF(K312="","All_Districts",IFERROR(VLOOKUP(K312,'09_Lookups'!$E$4:$F$42,2,FALSE),"All_Districts"))</t>
        </is>
      </c>
    </row>
    <row r="313" ht="18" customHeight="1">
      <c r="A313" s="42" t="inlineStr">
        <is>
          <t>IF(F313="","",ROW()-3)</t>
        </is>
      </c>
      <c r="B313" s="44" t="n"/>
      <c r="C313" s="44" t="n"/>
      <c r="D313" s="44" t="n"/>
      <c r="E313" s="44" t="n"/>
      <c r="F313" s="44" t="n"/>
      <c r="G313" s="44" t="n"/>
      <c r="H313" s="44" t="n"/>
      <c r="I313" s="44" t="n"/>
      <c r="J313" s="44" t="n"/>
      <c r="K313" s="44" t="n"/>
      <c r="L313" s="44" t="n"/>
      <c r="M313" s="44" t="n"/>
      <c r="N313" s="44" t="n"/>
      <c r="O313" s="44" t="n"/>
      <c r="P313" s="44" t="n"/>
      <c r="Q313" s="44" t="n"/>
      <c r="R313" s="44" t="n"/>
      <c r="S313" s="45" t="n"/>
      <c r="T313" s="46" t="inlineStr">
        <is>
          <t>IF(AQ313="","",AQ313)</t>
        </is>
      </c>
      <c r="U313" s="47" t="n"/>
      <c r="V313" s="48" t="n"/>
      <c r="W313" s="47" t="n"/>
      <c r="X313" s="46" t="inlineStr">
        <is>
          <t>IF(W313&lt;&gt;"",W313,IF(OR(T313="",V313=""),"",EDATE(T313,V313)))</t>
        </is>
      </c>
      <c r="Y313" s="47" t="n"/>
      <c r="Z313" s="48" t="n"/>
      <c r="AA313" s="44" t="n"/>
      <c r="AB313" s="44" t="n"/>
      <c r="AC313" s="42" t="inlineStr">
        <is>
          <t>IF(F313="","",IF(COUNT(AI313:AV313)=0,IF(AA313="","Not started",AA313),SUBSTITUTE(LOOKUP(2,1/(AI313:AV313&lt;&gt;""),$AI$3:$AV$3),"Date: ","")))</t>
        </is>
      </c>
      <c r="AD313" s="49" t="inlineStr">
        <is>
          <t>IF(OR(F313="",COUNT(AI313:AV313)=0),"",TODAY()-LOOKUP(2,1/(AI313:AV313&lt;&gt;""),AI313:AV313))</t>
        </is>
      </c>
      <c r="AE313" s="49" t="inlineStr">
        <is>
          <t>IF(OR(F313="",COUNT(AI313:AV313)&lt;2),"",LOOKUP(2,1/(AI313:AV313&lt;&gt;""),AI313:AV313)-MIN(AI313:AV313))</t>
        </is>
      </c>
      <c r="AF313" s="49" t="inlineStr">
        <is>
          <t>IF(OR(AD313="",AC313="Not started",AC313=""),"",IFERROR(AD313-IF(VLOOKUP(AC313,'06_Status_Pipeline'!$B$3:$E$20,4,FALSE)="",0,VLOOKUP(AC313,'06_Status_Pipeline'!$B$3:$E$20,4,FALSE)),""))</t>
        </is>
      </c>
      <c r="AG313" s="42" t="inlineStr">
        <is>
          <t>IF(F313="","",IF(OR(AA313="Cancelled",AC313="Cancelled"),"Cancelled",IF(OR(AC313="Completed / Handover",Y313&lt;&gt;"",Z313&gt;=100),"Completed — on track",IF(O313="Not awarded",IF(U313="",IF(X313="","No planned date",IF(TODAY()&gt;X313,"Behind — past planned date",IF(X313-TODAY()&lt;=30,"At risk — close to off track","On track"))),IF(TODAY()&gt;U313,"Behind — award date passed",IF(U313-TODAY()&lt;=30,"At risk — close to off track","On track"))),IF(X313="","No planned date",IF(AND(TODAY()&gt;X313,OR(Z313="",Z313&lt;100)),"Behind — past end date",IF(AND(T313&lt;&gt;"",X313&lt;&gt;"",Z313&lt;&gt;"",(Z313&lt;100),((TODAY()-T313)/MAX(X313-T313,1)*100)-Z313&gt;15),"Behind — progress lag",IF(AND(X313-TODAY()&lt;=30,X313-TODAY()&gt;=0,OR(Z313="",Z313&lt;90)),"At risk — close to off track","On track"))))))))</t>
        </is>
      </c>
      <c r="AH313" s="49" t="inlineStr">
        <is>
          <t>IF(OR(F313="",AC313="Completed / Handover",AC313="Cancelled"),"",IF(O313="Not awarded",IF(U313&lt;&gt;"",U313-TODAY(),IF(X313="","",X313-TODAY())),IF(X313="","",X313-TODAY())))</t>
        </is>
      </c>
      <c r="AI313" s="47" t="n"/>
      <c r="AJ313" s="47" t="n"/>
      <c r="AK313" s="47" t="n"/>
      <c r="AL313" s="47" t="n"/>
      <c r="AM313" s="47" t="n"/>
      <c r="AN313" s="47" t="n"/>
      <c r="AO313" s="47" t="n"/>
      <c r="AP313" s="47" t="n"/>
      <c r="AQ313" s="47" t="n"/>
      <c r="AR313" s="47" t="n"/>
      <c r="AS313" s="47" t="n"/>
      <c r="AT313" s="50" t="n"/>
      <c r="AU313" s="50" t="n"/>
      <c r="AV313" s="50" t="n"/>
      <c r="AW313" s="49" t="inlineStr">
        <is>
          <t>IF(OR(F313="",AJ313=""),"",IF(COUNT(AI313:AI313)=0,"",AJ313-LOOKUP(2,1/(AI313:AI313&lt;&gt;""),AI313:AI313)))</t>
        </is>
      </c>
      <c r="AX313" s="49" t="inlineStr">
        <is>
          <t>IF(OR(F313="",AK313=""),"",IF(COUNT(AI313:AJ313)=0,"",AK313-LOOKUP(2,1/(AI313:AJ313&lt;&gt;""),AI313:AJ313)))</t>
        </is>
      </c>
      <c r="AY313" s="49" t="inlineStr">
        <is>
          <t>IF(OR(F313="",AL313=""),"",IF(COUNT(AI313:AK313)=0,"",AL313-LOOKUP(2,1/(AI313:AK313&lt;&gt;""),AI313:AK313)))</t>
        </is>
      </c>
      <c r="AZ313" s="49" t="inlineStr">
        <is>
          <t>IF(OR(F313="",AM313=""),"",IF(COUNT(AI313:AL313)=0,"",AM313-LOOKUP(2,1/(AI313:AL313&lt;&gt;""),AI313:AL313)))</t>
        </is>
      </c>
      <c r="BA313" s="49" t="inlineStr">
        <is>
          <t>IF(OR(F313="",AN313=""),"",IF(COUNT(AI313:AM313)=0,"",AN313-LOOKUP(2,1/(AI313:AM313&lt;&gt;""),AI313:AM313)))</t>
        </is>
      </c>
      <c r="BB313" s="49" t="inlineStr">
        <is>
          <t>IF(OR(F313="",AO313=""),"",IF(COUNT(AI313:AN313)=0,"",AO313-LOOKUP(2,1/(AI313:AN313&lt;&gt;""),AI313:AN313)))</t>
        </is>
      </c>
      <c r="BC313" s="49" t="inlineStr">
        <is>
          <t>IF(OR(F313="",AP313=""),"",IF(COUNT(AI313:AO313)=0,"",AP313-LOOKUP(2,1/(AI313:AO313&lt;&gt;""),AI313:AO313)))</t>
        </is>
      </c>
      <c r="BD313" s="49" t="inlineStr">
        <is>
          <t>IF(OR(F313="",AQ313=""),"",IF(COUNT(AI313:AP313)=0,"",AQ313-LOOKUP(2,1/(AI313:AP313&lt;&gt;""),AI313:AP313)))</t>
        </is>
      </c>
      <c r="BE313" s="49" t="inlineStr">
        <is>
          <t>IF(OR(F313="",AR313=""),"",IF(COUNT(AI313:AQ313)=0,"",AR313-LOOKUP(2,1/(AI313:AQ313&lt;&gt;""),AI313:AQ313)))</t>
        </is>
      </c>
      <c r="BF313" s="49" t="inlineStr">
        <is>
          <t>IF(OR(F313="",AS313=""),"",IF(COUNT(AI313:AR313)=0,"",AS313-LOOKUP(2,1/(AI313:AR313&lt;&gt;""),AI313:AR313)))</t>
        </is>
      </c>
      <c r="BG313" s="49" t="inlineStr">
        <is>
          <t>IF(OR(F313="",AT313=""),"",IF(COUNT(AI313:AS313)=0,"",AT313-LOOKUP(2,1/(AI313:AS313&lt;&gt;""),AI313:AS313)))</t>
        </is>
      </c>
      <c r="BH313" s="49" t="inlineStr">
        <is>
          <t>IF(OR(F313="",AU313=""),"",IF(COUNT(AI313:AT313)=0,"",AU313-LOOKUP(2,1/(AI313:AT313&lt;&gt;""),AI313:AT313)))</t>
        </is>
      </c>
      <c r="BI313" s="49" t="inlineStr">
        <is>
          <t>IF(OR(F313="",AV313=""),"",IF(COUNT(AI313:AU313)=0,"",AV313-LOOKUP(2,1/(AI313:AU313&lt;&gt;""),AI313:AU313)))</t>
        </is>
      </c>
      <c r="BJ313" s="51" t="inlineStr">
        <is>
          <t>IF(J313="","All_Provinces",IFERROR(VLOOKUP(J313,'09_Lookups'!$A$4:$B$20,2,FALSE),"All_Provinces"))</t>
        </is>
      </c>
      <c r="BK313" s="51" t="inlineStr">
        <is>
          <t>IF(K313="","All_Districts",IFERROR(VLOOKUP(K313,'09_Lookups'!$E$4:$F$42,2,FALSE),"All_Districts"))</t>
        </is>
      </c>
    </row>
    <row r="314" ht="18" customHeight="1">
      <c r="A314" s="42" t="inlineStr">
        <is>
          <t>IF(F314="","",ROW()-3)</t>
        </is>
      </c>
      <c r="B314" s="52" t="n"/>
      <c r="C314" s="52" t="n"/>
      <c r="D314" s="52" t="n"/>
      <c r="E314" s="52" t="n"/>
      <c r="F314" s="52" t="n"/>
      <c r="G314" s="52" t="n"/>
      <c r="H314" s="52" t="n"/>
      <c r="I314" s="52" t="n"/>
      <c r="J314" s="52" t="n"/>
      <c r="K314" s="52" t="n"/>
      <c r="L314" s="52" t="n"/>
      <c r="M314" s="52" t="n"/>
      <c r="N314" s="52" t="n"/>
      <c r="O314" s="52" t="n"/>
      <c r="P314" s="52" t="n"/>
      <c r="Q314" s="52" t="n"/>
      <c r="R314" s="52" t="n"/>
      <c r="S314" s="53" t="n"/>
      <c r="T314" s="46" t="inlineStr">
        <is>
          <t>IF(AQ314="","",AQ314)</t>
        </is>
      </c>
      <c r="U314" s="54" t="n"/>
      <c r="V314" s="55" t="n"/>
      <c r="W314" s="54" t="n"/>
      <c r="X314" s="46" t="inlineStr">
        <is>
          <t>IF(W314&lt;&gt;"",W314,IF(OR(T314="",V314=""),"",EDATE(T314,V314)))</t>
        </is>
      </c>
      <c r="Y314" s="54" t="n"/>
      <c r="Z314" s="55" t="n"/>
      <c r="AA314" s="52" t="n"/>
      <c r="AB314" s="52" t="n"/>
      <c r="AC314" s="42" t="inlineStr">
        <is>
          <t>IF(F314="","",IF(COUNT(AI314:AV314)=0,IF(AA314="","Not started",AA314),SUBSTITUTE(LOOKUP(2,1/(AI314:AV314&lt;&gt;""),$AI$3:$AV$3),"Date: ","")))</t>
        </is>
      </c>
      <c r="AD314" s="49" t="inlineStr">
        <is>
          <t>IF(OR(F314="",COUNT(AI314:AV314)=0),"",TODAY()-LOOKUP(2,1/(AI314:AV314&lt;&gt;""),AI314:AV314))</t>
        </is>
      </c>
      <c r="AE314" s="49" t="inlineStr">
        <is>
          <t>IF(OR(F314="",COUNT(AI314:AV314)&lt;2),"",LOOKUP(2,1/(AI314:AV314&lt;&gt;""),AI314:AV314)-MIN(AI314:AV314))</t>
        </is>
      </c>
      <c r="AF314" s="49" t="inlineStr">
        <is>
          <t>IF(OR(AD314="",AC314="Not started",AC314=""),"",IFERROR(AD314-IF(VLOOKUP(AC314,'06_Status_Pipeline'!$B$3:$E$20,4,FALSE)="",0,VLOOKUP(AC314,'06_Status_Pipeline'!$B$3:$E$20,4,FALSE)),""))</t>
        </is>
      </c>
      <c r="AG314" s="42" t="inlineStr">
        <is>
          <t>IF(F314="","",IF(OR(AA314="Cancelled",AC314="Cancelled"),"Cancelled",IF(OR(AC314="Completed / Handover",Y314&lt;&gt;"",Z314&gt;=100),"Completed — on track",IF(O314="Not awarded",IF(U314="",IF(X314="","No planned date",IF(TODAY()&gt;X314,"Behind — past planned date",IF(X314-TODAY()&lt;=30,"At risk — close to off track","On track"))),IF(TODAY()&gt;U314,"Behind — award date passed",IF(U314-TODAY()&lt;=30,"At risk — close to off track","On track"))),IF(X314="","No planned date",IF(AND(TODAY()&gt;X314,OR(Z314="",Z314&lt;100)),"Behind — past end date",IF(AND(T314&lt;&gt;"",X314&lt;&gt;"",Z314&lt;&gt;"",(Z314&lt;100),((TODAY()-T314)/MAX(X314-T314,1)*100)-Z314&gt;15),"Behind — progress lag",IF(AND(X314-TODAY()&lt;=30,X314-TODAY()&gt;=0,OR(Z314="",Z314&lt;90)),"At risk — close to off track","On track"))))))))</t>
        </is>
      </c>
      <c r="AH314" s="49" t="inlineStr">
        <is>
          <t>IF(OR(F314="",AC314="Completed / Handover",AC314="Cancelled"),"",IF(O314="Not awarded",IF(U314&lt;&gt;"",U314-TODAY(),IF(X314="","",X314-TODAY())),IF(X314="","",X314-TODAY())))</t>
        </is>
      </c>
      <c r="AI314" s="54" t="n"/>
      <c r="AJ314" s="54" t="n"/>
      <c r="AK314" s="54" t="n"/>
      <c r="AL314" s="54" t="n"/>
      <c r="AM314" s="54" t="n"/>
      <c r="AN314" s="54" t="n"/>
      <c r="AO314" s="54" t="n"/>
      <c r="AP314" s="54" t="n"/>
      <c r="AQ314" s="54" t="n"/>
      <c r="AR314" s="54" t="n"/>
      <c r="AS314" s="54" t="n"/>
      <c r="AT314" s="50" t="n"/>
      <c r="AU314" s="50" t="n"/>
      <c r="AV314" s="50" t="n"/>
      <c r="AW314" s="49" t="inlineStr">
        <is>
          <t>IF(OR(F314="",AJ314=""),"",IF(COUNT(AI314:AI314)=0,"",AJ314-LOOKUP(2,1/(AI314:AI314&lt;&gt;""),AI314:AI314)))</t>
        </is>
      </c>
      <c r="AX314" s="49" t="inlineStr">
        <is>
          <t>IF(OR(F314="",AK314=""),"",IF(COUNT(AI314:AJ314)=0,"",AK314-LOOKUP(2,1/(AI314:AJ314&lt;&gt;""),AI314:AJ314)))</t>
        </is>
      </c>
      <c r="AY314" s="49" t="inlineStr">
        <is>
          <t>IF(OR(F314="",AL314=""),"",IF(COUNT(AI314:AK314)=0,"",AL314-LOOKUP(2,1/(AI314:AK314&lt;&gt;""),AI314:AK314)))</t>
        </is>
      </c>
      <c r="AZ314" s="49" t="inlineStr">
        <is>
          <t>IF(OR(F314="",AM314=""),"",IF(COUNT(AI314:AL314)=0,"",AM314-LOOKUP(2,1/(AI314:AL314&lt;&gt;""),AI314:AL314)))</t>
        </is>
      </c>
      <c r="BA314" s="49" t="inlineStr">
        <is>
          <t>IF(OR(F314="",AN314=""),"",IF(COUNT(AI314:AM314)=0,"",AN314-LOOKUP(2,1/(AI314:AM314&lt;&gt;""),AI314:AM314)))</t>
        </is>
      </c>
      <c r="BB314" s="49" t="inlineStr">
        <is>
          <t>IF(OR(F314="",AO314=""),"",IF(COUNT(AI314:AN314)=0,"",AO314-LOOKUP(2,1/(AI314:AN314&lt;&gt;""),AI314:AN314)))</t>
        </is>
      </c>
      <c r="BC314" s="49" t="inlineStr">
        <is>
          <t>IF(OR(F314="",AP314=""),"",IF(COUNT(AI314:AO314)=0,"",AP314-LOOKUP(2,1/(AI314:AO314&lt;&gt;""),AI314:AO314)))</t>
        </is>
      </c>
      <c r="BD314" s="49" t="inlineStr">
        <is>
          <t>IF(OR(F314="",AQ314=""),"",IF(COUNT(AI314:AP314)=0,"",AQ314-LOOKUP(2,1/(AI314:AP314&lt;&gt;""),AI314:AP314)))</t>
        </is>
      </c>
      <c r="BE314" s="49" t="inlineStr">
        <is>
          <t>IF(OR(F314="",AR314=""),"",IF(COUNT(AI314:AQ314)=0,"",AR314-LOOKUP(2,1/(AI314:AQ314&lt;&gt;""),AI314:AQ314)))</t>
        </is>
      </c>
      <c r="BF314" s="49" t="inlineStr">
        <is>
          <t>IF(OR(F314="",AS314=""),"",IF(COUNT(AI314:AR314)=0,"",AS314-LOOKUP(2,1/(AI314:AR314&lt;&gt;""),AI314:AR314)))</t>
        </is>
      </c>
      <c r="BG314" s="49" t="inlineStr">
        <is>
          <t>IF(OR(F314="",AT314=""),"",IF(COUNT(AI314:AS314)=0,"",AT314-LOOKUP(2,1/(AI314:AS314&lt;&gt;""),AI314:AS314)))</t>
        </is>
      </c>
      <c r="BH314" s="49" t="inlineStr">
        <is>
          <t>IF(OR(F314="",AU314=""),"",IF(COUNT(AI314:AT314)=0,"",AU314-LOOKUP(2,1/(AI314:AT314&lt;&gt;""),AI314:AT314)))</t>
        </is>
      </c>
      <c r="BI314" s="49" t="inlineStr">
        <is>
          <t>IF(OR(F314="",AV314=""),"",IF(COUNT(AI314:AU314)=0,"",AV314-LOOKUP(2,1/(AI314:AU314&lt;&gt;""),AI314:AU314)))</t>
        </is>
      </c>
      <c r="BJ314" s="51" t="inlineStr">
        <is>
          <t>IF(J314="","All_Provinces",IFERROR(VLOOKUP(J314,'09_Lookups'!$A$4:$B$20,2,FALSE),"All_Provinces"))</t>
        </is>
      </c>
      <c r="BK314" s="51" t="inlineStr">
        <is>
          <t>IF(K314="","All_Districts",IFERROR(VLOOKUP(K314,'09_Lookups'!$E$4:$F$42,2,FALSE),"All_Districts"))</t>
        </is>
      </c>
    </row>
    <row r="315" ht="18" customHeight="1">
      <c r="A315" s="42" t="inlineStr">
        <is>
          <t>IF(F315="","",ROW()-3)</t>
        </is>
      </c>
      <c r="B315" s="44" t="n"/>
      <c r="C315" s="44" t="n"/>
      <c r="D315" s="44" t="n"/>
      <c r="E315" s="44" t="n"/>
      <c r="F315" s="44" t="n"/>
      <c r="G315" s="44" t="n"/>
      <c r="H315" s="44" t="n"/>
      <c r="I315" s="44" t="n"/>
      <c r="J315" s="44" t="n"/>
      <c r="K315" s="44" t="n"/>
      <c r="L315" s="44" t="n"/>
      <c r="M315" s="44" t="n"/>
      <c r="N315" s="44" t="n"/>
      <c r="O315" s="44" t="n"/>
      <c r="P315" s="44" t="n"/>
      <c r="Q315" s="44" t="n"/>
      <c r="R315" s="44" t="n"/>
      <c r="S315" s="45" t="n"/>
      <c r="T315" s="46" t="inlineStr">
        <is>
          <t>IF(AQ315="","",AQ315)</t>
        </is>
      </c>
      <c r="U315" s="47" t="n"/>
      <c r="V315" s="48" t="n"/>
      <c r="W315" s="47" t="n"/>
      <c r="X315" s="46" t="inlineStr">
        <is>
          <t>IF(W315&lt;&gt;"",W315,IF(OR(T315="",V315=""),"",EDATE(T315,V315)))</t>
        </is>
      </c>
      <c r="Y315" s="47" t="n"/>
      <c r="Z315" s="48" t="n"/>
      <c r="AA315" s="44" t="n"/>
      <c r="AB315" s="44" t="n"/>
      <c r="AC315" s="42" t="inlineStr">
        <is>
          <t>IF(F315="","",IF(COUNT(AI315:AV315)=0,IF(AA315="","Not started",AA315),SUBSTITUTE(LOOKUP(2,1/(AI315:AV315&lt;&gt;""),$AI$3:$AV$3),"Date: ","")))</t>
        </is>
      </c>
      <c r="AD315" s="49" t="inlineStr">
        <is>
          <t>IF(OR(F315="",COUNT(AI315:AV315)=0),"",TODAY()-LOOKUP(2,1/(AI315:AV315&lt;&gt;""),AI315:AV315))</t>
        </is>
      </c>
      <c r="AE315" s="49" t="inlineStr">
        <is>
          <t>IF(OR(F315="",COUNT(AI315:AV315)&lt;2),"",LOOKUP(2,1/(AI315:AV315&lt;&gt;""),AI315:AV315)-MIN(AI315:AV315))</t>
        </is>
      </c>
      <c r="AF315" s="49" t="inlineStr">
        <is>
          <t>IF(OR(AD315="",AC315="Not started",AC315=""),"",IFERROR(AD315-IF(VLOOKUP(AC315,'06_Status_Pipeline'!$B$3:$E$20,4,FALSE)="",0,VLOOKUP(AC315,'06_Status_Pipeline'!$B$3:$E$20,4,FALSE)),""))</t>
        </is>
      </c>
      <c r="AG315" s="42" t="inlineStr">
        <is>
          <t>IF(F315="","",IF(OR(AA315="Cancelled",AC315="Cancelled"),"Cancelled",IF(OR(AC315="Completed / Handover",Y315&lt;&gt;"",Z315&gt;=100),"Completed — on track",IF(O315="Not awarded",IF(U315="",IF(X315="","No planned date",IF(TODAY()&gt;X315,"Behind — past planned date",IF(X315-TODAY()&lt;=30,"At risk — close to off track","On track"))),IF(TODAY()&gt;U315,"Behind — award date passed",IF(U315-TODAY()&lt;=30,"At risk — close to off track","On track"))),IF(X315="","No planned date",IF(AND(TODAY()&gt;X315,OR(Z315="",Z315&lt;100)),"Behind — past end date",IF(AND(T315&lt;&gt;"",X315&lt;&gt;"",Z315&lt;&gt;"",(Z315&lt;100),((TODAY()-T315)/MAX(X315-T315,1)*100)-Z315&gt;15),"Behind — progress lag",IF(AND(X315-TODAY()&lt;=30,X315-TODAY()&gt;=0,OR(Z315="",Z315&lt;90)),"At risk — close to off track","On track"))))))))</t>
        </is>
      </c>
      <c r="AH315" s="49" t="inlineStr">
        <is>
          <t>IF(OR(F315="",AC315="Completed / Handover",AC315="Cancelled"),"",IF(O315="Not awarded",IF(U315&lt;&gt;"",U315-TODAY(),IF(X315="","",X315-TODAY())),IF(X315="","",X315-TODAY())))</t>
        </is>
      </c>
      <c r="AI315" s="47" t="n"/>
      <c r="AJ315" s="47" t="n"/>
      <c r="AK315" s="47" t="n"/>
      <c r="AL315" s="47" t="n"/>
      <c r="AM315" s="47" t="n"/>
      <c r="AN315" s="47" t="n"/>
      <c r="AO315" s="47" t="n"/>
      <c r="AP315" s="47" t="n"/>
      <c r="AQ315" s="47" t="n"/>
      <c r="AR315" s="47" t="n"/>
      <c r="AS315" s="47" t="n"/>
      <c r="AT315" s="50" t="n"/>
      <c r="AU315" s="50" t="n"/>
      <c r="AV315" s="50" t="n"/>
      <c r="AW315" s="49" t="inlineStr">
        <is>
          <t>IF(OR(F315="",AJ315=""),"",IF(COUNT(AI315:AI315)=0,"",AJ315-LOOKUP(2,1/(AI315:AI315&lt;&gt;""),AI315:AI315)))</t>
        </is>
      </c>
      <c r="AX315" s="49" t="inlineStr">
        <is>
          <t>IF(OR(F315="",AK315=""),"",IF(COUNT(AI315:AJ315)=0,"",AK315-LOOKUP(2,1/(AI315:AJ315&lt;&gt;""),AI315:AJ315)))</t>
        </is>
      </c>
      <c r="AY315" s="49" t="inlineStr">
        <is>
          <t>IF(OR(F315="",AL315=""),"",IF(COUNT(AI315:AK315)=0,"",AL315-LOOKUP(2,1/(AI315:AK315&lt;&gt;""),AI315:AK315)))</t>
        </is>
      </c>
      <c r="AZ315" s="49" t="inlineStr">
        <is>
          <t>IF(OR(F315="",AM315=""),"",IF(COUNT(AI315:AL315)=0,"",AM315-LOOKUP(2,1/(AI315:AL315&lt;&gt;""),AI315:AL315)))</t>
        </is>
      </c>
      <c r="BA315" s="49" t="inlineStr">
        <is>
          <t>IF(OR(F315="",AN315=""),"",IF(COUNT(AI315:AM315)=0,"",AN315-LOOKUP(2,1/(AI315:AM315&lt;&gt;""),AI315:AM315)))</t>
        </is>
      </c>
      <c r="BB315" s="49" t="inlineStr">
        <is>
          <t>IF(OR(F315="",AO315=""),"",IF(COUNT(AI315:AN315)=0,"",AO315-LOOKUP(2,1/(AI315:AN315&lt;&gt;""),AI315:AN315)))</t>
        </is>
      </c>
      <c r="BC315" s="49" t="inlineStr">
        <is>
          <t>IF(OR(F315="",AP315=""),"",IF(COUNT(AI315:AO315)=0,"",AP315-LOOKUP(2,1/(AI315:AO315&lt;&gt;""),AI315:AO315)))</t>
        </is>
      </c>
      <c r="BD315" s="49" t="inlineStr">
        <is>
          <t>IF(OR(F315="",AQ315=""),"",IF(COUNT(AI315:AP315)=0,"",AQ315-LOOKUP(2,1/(AI315:AP315&lt;&gt;""),AI315:AP315)))</t>
        </is>
      </c>
      <c r="BE315" s="49" t="inlineStr">
        <is>
          <t>IF(OR(F315="",AR315=""),"",IF(COUNT(AI315:AQ315)=0,"",AR315-LOOKUP(2,1/(AI315:AQ315&lt;&gt;""),AI315:AQ315)))</t>
        </is>
      </c>
      <c r="BF315" s="49" t="inlineStr">
        <is>
          <t>IF(OR(F315="",AS315=""),"",IF(COUNT(AI315:AR315)=0,"",AS315-LOOKUP(2,1/(AI315:AR315&lt;&gt;""),AI315:AR315)))</t>
        </is>
      </c>
      <c r="BG315" s="49" t="inlineStr">
        <is>
          <t>IF(OR(F315="",AT315=""),"",IF(COUNT(AI315:AS315)=0,"",AT315-LOOKUP(2,1/(AI315:AS315&lt;&gt;""),AI315:AS315)))</t>
        </is>
      </c>
      <c r="BH315" s="49" t="inlineStr">
        <is>
          <t>IF(OR(F315="",AU315=""),"",IF(COUNT(AI315:AT315)=0,"",AU315-LOOKUP(2,1/(AI315:AT315&lt;&gt;""),AI315:AT315)))</t>
        </is>
      </c>
      <c r="BI315" s="49" t="inlineStr">
        <is>
          <t>IF(OR(F315="",AV315=""),"",IF(COUNT(AI315:AU315)=0,"",AV315-LOOKUP(2,1/(AI315:AU315&lt;&gt;""),AI315:AU315)))</t>
        </is>
      </c>
      <c r="BJ315" s="51" t="inlineStr">
        <is>
          <t>IF(J315="","All_Provinces",IFERROR(VLOOKUP(J315,'09_Lookups'!$A$4:$B$20,2,FALSE),"All_Provinces"))</t>
        </is>
      </c>
      <c r="BK315" s="51" t="inlineStr">
        <is>
          <t>IF(K315="","All_Districts",IFERROR(VLOOKUP(K315,'09_Lookups'!$E$4:$F$42,2,FALSE),"All_Districts"))</t>
        </is>
      </c>
    </row>
    <row r="316" ht="18" customHeight="1">
      <c r="A316" s="42" t="inlineStr">
        <is>
          <t>IF(F316="","",ROW()-3)</t>
        </is>
      </c>
      <c r="B316" s="52" t="n"/>
      <c r="C316" s="52" t="n"/>
      <c r="D316" s="52" t="n"/>
      <c r="E316" s="52" t="n"/>
      <c r="F316" s="52" t="n"/>
      <c r="G316" s="52" t="n"/>
      <c r="H316" s="52" t="n"/>
      <c r="I316" s="52" t="n"/>
      <c r="J316" s="52" t="n"/>
      <c r="K316" s="52" t="n"/>
      <c r="L316" s="52" t="n"/>
      <c r="M316" s="52" t="n"/>
      <c r="N316" s="52" t="n"/>
      <c r="O316" s="52" t="n"/>
      <c r="P316" s="52" t="n"/>
      <c r="Q316" s="52" t="n"/>
      <c r="R316" s="52" t="n"/>
      <c r="S316" s="53" t="n"/>
      <c r="T316" s="46" t="inlineStr">
        <is>
          <t>IF(AQ316="","",AQ316)</t>
        </is>
      </c>
      <c r="U316" s="54" t="n"/>
      <c r="V316" s="55" t="n"/>
      <c r="W316" s="54" t="n"/>
      <c r="X316" s="46" t="inlineStr">
        <is>
          <t>IF(W316&lt;&gt;"",W316,IF(OR(T316="",V316=""),"",EDATE(T316,V316)))</t>
        </is>
      </c>
      <c r="Y316" s="54" t="n"/>
      <c r="Z316" s="55" t="n"/>
      <c r="AA316" s="52" t="n"/>
      <c r="AB316" s="52" t="n"/>
      <c r="AC316" s="42" t="inlineStr">
        <is>
          <t>IF(F316="","",IF(COUNT(AI316:AV316)=0,IF(AA316="","Not started",AA316),SUBSTITUTE(LOOKUP(2,1/(AI316:AV316&lt;&gt;""),$AI$3:$AV$3),"Date: ","")))</t>
        </is>
      </c>
      <c r="AD316" s="49" t="inlineStr">
        <is>
          <t>IF(OR(F316="",COUNT(AI316:AV316)=0),"",TODAY()-LOOKUP(2,1/(AI316:AV316&lt;&gt;""),AI316:AV316))</t>
        </is>
      </c>
      <c r="AE316" s="49" t="inlineStr">
        <is>
          <t>IF(OR(F316="",COUNT(AI316:AV316)&lt;2),"",LOOKUP(2,1/(AI316:AV316&lt;&gt;""),AI316:AV316)-MIN(AI316:AV316))</t>
        </is>
      </c>
      <c r="AF316" s="49" t="inlineStr">
        <is>
          <t>IF(OR(AD316="",AC316="Not started",AC316=""),"",IFERROR(AD316-IF(VLOOKUP(AC316,'06_Status_Pipeline'!$B$3:$E$20,4,FALSE)="",0,VLOOKUP(AC316,'06_Status_Pipeline'!$B$3:$E$20,4,FALSE)),""))</t>
        </is>
      </c>
      <c r="AG316" s="42" t="inlineStr">
        <is>
          <t>IF(F316="","",IF(OR(AA316="Cancelled",AC316="Cancelled"),"Cancelled",IF(OR(AC316="Completed / Handover",Y316&lt;&gt;"",Z316&gt;=100),"Completed — on track",IF(O316="Not awarded",IF(U316="",IF(X316="","No planned date",IF(TODAY()&gt;X316,"Behind — past planned date",IF(X316-TODAY()&lt;=30,"At risk — close to off track","On track"))),IF(TODAY()&gt;U316,"Behind — award date passed",IF(U316-TODAY()&lt;=30,"At risk — close to off track","On track"))),IF(X316="","No planned date",IF(AND(TODAY()&gt;X316,OR(Z316="",Z316&lt;100)),"Behind — past end date",IF(AND(T316&lt;&gt;"",X316&lt;&gt;"",Z316&lt;&gt;"",(Z316&lt;100),((TODAY()-T316)/MAX(X316-T316,1)*100)-Z316&gt;15),"Behind — progress lag",IF(AND(X316-TODAY()&lt;=30,X316-TODAY()&gt;=0,OR(Z316="",Z316&lt;90)),"At risk — close to off track","On track"))))))))</t>
        </is>
      </c>
      <c r="AH316" s="49" t="inlineStr">
        <is>
          <t>IF(OR(F316="",AC316="Completed / Handover",AC316="Cancelled"),"",IF(O316="Not awarded",IF(U316&lt;&gt;"",U316-TODAY(),IF(X316="","",X316-TODAY())),IF(X316="","",X316-TODAY())))</t>
        </is>
      </c>
      <c r="AI316" s="54" t="n"/>
      <c r="AJ316" s="54" t="n"/>
      <c r="AK316" s="54" t="n"/>
      <c r="AL316" s="54" t="n"/>
      <c r="AM316" s="54" t="n"/>
      <c r="AN316" s="54" t="n"/>
      <c r="AO316" s="54" t="n"/>
      <c r="AP316" s="54" t="n"/>
      <c r="AQ316" s="54" t="n"/>
      <c r="AR316" s="54" t="n"/>
      <c r="AS316" s="54" t="n"/>
      <c r="AT316" s="50" t="n"/>
      <c r="AU316" s="50" t="n"/>
      <c r="AV316" s="50" t="n"/>
      <c r="AW316" s="49" t="inlineStr">
        <is>
          <t>IF(OR(F316="",AJ316=""),"",IF(COUNT(AI316:AI316)=0,"",AJ316-LOOKUP(2,1/(AI316:AI316&lt;&gt;""),AI316:AI316)))</t>
        </is>
      </c>
      <c r="AX316" s="49" t="inlineStr">
        <is>
          <t>IF(OR(F316="",AK316=""),"",IF(COUNT(AI316:AJ316)=0,"",AK316-LOOKUP(2,1/(AI316:AJ316&lt;&gt;""),AI316:AJ316)))</t>
        </is>
      </c>
      <c r="AY316" s="49" t="inlineStr">
        <is>
          <t>IF(OR(F316="",AL316=""),"",IF(COUNT(AI316:AK316)=0,"",AL316-LOOKUP(2,1/(AI316:AK316&lt;&gt;""),AI316:AK316)))</t>
        </is>
      </c>
      <c r="AZ316" s="49" t="inlineStr">
        <is>
          <t>IF(OR(F316="",AM316=""),"",IF(COUNT(AI316:AL316)=0,"",AM316-LOOKUP(2,1/(AI316:AL316&lt;&gt;""),AI316:AL316)))</t>
        </is>
      </c>
      <c r="BA316" s="49" t="inlineStr">
        <is>
          <t>IF(OR(F316="",AN316=""),"",IF(COUNT(AI316:AM316)=0,"",AN316-LOOKUP(2,1/(AI316:AM316&lt;&gt;""),AI316:AM316)))</t>
        </is>
      </c>
      <c r="BB316" s="49" t="inlineStr">
        <is>
          <t>IF(OR(F316="",AO316=""),"",IF(COUNT(AI316:AN316)=0,"",AO316-LOOKUP(2,1/(AI316:AN316&lt;&gt;""),AI316:AN316)))</t>
        </is>
      </c>
      <c r="BC316" s="49" t="inlineStr">
        <is>
          <t>IF(OR(F316="",AP316=""),"",IF(COUNT(AI316:AO316)=0,"",AP316-LOOKUP(2,1/(AI316:AO316&lt;&gt;""),AI316:AO316)))</t>
        </is>
      </c>
      <c r="BD316" s="49" t="inlineStr">
        <is>
          <t>IF(OR(F316="",AQ316=""),"",IF(COUNT(AI316:AP316)=0,"",AQ316-LOOKUP(2,1/(AI316:AP316&lt;&gt;""),AI316:AP316)))</t>
        </is>
      </c>
      <c r="BE316" s="49" t="inlineStr">
        <is>
          <t>IF(OR(F316="",AR316=""),"",IF(COUNT(AI316:AQ316)=0,"",AR316-LOOKUP(2,1/(AI316:AQ316&lt;&gt;""),AI316:AQ316)))</t>
        </is>
      </c>
      <c r="BF316" s="49" t="inlineStr">
        <is>
          <t>IF(OR(F316="",AS316=""),"",IF(COUNT(AI316:AR316)=0,"",AS316-LOOKUP(2,1/(AI316:AR316&lt;&gt;""),AI316:AR316)))</t>
        </is>
      </c>
      <c r="BG316" s="49" t="inlineStr">
        <is>
          <t>IF(OR(F316="",AT316=""),"",IF(COUNT(AI316:AS316)=0,"",AT316-LOOKUP(2,1/(AI316:AS316&lt;&gt;""),AI316:AS316)))</t>
        </is>
      </c>
      <c r="BH316" s="49" t="inlineStr">
        <is>
          <t>IF(OR(F316="",AU316=""),"",IF(COUNT(AI316:AT316)=0,"",AU316-LOOKUP(2,1/(AI316:AT316&lt;&gt;""),AI316:AT316)))</t>
        </is>
      </c>
      <c r="BI316" s="49" t="inlineStr">
        <is>
          <t>IF(OR(F316="",AV316=""),"",IF(COUNT(AI316:AU316)=0,"",AV316-LOOKUP(2,1/(AI316:AU316&lt;&gt;""),AI316:AU316)))</t>
        </is>
      </c>
      <c r="BJ316" s="51" t="inlineStr">
        <is>
          <t>IF(J316="","All_Provinces",IFERROR(VLOOKUP(J316,'09_Lookups'!$A$4:$B$20,2,FALSE),"All_Provinces"))</t>
        </is>
      </c>
      <c r="BK316" s="51" t="inlineStr">
        <is>
          <t>IF(K316="","All_Districts",IFERROR(VLOOKUP(K316,'09_Lookups'!$E$4:$F$42,2,FALSE),"All_Districts"))</t>
        </is>
      </c>
    </row>
    <row r="317" ht="18" customHeight="1">
      <c r="A317" s="42" t="inlineStr">
        <is>
          <t>IF(F317="","",ROW()-3)</t>
        </is>
      </c>
      <c r="B317" s="44" t="n"/>
      <c r="C317" s="44" t="n"/>
      <c r="D317" s="44" t="n"/>
      <c r="E317" s="44" t="n"/>
      <c r="F317" s="44" t="n"/>
      <c r="G317" s="44" t="n"/>
      <c r="H317" s="44" t="n"/>
      <c r="I317" s="44" t="n"/>
      <c r="J317" s="44" t="n"/>
      <c r="K317" s="44" t="n"/>
      <c r="L317" s="44" t="n"/>
      <c r="M317" s="44" t="n"/>
      <c r="N317" s="44" t="n"/>
      <c r="O317" s="44" t="n"/>
      <c r="P317" s="44" t="n"/>
      <c r="Q317" s="44" t="n"/>
      <c r="R317" s="44" t="n"/>
      <c r="S317" s="45" t="n"/>
      <c r="T317" s="46" t="inlineStr">
        <is>
          <t>IF(AQ317="","",AQ317)</t>
        </is>
      </c>
      <c r="U317" s="47" t="n"/>
      <c r="V317" s="48" t="n"/>
      <c r="W317" s="47" t="n"/>
      <c r="X317" s="46" t="inlineStr">
        <is>
          <t>IF(W317&lt;&gt;"",W317,IF(OR(T317="",V317=""),"",EDATE(T317,V317)))</t>
        </is>
      </c>
      <c r="Y317" s="47" t="n"/>
      <c r="Z317" s="48" t="n"/>
      <c r="AA317" s="44" t="n"/>
      <c r="AB317" s="44" t="n"/>
      <c r="AC317" s="42" t="inlineStr">
        <is>
          <t>IF(F317="","",IF(COUNT(AI317:AV317)=0,IF(AA317="","Not started",AA317),SUBSTITUTE(LOOKUP(2,1/(AI317:AV317&lt;&gt;""),$AI$3:$AV$3),"Date: ","")))</t>
        </is>
      </c>
      <c r="AD317" s="49" t="inlineStr">
        <is>
          <t>IF(OR(F317="",COUNT(AI317:AV317)=0),"",TODAY()-LOOKUP(2,1/(AI317:AV317&lt;&gt;""),AI317:AV317))</t>
        </is>
      </c>
      <c r="AE317" s="49" t="inlineStr">
        <is>
          <t>IF(OR(F317="",COUNT(AI317:AV317)&lt;2),"",LOOKUP(2,1/(AI317:AV317&lt;&gt;""),AI317:AV317)-MIN(AI317:AV317))</t>
        </is>
      </c>
      <c r="AF317" s="49" t="inlineStr">
        <is>
          <t>IF(OR(AD317="",AC317="Not started",AC317=""),"",IFERROR(AD317-IF(VLOOKUP(AC317,'06_Status_Pipeline'!$B$3:$E$20,4,FALSE)="",0,VLOOKUP(AC317,'06_Status_Pipeline'!$B$3:$E$20,4,FALSE)),""))</t>
        </is>
      </c>
      <c r="AG317" s="42" t="inlineStr">
        <is>
          <t>IF(F317="","",IF(OR(AA317="Cancelled",AC317="Cancelled"),"Cancelled",IF(OR(AC317="Completed / Handover",Y317&lt;&gt;"",Z317&gt;=100),"Completed — on track",IF(O317="Not awarded",IF(U317="",IF(X317="","No planned date",IF(TODAY()&gt;X317,"Behind — past planned date",IF(X317-TODAY()&lt;=30,"At risk — close to off track","On track"))),IF(TODAY()&gt;U317,"Behind — award date passed",IF(U317-TODAY()&lt;=30,"At risk — close to off track","On track"))),IF(X317="","No planned date",IF(AND(TODAY()&gt;X317,OR(Z317="",Z317&lt;100)),"Behind — past end date",IF(AND(T317&lt;&gt;"",X317&lt;&gt;"",Z317&lt;&gt;"",(Z317&lt;100),((TODAY()-T317)/MAX(X317-T317,1)*100)-Z317&gt;15),"Behind — progress lag",IF(AND(X317-TODAY()&lt;=30,X317-TODAY()&gt;=0,OR(Z317="",Z317&lt;90)),"At risk — close to off track","On track"))))))))</t>
        </is>
      </c>
      <c r="AH317" s="49" t="inlineStr">
        <is>
          <t>IF(OR(F317="",AC317="Completed / Handover",AC317="Cancelled"),"",IF(O317="Not awarded",IF(U317&lt;&gt;"",U317-TODAY(),IF(X317="","",X317-TODAY())),IF(X317="","",X317-TODAY())))</t>
        </is>
      </c>
      <c r="AI317" s="47" t="n"/>
      <c r="AJ317" s="47" t="n"/>
      <c r="AK317" s="47" t="n"/>
      <c r="AL317" s="47" t="n"/>
      <c r="AM317" s="47" t="n"/>
      <c r="AN317" s="47" t="n"/>
      <c r="AO317" s="47" t="n"/>
      <c r="AP317" s="47" t="n"/>
      <c r="AQ317" s="47" t="n"/>
      <c r="AR317" s="47" t="n"/>
      <c r="AS317" s="47" t="n"/>
      <c r="AT317" s="50" t="n"/>
      <c r="AU317" s="50" t="n"/>
      <c r="AV317" s="50" t="n"/>
      <c r="AW317" s="49" t="inlineStr">
        <is>
          <t>IF(OR(F317="",AJ317=""),"",IF(COUNT(AI317:AI317)=0,"",AJ317-LOOKUP(2,1/(AI317:AI317&lt;&gt;""),AI317:AI317)))</t>
        </is>
      </c>
      <c r="AX317" s="49" t="inlineStr">
        <is>
          <t>IF(OR(F317="",AK317=""),"",IF(COUNT(AI317:AJ317)=0,"",AK317-LOOKUP(2,1/(AI317:AJ317&lt;&gt;""),AI317:AJ317)))</t>
        </is>
      </c>
      <c r="AY317" s="49" t="inlineStr">
        <is>
          <t>IF(OR(F317="",AL317=""),"",IF(COUNT(AI317:AK317)=0,"",AL317-LOOKUP(2,1/(AI317:AK317&lt;&gt;""),AI317:AK317)))</t>
        </is>
      </c>
      <c r="AZ317" s="49" t="inlineStr">
        <is>
          <t>IF(OR(F317="",AM317=""),"",IF(COUNT(AI317:AL317)=0,"",AM317-LOOKUP(2,1/(AI317:AL317&lt;&gt;""),AI317:AL317)))</t>
        </is>
      </c>
      <c r="BA317" s="49" t="inlineStr">
        <is>
          <t>IF(OR(F317="",AN317=""),"",IF(COUNT(AI317:AM317)=0,"",AN317-LOOKUP(2,1/(AI317:AM317&lt;&gt;""),AI317:AM317)))</t>
        </is>
      </c>
      <c r="BB317" s="49" t="inlineStr">
        <is>
          <t>IF(OR(F317="",AO317=""),"",IF(COUNT(AI317:AN317)=0,"",AO317-LOOKUP(2,1/(AI317:AN317&lt;&gt;""),AI317:AN317)))</t>
        </is>
      </c>
      <c r="BC317" s="49" t="inlineStr">
        <is>
          <t>IF(OR(F317="",AP317=""),"",IF(COUNT(AI317:AO317)=0,"",AP317-LOOKUP(2,1/(AI317:AO317&lt;&gt;""),AI317:AO317)))</t>
        </is>
      </c>
      <c r="BD317" s="49" t="inlineStr">
        <is>
          <t>IF(OR(F317="",AQ317=""),"",IF(COUNT(AI317:AP317)=0,"",AQ317-LOOKUP(2,1/(AI317:AP317&lt;&gt;""),AI317:AP317)))</t>
        </is>
      </c>
      <c r="BE317" s="49" t="inlineStr">
        <is>
          <t>IF(OR(F317="",AR317=""),"",IF(COUNT(AI317:AQ317)=0,"",AR317-LOOKUP(2,1/(AI317:AQ317&lt;&gt;""),AI317:AQ317)))</t>
        </is>
      </c>
      <c r="BF317" s="49" t="inlineStr">
        <is>
          <t>IF(OR(F317="",AS317=""),"",IF(COUNT(AI317:AR317)=0,"",AS317-LOOKUP(2,1/(AI317:AR317&lt;&gt;""),AI317:AR317)))</t>
        </is>
      </c>
      <c r="BG317" s="49" t="inlineStr">
        <is>
          <t>IF(OR(F317="",AT317=""),"",IF(COUNT(AI317:AS317)=0,"",AT317-LOOKUP(2,1/(AI317:AS317&lt;&gt;""),AI317:AS317)))</t>
        </is>
      </c>
      <c r="BH317" s="49" t="inlineStr">
        <is>
          <t>IF(OR(F317="",AU317=""),"",IF(COUNT(AI317:AT317)=0,"",AU317-LOOKUP(2,1/(AI317:AT317&lt;&gt;""),AI317:AT317)))</t>
        </is>
      </c>
      <c r="BI317" s="49" t="inlineStr">
        <is>
          <t>IF(OR(F317="",AV317=""),"",IF(COUNT(AI317:AU317)=0,"",AV317-LOOKUP(2,1/(AI317:AU317&lt;&gt;""),AI317:AU317)))</t>
        </is>
      </c>
      <c r="BJ317" s="51" t="inlineStr">
        <is>
          <t>IF(J317="","All_Provinces",IFERROR(VLOOKUP(J317,'09_Lookups'!$A$4:$B$20,2,FALSE),"All_Provinces"))</t>
        </is>
      </c>
      <c r="BK317" s="51" t="inlineStr">
        <is>
          <t>IF(K317="","All_Districts",IFERROR(VLOOKUP(K317,'09_Lookups'!$E$4:$F$42,2,FALSE),"All_Districts"))</t>
        </is>
      </c>
    </row>
    <row r="318" ht="18" customHeight="1">
      <c r="A318" s="42" t="inlineStr">
        <is>
          <t>IF(F318="","",ROW()-3)</t>
        </is>
      </c>
      <c r="B318" s="52" t="n"/>
      <c r="C318" s="52" t="n"/>
      <c r="D318" s="52" t="n"/>
      <c r="E318" s="52" t="n"/>
      <c r="F318" s="52" t="n"/>
      <c r="G318" s="52" t="n"/>
      <c r="H318" s="52" t="n"/>
      <c r="I318" s="52" t="n"/>
      <c r="J318" s="52" t="n"/>
      <c r="K318" s="52" t="n"/>
      <c r="L318" s="52" t="n"/>
      <c r="M318" s="52" t="n"/>
      <c r="N318" s="52" t="n"/>
      <c r="O318" s="52" t="n"/>
      <c r="P318" s="52" t="n"/>
      <c r="Q318" s="52" t="n"/>
      <c r="R318" s="52" t="n"/>
      <c r="S318" s="53" t="n"/>
      <c r="T318" s="46" t="inlineStr">
        <is>
          <t>IF(AQ318="","",AQ318)</t>
        </is>
      </c>
      <c r="U318" s="54" t="n"/>
      <c r="V318" s="55" t="n"/>
      <c r="W318" s="54" t="n"/>
      <c r="X318" s="46" t="inlineStr">
        <is>
          <t>IF(W318&lt;&gt;"",W318,IF(OR(T318="",V318=""),"",EDATE(T318,V318)))</t>
        </is>
      </c>
      <c r="Y318" s="54" t="n"/>
      <c r="Z318" s="55" t="n"/>
      <c r="AA318" s="52" t="n"/>
      <c r="AB318" s="52" t="n"/>
      <c r="AC318" s="42" t="inlineStr">
        <is>
          <t>IF(F318="","",IF(COUNT(AI318:AV318)=0,IF(AA318="","Not started",AA318),SUBSTITUTE(LOOKUP(2,1/(AI318:AV318&lt;&gt;""),$AI$3:$AV$3),"Date: ","")))</t>
        </is>
      </c>
      <c r="AD318" s="49" t="inlineStr">
        <is>
          <t>IF(OR(F318="",COUNT(AI318:AV318)=0),"",TODAY()-LOOKUP(2,1/(AI318:AV318&lt;&gt;""),AI318:AV318))</t>
        </is>
      </c>
      <c r="AE318" s="49" t="inlineStr">
        <is>
          <t>IF(OR(F318="",COUNT(AI318:AV318)&lt;2),"",LOOKUP(2,1/(AI318:AV318&lt;&gt;""),AI318:AV318)-MIN(AI318:AV318))</t>
        </is>
      </c>
      <c r="AF318" s="49" t="inlineStr">
        <is>
          <t>IF(OR(AD318="",AC318="Not started",AC318=""),"",IFERROR(AD318-IF(VLOOKUP(AC318,'06_Status_Pipeline'!$B$3:$E$20,4,FALSE)="",0,VLOOKUP(AC318,'06_Status_Pipeline'!$B$3:$E$20,4,FALSE)),""))</t>
        </is>
      </c>
      <c r="AG318" s="42" t="inlineStr">
        <is>
          <t>IF(F318="","",IF(OR(AA318="Cancelled",AC318="Cancelled"),"Cancelled",IF(OR(AC318="Completed / Handover",Y318&lt;&gt;"",Z318&gt;=100),"Completed — on track",IF(O318="Not awarded",IF(U318="",IF(X318="","No planned date",IF(TODAY()&gt;X318,"Behind — past planned date",IF(X318-TODAY()&lt;=30,"At risk — close to off track","On track"))),IF(TODAY()&gt;U318,"Behind — award date passed",IF(U318-TODAY()&lt;=30,"At risk — close to off track","On track"))),IF(X318="","No planned date",IF(AND(TODAY()&gt;X318,OR(Z318="",Z318&lt;100)),"Behind — past end date",IF(AND(T318&lt;&gt;"",X318&lt;&gt;"",Z318&lt;&gt;"",(Z318&lt;100),((TODAY()-T318)/MAX(X318-T318,1)*100)-Z318&gt;15),"Behind — progress lag",IF(AND(X318-TODAY()&lt;=30,X318-TODAY()&gt;=0,OR(Z318="",Z318&lt;90)),"At risk — close to off track","On track"))))))))</t>
        </is>
      </c>
      <c r="AH318" s="49" t="inlineStr">
        <is>
          <t>IF(OR(F318="",AC318="Completed / Handover",AC318="Cancelled"),"",IF(O318="Not awarded",IF(U318&lt;&gt;"",U318-TODAY(),IF(X318="","",X318-TODAY())),IF(X318="","",X318-TODAY())))</t>
        </is>
      </c>
      <c r="AI318" s="54" t="n"/>
      <c r="AJ318" s="54" t="n"/>
      <c r="AK318" s="54" t="n"/>
      <c r="AL318" s="54" t="n"/>
      <c r="AM318" s="54" t="n"/>
      <c r="AN318" s="54" t="n"/>
      <c r="AO318" s="54" t="n"/>
      <c r="AP318" s="54" t="n"/>
      <c r="AQ318" s="54" t="n"/>
      <c r="AR318" s="54" t="n"/>
      <c r="AS318" s="54" t="n"/>
      <c r="AT318" s="50" t="n"/>
      <c r="AU318" s="50" t="n"/>
      <c r="AV318" s="50" t="n"/>
      <c r="AW318" s="49" t="inlineStr">
        <is>
          <t>IF(OR(F318="",AJ318=""),"",IF(COUNT(AI318:AI318)=0,"",AJ318-LOOKUP(2,1/(AI318:AI318&lt;&gt;""),AI318:AI318)))</t>
        </is>
      </c>
      <c r="AX318" s="49" t="inlineStr">
        <is>
          <t>IF(OR(F318="",AK318=""),"",IF(COUNT(AI318:AJ318)=0,"",AK318-LOOKUP(2,1/(AI318:AJ318&lt;&gt;""),AI318:AJ318)))</t>
        </is>
      </c>
      <c r="AY318" s="49" t="inlineStr">
        <is>
          <t>IF(OR(F318="",AL318=""),"",IF(COUNT(AI318:AK318)=0,"",AL318-LOOKUP(2,1/(AI318:AK318&lt;&gt;""),AI318:AK318)))</t>
        </is>
      </c>
      <c r="AZ318" s="49" t="inlineStr">
        <is>
          <t>IF(OR(F318="",AM318=""),"",IF(COUNT(AI318:AL318)=0,"",AM318-LOOKUP(2,1/(AI318:AL318&lt;&gt;""),AI318:AL318)))</t>
        </is>
      </c>
      <c r="BA318" s="49" t="inlineStr">
        <is>
          <t>IF(OR(F318="",AN318=""),"",IF(COUNT(AI318:AM318)=0,"",AN318-LOOKUP(2,1/(AI318:AM318&lt;&gt;""),AI318:AM318)))</t>
        </is>
      </c>
      <c r="BB318" s="49" t="inlineStr">
        <is>
          <t>IF(OR(F318="",AO318=""),"",IF(COUNT(AI318:AN318)=0,"",AO318-LOOKUP(2,1/(AI318:AN318&lt;&gt;""),AI318:AN318)))</t>
        </is>
      </c>
      <c r="BC318" s="49" t="inlineStr">
        <is>
          <t>IF(OR(F318="",AP318=""),"",IF(COUNT(AI318:AO318)=0,"",AP318-LOOKUP(2,1/(AI318:AO318&lt;&gt;""),AI318:AO318)))</t>
        </is>
      </c>
      <c r="BD318" s="49" t="inlineStr">
        <is>
          <t>IF(OR(F318="",AQ318=""),"",IF(COUNT(AI318:AP318)=0,"",AQ318-LOOKUP(2,1/(AI318:AP318&lt;&gt;""),AI318:AP318)))</t>
        </is>
      </c>
      <c r="BE318" s="49" t="inlineStr">
        <is>
          <t>IF(OR(F318="",AR318=""),"",IF(COUNT(AI318:AQ318)=0,"",AR318-LOOKUP(2,1/(AI318:AQ318&lt;&gt;""),AI318:AQ318)))</t>
        </is>
      </c>
      <c r="BF318" s="49" t="inlineStr">
        <is>
          <t>IF(OR(F318="",AS318=""),"",IF(COUNT(AI318:AR318)=0,"",AS318-LOOKUP(2,1/(AI318:AR318&lt;&gt;""),AI318:AR318)))</t>
        </is>
      </c>
      <c r="BG318" s="49" t="inlineStr">
        <is>
          <t>IF(OR(F318="",AT318=""),"",IF(COUNT(AI318:AS318)=0,"",AT318-LOOKUP(2,1/(AI318:AS318&lt;&gt;""),AI318:AS318)))</t>
        </is>
      </c>
      <c r="BH318" s="49" t="inlineStr">
        <is>
          <t>IF(OR(F318="",AU318=""),"",IF(COUNT(AI318:AT318)=0,"",AU318-LOOKUP(2,1/(AI318:AT318&lt;&gt;""),AI318:AT318)))</t>
        </is>
      </c>
      <c r="BI318" s="49" t="inlineStr">
        <is>
          <t>IF(OR(F318="",AV318=""),"",IF(COUNT(AI318:AU318)=0,"",AV318-LOOKUP(2,1/(AI318:AU318&lt;&gt;""),AI318:AU318)))</t>
        </is>
      </c>
      <c r="BJ318" s="51" t="inlineStr">
        <is>
          <t>IF(J318="","All_Provinces",IFERROR(VLOOKUP(J318,'09_Lookups'!$A$4:$B$20,2,FALSE),"All_Provinces"))</t>
        </is>
      </c>
      <c r="BK318" s="51" t="inlineStr">
        <is>
          <t>IF(K318="","All_Districts",IFERROR(VLOOKUP(K318,'09_Lookups'!$E$4:$F$42,2,FALSE),"All_Districts"))</t>
        </is>
      </c>
    </row>
    <row r="319" ht="18" customHeight="1">
      <c r="A319" s="42" t="inlineStr">
        <is>
          <t>IF(F319="","",ROW()-3)</t>
        </is>
      </c>
      <c r="B319" s="44" t="n"/>
      <c r="C319" s="44" t="n"/>
      <c r="D319" s="44" t="n"/>
      <c r="E319" s="44" t="n"/>
      <c r="F319" s="44" t="n"/>
      <c r="G319" s="44" t="n"/>
      <c r="H319" s="44" t="n"/>
      <c r="I319" s="44" t="n"/>
      <c r="J319" s="44" t="n"/>
      <c r="K319" s="44" t="n"/>
      <c r="L319" s="44" t="n"/>
      <c r="M319" s="44" t="n"/>
      <c r="N319" s="44" t="n"/>
      <c r="O319" s="44" t="n"/>
      <c r="P319" s="44" t="n"/>
      <c r="Q319" s="44" t="n"/>
      <c r="R319" s="44" t="n"/>
      <c r="S319" s="45" t="n"/>
      <c r="T319" s="46" t="inlineStr">
        <is>
          <t>IF(AQ319="","",AQ319)</t>
        </is>
      </c>
      <c r="U319" s="47" t="n"/>
      <c r="V319" s="48" t="n"/>
      <c r="W319" s="47" t="n"/>
      <c r="X319" s="46" t="inlineStr">
        <is>
          <t>IF(W319&lt;&gt;"",W319,IF(OR(T319="",V319=""),"",EDATE(T319,V319)))</t>
        </is>
      </c>
      <c r="Y319" s="47" t="n"/>
      <c r="Z319" s="48" t="n"/>
      <c r="AA319" s="44" t="n"/>
      <c r="AB319" s="44" t="n"/>
      <c r="AC319" s="42" t="inlineStr">
        <is>
          <t>IF(F319="","",IF(COUNT(AI319:AV319)=0,IF(AA319="","Not started",AA319),SUBSTITUTE(LOOKUP(2,1/(AI319:AV319&lt;&gt;""),$AI$3:$AV$3),"Date: ","")))</t>
        </is>
      </c>
      <c r="AD319" s="49" t="inlineStr">
        <is>
          <t>IF(OR(F319="",COUNT(AI319:AV319)=0),"",TODAY()-LOOKUP(2,1/(AI319:AV319&lt;&gt;""),AI319:AV319))</t>
        </is>
      </c>
      <c r="AE319" s="49" t="inlineStr">
        <is>
          <t>IF(OR(F319="",COUNT(AI319:AV319)&lt;2),"",LOOKUP(2,1/(AI319:AV319&lt;&gt;""),AI319:AV319)-MIN(AI319:AV319))</t>
        </is>
      </c>
      <c r="AF319" s="49" t="inlineStr">
        <is>
          <t>IF(OR(AD319="",AC319="Not started",AC319=""),"",IFERROR(AD319-IF(VLOOKUP(AC319,'06_Status_Pipeline'!$B$3:$E$20,4,FALSE)="",0,VLOOKUP(AC319,'06_Status_Pipeline'!$B$3:$E$20,4,FALSE)),""))</t>
        </is>
      </c>
      <c r="AG319" s="42" t="inlineStr">
        <is>
          <t>IF(F319="","",IF(OR(AA319="Cancelled",AC319="Cancelled"),"Cancelled",IF(OR(AC319="Completed / Handover",Y319&lt;&gt;"",Z319&gt;=100),"Completed — on track",IF(O319="Not awarded",IF(U319="",IF(X319="","No planned date",IF(TODAY()&gt;X319,"Behind — past planned date",IF(X319-TODAY()&lt;=30,"At risk — close to off track","On track"))),IF(TODAY()&gt;U319,"Behind — award date passed",IF(U319-TODAY()&lt;=30,"At risk — close to off track","On track"))),IF(X319="","No planned date",IF(AND(TODAY()&gt;X319,OR(Z319="",Z319&lt;100)),"Behind — past end date",IF(AND(T319&lt;&gt;"",X319&lt;&gt;"",Z319&lt;&gt;"",(Z319&lt;100),((TODAY()-T319)/MAX(X319-T319,1)*100)-Z319&gt;15),"Behind — progress lag",IF(AND(X319-TODAY()&lt;=30,X319-TODAY()&gt;=0,OR(Z319="",Z319&lt;90)),"At risk — close to off track","On track"))))))))</t>
        </is>
      </c>
      <c r="AH319" s="49" t="inlineStr">
        <is>
          <t>IF(OR(F319="",AC319="Completed / Handover",AC319="Cancelled"),"",IF(O319="Not awarded",IF(U319&lt;&gt;"",U319-TODAY(),IF(X319="","",X319-TODAY())),IF(X319="","",X319-TODAY())))</t>
        </is>
      </c>
      <c r="AI319" s="47" t="n"/>
      <c r="AJ319" s="47" t="n"/>
      <c r="AK319" s="47" t="n"/>
      <c r="AL319" s="47" t="n"/>
      <c r="AM319" s="47" t="n"/>
      <c r="AN319" s="47" t="n"/>
      <c r="AO319" s="47" t="n"/>
      <c r="AP319" s="47" t="n"/>
      <c r="AQ319" s="47" t="n"/>
      <c r="AR319" s="47" t="n"/>
      <c r="AS319" s="47" t="n"/>
      <c r="AT319" s="50" t="n"/>
      <c r="AU319" s="50" t="n"/>
      <c r="AV319" s="50" t="n"/>
      <c r="AW319" s="49" t="inlineStr">
        <is>
          <t>IF(OR(F319="",AJ319=""),"",IF(COUNT(AI319:AI319)=0,"",AJ319-LOOKUP(2,1/(AI319:AI319&lt;&gt;""),AI319:AI319)))</t>
        </is>
      </c>
      <c r="AX319" s="49" t="inlineStr">
        <is>
          <t>IF(OR(F319="",AK319=""),"",IF(COUNT(AI319:AJ319)=0,"",AK319-LOOKUP(2,1/(AI319:AJ319&lt;&gt;""),AI319:AJ319)))</t>
        </is>
      </c>
      <c r="AY319" s="49" t="inlineStr">
        <is>
          <t>IF(OR(F319="",AL319=""),"",IF(COUNT(AI319:AK319)=0,"",AL319-LOOKUP(2,1/(AI319:AK319&lt;&gt;""),AI319:AK319)))</t>
        </is>
      </c>
      <c r="AZ319" s="49" t="inlineStr">
        <is>
          <t>IF(OR(F319="",AM319=""),"",IF(COUNT(AI319:AL319)=0,"",AM319-LOOKUP(2,1/(AI319:AL319&lt;&gt;""),AI319:AL319)))</t>
        </is>
      </c>
      <c r="BA319" s="49" t="inlineStr">
        <is>
          <t>IF(OR(F319="",AN319=""),"",IF(COUNT(AI319:AM319)=0,"",AN319-LOOKUP(2,1/(AI319:AM319&lt;&gt;""),AI319:AM319)))</t>
        </is>
      </c>
      <c r="BB319" s="49" t="inlineStr">
        <is>
          <t>IF(OR(F319="",AO319=""),"",IF(COUNT(AI319:AN319)=0,"",AO319-LOOKUP(2,1/(AI319:AN319&lt;&gt;""),AI319:AN319)))</t>
        </is>
      </c>
      <c r="BC319" s="49" t="inlineStr">
        <is>
          <t>IF(OR(F319="",AP319=""),"",IF(COUNT(AI319:AO319)=0,"",AP319-LOOKUP(2,1/(AI319:AO319&lt;&gt;""),AI319:AO319)))</t>
        </is>
      </c>
      <c r="BD319" s="49" t="inlineStr">
        <is>
          <t>IF(OR(F319="",AQ319=""),"",IF(COUNT(AI319:AP319)=0,"",AQ319-LOOKUP(2,1/(AI319:AP319&lt;&gt;""),AI319:AP319)))</t>
        </is>
      </c>
      <c r="BE319" s="49" t="inlineStr">
        <is>
          <t>IF(OR(F319="",AR319=""),"",IF(COUNT(AI319:AQ319)=0,"",AR319-LOOKUP(2,1/(AI319:AQ319&lt;&gt;""),AI319:AQ319)))</t>
        </is>
      </c>
      <c r="BF319" s="49" t="inlineStr">
        <is>
          <t>IF(OR(F319="",AS319=""),"",IF(COUNT(AI319:AR319)=0,"",AS319-LOOKUP(2,1/(AI319:AR319&lt;&gt;""),AI319:AR319)))</t>
        </is>
      </c>
      <c r="BG319" s="49" t="inlineStr">
        <is>
          <t>IF(OR(F319="",AT319=""),"",IF(COUNT(AI319:AS319)=0,"",AT319-LOOKUP(2,1/(AI319:AS319&lt;&gt;""),AI319:AS319)))</t>
        </is>
      </c>
      <c r="BH319" s="49" t="inlineStr">
        <is>
          <t>IF(OR(F319="",AU319=""),"",IF(COUNT(AI319:AT319)=0,"",AU319-LOOKUP(2,1/(AI319:AT319&lt;&gt;""),AI319:AT319)))</t>
        </is>
      </c>
      <c r="BI319" s="49" t="inlineStr">
        <is>
          <t>IF(OR(F319="",AV319=""),"",IF(COUNT(AI319:AU319)=0,"",AV319-LOOKUP(2,1/(AI319:AU319&lt;&gt;""),AI319:AU319)))</t>
        </is>
      </c>
      <c r="BJ319" s="51" t="inlineStr">
        <is>
          <t>IF(J319="","All_Provinces",IFERROR(VLOOKUP(J319,'09_Lookups'!$A$4:$B$20,2,FALSE),"All_Provinces"))</t>
        </is>
      </c>
      <c r="BK319" s="51" t="inlineStr">
        <is>
          <t>IF(K319="","All_Districts",IFERROR(VLOOKUP(K319,'09_Lookups'!$E$4:$F$42,2,FALSE),"All_Districts"))</t>
        </is>
      </c>
    </row>
    <row r="320" ht="18" customHeight="1">
      <c r="A320" s="42" t="inlineStr">
        <is>
          <t>IF(F320="","",ROW()-3)</t>
        </is>
      </c>
      <c r="B320" s="52" t="n"/>
      <c r="C320" s="52" t="n"/>
      <c r="D320" s="52" t="n"/>
      <c r="E320" s="52" t="n"/>
      <c r="F320" s="52" t="n"/>
      <c r="G320" s="52" t="n"/>
      <c r="H320" s="52" t="n"/>
      <c r="I320" s="52" t="n"/>
      <c r="J320" s="52" t="n"/>
      <c r="K320" s="52" t="n"/>
      <c r="L320" s="52" t="n"/>
      <c r="M320" s="52" t="n"/>
      <c r="N320" s="52" t="n"/>
      <c r="O320" s="52" t="n"/>
      <c r="P320" s="52" t="n"/>
      <c r="Q320" s="52" t="n"/>
      <c r="R320" s="52" t="n"/>
      <c r="S320" s="53" t="n"/>
      <c r="T320" s="46" t="inlineStr">
        <is>
          <t>IF(AQ320="","",AQ320)</t>
        </is>
      </c>
      <c r="U320" s="54" t="n"/>
      <c r="V320" s="55" t="n"/>
      <c r="W320" s="54" t="n"/>
      <c r="X320" s="46" t="inlineStr">
        <is>
          <t>IF(W320&lt;&gt;"",W320,IF(OR(T320="",V320=""),"",EDATE(T320,V320)))</t>
        </is>
      </c>
      <c r="Y320" s="54" t="n"/>
      <c r="Z320" s="55" t="n"/>
      <c r="AA320" s="52" t="n"/>
      <c r="AB320" s="52" t="n"/>
      <c r="AC320" s="42" t="inlineStr">
        <is>
          <t>IF(F320="","",IF(COUNT(AI320:AV320)=0,IF(AA320="","Not started",AA320),SUBSTITUTE(LOOKUP(2,1/(AI320:AV320&lt;&gt;""),$AI$3:$AV$3),"Date: ","")))</t>
        </is>
      </c>
      <c r="AD320" s="49" t="inlineStr">
        <is>
          <t>IF(OR(F320="",COUNT(AI320:AV320)=0),"",TODAY()-LOOKUP(2,1/(AI320:AV320&lt;&gt;""),AI320:AV320))</t>
        </is>
      </c>
      <c r="AE320" s="49" t="inlineStr">
        <is>
          <t>IF(OR(F320="",COUNT(AI320:AV320)&lt;2),"",LOOKUP(2,1/(AI320:AV320&lt;&gt;""),AI320:AV320)-MIN(AI320:AV320))</t>
        </is>
      </c>
      <c r="AF320" s="49" t="inlineStr">
        <is>
          <t>IF(OR(AD320="",AC320="Not started",AC320=""),"",IFERROR(AD320-IF(VLOOKUP(AC320,'06_Status_Pipeline'!$B$3:$E$20,4,FALSE)="",0,VLOOKUP(AC320,'06_Status_Pipeline'!$B$3:$E$20,4,FALSE)),""))</t>
        </is>
      </c>
      <c r="AG320" s="42" t="inlineStr">
        <is>
          <t>IF(F320="","",IF(OR(AA320="Cancelled",AC320="Cancelled"),"Cancelled",IF(OR(AC320="Completed / Handover",Y320&lt;&gt;"",Z320&gt;=100),"Completed — on track",IF(O320="Not awarded",IF(U320="",IF(X320="","No planned date",IF(TODAY()&gt;X320,"Behind — past planned date",IF(X320-TODAY()&lt;=30,"At risk — close to off track","On track"))),IF(TODAY()&gt;U320,"Behind — award date passed",IF(U320-TODAY()&lt;=30,"At risk — close to off track","On track"))),IF(X320="","No planned date",IF(AND(TODAY()&gt;X320,OR(Z320="",Z320&lt;100)),"Behind — past end date",IF(AND(T320&lt;&gt;"",X320&lt;&gt;"",Z320&lt;&gt;"",(Z320&lt;100),((TODAY()-T320)/MAX(X320-T320,1)*100)-Z320&gt;15),"Behind — progress lag",IF(AND(X320-TODAY()&lt;=30,X320-TODAY()&gt;=0,OR(Z320="",Z320&lt;90)),"At risk — close to off track","On track"))))))))</t>
        </is>
      </c>
      <c r="AH320" s="49" t="inlineStr">
        <is>
          <t>IF(OR(F320="",AC320="Completed / Handover",AC320="Cancelled"),"",IF(O320="Not awarded",IF(U320&lt;&gt;"",U320-TODAY(),IF(X320="","",X320-TODAY())),IF(X320="","",X320-TODAY())))</t>
        </is>
      </c>
      <c r="AI320" s="54" t="n"/>
      <c r="AJ320" s="54" t="n"/>
      <c r="AK320" s="54" t="n"/>
      <c r="AL320" s="54" t="n"/>
      <c r="AM320" s="54" t="n"/>
      <c r="AN320" s="54" t="n"/>
      <c r="AO320" s="54" t="n"/>
      <c r="AP320" s="54" t="n"/>
      <c r="AQ320" s="54" t="n"/>
      <c r="AR320" s="54" t="n"/>
      <c r="AS320" s="54" t="n"/>
      <c r="AT320" s="50" t="n"/>
      <c r="AU320" s="50" t="n"/>
      <c r="AV320" s="50" t="n"/>
      <c r="AW320" s="49" t="inlineStr">
        <is>
          <t>IF(OR(F320="",AJ320=""),"",IF(COUNT(AI320:AI320)=0,"",AJ320-LOOKUP(2,1/(AI320:AI320&lt;&gt;""),AI320:AI320)))</t>
        </is>
      </c>
      <c r="AX320" s="49" t="inlineStr">
        <is>
          <t>IF(OR(F320="",AK320=""),"",IF(COUNT(AI320:AJ320)=0,"",AK320-LOOKUP(2,1/(AI320:AJ320&lt;&gt;""),AI320:AJ320)))</t>
        </is>
      </c>
      <c r="AY320" s="49" t="inlineStr">
        <is>
          <t>IF(OR(F320="",AL320=""),"",IF(COUNT(AI320:AK320)=0,"",AL320-LOOKUP(2,1/(AI320:AK320&lt;&gt;""),AI320:AK320)))</t>
        </is>
      </c>
      <c r="AZ320" s="49" t="inlineStr">
        <is>
          <t>IF(OR(F320="",AM320=""),"",IF(COUNT(AI320:AL320)=0,"",AM320-LOOKUP(2,1/(AI320:AL320&lt;&gt;""),AI320:AL320)))</t>
        </is>
      </c>
      <c r="BA320" s="49" t="inlineStr">
        <is>
          <t>IF(OR(F320="",AN320=""),"",IF(COUNT(AI320:AM320)=0,"",AN320-LOOKUP(2,1/(AI320:AM320&lt;&gt;""),AI320:AM320)))</t>
        </is>
      </c>
      <c r="BB320" s="49" t="inlineStr">
        <is>
          <t>IF(OR(F320="",AO320=""),"",IF(COUNT(AI320:AN320)=0,"",AO320-LOOKUP(2,1/(AI320:AN320&lt;&gt;""),AI320:AN320)))</t>
        </is>
      </c>
      <c r="BC320" s="49" t="inlineStr">
        <is>
          <t>IF(OR(F320="",AP320=""),"",IF(COUNT(AI320:AO320)=0,"",AP320-LOOKUP(2,1/(AI320:AO320&lt;&gt;""),AI320:AO320)))</t>
        </is>
      </c>
      <c r="BD320" s="49" t="inlineStr">
        <is>
          <t>IF(OR(F320="",AQ320=""),"",IF(COUNT(AI320:AP320)=0,"",AQ320-LOOKUP(2,1/(AI320:AP320&lt;&gt;""),AI320:AP320)))</t>
        </is>
      </c>
      <c r="BE320" s="49" t="inlineStr">
        <is>
          <t>IF(OR(F320="",AR320=""),"",IF(COUNT(AI320:AQ320)=0,"",AR320-LOOKUP(2,1/(AI320:AQ320&lt;&gt;""),AI320:AQ320)))</t>
        </is>
      </c>
      <c r="BF320" s="49" t="inlineStr">
        <is>
          <t>IF(OR(F320="",AS320=""),"",IF(COUNT(AI320:AR320)=0,"",AS320-LOOKUP(2,1/(AI320:AR320&lt;&gt;""),AI320:AR320)))</t>
        </is>
      </c>
      <c r="BG320" s="49" t="inlineStr">
        <is>
          <t>IF(OR(F320="",AT320=""),"",IF(COUNT(AI320:AS320)=0,"",AT320-LOOKUP(2,1/(AI320:AS320&lt;&gt;""),AI320:AS320)))</t>
        </is>
      </c>
      <c r="BH320" s="49" t="inlineStr">
        <is>
          <t>IF(OR(F320="",AU320=""),"",IF(COUNT(AI320:AT320)=0,"",AU320-LOOKUP(2,1/(AI320:AT320&lt;&gt;""),AI320:AT320)))</t>
        </is>
      </c>
      <c r="BI320" s="49" t="inlineStr">
        <is>
          <t>IF(OR(F320="",AV320=""),"",IF(COUNT(AI320:AU320)=0,"",AV320-LOOKUP(2,1/(AI320:AU320&lt;&gt;""),AI320:AU320)))</t>
        </is>
      </c>
      <c r="BJ320" s="51" t="inlineStr">
        <is>
          <t>IF(J320="","All_Provinces",IFERROR(VLOOKUP(J320,'09_Lookups'!$A$4:$B$20,2,FALSE),"All_Provinces"))</t>
        </is>
      </c>
      <c r="BK320" s="51" t="inlineStr">
        <is>
          <t>IF(K320="","All_Districts",IFERROR(VLOOKUP(K320,'09_Lookups'!$E$4:$F$42,2,FALSE),"All_Districts"))</t>
        </is>
      </c>
    </row>
    <row r="321" ht="18" customHeight="1">
      <c r="A321" s="42" t="inlineStr">
        <is>
          <t>IF(F321="","",ROW()-3)</t>
        </is>
      </c>
      <c r="B321" s="44" t="n"/>
      <c r="C321" s="44" t="n"/>
      <c r="D321" s="44" t="n"/>
      <c r="E321" s="44" t="n"/>
      <c r="F321" s="44" t="n"/>
      <c r="G321" s="44" t="n"/>
      <c r="H321" s="44" t="n"/>
      <c r="I321" s="44" t="n"/>
      <c r="J321" s="44" t="n"/>
      <c r="K321" s="44" t="n"/>
      <c r="L321" s="44" t="n"/>
      <c r="M321" s="44" t="n"/>
      <c r="N321" s="44" t="n"/>
      <c r="O321" s="44" t="n"/>
      <c r="P321" s="44" t="n"/>
      <c r="Q321" s="44" t="n"/>
      <c r="R321" s="44" t="n"/>
      <c r="S321" s="45" t="n"/>
      <c r="T321" s="46" t="inlineStr">
        <is>
          <t>IF(AQ321="","",AQ321)</t>
        </is>
      </c>
      <c r="U321" s="47" t="n"/>
      <c r="V321" s="48" t="n"/>
      <c r="W321" s="47" t="n"/>
      <c r="X321" s="46" t="inlineStr">
        <is>
          <t>IF(W321&lt;&gt;"",W321,IF(OR(T321="",V321=""),"",EDATE(T321,V321)))</t>
        </is>
      </c>
      <c r="Y321" s="47" t="n"/>
      <c r="Z321" s="48" t="n"/>
      <c r="AA321" s="44" t="n"/>
      <c r="AB321" s="44" t="n"/>
      <c r="AC321" s="42" t="inlineStr">
        <is>
          <t>IF(F321="","",IF(COUNT(AI321:AV321)=0,IF(AA321="","Not started",AA321),SUBSTITUTE(LOOKUP(2,1/(AI321:AV321&lt;&gt;""),$AI$3:$AV$3),"Date: ","")))</t>
        </is>
      </c>
      <c r="AD321" s="49" t="inlineStr">
        <is>
          <t>IF(OR(F321="",COUNT(AI321:AV321)=0),"",TODAY()-LOOKUP(2,1/(AI321:AV321&lt;&gt;""),AI321:AV321))</t>
        </is>
      </c>
      <c r="AE321" s="49" t="inlineStr">
        <is>
          <t>IF(OR(F321="",COUNT(AI321:AV321)&lt;2),"",LOOKUP(2,1/(AI321:AV321&lt;&gt;""),AI321:AV321)-MIN(AI321:AV321))</t>
        </is>
      </c>
      <c r="AF321" s="49" t="inlineStr">
        <is>
          <t>IF(OR(AD321="",AC321="Not started",AC321=""),"",IFERROR(AD321-IF(VLOOKUP(AC321,'06_Status_Pipeline'!$B$3:$E$20,4,FALSE)="",0,VLOOKUP(AC321,'06_Status_Pipeline'!$B$3:$E$20,4,FALSE)),""))</t>
        </is>
      </c>
      <c r="AG321" s="42" t="inlineStr">
        <is>
          <t>IF(F321="","",IF(OR(AA321="Cancelled",AC321="Cancelled"),"Cancelled",IF(OR(AC321="Completed / Handover",Y321&lt;&gt;"",Z321&gt;=100),"Completed — on track",IF(O321="Not awarded",IF(U321="",IF(X321="","No planned date",IF(TODAY()&gt;X321,"Behind — past planned date",IF(X321-TODAY()&lt;=30,"At risk — close to off track","On track"))),IF(TODAY()&gt;U321,"Behind — award date passed",IF(U321-TODAY()&lt;=30,"At risk — close to off track","On track"))),IF(X321="","No planned date",IF(AND(TODAY()&gt;X321,OR(Z321="",Z321&lt;100)),"Behind — past end date",IF(AND(T321&lt;&gt;"",X321&lt;&gt;"",Z321&lt;&gt;"",(Z321&lt;100),((TODAY()-T321)/MAX(X321-T321,1)*100)-Z321&gt;15),"Behind — progress lag",IF(AND(X321-TODAY()&lt;=30,X321-TODAY()&gt;=0,OR(Z321="",Z321&lt;90)),"At risk — close to off track","On track"))))))))</t>
        </is>
      </c>
      <c r="AH321" s="49" t="inlineStr">
        <is>
          <t>IF(OR(F321="",AC321="Completed / Handover",AC321="Cancelled"),"",IF(O321="Not awarded",IF(U321&lt;&gt;"",U321-TODAY(),IF(X321="","",X321-TODAY())),IF(X321="","",X321-TODAY())))</t>
        </is>
      </c>
      <c r="AI321" s="47" t="n"/>
      <c r="AJ321" s="47" t="n"/>
      <c r="AK321" s="47" t="n"/>
      <c r="AL321" s="47" t="n"/>
      <c r="AM321" s="47" t="n"/>
      <c r="AN321" s="47" t="n"/>
      <c r="AO321" s="47" t="n"/>
      <c r="AP321" s="47" t="n"/>
      <c r="AQ321" s="47" t="n"/>
      <c r="AR321" s="47" t="n"/>
      <c r="AS321" s="47" t="n"/>
      <c r="AT321" s="50" t="n"/>
      <c r="AU321" s="50" t="n"/>
      <c r="AV321" s="50" t="n"/>
      <c r="AW321" s="49" t="inlineStr">
        <is>
          <t>IF(OR(F321="",AJ321=""),"",IF(COUNT(AI321:AI321)=0,"",AJ321-LOOKUP(2,1/(AI321:AI321&lt;&gt;""),AI321:AI321)))</t>
        </is>
      </c>
      <c r="AX321" s="49" t="inlineStr">
        <is>
          <t>IF(OR(F321="",AK321=""),"",IF(COUNT(AI321:AJ321)=0,"",AK321-LOOKUP(2,1/(AI321:AJ321&lt;&gt;""),AI321:AJ321)))</t>
        </is>
      </c>
      <c r="AY321" s="49" t="inlineStr">
        <is>
          <t>IF(OR(F321="",AL321=""),"",IF(COUNT(AI321:AK321)=0,"",AL321-LOOKUP(2,1/(AI321:AK321&lt;&gt;""),AI321:AK321)))</t>
        </is>
      </c>
      <c r="AZ321" s="49" t="inlineStr">
        <is>
          <t>IF(OR(F321="",AM321=""),"",IF(COUNT(AI321:AL321)=0,"",AM321-LOOKUP(2,1/(AI321:AL321&lt;&gt;""),AI321:AL321)))</t>
        </is>
      </c>
      <c r="BA321" s="49" t="inlineStr">
        <is>
          <t>IF(OR(F321="",AN321=""),"",IF(COUNT(AI321:AM321)=0,"",AN321-LOOKUP(2,1/(AI321:AM321&lt;&gt;""),AI321:AM321)))</t>
        </is>
      </c>
      <c r="BB321" s="49" t="inlineStr">
        <is>
          <t>IF(OR(F321="",AO321=""),"",IF(COUNT(AI321:AN321)=0,"",AO321-LOOKUP(2,1/(AI321:AN321&lt;&gt;""),AI321:AN321)))</t>
        </is>
      </c>
      <c r="BC321" s="49" t="inlineStr">
        <is>
          <t>IF(OR(F321="",AP321=""),"",IF(COUNT(AI321:AO321)=0,"",AP321-LOOKUP(2,1/(AI321:AO321&lt;&gt;""),AI321:AO321)))</t>
        </is>
      </c>
      <c r="BD321" s="49" t="inlineStr">
        <is>
          <t>IF(OR(F321="",AQ321=""),"",IF(COUNT(AI321:AP321)=0,"",AQ321-LOOKUP(2,1/(AI321:AP321&lt;&gt;""),AI321:AP321)))</t>
        </is>
      </c>
      <c r="BE321" s="49" t="inlineStr">
        <is>
          <t>IF(OR(F321="",AR321=""),"",IF(COUNT(AI321:AQ321)=0,"",AR321-LOOKUP(2,1/(AI321:AQ321&lt;&gt;""),AI321:AQ321)))</t>
        </is>
      </c>
      <c r="BF321" s="49" t="inlineStr">
        <is>
          <t>IF(OR(F321="",AS321=""),"",IF(COUNT(AI321:AR321)=0,"",AS321-LOOKUP(2,1/(AI321:AR321&lt;&gt;""),AI321:AR321)))</t>
        </is>
      </c>
      <c r="BG321" s="49" t="inlineStr">
        <is>
          <t>IF(OR(F321="",AT321=""),"",IF(COUNT(AI321:AS321)=0,"",AT321-LOOKUP(2,1/(AI321:AS321&lt;&gt;""),AI321:AS321)))</t>
        </is>
      </c>
      <c r="BH321" s="49" t="inlineStr">
        <is>
          <t>IF(OR(F321="",AU321=""),"",IF(COUNT(AI321:AT321)=0,"",AU321-LOOKUP(2,1/(AI321:AT321&lt;&gt;""),AI321:AT321)))</t>
        </is>
      </c>
      <c r="BI321" s="49" t="inlineStr">
        <is>
          <t>IF(OR(F321="",AV321=""),"",IF(COUNT(AI321:AU321)=0,"",AV321-LOOKUP(2,1/(AI321:AU321&lt;&gt;""),AI321:AU321)))</t>
        </is>
      </c>
      <c r="BJ321" s="51" t="inlineStr">
        <is>
          <t>IF(J321="","All_Provinces",IFERROR(VLOOKUP(J321,'09_Lookups'!$A$4:$B$20,2,FALSE),"All_Provinces"))</t>
        </is>
      </c>
      <c r="BK321" s="51" t="inlineStr">
        <is>
          <t>IF(K321="","All_Districts",IFERROR(VLOOKUP(K321,'09_Lookups'!$E$4:$F$42,2,FALSE),"All_Districts"))</t>
        </is>
      </c>
    </row>
    <row r="322" ht="18" customHeight="1">
      <c r="A322" s="42" t="inlineStr">
        <is>
          <t>IF(F322="","",ROW()-3)</t>
        </is>
      </c>
      <c r="B322" s="52" t="n"/>
      <c r="C322" s="52" t="n"/>
      <c r="D322" s="52" t="n"/>
      <c r="E322" s="52" t="n"/>
      <c r="F322" s="52" t="n"/>
      <c r="G322" s="52" t="n"/>
      <c r="H322" s="52" t="n"/>
      <c r="I322" s="52" t="n"/>
      <c r="J322" s="52" t="n"/>
      <c r="K322" s="52" t="n"/>
      <c r="L322" s="52" t="n"/>
      <c r="M322" s="52" t="n"/>
      <c r="N322" s="52" t="n"/>
      <c r="O322" s="52" t="n"/>
      <c r="P322" s="52" t="n"/>
      <c r="Q322" s="52" t="n"/>
      <c r="R322" s="52" t="n"/>
      <c r="S322" s="53" t="n"/>
      <c r="T322" s="46" t="inlineStr">
        <is>
          <t>IF(AQ322="","",AQ322)</t>
        </is>
      </c>
      <c r="U322" s="54" t="n"/>
      <c r="V322" s="55" t="n"/>
      <c r="W322" s="54" t="n"/>
      <c r="X322" s="46" t="inlineStr">
        <is>
          <t>IF(W322&lt;&gt;"",W322,IF(OR(T322="",V322=""),"",EDATE(T322,V322)))</t>
        </is>
      </c>
      <c r="Y322" s="54" t="n"/>
      <c r="Z322" s="55" t="n"/>
      <c r="AA322" s="52" t="n"/>
      <c r="AB322" s="52" t="n"/>
      <c r="AC322" s="42" t="inlineStr">
        <is>
          <t>IF(F322="","",IF(COUNT(AI322:AV322)=0,IF(AA322="","Not started",AA322),SUBSTITUTE(LOOKUP(2,1/(AI322:AV322&lt;&gt;""),$AI$3:$AV$3),"Date: ","")))</t>
        </is>
      </c>
      <c r="AD322" s="49" t="inlineStr">
        <is>
          <t>IF(OR(F322="",COUNT(AI322:AV322)=0),"",TODAY()-LOOKUP(2,1/(AI322:AV322&lt;&gt;""),AI322:AV322))</t>
        </is>
      </c>
      <c r="AE322" s="49" t="inlineStr">
        <is>
          <t>IF(OR(F322="",COUNT(AI322:AV322)&lt;2),"",LOOKUP(2,1/(AI322:AV322&lt;&gt;""),AI322:AV322)-MIN(AI322:AV322))</t>
        </is>
      </c>
      <c r="AF322" s="49" t="inlineStr">
        <is>
          <t>IF(OR(AD322="",AC322="Not started",AC322=""),"",IFERROR(AD322-IF(VLOOKUP(AC322,'06_Status_Pipeline'!$B$3:$E$20,4,FALSE)="",0,VLOOKUP(AC322,'06_Status_Pipeline'!$B$3:$E$20,4,FALSE)),""))</t>
        </is>
      </c>
      <c r="AG322" s="42" t="inlineStr">
        <is>
          <t>IF(F322="","",IF(OR(AA322="Cancelled",AC322="Cancelled"),"Cancelled",IF(OR(AC322="Completed / Handover",Y322&lt;&gt;"",Z322&gt;=100),"Completed — on track",IF(O322="Not awarded",IF(U322="",IF(X322="","No planned date",IF(TODAY()&gt;X322,"Behind — past planned date",IF(X322-TODAY()&lt;=30,"At risk — close to off track","On track"))),IF(TODAY()&gt;U322,"Behind — award date passed",IF(U322-TODAY()&lt;=30,"At risk — close to off track","On track"))),IF(X322="","No planned date",IF(AND(TODAY()&gt;X322,OR(Z322="",Z322&lt;100)),"Behind — past end date",IF(AND(T322&lt;&gt;"",X322&lt;&gt;"",Z322&lt;&gt;"",(Z322&lt;100),((TODAY()-T322)/MAX(X322-T322,1)*100)-Z322&gt;15),"Behind — progress lag",IF(AND(X322-TODAY()&lt;=30,X322-TODAY()&gt;=0,OR(Z322="",Z322&lt;90)),"At risk — close to off track","On track"))))))))</t>
        </is>
      </c>
      <c r="AH322" s="49" t="inlineStr">
        <is>
          <t>IF(OR(F322="",AC322="Completed / Handover",AC322="Cancelled"),"",IF(O322="Not awarded",IF(U322&lt;&gt;"",U322-TODAY(),IF(X322="","",X322-TODAY())),IF(X322="","",X322-TODAY())))</t>
        </is>
      </c>
      <c r="AI322" s="54" t="n"/>
      <c r="AJ322" s="54" t="n"/>
      <c r="AK322" s="54" t="n"/>
      <c r="AL322" s="54" t="n"/>
      <c r="AM322" s="54" t="n"/>
      <c r="AN322" s="54" t="n"/>
      <c r="AO322" s="54" t="n"/>
      <c r="AP322" s="54" t="n"/>
      <c r="AQ322" s="54" t="n"/>
      <c r="AR322" s="54" t="n"/>
      <c r="AS322" s="54" t="n"/>
      <c r="AT322" s="50" t="n"/>
      <c r="AU322" s="50" t="n"/>
      <c r="AV322" s="50" t="n"/>
      <c r="AW322" s="49" t="inlineStr">
        <is>
          <t>IF(OR(F322="",AJ322=""),"",IF(COUNT(AI322:AI322)=0,"",AJ322-LOOKUP(2,1/(AI322:AI322&lt;&gt;""),AI322:AI322)))</t>
        </is>
      </c>
      <c r="AX322" s="49" t="inlineStr">
        <is>
          <t>IF(OR(F322="",AK322=""),"",IF(COUNT(AI322:AJ322)=0,"",AK322-LOOKUP(2,1/(AI322:AJ322&lt;&gt;""),AI322:AJ322)))</t>
        </is>
      </c>
      <c r="AY322" s="49" t="inlineStr">
        <is>
          <t>IF(OR(F322="",AL322=""),"",IF(COUNT(AI322:AK322)=0,"",AL322-LOOKUP(2,1/(AI322:AK322&lt;&gt;""),AI322:AK322)))</t>
        </is>
      </c>
      <c r="AZ322" s="49" t="inlineStr">
        <is>
          <t>IF(OR(F322="",AM322=""),"",IF(COUNT(AI322:AL322)=0,"",AM322-LOOKUP(2,1/(AI322:AL322&lt;&gt;""),AI322:AL322)))</t>
        </is>
      </c>
      <c r="BA322" s="49" t="inlineStr">
        <is>
          <t>IF(OR(F322="",AN322=""),"",IF(COUNT(AI322:AM322)=0,"",AN322-LOOKUP(2,1/(AI322:AM322&lt;&gt;""),AI322:AM322)))</t>
        </is>
      </c>
      <c r="BB322" s="49" t="inlineStr">
        <is>
          <t>IF(OR(F322="",AO322=""),"",IF(COUNT(AI322:AN322)=0,"",AO322-LOOKUP(2,1/(AI322:AN322&lt;&gt;""),AI322:AN322)))</t>
        </is>
      </c>
      <c r="BC322" s="49" t="inlineStr">
        <is>
          <t>IF(OR(F322="",AP322=""),"",IF(COUNT(AI322:AO322)=0,"",AP322-LOOKUP(2,1/(AI322:AO322&lt;&gt;""),AI322:AO322)))</t>
        </is>
      </c>
      <c r="BD322" s="49" t="inlineStr">
        <is>
          <t>IF(OR(F322="",AQ322=""),"",IF(COUNT(AI322:AP322)=0,"",AQ322-LOOKUP(2,1/(AI322:AP322&lt;&gt;""),AI322:AP322)))</t>
        </is>
      </c>
      <c r="BE322" s="49" t="inlineStr">
        <is>
          <t>IF(OR(F322="",AR322=""),"",IF(COUNT(AI322:AQ322)=0,"",AR322-LOOKUP(2,1/(AI322:AQ322&lt;&gt;""),AI322:AQ322)))</t>
        </is>
      </c>
      <c r="BF322" s="49" t="inlineStr">
        <is>
          <t>IF(OR(F322="",AS322=""),"",IF(COUNT(AI322:AR322)=0,"",AS322-LOOKUP(2,1/(AI322:AR322&lt;&gt;""),AI322:AR322)))</t>
        </is>
      </c>
      <c r="BG322" s="49" t="inlineStr">
        <is>
          <t>IF(OR(F322="",AT322=""),"",IF(COUNT(AI322:AS322)=0,"",AT322-LOOKUP(2,1/(AI322:AS322&lt;&gt;""),AI322:AS322)))</t>
        </is>
      </c>
      <c r="BH322" s="49" t="inlineStr">
        <is>
          <t>IF(OR(F322="",AU322=""),"",IF(COUNT(AI322:AT322)=0,"",AU322-LOOKUP(2,1/(AI322:AT322&lt;&gt;""),AI322:AT322)))</t>
        </is>
      </c>
      <c r="BI322" s="49" t="inlineStr">
        <is>
          <t>IF(OR(F322="",AV322=""),"",IF(COUNT(AI322:AU322)=0,"",AV322-LOOKUP(2,1/(AI322:AU322&lt;&gt;""),AI322:AU322)))</t>
        </is>
      </c>
      <c r="BJ322" s="51" t="inlineStr">
        <is>
          <t>IF(J322="","All_Provinces",IFERROR(VLOOKUP(J322,'09_Lookups'!$A$4:$B$20,2,FALSE),"All_Provinces"))</t>
        </is>
      </c>
      <c r="BK322" s="51" t="inlineStr">
        <is>
          <t>IF(K322="","All_Districts",IFERROR(VLOOKUP(K322,'09_Lookups'!$E$4:$F$42,2,FALSE),"All_Districts"))</t>
        </is>
      </c>
    </row>
    <row r="323" ht="18" customHeight="1">
      <c r="A323" s="42" t="inlineStr">
        <is>
          <t>IF(F323="","",ROW()-3)</t>
        </is>
      </c>
      <c r="B323" s="44" t="n"/>
      <c r="C323" s="44" t="n"/>
      <c r="D323" s="44" t="n"/>
      <c r="E323" s="44" t="n"/>
      <c r="F323" s="44" t="n"/>
      <c r="G323" s="44" t="n"/>
      <c r="H323" s="44" t="n"/>
      <c r="I323" s="44" t="n"/>
      <c r="J323" s="44" t="n"/>
      <c r="K323" s="44" t="n"/>
      <c r="L323" s="44" t="n"/>
      <c r="M323" s="44" t="n"/>
      <c r="N323" s="44" t="n"/>
      <c r="O323" s="44" t="n"/>
      <c r="P323" s="44" t="n"/>
      <c r="Q323" s="44" t="n"/>
      <c r="R323" s="44" t="n"/>
      <c r="S323" s="45" t="n"/>
      <c r="T323" s="46" t="inlineStr">
        <is>
          <t>IF(AQ323="","",AQ323)</t>
        </is>
      </c>
      <c r="U323" s="47" t="n"/>
      <c r="V323" s="48" t="n"/>
      <c r="W323" s="47" t="n"/>
      <c r="X323" s="46" t="inlineStr">
        <is>
          <t>IF(W323&lt;&gt;"",W323,IF(OR(T323="",V323=""),"",EDATE(T323,V323)))</t>
        </is>
      </c>
      <c r="Y323" s="47" t="n"/>
      <c r="Z323" s="48" t="n"/>
      <c r="AA323" s="44" t="n"/>
      <c r="AB323" s="44" t="n"/>
      <c r="AC323" s="42" t="inlineStr">
        <is>
          <t>IF(F323="","",IF(COUNT(AI323:AV323)=0,IF(AA323="","Not started",AA323),SUBSTITUTE(LOOKUP(2,1/(AI323:AV323&lt;&gt;""),$AI$3:$AV$3),"Date: ","")))</t>
        </is>
      </c>
      <c r="AD323" s="49" t="inlineStr">
        <is>
          <t>IF(OR(F323="",COUNT(AI323:AV323)=0),"",TODAY()-LOOKUP(2,1/(AI323:AV323&lt;&gt;""),AI323:AV323))</t>
        </is>
      </c>
      <c r="AE323" s="49" t="inlineStr">
        <is>
          <t>IF(OR(F323="",COUNT(AI323:AV323)&lt;2),"",LOOKUP(2,1/(AI323:AV323&lt;&gt;""),AI323:AV323)-MIN(AI323:AV323))</t>
        </is>
      </c>
      <c r="AF323" s="49" t="inlineStr">
        <is>
          <t>IF(OR(AD323="",AC323="Not started",AC323=""),"",IFERROR(AD323-IF(VLOOKUP(AC323,'06_Status_Pipeline'!$B$3:$E$20,4,FALSE)="",0,VLOOKUP(AC323,'06_Status_Pipeline'!$B$3:$E$20,4,FALSE)),""))</t>
        </is>
      </c>
      <c r="AG323" s="42" t="inlineStr">
        <is>
          <t>IF(F323="","",IF(OR(AA323="Cancelled",AC323="Cancelled"),"Cancelled",IF(OR(AC323="Completed / Handover",Y323&lt;&gt;"",Z323&gt;=100),"Completed — on track",IF(O323="Not awarded",IF(U323="",IF(X323="","No planned date",IF(TODAY()&gt;X323,"Behind — past planned date",IF(X323-TODAY()&lt;=30,"At risk — close to off track","On track"))),IF(TODAY()&gt;U323,"Behind — award date passed",IF(U323-TODAY()&lt;=30,"At risk — close to off track","On track"))),IF(X323="","No planned date",IF(AND(TODAY()&gt;X323,OR(Z323="",Z323&lt;100)),"Behind — past end date",IF(AND(T323&lt;&gt;"",X323&lt;&gt;"",Z323&lt;&gt;"",(Z323&lt;100),((TODAY()-T323)/MAX(X323-T323,1)*100)-Z323&gt;15),"Behind — progress lag",IF(AND(X323-TODAY()&lt;=30,X323-TODAY()&gt;=0,OR(Z323="",Z323&lt;90)),"At risk — close to off track","On track"))))))))</t>
        </is>
      </c>
      <c r="AH323" s="49" t="inlineStr">
        <is>
          <t>IF(OR(F323="",AC323="Completed / Handover",AC323="Cancelled"),"",IF(O323="Not awarded",IF(U323&lt;&gt;"",U323-TODAY(),IF(X323="","",X323-TODAY())),IF(X323="","",X323-TODAY())))</t>
        </is>
      </c>
      <c r="AI323" s="47" t="n"/>
      <c r="AJ323" s="47" t="n"/>
      <c r="AK323" s="47" t="n"/>
      <c r="AL323" s="47" t="n"/>
      <c r="AM323" s="47" t="n"/>
      <c r="AN323" s="47" t="n"/>
      <c r="AO323" s="47" t="n"/>
      <c r="AP323" s="47" t="n"/>
      <c r="AQ323" s="47" t="n"/>
      <c r="AR323" s="47" t="n"/>
      <c r="AS323" s="47" t="n"/>
      <c r="AT323" s="50" t="n"/>
      <c r="AU323" s="50" t="n"/>
      <c r="AV323" s="50" t="n"/>
      <c r="AW323" s="49" t="inlineStr">
        <is>
          <t>IF(OR(F323="",AJ323=""),"",IF(COUNT(AI323:AI323)=0,"",AJ323-LOOKUP(2,1/(AI323:AI323&lt;&gt;""),AI323:AI323)))</t>
        </is>
      </c>
      <c r="AX323" s="49" t="inlineStr">
        <is>
          <t>IF(OR(F323="",AK323=""),"",IF(COUNT(AI323:AJ323)=0,"",AK323-LOOKUP(2,1/(AI323:AJ323&lt;&gt;""),AI323:AJ323)))</t>
        </is>
      </c>
      <c r="AY323" s="49" t="inlineStr">
        <is>
          <t>IF(OR(F323="",AL323=""),"",IF(COUNT(AI323:AK323)=0,"",AL323-LOOKUP(2,1/(AI323:AK323&lt;&gt;""),AI323:AK323)))</t>
        </is>
      </c>
      <c r="AZ323" s="49" t="inlineStr">
        <is>
          <t>IF(OR(F323="",AM323=""),"",IF(COUNT(AI323:AL323)=0,"",AM323-LOOKUP(2,1/(AI323:AL323&lt;&gt;""),AI323:AL323)))</t>
        </is>
      </c>
      <c r="BA323" s="49" t="inlineStr">
        <is>
          <t>IF(OR(F323="",AN323=""),"",IF(COUNT(AI323:AM323)=0,"",AN323-LOOKUP(2,1/(AI323:AM323&lt;&gt;""),AI323:AM323)))</t>
        </is>
      </c>
      <c r="BB323" s="49" t="inlineStr">
        <is>
          <t>IF(OR(F323="",AO323=""),"",IF(COUNT(AI323:AN323)=0,"",AO323-LOOKUP(2,1/(AI323:AN323&lt;&gt;""),AI323:AN323)))</t>
        </is>
      </c>
      <c r="BC323" s="49" t="inlineStr">
        <is>
          <t>IF(OR(F323="",AP323=""),"",IF(COUNT(AI323:AO323)=0,"",AP323-LOOKUP(2,1/(AI323:AO323&lt;&gt;""),AI323:AO323)))</t>
        </is>
      </c>
      <c r="BD323" s="49" t="inlineStr">
        <is>
          <t>IF(OR(F323="",AQ323=""),"",IF(COUNT(AI323:AP323)=0,"",AQ323-LOOKUP(2,1/(AI323:AP323&lt;&gt;""),AI323:AP323)))</t>
        </is>
      </c>
      <c r="BE323" s="49" t="inlineStr">
        <is>
          <t>IF(OR(F323="",AR323=""),"",IF(COUNT(AI323:AQ323)=0,"",AR323-LOOKUP(2,1/(AI323:AQ323&lt;&gt;""),AI323:AQ323)))</t>
        </is>
      </c>
      <c r="BF323" s="49" t="inlineStr">
        <is>
          <t>IF(OR(F323="",AS323=""),"",IF(COUNT(AI323:AR323)=0,"",AS323-LOOKUP(2,1/(AI323:AR323&lt;&gt;""),AI323:AR323)))</t>
        </is>
      </c>
      <c r="BG323" s="49" t="inlineStr">
        <is>
          <t>IF(OR(F323="",AT323=""),"",IF(COUNT(AI323:AS323)=0,"",AT323-LOOKUP(2,1/(AI323:AS323&lt;&gt;""),AI323:AS323)))</t>
        </is>
      </c>
      <c r="BH323" s="49" t="inlineStr">
        <is>
          <t>IF(OR(F323="",AU323=""),"",IF(COUNT(AI323:AT323)=0,"",AU323-LOOKUP(2,1/(AI323:AT323&lt;&gt;""),AI323:AT323)))</t>
        </is>
      </c>
      <c r="BI323" s="49" t="inlineStr">
        <is>
          <t>IF(OR(F323="",AV323=""),"",IF(COUNT(AI323:AU323)=0,"",AV323-LOOKUP(2,1/(AI323:AU323&lt;&gt;""),AI323:AU323)))</t>
        </is>
      </c>
      <c r="BJ323" s="51" t="inlineStr">
        <is>
          <t>IF(J323="","All_Provinces",IFERROR(VLOOKUP(J323,'09_Lookups'!$A$4:$B$20,2,FALSE),"All_Provinces"))</t>
        </is>
      </c>
      <c r="BK323" s="51" t="inlineStr">
        <is>
          <t>IF(K323="","All_Districts",IFERROR(VLOOKUP(K323,'09_Lookups'!$E$4:$F$42,2,FALSE),"All_Districts"))</t>
        </is>
      </c>
    </row>
    <row r="324" ht="18" customHeight="1">
      <c r="A324" s="42" t="inlineStr">
        <is>
          <t>IF(F324="","",ROW()-3)</t>
        </is>
      </c>
      <c r="B324" s="52" t="n"/>
      <c r="C324" s="52" t="n"/>
      <c r="D324" s="52" t="n"/>
      <c r="E324" s="52" t="n"/>
      <c r="F324" s="52" t="n"/>
      <c r="G324" s="52" t="n"/>
      <c r="H324" s="52" t="n"/>
      <c r="I324" s="52" t="n"/>
      <c r="J324" s="52" t="n"/>
      <c r="K324" s="52" t="n"/>
      <c r="L324" s="52" t="n"/>
      <c r="M324" s="52" t="n"/>
      <c r="N324" s="52" t="n"/>
      <c r="O324" s="52" t="n"/>
      <c r="P324" s="52" t="n"/>
      <c r="Q324" s="52" t="n"/>
      <c r="R324" s="52" t="n"/>
      <c r="S324" s="53" t="n"/>
      <c r="T324" s="46" t="inlineStr">
        <is>
          <t>IF(AQ324="","",AQ324)</t>
        </is>
      </c>
      <c r="U324" s="54" t="n"/>
      <c r="V324" s="55" t="n"/>
      <c r="W324" s="54" t="n"/>
      <c r="X324" s="46" t="inlineStr">
        <is>
          <t>IF(W324&lt;&gt;"",W324,IF(OR(T324="",V324=""),"",EDATE(T324,V324)))</t>
        </is>
      </c>
      <c r="Y324" s="54" t="n"/>
      <c r="Z324" s="55" t="n"/>
      <c r="AA324" s="52" t="n"/>
      <c r="AB324" s="52" t="n"/>
      <c r="AC324" s="42" t="inlineStr">
        <is>
          <t>IF(F324="","",IF(COUNT(AI324:AV324)=0,IF(AA324="","Not started",AA324),SUBSTITUTE(LOOKUP(2,1/(AI324:AV324&lt;&gt;""),$AI$3:$AV$3),"Date: ","")))</t>
        </is>
      </c>
      <c r="AD324" s="49" t="inlineStr">
        <is>
          <t>IF(OR(F324="",COUNT(AI324:AV324)=0),"",TODAY()-LOOKUP(2,1/(AI324:AV324&lt;&gt;""),AI324:AV324))</t>
        </is>
      </c>
      <c r="AE324" s="49" t="inlineStr">
        <is>
          <t>IF(OR(F324="",COUNT(AI324:AV324)&lt;2),"",LOOKUP(2,1/(AI324:AV324&lt;&gt;""),AI324:AV324)-MIN(AI324:AV324))</t>
        </is>
      </c>
      <c r="AF324" s="49" t="inlineStr">
        <is>
          <t>IF(OR(AD324="",AC324="Not started",AC324=""),"",IFERROR(AD324-IF(VLOOKUP(AC324,'06_Status_Pipeline'!$B$3:$E$20,4,FALSE)="",0,VLOOKUP(AC324,'06_Status_Pipeline'!$B$3:$E$20,4,FALSE)),""))</t>
        </is>
      </c>
      <c r="AG324" s="42" t="inlineStr">
        <is>
          <t>IF(F324="","",IF(OR(AA324="Cancelled",AC324="Cancelled"),"Cancelled",IF(OR(AC324="Completed / Handover",Y324&lt;&gt;"",Z324&gt;=100),"Completed — on track",IF(O324="Not awarded",IF(U324="",IF(X324="","No planned date",IF(TODAY()&gt;X324,"Behind — past planned date",IF(X324-TODAY()&lt;=30,"At risk — close to off track","On track"))),IF(TODAY()&gt;U324,"Behind — award date passed",IF(U324-TODAY()&lt;=30,"At risk — close to off track","On track"))),IF(X324="","No planned date",IF(AND(TODAY()&gt;X324,OR(Z324="",Z324&lt;100)),"Behind — past end date",IF(AND(T324&lt;&gt;"",X324&lt;&gt;"",Z324&lt;&gt;"",(Z324&lt;100),((TODAY()-T324)/MAX(X324-T324,1)*100)-Z324&gt;15),"Behind — progress lag",IF(AND(X324-TODAY()&lt;=30,X324-TODAY()&gt;=0,OR(Z324="",Z324&lt;90)),"At risk — close to off track","On track"))))))))</t>
        </is>
      </c>
      <c r="AH324" s="49" t="inlineStr">
        <is>
          <t>IF(OR(F324="",AC324="Completed / Handover",AC324="Cancelled"),"",IF(O324="Not awarded",IF(U324&lt;&gt;"",U324-TODAY(),IF(X324="","",X324-TODAY())),IF(X324="","",X324-TODAY())))</t>
        </is>
      </c>
      <c r="AI324" s="54" t="n"/>
      <c r="AJ324" s="54" t="n"/>
      <c r="AK324" s="54" t="n"/>
      <c r="AL324" s="54" t="n"/>
      <c r="AM324" s="54" t="n"/>
      <c r="AN324" s="54" t="n"/>
      <c r="AO324" s="54" t="n"/>
      <c r="AP324" s="54" t="n"/>
      <c r="AQ324" s="54" t="n"/>
      <c r="AR324" s="54" t="n"/>
      <c r="AS324" s="54" t="n"/>
      <c r="AT324" s="50" t="n"/>
      <c r="AU324" s="50" t="n"/>
      <c r="AV324" s="50" t="n"/>
      <c r="AW324" s="49" t="inlineStr">
        <is>
          <t>IF(OR(F324="",AJ324=""),"",IF(COUNT(AI324:AI324)=0,"",AJ324-LOOKUP(2,1/(AI324:AI324&lt;&gt;""),AI324:AI324)))</t>
        </is>
      </c>
      <c r="AX324" s="49" t="inlineStr">
        <is>
          <t>IF(OR(F324="",AK324=""),"",IF(COUNT(AI324:AJ324)=0,"",AK324-LOOKUP(2,1/(AI324:AJ324&lt;&gt;""),AI324:AJ324)))</t>
        </is>
      </c>
      <c r="AY324" s="49" t="inlineStr">
        <is>
          <t>IF(OR(F324="",AL324=""),"",IF(COUNT(AI324:AK324)=0,"",AL324-LOOKUP(2,1/(AI324:AK324&lt;&gt;""),AI324:AK324)))</t>
        </is>
      </c>
      <c r="AZ324" s="49" t="inlineStr">
        <is>
          <t>IF(OR(F324="",AM324=""),"",IF(COUNT(AI324:AL324)=0,"",AM324-LOOKUP(2,1/(AI324:AL324&lt;&gt;""),AI324:AL324)))</t>
        </is>
      </c>
      <c r="BA324" s="49" t="inlineStr">
        <is>
          <t>IF(OR(F324="",AN324=""),"",IF(COUNT(AI324:AM324)=0,"",AN324-LOOKUP(2,1/(AI324:AM324&lt;&gt;""),AI324:AM324)))</t>
        </is>
      </c>
      <c r="BB324" s="49" t="inlineStr">
        <is>
          <t>IF(OR(F324="",AO324=""),"",IF(COUNT(AI324:AN324)=0,"",AO324-LOOKUP(2,1/(AI324:AN324&lt;&gt;""),AI324:AN324)))</t>
        </is>
      </c>
      <c r="BC324" s="49" t="inlineStr">
        <is>
          <t>IF(OR(F324="",AP324=""),"",IF(COUNT(AI324:AO324)=0,"",AP324-LOOKUP(2,1/(AI324:AO324&lt;&gt;""),AI324:AO324)))</t>
        </is>
      </c>
      <c r="BD324" s="49" t="inlineStr">
        <is>
          <t>IF(OR(F324="",AQ324=""),"",IF(COUNT(AI324:AP324)=0,"",AQ324-LOOKUP(2,1/(AI324:AP324&lt;&gt;""),AI324:AP324)))</t>
        </is>
      </c>
      <c r="BE324" s="49" t="inlineStr">
        <is>
          <t>IF(OR(F324="",AR324=""),"",IF(COUNT(AI324:AQ324)=0,"",AR324-LOOKUP(2,1/(AI324:AQ324&lt;&gt;""),AI324:AQ324)))</t>
        </is>
      </c>
      <c r="BF324" s="49" t="inlineStr">
        <is>
          <t>IF(OR(F324="",AS324=""),"",IF(COUNT(AI324:AR324)=0,"",AS324-LOOKUP(2,1/(AI324:AR324&lt;&gt;""),AI324:AR324)))</t>
        </is>
      </c>
      <c r="BG324" s="49" t="inlineStr">
        <is>
          <t>IF(OR(F324="",AT324=""),"",IF(COUNT(AI324:AS324)=0,"",AT324-LOOKUP(2,1/(AI324:AS324&lt;&gt;""),AI324:AS324)))</t>
        </is>
      </c>
      <c r="BH324" s="49" t="inlineStr">
        <is>
          <t>IF(OR(F324="",AU324=""),"",IF(COUNT(AI324:AT324)=0,"",AU324-LOOKUP(2,1/(AI324:AT324&lt;&gt;""),AI324:AT324)))</t>
        </is>
      </c>
      <c r="BI324" s="49" t="inlineStr">
        <is>
          <t>IF(OR(F324="",AV324=""),"",IF(COUNT(AI324:AU324)=0,"",AV324-LOOKUP(2,1/(AI324:AU324&lt;&gt;""),AI324:AU324)))</t>
        </is>
      </c>
      <c r="BJ324" s="51" t="inlineStr">
        <is>
          <t>IF(J324="","All_Provinces",IFERROR(VLOOKUP(J324,'09_Lookups'!$A$4:$B$20,2,FALSE),"All_Provinces"))</t>
        </is>
      </c>
      <c r="BK324" s="51" t="inlineStr">
        <is>
          <t>IF(K324="","All_Districts",IFERROR(VLOOKUP(K324,'09_Lookups'!$E$4:$F$42,2,FALSE),"All_Districts"))</t>
        </is>
      </c>
    </row>
    <row r="325" ht="18" customHeight="1">
      <c r="A325" s="42" t="inlineStr">
        <is>
          <t>IF(F325="","",ROW()-3)</t>
        </is>
      </c>
      <c r="B325" s="44" t="n"/>
      <c r="C325" s="44" t="n"/>
      <c r="D325" s="44" t="n"/>
      <c r="E325" s="44" t="n"/>
      <c r="F325" s="44" t="n"/>
      <c r="G325" s="44" t="n"/>
      <c r="H325" s="44" t="n"/>
      <c r="I325" s="44" t="n"/>
      <c r="J325" s="44" t="n"/>
      <c r="K325" s="44" t="n"/>
      <c r="L325" s="44" t="n"/>
      <c r="M325" s="44" t="n"/>
      <c r="N325" s="44" t="n"/>
      <c r="O325" s="44" t="n"/>
      <c r="P325" s="44" t="n"/>
      <c r="Q325" s="44" t="n"/>
      <c r="R325" s="44" t="n"/>
      <c r="S325" s="45" t="n"/>
      <c r="T325" s="46" t="inlineStr">
        <is>
          <t>IF(AQ325="","",AQ325)</t>
        </is>
      </c>
      <c r="U325" s="47" t="n"/>
      <c r="V325" s="48" t="n"/>
      <c r="W325" s="47" t="n"/>
      <c r="X325" s="46" t="inlineStr">
        <is>
          <t>IF(W325&lt;&gt;"",W325,IF(OR(T325="",V325=""),"",EDATE(T325,V325)))</t>
        </is>
      </c>
      <c r="Y325" s="47" t="n"/>
      <c r="Z325" s="48" t="n"/>
      <c r="AA325" s="44" t="n"/>
      <c r="AB325" s="44" t="n"/>
      <c r="AC325" s="42" t="inlineStr">
        <is>
          <t>IF(F325="","",IF(COUNT(AI325:AV325)=0,IF(AA325="","Not started",AA325),SUBSTITUTE(LOOKUP(2,1/(AI325:AV325&lt;&gt;""),$AI$3:$AV$3),"Date: ","")))</t>
        </is>
      </c>
      <c r="AD325" s="49" t="inlineStr">
        <is>
          <t>IF(OR(F325="",COUNT(AI325:AV325)=0),"",TODAY()-LOOKUP(2,1/(AI325:AV325&lt;&gt;""),AI325:AV325))</t>
        </is>
      </c>
      <c r="AE325" s="49" t="inlineStr">
        <is>
          <t>IF(OR(F325="",COUNT(AI325:AV325)&lt;2),"",LOOKUP(2,1/(AI325:AV325&lt;&gt;""),AI325:AV325)-MIN(AI325:AV325))</t>
        </is>
      </c>
      <c r="AF325" s="49" t="inlineStr">
        <is>
          <t>IF(OR(AD325="",AC325="Not started",AC325=""),"",IFERROR(AD325-IF(VLOOKUP(AC325,'06_Status_Pipeline'!$B$3:$E$20,4,FALSE)="",0,VLOOKUP(AC325,'06_Status_Pipeline'!$B$3:$E$20,4,FALSE)),""))</t>
        </is>
      </c>
      <c r="AG325" s="42" t="inlineStr">
        <is>
          <t>IF(F325="","",IF(OR(AA325="Cancelled",AC325="Cancelled"),"Cancelled",IF(OR(AC325="Completed / Handover",Y325&lt;&gt;"",Z325&gt;=100),"Completed — on track",IF(O325="Not awarded",IF(U325="",IF(X325="","No planned date",IF(TODAY()&gt;X325,"Behind — past planned date",IF(X325-TODAY()&lt;=30,"At risk — close to off track","On track"))),IF(TODAY()&gt;U325,"Behind — award date passed",IF(U325-TODAY()&lt;=30,"At risk — close to off track","On track"))),IF(X325="","No planned date",IF(AND(TODAY()&gt;X325,OR(Z325="",Z325&lt;100)),"Behind — past end date",IF(AND(T325&lt;&gt;"",X325&lt;&gt;"",Z325&lt;&gt;"",(Z325&lt;100),((TODAY()-T325)/MAX(X325-T325,1)*100)-Z325&gt;15),"Behind — progress lag",IF(AND(X325-TODAY()&lt;=30,X325-TODAY()&gt;=0,OR(Z325="",Z325&lt;90)),"At risk — close to off track","On track"))))))))</t>
        </is>
      </c>
      <c r="AH325" s="49" t="inlineStr">
        <is>
          <t>IF(OR(F325="",AC325="Completed / Handover",AC325="Cancelled"),"",IF(O325="Not awarded",IF(U325&lt;&gt;"",U325-TODAY(),IF(X325="","",X325-TODAY())),IF(X325="","",X325-TODAY())))</t>
        </is>
      </c>
      <c r="AI325" s="47" t="n"/>
      <c r="AJ325" s="47" t="n"/>
      <c r="AK325" s="47" t="n"/>
      <c r="AL325" s="47" t="n"/>
      <c r="AM325" s="47" t="n"/>
      <c r="AN325" s="47" t="n"/>
      <c r="AO325" s="47" t="n"/>
      <c r="AP325" s="47" t="n"/>
      <c r="AQ325" s="47" t="n"/>
      <c r="AR325" s="47" t="n"/>
      <c r="AS325" s="47" t="n"/>
      <c r="AT325" s="50" t="n"/>
      <c r="AU325" s="50" t="n"/>
      <c r="AV325" s="50" t="n"/>
      <c r="AW325" s="49" t="inlineStr">
        <is>
          <t>IF(OR(F325="",AJ325=""),"",IF(COUNT(AI325:AI325)=0,"",AJ325-LOOKUP(2,1/(AI325:AI325&lt;&gt;""),AI325:AI325)))</t>
        </is>
      </c>
      <c r="AX325" s="49" t="inlineStr">
        <is>
          <t>IF(OR(F325="",AK325=""),"",IF(COUNT(AI325:AJ325)=0,"",AK325-LOOKUP(2,1/(AI325:AJ325&lt;&gt;""),AI325:AJ325)))</t>
        </is>
      </c>
      <c r="AY325" s="49" t="inlineStr">
        <is>
          <t>IF(OR(F325="",AL325=""),"",IF(COUNT(AI325:AK325)=0,"",AL325-LOOKUP(2,1/(AI325:AK325&lt;&gt;""),AI325:AK325)))</t>
        </is>
      </c>
      <c r="AZ325" s="49" t="inlineStr">
        <is>
          <t>IF(OR(F325="",AM325=""),"",IF(COUNT(AI325:AL325)=0,"",AM325-LOOKUP(2,1/(AI325:AL325&lt;&gt;""),AI325:AL325)))</t>
        </is>
      </c>
      <c r="BA325" s="49" t="inlineStr">
        <is>
          <t>IF(OR(F325="",AN325=""),"",IF(COUNT(AI325:AM325)=0,"",AN325-LOOKUP(2,1/(AI325:AM325&lt;&gt;""),AI325:AM325)))</t>
        </is>
      </c>
      <c r="BB325" s="49" t="inlineStr">
        <is>
          <t>IF(OR(F325="",AO325=""),"",IF(COUNT(AI325:AN325)=0,"",AO325-LOOKUP(2,1/(AI325:AN325&lt;&gt;""),AI325:AN325)))</t>
        </is>
      </c>
      <c r="BC325" s="49" t="inlineStr">
        <is>
          <t>IF(OR(F325="",AP325=""),"",IF(COUNT(AI325:AO325)=0,"",AP325-LOOKUP(2,1/(AI325:AO325&lt;&gt;""),AI325:AO325)))</t>
        </is>
      </c>
      <c r="BD325" s="49" t="inlineStr">
        <is>
          <t>IF(OR(F325="",AQ325=""),"",IF(COUNT(AI325:AP325)=0,"",AQ325-LOOKUP(2,1/(AI325:AP325&lt;&gt;""),AI325:AP325)))</t>
        </is>
      </c>
      <c r="BE325" s="49" t="inlineStr">
        <is>
          <t>IF(OR(F325="",AR325=""),"",IF(COUNT(AI325:AQ325)=0,"",AR325-LOOKUP(2,1/(AI325:AQ325&lt;&gt;""),AI325:AQ325)))</t>
        </is>
      </c>
      <c r="BF325" s="49" t="inlineStr">
        <is>
          <t>IF(OR(F325="",AS325=""),"",IF(COUNT(AI325:AR325)=0,"",AS325-LOOKUP(2,1/(AI325:AR325&lt;&gt;""),AI325:AR325)))</t>
        </is>
      </c>
      <c r="BG325" s="49" t="inlineStr">
        <is>
          <t>IF(OR(F325="",AT325=""),"",IF(COUNT(AI325:AS325)=0,"",AT325-LOOKUP(2,1/(AI325:AS325&lt;&gt;""),AI325:AS325)))</t>
        </is>
      </c>
      <c r="BH325" s="49" t="inlineStr">
        <is>
          <t>IF(OR(F325="",AU325=""),"",IF(COUNT(AI325:AT325)=0,"",AU325-LOOKUP(2,1/(AI325:AT325&lt;&gt;""),AI325:AT325)))</t>
        </is>
      </c>
      <c r="BI325" s="49" t="inlineStr">
        <is>
          <t>IF(OR(F325="",AV325=""),"",IF(COUNT(AI325:AU325)=0,"",AV325-LOOKUP(2,1/(AI325:AU325&lt;&gt;""),AI325:AU325)))</t>
        </is>
      </c>
      <c r="BJ325" s="51" t="inlineStr">
        <is>
          <t>IF(J325="","All_Provinces",IFERROR(VLOOKUP(J325,'09_Lookups'!$A$4:$B$20,2,FALSE),"All_Provinces"))</t>
        </is>
      </c>
      <c r="BK325" s="51" t="inlineStr">
        <is>
          <t>IF(K325="","All_Districts",IFERROR(VLOOKUP(K325,'09_Lookups'!$E$4:$F$42,2,FALSE),"All_Districts"))</t>
        </is>
      </c>
    </row>
    <row r="326" ht="18" customHeight="1">
      <c r="A326" s="42" t="inlineStr">
        <is>
          <t>IF(F326="","",ROW()-3)</t>
        </is>
      </c>
      <c r="B326" s="52" t="n"/>
      <c r="C326" s="52" t="n"/>
      <c r="D326" s="52" t="n"/>
      <c r="E326" s="52" t="n"/>
      <c r="F326" s="52" t="n"/>
      <c r="G326" s="52" t="n"/>
      <c r="H326" s="52" t="n"/>
      <c r="I326" s="52" t="n"/>
      <c r="J326" s="52" t="n"/>
      <c r="K326" s="52" t="n"/>
      <c r="L326" s="52" t="n"/>
      <c r="M326" s="52" t="n"/>
      <c r="N326" s="52" t="n"/>
      <c r="O326" s="52" t="n"/>
      <c r="P326" s="52" t="n"/>
      <c r="Q326" s="52" t="n"/>
      <c r="R326" s="52" t="n"/>
      <c r="S326" s="53" t="n"/>
      <c r="T326" s="46" t="inlineStr">
        <is>
          <t>IF(AQ326="","",AQ326)</t>
        </is>
      </c>
      <c r="U326" s="54" t="n"/>
      <c r="V326" s="55" t="n"/>
      <c r="W326" s="54" t="n"/>
      <c r="X326" s="46" t="inlineStr">
        <is>
          <t>IF(W326&lt;&gt;"",W326,IF(OR(T326="",V326=""),"",EDATE(T326,V326)))</t>
        </is>
      </c>
      <c r="Y326" s="54" t="n"/>
      <c r="Z326" s="55" t="n"/>
      <c r="AA326" s="52" t="n"/>
      <c r="AB326" s="52" t="n"/>
      <c r="AC326" s="42" t="inlineStr">
        <is>
          <t>IF(F326="","",IF(COUNT(AI326:AV326)=0,IF(AA326="","Not started",AA326),SUBSTITUTE(LOOKUP(2,1/(AI326:AV326&lt;&gt;""),$AI$3:$AV$3),"Date: ","")))</t>
        </is>
      </c>
      <c r="AD326" s="49" t="inlineStr">
        <is>
          <t>IF(OR(F326="",COUNT(AI326:AV326)=0),"",TODAY()-LOOKUP(2,1/(AI326:AV326&lt;&gt;""),AI326:AV326))</t>
        </is>
      </c>
      <c r="AE326" s="49" t="inlineStr">
        <is>
          <t>IF(OR(F326="",COUNT(AI326:AV326)&lt;2),"",LOOKUP(2,1/(AI326:AV326&lt;&gt;""),AI326:AV326)-MIN(AI326:AV326))</t>
        </is>
      </c>
      <c r="AF326" s="49" t="inlineStr">
        <is>
          <t>IF(OR(AD326="",AC326="Not started",AC326=""),"",IFERROR(AD326-IF(VLOOKUP(AC326,'06_Status_Pipeline'!$B$3:$E$20,4,FALSE)="",0,VLOOKUP(AC326,'06_Status_Pipeline'!$B$3:$E$20,4,FALSE)),""))</t>
        </is>
      </c>
      <c r="AG326" s="42" t="inlineStr">
        <is>
          <t>IF(F326="","",IF(OR(AA326="Cancelled",AC326="Cancelled"),"Cancelled",IF(OR(AC326="Completed / Handover",Y326&lt;&gt;"",Z326&gt;=100),"Completed — on track",IF(O326="Not awarded",IF(U326="",IF(X326="","No planned date",IF(TODAY()&gt;X326,"Behind — past planned date",IF(X326-TODAY()&lt;=30,"At risk — close to off track","On track"))),IF(TODAY()&gt;U326,"Behind — award date passed",IF(U326-TODAY()&lt;=30,"At risk — close to off track","On track"))),IF(X326="","No planned date",IF(AND(TODAY()&gt;X326,OR(Z326="",Z326&lt;100)),"Behind — past end date",IF(AND(T326&lt;&gt;"",X326&lt;&gt;"",Z326&lt;&gt;"",(Z326&lt;100),((TODAY()-T326)/MAX(X326-T326,1)*100)-Z326&gt;15),"Behind — progress lag",IF(AND(X326-TODAY()&lt;=30,X326-TODAY()&gt;=0,OR(Z326="",Z326&lt;90)),"At risk — close to off track","On track"))))))))</t>
        </is>
      </c>
      <c r="AH326" s="49" t="inlineStr">
        <is>
          <t>IF(OR(F326="",AC326="Completed / Handover",AC326="Cancelled"),"",IF(O326="Not awarded",IF(U326&lt;&gt;"",U326-TODAY(),IF(X326="","",X326-TODAY())),IF(X326="","",X326-TODAY())))</t>
        </is>
      </c>
      <c r="AI326" s="54" t="n"/>
      <c r="AJ326" s="54" t="n"/>
      <c r="AK326" s="54" t="n"/>
      <c r="AL326" s="54" t="n"/>
      <c r="AM326" s="54" t="n"/>
      <c r="AN326" s="54" t="n"/>
      <c r="AO326" s="54" t="n"/>
      <c r="AP326" s="54" t="n"/>
      <c r="AQ326" s="54" t="n"/>
      <c r="AR326" s="54" t="n"/>
      <c r="AS326" s="54" t="n"/>
      <c r="AT326" s="50" t="n"/>
      <c r="AU326" s="50" t="n"/>
      <c r="AV326" s="50" t="n"/>
      <c r="AW326" s="49" t="inlineStr">
        <is>
          <t>IF(OR(F326="",AJ326=""),"",IF(COUNT(AI326:AI326)=0,"",AJ326-LOOKUP(2,1/(AI326:AI326&lt;&gt;""),AI326:AI326)))</t>
        </is>
      </c>
      <c r="AX326" s="49" t="inlineStr">
        <is>
          <t>IF(OR(F326="",AK326=""),"",IF(COUNT(AI326:AJ326)=0,"",AK326-LOOKUP(2,1/(AI326:AJ326&lt;&gt;""),AI326:AJ326)))</t>
        </is>
      </c>
      <c r="AY326" s="49" t="inlineStr">
        <is>
          <t>IF(OR(F326="",AL326=""),"",IF(COUNT(AI326:AK326)=0,"",AL326-LOOKUP(2,1/(AI326:AK326&lt;&gt;""),AI326:AK326)))</t>
        </is>
      </c>
      <c r="AZ326" s="49" t="inlineStr">
        <is>
          <t>IF(OR(F326="",AM326=""),"",IF(COUNT(AI326:AL326)=0,"",AM326-LOOKUP(2,1/(AI326:AL326&lt;&gt;""),AI326:AL326)))</t>
        </is>
      </c>
      <c r="BA326" s="49" t="inlineStr">
        <is>
          <t>IF(OR(F326="",AN326=""),"",IF(COUNT(AI326:AM326)=0,"",AN326-LOOKUP(2,1/(AI326:AM326&lt;&gt;""),AI326:AM326)))</t>
        </is>
      </c>
      <c r="BB326" s="49" t="inlineStr">
        <is>
          <t>IF(OR(F326="",AO326=""),"",IF(COUNT(AI326:AN326)=0,"",AO326-LOOKUP(2,1/(AI326:AN326&lt;&gt;""),AI326:AN326)))</t>
        </is>
      </c>
      <c r="BC326" s="49" t="inlineStr">
        <is>
          <t>IF(OR(F326="",AP326=""),"",IF(COUNT(AI326:AO326)=0,"",AP326-LOOKUP(2,1/(AI326:AO326&lt;&gt;""),AI326:AO326)))</t>
        </is>
      </c>
      <c r="BD326" s="49" t="inlineStr">
        <is>
          <t>IF(OR(F326="",AQ326=""),"",IF(COUNT(AI326:AP326)=0,"",AQ326-LOOKUP(2,1/(AI326:AP326&lt;&gt;""),AI326:AP326)))</t>
        </is>
      </c>
      <c r="BE326" s="49" t="inlineStr">
        <is>
          <t>IF(OR(F326="",AR326=""),"",IF(COUNT(AI326:AQ326)=0,"",AR326-LOOKUP(2,1/(AI326:AQ326&lt;&gt;""),AI326:AQ326)))</t>
        </is>
      </c>
      <c r="BF326" s="49" t="inlineStr">
        <is>
          <t>IF(OR(F326="",AS326=""),"",IF(COUNT(AI326:AR326)=0,"",AS326-LOOKUP(2,1/(AI326:AR326&lt;&gt;""),AI326:AR326)))</t>
        </is>
      </c>
      <c r="BG326" s="49" t="inlineStr">
        <is>
          <t>IF(OR(F326="",AT326=""),"",IF(COUNT(AI326:AS326)=0,"",AT326-LOOKUP(2,1/(AI326:AS326&lt;&gt;""),AI326:AS326)))</t>
        </is>
      </c>
      <c r="BH326" s="49" t="inlineStr">
        <is>
          <t>IF(OR(F326="",AU326=""),"",IF(COUNT(AI326:AT326)=0,"",AU326-LOOKUP(2,1/(AI326:AT326&lt;&gt;""),AI326:AT326)))</t>
        </is>
      </c>
      <c r="BI326" s="49" t="inlineStr">
        <is>
          <t>IF(OR(F326="",AV326=""),"",IF(COUNT(AI326:AU326)=0,"",AV326-LOOKUP(2,1/(AI326:AU326&lt;&gt;""),AI326:AU326)))</t>
        </is>
      </c>
      <c r="BJ326" s="51" t="inlineStr">
        <is>
          <t>IF(J326="","All_Provinces",IFERROR(VLOOKUP(J326,'09_Lookups'!$A$4:$B$20,2,FALSE),"All_Provinces"))</t>
        </is>
      </c>
      <c r="BK326" s="51" t="inlineStr">
        <is>
          <t>IF(K326="","All_Districts",IFERROR(VLOOKUP(K326,'09_Lookups'!$E$4:$F$42,2,FALSE),"All_Districts"))</t>
        </is>
      </c>
    </row>
    <row r="327" ht="18" customHeight="1">
      <c r="A327" s="42" t="inlineStr">
        <is>
          <t>IF(F327="","",ROW()-3)</t>
        </is>
      </c>
      <c r="B327" s="44" t="n"/>
      <c r="C327" s="44" t="n"/>
      <c r="D327" s="44" t="n"/>
      <c r="E327" s="44" t="n"/>
      <c r="F327" s="44" t="n"/>
      <c r="G327" s="44" t="n"/>
      <c r="H327" s="44" t="n"/>
      <c r="I327" s="44" t="n"/>
      <c r="J327" s="44" t="n"/>
      <c r="K327" s="44" t="n"/>
      <c r="L327" s="44" t="n"/>
      <c r="M327" s="44" t="n"/>
      <c r="N327" s="44" t="n"/>
      <c r="O327" s="44" t="n"/>
      <c r="P327" s="44" t="n"/>
      <c r="Q327" s="44" t="n"/>
      <c r="R327" s="44" t="n"/>
      <c r="S327" s="45" t="n"/>
      <c r="T327" s="46" t="inlineStr">
        <is>
          <t>IF(AQ327="","",AQ327)</t>
        </is>
      </c>
      <c r="U327" s="47" t="n"/>
      <c r="V327" s="48" t="n"/>
      <c r="W327" s="47" t="n"/>
      <c r="X327" s="46" t="inlineStr">
        <is>
          <t>IF(W327&lt;&gt;"",W327,IF(OR(T327="",V327=""),"",EDATE(T327,V327)))</t>
        </is>
      </c>
      <c r="Y327" s="47" t="n"/>
      <c r="Z327" s="48" t="n"/>
      <c r="AA327" s="44" t="n"/>
      <c r="AB327" s="44" t="n"/>
      <c r="AC327" s="42" t="inlineStr">
        <is>
          <t>IF(F327="","",IF(COUNT(AI327:AV327)=0,IF(AA327="","Not started",AA327),SUBSTITUTE(LOOKUP(2,1/(AI327:AV327&lt;&gt;""),$AI$3:$AV$3),"Date: ","")))</t>
        </is>
      </c>
      <c r="AD327" s="49" t="inlineStr">
        <is>
          <t>IF(OR(F327="",COUNT(AI327:AV327)=0),"",TODAY()-LOOKUP(2,1/(AI327:AV327&lt;&gt;""),AI327:AV327))</t>
        </is>
      </c>
      <c r="AE327" s="49" t="inlineStr">
        <is>
          <t>IF(OR(F327="",COUNT(AI327:AV327)&lt;2),"",LOOKUP(2,1/(AI327:AV327&lt;&gt;""),AI327:AV327)-MIN(AI327:AV327))</t>
        </is>
      </c>
      <c r="AF327" s="49" t="inlineStr">
        <is>
          <t>IF(OR(AD327="",AC327="Not started",AC327=""),"",IFERROR(AD327-IF(VLOOKUP(AC327,'06_Status_Pipeline'!$B$3:$E$20,4,FALSE)="",0,VLOOKUP(AC327,'06_Status_Pipeline'!$B$3:$E$20,4,FALSE)),""))</t>
        </is>
      </c>
      <c r="AG327" s="42" t="inlineStr">
        <is>
          <t>IF(F327="","",IF(OR(AA327="Cancelled",AC327="Cancelled"),"Cancelled",IF(OR(AC327="Completed / Handover",Y327&lt;&gt;"",Z327&gt;=100),"Completed — on track",IF(O327="Not awarded",IF(U327="",IF(X327="","No planned date",IF(TODAY()&gt;X327,"Behind — past planned date",IF(X327-TODAY()&lt;=30,"At risk — close to off track","On track"))),IF(TODAY()&gt;U327,"Behind — award date passed",IF(U327-TODAY()&lt;=30,"At risk — close to off track","On track"))),IF(X327="","No planned date",IF(AND(TODAY()&gt;X327,OR(Z327="",Z327&lt;100)),"Behind — past end date",IF(AND(T327&lt;&gt;"",X327&lt;&gt;"",Z327&lt;&gt;"",(Z327&lt;100),((TODAY()-T327)/MAX(X327-T327,1)*100)-Z327&gt;15),"Behind — progress lag",IF(AND(X327-TODAY()&lt;=30,X327-TODAY()&gt;=0,OR(Z327="",Z327&lt;90)),"At risk — close to off track","On track"))))))))</t>
        </is>
      </c>
      <c r="AH327" s="49" t="inlineStr">
        <is>
          <t>IF(OR(F327="",AC327="Completed / Handover",AC327="Cancelled"),"",IF(O327="Not awarded",IF(U327&lt;&gt;"",U327-TODAY(),IF(X327="","",X327-TODAY())),IF(X327="","",X327-TODAY())))</t>
        </is>
      </c>
      <c r="AI327" s="47" t="n"/>
      <c r="AJ327" s="47" t="n"/>
      <c r="AK327" s="47" t="n"/>
      <c r="AL327" s="47" t="n"/>
      <c r="AM327" s="47" t="n"/>
      <c r="AN327" s="47" t="n"/>
      <c r="AO327" s="47" t="n"/>
      <c r="AP327" s="47" t="n"/>
      <c r="AQ327" s="47" t="n"/>
      <c r="AR327" s="47" t="n"/>
      <c r="AS327" s="47" t="n"/>
      <c r="AT327" s="50" t="n"/>
      <c r="AU327" s="50" t="n"/>
      <c r="AV327" s="50" t="n"/>
      <c r="AW327" s="49" t="inlineStr">
        <is>
          <t>IF(OR(F327="",AJ327=""),"",IF(COUNT(AI327:AI327)=0,"",AJ327-LOOKUP(2,1/(AI327:AI327&lt;&gt;""),AI327:AI327)))</t>
        </is>
      </c>
      <c r="AX327" s="49" t="inlineStr">
        <is>
          <t>IF(OR(F327="",AK327=""),"",IF(COUNT(AI327:AJ327)=0,"",AK327-LOOKUP(2,1/(AI327:AJ327&lt;&gt;""),AI327:AJ327)))</t>
        </is>
      </c>
      <c r="AY327" s="49" t="inlineStr">
        <is>
          <t>IF(OR(F327="",AL327=""),"",IF(COUNT(AI327:AK327)=0,"",AL327-LOOKUP(2,1/(AI327:AK327&lt;&gt;""),AI327:AK327)))</t>
        </is>
      </c>
      <c r="AZ327" s="49" t="inlineStr">
        <is>
          <t>IF(OR(F327="",AM327=""),"",IF(COUNT(AI327:AL327)=0,"",AM327-LOOKUP(2,1/(AI327:AL327&lt;&gt;""),AI327:AL327)))</t>
        </is>
      </c>
      <c r="BA327" s="49" t="inlineStr">
        <is>
          <t>IF(OR(F327="",AN327=""),"",IF(COUNT(AI327:AM327)=0,"",AN327-LOOKUP(2,1/(AI327:AM327&lt;&gt;""),AI327:AM327)))</t>
        </is>
      </c>
      <c r="BB327" s="49" t="inlineStr">
        <is>
          <t>IF(OR(F327="",AO327=""),"",IF(COUNT(AI327:AN327)=0,"",AO327-LOOKUP(2,1/(AI327:AN327&lt;&gt;""),AI327:AN327)))</t>
        </is>
      </c>
      <c r="BC327" s="49" t="inlineStr">
        <is>
          <t>IF(OR(F327="",AP327=""),"",IF(COUNT(AI327:AO327)=0,"",AP327-LOOKUP(2,1/(AI327:AO327&lt;&gt;""),AI327:AO327)))</t>
        </is>
      </c>
      <c r="BD327" s="49" t="inlineStr">
        <is>
          <t>IF(OR(F327="",AQ327=""),"",IF(COUNT(AI327:AP327)=0,"",AQ327-LOOKUP(2,1/(AI327:AP327&lt;&gt;""),AI327:AP327)))</t>
        </is>
      </c>
      <c r="BE327" s="49" t="inlineStr">
        <is>
          <t>IF(OR(F327="",AR327=""),"",IF(COUNT(AI327:AQ327)=0,"",AR327-LOOKUP(2,1/(AI327:AQ327&lt;&gt;""),AI327:AQ327)))</t>
        </is>
      </c>
      <c r="BF327" s="49" t="inlineStr">
        <is>
          <t>IF(OR(F327="",AS327=""),"",IF(COUNT(AI327:AR327)=0,"",AS327-LOOKUP(2,1/(AI327:AR327&lt;&gt;""),AI327:AR327)))</t>
        </is>
      </c>
      <c r="BG327" s="49" t="inlineStr">
        <is>
          <t>IF(OR(F327="",AT327=""),"",IF(COUNT(AI327:AS327)=0,"",AT327-LOOKUP(2,1/(AI327:AS327&lt;&gt;""),AI327:AS327)))</t>
        </is>
      </c>
      <c r="BH327" s="49" t="inlineStr">
        <is>
          <t>IF(OR(F327="",AU327=""),"",IF(COUNT(AI327:AT327)=0,"",AU327-LOOKUP(2,1/(AI327:AT327&lt;&gt;""),AI327:AT327)))</t>
        </is>
      </c>
      <c r="BI327" s="49" t="inlineStr">
        <is>
          <t>IF(OR(F327="",AV327=""),"",IF(COUNT(AI327:AU327)=0,"",AV327-LOOKUP(2,1/(AI327:AU327&lt;&gt;""),AI327:AU327)))</t>
        </is>
      </c>
      <c r="BJ327" s="51" t="inlineStr">
        <is>
          <t>IF(J327="","All_Provinces",IFERROR(VLOOKUP(J327,'09_Lookups'!$A$4:$B$20,2,FALSE),"All_Provinces"))</t>
        </is>
      </c>
      <c r="BK327" s="51" t="inlineStr">
        <is>
          <t>IF(K327="","All_Districts",IFERROR(VLOOKUP(K327,'09_Lookups'!$E$4:$F$42,2,FALSE),"All_Districts"))</t>
        </is>
      </c>
    </row>
    <row r="328" ht="18" customHeight="1">
      <c r="A328" s="42" t="inlineStr">
        <is>
          <t>IF(F328="","",ROW()-3)</t>
        </is>
      </c>
      <c r="B328" s="52" t="n"/>
      <c r="C328" s="52" t="n"/>
      <c r="D328" s="52" t="n"/>
      <c r="E328" s="52" t="n"/>
      <c r="F328" s="52" t="n"/>
      <c r="G328" s="52" t="n"/>
      <c r="H328" s="52" t="n"/>
      <c r="I328" s="52" t="n"/>
      <c r="J328" s="52" t="n"/>
      <c r="K328" s="52" t="n"/>
      <c r="L328" s="52" t="n"/>
      <c r="M328" s="52" t="n"/>
      <c r="N328" s="52" t="n"/>
      <c r="O328" s="52" t="n"/>
      <c r="P328" s="52" t="n"/>
      <c r="Q328" s="52" t="n"/>
      <c r="R328" s="52" t="n"/>
      <c r="S328" s="53" t="n"/>
      <c r="T328" s="46" t="inlineStr">
        <is>
          <t>IF(AQ328="","",AQ328)</t>
        </is>
      </c>
      <c r="U328" s="54" t="n"/>
      <c r="V328" s="55" t="n"/>
      <c r="W328" s="54" t="n"/>
      <c r="X328" s="46" t="inlineStr">
        <is>
          <t>IF(W328&lt;&gt;"",W328,IF(OR(T328="",V328=""),"",EDATE(T328,V328)))</t>
        </is>
      </c>
      <c r="Y328" s="54" t="n"/>
      <c r="Z328" s="55" t="n"/>
      <c r="AA328" s="52" t="n"/>
      <c r="AB328" s="52" t="n"/>
      <c r="AC328" s="42" t="inlineStr">
        <is>
          <t>IF(F328="","",IF(COUNT(AI328:AV328)=0,IF(AA328="","Not started",AA328),SUBSTITUTE(LOOKUP(2,1/(AI328:AV328&lt;&gt;""),$AI$3:$AV$3),"Date: ","")))</t>
        </is>
      </c>
      <c r="AD328" s="49" t="inlineStr">
        <is>
          <t>IF(OR(F328="",COUNT(AI328:AV328)=0),"",TODAY()-LOOKUP(2,1/(AI328:AV328&lt;&gt;""),AI328:AV328))</t>
        </is>
      </c>
      <c r="AE328" s="49" t="inlineStr">
        <is>
          <t>IF(OR(F328="",COUNT(AI328:AV328)&lt;2),"",LOOKUP(2,1/(AI328:AV328&lt;&gt;""),AI328:AV328)-MIN(AI328:AV328))</t>
        </is>
      </c>
      <c r="AF328" s="49" t="inlineStr">
        <is>
          <t>IF(OR(AD328="",AC328="Not started",AC328=""),"",IFERROR(AD328-IF(VLOOKUP(AC328,'06_Status_Pipeline'!$B$3:$E$20,4,FALSE)="",0,VLOOKUP(AC328,'06_Status_Pipeline'!$B$3:$E$20,4,FALSE)),""))</t>
        </is>
      </c>
      <c r="AG328" s="42" t="inlineStr">
        <is>
          <t>IF(F328="","",IF(OR(AA328="Cancelled",AC328="Cancelled"),"Cancelled",IF(OR(AC328="Completed / Handover",Y328&lt;&gt;"",Z328&gt;=100),"Completed — on track",IF(O328="Not awarded",IF(U328="",IF(X328="","No planned date",IF(TODAY()&gt;X328,"Behind — past planned date",IF(X328-TODAY()&lt;=30,"At risk — close to off track","On track"))),IF(TODAY()&gt;U328,"Behind — award date passed",IF(U328-TODAY()&lt;=30,"At risk — close to off track","On track"))),IF(X328="","No planned date",IF(AND(TODAY()&gt;X328,OR(Z328="",Z328&lt;100)),"Behind — past end date",IF(AND(T328&lt;&gt;"",X328&lt;&gt;"",Z328&lt;&gt;"",(Z328&lt;100),((TODAY()-T328)/MAX(X328-T328,1)*100)-Z328&gt;15),"Behind — progress lag",IF(AND(X328-TODAY()&lt;=30,X328-TODAY()&gt;=0,OR(Z328="",Z328&lt;90)),"At risk — close to off track","On track"))))))))</t>
        </is>
      </c>
      <c r="AH328" s="49" t="inlineStr">
        <is>
          <t>IF(OR(F328="",AC328="Completed / Handover",AC328="Cancelled"),"",IF(O328="Not awarded",IF(U328&lt;&gt;"",U328-TODAY(),IF(X328="","",X328-TODAY())),IF(X328="","",X328-TODAY())))</t>
        </is>
      </c>
      <c r="AI328" s="54" t="n"/>
      <c r="AJ328" s="54" t="n"/>
      <c r="AK328" s="54" t="n"/>
      <c r="AL328" s="54" t="n"/>
      <c r="AM328" s="54" t="n"/>
      <c r="AN328" s="54" t="n"/>
      <c r="AO328" s="54" t="n"/>
      <c r="AP328" s="54" t="n"/>
      <c r="AQ328" s="54" t="n"/>
      <c r="AR328" s="54" t="n"/>
      <c r="AS328" s="54" t="n"/>
      <c r="AT328" s="50" t="n"/>
      <c r="AU328" s="50" t="n"/>
      <c r="AV328" s="50" t="n"/>
      <c r="AW328" s="49" t="inlineStr">
        <is>
          <t>IF(OR(F328="",AJ328=""),"",IF(COUNT(AI328:AI328)=0,"",AJ328-LOOKUP(2,1/(AI328:AI328&lt;&gt;""),AI328:AI328)))</t>
        </is>
      </c>
      <c r="AX328" s="49" t="inlineStr">
        <is>
          <t>IF(OR(F328="",AK328=""),"",IF(COUNT(AI328:AJ328)=0,"",AK328-LOOKUP(2,1/(AI328:AJ328&lt;&gt;""),AI328:AJ328)))</t>
        </is>
      </c>
      <c r="AY328" s="49" t="inlineStr">
        <is>
          <t>IF(OR(F328="",AL328=""),"",IF(COUNT(AI328:AK328)=0,"",AL328-LOOKUP(2,1/(AI328:AK328&lt;&gt;""),AI328:AK328)))</t>
        </is>
      </c>
      <c r="AZ328" s="49" t="inlineStr">
        <is>
          <t>IF(OR(F328="",AM328=""),"",IF(COUNT(AI328:AL328)=0,"",AM328-LOOKUP(2,1/(AI328:AL328&lt;&gt;""),AI328:AL328)))</t>
        </is>
      </c>
      <c r="BA328" s="49" t="inlineStr">
        <is>
          <t>IF(OR(F328="",AN328=""),"",IF(COUNT(AI328:AM328)=0,"",AN328-LOOKUP(2,1/(AI328:AM328&lt;&gt;""),AI328:AM328)))</t>
        </is>
      </c>
      <c r="BB328" s="49" t="inlineStr">
        <is>
          <t>IF(OR(F328="",AO328=""),"",IF(COUNT(AI328:AN328)=0,"",AO328-LOOKUP(2,1/(AI328:AN328&lt;&gt;""),AI328:AN328)))</t>
        </is>
      </c>
      <c r="BC328" s="49" t="inlineStr">
        <is>
          <t>IF(OR(F328="",AP328=""),"",IF(COUNT(AI328:AO328)=0,"",AP328-LOOKUP(2,1/(AI328:AO328&lt;&gt;""),AI328:AO328)))</t>
        </is>
      </c>
      <c r="BD328" s="49" t="inlineStr">
        <is>
          <t>IF(OR(F328="",AQ328=""),"",IF(COUNT(AI328:AP328)=0,"",AQ328-LOOKUP(2,1/(AI328:AP328&lt;&gt;""),AI328:AP328)))</t>
        </is>
      </c>
      <c r="BE328" s="49" t="inlineStr">
        <is>
          <t>IF(OR(F328="",AR328=""),"",IF(COUNT(AI328:AQ328)=0,"",AR328-LOOKUP(2,1/(AI328:AQ328&lt;&gt;""),AI328:AQ328)))</t>
        </is>
      </c>
      <c r="BF328" s="49" t="inlineStr">
        <is>
          <t>IF(OR(F328="",AS328=""),"",IF(COUNT(AI328:AR328)=0,"",AS328-LOOKUP(2,1/(AI328:AR328&lt;&gt;""),AI328:AR328)))</t>
        </is>
      </c>
      <c r="BG328" s="49" t="inlineStr">
        <is>
          <t>IF(OR(F328="",AT328=""),"",IF(COUNT(AI328:AS328)=0,"",AT328-LOOKUP(2,1/(AI328:AS328&lt;&gt;""),AI328:AS328)))</t>
        </is>
      </c>
      <c r="BH328" s="49" t="inlineStr">
        <is>
          <t>IF(OR(F328="",AU328=""),"",IF(COUNT(AI328:AT328)=0,"",AU328-LOOKUP(2,1/(AI328:AT328&lt;&gt;""),AI328:AT328)))</t>
        </is>
      </c>
      <c r="BI328" s="49" t="inlineStr">
        <is>
          <t>IF(OR(F328="",AV328=""),"",IF(COUNT(AI328:AU328)=0,"",AV328-LOOKUP(2,1/(AI328:AU328&lt;&gt;""),AI328:AU328)))</t>
        </is>
      </c>
      <c r="BJ328" s="51" t="inlineStr">
        <is>
          <t>IF(J328="","All_Provinces",IFERROR(VLOOKUP(J328,'09_Lookups'!$A$4:$B$20,2,FALSE),"All_Provinces"))</t>
        </is>
      </c>
      <c r="BK328" s="51" t="inlineStr">
        <is>
          <t>IF(K328="","All_Districts",IFERROR(VLOOKUP(K328,'09_Lookups'!$E$4:$F$42,2,FALSE),"All_Districts"))</t>
        </is>
      </c>
    </row>
    <row r="329" ht="18" customHeight="1">
      <c r="A329" s="42" t="inlineStr">
        <is>
          <t>IF(F329="","",ROW()-3)</t>
        </is>
      </c>
      <c r="B329" s="44" t="n"/>
      <c r="C329" s="44" t="n"/>
      <c r="D329" s="44" t="n"/>
      <c r="E329" s="44" t="n"/>
      <c r="F329" s="44" t="n"/>
      <c r="G329" s="44" t="n"/>
      <c r="H329" s="44" t="n"/>
      <c r="I329" s="44" t="n"/>
      <c r="J329" s="44" t="n"/>
      <c r="K329" s="44" t="n"/>
      <c r="L329" s="44" t="n"/>
      <c r="M329" s="44" t="n"/>
      <c r="N329" s="44" t="n"/>
      <c r="O329" s="44" t="n"/>
      <c r="P329" s="44" t="n"/>
      <c r="Q329" s="44" t="n"/>
      <c r="R329" s="44" t="n"/>
      <c r="S329" s="45" t="n"/>
      <c r="T329" s="46" t="inlineStr">
        <is>
          <t>IF(AQ329="","",AQ329)</t>
        </is>
      </c>
      <c r="U329" s="47" t="n"/>
      <c r="V329" s="48" t="n"/>
      <c r="W329" s="47" t="n"/>
      <c r="X329" s="46" t="inlineStr">
        <is>
          <t>IF(W329&lt;&gt;"",W329,IF(OR(T329="",V329=""),"",EDATE(T329,V329)))</t>
        </is>
      </c>
      <c r="Y329" s="47" t="n"/>
      <c r="Z329" s="48" t="n"/>
      <c r="AA329" s="44" t="n"/>
      <c r="AB329" s="44" t="n"/>
      <c r="AC329" s="42" t="inlineStr">
        <is>
          <t>IF(F329="","",IF(COUNT(AI329:AV329)=0,IF(AA329="","Not started",AA329),SUBSTITUTE(LOOKUP(2,1/(AI329:AV329&lt;&gt;""),$AI$3:$AV$3),"Date: ","")))</t>
        </is>
      </c>
      <c r="AD329" s="49" t="inlineStr">
        <is>
          <t>IF(OR(F329="",COUNT(AI329:AV329)=0),"",TODAY()-LOOKUP(2,1/(AI329:AV329&lt;&gt;""),AI329:AV329))</t>
        </is>
      </c>
      <c r="AE329" s="49" t="inlineStr">
        <is>
          <t>IF(OR(F329="",COUNT(AI329:AV329)&lt;2),"",LOOKUP(2,1/(AI329:AV329&lt;&gt;""),AI329:AV329)-MIN(AI329:AV329))</t>
        </is>
      </c>
      <c r="AF329" s="49" t="inlineStr">
        <is>
          <t>IF(OR(AD329="",AC329="Not started",AC329=""),"",IFERROR(AD329-IF(VLOOKUP(AC329,'06_Status_Pipeline'!$B$3:$E$20,4,FALSE)="",0,VLOOKUP(AC329,'06_Status_Pipeline'!$B$3:$E$20,4,FALSE)),""))</t>
        </is>
      </c>
      <c r="AG329" s="42" t="inlineStr">
        <is>
          <t>IF(F329="","",IF(OR(AA329="Cancelled",AC329="Cancelled"),"Cancelled",IF(OR(AC329="Completed / Handover",Y329&lt;&gt;"",Z329&gt;=100),"Completed — on track",IF(O329="Not awarded",IF(U329="",IF(X329="","No planned date",IF(TODAY()&gt;X329,"Behind — past planned date",IF(X329-TODAY()&lt;=30,"At risk — close to off track","On track"))),IF(TODAY()&gt;U329,"Behind — award date passed",IF(U329-TODAY()&lt;=30,"At risk — close to off track","On track"))),IF(X329="","No planned date",IF(AND(TODAY()&gt;X329,OR(Z329="",Z329&lt;100)),"Behind — past end date",IF(AND(T329&lt;&gt;"",X329&lt;&gt;"",Z329&lt;&gt;"",(Z329&lt;100),((TODAY()-T329)/MAX(X329-T329,1)*100)-Z329&gt;15),"Behind — progress lag",IF(AND(X329-TODAY()&lt;=30,X329-TODAY()&gt;=0,OR(Z329="",Z329&lt;90)),"At risk — close to off track","On track"))))))))</t>
        </is>
      </c>
      <c r="AH329" s="49" t="inlineStr">
        <is>
          <t>IF(OR(F329="",AC329="Completed / Handover",AC329="Cancelled"),"",IF(O329="Not awarded",IF(U329&lt;&gt;"",U329-TODAY(),IF(X329="","",X329-TODAY())),IF(X329="","",X329-TODAY())))</t>
        </is>
      </c>
      <c r="AI329" s="47" t="n"/>
      <c r="AJ329" s="47" t="n"/>
      <c r="AK329" s="47" t="n"/>
      <c r="AL329" s="47" t="n"/>
      <c r="AM329" s="47" t="n"/>
      <c r="AN329" s="47" t="n"/>
      <c r="AO329" s="47" t="n"/>
      <c r="AP329" s="47" t="n"/>
      <c r="AQ329" s="47" t="n"/>
      <c r="AR329" s="47" t="n"/>
      <c r="AS329" s="47" t="n"/>
      <c r="AT329" s="50" t="n"/>
      <c r="AU329" s="50" t="n"/>
      <c r="AV329" s="50" t="n"/>
      <c r="AW329" s="49" t="inlineStr">
        <is>
          <t>IF(OR(F329="",AJ329=""),"",IF(COUNT(AI329:AI329)=0,"",AJ329-LOOKUP(2,1/(AI329:AI329&lt;&gt;""),AI329:AI329)))</t>
        </is>
      </c>
      <c r="AX329" s="49" t="inlineStr">
        <is>
          <t>IF(OR(F329="",AK329=""),"",IF(COUNT(AI329:AJ329)=0,"",AK329-LOOKUP(2,1/(AI329:AJ329&lt;&gt;""),AI329:AJ329)))</t>
        </is>
      </c>
      <c r="AY329" s="49" t="inlineStr">
        <is>
          <t>IF(OR(F329="",AL329=""),"",IF(COUNT(AI329:AK329)=0,"",AL329-LOOKUP(2,1/(AI329:AK329&lt;&gt;""),AI329:AK329)))</t>
        </is>
      </c>
      <c r="AZ329" s="49" t="inlineStr">
        <is>
          <t>IF(OR(F329="",AM329=""),"",IF(COUNT(AI329:AL329)=0,"",AM329-LOOKUP(2,1/(AI329:AL329&lt;&gt;""),AI329:AL329)))</t>
        </is>
      </c>
      <c r="BA329" s="49" t="inlineStr">
        <is>
          <t>IF(OR(F329="",AN329=""),"",IF(COUNT(AI329:AM329)=0,"",AN329-LOOKUP(2,1/(AI329:AM329&lt;&gt;""),AI329:AM329)))</t>
        </is>
      </c>
      <c r="BB329" s="49" t="inlineStr">
        <is>
          <t>IF(OR(F329="",AO329=""),"",IF(COUNT(AI329:AN329)=0,"",AO329-LOOKUP(2,1/(AI329:AN329&lt;&gt;""),AI329:AN329)))</t>
        </is>
      </c>
      <c r="BC329" s="49" t="inlineStr">
        <is>
          <t>IF(OR(F329="",AP329=""),"",IF(COUNT(AI329:AO329)=0,"",AP329-LOOKUP(2,1/(AI329:AO329&lt;&gt;""),AI329:AO329)))</t>
        </is>
      </c>
      <c r="BD329" s="49" t="inlineStr">
        <is>
          <t>IF(OR(F329="",AQ329=""),"",IF(COUNT(AI329:AP329)=0,"",AQ329-LOOKUP(2,1/(AI329:AP329&lt;&gt;""),AI329:AP329)))</t>
        </is>
      </c>
      <c r="BE329" s="49" t="inlineStr">
        <is>
          <t>IF(OR(F329="",AR329=""),"",IF(COUNT(AI329:AQ329)=0,"",AR329-LOOKUP(2,1/(AI329:AQ329&lt;&gt;""),AI329:AQ329)))</t>
        </is>
      </c>
      <c r="BF329" s="49" t="inlineStr">
        <is>
          <t>IF(OR(F329="",AS329=""),"",IF(COUNT(AI329:AR329)=0,"",AS329-LOOKUP(2,1/(AI329:AR329&lt;&gt;""),AI329:AR329)))</t>
        </is>
      </c>
      <c r="BG329" s="49" t="inlineStr">
        <is>
          <t>IF(OR(F329="",AT329=""),"",IF(COUNT(AI329:AS329)=0,"",AT329-LOOKUP(2,1/(AI329:AS329&lt;&gt;""),AI329:AS329)))</t>
        </is>
      </c>
      <c r="BH329" s="49" t="inlineStr">
        <is>
          <t>IF(OR(F329="",AU329=""),"",IF(COUNT(AI329:AT329)=0,"",AU329-LOOKUP(2,1/(AI329:AT329&lt;&gt;""),AI329:AT329)))</t>
        </is>
      </c>
      <c r="BI329" s="49" t="inlineStr">
        <is>
          <t>IF(OR(F329="",AV329=""),"",IF(COUNT(AI329:AU329)=0,"",AV329-LOOKUP(2,1/(AI329:AU329&lt;&gt;""),AI329:AU329)))</t>
        </is>
      </c>
      <c r="BJ329" s="51" t="inlineStr">
        <is>
          <t>IF(J329="","All_Provinces",IFERROR(VLOOKUP(J329,'09_Lookups'!$A$4:$B$20,2,FALSE),"All_Provinces"))</t>
        </is>
      </c>
      <c r="BK329" s="51" t="inlineStr">
        <is>
          <t>IF(K329="","All_Districts",IFERROR(VLOOKUP(K329,'09_Lookups'!$E$4:$F$42,2,FALSE),"All_Districts"))</t>
        </is>
      </c>
    </row>
    <row r="330" ht="18" customHeight="1">
      <c r="A330" s="42" t="inlineStr">
        <is>
          <t>IF(F330="","",ROW()-3)</t>
        </is>
      </c>
      <c r="B330" s="52" t="n"/>
      <c r="C330" s="52" t="n"/>
      <c r="D330" s="52" t="n"/>
      <c r="E330" s="52" t="n"/>
      <c r="F330" s="52" t="n"/>
      <c r="G330" s="52" t="n"/>
      <c r="H330" s="52" t="n"/>
      <c r="I330" s="52" t="n"/>
      <c r="J330" s="52" t="n"/>
      <c r="K330" s="52" t="n"/>
      <c r="L330" s="52" t="n"/>
      <c r="M330" s="52" t="n"/>
      <c r="N330" s="52" t="n"/>
      <c r="O330" s="52" t="n"/>
      <c r="P330" s="52" t="n"/>
      <c r="Q330" s="52" t="n"/>
      <c r="R330" s="52" t="n"/>
      <c r="S330" s="53" t="n"/>
      <c r="T330" s="46" t="inlineStr">
        <is>
          <t>IF(AQ330="","",AQ330)</t>
        </is>
      </c>
      <c r="U330" s="54" t="n"/>
      <c r="V330" s="55" t="n"/>
      <c r="W330" s="54" t="n"/>
      <c r="X330" s="46" t="inlineStr">
        <is>
          <t>IF(W330&lt;&gt;"",W330,IF(OR(T330="",V330=""),"",EDATE(T330,V330)))</t>
        </is>
      </c>
      <c r="Y330" s="54" t="n"/>
      <c r="Z330" s="55" t="n"/>
      <c r="AA330" s="52" t="n"/>
      <c r="AB330" s="52" t="n"/>
      <c r="AC330" s="42" t="inlineStr">
        <is>
          <t>IF(F330="","",IF(COUNT(AI330:AV330)=0,IF(AA330="","Not started",AA330),SUBSTITUTE(LOOKUP(2,1/(AI330:AV330&lt;&gt;""),$AI$3:$AV$3),"Date: ","")))</t>
        </is>
      </c>
      <c r="AD330" s="49" t="inlineStr">
        <is>
          <t>IF(OR(F330="",COUNT(AI330:AV330)=0),"",TODAY()-LOOKUP(2,1/(AI330:AV330&lt;&gt;""),AI330:AV330))</t>
        </is>
      </c>
      <c r="AE330" s="49" t="inlineStr">
        <is>
          <t>IF(OR(F330="",COUNT(AI330:AV330)&lt;2),"",LOOKUP(2,1/(AI330:AV330&lt;&gt;""),AI330:AV330)-MIN(AI330:AV330))</t>
        </is>
      </c>
      <c r="AF330" s="49" t="inlineStr">
        <is>
          <t>IF(OR(AD330="",AC330="Not started",AC330=""),"",IFERROR(AD330-IF(VLOOKUP(AC330,'06_Status_Pipeline'!$B$3:$E$20,4,FALSE)="",0,VLOOKUP(AC330,'06_Status_Pipeline'!$B$3:$E$20,4,FALSE)),""))</t>
        </is>
      </c>
      <c r="AG330" s="42" t="inlineStr">
        <is>
          <t>IF(F330="","",IF(OR(AA330="Cancelled",AC330="Cancelled"),"Cancelled",IF(OR(AC330="Completed / Handover",Y330&lt;&gt;"",Z330&gt;=100),"Completed — on track",IF(O330="Not awarded",IF(U330="",IF(X330="","No planned date",IF(TODAY()&gt;X330,"Behind — past planned date",IF(X330-TODAY()&lt;=30,"At risk — close to off track","On track"))),IF(TODAY()&gt;U330,"Behind — award date passed",IF(U330-TODAY()&lt;=30,"At risk — close to off track","On track"))),IF(X330="","No planned date",IF(AND(TODAY()&gt;X330,OR(Z330="",Z330&lt;100)),"Behind — past end date",IF(AND(T330&lt;&gt;"",X330&lt;&gt;"",Z330&lt;&gt;"",(Z330&lt;100),((TODAY()-T330)/MAX(X330-T330,1)*100)-Z330&gt;15),"Behind — progress lag",IF(AND(X330-TODAY()&lt;=30,X330-TODAY()&gt;=0,OR(Z330="",Z330&lt;90)),"At risk — close to off track","On track"))))))))</t>
        </is>
      </c>
      <c r="AH330" s="49" t="inlineStr">
        <is>
          <t>IF(OR(F330="",AC330="Completed / Handover",AC330="Cancelled"),"",IF(O330="Not awarded",IF(U330&lt;&gt;"",U330-TODAY(),IF(X330="","",X330-TODAY())),IF(X330="","",X330-TODAY())))</t>
        </is>
      </c>
      <c r="AI330" s="54" t="n"/>
      <c r="AJ330" s="54" t="n"/>
      <c r="AK330" s="54" t="n"/>
      <c r="AL330" s="54" t="n"/>
      <c r="AM330" s="54" t="n"/>
      <c r="AN330" s="54" t="n"/>
      <c r="AO330" s="54" t="n"/>
      <c r="AP330" s="54" t="n"/>
      <c r="AQ330" s="54" t="n"/>
      <c r="AR330" s="54" t="n"/>
      <c r="AS330" s="54" t="n"/>
      <c r="AT330" s="50" t="n"/>
      <c r="AU330" s="50" t="n"/>
      <c r="AV330" s="50" t="n"/>
      <c r="AW330" s="49" t="inlineStr">
        <is>
          <t>IF(OR(F330="",AJ330=""),"",IF(COUNT(AI330:AI330)=0,"",AJ330-LOOKUP(2,1/(AI330:AI330&lt;&gt;""),AI330:AI330)))</t>
        </is>
      </c>
      <c r="AX330" s="49" t="inlineStr">
        <is>
          <t>IF(OR(F330="",AK330=""),"",IF(COUNT(AI330:AJ330)=0,"",AK330-LOOKUP(2,1/(AI330:AJ330&lt;&gt;""),AI330:AJ330)))</t>
        </is>
      </c>
      <c r="AY330" s="49" t="inlineStr">
        <is>
          <t>IF(OR(F330="",AL330=""),"",IF(COUNT(AI330:AK330)=0,"",AL330-LOOKUP(2,1/(AI330:AK330&lt;&gt;""),AI330:AK330)))</t>
        </is>
      </c>
      <c r="AZ330" s="49" t="inlineStr">
        <is>
          <t>IF(OR(F330="",AM330=""),"",IF(COUNT(AI330:AL330)=0,"",AM330-LOOKUP(2,1/(AI330:AL330&lt;&gt;""),AI330:AL330)))</t>
        </is>
      </c>
      <c r="BA330" s="49" t="inlineStr">
        <is>
          <t>IF(OR(F330="",AN330=""),"",IF(COUNT(AI330:AM330)=0,"",AN330-LOOKUP(2,1/(AI330:AM330&lt;&gt;""),AI330:AM330)))</t>
        </is>
      </c>
      <c r="BB330" s="49" t="inlineStr">
        <is>
          <t>IF(OR(F330="",AO330=""),"",IF(COUNT(AI330:AN330)=0,"",AO330-LOOKUP(2,1/(AI330:AN330&lt;&gt;""),AI330:AN330)))</t>
        </is>
      </c>
      <c r="BC330" s="49" t="inlineStr">
        <is>
          <t>IF(OR(F330="",AP330=""),"",IF(COUNT(AI330:AO330)=0,"",AP330-LOOKUP(2,1/(AI330:AO330&lt;&gt;""),AI330:AO330)))</t>
        </is>
      </c>
      <c r="BD330" s="49" t="inlineStr">
        <is>
          <t>IF(OR(F330="",AQ330=""),"",IF(COUNT(AI330:AP330)=0,"",AQ330-LOOKUP(2,1/(AI330:AP330&lt;&gt;""),AI330:AP330)))</t>
        </is>
      </c>
      <c r="BE330" s="49" t="inlineStr">
        <is>
          <t>IF(OR(F330="",AR330=""),"",IF(COUNT(AI330:AQ330)=0,"",AR330-LOOKUP(2,1/(AI330:AQ330&lt;&gt;""),AI330:AQ330)))</t>
        </is>
      </c>
      <c r="BF330" s="49" t="inlineStr">
        <is>
          <t>IF(OR(F330="",AS330=""),"",IF(COUNT(AI330:AR330)=0,"",AS330-LOOKUP(2,1/(AI330:AR330&lt;&gt;""),AI330:AR330)))</t>
        </is>
      </c>
      <c r="BG330" s="49" t="inlineStr">
        <is>
          <t>IF(OR(F330="",AT330=""),"",IF(COUNT(AI330:AS330)=0,"",AT330-LOOKUP(2,1/(AI330:AS330&lt;&gt;""),AI330:AS330)))</t>
        </is>
      </c>
      <c r="BH330" s="49" t="inlineStr">
        <is>
          <t>IF(OR(F330="",AU330=""),"",IF(COUNT(AI330:AT330)=0,"",AU330-LOOKUP(2,1/(AI330:AT330&lt;&gt;""),AI330:AT330)))</t>
        </is>
      </c>
      <c r="BI330" s="49" t="inlineStr">
        <is>
          <t>IF(OR(F330="",AV330=""),"",IF(COUNT(AI330:AU330)=0,"",AV330-LOOKUP(2,1/(AI330:AU330&lt;&gt;""),AI330:AU330)))</t>
        </is>
      </c>
      <c r="BJ330" s="51" t="inlineStr">
        <is>
          <t>IF(J330="","All_Provinces",IFERROR(VLOOKUP(J330,'09_Lookups'!$A$4:$B$20,2,FALSE),"All_Provinces"))</t>
        </is>
      </c>
      <c r="BK330" s="51" t="inlineStr">
        <is>
          <t>IF(K330="","All_Districts",IFERROR(VLOOKUP(K330,'09_Lookups'!$E$4:$F$42,2,FALSE),"All_Districts"))</t>
        </is>
      </c>
    </row>
    <row r="331" ht="18" customHeight="1">
      <c r="A331" s="42" t="inlineStr">
        <is>
          <t>IF(F331="","",ROW()-3)</t>
        </is>
      </c>
      <c r="B331" s="44" t="n"/>
      <c r="C331" s="44" t="n"/>
      <c r="D331" s="44" t="n"/>
      <c r="E331" s="44" t="n"/>
      <c r="F331" s="44" t="n"/>
      <c r="G331" s="44" t="n"/>
      <c r="H331" s="44" t="n"/>
      <c r="I331" s="44" t="n"/>
      <c r="J331" s="44" t="n"/>
      <c r="K331" s="44" t="n"/>
      <c r="L331" s="44" t="n"/>
      <c r="M331" s="44" t="n"/>
      <c r="N331" s="44" t="n"/>
      <c r="O331" s="44" t="n"/>
      <c r="P331" s="44" t="n"/>
      <c r="Q331" s="44" t="n"/>
      <c r="R331" s="44" t="n"/>
      <c r="S331" s="45" t="n"/>
      <c r="T331" s="46" t="inlineStr">
        <is>
          <t>IF(AQ331="","",AQ331)</t>
        </is>
      </c>
      <c r="U331" s="47" t="n"/>
      <c r="V331" s="48" t="n"/>
      <c r="W331" s="47" t="n"/>
      <c r="X331" s="46" t="inlineStr">
        <is>
          <t>IF(W331&lt;&gt;"",W331,IF(OR(T331="",V331=""),"",EDATE(T331,V331)))</t>
        </is>
      </c>
      <c r="Y331" s="47" t="n"/>
      <c r="Z331" s="48" t="n"/>
      <c r="AA331" s="44" t="n"/>
      <c r="AB331" s="44" t="n"/>
      <c r="AC331" s="42" t="inlineStr">
        <is>
          <t>IF(F331="","",IF(COUNT(AI331:AV331)=0,IF(AA331="","Not started",AA331),SUBSTITUTE(LOOKUP(2,1/(AI331:AV331&lt;&gt;""),$AI$3:$AV$3),"Date: ","")))</t>
        </is>
      </c>
      <c r="AD331" s="49" t="inlineStr">
        <is>
          <t>IF(OR(F331="",COUNT(AI331:AV331)=0),"",TODAY()-LOOKUP(2,1/(AI331:AV331&lt;&gt;""),AI331:AV331))</t>
        </is>
      </c>
      <c r="AE331" s="49" t="inlineStr">
        <is>
          <t>IF(OR(F331="",COUNT(AI331:AV331)&lt;2),"",LOOKUP(2,1/(AI331:AV331&lt;&gt;""),AI331:AV331)-MIN(AI331:AV331))</t>
        </is>
      </c>
      <c r="AF331" s="49" t="inlineStr">
        <is>
          <t>IF(OR(AD331="",AC331="Not started",AC331=""),"",IFERROR(AD331-IF(VLOOKUP(AC331,'06_Status_Pipeline'!$B$3:$E$20,4,FALSE)="",0,VLOOKUP(AC331,'06_Status_Pipeline'!$B$3:$E$20,4,FALSE)),""))</t>
        </is>
      </c>
      <c r="AG331" s="42" t="inlineStr">
        <is>
          <t>IF(F331="","",IF(OR(AA331="Cancelled",AC331="Cancelled"),"Cancelled",IF(OR(AC331="Completed / Handover",Y331&lt;&gt;"",Z331&gt;=100),"Completed — on track",IF(O331="Not awarded",IF(U331="",IF(X331="","No planned date",IF(TODAY()&gt;X331,"Behind — past planned date",IF(X331-TODAY()&lt;=30,"At risk — close to off track","On track"))),IF(TODAY()&gt;U331,"Behind — award date passed",IF(U331-TODAY()&lt;=30,"At risk — close to off track","On track"))),IF(X331="","No planned date",IF(AND(TODAY()&gt;X331,OR(Z331="",Z331&lt;100)),"Behind — past end date",IF(AND(T331&lt;&gt;"",X331&lt;&gt;"",Z331&lt;&gt;"",(Z331&lt;100),((TODAY()-T331)/MAX(X331-T331,1)*100)-Z331&gt;15),"Behind — progress lag",IF(AND(X331-TODAY()&lt;=30,X331-TODAY()&gt;=0,OR(Z331="",Z331&lt;90)),"At risk — close to off track","On track"))))))))</t>
        </is>
      </c>
      <c r="AH331" s="49" t="inlineStr">
        <is>
          <t>IF(OR(F331="",AC331="Completed / Handover",AC331="Cancelled"),"",IF(O331="Not awarded",IF(U331&lt;&gt;"",U331-TODAY(),IF(X331="","",X331-TODAY())),IF(X331="","",X331-TODAY())))</t>
        </is>
      </c>
      <c r="AI331" s="47" t="n"/>
      <c r="AJ331" s="47" t="n"/>
      <c r="AK331" s="47" t="n"/>
      <c r="AL331" s="47" t="n"/>
      <c r="AM331" s="47" t="n"/>
      <c r="AN331" s="47" t="n"/>
      <c r="AO331" s="47" t="n"/>
      <c r="AP331" s="47" t="n"/>
      <c r="AQ331" s="47" t="n"/>
      <c r="AR331" s="47" t="n"/>
      <c r="AS331" s="47" t="n"/>
      <c r="AT331" s="50" t="n"/>
      <c r="AU331" s="50" t="n"/>
      <c r="AV331" s="50" t="n"/>
      <c r="AW331" s="49" t="inlineStr">
        <is>
          <t>IF(OR(F331="",AJ331=""),"",IF(COUNT(AI331:AI331)=0,"",AJ331-LOOKUP(2,1/(AI331:AI331&lt;&gt;""),AI331:AI331)))</t>
        </is>
      </c>
      <c r="AX331" s="49" t="inlineStr">
        <is>
          <t>IF(OR(F331="",AK331=""),"",IF(COUNT(AI331:AJ331)=0,"",AK331-LOOKUP(2,1/(AI331:AJ331&lt;&gt;""),AI331:AJ331)))</t>
        </is>
      </c>
      <c r="AY331" s="49" t="inlineStr">
        <is>
          <t>IF(OR(F331="",AL331=""),"",IF(COUNT(AI331:AK331)=0,"",AL331-LOOKUP(2,1/(AI331:AK331&lt;&gt;""),AI331:AK331)))</t>
        </is>
      </c>
      <c r="AZ331" s="49" t="inlineStr">
        <is>
          <t>IF(OR(F331="",AM331=""),"",IF(COUNT(AI331:AL331)=0,"",AM331-LOOKUP(2,1/(AI331:AL331&lt;&gt;""),AI331:AL331)))</t>
        </is>
      </c>
      <c r="BA331" s="49" t="inlineStr">
        <is>
          <t>IF(OR(F331="",AN331=""),"",IF(COUNT(AI331:AM331)=0,"",AN331-LOOKUP(2,1/(AI331:AM331&lt;&gt;""),AI331:AM331)))</t>
        </is>
      </c>
      <c r="BB331" s="49" t="inlineStr">
        <is>
          <t>IF(OR(F331="",AO331=""),"",IF(COUNT(AI331:AN331)=0,"",AO331-LOOKUP(2,1/(AI331:AN331&lt;&gt;""),AI331:AN331)))</t>
        </is>
      </c>
      <c r="BC331" s="49" t="inlineStr">
        <is>
          <t>IF(OR(F331="",AP331=""),"",IF(COUNT(AI331:AO331)=0,"",AP331-LOOKUP(2,1/(AI331:AO331&lt;&gt;""),AI331:AO331)))</t>
        </is>
      </c>
      <c r="BD331" s="49" t="inlineStr">
        <is>
          <t>IF(OR(F331="",AQ331=""),"",IF(COUNT(AI331:AP331)=0,"",AQ331-LOOKUP(2,1/(AI331:AP331&lt;&gt;""),AI331:AP331)))</t>
        </is>
      </c>
      <c r="BE331" s="49" t="inlineStr">
        <is>
          <t>IF(OR(F331="",AR331=""),"",IF(COUNT(AI331:AQ331)=0,"",AR331-LOOKUP(2,1/(AI331:AQ331&lt;&gt;""),AI331:AQ331)))</t>
        </is>
      </c>
      <c r="BF331" s="49" t="inlineStr">
        <is>
          <t>IF(OR(F331="",AS331=""),"",IF(COUNT(AI331:AR331)=0,"",AS331-LOOKUP(2,1/(AI331:AR331&lt;&gt;""),AI331:AR331)))</t>
        </is>
      </c>
      <c r="BG331" s="49" t="inlineStr">
        <is>
          <t>IF(OR(F331="",AT331=""),"",IF(COUNT(AI331:AS331)=0,"",AT331-LOOKUP(2,1/(AI331:AS331&lt;&gt;""),AI331:AS331)))</t>
        </is>
      </c>
      <c r="BH331" s="49" t="inlineStr">
        <is>
          <t>IF(OR(F331="",AU331=""),"",IF(COUNT(AI331:AT331)=0,"",AU331-LOOKUP(2,1/(AI331:AT331&lt;&gt;""),AI331:AT331)))</t>
        </is>
      </c>
      <c r="BI331" s="49" t="inlineStr">
        <is>
          <t>IF(OR(F331="",AV331=""),"",IF(COUNT(AI331:AU331)=0,"",AV331-LOOKUP(2,1/(AI331:AU331&lt;&gt;""),AI331:AU331)))</t>
        </is>
      </c>
      <c r="BJ331" s="51" t="inlineStr">
        <is>
          <t>IF(J331="","All_Provinces",IFERROR(VLOOKUP(J331,'09_Lookups'!$A$4:$B$20,2,FALSE),"All_Provinces"))</t>
        </is>
      </c>
      <c r="BK331" s="51" t="inlineStr">
        <is>
          <t>IF(K331="","All_Districts",IFERROR(VLOOKUP(K331,'09_Lookups'!$E$4:$F$42,2,FALSE),"All_Districts"))</t>
        </is>
      </c>
    </row>
    <row r="332" ht="18" customHeight="1">
      <c r="A332" s="42" t="inlineStr">
        <is>
          <t>IF(F332="","",ROW()-3)</t>
        </is>
      </c>
      <c r="B332" s="52" t="n"/>
      <c r="C332" s="52" t="n"/>
      <c r="D332" s="52" t="n"/>
      <c r="E332" s="52" t="n"/>
      <c r="F332" s="52" t="n"/>
      <c r="G332" s="52" t="n"/>
      <c r="H332" s="52" t="n"/>
      <c r="I332" s="52" t="n"/>
      <c r="J332" s="52" t="n"/>
      <c r="K332" s="52" t="n"/>
      <c r="L332" s="52" t="n"/>
      <c r="M332" s="52" t="n"/>
      <c r="N332" s="52" t="n"/>
      <c r="O332" s="52" t="n"/>
      <c r="P332" s="52" t="n"/>
      <c r="Q332" s="52" t="n"/>
      <c r="R332" s="52" t="n"/>
      <c r="S332" s="53" t="n"/>
      <c r="T332" s="46" t="inlineStr">
        <is>
          <t>IF(AQ332="","",AQ332)</t>
        </is>
      </c>
      <c r="U332" s="54" t="n"/>
      <c r="V332" s="55" t="n"/>
      <c r="W332" s="54" t="n"/>
      <c r="X332" s="46" t="inlineStr">
        <is>
          <t>IF(W332&lt;&gt;"",W332,IF(OR(T332="",V332=""),"",EDATE(T332,V332)))</t>
        </is>
      </c>
      <c r="Y332" s="54" t="n"/>
      <c r="Z332" s="55" t="n"/>
      <c r="AA332" s="52" t="n"/>
      <c r="AB332" s="52" t="n"/>
      <c r="AC332" s="42" t="inlineStr">
        <is>
          <t>IF(F332="","",IF(COUNT(AI332:AV332)=0,IF(AA332="","Not started",AA332),SUBSTITUTE(LOOKUP(2,1/(AI332:AV332&lt;&gt;""),$AI$3:$AV$3),"Date: ","")))</t>
        </is>
      </c>
      <c r="AD332" s="49" t="inlineStr">
        <is>
          <t>IF(OR(F332="",COUNT(AI332:AV332)=0),"",TODAY()-LOOKUP(2,1/(AI332:AV332&lt;&gt;""),AI332:AV332))</t>
        </is>
      </c>
      <c r="AE332" s="49" t="inlineStr">
        <is>
          <t>IF(OR(F332="",COUNT(AI332:AV332)&lt;2),"",LOOKUP(2,1/(AI332:AV332&lt;&gt;""),AI332:AV332)-MIN(AI332:AV332))</t>
        </is>
      </c>
      <c r="AF332" s="49" t="inlineStr">
        <is>
          <t>IF(OR(AD332="",AC332="Not started",AC332=""),"",IFERROR(AD332-IF(VLOOKUP(AC332,'06_Status_Pipeline'!$B$3:$E$20,4,FALSE)="",0,VLOOKUP(AC332,'06_Status_Pipeline'!$B$3:$E$20,4,FALSE)),""))</t>
        </is>
      </c>
      <c r="AG332" s="42" t="inlineStr">
        <is>
          <t>IF(F332="","",IF(OR(AA332="Cancelled",AC332="Cancelled"),"Cancelled",IF(OR(AC332="Completed / Handover",Y332&lt;&gt;"",Z332&gt;=100),"Completed — on track",IF(O332="Not awarded",IF(U332="",IF(X332="","No planned date",IF(TODAY()&gt;X332,"Behind — past planned date",IF(X332-TODAY()&lt;=30,"At risk — close to off track","On track"))),IF(TODAY()&gt;U332,"Behind — award date passed",IF(U332-TODAY()&lt;=30,"At risk — close to off track","On track"))),IF(X332="","No planned date",IF(AND(TODAY()&gt;X332,OR(Z332="",Z332&lt;100)),"Behind — past end date",IF(AND(T332&lt;&gt;"",X332&lt;&gt;"",Z332&lt;&gt;"",(Z332&lt;100),((TODAY()-T332)/MAX(X332-T332,1)*100)-Z332&gt;15),"Behind — progress lag",IF(AND(X332-TODAY()&lt;=30,X332-TODAY()&gt;=0,OR(Z332="",Z332&lt;90)),"At risk — close to off track","On track"))))))))</t>
        </is>
      </c>
      <c r="AH332" s="49" t="inlineStr">
        <is>
          <t>IF(OR(F332="",AC332="Completed / Handover",AC332="Cancelled"),"",IF(O332="Not awarded",IF(U332&lt;&gt;"",U332-TODAY(),IF(X332="","",X332-TODAY())),IF(X332="","",X332-TODAY())))</t>
        </is>
      </c>
      <c r="AI332" s="54" t="n"/>
      <c r="AJ332" s="54" t="n"/>
      <c r="AK332" s="54" t="n"/>
      <c r="AL332" s="54" t="n"/>
      <c r="AM332" s="54" t="n"/>
      <c r="AN332" s="54" t="n"/>
      <c r="AO332" s="54" t="n"/>
      <c r="AP332" s="54" t="n"/>
      <c r="AQ332" s="54" t="n"/>
      <c r="AR332" s="54" t="n"/>
      <c r="AS332" s="54" t="n"/>
      <c r="AT332" s="50" t="n"/>
      <c r="AU332" s="50" t="n"/>
      <c r="AV332" s="50" t="n"/>
      <c r="AW332" s="49" t="inlineStr">
        <is>
          <t>IF(OR(F332="",AJ332=""),"",IF(COUNT(AI332:AI332)=0,"",AJ332-LOOKUP(2,1/(AI332:AI332&lt;&gt;""),AI332:AI332)))</t>
        </is>
      </c>
      <c r="AX332" s="49" t="inlineStr">
        <is>
          <t>IF(OR(F332="",AK332=""),"",IF(COUNT(AI332:AJ332)=0,"",AK332-LOOKUP(2,1/(AI332:AJ332&lt;&gt;""),AI332:AJ332)))</t>
        </is>
      </c>
      <c r="AY332" s="49" t="inlineStr">
        <is>
          <t>IF(OR(F332="",AL332=""),"",IF(COUNT(AI332:AK332)=0,"",AL332-LOOKUP(2,1/(AI332:AK332&lt;&gt;""),AI332:AK332)))</t>
        </is>
      </c>
      <c r="AZ332" s="49" t="inlineStr">
        <is>
          <t>IF(OR(F332="",AM332=""),"",IF(COUNT(AI332:AL332)=0,"",AM332-LOOKUP(2,1/(AI332:AL332&lt;&gt;""),AI332:AL332)))</t>
        </is>
      </c>
      <c r="BA332" s="49" t="inlineStr">
        <is>
          <t>IF(OR(F332="",AN332=""),"",IF(COUNT(AI332:AM332)=0,"",AN332-LOOKUP(2,1/(AI332:AM332&lt;&gt;""),AI332:AM332)))</t>
        </is>
      </c>
      <c r="BB332" s="49" t="inlineStr">
        <is>
          <t>IF(OR(F332="",AO332=""),"",IF(COUNT(AI332:AN332)=0,"",AO332-LOOKUP(2,1/(AI332:AN332&lt;&gt;""),AI332:AN332)))</t>
        </is>
      </c>
      <c r="BC332" s="49" t="inlineStr">
        <is>
          <t>IF(OR(F332="",AP332=""),"",IF(COUNT(AI332:AO332)=0,"",AP332-LOOKUP(2,1/(AI332:AO332&lt;&gt;""),AI332:AO332)))</t>
        </is>
      </c>
      <c r="BD332" s="49" t="inlineStr">
        <is>
          <t>IF(OR(F332="",AQ332=""),"",IF(COUNT(AI332:AP332)=0,"",AQ332-LOOKUP(2,1/(AI332:AP332&lt;&gt;""),AI332:AP332)))</t>
        </is>
      </c>
      <c r="BE332" s="49" t="inlineStr">
        <is>
          <t>IF(OR(F332="",AR332=""),"",IF(COUNT(AI332:AQ332)=0,"",AR332-LOOKUP(2,1/(AI332:AQ332&lt;&gt;""),AI332:AQ332)))</t>
        </is>
      </c>
      <c r="BF332" s="49" t="inlineStr">
        <is>
          <t>IF(OR(F332="",AS332=""),"",IF(COUNT(AI332:AR332)=0,"",AS332-LOOKUP(2,1/(AI332:AR332&lt;&gt;""),AI332:AR332)))</t>
        </is>
      </c>
      <c r="BG332" s="49" t="inlineStr">
        <is>
          <t>IF(OR(F332="",AT332=""),"",IF(COUNT(AI332:AS332)=0,"",AT332-LOOKUP(2,1/(AI332:AS332&lt;&gt;""),AI332:AS332)))</t>
        </is>
      </c>
      <c r="BH332" s="49" t="inlineStr">
        <is>
          <t>IF(OR(F332="",AU332=""),"",IF(COUNT(AI332:AT332)=0,"",AU332-LOOKUP(2,1/(AI332:AT332&lt;&gt;""),AI332:AT332)))</t>
        </is>
      </c>
      <c r="BI332" s="49" t="inlineStr">
        <is>
          <t>IF(OR(F332="",AV332=""),"",IF(COUNT(AI332:AU332)=0,"",AV332-LOOKUP(2,1/(AI332:AU332&lt;&gt;""),AI332:AU332)))</t>
        </is>
      </c>
      <c r="BJ332" s="51" t="inlineStr">
        <is>
          <t>IF(J332="","All_Provinces",IFERROR(VLOOKUP(J332,'09_Lookups'!$A$4:$B$20,2,FALSE),"All_Provinces"))</t>
        </is>
      </c>
      <c r="BK332" s="51" t="inlineStr">
        <is>
          <t>IF(K332="","All_Districts",IFERROR(VLOOKUP(K332,'09_Lookups'!$E$4:$F$42,2,FALSE),"All_Districts"))</t>
        </is>
      </c>
    </row>
    <row r="333" ht="18" customHeight="1">
      <c r="A333" s="42" t="inlineStr">
        <is>
          <t>IF(F333="","",ROW()-3)</t>
        </is>
      </c>
      <c r="B333" s="44" t="n"/>
      <c r="C333" s="44" t="n"/>
      <c r="D333" s="44" t="n"/>
      <c r="E333" s="44" t="n"/>
      <c r="F333" s="44" t="n"/>
      <c r="G333" s="44" t="n"/>
      <c r="H333" s="44" t="n"/>
      <c r="I333" s="44" t="n"/>
      <c r="J333" s="44" t="n"/>
      <c r="K333" s="44" t="n"/>
      <c r="L333" s="44" t="n"/>
      <c r="M333" s="44" t="n"/>
      <c r="N333" s="44" t="n"/>
      <c r="O333" s="44" t="n"/>
      <c r="P333" s="44" t="n"/>
      <c r="Q333" s="44" t="n"/>
      <c r="R333" s="44" t="n"/>
      <c r="S333" s="45" t="n"/>
      <c r="T333" s="46" t="inlineStr">
        <is>
          <t>IF(AQ333="","",AQ333)</t>
        </is>
      </c>
      <c r="U333" s="47" t="n"/>
      <c r="V333" s="48" t="n"/>
      <c r="W333" s="47" t="n"/>
      <c r="X333" s="46" t="inlineStr">
        <is>
          <t>IF(W333&lt;&gt;"",W333,IF(OR(T333="",V333=""),"",EDATE(T333,V333)))</t>
        </is>
      </c>
      <c r="Y333" s="47" t="n"/>
      <c r="Z333" s="48" t="n"/>
      <c r="AA333" s="44" t="n"/>
      <c r="AB333" s="44" t="n"/>
      <c r="AC333" s="42" t="inlineStr">
        <is>
          <t>IF(F333="","",IF(COUNT(AI333:AV333)=0,IF(AA333="","Not started",AA333),SUBSTITUTE(LOOKUP(2,1/(AI333:AV333&lt;&gt;""),$AI$3:$AV$3),"Date: ","")))</t>
        </is>
      </c>
      <c r="AD333" s="49" t="inlineStr">
        <is>
          <t>IF(OR(F333="",COUNT(AI333:AV333)=0),"",TODAY()-LOOKUP(2,1/(AI333:AV333&lt;&gt;""),AI333:AV333))</t>
        </is>
      </c>
      <c r="AE333" s="49" t="inlineStr">
        <is>
          <t>IF(OR(F333="",COUNT(AI333:AV333)&lt;2),"",LOOKUP(2,1/(AI333:AV333&lt;&gt;""),AI333:AV333)-MIN(AI333:AV333))</t>
        </is>
      </c>
      <c r="AF333" s="49" t="inlineStr">
        <is>
          <t>IF(OR(AD333="",AC333="Not started",AC333=""),"",IFERROR(AD333-IF(VLOOKUP(AC333,'06_Status_Pipeline'!$B$3:$E$20,4,FALSE)="",0,VLOOKUP(AC333,'06_Status_Pipeline'!$B$3:$E$20,4,FALSE)),""))</t>
        </is>
      </c>
      <c r="AG333" s="42" t="inlineStr">
        <is>
          <t>IF(F333="","",IF(OR(AA333="Cancelled",AC333="Cancelled"),"Cancelled",IF(OR(AC333="Completed / Handover",Y333&lt;&gt;"",Z333&gt;=100),"Completed — on track",IF(O333="Not awarded",IF(U333="",IF(X333="","No planned date",IF(TODAY()&gt;X333,"Behind — past planned date",IF(X333-TODAY()&lt;=30,"At risk — close to off track","On track"))),IF(TODAY()&gt;U333,"Behind — award date passed",IF(U333-TODAY()&lt;=30,"At risk — close to off track","On track"))),IF(X333="","No planned date",IF(AND(TODAY()&gt;X333,OR(Z333="",Z333&lt;100)),"Behind — past end date",IF(AND(T333&lt;&gt;"",X333&lt;&gt;"",Z333&lt;&gt;"",(Z333&lt;100),((TODAY()-T333)/MAX(X333-T333,1)*100)-Z333&gt;15),"Behind — progress lag",IF(AND(X333-TODAY()&lt;=30,X333-TODAY()&gt;=0,OR(Z333="",Z333&lt;90)),"At risk — close to off track","On track"))))))))</t>
        </is>
      </c>
      <c r="AH333" s="49" t="inlineStr">
        <is>
          <t>IF(OR(F333="",AC333="Completed / Handover",AC333="Cancelled"),"",IF(O333="Not awarded",IF(U333&lt;&gt;"",U333-TODAY(),IF(X333="","",X333-TODAY())),IF(X333="","",X333-TODAY())))</t>
        </is>
      </c>
      <c r="AI333" s="47" t="n"/>
      <c r="AJ333" s="47" t="n"/>
      <c r="AK333" s="47" t="n"/>
      <c r="AL333" s="47" t="n"/>
      <c r="AM333" s="47" t="n"/>
      <c r="AN333" s="47" t="n"/>
      <c r="AO333" s="47" t="n"/>
      <c r="AP333" s="47" t="n"/>
      <c r="AQ333" s="47" t="n"/>
      <c r="AR333" s="47" t="n"/>
      <c r="AS333" s="47" t="n"/>
      <c r="AT333" s="50" t="n"/>
      <c r="AU333" s="50" t="n"/>
      <c r="AV333" s="50" t="n"/>
      <c r="AW333" s="49" t="inlineStr">
        <is>
          <t>IF(OR(F333="",AJ333=""),"",IF(COUNT(AI333:AI333)=0,"",AJ333-LOOKUP(2,1/(AI333:AI333&lt;&gt;""),AI333:AI333)))</t>
        </is>
      </c>
      <c r="AX333" s="49" t="inlineStr">
        <is>
          <t>IF(OR(F333="",AK333=""),"",IF(COUNT(AI333:AJ333)=0,"",AK333-LOOKUP(2,1/(AI333:AJ333&lt;&gt;""),AI333:AJ333)))</t>
        </is>
      </c>
      <c r="AY333" s="49" t="inlineStr">
        <is>
          <t>IF(OR(F333="",AL333=""),"",IF(COUNT(AI333:AK333)=0,"",AL333-LOOKUP(2,1/(AI333:AK333&lt;&gt;""),AI333:AK333)))</t>
        </is>
      </c>
      <c r="AZ333" s="49" t="inlineStr">
        <is>
          <t>IF(OR(F333="",AM333=""),"",IF(COUNT(AI333:AL333)=0,"",AM333-LOOKUP(2,1/(AI333:AL333&lt;&gt;""),AI333:AL333)))</t>
        </is>
      </c>
      <c r="BA333" s="49" t="inlineStr">
        <is>
          <t>IF(OR(F333="",AN333=""),"",IF(COUNT(AI333:AM333)=0,"",AN333-LOOKUP(2,1/(AI333:AM333&lt;&gt;""),AI333:AM333)))</t>
        </is>
      </c>
      <c r="BB333" s="49" t="inlineStr">
        <is>
          <t>IF(OR(F333="",AO333=""),"",IF(COUNT(AI333:AN333)=0,"",AO333-LOOKUP(2,1/(AI333:AN333&lt;&gt;""),AI333:AN333)))</t>
        </is>
      </c>
      <c r="BC333" s="49" t="inlineStr">
        <is>
          <t>IF(OR(F333="",AP333=""),"",IF(COUNT(AI333:AO333)=0,"",AP333-LOOKUP(2,1/(AI333:AO333&lt;&gt;""),AI333:AO333)))</t>
        </is>
      </c>
      <c r="BD333" s="49" t="inlineStr">
        <is>
          <t>IF(OR(F333="",AQ333=""),"",IF(COUNT(AI333:AP333)=0,"",AQ333-LOOKUP(2,1/(AI333:AP333&lt;&gt;""),AI333:AP333)))</t>
        </is>
      </c>
      <c r="BE333" s="49" t="inlineStr">
        <is>
          <t>IF(OR(F333="",AR333=""),"",IF(COUNT(AI333:AQ333)=0,"",AR333-LOOKUP(2,1/(AI333:AQ333&lt;&gt;""),AI333:AQ333)))</t>
        </is>
      </c>
      <c r="BF333" s="49" t="inlineStr">
        <is>
          <t>IF(OR(F333="",AS333=""),"",IF(COUNT(AI333:AR333)=0,"",AS333-LOOKUP(2,1/(AI333:AR333&lt;&gt;""),AI333:AR333)))</t>
        </is>
      </c>
      <c r="BG333" s="49" t="inlineStr">
        <is>
          <t>IF(OR(F333="",AT333=""),"",IF(COUNT(AI333:AS333)=0,"",AT333-LOOKUP(2,1/(AI333:AS333&lt;&gt;""),AI333:AS333)))</t>
        </is>
      </c>
      <c r="BH333" s="49" t="inlineStr">
        <is>
          <t>IF(OR(F333="",AU333=""),"",IF(COUNT(AI333:AT333)=0,"",AU333-LOOKUP(2,1/(AI333:AT333&lt;&gt;""),AI333:AT333)))</t>
        </is>
      </c>
      <c r="BI333" s="49" t="inlineStr">
        <is>
          <t>IF(OR(F333="",AV333=""),"",IF(COUNT(AI333:AU333)=0,"",AV333-LOOKUP(2,1/(AI333:AU333&lt;&gt;""),AI333:AU333)))</t>
        </is>
      </c>
      <c r="BJ333" s="51" t="inlineStr">
        <is>
          <t>IF(J333="","All_Provinces",IFERROR(VLOOKUP(J333,'09_Lookups'!$A$4:$B$20,2,FALSE),"All_Provinces"))</t>
        </is>
      </c>
      <c r="BK333" s="51" t="inlineStr">
        <is>
          <t>IF(K333="","All_Districts",IFERROR(VLOOKUP(K333,'09_Lookups'!$E$4:$F$42,2,FALSE),"All_Districts"))</t>
        </is>
      </c>
    </row>
    <row r="334" ht="18" customHeight="1">
      <c r="A334" s="42" t="inlineStr">
        <is>
          <t>IF(F334="","",ROW()-3)</t>
        </is>
      </c>
      <c r="B334" s="52" t="n"/>
      <c r="C334" s="52" t="n"/>
      <c r="D334" s="52" t="n"/>
      <c r="E334" s="52" t="n"/>
      <c r="F334" s="52" t="n"/>
      <c r="G334" s="52" t="n"/>
      <c r="H334" s="52" t="n"/>
      <c r="I334" s="52" t="n"/>
      <c r="J334" s="52" t="n"/>
      <c r="K334" s="52" t="n"/>
      <c r="L334" s="52" t="n"/>
      <c r="M334" s="52" t="n"/>
      <c r="N334" s="52" t="n"/>
      <c r="O334" s="52" t="n"/>
      <c r="P334" s="52" t="n"/>
      <c r="Q334" s="52" t="n"/>
      <c r="R334" s="52" t="n"/>
      <c r="S334" s="53" t="n"/>
      <c r="T334" s="46" t="inlineStr">
        <is>
          <t>IF(AQ334="","",AQ334)</t>
        </is>
      </c>
      <c r="U334" s="54" t="n"/>
      <c r="V334" s="55" t="n"/>
      <c r="W334" s="54" t="n"/>
      <c r="X334" s="46" t="inlineStr">
        <is>
          <t>IF(W334&lt;&gt;"",W334,IF(OR(T334="",V334=""),"",EDATE(T334,V334)))</t>
        </is>
      </c>
      <c r="Y334" s="54" t="n"/>
      <c r="Z334" s="55" t="n"/>
      <c r="AA334" s="52" t="n"/>
      <c r="AB334" s="52" t="n"/>
      <c r="AC334" s="42" t="inlineStr">
        <is>
          <t>IF(F334="","",IF(COUNT(AI334:AV334)=0,IF(AA334="","Not started",AA334),SUBSTITUTE(LOOKUP(2,1/(AI334:AV334&lt;&gt;""),$AI$3:$AV$3),"Date: ","")))</t>
        </is>
      </c>
      <c r="AD334" s="49" t="inlineStr">
        <is>
          <t>IF(OR(F334="",COUNT(AI334:AV334)=0),"",TODAY()-LOOKUP(2,1/(AI334:AV334&lt;&gt;""),AI334:AV334))</t>
        </is>
      </c>
      <c r="AE334" s="49" t="inlineStr">
        <is>
          <t>IF(OR(F334="",COUNT(AI334:AV334)&lt;2),"",LOOKUP(2,1/(AI334:AV334&lt;&gt;""),AI334:AV334)-MIN(AI334:AV334))</t>
        </is>
      </c>
      <c r="AF334" s="49" t="inlineStr">
        <is>
          <t>IF(OR(AD334="",AC334="Not started",AC334=""),"",IFERROR(AD334-IF(VLOOKUP(AC334,'06_Status_Pipeline'!$B$3:$E$20,4,FALSE)="",0,VLOOKUP(AC334,'06_Status_Pipeline'!$B$3:$E$20,4,FALSE)),""))</t>
        </is>
      </c>
      <c r="AG334" s="42" t="inlineStr">
        <is>
          <t>IF(F334="","",IF(OR(AA334="Cancelled",AC334="Cancelled"),"Cancelled",IF(OR(AC334="Completed / Handover",Y334&lt;&gt;"",Z334&gt;=100),"Completed — on track",IF(O334="Not awarded",IF(U334="",IF(X334="","No planned date",IF(TODAY()&gt;X334,"Behind — past planned date",IF(X334-TODAY()&lt;=30,"At risk — close to off track","On track"))),IF(TODAY()&gt;U334,"Behind — award date passed",IF(U334-TODAY()&lt;=30,"At risk — close to off track","On track"))),IF(X334="","No planned date",IF(AND(TODAY()&gt;X334,OR(Z334="",Z334&lt;100)),"Behind — past end date",IF(AND(T334&lt;&gt;"",X334&lt;&gt;"",Z334&lt;&gt;"",(Z334&lt;100),((TODAY()-T334)/MAX(X334-T334,1)*100)-Z334&gt;15),"Behind — progress lag",IF(AND(X334-TODAY()&lt;=30,X334-TODAY()&gt;=0,OR(Z334="",Z334&lt;90)),"At risk — close to off track","On track"))))))))</t>
        </is>
      </c>
      <c r="AH334" s="49" t="inlineStr">
        <is>
          <t>IF(OR(F334="",AC334="Completed / Handover",AC334="Cancelled"),"",IF(O334="Not awarded",IF(U334&lt;&gt;"",U334-TODAY(),IF(X334="","",X334-TODAY())),IF(X334="","",X334-TODAY())))</t>
        </is>
      </c>
      <c r="AI334" s="54" t="n"/>
      <c r="AJ334" s="54" t="n"/>
      <c r="AK334" s="54" t="n"/>
      <c r="AL334" s="54" t="n"/>
      <c r="AM334" s="54" t="n"/>
      <c r="AN334" s="54" t="n"/>
      <c r="AO334" s="54" t="n"/>
      <c r="AP334" s="54" t="n"/>
      <c r="AQ334" s="54" t="n"/>
      <c r="AR334" s="54" t="n"/>
      <c r="AS334" s="54" t="n"/>
      <c r="AT334" s="50" t="n"/>
      <c r="AU334" s="50" t="n"/>
      <c r="AV334" s="50" t="n"/>
      <c r="AW334" s="49" t="inlineStr">
        <is>
          <t>IF(OR(F334="",AJ334=""),"",IF(COUNT(AI334:AI334)=0,"",AJ334-LOOKUP(2,1/(AI334:AI334&lt;&gt;""),AI334:AI334)))</t>
        </is>
      </c>
      <c r="AX334" s="49" t="inlineStr">
        <is>
          <t>IF(OR(F334="",AK334=""),"",IF(COUNT(AI334:AJ334)=0,"",AK334-LOOKUP(2,1/(AI334:AJ334&lt;&gt;""),AI334:AJ334)))</t>
        </is>
      </c>
      <c r="AY334" s="49" t="inlineStr">
        <is>
          <t>IF(OR(F334="",AL334=""),"",IF(COUNT(AI334:AK334)=0,"",AL334-LOOKUP(2,1/(AI334:AK334&lt;&gt;""),AI334:AK334)))</t>
        </is>
      </c>
      <c r="AZ334" s="49" t="inlineStr">
        <is>
          <t>IF(OR(F334="",AM334=""),"",IF(COUNT(AI334:AL334)=0,"",AM334-LOOKUP(2,1/(AI334:AL334&lt;&gt;""),AI334:AL334)))</t>
        </is>
      </c>
      <c r="BA334" s="49" t="inlineStr">
        <is>
          <t>IF(OR(F334="",AN334=""),"",IF(COUNT(AI334:AM334)=0,"",AN334-LOOKUP(2,1/(AI334:AM334&lt;&gt;""),AI334:AM334)))</t>
        </is>
      </c>
      <c r="BB334" s="49" t="inlineStr">
        <is>
          <t>IF(OR(F334="",AO334=""),"",IF(COUNT(AI334:AN334)=0,"",AO334-LOOKUP(2,1/(AI334:AN334&lt;&gt;""),AI334:AN334)))</t>
        </is>
      </c>
      <c r="BC334" s="49" t="inlineStr">
        <is>
          <t>IF(OR(F334="",AP334=""),"",IF(COUNT(AI334:AO334)=0,"",AP334-LOOKUP(2,1/(AI334:AO334&lt;&gt;""),AI334:AO334)))</t>
        </is>
      </c>
      <c r="BD334" s="49" t="inlineStr">
        <is>
          <t>IF(OR(F334="",AQ334=""),"",IF(COUNT(AI334:AP334)=0,"",AQ334-LOOKUP(2,1/(AI334:AP334&lt;&gt;""),AI334:AP334)))</t>
        </is>
      </c>
      <c r="BE334" s="49" t="inlineStr">
        <is>
          <t>IF(OR(F334="",AR334=""),"",IF(COUNT(AI334:AQ334)=0,"",AR334-LOOKUP(2,1/(AI334:AQ334&lt;&gt;""),AI334:AQ334)))</t>
        </is>
      </c>
      <c r="BF334" s="49" t="inlineStr">
        <is>
          <t>IF(OR(F334="",AS334=""),"",IF(COUNT(AI334:AR334)=0,"",AS334-LOOKUP(2,1/(AI334:AR334&lt;&gt;""),AI334:AR334)))</t>
        </is>
      </c>
      <c r="BG334" s="49" t="inlineStr">
        <is>
          <t>IF(OR(F334="",AT334=""),"",IF(COUNT(AI334:AS334)=0,"",AT334-LOOKUP(2,1/(AI334:AS334&lt;&gt;""),AI334:AS334)))</t>
        </is>
      </c>
      <c r="BH334" s="49" t="inlineStr">
        <is>
          <t>IF(OR(F334="",AU334=""),"",IF(COUNT(AI334:AT334)=0,"",AU334-LOOKUP(2,1/(AI334:AT334&lt;&gt;""),AI334:AT334)))</t>
        </is>
      </c>
      <c r="BI334" s="49" t="inlineStr">
        <is>
          <t>IF(OR(F334="",AV334=""),"",IF(COUNT(AI334:AU334)=0,"",AV334-LOOKUP(2,1/(AI334:AU334&lt;&gt;""),AI334:AU334)))</t>
        </is>
      </c>
      <c r="BJ334" s="51" t="inlineStr">
        <is>
          <t>IF(J334="","All_Provinces",IFERROR(VLOOKUP(J334,'09_Lookups'!$A$4:$B$20,2,FALSE),"All_Provinces"))</t>
        </is>
      </c>
      <c r="BK334" s="51" t="inlineStr">
        <is>
          <t>IF(K334="","All_Districts",IFERROR(VLOOKUP(K334,'09_Lookups'!$E$4:$F$42,2,FALSE),"All_Districts"))</t>
        </is>
      </c>
    </row>
    <row r="335" ht="18" customHeight="1">
      <c r="A335" s="42" t="inlineStr">
        <is>
          <t>IF(F335="","",ROW()-3)</t>
        </is>
      </c>
      <c r="B335" s="44" t="n"/>
      <c r="C335" s="44" t="n"/>
      <c r="D335" s="44" t="n"/>
      <c r="E335" s="44" t="n"/>
      <c r="F335" s="44" t="n"/>
      <c r="G335" s="44" t="n"/>
      <c r="H335" s="44" t="n"/>
      <c r="I335" s="44" t="n"/>
      <c r="J335" s="44" t="n"/>
      <c r="K335" s="44" t="n"/>
      <c r="L335" s="44" t="n"/>
      <c r="M335" s="44" t="n"/>
      <c r="N335" s="44" t="n"/>
      <c r="O335" s="44" t="n"/>
      <c r="P335" s="44" t="n"/>
      <c r="Q335" s="44" t="n"/>
      <c r="R335" s="44" t="n"/>
      <c r="S335" s="45" t="n"/>
      <c r="T335" s="46" t="inlineStr">
        <is>
          <t>IF(AQ335="","",AQ335)</t>
        </is>
      </c>
      <c r="U335" s="47" t="n"/>
      <c r="V335" s="48" t="n"/>
      <c r="W335" s="47" t="n"/>
      <c r="X335" s="46" t="inlineStr">
        <is>
          <t>IF(W335&lt;&gt;"",W335,IF(OR(T335="",V335=""),"",EDATE(T335,V335)))</t>
        </is>
      </c>
      <c r="Y335" s="47" t="n"/>
      <c r="Z335" s="48" t="n"/>
      <c r="AA335" s="44" t="n"/>
      <c r="AB335" s="44" t="n"/>
      <c r="AC335" s="42" t="inlineStr">
        <is>
          <t>IF(F335="","",IF(COUNT(AI335:AV335)=0,IF(AA335="","Not started",AA335),SUBSTITUTE(LOOKUP(2,1/(AI335:AV335&lt;&gt;""),$AI$3:$AV$3),"Date: ","")))</t>
        </is>
      </c>
      <c r="AD335" s="49" t="inlineStr">
        <is>
          <t>IF(OR(F335="",COUNT(AI335:AV335)=0),"",TODAY()-LOOKUP(2,1/(AI335:AV335&lt;&gt;""),AI335:AV335))</t>
        </is>
      </c>
      <c r="AE335" s="49" t="inlineStr">
        <is>
          <t>IF(OR(F335="",COUNT(AI335:AV335)&lt;2),"",LOOKUP(2,1/(AI335:AV335&lt;&gt;""),AI335:AV335)-MIN(AI335:AV335))</t>
        </is>
      </c>
      <c r="AF335" s="49" t="inlineStr">
        <is>
          <t>IF(OR(AD335="",AC335="Not started",AC335=""),"",IFERROR(AD335-IF(VLOOKUP(AC335,'06_Status_Pipeline'!$B$3:$E$20,4,FALSE)="",0,VLOOKUP(AC335,'06_Status_Pipeline'!$B$3:$E$20,4,FALSE)),""))</t>
        </is>
      </c>
      <c r="AG335" s="42" t="inlineStr">
        <is>
          <t>IF(F335="","",IF(OR(AA335="Cancelled",AC335="Cancelled"),"Cancelled",IF(OR(AC335="Completed / Handover",Y335&lt;&gt;"",Z335&gt;=100),"Completed — on track",IF(O335="Not awarded",IF(U335="",IF(X335="","No planned date",IF(TODAY()&gt;X335,"Behind — past planned date",IF(X335-TODAY()&lt;=30,"At risk — close to off track","On track"))),IF(TODAY()&gt;U335,"Behind — award date passed",IF(U335-TODAY()&lt;=30,"At risk — close to off track","On track"))),IF(X335="","No planned date",IF(AND(TODAY()&gt;X335,OR(Z335="",Z335&lt;100)),"Behind — past end date",IF(AND(T335&lt;&gt;"",X335&lt;&gt;"",Z335&lt;&gt;"",(Z335&lt;100),((TODAY()-T335)/MAX(X335-T335,1)*100)-Z335&gt;15),"Behind — progress lag",IF(AND(X335-TODAY()&lt;=30,X335-TODAY()&gt;=0,OR(Z335="",Z335&lt;90)),"At risk — close to off track","On track"))))))))</t>
        </is>
      </c>
      <c r="AH335" s="49" t="inlineStr">
        <is>
          <t>IF(OR(F335="",AC335="Completed / Handover",AC335="Cancelled"),"",IF(O335="Not awarded",IF(U335&lt;&gt;"",U335-TODAY(),IF(X335="","",X335-TODAY())),IF(X335="","",X335-TODAY())))</t>
        </is>
      </c>
      <c r="AI335" s="47" t="n"/>
      <c r="AJ335" s="47" t="n"/>
      <c r="AK335" s="47" t="n"/>
      <c r="AL335" s="47" t="n"/>
      <c r="AM335" s="47" t="n"/>
      <c r="AN335" s="47" t="n"/>
      <c r="AO335" s="47" t="n"/>
      <c r="AP335" s="47" t="n"/>
      <c r="AQ335" s="47" t="n"/>
      <c r="AR335" s="47" t="n"/>
      <c r="AS335" s="47" t="n"/>
      <c r="AT335" s="50" t="n"/>
      <c r="AU335" s="50" t="n"/>
      <c r="AV335" s="50" t="n"/>
      <c r="AW335" s="49" t="inlineStr">
        <is>
          <t>IF(OR(F335="",AJ335=""),"",IF(COUNT(AI335:AI335)=0,"",AJ335-LOOKUP(2,1/(AI335:AI335&lt;&gt;""),AI335:AI335)))</t>
        </is>
      </c>
      <c r="AX335" s="49" t="inlineStr">
        <is>
          <t>IF(OR(F335="",AK335=""),"",IF(COUNT(AI335:AJ335)=0,"",AK335-LOOKUP(2,1/(AI335:AJ335&lt;&gt;""),AI335:AJ335)))</t>
        </is>
      </c>
      <c r="AY335" s="49" t="inlineStr">
        <is>
          <t>IF(OR(F335="",AL335=""),"",IF(COUNT(AI335:AK335)=0,"",AL335-LOOKUP(2,1/(AI335:AK335&lt;&gt;""),AI335:AK335)))</t>
        </is>
      </c>
      <c r="AZ335" s="49" t="inlineStr">
        <is>
          <t>IF(OR(F335="",AM335=""),"",IF(COUNT(AI335:AL335)=0,"",AM335-LOOKUP(2,1/(AI335:AL335&lt;&gt;""),AI335:AL335)))</t>
        </is>
      </c>
      <c r="BA335" s="49" t="inlineStr">
        <is>
          <t>IF(OR(F335="",AN335=""),"",IF(COUNT(AI335:AM335)=0,"",AN335-LOOKUP(2,1/(AI335:AM335&lt;&gt;""),AI335:AM335)))</t>
        </is>
      </c>
      <c r="BB335" s="49" t="inlineStr">
        <is>
          <t>IF(OR(F335="",AO335=""),"",IF(COUNT(AI335:AN335)=0,"",AO335-LOOKUP(2,1/(AI335:AN335&lt;&gt;""),AI335:AN335)))</t>
        </is>
      </c>
      <c r="BC335" s="49" t="inlineStr">
        <is>
          <t>IF(OR(F335="",AP335=""),"",IF(COUNT(AI335:AO335)=0,"",AP335-LOOKUP(2,1/(AI335:AO335&lt;&gt;""),AI335:AO335)))</t>
        </is>
      </c>
      <c r="BD335" s="49" t="inlineStr">
        <is>
          <t>IF(OR(F335="",AQ335=""),"",IF(COUNT(AI335:AP335)=0,"",AQ335-LOOKUP(2,1/(AI335:AP335&lt;&gt;""),AI335:AP335)))</t>
        </is>
      </c>
      <c r="BE335" s="49" t="inlineStr">
        <is>
          <t>IF(OR(F335="",AR335=""),"",IF(COUNT(AI335:AQ335)=0,"",AR335-LOOKUP(2,1/(AI335:AQ335&lt;&gt;""),AI335:AQ335)))</t>
        </is>
      </c>
      <c r="BF335" s="49" t="inlineStr">
        <is>
          <t>IF(OR(F335="",AS335=""),"",IF(COUNT(AI335:AR335)=0,"",AS335-LOOKUP(2,1/(AI335:AR335&lt;&gt;""),AI335:AR335)))</t>
        </is>
      </c>
      <c r="BG335" s="49" t="inlineStr">
        <is>
          <t>IF(OR(F335="",AT335=""),"",IF(COUNT(AI335:AS335)=0,"",AT335-LOOKUP(2,1/(AI335:AS335&lt;&gt;""),AI335:AS335)))</t>
        </is>
      </c>
      <c r="BH335" s="49" t="inlineStr">
        <is>
          <t>IF(OR(F335="",AU335=""),"",IF(COUNT(AI335:AT335)=0,"",AU335-LOOKUP(2,1/(AI335:AT335&lt;&gt;""),AI335:AT335)))</t>
        </is>
      </c>
      <c r="BI335" s="49" t="inlineStr">
        <is>
          <t>IF(OR(F335="",AV335=""),"",IF(COUNT(AI335:AU335)=0,"",AV335-LOOKUP(2,1/(AI335:AU335&lt;&gt;""),AI335:AU335)))</t>
        </is>
      </c>
      <c r="BJ335" s="51" t="inlineStr">
        <is>
          <t>IF(J335="","All_Provinces",IFERROR(VLOOKUP(J335,'09_Lookups'!$A$4:$B$20,2,FALSE),"All_Provinces"))</t>
        </is>
      </c>
      <c r="BK335" s="51" t="inlineStr">
        <is>
          <t>IF(K335="","All_Districts",IFERROR(VLOOKUP(K335,'09_Lookups'!$E$4:$F$42,2,FALSE),"All_Districts"))</t>
        </is>
      </c>
    </row>
    <row r="336" ht="18" customHeight="1">
      <c r="A336" s="42" t="inlineStr">
        <is>
          <t>IF(F336="","",ROW()-3)</t>
        </is>
      </c>
      <c r="B336" s="52" t="n"/>
      <c r="C336" s="52" t="n"/>
      <c r="D336" s="52" t="n"/>
      <c r="E336" s="52" t="n"/>
      <c r="F336" s="52" t="n"/>
      <c r="G336" s="52" t="n"/>
      <c r="H336" s="52" t="n"/>
      <c r="I336" s="52" t="n"/>
      <c r="J336" s="52" t="n"/>
      <c r="K336" s="52" t="n"/>
      <c r="L336" s="52" t="n"/>
      <c r="M336" s="52" t="n"/>
      <c r="N336" s="52" t="n"/>
      <c r="O336" s="52" t="n"/>
      <c r="P336" s="52" t="n"/>
      <c r="Q336" s="52" t="n"/>
      <c r="R336" s="52" t="n"/>
      <c r="S336" s="53" t="n"/>
      <c r="T336" s="46" t="inlineStr">
        <is>
          <t>IF(AQ336="","",AQ336)</t>
        </is>
      </c>
      <c r="U336" s="54" t="n"/>
      <c r="V336" s="55" t="n"/>
      <c r="W336" s="54" t="n"/>
      <c r="X336" s="46" t="inlineStr">
        <is>
          <t>IF(W336&lt;&gt;"",W336,IF(OR(T336="",V336=""),"",EDATE(T336,V336)))</t>
        </is>
      </c>
      <c r="Y336" s="54" t="n"/>
      <c r="Z336" s="55" t="n"/>
      <c r="AA336" s="52" t="n"/>
      <c r="AB336" s="52" t="n"/>
      <c r="AC336" s="42" t="inlineStr">
        <is>
          <t>IF(F336="","",IF(COUNT(AI336:AV336)=0,IF(AA336="","Not started",AA336),SUBSTITUTE(LOOKUP(2,1/(AI336:AV336&lt;&gt;""),$AI$3:$AV$3),"Date: ","")))</t>
        </is>
      </c>
      <c r="AD336" s="49" t="inlineStr">
        <is>
          <t>IF(OR(F336="",COUNT(AI336:AV336)=0),"",TODAY()-LOOKUP(2,1/(AI336:AV336&lt;&gt;""),AI336:AV336))</t>
        </is>
      </c>
      <c r="AE336" s="49" t="inlineStr">
        <is>
          <t>IF(OR(F336="",COUNT(AI336:AV336)&lt;2),"",LOOKUP(2,1/(AI336:AV336&lt;&gt;""),AI336:AV336)-MIN(AI336:AV336))</t>
        </is>
      </c>
      <c r="AF336" s="49" t="inlineStr">
        <is>
          <t>IF(OR(AD336="",AC336="Not started",AC336=""),"",IFERROR(AD336-IF(VLOOKUP(AC336,'06_Status_Pipeline'!$B$3:$E$20,4,FALSE)="",0,VLOOKUP(AC336,'06_Status_Pipeline'!$B$3:$E$20,4,FALSE)),""))</t>
        </is>
      </c>
      <c r="AG336" s="42" t="inlineStr">
        <is>
          <t>IF(F336="","",IF(OR(AA336="Cancelled",AC336="Cancelled"),"Cancelled",IF(OR(AC336="Completed / Handover",Y336&lt;&gt;"",Z336&gt;=100),"Completed — on track",IF(O336="Not awarded",IF(U336="",IF(X336="","No planned date",IF(TODAY()&gt;X336,"Behind — past planned date",IF(X336-TODAY()&lt;=30,"At risk — close to off track","On track"))),IF(TODAY()&gt;U336,"Behind — award date passed",IF(U336-TODAY()&lt;=30,"At risk — close to off track","On track"))),IF(X336="","No planned date",IF(AND(TODAY()&gt;X336,OR(Z336="",Z336&lt;100)),"Behind — past end date",IF(AND(T336&lt;&gt;"",X336&lt;&gt;"",Z336&lt;&gt;"",(Z336&lt;100),((TODAY()-T336)/MAX(X336-T336,1)*100)-Z336&gt;15),"Behind — progress lag",IF(AND(X336-TODAY()&lt;=30,X336-TODAY()&gt;=0,OR(Z336="",Z336&lt;90)),"At risk — close to off track","On track"))))))))</t>
        </is>
      </c>
      <c r="AH336" s="49" t="inlineStr">
        <is>
          <t>IF(OR(F336="",AC336="Completed / Handover",AC336="Cancelled"),"",IF(O336="Not awarded",IF(U336&lt;&gt;"",U336-TODAY(),IF(X336="","",X336-TODAY())),IF(X336="","",X336-TODAY())))</t>
        </is>
      </c>
      <c r="AI336" s="54" t="n"/>
      <c r="AJ336" s="54" t="n"/>
      <c r="AK336" s="54" t="n"/>
      <c r="AL336" s="54" t="n"/>
      <c r="AM336" s="54" t="n"/>
      <c r="AN336" s="54" t="n"/>
      <c r="AO336" s="54" t="n"/>
      <c r="AP336" s="54" t="n"/>
      <c r="AQ336" s="54" t="n"/>
      <c r="AR336" s="54" t="n"/>
      <c r="AS336" s="54" t="n"/>
      <c r="AT336" s="50" t="n"/>
      <c r="AU336" s="50" t="n"/>
      <c r="AV336" s="50" t="n"/>
      <c r="AW336" s="49" t="inlineStr">
        <is>
          <t>IF(OR(F336="",AJ336=""),"",IF(COUNT(AI336:AI336)=0,"",AJ336-LOOKUP(2,1/(AI336:AI336&lt;&gt;""),AI336:AI336)))</t>
        </is>
      </c>
      <c r="AX336" s="49" t="inlineStr">
        <is>
          <t>IF(OR(F336="",AK336=""),"",IF(COUNT(AI336:AJ336)=0,"",AK336-LOOKUP(2,1/(AI336:AJ336&lt;&gt;""),AI336:AJ336)))</t>
        </is>
      </c>
      <c r="AY336" s="49" t="inlineStr">
        <is>
          <t>IF(OR(F336="",AL336=""),"",IF(COUNT(AI336:AK336)=0,"",AL336-LOOKUP(2,1/(AI336:AK336&lt;&gt;""),AI336:AK336)))</t>
        </is>
      </c>
      <c r="AZ336" s="49" t="inlineStr">
        <is>
          <t>IF(OR(F336="",AM336=""),"",IF(COUNT(AI336:AL336)=0,"",AM336-LOOKUP(2,1/(AI336:AL336&lt;&gt;""),AI336:AL336)))</t>
        </is>
      </c>
      <c r="BA336" s="49" t="inlineStr">
        <is>
          <t>IF(OR(F336="",AN336=""),"",IF(COUNT(AI336:AM336)=0,"",AN336-LOOKUP(2,1/(AI336:AM336&lt;&gt;""),AI336:AM336)))</t>
        </is>
      </c>
      <c r="BB336" s="49" t="inlineStr">
        <is>
          <t>IF(OR(F336="",AO336=""),"",IF(COUNT(AI336:AN336)=0,"",AO336-LOOKUP(2,1/(AI336:AN336&lt;&gt;""),AI336:AN336)))</t>
        </is>
      </c>
      <c r="BC336" s="49" t="inlineStr">
        <is>
          <t>IF(OR(F336="",AP336=""),"",IF(COUNT(AI336:AO336)=0,"",AP336-LOOKUP(2,1/(AI336:AO336&lt;&gt;""),AI336:AO336)))</t>
        </is>
      </c>
      <c r="BD336" s="49" t="inlineStr">
        <is>
          <t>IF(OR(F336="",AQ336=""),"",IF(COUNT(AI336:AP336)=0,"",AQ336-LOOKUP(2,1/(AI336:AP336&lt;&gt;""),AI336:AP336)))</t>
        </is>
      </c>
      <c r="BE336" s="49" t="inlineStr">
        <is>
          <t>IF(OR(F336="",AR336=""),"",IF(COUNT(AI336:AQ336)=0,"",AR336-LOOKUP(2,1/(AI336:AQ336&lt;&gt;""),AI336:AQ336)))</t>
        </is>
      </c>
      <c r="BF336" s="49" t="inlineStr">
        <is>
          <t>IF(OR(F336="",AS336=""),"",IF(COUNT(AI336:AR336)=0,"",AS336-LOOKUP(2,1/(AI336:AR336&lt;&gt;""),AI336:AR336)))</t>
        </is>
      </c>
      <c r="BG336" s="49" t="inlineStr">
        <is>
          <t>IF(OR(F336="",AT336=""),"",IF(COUNT(AI336:AS336)=0,"",AT336-LOOKUP(2,1/(AI336:AS336&lt;&gt;""),AI336:AS336)))</t>
        </is>
      </c>
      <c r="BH336" s="49" t="inlineStr">
        <is>
          <t>IF(OR(F336="",AU336=""),"",IF(COUNT(AI336:AT336)=0,"",AU336-LOOKUP(2,1/(AI336:AT336&lt;&gt;""),AI336:AT336)))</t>
        </is>
      </c>
      <c r="BI336" s="49" t="inlineStr">
        <is>
          <t>IF(OR(F336="",AV336=""),"",IF(COUNT(AI336:AU336)=0,"",AV336-LOOKUP(2,1/(AI336:AU336&lt;&gt;""),AI336:AU336)))</t>
        </is>
      </c>
      <c r="BJ336" s="51" t="inlineStr">
        <is>
          <t>IF(J336="","All_Provinces",IFERROR(VLOOKUP(J336,'09_Lookups'!$A$4:$B$20,2,FALSE),"All_Provinces"))</t>
        </is>
      </c>
      <c r="BK336" s="51" t="inlineStr">
        <is>
          <t>IF(K336="","All_Districts",IFERROR(VLOOKUP(K336,'09_Lookups'!$E$4:$F$42,2,FALSE),"All_Districts"))</t>
        </is>
      </c>
    </row>
    <row r="337" ht="18" customHeight="1">
      <c r="A337" s="42" t="inlineStr">
        <is>
          <t>IF(F337="","",ROW()-3)</t>
        </is>
      </c>
      <c r="B337" s="44" t="n"/>
      <c r="C337" s="44" t="n"/>
      <c r="D337" s="44" t="n"/>
      <c r="E337" s="44" t="n"/>
      <c r="F337" s="44" t="n"/>
      <c r="G337" s="44" t="n"/>
      <c r="H337" s="44" t="n"/>
      <c r="I337" s="44" t="n"/>
      <c r="J337" s="44" t="n"/>
      <c r="K337" s="44" t="n"/>
      <c r="L337" s="44" t="n"/>
      <c r="M337" s="44" t="n"/>
      <c r="N337" s="44" t="n"/>
      <c r="O337" s="44" t="n"/>
      <c r="P337" s="44" t="n"/>
      <c r="Q337" s="44" t="n"/>
      <c r="R337" s="44" t="n"/>
      <c r="S337" s="45" t="n"/>
      <c r="T337" s="46" t="inlineStr">
        <is>
          <t>IF(AQ337="","",AQ337)</t>
        </is>
      </c>
      <c r="U337" s="47" t="n"/>
      <c r="V337" s="48" t="n"/>
      <c r="W337" s="47" t="n"/>
      <c r="X337" s="46" t="inlineStr">
        <is>
          <t>IF(W337&lt;&gt;"",W337,IF(OR(T337="",V337=""),"",EDATE(T337,V337)))</t>
        </is>
      </c>
      <c r="Y337" s="47" t="n"/>
      <c r="Z337" s="48" t="n"/>
      <c r="AA337" s="44" t="n"/>
      <c r="AB337" s="44" t="n"/>
      <c r="AC337" s="42" t="inlineStr">
        <is>
          <t>IF(F337="","",IF(COUNT(AI337:AV337)=0,IF(AA337="","Not started",AA337),SUBSTITUTE(LOOKUP(2,1/(AI337:AV337&lt;&gt;""),$AI$3:$AV$3),"Date: ","")))</t>
        </is>
      </c>
      <c r="AD337" s="49" t="inlineStr">
        <is>
          <t>IF(OR(F337="",COUNT(AI337:AV337)=0),"",TODAY()-LOOKUP(2,1/(AI337:AV337&lt;&gt;""),AI337:AV337))</t>
        </is>
      </c>
      <c r="AE337" s="49" t="inlineStr">
        <is>
          <t>IF(OR(F337="",COUNT(AI337:AV337)&lt;2),"",LOOKUP(2,1/(AI337:AV337&lt;&gt;""),AI337:AV337)-MIN(AI337:AV337))</t>
        </is>
      </c>
      <c r="AF337" s="49" t="inlineStr">
        <is>
          <t>IF(OR(AD337="",AC337="Not started",AC337=""),"",IFERROR(AD337-IF(VLOOKUP(AC337,'06_Status_Pipeline'!$B$3:$E$20,4,FALSE)="",0,VLOOKUP(AC337,'06_Status_Pipeline'!$B$3:$E$20,4,FALSE)),""))</t>
        </is>
      </c>
      <c r="AG337" s="42" t="inlineStr">
        <is>
          <t>IF(F337="","",IF(OR(AA337="Cancelled",AC337="Cancelled"),"Cancelled",IF(OR(AC337="Completed / Handover",Y337&lt;&gt;"",Z337&gt;=100),"Completed — on track",IF(O337="Not awarded",IF(U337="",IF(X337="","No planned date",IF(TODAY()&gt;X337,"Behind — past planned date",IF(X337-TODAY()&lt;=30,"At risk — close to off track","On track"))),IF(TODAY()&gt;U337,"Behind — award date passed",IF(U337-TODAY()&lt;=30,"At risk — close to off track","On track"))),IF(X337="","No planned date",IF(AND(TODAY()&gt;X337,OR(Z337="",Z337&lt;100)),"Behind — past end date",IF(AND(T337&lt;&gt;"",X337&lt;&gt;"",Z337&lt;&gt;"",(Z337&lt;100),((TODAY()-T337)/MAX(X337-T337,1)*100)-Z337&gt;15),"Behind — progress lag",IF(AND(X337-TODAY()&lt;=30,X337-TODAY()&gt;=0,OR(Z337="",Z337&lt;90)),"At risk — close to off track","On track"))))))))</t>
        </is>
      </c>
      <c r="AH337" s="49" t="inlineStr">
        <is>
          <t>IF(OR(F337="",AC337="Completed / Handover",AC337="Cancelled"),"",IF(O337="Not awarded",IF(U337&lt;&gt;"",U337-TODAY(),IF(X337="","",X337-TODAY())),IF(X337="","",X337-TODAY())))</t>
        </is>
      </c>
      <c r="AI337" s="47" t="n"/>
      <c r="AJ337" s="47" t="n"/>
      <c r="AK337" s="47" t="n"/>
      <c r="AL337" s="47" t="n"/>
      <c r="AM337" s="47" t="n"/>
      <c r="AN337" s="47" t="n"/>
      <c r="AO337" s="47" t="n"/>
      <c r="AP337" s="47" t="n"/>
      <c r="AQ337" s="47" t="n"/>
      <c r="AR337" s="47" t="n"/>
      <c r="AS337" s="47" t="n"/>
      <c r="AT337" s="50" t="n"/>
      <c r="AU337" s="50" t="n"/>
      <c r="AV337" s="50" t="n"/>
      <c r="AW337" s="49" t="inlineStr">
        <is>
          <t>IF(OR(F337="",AJ337=""),"",IF(COUNT(AI337:AI337)=0,"",AJ337-LOOKUP(2,1/(AI337:AI337&lt;&gt;""),AI337:AI337)))</t>
        </is>
      </c>
      <c r="AX337" s="49" t="inlineStr">
        <is>
          <t>IF(OR(F337="",AK337=""),"",IF(COUNT(AI337:AJ337)=0,"",AK337-LOOKUP(2,1/(AI337:AJ337&lt;&gt;""),AI337:AJ337)))</t>
        </is>
      </c>
      <c r="AY337" s="49" t="inlineStr">
        <is>
          <t>IF(OR(F337="",AL337=""),"",IF(COUNT(AI337:AK337)=0,"",AL337-LOOKUP(2,1/(AI337:AK337&lt;&gt;""),AI337:AK337)))</t>
        </is>
      </c>
      <c r="AZ337" s="49" t="inlineStr">
        <is>
          <t>IF(OR(F337="",AM337=""),"",IF(COUNT(AI337:AL337)=0,"",AM337-LOOKUP(2,1/(AI337:AL337&lt;&gt;""),AI337:AL337)))</t>
        </is>
      </c>
      <c r="BA337" s="49" t="inlineStr">
        <is>
          <t>IF(OR(F337="",AN337=""),"",IF(COUNT(AI337:AM337)=0,"",AN337-LOOKUP(2,1/(AI337:AM337&lt;&gt;""),AI337:AM337)))</t>
        </is>
      </c>
      <c r="BB337" s="49" t="inlineStr">
        <is>
          <t>IF(OR(F337="",AO337=""),"",IF(COUNT(AI337:AN337)=0,"",AO337-LOOKUP(2,1/(AI337:AN337&lt;&gt;""),AI337:AN337)))</t>
        </is>
      </c>
      <c r="BC337" s="49" t="inlineStr">
        <is>
          <t>IF(OR(F337="",AP337=""),"",IF(COUNT(AI337:AO337)=0,"",AP337-LOOKUP(2,1/(AI337:AO337&lt;&gt;""),AI337:AO337)))</t>
        </is>
      </c>
      <c r="BD337" s="49" t="inlineStr">
        <is>
          <t>IF(OR(F337="",AQ337=""),"",IF(COUNT(AI337:AP337)=0,"",AQ337-LOOKUP(2,1/(AI337:AP337&lt;&gt;""),AI337:AP337)))</t>
        </is>
      </c>
      <c r="BE337" s="49" t="inlineStr">
        <is>
          <t>IF(OR(F337="",AR337=""),"",IF(COUNT(AI337:AQ337)=0,"",AR337-LOOKUP(2,1/(AI337:AQ337&lt;&gt;""),AI337:AQ337)))</t>
        </is>
      </c>
      <c r="BF337" s="49" t="inlineStr">
        <is>
          <t>IF(OR(F337="",AS337=""),"",IF(COUNT(AI337:AR337)=0,"",AS337-LOOKUP(2,1/(AI337:AR337&lt;&gt;""),AI337:AR337)))</t>
        </is>
      </c>
      <c r="BG337" s="49" t="inlineStr">
        <is>
          <t>IF(OR(F337="",AT337=""),"",IF(COUNT(AI337:AS337)=0,"",AT337-LOOKUP(2,1/(AI337:AS337&lt;&gt;""),AI337:AS337)))</t>
        </is>
      </c>
      <c r="BH337" s="49" t="inlineStr">
        <is>
          <t>IF(OR(F337="",AU337=""),"",IF(COUNT(AI337:AT337)=0,"",AU337-LOOKUP(2,1/(AI337:AT337&lt;&gt;""),AI337:AT337)))</t>
        </is>
      </c>
      <c r="BI337" s="49" t="inlineStr">
        <is>
          <t>IF(OR(F337="",AV337=""),"",IF(COUNT(AI337:AU337)=0,"",AV337-LOOKUP(2,1/(AI337:AU337&lt;&gt;""),AI337:AU337)))</t>
        </is>
      </c>
      <c r="BJ337" s="51" t="inlineStr">
        <is>
          <t>IF(J337="","All_Provinces",IFERROR(VLOOKUP(J337,'09_Lookups'!$A$4:$B$20,2,FALSE),"All_Provinces"))</t>
        </is>
      </c>
      <c r="BK337" s="51" t="inlineStr">
        <is>
          <t>IF(K337="","All_Districts",IFERROR(VLOOKUP(K337,'09_Lookups'!$E$4:$F$42,2,FALSE),"All_Districts"))</t>
        </is>
      </c>
    </row>
    <row r="338" ht="18" customHeight="1">
      <c r="A338" s="42" t="inlineStr">
        <is>
          <t>IF(F338="","",ROW()-3)</t>
        </is>
      </c>
      <c r="B338" s="52" t="n"/>
      <c r="C338" s="52" t="n"/>
      <c r="D338" s="52" t="n"/>
      <c r="E338" s="52" t="n"/>
      <c r="F338" s="52" t="n"/>
      <c r="G338" s="52" t="n"/>
      <c r="H338" s="52" t="n"/>
      <c r="I338" s="52" t="n"/>
      <c r="J338" s="52" t="n"/>
      <c r="K338" s="52" t="n"/>
      <c r="L338" s="52" t="n"/>
      <c r="M338" s="52" t="n"/>
      <c r="N338" s="52" t="n"/>
      <c r="O338" s="52" t="n"/>
      <c r="P338" s="52" t="n"/>
      <c r="Q338" s="52" t="n"/>
      <c r="R338" s="52" t="n"/>
      <c r="S338" s="53" t="n"/>
      <c r="T338" s="46" t="inlineStr">
        <is>
          <t>IF(AQ338="","",AQ338)</t>
        </is>
      </c>
      <c r="U338" s="54" t="n"/>
      <c r="V338" s="55" t="n"/>
      <c r="W338" s="54" t="n"/>
      <c r="X338" s="46" t="inlineStr">
        <is>
          <t>IF(W338&lt;&gt;"",W338,IF(OR(T338="",V338=""),"",EDATE(T338,V338)))</t>
        </is>
      </c>
      <c r="Y338" s="54" t="n"/>
      <c r="Z338" s="55" t="n"/>
      <c r="AA338" s="52" t="n"/>
      <c r="AB338" s="52" t="n"/>
      <c r="AC338" s="42" t="inlineStr">
        <is>
          <t>IF(F338="","",IF(COUNT(AI338:AV338)=0,IF(AA338="","Not started",AA338),SUBSTITUTE(LOOKUP(2,1/(AI338:AV338&lt;&gt;""),$AI$3:$AV$3),"Date: ","")))</t>
        </is>
      </c>
      <c r="AD338" s="49" t="inlineStr">
        <is>
          <t>IF(OR(F338="",COUNT(AI338:AV338)=0),"",TODAY()-LOOKUP(2,1/(AI338:AV338&lt;&gt;""),AI338:AV338))</t>
        </is>
      </c>
      <c r="AE338" s="49" t="inlineStr">
        <is>
          <t>IF(OR(F338="",COUNT(AI338:AV338)&lt;2),"",LOOKUP(2,1/(AI338:AV338&lt;&gt;""),AI338:AV338)-MIN(AI338:AV338))</t>
        </is>
      </c>
      <c r="AF338" s="49" t="inlineStr">
        <is>
          <t>IF(OR(AD338="",AC338="Not started",AC338=""),"",IFERROR(AD338-IF(VLOOKUP(AC338,'06_Status_Pipeline'!$B$3:$E$20,4,FALSE)="",0,VLOOKUP(AC338,'06_Status_Pipeline'!$B$3:$E$20,4,FALSE)),""))</t>
        </is>
      </c>
      <c r="AG338" s="42" t="inlineStr">
        <is>
          <t>IF(F338="","",IF(OR(AA338="Cancelled",AC338="Cancelled"),"Cancelled",IF(OR(AC338="Completed / Handover",Y338&lt;&gt;"",Z338&gt;=100),"Completed — on track",IF(O338="Not awarded",IF(U338="",IF(X338="","No planned date",IF(TODAY()&gt;X338,"Behind — past planned date",IF(X338-TODAY()&lt;=30,"At risk — close to off track","On track"))),IF(TODAY()&gt;U338,"Behind — award date passed",IF(U338-TODAY()&lt;=30,"At risk — close to off track","On track"))),IF(X338="","No planned date",IF(AND(TODAY()&gt;X338,OR(Z338="",Z338&lt;100)),"Behind — past end date",IF(AND(T338&lt;&gt;"",X338&lt;&gt;"",Z338&lt;&gt;"",(Z338&lt;100),((TODAY()-T338)/MAX(X338-T338,1)*100)-Z338&gt;15),"Behind — progress lag",IF(AND(X338-TODAY()&lt;=30,X338-TODAY()&gt;=0,OR(Z338="",Z338&lt;90)),"At risk — close to off track","On track"))))))))</t>
        </is>
      </c>
      <c r="AH338" s="49" t="inlineStr">
        <is>
          <t>IF(OR(F338="",AC338="Completed / Handover",AC338="Cancelled"),"",IF(O338="Not awarded",IF(U338&lt;&gt;"",U338-TODAY(),IF(X338="","",X338-TODAY())),IF(X338="","",X338-TODAY())))</t>
        </is>
      </c>
      <c r="AI338" s="54" t="n"/>
      <c r="AJ338" s="54" t="n"/>
      <c r="AK338" s="54" t="n"/>
      <c r="AL338" s="54" t="n"/>
      <c r="AM338" s="54" t="n"/>
      <c r="AN338" s="54" t="n"/>
      <c r="AO338" s="54" t="n"/>
      <c r="AP338" s="54" t="n"/>
      <c r="AQ338" s="54" t="n"/>
      <c r="AR338" s="54" t="n"/>
      <c r="AS338" s="54" t="n"/>
      <c r="AT338" s="50" t="n"/>
      <c r="AU338" s="50" t="n"/>
      <c r="AV338" s="50" t="n"/>
      <c r="AW338" s="49" t="inlineStr">
        <is>
          <t>IF(OR(F338="",AJ338=""),"",IF(COUNT(AI338:AI338)=0,"",AJ338-LOOKUP(2,1/(AI338:AI338&lt;&gt;""),AI338:AI338)))</t>
        </is>
      </c>
      <c r="AX338" s="49" t="inlineStr">
        <is>
          <t>IF(OR(F338="",AK338=""),"",IF(COUNT(AI338:AJ338)=0,"",AK338-LOOKUP(2,1/(AI338:AJ338&lt;&gt;""),AI338:AJ338)))</t>
        </is>
      </c>
      <c r="AY338" s="49" t="inlineStr">
        <is>
          <t>IF(OR(F338="",AL338=""),"",IF(COUNT(AI338:AK338)=0,"",AL338-LOOKUP(2,1/(AI338:AK338&lt;&gt;""),AI338:AK338)))</t>
        </is>
      </c>
      <c r="AZ338" s="49" t="inlineStr">
        <is>
          <t>IF(OR(F338="",AM338=""),"",IF(COUNT(AI338:AL338)=0,"",AM338-LOOKUP(2,1/(AI338:AL338&lt;&gt;""),AI338:AL338)))</t>
        </is>
      </c>
      <c r="BA338" s="49" t="inlineStr">
        <is>
          <t>IF(OR(F338="",AN338=""),"",IF(COUNT(AI338:AM338)=0,"",AN338-LOOKUP(2,1/(AI338:AM338&lt;&gt;""),AI338:AM338)))</t>
        </is>
      </c>
      <c r="BB338" s="49" t="inlineStr">
        <is>
          <t>IF(OR(F338="",AO338=""),"",IF(COUNT(AI338:AN338)=0,"",AO338-LOOKUP(2,1/(AI338:AN338&lt;&gt;""),AI338:AN338)))</t>
        </is>
      </c>
      <c r="BC338" s="49" t="inlineStr">
        <is>
          <t>IF(OR(F338="",AP338=""),"",IF(COUNT(AI338:AO338)=0,"",AP338-LOOKUP(2,1/(AI338:AO338&lt;&gt;""),AI338:AO338)))</t>
        </is>
      </c>
      <c r="BD338" s="49" t="inlineStr">
        <is>
          <t>IF(OR(F338="",AQ338=""),"",IF(COUNT(AI338:AP338)=0,"",AQ338-LOOKUP(2,1/(AI338:AP338&lt;&gt;""),AI338:AP338)))</t>
        </is>
      </c>
      <c r="BE338" s="49" t="inlineStr">
        <is>
          <t>IF(OR(F338="",AR338=""),"",IF(COUNT(AI338:AQ338)=0,"",AR338-LOOKUP(2,1/(AI338:AQ338&lt;&gt;""),AI338:AQ338)))</t>
        </is>
      </c>
      <c r="BF338" s="49" t="inlineStr">
        <is>
          <t>IF(OR(F338="",AS338=""),"",IF(COUNT(AI338:AR338)=0,"",AS338-LOOKUP(2,1/(AI338:AR338&lt;&gt;""),AI338:AR338)))</t>
        </is>
      </c>
      <c r="BG338" s="49" t="inlineStr">
        <is>
          <t>IF(OR(F338="",AT338=""),"",IF(COUNT(AI338:AS338)=0,"",AT338-LOOKUP(2,1/(AI338:AS338&lt;&gt;""),AI338:AS338)))</t>
        </is>
      </c>
      <c r="BH338" s="49" t="inlineStr">
        <is>
          <t>IF(OR(F338="",AU338=""),"",IF(COUNT(AI338:AT338)=0,"",AU338-LOOKUP(2,1/(AI338:AT338&lt;&gt;""),AI338:AT338)))</t>
        </is>
      </c>
      <c r="BI338" s="49" t="inlineStr">
        <is>
          <t>IF(OR(F338="",AV338=""),"",IF(COUNT(AI338:AU338)=0,"",AV338-LOOKUP(2,1/(AI338:AU338&lt;&gt;""),AI338:AU338)))</t>
        </is>
      </c>
      <c r="BJ338" s="51" t="inlineStr">
        <is>
          <t>IF(J338="","All_Provinces",IFERROR(VLOOKUP(J338,'09_Lookups'!$A$4:$B$20,2,FALSE),"All_Provinces"))</t>
        </is>
      </c>
      <c r="BK338" s="51" t="inlineStr">
        <is>
          <t>IF(K338="","All_Districts",IFERROR(VLOOKUP(K338,'09_Lookups'!$E$4:$F$42,2,FALSE),"All_Districts"))</t>
        </is>
      </c>
    </row>
    <row r="339" ht="18" customHeight="1">
      <c r="A339" s="42" t="inlineStr">
        <is>
          <t>IF(F339="","",ROW()-3)</t>
        </is>
      </c>
      <c r="B339" s="44" t="n"/>
      <c r="C339" s="44" t="n"/>
      <c r="D339" s="44" t="n"/>
      <c r="E339" s="44" t="n"/>
      <c r="F339" s="44" t="n"/>
      <c r="G339" s="44" t="n"/>
      <c r="H339" s="44" t="n"/>
      <c r="I339" s="44" t="n"/>
      <c r="J339" s="44" t="n"/>
      <c r="K339" s="44" t="n"/>
      <c r="L339" s="44" t="n"/>
      <c r="M339" s="44" t="n"/>
      <c r="N339" s="44" t="n"/>
      <c r="O339" s="44" t="n"/>
      <c r="P339" s="44" t="n"/>
      <c r="Q339" s="44" t="n"/>
      <c r="R339" s="44" t="n"/>
      <c r="S339" s="45" t="n"/>
      <c r="T339" s="46" t="inlineStr">
        <is>
          <t>IF(AQ339="","",AQ339)</t>
        </is>
      </c>
      <c r="U339" s="47" t="n"/>
      <c r="V339" s="48" t="n"/>
      <c r="W339" s="47" t="n"/>
      <c r="X339" s="46" t="inlineStr">
        <is>
          <t>IF(W339&lt;&gt;"",W339,IF(OR(T339="",V339=""),"",EDATE(T339,V339)))</t>
        </is>
      </c>
      <c r="Y339" s="47" t="n"/>
      <c r="Z339" s="48" t="n"/>
      <c r="AA339" s="44" t="n"/>
      <c r="AB339" s="44" t="n"/>
      <c r="AC339" s="42" t="inlineStr">
        <is>
          <t>IF(F339="","",IF(COUNT(AI339:AV339)=0,IF(AA339="","Not started",AA339),SUBSTITUTE(LOOKUP(2,1/(AI339:AV339&lt;&gt;""),$AI$3:$AV$3),"Date: ","")))</t>
        </is>
      </c>
      <c r="AD339" s="49" t="inlineStr">
        <is>
          <t>IF(OR(F339="",COUNT(AI339:AV339)=0),"",TODAY()-LOOKUP(2,1/(AI339:AV339&lt;&gt;""),AI339:AV339))</t>
        </is>
      </c>
      <c r="AE339" s="49" t="inlineStr">
        <is>
          <t>IF(OR(F339="",COUNT(AI339:AV339)&lt;2),"",LOOKUP(2,1/(AI339:AV339&lt;&gt;""),AI339:AV339)-MIN(AI339:AV339))</t>
        </is>
      </c>
      <c r="AF339" s="49" t="inlineStr">
        <is>
          <t>IF(OR(AD339="",AC339="Not started",AC339=""),"",IFERROR(AD339-IF(VLOOKUP(AC339,'06_Status_Pipeline'!$B$3:$E$20,4,FALSE)="",0,VLOOKUP(AC339,'06_Status_Pipeline'!$B$3:$E$20,4,FALSE)),""))</t>
        </is>
      </c>
      <c r="AG339" s="42" t="inlineStr">
        <is>
          <t>IF(F339="","",IF(OR(AA339="Cancelled",AC339="Cancelled"),"Cancelled",IF(OR(AC339="Completed / Handover",Y339&lt;&gt;"",Z339&gt;=100),"Completed — on track",IF(O339="Not awarded",IF(U339="",IF(X339="","No planned date",IF(TODAY()&gt;X339,"Behind — past planned date",IF(X339-TODAY()&lt;=30,"At risk — close to off track","On track"))),IF(TODAY()&gt;U339,"Behind — award date passed",IF(U339-TODAY()&lt;=30,"At risk — close to off track","On track"))),IF(X339="","No planned date",IF(AND(TODAY()&gt;X339,OR(Z339="",Z339&lt;100)),"Behind — past end date",IF(AND(T339&lt;&gt;"",X339&lt;&gt;"",Z339&lt;&gt;"",(Z339&lt;100),((TODAY()-T339)/MAX(X339-T339,1)*100)-Z339&gt;15),"Behind — progress lag",IF(AND(X339-TODAY()&lt;=30,X339-TODAY()&gt;=0,OR(Z339="",Z339&lt;90)),"At risk — close to off track","On track"))))))))</t>
        </is>
      </c>
      <c r="AH339" s="49" t="inlineStr">
        <is>
          <t>IF(OR(F339="",AC339="Completed / Handover",AC339="Cancelled"),"",IF(O339="Not awarded",IF(U339&lt;&gt;"",U339-TODAY(),IF(X339="","",X339-TODAY())),IF(X339="","",X339-TODAY())))</t>
        </is>
      </c>
      <c r="AI339" s="47" t="n"/>
      <c r="AJ339" s="47" t="n"/>
      <c r="AK339" s="47" t="n"/>
      <c r="AL339" s="47" t="n"/>
      <c r="AM339" s="47" t="n"/>
      <c r="AN339" s="47" t="n"/>
      <c r="AO339" s="47" t="n"/>
      <c r="AP339" s="47" t="n"/>
      <c r="AQ339" s="47" t="n"/>
      <c r="AR339" s="47" t="n"/>
      <c r="AS339" s="47" t="n"/>
      <c r="AT339" s="50" t="n"/>
      <c r="AU339" s="50" t="n"/>
      <c r="AV339" s="50" t="n"/>
      <c r="AW339" s="49" t="inlineStr">
        <is>
          <t>IF(OR(F339="",AJ339=""),"",IF(COUNT(AI339:AI339)=0,"",AJ339-LOOKUP(2,1/(AI339:AI339&lt;&gt;""),AI339:AI339)))</t>
        </is>
      </c>
      <c r="AX339" s="49" t="inlineStr">
        <is>
          <t>IF(OR(F339="",AK339=""),"",IF(COUNT(AI339:AJ339)=0,"",AK339-LOOKUP(2,1/(AI339:AJ339&lt;&gt;""),AI339:AJ339)))</t>
        </is>
      </c>
      <c r="AY339" s="49" t="inlineStr">
        <is>
          <t>IF(OR(F339="",AL339=""),"",IF(COUNT(AI339:AK339)=0,"",AL339-LOOKUP(2,1/(AI339:AK339&lt;&gt;""),AI339:AK339)))</t>
        </is>
      </c>
      <c r="AZ339" s="49" t="inlineStr">
        <is>
          <t>IF(OR(F339="",AM339=""),"",IF(COUNT(AI339:AL339)=0,"",AM339-LOOKUP(2,1/(AI339:AL339&lt;&gt;""),AI339:AL339)))</t>
        </is>
      </c>
      <c r="BA339" s="49" t="inlineStr">
        <is>
          <t>IF(OR(F339="",AN339=""),"",IF(COUNT(AI339:AM339)=0,"",AN339-LOOKUP(2,1/(AI339:AM339&lt;&gt;""),AI339:AM339)))</t>
        </is>
      </c>
      <c r="BB339" s="49" t="inlineStr">
        <is>
          <t>IF(OR(F339="",AO339=""),"",IF(COUNT(AI339:AN339)=0,"",AO339-LOOKUP(2,1/(AI339:AN339&lt;&gt;""),AI339:AN339)))</t>
        </is>
      </c>
      <c r="BC339" s="49" t="inlineStr">
        <is>
          <t>IF(OR(F339="",AP339=""),"",IF(COUNT(AI339:AO339)=0,"",AP339-LOOKUP(2,1/(AI339:AO339&lt;&gt;""),AI339:AO339)))</t>
        </is>
      </c>
      <c r="BD339" s="49" t="inlineStr">
        <is>
          <t>IF(OR(F339="",AQ339=""),"",IF(COUNT(AI339:AP339)=0,"",AQ339-LOOKUP(2,1/(AI339:AP339&lt;&gt;""),AI339:AP339)))</t>
        </is>
      </c>
      <c r="BE339" s="49" t="inlineStr">
        <is>
          <t>IF(OR(F339="",AR339=""),"",IF(COUNT(AI339:AQ339)=0,"",AR339-LOOKUP(2,1/(AI339:AQ339&lt;&gt;""),AI339:AQ339)))</t>
        </is>
      </c>
      <c r="BF339" s="49" t="inlineStr">
        <is>
          <t>IF(OR(F339="",AS339=""),"",IF(COUNT(AI339:AR339)=0,"",AS339-LOOKUP(2,1/(AI339:AR339&lt;&gt;""),AI339:AR339)))</t>
        </is>
      </c>
      <c r="BG339" s="49" t="inlineStr">
        <is>
          <t>IF(OR(F339="",AT339=""),"",IF(COUNT(AI339:AS339)=0,"",AT339-LOOKUP(2,1/(AI339:AS339&lt;&gt;""),AI339:AS339)))</t>
        </is>
      </c>
      <c r="BH339" s="49" t="inlineStr">
        <is>
          <t>IF(OR(F339="",AU339=""),"",IF(COUNT(AI339:AT339)=0,"",AU339-LOOKUP(2,1/(AI339:AT339&lt;&gt;""),AI339:AT339)))</t>
        </is>
      </c>
      <c r="BI339" s="49" t="inlineStr">
        <is>
          <t>IF(OR(F339="",AV339=""),"",IF(COUNT(AI339:AU339)=0,"",AV339-LOOKUP(2,1/(AI339:AU339&lt;&gt;""),AI339:AU339)))</t>
        </is>
      </c>
      <c r="BJ339" s="51" t="inlineStr">
        <is>
          <t>IF(J339="","All_Provinces",IFERROR(VLOOKUP(J339,'09_Lookups'!$A$4:$B$20,2,FALSE),"All_Provinces"))</t>
        </is>
      </c>
      <c r="BK339" s="51" t="inlineStr">
        <is>
          <t>IF(K339="","All_Districts",IFERROR(VLOOKUP(K339,'09_Lookups'!$E$4:$F$42,2,FALSE),"All_Districts"))</t>
        </is>
      </c>
    </row>
    <row r="340" ht="18" customHeight="1">
      <c r="A340" s="42" t="inlineStr">
        <is>
          <t>IF(F340="","",ROW()-3)</t>
        </is>
      </c>
      <c r="B340" s="52" t="n"/>
      <c r="C340" s="52" t="n"/>
      <c r="D340" s="52" t="n"/>
      <c r="E340" s="52" t="n"/>
      <c r="F340" s="52" t="n"/>
      <c r="G340" s="52" t="n"/>
      <c r="H340" s="52" t="n"/>
      <c r="I340" s="52" t="n"/>
      <c r="J340" s="52" t="n"/>
      <c r="K340" s="52" t="n"/>
      <c r="L340" s="52" t="n"/>
      <c r="M340" s="52" t="n"/>
      <c r="N340" s="52" t="n"/>
      <c r="O340" s="52" t="n"/>
      <c r="P340" s="52" t="n"/>
      <c r="Q340" s="52" t="n"/>
      <c r="R340" s="52" t="n"/>
      <c r="S340" s="53" t="n"/>
      <c r="T340" s="46" t="inlineStr">
        <is>
          <t>IF(AQ340="","",AQ340)</t>
        </is>
      </c>
      <c r="U340" s="54" t="n"/>
      <c r="V340" s="55" t="n"/>
      <c r="W340" s="54" t="n"/>
      <c r="X340" s="46" t="inlineStr">
        <is>
          <t>IF(W340&lt;&gt;"",W340,IF(OR(T340="",V340=""),"",EDATE(T340,V340)))</t>
        </is>
      </c>
      <c r="Y340" s="54" t="n"/>
      <c r="Z340" s="55" t="n"/>
      <c r="AA340" s="52" t="n"/>
      <c r="AB340" s="52" t="n"/>
      <c r="AC340" s="42" t="inlineStr">
        <is>
          <t>IF(F340="","",IF(COUNT(AI340:AV340)=0,IF(AA340="","Not started",AA340),SUBSTITUTE(LOOKUP(2,1/(AI340:AV340&lt;&gt;""),$AI$3:$AV$3),"Date: ","")))</t>
        </is>
      </c>
      <c r="AD340" s="49" t="inlineStr">
        <is>
          <t>IF(OR(F340="",COUNT(AI340:AV340)=0),"",TODAY()-LOOKUP(2,1/(AI340:AV340&lt;&gt;""),AI340:AV340))</t>
        </is>
      </c>
      <c r="AE340" s="49" t="inlineStr">
        <is>
          <t>IF(OR(F340="",COUNT(AI340:AV340)&lt;2),"",LOOKUP(2,1/(AI340:AV340&lt;&gt;""),AI340:AV340)-MIN(AI340:AV340))</t>
        </is>
      </c>
      <c r="AF340" s="49" t="inlineStr">
        <is>
          <t>IF(OR(AD340="",AC340="Not started",AC340=""),"",IFERROR(AD340-IF(VLOOKUP(AC340,'06_Status_Pipeline'!$B$3:$E$20,4,FALSE)="",0,VLOOKUP(AC340,'06_Status_Pipeline'!$B$3:$E$20,4,FALSE)),""))</t>
        </is>
      </c>
      <c r="AG340" s="42" t="inlineStr">
        <is>
          <t>IF(F340="","",IF(OR(AA340="Cancelled",AC340="Cancelled"),"Cancelled",IF(OR(AC340="Completed / Handover",Y340&lt;&gt;"",Z340&gt;=100),"Completed — on track",IF(O340="Not awarded",IF(U340="",IF(X340="","No planned date",IF(TODAY()&gt;X340,"Behind — past planned date",IF(X340-TODAY()&lt;=30,"At risk — close to off track","On track"))),IF(TODAY()&gt;U340,"Behind — award date passed",IF(U340-TODAY()&lt;=30,"At risk — close to off track","On track"))),IF(X340="","No planned date",IF(AND(TODAY()&gt;X340,OR(Z340="",Z340&lt;100)),"Behind — past end date",IF(AND(T340&lt;&gt;"",X340&lt;&gt;"",Z340&lt;&gt;"",(Z340&lt;100),((TODAY()-T340)/MAX(X340-T340,1)*100)-Z340&gt;15),"Behind — progress lag",IF(AND(X340-TODAY()&lt;=30,X340-TODAY()&gt;=0,OR(Z340="",Z340&lt;90)),"At risk — close to off track","On track"))))))))</t>
        </is>
      </c>
      <c r="AH340" s="49" t="inlineStr">
        <is>
          <t>IF(OR(F340="",AC340="Completed / Handover",AC340="Cancelled"),"",IF(O340="Not awarded",IF(U340&lt;&gt;"",U340-TODAY(),IF(X340="","",X340-TODAY())),IF(X340="","",X340-TODAY())))</t>
        </is>
      </c>
      <c r="AI340" s="54" t="n"/>
      <c r="AJ340" s="54" t="n"/>
      <c r="AK340" s="54" t="n"/>
      <c r="AL340" s="54" t="n"/>
      <c r="AM340" s="54" t="n"/>
      <c r="AN340" s="54" t="n"/>
      <c r="AO340" s="54" t="n"/>
      <c r="AP340" s="54" t="n"/>
      <c r="AQ340" s="54" t="n"/>
      <c r="AR340" s="54" t="n"/>
      <c r="AS340" s="54" t="n"/>
      <c r="AT340" s="50" t="n"/>
      <c r="AU340" s="50" t="n"/>
      <c r="AV340" s="50" t="n"/>
      <c r="AW340" s="49" t="inlineStr">
        <is>
          <t>IF(OR(F340="",AJ340=""),"",IF(COUNT(AI340:AI340)=0,"",AJ340-LOOKUP(2,1/(AI340:AI340&lt;&gt;""),AI340:AI340)))</t>
        </is>
      </c>
      <c r="AX340" s="49" t="inlineStr">
        <is>
          <t>IF(OR(F340="",AK340=""),"",IF(COUNT(AI340:AJ340)=0,"",AK340-LOOKUP(2,1/(AI340:AJ340&lt;&gt;""),AI340:AJ340)))</t>
        </is>
      </c>
      <c r="AY340" s="49" t="inlineStr">
        <is>
          <t>IF(OR(F340="",AL340=""),"",IF(COUNT(AI340:AK340)=0,"",AL340-LOOKUP(2,1/(AI340:AK340&lt;&gt;""),AI340:AK340)))</t>
        </is>
      </c>
      <c r="AZ340" s="49" t="inlineStr">
        <is>
          <t>IF(OR(F340="",AM340=""),"",IF(COUNT(AI340:AL340)=0,"",AM340-LOOKUP(2,1/(AI340:AL340&lt;&gt;""),AI340:AL340)))</t>
        </is>
      </c>
      <c r="BA340" s="49" t="inlineStr">
        <is>
          <t>IF(OR(F340="",AN340=""),"",IF(COUNT(AI340:AM340)=0,"",AN340-LOOKUP(2,1/(AI340:AM340&lt;&gt;""),AI340:AM340)))</t>
        </is>
      </c>
      <c r="BB340" s="49" t="inlineStr">
        <is>
          <t>IF(OR(F340="",AO340=""),"",IF(COUNT(AI340:AN340)=0,"",AO340-LOOKUP(2,1/(AI340:AN340&lt;&gt;""),AI340:AN340)))</t>
        </is>
      </c>
      <c r="BC340" s="49" t="inlineStr">
        <is>
          <t>IF(OR(F340="",AP340=""),"",IF(COUNT(AI340:AO340)=0,"",AP340-LOOKUP(2,1/(AI340:AO340&lt;&gt;""),AI340:AO340)))</t>
        </is>
      </c>
      <c r="BD340" s="49" t="inlineStr">
        <is>
          <t>IF(OR(F340="",AQ340=""),"",IF(COUNT(AI340:AP340)=0,"",AQ340-LOOKUP(2,1/(AI340:AP340&lt;&gt;""),AI340:AP340)))</t>
        </is>
      </c>
      <c r="BE340" s="49" t="inlineStr">
        <is>
          <t>IF(OR(F340="",AR340=""),"",IF(COUNT(AI340:AQ340)=0,"",AR340-LOOKUP(2,1/(AI340:AQ340&lt;&gt;""),AI340:AQ340)))</t>
        </is>
      </c>
      <c r="BF340" s="49" t="inlineStr">
        <is>
          <t>IF(OR(F340="",AS340=""),"",IF(COUNT(AI340:AR340)=0,"",AS340-LOOKUP(2,1/(AI340:AR340&lt;&gt;""),AI340:AR340)))</t>
        </is>
      </c>
      <c r="BG340" s="49" t="inlineStr">
        <is>
          <t>IF(OR(F340="",AT340=""),"",IF(COUNT(AI340:AS340)=0,"",AT340-LOOKUP(2,1/(AI340:AS340&lt;&gt;""),AI340:AS340)))</t>
        </is>
      </c>
      <c r="BH340" s="49" t="inlineStr">
        <is>
          <t>IF(OR(F340="",AU340=""),"",IF(COUNT(AI340:AT340)=0,"",AU340-LOOKUP(2,1/(AI340:AT340&lt;&gt;""),AI340:AT340)))</t>
        </is>
      </c>
      <c r="BI340" s="49" t="inlineStr">
        <is>
          <t>IF(OR(F340="",AV340=""),"",IF(COUNT(AI340:AU340)=0,"",AV340-LOOKUP(2,1/(AI340:AU340&lt;&gt;""),AI340:AU340)))</t>
        </is>
      </c>
      <c r="BJ340" s="51" t="inlineStr">
        <is>
          <t>IF(J340="","All_Provinces",IFERROR(VLOOKUP(J340,'09_Lookups'!$A$4:$B$20,2,FALSE),"All_Provinces"))</t>
        </is>
      </c>
      <c r="BK340" s="51" t="inlineStr">
        <is>
          <t>IF(K340="","All_Districts",IFERROR(VLOOKUP(K340,'09_Lookups'!$E$4:$F$42,2,FALSE),"All_Districts"))</t>
        </is>
      </c>
    </row>
    <row r="341" ht="18" customHeight="1">
      <c r="A341" s="42" t="inlineStr">
        <is>
          <t>IF(F341="","",ROW()-3)</t>
        </is>
      </c>
      <c r="B341" s="44" t="n"/>
      <c r="C341" s="44" t="n"/>
      <c r="D341" s="44" t="n"/>
      <c r="E341" s="44" t="n"/>
      <c r="F341" s="44" t="n"/>
      <c r="G341" s="44" t="n"/>
      <c r="H341" s="44" t="n"/>
      <c r="I341" s="44" t="n"/>
      <c r="J341" s="44" t="n"/>
      <c r="K341" s="44" t="n"/>
      <c r="L341" s="44" t="n"/>
      <c r="M341" s="44" t="n"/>
      <c r="N341" s="44" t="n"/>
      <c r="O341" s="44" t="n"/>
      <c r="P341" s="44" t="n"/>
      <c r="Q341" s="44" t="n"/>
      <c r="R341" s="44" t="n"/>
      <c r="S341" s="45" t="n"/>
      <c r="T341" s="46" t="inlineStr">
        <is>
          <t>IF(AQ341="","",AQ341)</t>
        </is>
      </c>
      <c r="U341" s="47" t="n"/>
      <c r="V341" s="48" t="n"/>
      <c r="W341" s="47" t="n"/>
      <c r="X341" s="46" t="inlineStr">
        <is>
          <t>IF(W341&lt;&gt;"",W341,IF(OR(T341="",V341=""),"",EDATE(T341,V341)))</t>
        </is>
      </c>
      <c r="Y341" s="47" t="n"/>
      <c r="Z341" s="48" t="n"/>
      <c r="AA341" s="44" t="n"/>
      <c r="AB341" s="44" t="n"/>
      <c r="AC341" s="42" t="inlineStr">
        <is>
          <t>IF(F341="","",IF(COUNT(AI341:AV341)=0,IF(AA341="","Not started",AA341),SUBSTITUTE(LOOKUP(2,1/(AI341:AV341&lt;&gt;""),$AI$3:$AV$3),"Date: ","")))</t>
        </is>
      </c>
      <c r="AD341" s="49" t="inlineStr">
        <is>
          <t>IF(OR(F341="",COUNT(AI341:AV341)=0),"",TODAY()-LOOKUP(2,1/(AI341:AV341&lt;&gt;""),AI341:AV341))</t>
        </is>
      </c>
      <c r="AE341" s="49" t="inlineStr">
        <is>
          <t>IF(OR(F341="",COUNT(AI341:AV341)&lt;2),"",LOOKUP(2,1/(AI341:AV341&lt;&gt;""),AI341:AV341)-MIN(AI341:AV341))</t>
        </is>
      </c>
      <c r="AF341" s="49" t="inlineStr">
        <is>
          <t>IF(OR(AD341="",AC341="Not started",AC341=""),"",IFERROR(AD341-IF(VLOOKUP(AC341,'06_Status_Pipeline'!$B$3:$E$20,4,FALSE)="",0,VLOOKUP(AC341,'06_Status_Pipeline'!$B$3:$E$20,4,FALSE)),""))</t>
        </is>
      </c>
      <c r="AG341" s="42" t="inlineStr">
        <is>
          <t>IF(F341="","",IF(OR(AA341="Cancelled",AC341="Cancelled"),"Cancelled",IF(OR(AC341="Completed / Handover",Y341&lt;&gt;"",Z341&gt;=100),"Completed — on track",IF(O341="Not awarded",IF(U341="",IF(X341="","No planned date",IF(TODAY()&gt;X341,"Behind — past planned date",IF(X341-TODAY()&lt;=30,"At risk — close to off track","On track"))),IF(TODAY()&gt;U341,"Behind — award date passed",IF(U341-TODAY()&lt;=30,"At risk — close to off track","On track"))),IF(X341="","No planned date",IF(AND(TODAY()&gt;X341,OR(Z341="",Z341&lt;100)),"Behind — past end date",IF(AND(T341&lt;&gt;"",X341&lt;&gt;"",Z341&lt;&gt;"",(Z341&lt;100),((TODAY()-T341)/MAX(X341-T341,1)*100)-Z341&gt;15),"Behind — progress lag",IF(AND(X341-TODAY()&lt;=30,X341-TODAY()&gt;=0,OR(Z341="",Z341&lt;90)),"At risk — close to off track","On track"))))))))</t>
        </is>
      </c>
      <c r="AH341" s="49" t="inlineStr">
        <is>
          <t>IF(OR(F341="",AC341="Completed / Handover",AC341="Cancelled"),"",IF(O341="Not awarded",IF(U341&lt;&gt;"",U341-TODAY(),IF(X341="","",X341-TODAY())),IF(X341="","",X341-TODAY())))</t>
        </is>
      </c>
      <c r="AI341" s="47" t="n"/>
      <c r="AJ341" s="47" t="n"/>
      <c r="AK341" s="47" t="n"/>
      <c r="AL341" s="47" t="n"/>
      <c r="AM341" s="47" t="n"/>
      <c r="AN341" s="47" t="n"/>
      <c r="AO341" s="47" t="n"/>
      <c r="AP341" s="47" t="n"/>
      <c r="AQ341" s="47" t="n"/>
      <c r="AR341" s="47" t="n"/>
      <c r="AS341" s="47" t="n"/>
      <c r="AT341" s="50" t="n"/>
      <c r="AU341" s="50" t="n"/>
      <c r="AV341" s="50" t="n"/>
      <c r="AW341" s="49" t="inlineStr">
        <is>
          <t>IF(OR(F341="",AJ341=""),"",IF(COUNT(AI341:AI341)=0,"",AJ341-LOOKUP(2,1/(AI341:AI341&lt;&gt;""),AI341:AI341)))</t>
        </is>
      </c>
      <c r="AX341" s="49" t="inlineStr">
        <is>
          <t>IF(OR(F341="",AK341=""),"",IF(COUNT(AI341:AJ341)=0,"",AK341-LOOKUP(2,1/(AI341:AJ341&lt;&gt;""),AI341:AJ341)))</t>
        </is>
      </c>
      <c r="AY341" s="49" t="inlineStr">
        <is>
          <t>IF(OR(F341="",AL341=""),"",IF(COUNT(AI341:AK341)=0,"",AL341-LOOKUP(2,1/(AI341:AK341&lt;&gt;""),AI341:AK341)))</t>
        </is>
      </c>
      <c r="AZ341" s="49" t="inlineStr">
        <is>
          <t>IF(OR(F341="",AM341=""),"",IF(COUNT(AI341:AL341)=0,"",AM341-LOOKUP(2,1/(AI341:AL341&lt;&gt;""),AI341:AL341)))</t>
        </is>
      </c>
      <c r="BA341" s="49" t="inlineStr">
        <is>
          <t>IF(OR(F341="",AN341=""),"",IF(COUNT(AI341:AM341)=0,"",AN341-LOOKUP(2,1/(AI341:AM341&lt;&gt;""),AI341:AM341)))</t>
        </is>
      </c>
      <c r="BB341" s="49" t="inlineStr">
        <is>
          <t>IF(OR(F341="",AO341=""),"",IF(COUNT(AI341:AN341)=0,"",AO341-LOOKUP(2,1/(AI341:AN341&lt;&gt;""),AI341:AN341)))</t>
        </is>
      </c>
      <c r="BC341" s="49" t="inlineStr">
        <is>
          <t>IF(OR(F341="",AP341=""),"",IF(COUNT(AI341:AO341)=0,"",AP341-LOOKUP(2,1/(AI341:AO341&lt;&gt;""),AI341:AO341)))</t>
        </is>
      </c>
      <c r="BD341" s="49" t="inlineStr">
        <is>
          <t>IF(OR(F341="",AQ341=""),"",IF(COUNT(AI341:AP341)=0,"",AQ341-LOOKUP(2,1/(AI341:AP341&lt;&gt;""),AI341:AP341)))</t>
        </is>
      </c>
      <c r="BE341" s="49" t="inlineStr">
        <is>
          <t>IF(OR(F341="",AR341=""),"",IF(COUNT(AI341:AQ341)=0,"",AR341-LOOKUP(2,1/(AI341:AQ341&lt;&gt;""),AI341:AQ341)))</t>
        </is>
      </c>
      <c r="BF341" s="49" t="inlineStr">
        <is>
          <t>IF(OR(F341="",AS341=""),"",IF(COUNT(AI341:AR341)=0,"",AS341-LOOKUP(2,1/(AI341:AR341&lt;&gt;""),AI341:AR341)))</t>
        </is>
      </c>
      <c r="BG341" s="49" t="inlineStr">
        <is>
          <t>IF(OR(F341="",AT341=""),"",IF(COUNT(AI341:AS341)=0,"",AT341-LOOKUP(2,1/(AI341:AS341&lt;&gt;""),AI341:AS341)))</t>
        </is>
      </c>
      <c r="BH341" s="49" t="inlineStr">
        <is>
          <t>IF(OR(F341="",AU341=""),"",IF(COUNT(AI341:AT341)=0,"",AU341-LOOKUP(2,1/(AI341:AT341&lt;&gt;""),AI341:AT341)))</t>
        </is>
      </c>
      <c r="BI341" s="49" t="inlineStr">
        <is>
          <t>IF(OR(F341="",AV341=""),"",IF(COUNT(AI341:AU341)=0,"",AV341-LOOKUP(2,1/(AI341:AU341&lt;&gt;""),AI341:AU341)))</t>
        </is>
      </c>
      <c r="BJ341" s="51" t="inlineStr">
        <is>
          <t>IF(J341="","All_Provinces",IFERROR(VLOOKUP(J341,'09_Lookups'!$A$4:$B$20,2,FALSE),"All_Provinces"))</t>
        </is>
      </c>
      <c r="BK341" s="51" t="inlineStr">
        <is>
          <t>IF(K341="","All_Districts",IFERROR(VLOOKUP(K341,'09_Lookups'!$E$4:$F$42,2,FALSE),"All_Districts"))</t>
        </is>
      </c>
    </row>
    <row r="342" ht="18" customHeight="1">
      <c r="A342" s="42" t="inlineStr">
        <is>
          <t>IF(F342="","",ROW()-3)</t>
        </is>
      </c>
      <c r="B342" s="52" t="n"/>
      <c r="C342" s="52" t="n"/>
      <c r="D342" s="52" t="n"/>
      <c r="E342" s="52" t="n"/>
      <c r="F342" s="52" t="n"/>
      <c r="G342" s="52" t="n"/>
      <c r="H342" s="52" t="n"/>
      <c r="I342" s="52" t="n"/>
      <c r="J342" s="52" t="n"/>
      <c r="K342" s="52" t="n"/>
      <c r="L342" s="52" t="n"/>
      <c r="M342" s="52" t="n"/>
      <c r="N342" s="52" t="n"/>
      <c r="O342" s="52" t="n"/>
      <c r="P342" s="52" t="n"/>
      <c r="Q342" s="52" t="n"/>
      <c r="R342" s="52" t="n"/>
      <c r="S342" s="53" t="n"/>
      <c r="T342" s="46" t="inlineStr">
        <is>
          <t>IF(AQ342="","",AQ342)</t>
        </is>
      </c>
      <c r="U342" s="54" t="n"/>
      <c r="V342" s="55" t="n"/>
      <c r="W342" s="54" t="n"/>
      <c r="X342" s="46" t="inlineStr">
        <is>
          <t>IF(W342&lt;&gt;"",W342,IF(OR(T342="",V342=""),"",EDATE(T342,V342)))</t>
        </is>
      </c>
      <c r="Y342" s="54" t="n"/>
      <c r="Z342" s="55" t="n"/>
      <c r="AA342" s="52" t="n"/>
      <c r="AB342" s="52" t="n"/>
      <c r="AC342" s="42" t="inlineStr">
        <is>
          <t>IF(F342="","",IF(COUNT(AI342:AV342)=0,IF(AA342="","Not started",AA342),SUBSTITUTE(LOOKUP(2,1/(AI342:AV342&lt;&gt;""),$AI$3:$AV$3),"Date: ","")))</t>
        </is>
      </c>
      <c r="AD342" s="49" t="inlineStr">
        <is>
          <t>IF(OR(F342="",COUNT(AI342:AV342)=0),"",TODAY()-LOOKUP(2,1/(AI342:AV342&lt;&gt;""),AI342:AV342))</t>
        </is>
      </c>
      <c r="AE342" s="49" t="inlineStr">
        <is>
          <t>IF(OR(F342="",COUNT(AI342:AV342)&lt;2),"",LOOKUP(2,1/(AI342:AV342&lt;&gt;""),AI342:AV342)-MIN(AI342:AV342))</t>
        </is>
      </c>
      <c r="AF342" s="49" t="inlineStr">
        <is>
          <t>IF(OR(AD342="",AC342="Not started",AC342=""),"",IFERROR(AD342-IF(VLOOKUP(AC342,'06_Status_Pipeline'!$B$3:$E$20,4,FALSE)="",0,VLOOKUP(AC342,'06_Status_Pipeline'!$B$3:$E$20,4,FALSE)),""))</t>
        </is>
      </c>
      <c r="AG342" s="42" t="inlineStr">
        <is>
          <t>IF(F342="","",IF(OR(AA342="Cancelled",AC342="Cancelled"),"Cancelled",IF(OR(AC342="Completed / Handover",Y342&lt;&gt;"",Z342&gt;=100),"Completed — on track",IF(O342="Not awarded",IF(U342="",IF(X342="","No planned date",IF(TODAY()&gt;X342,"Behind — past planned date",IF(X342-TODAY()&lt;=30,"At risk — close to off track","On track"))),IF(TODAY()&gt;U342,"Behind — award date passed",IF(U342-TODAY()&lt;=30,"At risk — close to off track","On track"))),IF(X342="","No planned date",IF(AND(TODAY()&gt;X342,OR(Z342="",Z342&lt;100)),"Behind — past end date",IF(AND(T342&lt;&gt;"",X342&lt;&gt;"",Z342&lt;&gt;"",(Z342&lt;100),((TODAY()-T342)/MAX(X342-T342,1)*100)-Z342&gt;15),"Behind — progress lag",IF(AND(X342-TODAY()&lt;=30,X342-TODAY()&gt;=0,OR(Z342="",Z342&lt;90)),"At risk — close to off track","On track"))))))))</t>
        </is>
      </c>
      <c r="AH342" s="49" t="inlineStr">
        <is>
          <t>IF(OR(F342="",AC342="Completed / Handover",AC342="Cancelled"),"",IF(O342="Not awarded",IF(U342&lt;&gt;"",U342-TODAY(),IF(X342="","",X342-TODAY())),IF(X342="","",X342-TODAY())))</t>
        </is>
      </c>
      <c r="AI342" s="54" t="n"/>
      <c r="AJ342" s="54" t="n"/>
      <c r="AK342" s="54" t="n"/>
      <c r="AL342" s="54" t="n"/>
      <c r="AM342" s="54" t="n"/>
      <c r="AN342" s="54" t="n"/>
      <c r="AO342" s="54" t="n"/>
      <c r="AP342" s="54" t="n"/>
      <c r="AQ342" s="54" t="n"/>
      <c r="AR342" s="54" t="n"/>
      <c r="AS342" s="54" t="n"/>
      <c r="AT342" s="50" t="n"/>
      <c r="AU342" s="50" t="n"/>
      <c r="AV342" s="50" t="n"/>
      <c r="AW342" s="49" t="inlineStr">
        <is>
          <t>IF(OR(F342="",AJ342=""),"",IF(COUNT(AI342:AI342)=0,"",AJ342-LOOKUP(2,1/(AI342:AI342&lt;&gt;""),AI342:AI342)))</t>
        </is>
      </c>
      <c r="AX342" s="49" t="inlineStr">
        <is>
          <t>IF(OR(F342="",AK342=""),"",IF(COUNT(AI342:AJ342)=0,"",AK342-LOOKUP(2,1/(AI342:AJ342&lt;&gt;""),AI342:AJ342)))</t>
        </is>
      </c>
      <c r="AY342" s="49" t="inlineStr">
        <is>
          <t>IF(OR(F342="",AL342=""),"",IF(COUNT(AI342:AK342)=0,"",AL342-LOOKUP(2,1/(AI342:AK342&lt;&gt;""),AI342:AK342)))</t>
        </is>
      </c>
      <c r="AZ342" s="49" t="inlineStr">
        <is>
          <t>IF(OR(F342="",AM342=""),"",IF(COUNT(AI342:AL342)=0,"",AM342-LOOKUP(2,1/(AI342:AL342&lt;&gt;""),AI342:AL342)))</t>
        </is>
      </c>
      <c r="BA342" s="49" t="inlineStr">
        <is>
          <t>IF(OR(F342="",AN342=""),"",IF(COUNT(AI342:AM342)=0,"",AN342-LOOKUP(2,1/(AI342:AM342&lt;&gt;""),AI342:AM342)))</t>
        </is>
      </c>
      <c r="BB342" s="49" t="inlineStr">
        <is>
          <t>IF(OR(F342="",AO342=""),"",IF(COUNT(AI342:AN342)=0,"",AO342-LOOKUP(2,1/(AI342:AN342&lt;&gt;""),AI342:AN342)))</t>
        </is>
      </c>
      <c r="BC342" s="49" t="inlineStr">
        <is>
          <t>IF(OR(F342="",AP342=""),"",IF(COUNT(AI342:AO342)=0,"",AP342-LOOKUP(2,1/(AI342:AO342&lt;&gt;""),AI342:AO342)))</t>
        </is>
      </c>
      <c r="BD342" s="49" t="inlineStr">
        <is>
          <t>IF(OR(F342="",AQ342=""),"",IF(COUNT(AI342:AP342)=0,"",AQ342-LOOKUP(2,1/(AI342:AP342&lt;&gt;""),AI342:AP342)))</t>
        </is>
      </c>
      <c r="BE342" s="49" t="inlineStr">
        <is>
          <t>IF(OR(F342="",AR342=""),"",IF(COUNT(AI342:AQ342)=0,"",AR342-LOOKUP(2,1/(AI342:AQ342&lt;&gt;""),AI342:AQ342)))</t>
        </is>
      </c>
      <c r="BF342" s="49" t="inlineStr">
        <is>
          <t>IF(OR(F342="",AS342=""),"",IF(COUNT(AI342:AR342)=0,"",AS342-LOOKUP(2,1/(AI342:AR342&lt;&gt;""),AI342:AR342)))</t>
        </is>
      </c>
      <c r="BG342" s="49" t="inlineStr">
        <is>
          <t>IF(OR(F342="",AT342=""),"",IF(COUNT(AI342:AS342)=0,"",AT342-LOOKUP(2,1/(AI342:AS342&lt;&gt;""),AI342:AS342)))</t>
        </is>
      </c>
      <c r="BH342" s="49" t="inlineStr">
        <is>
          <t>IF(OR(F342="",AU342=""),"",IF(COUNT(AI342:AT342)=0,"",AU342-LOOKUP(2,1/(AI342:AT342&lt;&gt;""),AI342:AT342)))</t>
        </is>
      </c>
      <c r="BI342" s="49" t="inlineStr">
        <is>
          <t>IF(OR(F342="",AV342=""),"",IF(COUNT(AI342:AU342)=0,"",AV342-LOOKUP(2,1/(AI342:AU342&lt;&gt;""),AI342:AU342)))</t>
        </is>
      </c>
      <c r="BJ342" s="51" t="inlineStr">
        <is>
          <t>IF(J342="","All_Provinces",IFERROR(VLOOKUP(J342,'09_Lookups'!$A$4:$B$20,2,FALSE),"All_Provinces"))</t>
        </is>
      </c>
      <c r="BK342" s="51" t="inlineStr">
        <is>
          <t>IF(K342="","All_Districts",IFERROR(VLOOKUP(K342,'09_Lookups'!$E$4:$F$42,2,FALSE),"All_Districts"))</t>
        </is>
      </c>
    </row>
    <row r="343" ht="18" customHeight="1">
      <c r="A343" s="42" t="inlineStr">
        <is>
          <t>IF(F343="","",ROW()-3)</t>
        </is>
      </c>
      <c r="B343" s="44" t="n"/>
      <c r="C343" s="44" t="n"/>
      <c r="D343" s="44" t="n"/>
      <c r="E343" s="44" t="n"/>
      <c r="F343" s="44" t="n"/>
      <c r="G343" s="44" t="n"/>
      <c r="H343" s="44" t="n"/>
      <c r="I343" s="44" t="n"/>
      <c r="J343" s="44" t="n"/>
      <c r="K343" s="44" t="n"/>
      <c r="L343" s="44" t="n"/>
      <c r="M343" s="44" t="n"/>
      <c r="N343" s="44" t="n"/>
      <c r="O343" s="44" t="n"/>
      <c r="P343" s="44" t="n"/>
      <c r="Q343" s="44" t="n"/>
      <c r="R343" s="44" t="n"/>
      <c r="S343" s="45" t="n"/>
      <c r="T343" s="46" t="inlineStr">
        <is>
          <t>IF(AQ343="","",AQ343)</t>
        </is>
      </c>
      <c r="U343" s="47" t="n"/>
      <c r="V343" s="48" t="n"/>
      <c r="W343" s="47" t="n"/>
      <c r="X343" s="46" t="inlineStr">
        <is>
          <t>IF(W343&lt;&gt;"",W343,IF(OR(T343="",V343=""),"",EDATE(T343,V343)))</t>
        </is>
      </c>
      <c r="Y343" s="47" t="n"/>
      <c r="Z343" s="48" t="n"/>
      <c r="AA343" s="44" t="n"/>
      <c r="AB343" s="44" t="n"/>
      <c r="AC343" s="42" t="inlineStr">
        <is>
          <t>IF(F343="","",IF(COUNT(AI343:AV343)=0,IF(AA343="","Not started",AA343),SUBSTITUTE(LOOKUP(2,1/(AI343:AV343&lt;&gt;""),$AI$3:$AV$3),"Date: ","")))</t>
        </is>
      </c>
      <c r="AD343" s="49" t="inlineStr">
        <is>
          <t>IF(OR(F343="",COUNT(AI343:AV343)=0),"",TODAY()-LOOKUP(2,1/(AI343:AV343&lt;&gt;""),AI343:AV343))</t>
        </is>
      </c>
      <c r="AE343" s="49" t="inlineStr">
        <is>
          <t>IF(OR(F343="",COUNT(AI343:AV343)&lt;2),"",LOOKUP(2,1/(AI343:AV343&lt;&gt;""),AI343:AV343)-MIN(AI343:AV343))</t>
        </is>
      </c>
      <c r="AF343" s="49" t="inlineStr">
        <is>
          <t>IF(OR(AD343="",AC343="Not started",AC343=""),"",IFERROR(AD343-IF(VLOOKUP(AC343,'06_Status_Pipeline'!$B$3:$E$20,4,FALSE)="",0,VLOOKUP(AC343,'06_Status_Pipeline'!$B$3:$E$20,4,FALSE)),""))</t>
        </is>
      </c>
      <c r="AG343" s="42" t="inlineStr">
        <is>
          <t>IF(F343="","",IF(OR(AA343="Cancelled",AC343="Cancelled"),"Cancelled",IF(OR(AC343="Completed / Handover",Y343&lt;&gt;"",Z343&gt;=100),"Completed — on track",IF(O343="Not awarded",IF(U343="",IF(X343="","No planned date",IF(TODAY()&gt;X343,"Behind — past planned date",IF(X343-TODAY()&lt;=30,"At risk — close to off track","On track"))),IF(TODAY()&gt;U343,"Behind — award date passed",IF(U343-TODAY()&lt;=30,"At risk — close to off track","On track"))),IF(X343="","No planned date",IF(AND(TODAY()&gt;X343,OR(Z343="",Z343&lt;100)),"Behind — past end date",IF(AND(T343&lt;&gt;"",X343&lt;&gt;"",Z343&lt;&gt;"",(Z343&lt;100),((TODAY()-T343)/MAX(X343-T343,1)*100)-Z343&gt;15),"Behind — progress lag",IF(AND(X343-TODAY()&lt;=30,X343-TODAY()&gt;=0,OR(Z343="",Z343&lt;90)),"At risk — close to off track","On track"))))))))</t>
        </is>
      </c>
      <c r="AH343" s="49" t="inlineStr">
        <is>
          <t>IF(OR(F343="",AC343="Completed / Handover",AC343="Cancelled"),"",IF(O343="Not awarded",IF(U343&lt;&gt;"",U343-TODAY(),IF(X343="","",X343-TODAY())),IF(X343="","",X343-TODAY())))</t>
        </is>
      </c>
      <c r="AI343" s="47" t="n"/>
      <c r="AJ343" s="47" t="n"/>
      <c r="AK343" s="47" t="n"/>
      <c r="AL343" s="47" t="n"/>
      <c r="AM343" s="47" t="n"/>
      <c r="AN343" s="47" t="n"/>
      <c r="AO343" s="47" t="n"/>
      <c r="AP343" s="47" t="n"/>
      <c r="AQ343" s="47" t="n"/>
      <c r="AR343" s="47" t="n"/>
      <c r="AS343" s="47" t="n"/>
      <c r="AT343" s="50" t="n"/>
      <c r="AU343" s="50" t="n"/>
      <c r="AV343" s="50" t="n"/>
      <c r="AW343" s="49" t="inlineStr">
        <is>
          <t>IF(OR(F343="",AJ343=""),"",IF(COUNT(AI343:AI343)=0,"",AJ343-LOOKUP(2,1/(AI343:AI343&lt;&gt;""),AI343:AI343)))</t>
        </is>
      </c>
      <c r="AX343" s="49" t="inlineStr">
        <is>
          <t>IF(OR(F343="",AK343=""),"",IF(COUNT(AI343:AJ343)=0,"",AK343-LOOKUP(2,1/(AI343:AJ343&lt;&gt;""),AI343:AJ343)))</t>
        </is>
      </c>
      <c r="AY343" s="49" t="inlineStr">
        <is>
          <t>IF(OR(F343="",AL343=""),"",IF(COUNT(AI343:AK343)=0,"",AL343-LOOKUP(2,1/(AI343:AK343&lt;&gt;""),AI343:AK343)))</t>
        </is>
      </c>
      <c r="AZ343" s="49" t="inlineStr">
        <is>
          <t>IF(OR(F343="",AM343=""),"",IF(COUNT(AI343:AL343)=0,"",AM343-LOOKUP(2,1/(AI343:AL343&lt;&gt;""),AI343:AL343)))</t>
        </is>
      </c>
      <c r="BA343" s="49" t="inlineStr">
        <is>
          <t>IF(OR(F343="",AN343=""),"",IF(COUNT(AI343:AM343)=0,"",AN343-LOOKUP(2,1/(AI343:AM343&lt;&gt;""),AI343:AM343)))</t>
        </is>
      </c>
      <c r="BB343" s="49" t="inlineStr">
        <is>
          <t>IF(OR(F343="",AO343=""),"",IF(COUNT(AI343:AN343)=0,"",AO343-LOOKUP(2,1/(AI343:AN343&lt;&gt;""),AI343:AN343)))</t>
        </is>
      </c>
      <c r="BC343" s="49" t="inlineStr">
        <is>
          <t>IF(OR(F343="",AP343=""),"",IF(COUNT(AI343:AO343)=0,"",AP343-LOOKUP(2,1/(AI343:AO343&lt;&gt;""),AI343:AO343)))</t>
        </is>
      </c>
      <c r="BD343" s="49" t="inlineStr">
        <is>
          <t>IF(OR(F343="",AQ343=""),"",IF(COUNT(AI343:AP343)=0,"",AQ343-LOOKUP(2,1/(AI343:AP343&lt;&gt;""),AI343:AP343)))</t>
        </is>
      </c>
      <c r="BE343" s="49" t="inlineStr">
        <is>
          <t>IF(OR(F343="",AR343=""),"",IF(COUNT(AI343:AQ343)=0,"",AR343-LOOKUP(2,1/(AI343:AQ343&lt;&gt;""),AI343:AQ343)))</t>
        </is>
      </c>
      <c r="BF343" s="49" t="inlineStr">
        <is>
          <t>IF(OR(F343="",AS343=""),"",IF(COUNT(AI343:AR343)=0,"",AS343-LOOKUP(2,1/(AI343:AR343&lt;&gt;""),AI343:AR343)))</t>
        </is>
      </c>
      <c r="BG343" s="49" t="inlineStr">
        <is>
          <t>IF(OR(F343="",AT343=""),"",IF(COUNT(AI343:AS343)=0,"",AT343-LOOKUP(2,1/(AI343:AS343&lt;&gt;""),AI343:AS343)))</t>
        </is>
      </c>
      <c r="BH343" s="49" t="inlineStr">
        <is>
          <t>IF(OR(F343="",AU343=""),"",IF(COUNT(AI343:AT343)=0,"",AU343-LOOKUP(2,1/(AI343:AT343&lt;&gt;""),AI343:AT343)))</t>
        </is>
      </c>
      <c r="BI343" s="49" t="inlineStr">
        <is>
          <t>IF(OR(F343="",AV343=""),"",IF(COUNT(AI343:AU343)=0,"",AV343-LOOKUP(2,1/(AI343:AU343&lt;&gt;""),AI343:AU343)))</t>
        </is>
      </c>
      <c r="BJ343" s="51" t="inlineStr">
        <is>
          <t>IF(J343="","All_Provinces",IFERROR(VLOOKUP(J343,'09_Lookups'!$A$4:$B$20,2,FALSE),"All_Provinces"))</t>
        </is>
      </c>
      <c r="BK343" s="51" t="inlineStr">
        <is>
          <t>IF(K343="","All_Districts",IFERROR(VLOOKUP(K343,'09_Lookups'!$E$4:$F$42,2,FALSE),"All_Districts"))</t>
        </is>
      </c>
    </row>
    <row r="344" ht="18" customHeight="1">
      <c r="A344" s="42" t="inlineStr">
        <is>
          <t>IF(F344="","",ROW()-3)</t>
        </is>
      </c>
      <c r="B344" s="52" t="n"/>
      <c r="C344" s="52" t="n"/>
      <c r="D344" s="52" t="n"/>
      <c r="E344" s="52" t="n"/>
      <c r="F344" s="52" t="n"/>
      <c r="G344" s="52" t="n"/>
      <c r="H344" s="52" t="n"/>
      <c r="I344" s="52" t="n"/>
      <c r="J344" s="52" t="n"/>
      <c r="K344" s="52" t="n"/>
      <c r="L344" s="52" t="n"/>
      <c r="M344" s="52" t="n"/>
      <c r="N344" s="52" t="n"/>
      <c r="O344" s="52" t="n"/>
      <c r="P344" s="52" t="n"/>
      <c r="Q344" s="52" t="n"/>
      <c r="R344" s="52" t="n"/>
      <c r="S344" s="53" t="n"/>
      <c r="T344" s="46" t="inlineStr">
        <is>
          <t>IF(AQ344="","",AQ344)</t>
        </is>
      </c>
      <c r="U344" s="54" t="n"/>
      <c r="V344" s="55" t="n"/>
      <c r="W344" s="54" t="n"/>
      <c r="X344" s="46" t="inlineStr">
        <is>
          <t>IF(W344&lt;&gt;"",W344,IF(OR(T344="",V344=""),"",EDATE(T344,V344)))</t>
        </is>
      </c>
      <c r="Y344" s="54" t="n"/>
      <c r="Z344" s="55" t="n"/>
      <c r="AA344" s="52" t="n"/>
      <c r="AB344" s="52" t="n"/>
      <c r="AC344" s="42" t="inlineStr">
        <is>
          <t>IF(F344="","",IF(COUNT(AI344:AV344)=0,IF(AA344="","Not started",AA344),SUBSTITUTE(LOOKUP(2,1/(AI344:AV344&lt;&gt;""),$AI$3:$AV$3),"Date: ","")))</t>
        </is>
      </c>
      <c r="AD344" s="49" t="inlineStr">
        <is>
          <t>IF(OR(F344="",COUNT(AI344:AV344)=0),"",TODAY()-LOOKUP(2,1/(AI344:AV344&lt;&gt;""),AI344:AV344))</t>
        </is>
      </c>
      <c r="AE344" s="49" t="inlineStr">
        <is>
          <t>IF(OR(F344="",COUNT(AI344:AV344)&lt;2),"",LOOKUP(2,1/(AI344:AV344&lt;&gt;""),AI344:AV344)-MIN(AI344:AV344))</t>
        </is>
      </c>
      <c r="AF344" s="49" t="inlineStr">
        <is>
          <t>IF(OR(AD344="",AC344="Not started",AC344=""),"",IFERROR(AD344-IF(VLOOKUP(AC344,'06_Status_Pipeline'!$B$3:$E$20,4,FALSE)="",0,VLOOKUP(AC344,'06_Status_Pipeline'!$B$3:$E$20,4,FALSE)),""))</t>
        </is>
      </c>
      <c r="AG344" s="42" t="inlineStr">
        <is>
          <t>IF(F344="","",IF(OR(AA344="Cancelled",AC344="Cancelled"),"Cancelled",IF(OR(AC344="Completed / Handover",Y344&lt;&gt;"",Z344&gt;=100),"Completed — on track",IF(O344="Not awarded",IF(U344="",IF(X344="","No planned date",IF(TODAY()&gt;X344,"Behind — past planned date",IF(X344-TODAY()&lt;=30,"At risk — close to off track","On track"))),IF(TODAY()&gt;U344,"Behind — award date passed",IF(U344-TODAY()&lt;=30,"At risk — close to off track","On track"))),IF(X344="","No planned date",IF(AND(TODAY()&gt;X344,OR(Z344="",Z344&lt;100)),"Behind — past end date",IF(AND(T344&lt;&gt;"",X344&lt;&gt;"",Z344&lt;&gt;"",(Z344&lt;100),((TODAY()-T344)/MAX(X344-T344,1)*100)-Z344&gt;15),"Behind — progress lag",IF(AND(X344-TODAY()&lt;=30,X344-TODAY()&gt;=0,OR(Z344="",Z344&lt;90)),"At risk — close to off track","On track"))))))))</t>
        </is>
      </c>
      <c r="AH344" s="49" t="inlineStr">
        <is>
          <t>IF(OR(F344="",AC344="Completed / Handover",AC344="Cancelled"),"",IF(O344="Not awarded",IF(U344&lt;&gt;"",U344-TODAY(),IF(X344="","",X344-TODAY())),IF(X344="","",X344-TODAY())))</t>
        </is>
      </c>
      <c r="AI344" s="54" t="n"/>
      <c r="AJ344" s="54" t="n"/>
      <c r="AK344" s="54" t="n"/>
      <c r="AL344" s="54" t="n"/>
      <c r="AM344" s="54" t="n"/>
      <c r="AN344" s="54" t="n"/>
      <c r="AO344" s="54" t="n"/>
      <c r="AP344" s="54" t="n"/>
      <c r="AQ344" s="54" t="n"/>
      <c r="AR344" s="54" t="n"/>
      <c r="AS344" s="54" t="n"/>
      <c r="AT344" s="50" t="n"/>
      <c r="AU344" s="50" t="n"/>
      <c r="AV344" s="50" t="n"/>
      <c r="AW344" s="49" t="inlineStr">
        <is>
          <t>IF(OR(F344="",AJ344=""),"",IF(COUNT(AI344:AI344)=0,"",AJ344-LOOKUP(2,1/(AI344:AI344&lt;&gt;""),AI344:AI344)))</t>
        </is>
      </c>
      <c r="AX344" s="49" t="inlineStr">
        <is>
          <t>IF(OR(F344="",AK344=""),"",IF(COUNT(AI344:AJ344)=0,"",AK344-LOOKUP(2,1/(AI344:AJ344&lt;&gt;""),AI344:AJ344)))</t>
        </is>
      </c>
      <c r="AY344" s="49" t="inlineStr">
        <is>
          <t>IF(OR(F344="",AL344=""),"",IF(COUNT(AI344:AK344)=0,"",AL344-LOOKUP(2,1/(AI344:AK344&lt;&gt;""),AI344:AK344)))</t>
        </is>
      </c>
      <c r="AZ344" s="49" t="inlineStr">
        <is>
          <t>IF(OR(F344="",AM344=""),"",IF(COUNT(AI344:AL344)=0,"",AM344-LOOKUP(2,1/(AI344:AL344&lt;&gt;""),AI344:AL344)))</t>
        </is>
      </c>
      <c r="BA344" s="49" t="inlineStr">
        <is>
          <t>IF(OR(F344="",AN344=""),"",IF(COUNT(AI344:AM344)=0,"",AN344-LOOKUP(2,1/(AI344:AM344&lt;&gt;""),AI344:AM344)))</t>
        </is>
      </c>
      <c r="BB344" s="49" t="inlineStr">
        <is>
          <t>IF(OR(F344="",AO344=""),"",IF(COUNT(AI344:AN344)=0,"",AO344-LOOKUP(2,1/(AI344:AN344&lt;&gt;""),AI344:AN344)))</t>
        </is>
      </c>
      <c r="BC344" s="49" t="inlineStr">
        <is>
          <t>IF(OR(F344="",AP344=""),"",IF(COUNT(AI344:AO344)=0,"",AP344-LOOKUP(2,1/(AI344:AO344&lt;&gt;""),AI344:AO344)))</t>
        </is>
      </c>
      <c r="BD344" s="49" t="inlineStr">
        <is>
          <t>IF(OR(F344="",AQ344=""),"",IF(COUNT(AI344:AP344)=0,"",AQ344-LOOKUP(2,1/(AI344:AP344&lt;&gt;""),AI344:AP344)))</t>
        </is>
      </c>
      <c r="BE344" s="49" t="inlineStr">
        <is>
          <t>IF(OR(F344="",AR344=""),"",IF(COUNT(AI344:AQ344)=0,"",AR344-LOOKUP(2,1/(AI344:AQ344&lt;&gt;""),AI344:AQ344)))</t>
        </is>
      </c>
      <c r="BF344" s="49" t="inlineStr">
        <is>
          <t>IF(OR(F344="",AS344=""),"",IF(COUNT(AI344:AR344)=0,"",AS344-LOOKUP(2,1/(AI344:AR344&lt;&gt;""),AI344:AR344)))</t>
        </is>
      </c>
      <c r="BG344" s="49" t="inlineStr">
        <is>
          <t>IF(OR(F344="",AT344=""),"",IF(COUNT(AI344:AS344)=0,"",AT344-LOOKUP(2,1/(AI344:AS344&lt;&gt;""),AI344:AS344)))</t>
        </is>
      </c>
      <c r="BH344" s="49" t="inlineStr">
        <is>
          <t>IF(OR(F344="",AU344=""),"",IF(COUNT(AI344:AT344)=0,"",AU344-LOOKUP(2,1/(AI344:AT344&lt;&gt;""),AI344:AT344)))</t>
        </is>
      </c>
      <c r="BI344" s="49" t="inlineStr">
        <is>
          <t>IF(OR(F344="",AV344=""),"",IF(COUNT(AI344:AU344)=0,"",AV344-LOOKUP(2,1/(AI344:AU344&lt;&gt;""),AI344:AU344)))</t>
        </is>
      </c>
      <c r="BJ344" s="51" t="inlineStr">
        <is>
          <t>IF(J344="","All_Provinces",IFERROR(VLOOKUP(J344,'09_Lookups'!$A$4:$B$20,2,FALSE),"All_Provinces"))</t>
        </is>
      </c>
      <c r="BK344" s="51" t="inlineStr">
        <is>
          <t>IF(K344="","All_Districts",IFERROR(VLOOKUP(K344,'09_Lookups'!$E$4:$F$42,2,FALSE),"All_Districts"))</t>
        </is>
      </c>
    </row>
    <row r="345" ht="18" customHeight="1">
      <c r="A345" s="42" t="inlineStr">
        <is>
          <t>IF(F345="","",ROW()-3)</t>
        </is>
      </c>
      <c r="B345" s="44" t="n"/>
      <c r="C345" s="44" t="n"/>
      <c r="D345" s="44" t="n"/>
      <c r="E345" s="44" t="n"/>
      <c r="F345" s="44" t="n"/>
      <c r="G345" s="44" t="n"/>
      <c r="H345" s="44" t="n"/>
      <c r="I345" s="44" t="n"/>
      <c r="J345" s="44" t="n"/>
      <c r="K345" s="44" t="n"/>
      <c r="L345" s="44" t="n"/>
      <c r="M345" s="44" t="n"/>
      <c r="N345" s="44" t="n"/>
      <c r="O345" s="44" t="n"/>
      <c r="P345" s="44" t="n"/>
      <c r="Q345" s="44" t="n"/>
      <c r="R345" s="44" t="n"/>
      <c r="S345" s="45" t="n"/>
      <c r="T345" s="46" t="inlineStr">
        <is>
          <t>IF(AQ345="","",AQ345)</t>
        </is>
      </c>
      <c r="U345" s="47" t="n"/>
      <c r="V345" s="48" t="n"/>
      <c r="W345" s="47" t="n"/>
      <c r="X345" s="46" t="inlineStr">
        <is>
          <t>IF(W345&lt;&gt;"",W345,IF(OR(T345="",V345=""),"",EDATE(T345,V345)))</t>
        </is>
      </c>
      <c r="Y345" s="47" t="n"/>
      <c r="Z345" s="48" t="n"/>
      <c r="AA345" s="44" t="n"/>
      <c r="AB345" s="44" t="n"/>
      <c r="AC345" s="42" t="inlineStr">
        <is>
          <t>IF(F345="","",IF(COUNT(AI345:AV345)=0,IF(AA345="","Not started",AA345),SUBSTITUTE(LOOKUP(2,1/(AI345:AV345&lt;&gt;""),$AI$3:$AV$3),"Date: ","")))</t>
        </is>
      </c>
      <c r="AD345" s="49" t="inlineStr">
        <is>
          <t>IF(OR(F345="",COUNT(AI345:AV345)=0),"",TODAY()-LOOKUP(2,1/(AI345:AV345&lt;&gt;""),AI345:AV345))</t>
        </is>
      </c>
      <c r="AE345" s="49" t="inlineStr">
        <is>
          <t>IF(OR(F345="",COUNT(AI345:AV345)&lt;2),"",LOOKUP(2,1/(AI345:AV345&lt;&gt;""),AI345:AV345)-MIN(AI345:AV345))</t>
        </is>
      </c>
      <c r="AF345" s="49" t="inlineStr">
        <is>
          <t>IF(OR(AD345="",AC345="Not started",AC345=""),"",IFERROR(AD345-IF(VLOOKUP(AC345,'06_Status_Pipeline'!$B$3:$E$20,4,FALSE)="",0,VLOOKUP(AC345,'06_Status_Pipeline'!$B$3:$E$20,4,FALSE)),""))</t>
        </is>
      </c>
      <c r="AG345" s="42" t="inlineStr">
        <is>
          <t>IF(F345="","",IF(OR(AA345="Cancelled",AC345="Cancelled"),"Cancelled",IF(OR(AC345="Completed / Handover",Y345&lt;&gt;"",Z345&gt;=100),"Completed — on track",IF(O345="Not awarded",IF(U345="",IF(X345="","No planned date",IF(TODAY()&gt;X345,"Behind — past planned date",IF(X345-TODAY()&lt;=30,"At risk — close to off track","On track"))),IF(TODAY()&gt;U345,"Behind — award date passed",IF(U345-TODAY()&lt;=30,"At risk — close to off track","On track"))),IF(X345="","No planned date",IF(AND(TODAY()&gt;X345,OR(Z345="",Z345&lt;100)),"Behind — past end date",IF(AND(T345&lt;&gt;"",X345&lt;&gt;"",Z345&lt;&gt;"",(Z345&lt;100),((TODAY()-T345)/MAX(X345-T345,1)*100)-Z345&gt;15),"Behind — progress lag",IF(AND(X345-TODAY()&lt;=30,X345-TODAY()&gt;=0,OR(Z345="",Z345&lt;90)),"At risk — close to off track","On track"))))))))</t>
        </is>
      </c>
      <c r="AH345" s="49" t="inlineStr">
        <is>
          <t>IF(OR(F345="",AC345="Completed / Handover",AC345="Cancelled"),"",IF(O345="Not awarded",IF(U345&lt;&gt;"",U345-TODAY(),IF(X345="","",X345-TODAY())),IF(X345="","",X345-TODAY())))</t>
        </is>
      </c>
      <c r="AI345" s="47" t="n"/>
      <c r="AJ345" s="47" t="n"/>
      <c r="AK345" s="47" t="n"/>
      <c r="AL345" s="47" t="n"/>
      <c r="AM345" s="47" t="n"/>
      <c r="AN345" s="47" t="n"/>
      <c r="AO345" s="47" t="n"/>
      <c r="AP345" s="47" t="n"/>
      <c r="AQ345" s="47" t="n"/>
      <c r="AR345" s="47" t="n"/>
      <c r="AS345" s="47" t="n"/>
      <c r="AT345" s="50" t="n"/>
      <c r="AU345" s="50" t="n"/>
      <c r="AV345" s="50" t="n"/>
      <c r="AW345" s="49" t="inlineStr">
        <is>
          <t>IF(OR(F345="",AJ345=""),"",IF(COUNT(AI345:AI345)=0,"",AJ345-LOOKUP(2,1/(AI345:AI345&lt;&gt;""),AI345:AI345)))</t>
        </is>
      </c>
      <c r="AX345" s="49" t="inlineStr">
        <is>
          <t>IF(OR(F345="",AK345=""),"",IF(COUNT(AI345:AJ345)=0,"",AK345-LOOKUP(2,1/(AI345:AJ345&lt;&gt;""),AI345:AJ345)))</t>
        </is>
      </c>
      <c r="AY345" s="49" t="inlineStr">
        <is>
          <t>IF(OR(F345="",AL345=""),"",IF(COUNT(AI345:AK345)=0,"",AL345-LOOKUP(2,1/(AI345:AK345&lt;&gt;""),AI345:AK345)))</t>
        </is>
      </c>
      <c r="AZ345" s="49" t="inlineStr">
        <is>
          <t>IF(OR(F345="",AM345=""),"",IF(COUNT(AI345:AL345)=0,"",AM345-LOOKUP(2,1/(AI345:AL345&lt;&gt;""),AI345:AL345)))</t>
        </is>
      </c>
      <c r="BA345" s="49" t="inlineStr">
        <is>
          <t>IF(OR(F345="",AN345=""),"",IF(COUNT(AI345:AM345)=0,"",AN345-LOOKUP(2,1/(AI345:AM345&lt;&gt;""),AI345:AM345)))</t>
        </is>
      </c>
      <c r="BB345" s="49" t="inlineStr">
        <is>
          <t>IF(OR(F345="",AO345=""),"",IF(COUNT(AI345:AN345)=0,"",AO345-LOOKUP(2,1/(AI345:AN345&lt;&gt;""),AI345:AN345)))</t>
        </is>
      </c>
      <c r="BC345" s="49" t="inlineStr">
        <is>
          <t>IF(OR(F345="",AP345=""),"",IF(COUNT(AI345:AO345)=0,"",AP345-LOOKUP(2,1/(AI345:AO345&lt;&gt;""),AI345:AO345)))</t>
        </is>
      </c>
      <c r="BD345" s="49" t="inlineStr">
        <is>
          <t>IF(OR(F345="",AQ345=""),"",IF(COUNT(AI345:AP345)=0,"",AQ345-LOOKUP(2,1/(AI345:AP345&lt;&gt;""),AI345:AP345)))</t>
        </is>
      </c>
      <c r="BE345" s="49" t="inlineStr">
        <is>
          <t>IF(OR(F345="",AR345=""),"",IF(COUNT(AI345:AQ345)=0,"",AR345-LOOKUP(2,1/(AI345:AQ345&lt;&gt;""),AI345:AQ345)))</t>
        </is>
      </c>
      <c r="BF345" s="49" t="inlineStr">
        <is>
          <t>IF(OR(F345="",AS345=""),"",IF(COUNT(AI345:AR345)=0,"",AS345-LOOKUP(2,1/(AI345:AR345&lt;&gt;""),AI345:AR345)))</t>
        </is>
      </c>
      <c r="BG345" s="49" t="inlineStr">
        <is>
          <t>IF(OR(F345="",AT345=""),"",IF(COUNT(AI345:AS345)=0,"",AT345-LOOKUP(2,1/(AI345:AS345&lt;&gt;""),AI345:AS345)))</t>
        </is>
      </c>
      <c r="BH345" s="49" t="inlineStr">
        <is>
          <t>IF(OR(F345="",AU345=""),"",IF(COUNT(AI345:AT345)=0,"",AU345-LOOKUP(2,1/(AI345:AT345&lt;&gt;""),AI345:AT345)))</t>
        </is>
      </c>
      <c r="BI345" s="49" t="inlineStr">
        <is>
          <t>IF(OR(F345="",AV345=""),"",IF(COUNT(AI345:AU345)=0,"",AV345-LOOKUP(2,1/(AI345:AU345&lt;&gt;""),AI345:AU345)))</t>
        </is>
      </c>
      <c r="BJ345" s="51" t="inlineStr">
        <is>
          <t>IF(J345="","All_Provinces",IFERROR(VLOOKUP(J345,'09_Lookups'!$A$4:$B$20,2,FALSE),"All_Provinces"))</t>
        </is>
      </c>
      <c r="BK345" s="51" t="inlineStr">
        <is>
          <t>IF(K345="","All_Districts",IFERROR(VLOOKUP(K345,'09_Lookups'!$E$4:$F$42,2,FALSE),"All_Districts"))</t>
        </is>
      </c>
    </row>
    <row r="346" ht="18" customHeight="1">
      <c r="A346" s="42" t="inlineStr">
        <is>
          <t>IF(F346="","",ROW()-3)</t>
        </is>
      </c>
      <c r="B346" s="52" t="n"/>
      <c r="C346" s="52" t="n"/>
      <c r="D346" s="52" t="n"/>
      <c r="E346" s="52" t="n"/>
      <c r="F346" s="52" t="n"/>
      <c r="G346" s="52" t="n"/>
      <c r="H346" s="52" t="n"/>
      <c r="I346" s="52" t="n"/>
      <c r="J346" s="52" t="n"/>
      <c r="K346" s="52" t="n"/>
      <c r="L346" s="52" t="n"/>
      <c r="M346" s="52" t="n"/>
      <c r="N346" s="52" t="n"/>
      <c r="O346" s="52" t="n"/>
      <c r="P346" s="52" t="n"/>
      <c r="Q346" s="52" t="n"/>
      <c r="R346" s="52" t="n"/>
      <c r="S346" s="53" t="n"/>
      <c r="T346" s="46" t="inlineStr">
        <is>
          <t>IF(AQ346="","",AQ346)</t>
        </is>
      </c>
      <c r="U346" s="54" t="n"/>
      <c r="V346" s="55" t="n"/>
      <c r="W346" s="54" t="n"/>
      <c r="X346" s="46" t="inlineStr">
        <is>
          <t>IF(W346&lt;&gt;"",W346,IF(OR(T346="",V346=""),"",EDATE(T346,V346)))</t>
        </is>
      </c>
      <c r="Y346" s="54" t="n"/>
      <c r="Z346" s="55" t="n"/>
      <c r="AA346" s="52" t="n"/>
      <c r="AB346" s="52" t="n"/>
      <c r="AC346" s="42" t="inlineStr">
        <is>
          <t>IF(F346="","",IF(COUNT(AI346:AV346)=0,IF(AA346="","Not started",AA346),SUBSTITUTE(LOOKUP(2,1/(AI346:AV346&lt;&gt;""),$AI$3:$AV$3),"Date: ","")))</t>
        </is>
      </c>
      <c r="AD346" s="49" t="inlineStr">
        <is>
          <t>IF(OR(F346="",COUNT(AI346:AV346)=0),"",TODAY()-LOOKUP(2,1/(AI346:AV346&lt;&gt;""),AI346:AV346))</t>
        </is>
      </c>
      <c r="AE346" s="49" t="inlineStr">
        <is>
          <t>IF(OR(F346="",COUNT(AI346:AV346)&lt;2),"",LOOKUP(2,1/(AI346:AV346&lt;&gt;""),AI346:AV346)-MIN(AI346:AV346))</t>
        </is>
      </c>
      <c r="AF346" s="49" t="inlineStr">
        <is>
          <t>IF(OR(AD346="",AC346="Not started",AC346=""),"",IFERROR(AD346-IF(VLOOKUP(AC346,'06_Status_Pipeline'!$B$3:$E$20,4,FALSE)="",0,VLOOKUP(AC346,'06_Status_Pipeline'!$B$3:$E$20,4,FALSE)),""))</t>
        </is>
      </c>
      <c r="AG346" s="42" t="inlineStr">
        <is>
          <t>IF(F346="","",IF(OR(AA346="Cancelled",AC346="Cancelled"),"Cancelled",IF(OR(AC346="Completed / Handover",Y346&lt;&gt;"",Z346&gt;=100),"Completed — on track",IF(O346="Not awarded",IF(U346="",IF(X346="","No planned date",IF(TODAY()&gt;X346,"Behind — past planned date",IF(X346-TODAY()&lt;=30,"At risk — close to off track","On track"))),IF(TODAY()&gt;U346,"Behind — award date passed",IF(U346-TODAY()&lt;=30,"At risk — close to off track","On track"))),IF(X346="","No planned date",IF(AND(TODAY()&gt;X346,OR(Z346="",Z346&lt;100)),"Behind — past end date",IF(AND(T346&lt;&gt;"",X346&lt;&gt;"",Z346&lt;&gt;"",(Z346&lt;100),((TODAY()-T346)/MAX(X346-T346,1)*100)-Z346&gt;15),"Behind — progress lag",IF(AND(X346-TODAY()&lt;=30,X346-TODAY()&gt;=0,OR(Z346="",Z346&lt;90)),"At risk — close to off track","On track"))))))))</t>
        </is>
      </c>
      <c r="AH346" s="49" t="inlineStr">
        <is>
          <t>IF(OR(F346="",AC346="Completed / Handover",AC346="Cancelled"),"",IF(O346="Not awarded",IF(U346&lt;&gt;"",U346-TODAY(),IF(X346="","",X346-TODAY())),IF(X346="","",X346-TODAY())))</t>
        </is>
      </c>
      <c r="AI346" s="54" t="n"/>
      <c r="AJ346" s="54" t="n"/>
      <c r="AK346" s="54" t="n"/>
      <c r="AL346" s="54" t="n"/>
      <c r="AM346" s="54" t="n"/>
      <c r="AN346" s="54" t="n"/>
      <c r="AO346" s="54" t="n"/>
      <c r="AP346" s="54" t="n"/>
      <c r="AQ346" s="54" t="n"/>
      <c r="AR346" s="54" t="n"/>
      <c r="AS346" s="54" t="n"/>
      <c r="AT346" s="50" t="n"/>
      <c r="AU346" s="50" t="n"/>
      <c r="AV346" s="50" t="n"/>
      <c r="AW346" s="49" t="inlineStr">
        <is>
          <t>IF(OR(F346="",AJ346=""),"",IF(COUNT(AI346:AI346)=0,"",AJ346-LOOKUP(2,1/(AI346:AI346&lt;&gt;""),AI346:AI346)))</t>
        </is>
      </c>
      <c r="AX346" s="49" t="inlineStr">
        <is>
          <t>IF(OR(F346="",AK346=""),"",IF(COUNT(AI346:AJ346)=0,"",AK346-LOOKUP(2,1/(AI346:AJ346&lt;&gt;""),AI346:AJ346)))</t>
        </is>
      </c>
      <c r="AY346" s="49" t="inlineStr">
        <is>
          <t>IF(OR(F346="",AL346=""),"",IF(COUNT(AI346:AK346)=0,"",AL346-LOOKUP(2,1/(AI346:AK346&lt;&gt;""),AI346:AK346)))</t>
        </is>
      </c>
      <c r="AZ346" s="49" t="inlineStr">
        <is>
          <t>IF(OR(F346="",AM346=""),"",IF(COUNT(AI346:AL346)=0,"",AM346-LOOKUP(2,1/(AI346:AL346&lt;&gt;""),AI346:AL346)))</t>
        </is>
      </c>
      <c r="BA346" s="49" t="inlineStr">
        <is>
          <t>IF(OR(F346="",AN346=""),"",IF(COUNT(AI346:AM346)=0,"",AN346-LOOKUP(2,1/(AI346:AM346&lt;&gt;""),AI346:AM346)))</t>
        </is>
      </c>
      <c r="BB346" s="49" t="inlineStr">
        <is>
          <t>IF(OR(F346="",AO346=""),"",IF(COUNT(AI346:AN346)=0,"",AO346-LOOKUP(2,1/(AI346:AN346&lt;&gt;""),AI346:AN346)))</t>
        </is>
      </c>
      <c r="BC346" s="49" t="inlineStr">
        <is>
          <t>IF(OR(F346="",AP346=""),"",IF(COUNT(AI346:AO346)=0,"",AP346-LOOKUP(2,1/(AI346:AO346&lt;&gt;""),AI346:AO346)))</t>
        </is>
      </c>
      <c r="BD346" s="49" t="inlineStr">
        <is>
          <t>IF(OR(F346="",AQ346=""),"",IF(COUNT(AI346:AP346)=0,"",AQ346-LOOKUP(2,1/(AI346:AP346&lt;&gt;""),AI346:AP346)))</t>
        </is>
      </c>
      <c r="BE346" s="49" t="inlineStr">
        <is>
          <t>IF(OR(F346="",AR346=""),"",IF(COUNT(AI346:AQ346)=0,"",AR346-LOOKUP(2,1/(AI346:AQ346&lt;&gt;""),AI346:AQ346)))</t>
        </is>
      </c>
      <c r="BF346" s="49" t="inlineStr">
        <is>
          <t>IF(OR(F346="",AS346=""),"",IF(COUNT(AI346:AR346)=0,"",AS346-LOOKUP(2,1/(AI346:AR346&lt;&gt;""),AI346:AR346)))</t>
        </is>
      </c>
      <c r="BG346" s="49" t="inlineStr">
        <is>
          <t>IF(OR(F346="",AT346=""),"",IF(COUNT(AI346:AS346)=0,"",AT346-LOOKUP(2,1/(AI346:AS346&lt;&gt;""),AI346:AS346)))</t>
        </is>
      </c>
      <c r="BH346" s="49" t="inlineStr">
        <is>
          <t>IF(OR(F346="",AU346=""),"",IF(COUNT(AI346:AT346)=0,"",AU346-LOOKUP(2,1/(AI346:AT346&lt;&gt;""),AI346:AT346)))</t>
        </is>
      </c>
      <c r="BI346" s="49" t="inlineStr">
        <is>
          <t>IF(OR(F346="",AV346=""),"",IF(COUNT(AI346:AU346)=0,"",AV346-LOOKUP(2,1/(AI346:AU346&lt;&gt;""),AI346:AU346)))</t>
        </is>
      </c>
      <c r="BJ346" s="51" t="inlineStr">
        <is>
          <t>IF(J346="","All_Provinces",IFERROR(VLOOKUP(J346,'09_Lookups'!$A$4:$B$20,2,FALSE),"All_Provinces"))</t>
        </is>
      </c>
      <c r="BK346" s="51" t="inlineStr">
        <is>
          <t>IF(K346="","All_Districts",IFERROR(VLOOKUP(K346,'09_Lookups'!$E$4:$F$42,2,FALSE),"All_Districts"))</t>
        </is>
      </c>
    </row>
    <row r="347" ht="18" customHeight="1">
      <c r="A347" s="42" t="inlineStr">
        <is>
          <t>IF(F347="","",ROW()-3)</t>
        </is>
      </c>
      <c r="B347" s="44" t="n"/>
      <c r="C347" s="44" t="n"/>
      <c r="D347" s="44" t="n"/>
      <c r="E347" s="44" t="n"/>
      <c r="F347" s="44" t="n"/>
      <c r="G347" s="44" t="n"/>
      <c r="H347" s="44" t="n"/>
      <c r="I347" s="44" t="n"/>
      <c r="J347" s="44" t="n"/>
      <c r="K347" s="44" t="n"/>
      <c r="L347" s="44" t="n"/>
      <c r="M347" s="44" t="n"/>
      <c r="N347" s="44" t="n"/>
      <c r="O347" s="44" t="n"/>
      <c r="P347" s="44" t="n"/>
      <c r="Q347" s="44" t="n"/>
      <c r="R347" s="44" t="n"/>
      <c r="S347" s="45" t="n"/>
      <c r="T347" s="46" t="inlineStr">
        <is>
          <t>IF(AQ347="","",AQ347)</t>
        </is>
      </c>
      <c r="U347" s="47" t="n"/>
      <c r="V347" s="48" t="n"/>
      <c r="W347" s="47" t="n"/>
      <c r="X347" s="46" t="inlineStr">
        <is>
          <t>IF(W347&lt;&gt;"",W347,IF(OR(T347="",V347=""),"",EDATE(T347,V347)))</t>
        </is>
      </c>
      <c r="Y347" s="47" t="n"/>
      <c r="Z347" s="48" t="n"/>
      <c r="AA347" s="44" t="n"/>
      <c r="AB347" s="44" t="n"/>
      <c r="AC347" s="42" t="inlineStr">
        <is>
          <t>IF(F347="","",IF(COUNT(AI347:AV347)=0,IF(AA347="","Not started",AA347),SUBSTITUTE(LOOKUP(2,1/(AI347:AV347&lt;&gt;""),$AI$3:$AV$3),"Date: ","")))</t>
        </is>
      </c>
      <c r="AD347" s="49" t="inlineStr">
        <is>
          <t>IF(OR(F347="",COUNT(AI347:AV347)=0),"",TODAY()-LOOKUP(2,1/(AI347:AV347&lt;&gt;""),AI347:AV347))</t>
        </is>
      </c>
      <c r="AE347" s="49" t="inlineStr">
        <is>
          <t>IF(OR(F347="",COUNT(AI347:AV347)&lt;2),"",LOOKUP(2,1/(AI347:AV347&lt;&gt;""),AI347:AV347)-MIN(AI347:AV347))</t>
        </is>
      </c>
      <c r="AF347" s="49" t="inlineStr">
        <is>
          <t>IF(OR(AD347="",AC347="Not started",AC347=""),"",IFERROR(AD347-IF(VLOOKUP(AC347,'06_Status_Pipeline'!$B$3:$E$20,4,FALSE)="",0,VLOOKUP(AC347,'06_Status_Pipeline'!$B$3:$E$20,4,FALSE)),""))</t>
        </is>
      </c>
      <c r="AG347" s="42" t="inlineStr">
        <is>
          <t>IF(F347="","",IF(OR(AA347="Cancelled",AC347="Cancelled"),"Cancelled",IF(OR(AC347="Completed / Handover",Y347&lt;&gt;"",Z347&gt;=100),"Completed — on track",IF(O347="Not awarded",IF(U347="",IF(X347="","No planned date",IF(TODAY()&gt;X347,"Behind — past planned date",IF(X347-TODAY()&lt;=30,"At risk — close to off track","On track"))),IF(TODAY()&gt;U347,"Behind — award date passed",IF(U347-TODAY()&lt;=30,"At risk — close to off track","On track"))),IF(X347="","No planned date",IF(AND(TODAY()&gt;X347,OR(Z347="",Z347&lt;100)),"Behind — past end date",IF(AND(T347&lt;&gt;"",X347&lt;&gt;"",Z347&lt;&gt;"",(Z347&lt;100),((TODAY()-T347)/MAX(X347-T347,1)*100)-Z347&gt;15),"Behind — progress lag",IF(AND(X347-TODAY()&lt;=30,X347-TODAY()&gt;=0,OR(Z347="",Z347&lt;90)),"At risk — close to off track","On track"))))))))</t>
        </is>
      </c>
      <c r="AH347" s="49" t="inlineStr">
        <is>
          <t>IF(OR(F347="",AC347="Completed / Handover",AC347="Cancelled"),"",IF(O347="Not awarded",IF(U347&lt;&gt;"",U347-TODAY(),IF(X347="","",X347-TODAY())),IF(X347="","",X347-TODAY())))</t>
        </is>
      </c>
      <c r="AI347" s="47" t="n"/>
      <c r="AJ347" s="47" t="n"/>
      <c r="AK347" s="47" t="n"/>
      <c r="AL347" s="47" t="n"/>
      <c r="AM347" s="47" t="n"/>
      <c r="AN347" s="47" t="n"/>
      <c r="AO347" s="47" t="n"/>
      <c r="AP347" s="47" t="n"/>
      <c r="AQ347" s="47" t="n"/>
      <c r="AR347" s="47" t="n"/>
      <c r="AS347" s="47" t="n"/>
      <c r="AT347" s="50" t="n"/>
      <c r="AU347" s="50" t="n"/>
      <c r="AV347" s="50" t="n"/>
      <c r="AW347" s="49" t="inlineStr">
        <is>
          <t>IF(OR(F347="",AJ347=""),"",IF(COUNT(AI347:AI347)=0,"",AJ347-LOOKUP(2,1/(AI347:AI347&lt;&gt;""),AI347:AI347)))</t>
        </is>
      </c>
      <c r="AX347" s="49" t="inlineStr">
        <is>
          <t>IF(OR(F347="",AK347=""),"",IF(COUNT(AI347:AJ347)=0,"",AK347-LOOKUP(2,1/(AI347:AJ347&lt;&gt;""),AI347:AJ347)))</t>
        </is>
      </c>
      <c r="AY347" s="49" t="inlineStr">
        <is>
          <t>IF(OR(F347="",AL347=""),"",IF(COUNT(AI347:AK347)=0,"",AL347-LOOKUP(2,1/(AI347:AK347&lt;&gt;""),AI347:AK347)))</t>
        </is>
      </c>
      <c r="AZ347" s="49" t="inlineStr">
        <is>
          <t>IF(OR(F347="",AM347=""),"",IF(COUNT(AI347:AL347)=0,"",AM347-LOOKUP(2,1/(AI347:AL347&lt;&gt;""),AI347:AL347)))</t>
        </is>
      </c>
      <c r="BA347" s="49" t="inlineStr">
        <is>
          <t>IF(OR(F347="",AN347=""),"",IF(COUNT(AI347:AM347)=0,"",AN347-LOOKUP(2,1/(AI347:AM347&lt;&gt;""),AI347:AM347)))</t>
        </is>
      </c>
      <c r="BB347" s="49" t="inlineStr">
        <is>
          <t>IF(OR(F347="",AO347=""),"",IF(COUNT(AI347:AN347)=0,"",AO347-LOOKUP(2,1/(AI347:AN347&lt;&gt;""),AI347:AN347)))</t>
        </is>
      </c>
      <c r="BC347" s="49" t="inlineStr">
        <is>
          <t>IF(OR(F347="",AP347=""),"",IF(COUNT(AI347:AO347)=0,"",AP347-LOOKUP(2,1/(AI347:AO347&lt;&gt;""),AI347:AO347)))</t>
        </is>
      </c>
      <c r="BD347" s="49" t="inlineStr">
        <is>
          <t>IF(OR(F347="",AQ347=""),"",IF(COUNT(AI347:AP347)=0,"",AQ347-LOOKUP(2,1/(AI347:AP347&lt;&gt;""),AI347:AP347)))</t>
        </is>
      </c>
      <c r="BE347" s="49" t="inlineStr">
        <is>
          <t>IF(OR(F347="",AR347=""),"",IF(COUNT(AI347:AQ347)=0,"",AR347-LOOKUP(2,1/(AI347:AQ347&lt;&gt;""),AI347:AQ347)))</t>
        </is>
      </c>
      <c r="BF347" s="49" t="inlineStr">
        <is>
          <t>IF(OR(F347="",AS347=""),"",IF(COUNT(AI347:AR347)=0,"",AS347-LOOKUP(2,1/(AI347:AR347&lt;&gt;""),AI347:AR347)))</t>
        </is>
      </c>
      <c r="BG347" s="49" t="inlineStr">
        <is>
          <t>IF(OR(F347="",AT347=""),"",IF(COUNT(AI347:AS347)=0,"",AT347-LOOKUP(2,1/(AI347:AS347&lt;&gt;""),AI347:AS347)))</t>
        </is>
      </c>
      <c r="BH347" s="49" t="inlineStr">
        <is>
          <t>IF(OR(F347="",AU347=""),"",IF(COUNT(AI347:AT347)=0,"",AU347-LOOKUP(2,1/(AI347:AT347&lt;&gt;""),AI347:AT347)))</t>
        </is>
      </c>
      <c r="BI347" s="49" t="inlineStr">
        <is>
          <t>IF(OR(F347="",AV347=""),"",IF(COUNT(AI347:AU347)=0,"",AV347-LOOKUP(2,1/(AI347:AU347&lt;&gt;""),AI347:AU347)))</t>
        </is>
      </c>
      <c r="BJ347" s="51" t="inlineStr">
        <is>
          <t>IF(J347="","All_Provinces",IFERROR(VLOOKUP(J347,'09_Lookups'!$A$4:$B$20,2,FALSE),"All_Provinces"))</t>
        </is>
      </c>
      <c r="BK347" s="51" t="inlineStr">
        <is>
          <t>IF(K347="","All_Districts",IFERROR(VLOOKUP(K347,'09_Lookups'!$E$4:$F$42,2,FALSE),"All_Districts"))</t>
        </is>
      </c>
    </row>
    <row r="348" ht="18" customHeight="1">
      <c r="A348" s="42" t="inlineStr">
        <is>
          <t>IF(F348="","",ROW()-3)</t>
        </is>
      </c>
      <c r="B348" s="52" t="n"/>
      <c r="C348" s="52" t="n"/>
      <c r="D348" s="52" t="n"/>
      <c r="E348" s="52" t="n"/>
      <c r="F348" s="52" t="n"/>
      <c r="G348" s="52" t="n"/>
      <c r="H348" s="52" t="n"/>
      <c r="I348" s="52" t="n"/>
      <c r="J348" s="52" t="n"/>
      <c r="K348" s="52" t="n"/>
      <c r="L348" s="52" t="n"/>
      <c r="M348" s="52" t="n"/>
      <c r="N348" s="52" t="n"/>
      <c r="O348" s="52" t="n"/>
      <c r="P348" s="52" t="n"/>
      <c r="Q348" s="52" t="n"/>
      <c r="R348" s="52" t="n"/>
      <c r="S348" s="53" t="n"/>
      <c r="T348" s="46" t="inlineStr">
        <is>
          <t>IF(AQ348="","",AQ348)</t>
        </is>
      </c>
      <c r="U348" s="54" t="n"/>
      <c r="V348" s="55" t="n"/>
      <c r="W348" s="54" t="n"/>
      <c r="X348" s="46" t="inlineStr">
        <is>
          <t>IF(W348&lt;&gt;"",W348,IF(OR(T348="",V348=""),"",EDATE(T348,V348)))</t>
        </is>
      </c>
      <c r="Y348" s="54" t="n"/>
      <c r="Z348" s="55" t="n"/>
      <c r="AA348" s="52" t="n"/>
      <c r="AB348" s="52" t="n"/>
      <c r="AC348" s="42" t="inlineStr">
        <is>
          <t>IF(F348="","",IF(COUNT(AI348:AV348)=0,IF(AA348="","Not started",AA348),SUBSTITUTE(LOOKUP(2,1/(AI348:AV348&lt;&gt;""),$AI$3:$AV$3),"Date: ","")))</t>
        </is>
      </c>
      <c r="AD348" s="49" t="inlineStr">
        <is>
          <t>IF(OR(F348="",COUNT(AI348:AV348)=0),"",TODAY()-LOOKUP(2,1/(AI348:AV348&lt;&gt;""),AI348:AV348))</t>
        </is>
      </c>
      <c r="AE348" s="49" t="inlineStr">
        <is>
          <t>IF(OR(F348="",COUNT(AI348:AV348)&lt;2),"",LOOKUP(2,1/(AI348:AV348&lt;&gt;""),AI348:AV348)-MIN(AI348:AV348))</t>
        </is>
      </c>
      <c r="AF348" s="49" t="inlineStr">
        <is>
          <t>IF(OR(AD348="",AC348="Not started",AC348=""),"",IFERROR(AD348-IF(VLOOKUP(AC348,'06_Status_Pipeline'!$B$3:$E$20,4,FALSE)="",0,VLOOKUP(AC348,'06_Status_Pipeline'!$B$3:$E$20,4,FALSE)),""))</t>
        </is>
      </c>
      <c r="AG348" s="42" t="inlineStr">
        <is>
          <t>IF(F348="","",IF(OR(AA348="Cancelled",AC348="Cancelled"),"Cancelled",IF(OR(AC348="Completed / Handover",Y348&lt;&gt;"",Z348&gt;=100),"Completed — on track",IF(O348="Not awarded",IF(U348="",IF(X348="","No planned date",IF(TODAY()&gt;X348,"Behind — past planned date",IF(X348-TODAY()&lt;=30,"At risk — close to off track","On track"))),IF(TODAY()&gt;U348,"Behind — award date passed",IF(U348-TODAY()&lt;=30,"At risk — close to off track","On track"))),IF(X348="","No planned date",IF(AND(TODAY()&gt;X348,OR(Z348="",Z348&lt;100)),"Behind — past end date",IF(AND(T348&lt;&gt;"",X348&lt;&gt;"",Z348&lt;&gt;"",(Z348&lt;100),((TODAY()-T348)/MAX(X348-T348,1)*100)-Z348&gt;15),"Behind — progress lag",IF(AND(X348-TODAY()&lt;=30,X348-TODAY()&gt;=0,OR(Z348="",Z348&lt;90)),"At risk — close to off track","On track"))))))))</t>
        </is>
      </c>
      <c r="AH348" s="49" t="inlineStr">
        <is>
          <t>IF(OR(F348="",AC348="Completed / Handover",AC348="Cancelled"),"",IF(O348="Not awarded",IF(U348&lt;&gt;"",U348-TODAY(),IF(X348="","",X348-TODAY())),IF(X348="","",X348-TODAY())))</t>
        </is>
      </c>
      <c r="AI348" s="54" t="n"/>
      <c r="AJ348" s="54" t="n"/>
      <c r="AK348" s="54" t="n"/>
      <c r="AL348" s="54" t="n"/>
      <c r="AM348" s="54" t="n"/>
      <c r="AN348" s="54" t="n"/>
      <c r="AO348" s="54" t="n"/>
      <c r="AP348" s="54" t="n"/>
      <c r="AQ348" s="54" t="n"/>
      <c r="AR348" s="54" t="n"/>
      <c r="AS348" s="54" t="n"/>
      <c r="AT348" s="50" t="n"/>
      <c r="AU348" s="50" t="n"/>
      <c r="AV348" s="50" t="n"/>
      <c r="AW348" s="49" t="inlineStr">
        <is>
          <t>IF(OR(F348="",AJ348=""),"",IF(COUNT(AI348:AI348)=0,"",AJ348-LOOKUP(2,1/(AI348:AI348&lt;&gt;""),AI348:AI348)))</t>
        </is>
      </c>
      <c r="AX348" s="49" t="inlineStr">
        <is>
          <t>IF(OR(F348="",AK348=""),"",IF(COUNT(AI348:AJ348)=0,"",AK348-LOOKUP(2,1/(AI348:AJ348&lt;&gt;""),AI348:AJ348)))</t>
        </is>
      </c>
      <c r="AY348" s="49" t="inlineStr">
        <is>
          <t>IF(OR(F348="",AL348=""),"",IF(COUNT(AI348:AK348)=0,"",AL348-LOOKUP(2,1/(AI348:AK348&lt;&gt;""),AI348:AK348)))</t>
        </is>
      </c>
      <c r="AZ348" s="49" t="inlineStr">
        <is>
          <t>IF(OR(F348="",AM348=""),"",IF(COUNT(AI348:AL348)=0,"",AM348-LOOKUP(2,1/(AI348:AL348&lt;&gt;""),AI348:AL348)))</t>
        </is>
      </c>
      <c r="BA348" s="49" t="inlineStr">
        <is>
          <t>IF(OR(F348="",AN348=""),"",IF(COUNT(AI348:AM348)=0,"",AN348-LOOKUP(2,1/(AI348:AM348&lt;&gt;""),AI348:AM348)))</t>
        </is>
      </c>
      <c r="BB348" s="49" t="inlineStr">
        <is>
          <t>IF(OR(F348="",AO348=""),"",IF(COUNT(AI348:AN348)=0,"",AO348-LOOKUP(2,1/(AI348:AN348&lt;&gt;""),AI348:AN348)))</t>
        </is>
      </c>
      <c r="BC348" s="49" t="inlineStr">
        <is>
          <t>IF(OR(F348="",AP348=""),"",IF(COUNT(AI348:AO348)=0,"",AP348-LOOKUP(2,1/(AI348:AO348&lt;&gt;""),AI348:AO348)))</t>
        </is>
      </c>
      <c r="BD348" s="49" t="inlineStr">
        <is>
          <t>IF(OR(F348="",AQ348=""),"",IF(COUNT(AI348:AP348)=0,"",AQ348-LOOKUP(2,1/(AI348:AP348&lt;&gt;""),AI348:AP348)))</t>
        </is>
      </c>
      <c r="BE348" s="49" t="inlineStr">
        <is>
          <t>IF(OR(F348="",AR348=""),"",IF(COUNT(AI348:AQ348)=0,"",AR348-LOOKUP(2,1/(AI348:AQ348&lt;&gt;""),AI348:AQ348)))</t>
        </is>
      </c>
      <c r="BF348" s="49" t="inlineStr">
        <is>
          <t>IF(OR(F348="",AS348=""),"",IF(COUNT(AI348:AR348)=0,"",AS348-LOOKUP(2,1/(AI348:AR348&lt;&gt;""),AI348:AR348)))</t>
        </is>
      </c>
      <c r="BG348" s="49" t="inlineStr">
        <is>
          <t>IF(OR(F348="",AT348=""),"",IF(COUNT(AI348:AS348)=0,"",AT348-LOOKUP(2,1/(AI348:AS348&lt;&gt;""),AI348:AS348)))</t>
        </is>
      </c>
      <c r="BH348" s="49" t="inlineStr">
        <is>
          <t>IF(OR(F348="",AU348=""),"",IF(COUNT(AI348:AT348)=0,"",AU348-LOOKUP(2,1/(AI348:AT348&lt;&gt;""),AI348:AT348)))</t>
        </is>
      </c>
      <c r="BI348" s="49" t="inlineStr">
        <is>
          <t>IF(OR(F348="",AV348=""),"",IF(COUNT(AI348:AU348)=0,"",AV348-LOOKUP(2,1/(AI348:AU348&lt;&gt;""),AI348:AU348)))</t>
        </is>
      </c>
      <c r="BJ348" s="51" t="inlineStr">
        <is>
          <t>IF(J348="","All_Provinces",IFERROR(VLOOKUP(J348,'09_Lookups'!$A$4:$B$20,2,FALSE),"All_Provinces"))</t>
        </is>
      </c>
      <c r="BK348" s="51" t="inlineStr">
        <is>
          <t>IF(K348="","All_Districts",IFERROR(VLOOKUP(K348,'09_Lookups'!$E$4:$F$42,2,FALSE),"All_Districts"))</t>
        </is>
      </c>
    </row>
    <row r="349" ht="18" customHeight="1">
      <c r="A349" s="42" t="inlineStr">
        <is>
          <t>IF(F349="","",ROW()-3)</t>
        </is>
      </c>
      <c r="B349" s="44" t="n"/>
      <c r="C349" s="44" t="n"/>
      <c r="D349" s="44" t="n"/>
      <c r="E349" s="44" t="n"/>
      <c r="F349" s="44" t="n"/>
      <c r="G349" s="44" t="n"/>
      <c r="H349" s="44" t="n"/>
      <c r="I349" s="44" t="n"/>
      <c r="J349" s="44" t="n"/>
      <c r="K349" s="44" t="n"/>
      <c r="L349" s="44" t="n"/>
      <c r="M349" s="44" t="n"/>
      <c r="N349" s="44" t="n"/>
      <c r="O349" s="44" t="n"/>
      <c r="P349" s="44" t="n"/>
      <c r="Q349" s="44" t="n"/>
      <c r="R349" s="44" t="n"/>
      <c r="S349" s="45" t="n"/>
      <c r="T349" s="46" t="inlineStr">
        <is>
          <t>IF(AQ349="","",AQ349)</t>
        </is>
      </c>
      <c r="U349" s="47" t="n"/>
      <c r="V349" s="48" t="n"/>
      <c r="W349" s="47" t="n"/>
      <c r="X349" s="46" t="inlineStr">
        <is>
          <t>IF(W349&lt;&gt;"",W349,IF(OR(T349="",V349=""),"",EDATE(T349,V349)))</t>
        </is>
      </c>
      <c r="Y349" s="47" t="n"/>
      <c r="Z349" s="48" t="n"/>
      <c r="AA349" s="44" t="n"/>
      <c r="AB349" s="44" t="n"/>
      <c r="AC349" s="42" t="inlineStr">
        <is>
          <t>IF(F349="","",IF(COUNT(AI349:AV349)=0,IF(AA349="","Not started",AA349),SUBSTITUTE(LOOKUP(2,1/(AI349:AV349&lt;&gt;""),$AI$3:$AV$3),"Date: ","")))</t>
        </is>
      </c>
      <c r="AD349" s="49" t="inlineStr">
        <is>
          <t>IF(OR(F349="",COUNT(AI349:AV349)=0),"",TODAY()-LOOKUP(2,1/(AI349:AV349&lt;&gt;""),AI349:AV349))</t>
        </is>
      </c>
      <c r="AE349" s="49" t="inlineStr">
        <is>
          <t>IF(OR(F349="",COUNT(AI349:AV349)&lt;2),"",LOOKUP(2,1/(AI349:AV349&lt;&gt;""),AI349:AV349)-MIN(AI349:AV349))</t>
        </is>
      </c>
      <c r="AF349" s="49" t="inlineStr">
        <is>
          <t>IF(OR(AD349="",AC349="Not started",AC349=""),"",IFERROR(AD349-IF(VLOOKUP(AC349,'06_Status_Pipeline'!$B$3:$E$20,4,FALSE)="",0,VLOOKUP(AC349,'06_Status_Pipeline'!$B$3:$E$20,4,FALSE)),""))</t>
        </is>
      </c>
      <c r="AG349" s="42" t="inlineStr">
        <is>
          <t>IF(F349="","",IF(OR(AA349="Cancelled",AC349="Cancelled"),"Cancelled",IF(OR(AC349="Completed / Handover",Y349&lt;&gt;"",Z349&gt;=100),"Completed — on track",IF(O349="Not awarded",IF(U349="",IF(X349="","No planned date",IF(TODAY()&gt;X349,"Behind — past planned date",IF(X349-TODAY()&lt;=30,"At risk — close to off track","On track"))),IF(TODAY()&gt;U349,"Behind — award date passed",IF(U349-TODAY()&lt;=30,"At risk — close to off track","On track"))),IF(X349="","No planned date",IF(AND(TODAY()&gt;X349,OR(Z349="",Z349&lt;100)),"Behind — past end date",IF(AND(T349&lt;&gt;"",X349&lt;&gt;"",Z349&lt;&gt;"",(Z349&lt;100),((TODAY()-T349)/MAX(X349-T349,1)*100)-Z349&gt;15),"Behind — progress lag",IF(AND(X349-TODAY()&lt;=30,X349-TODAY()&gt;=0,OR(Z349="",Z349&lt;90)),"At risk — close to off track","On track"))))))))</t>
        </is>
      </c>
      <c r="AH349" s="49" t="inlineStr">
        <is>
          <t>IF(OR(F349="",AC349="Completed / Handover",AC349="Cancelled"),"",IF(O349="Not awarded",IF(U349&lt;&gt;"",U349-TODAY(),IF(X349="","",X349-TODAY())),IF(X349="","",X349-TODAY())))</t>
        </is>
      </c>
      <c r="AI349" s="47" t="n"/>
      <c r="AJ349" s="47" t="n"/>
      <c r="AK349" s="47" t="n"/>
      <c r="AL349" s="47" t="n"/>
      <c r="AM349" s="47" t="n"/>
      <c r="AN349" s="47" t="n"/>
      <c r="AO349" s="47" t="n"/>
      <c r="AP349" s="47" t="n"/>
      <c r="AQ349" s="47" t="n"/>
      <c r="AR349" s="47" t="n"/>
      <c r="AS349" s="47" t="n"/>
      <c r="AT349" s="50" t="n"/>
      <c r="AU349" s="50" t="n"/>
      <c r="AV349" s="50" t="n"/>
      <c r="AW349" s="49" t="inlineStr">
        <is>
          <t>IF(OR(F349="",AJ349=""),"",IF(COUNT(AI349:AI349)=0,"",AJ349-LOOKUP(2,1/(AI349:AI349&lt;&gt;""),AI349:AI349)))</t>
        </is>
      </c>
      <c r="AX349" s="49" t="inlineStr">
        <is>
          <t>IF(OR(F349="",AK349=""),"",IF(COUNT(AI349:AJ349)=0,"",AK349-LOOKUP(2,1/(AI349:AJ349&lt;&gt;""),AI349:AJ349)))</t>
        </is>
      </c>
      <c r="AY349" s="49" t="inlineStr">
        <is>
          <t>IF(OR(F349="",AL349=""),"",IF(COUNT(AI349:AK349)=0,"",AL349-LOOKUP(2,1/(AI349:AK349&lt;&gt;""),AI349:AK349)))</t>
        </is>
      </c>
      <c r="AZ349" s="49" t="inlineStr">
        <is>
          <t>IF(OR(F349="",AM349=""),"",IF(COUNT(AI349:AL349)=0,"",AM349-LOOKUP(2,1/(AI349:AL349&lt;&gt;""),AI349:AL349)))</t>
        </is>
      </c>
      <c r="BA349" s="49" t="inlineStr">
        <is>
          <t>IF(OR(F349="",AN349=""),"",IF(COUNT(AI349:AM349)=0,"",AN349-LOOKUP(2,1/(AI349:AM349&lt;&gt;""),AI349:AM349)))</t>
        </is>
      </c>
      <c r="BB349" s="49" t="inlineStr">
        <is>
          <t>IF(OR(F349="",AO349=""),"",IF(COUNT(AI349:AN349)=0,"",AO349-LOOKUP(2,1/(AI349:AN349&lt;&gt;""),AI349:AN349)))</t>
        </is>
      </c>
      <c r="BC349" s="49" t="inlineStr">
        <is>
          <t>IF(OR(F349="",AP349=""),"",IF(COUNT(AI349:AO349)=0,"",AP349-LOOKUP(2,1/(AI349:AO349&lt;&gt;""),AI349:AO349)))</t>
        </is>
      </c>
      <c r="BD349" s="49" t="inlineStr">
        <is>
          <t>IF(OR(F349="",AQ349=""),"",IF(COUNT(AI349:AP349)=0,"",AQ349-LOOKUP(2,1/(AI349:AP349&lt;&gt;""),AI349:AP349)))</t>
        </is>
      </c>
      <c r="BE349" s="49" t="inlineStr">
        <is>
          <t>IF(OR(F349="",AR349=""),"",IF(COUNT(AI349:AQ349)=0,"",AR349-LOOKUP(2,1/(AI349:AQ349&lt;&gt;""),AI349:AQ349)))</t>
        </is>
      </c>
      <c r="BF349" s="49" t="inlineStr">
        <is>
          <t>IF(OR(F349="",AS349=""),"",IF(COUNT(AI349:AR349)=0,"",AS349-LOOKUP(2,1/(AI349:AR349&lt;&gt;""),AI349:AR349)))</t>
        </is>
      </c>
      <c r="BG349" s="49" t="inlineStr">
        <is>
          <t>IF(OR(F349="",AT349=""),"",IF(COUNT(AI349:AS349)=0,"",AT349-LOOKUP(2,1/(AI349:AS349&lt;&gt;""),AI349:AS349)))</t>
        </is>
      </c>
      <c r="BH349" s="49" t="inlineStr">
        <is>
          <t>IF(OR(F349="",AU349=""),"",IF(COUNT(AI349:AT349)=0,"",AU349-LOOKUP(2,1/(AI349:AT349&lt;&gt;""),AI349:AT349)))</t>
        </is>
      </c>
      <c r="BI349" s="49" t="inlineStr">
        <is>
          <t>IF(OR(F349="",AV349=""),"",IF(COUNT(AI349:AU349)=0,"",AV349-LOOKUP(2,1/(AI349:AU349&lt;&gt;""),AI349:AU349)))</t>
        </is>
      </c>
      <c r="BJ349" s="51" t="inlineStr">
        <is>
          <t>IF(J349="","All_Provinces",IFERROR(VLOOKUP(J349,'09_Lookups'!$A$4:$B$20,2,FALSE),"All_Provinces"))</t>
        </is>
      </c>
      <c r="BK349" s="51" t="inlineStr">
        <is>
          <t>IF(K349="","All_Districts",IFERROR(VLOOKUP(K349,'09_Lookups'!$E$4:$F$42,2,FALSE),"All_Districts"))</t>
        </is>
      </c>
    </row>
    <row r="350" ht="18" customHeight="1">
      <c r="A350" s="42" t="inlineStr">
        <is>
          <t>IF(F350="","",ROW()-3)</t>
        </is>
      </c>
      <c r="B350" s="52" t="n"/>
      <c r="C350" s="52" t="n"/>
      <c r="D350" s="52" t="n"/>
      <c r="E350" s="52" t="n"/>
      <c r="F350" s="52" t="n"/>
      <c r="G350" s="52" t="n"/>
      <c r="H350" s="52" t="n"/>
      <c r="I350" s="52" t="n"/>
      <c r="J350" s="52" t="n"/>
      <c r="K350" s="52" t="n"/>
      <c r="L350" s="52" t="n"/>
      <c r="M350" s="52" t="n"/>
      <c r="N350" s="52" t="n"/>
      <c r="O350" s="52" t="n"/>
      <c r="P350" s="52" t="n"/>
      <c r="Q350" s="52" t="n"/>
      <c r="R350" s="52" t="n"/>
      <c r="S350" s="53" t="n"/>
      <c r="T350" s="46" t="inlineStr">
        <is>
          <t>IF(AQ350="","",AQ350)</t>
        </is>
      </c>
      <c r="U350" s="54" t="n"/>
      <c r="V350" s="55" t="n"/>
      <c r="W350" s="54" t="n"/>
      <c r="X350" s="46" t="inlineStr">
        <is>
          <t>IF(W350&lt;&gt;"",W350,IF(OR(T350="",V350=""),"",EDATE(T350,V350)))</t>
        </is>
      </c>
      <c r="Y350" s="54" t="n"/>
      <c r="Z350" s="55" t="n"/>
      <c r="AA350" s="52" t="n"/>
      <c r="AB350" s="52" t="n"/>
      <c r="AC350" s="42" t="inlineStr">
        <is>
          <t>IF(F350="","",IF(COUNT(AI350:AV350)=0,IF(AA350="","Not started",AA350),SUBSTITUTE(LOOKUP(2,1/(AI350:AV350&lt;&gt;""),$AI$3:$AV$3),"Date: ","")))</t>
        </is>
      </c>
      <c r="AD350" s="49" t="inlineStr">
        <is>
          <t>IF(OR(F350="",COUNT(AI350:AV350)=0),"",TODAY()-LOOKUP(2,1/(AI350:AV350&lt;&gt;""),AI350:AV350))</t>
        </is>
      </c>
      <c r="AE350" s="49" t="inlineStr">
        <is>
          <t>IF(OR(F350="",COUNT(AI350:AV350)&lt;2),"",LOOKUP(2,1/(AI350:AV350&lt;&gt;""),AI350:AV350)-MIN(AI350:AV350))</t>
        </is>
      </c>
      <c r="AF350" s="49" t="inlineStr">
        <is>
          <t>IF(OR(AD350="",AC350="Not started",AC350=""),"",IFERROR(AD350-IF(VLOOKUP(AC350,'06_Status_Pipeline'!$B$3:$E$20,4,FALSE)="",0,VLOOKUP(AC350,'06_Status_Pipeline'!$B$3:$E$20,4,FALSE)),""))</t>
        </is>
      </c>
      <c r="AG350" s="42" t="inlineStr">
        <is>
          <t>IF(F350="","",IF(OR(AA350="Cancelled",AC350="Cancelled"),"Cancelled",IF(OR(AC350="Completed / Handover",Y350&lt;&gt;"",Z350&gt;=100),"Completed — on track",IF(O350="Not awarded",IF(U350="",IF(X350="","No planned date",IF(TODAY()&gt;X350,"Behind — past planned date",IF(X350-TODAY()&lt;=30,"At risk — close to off track","On track"))),IF(TODAY()&gt;U350,"Behind — award date passed",IF(U350-TODAY()&lt;=30,"At risk — close to off track","On track"))),IF(X350="","No planned date",IF(AND(TODAY()&gt;X350,OR(Z350="",Z350&lt;100)),"Behind — past end date",IF(AND(T350&lt;&gt;"",X350&lt;&gt;"",Z350&lt;&gt;"",(Z350&lt;100),((TODAY()-T350)/MAX(X350-T350,1)*100)-Z350&gt;15),"Behind — progress lag",IF(AND(X350-TODAY()&lt;=30,X350-TODAY()&gt;=0,OR(Z350="",Z350&lt;90)),"At risk — close to off track","On track"))))))))</t>
        </is>
      </c>
      <c r="AH350" s="49" t="inlineStr">
        <is>
          <t>IF(OR(F350="",AC350="Completed / Handover",AC350="Cancelled"),"",IF(O350="Not awarded",IF(U350&lt;&gt;"",U350-TODAY(),IF(X350="","",X350-TODAY())),IF(X350="","",X350-TODAY())))</t>
        </is>
      </c>
      <c r="AI350" s="54" t="n"/>
      <c r="AJ350" s="54" t="n"/>
      <c r="AK350" s="54" t="n"/>
      <c r="AL350" s="54" t="n"/>
      <c r="AM350" s="54" t="n"/>
      <c r="AN350" s="54" t="n"/>
      <c r="AO350" s="54" t="n"/>
      <c r="AP350" s="54" t="n"/>
      <c r="AQ350" s="54" t="n"/>
      <c r="AR350" s="54" t="n"/>
      <c r="AS350" s="54" t="n"/>
      <c r="AT350" s="50" t="n"/>
      <c r="AU350" s="50" t="n"/>
      <c r="AV350" s="50" t="n"/>
      <c r="AW350" s="49" t="inlineStr">
        <is>
          <t>IF(OR(F350="",AJ350=""),"",IF(COUNT(AI350:AI350)=0,"",AJ350-LOOKUP(2,1/(AI350:AI350&lt;&gt;""),AI350:AI350)))</t>
        </is>
      </c>
      <c r="AX350" s="49" t="inlineStr">
        <is>
          <t>IF(OR(F350="",AK350=""),"",IF(COUNT(AI350:AJ350)=0,"",AK350-LOOKUP(2,1/(AI350:AJ350&lt;&gt;""),AI350:AJ350)))</t>
        </is>
      </c>
      <c r="AY350" s="49" t="inlineStr">
        <is>
          <t>IF(OR(F350="",AL350=""),"",IF(COUNT(AI350:AK350)=0,"",AL350-LOOKUP(2,1/(AI350:AK350&lt;&gt;""),AI350:AK350)))</t>
        </is>
      </c>
      <c r="AZ350" s="49" t="inlineStr">
        <is>
          <t>IF(OR(F350="",AM350=""),"",IF(COUNT(AI350:AL350)=0,"",AM350-LOOKUP(2,1/(AI350:AL350&lt;&gt;""),AI350:AL350)))</t>
        </is>
      </c>
      <c r="BA350" s="49" t="inlineStr">
        <is>
          <t>IF(OR(F350="",AN350=""),"",IF(COUNT(AI350:AM350)=0,"",AN350-LOOKUP(2,1/(AI350:AM350&lt;&gt;""),AI350:AM350)))</t>
        </is>
      </c>
      <c r="BB350" s="49" t="inlineStr">
        <is>
          <t>IF(OR(F350="",AO350=""),"",IF(COUNT(AI350:AN350)=0,"",AO350-LOOKUP(2,1/(AI350:AN350&lt;&gt;""),AI350:AN350)))</t>
        </is>
      </c>
      <c r="BC350" s="49" t="inlineStr">
        <is>
          <t>IF(OR(F350="",AP350=""),"",IF(COUNT(AI350:AO350)=0,"",AP350-LOOKUP(2,1/(AI350:AO350&lt;&gt;""),AI350:AO350)))</t>
        </is>
      </c>
      <c r="BD350" s="49" t="inlineStr">
        <is>
          <t>IF(OR(F350="",AQ350=""),"",IF(COUNT(AI350:AP350)=0,"",AQ350-LOOKUP(2,1/(AI350:AP350&lt;&gt;""),AI350:AP350)))</t>
        </is>
      </c>
      <c r="BE350" s="49" t="inlineStr">
        <is>
          <t>IF(OR(F350="",AR350=""),"",IF(COUNT(AI350:AQ350)=0,"",AR350-LOOKUP(2,1/(AI350:AQ350&lt;&gt;""),AI350:AQ350)))</t>
        </is>
      </c>
      <c r="BF350" s="49" t="inlineStr">
        <is>
          <t>IF(OR(F350="",AS350=""),"",IF(COUNT(AI350:AR350)=0,"",AS350-LOOKUP(2,1/(AI350:AR350&lt;&gt;""),AI350:AR350)))</t>
        </is>
      </c>
      <c r="BG350" s="49" t="inlineStr">
        <is>
          <t>IF(OR(F350="",AT350=""),"",IF(COUNT(AI350:AS350)=0,"",AT350-LOOKUP(2,1/(AI350:AS350&lt;&gt;""),AI350:AS350)))</t>
        </is>
      </c>
      <c r="BH350" s="49" t="inlineStr">
        <is>
          <t>IF(OR(F350="",AU350=""),"",IF(COUNT(AI350:AT350)=0,"",AU350-LOOKUP(2,1/(AI350:AT350&lt;&gt;""),AI350:AT350)))</t>
        </is>
      </c>
      <c r="BI350" s="49" t="inlineStr">
        <is>
          <t>IF(OR(F350="",AV350=""),"",IF(COUNT(AI350:AU350)=0,"",AV350-LOOKUP(2,1/(AI350:AU350&lt;&gt;""),AI350:AU350)))</t>
        </is>
      </c>
      <c r="BJ350" s="51" t="inlineStr">
        <is>
          <t>IF(J350="","All_Provinces",IFERROR(VLOOKUP(J350,'09_Lookups'!$A$4:$B$20,2,FALSE),"All_Provinces"))</t>
        </is>
      </c>
      <c r="BK350" s="51" t="inlineStr">
        <is>
          <t>IF(K350="","All_Districts",IFERROR(VLOOKUP(K350,'09_Lookups'!$E$4:$F$42,2,FALSE),"All_Districts"))</t>
        </is>
      </c>
    </row>
    <row r="351" ht="18" customHeight="1">
      <c r="A351" s="42" t="inlineStr">
        <is>
          <t>IF(F351="","",ROW()-3)</t>
        </is>
      </c>
      <c r="B351" s="44" t="n"/>
      <c r="C351" s="44" t="n"/>
      <c r="D351" s="44" t="n"/>
      <c r="E351" s="44" t="n"/>
      <c r="F351" s="44" t="n"/>
      <c r="G351" s="44" t="n"/>
      <c r="H351" s="44" t="n"/>
      <c r="I351" s="44" t="n"/>
      <c r="J351" s="44" t="n"/>
      <c r="K351" s="44" t="n"/>
      <c r="L351" s="44" t="n"/>
      <c r="M351" s="44" t="n"/>
      <c r="N351" s="44" t="n"/>
      <c r="O351" s="44" t="n"/>
      <c r="P351" s="44" t="n"/>
      <c r="Q351" s="44" t="n"/>
      <c r="R351" s="44" t="n"/>
      <c r="S351" s="45" t="n"/>
      <c r="T351" s="46" t="inlineStr">
        <is>
          <t>IF(AQ351="","",AQ351)</t>
        </is>
      </c>
      <c r="U351" s="47" t="n"/>
      <c r="V351" s="48" t="n"/>
      <c r="W351" s="47" t="n"/>
      <c r="X351" s="46" t="inlineStr">
        <is>
          <t>IF(W351&lt;&gt;"",W351,IF(OR(T351="",V351=""),"",EDATE(T351,V351)))</t>
        </is>
      </c>
      <c r="Y351" s="47" t="n"/>
      <c r="Z351" s="48" t="n"/>
      <c r="AA351" s="44" t="n"/>
      <c r="AB351" s="44" t="n"/>
      <c r="AC351" s="42" t="inlineStr">
        <is>
          <t>IF(F351="","",IF(COUNT(AI351:AV351)=0,IF(AA351="","Not started",AA351),SUBSTITUTE(LOOKUP(2,1/(AI351:AV351&lt;&gt;""),$AI$3:$AV$3),"Date: ","")))</t>
        </is>
      </c>
      <c r="AD351" s="49" t="inlineStr">
        <is>
          <t>IF(OR(F351="",COUNT(AI351:AV351)=0),"",TODAY()-LOOKUP(2,1/(AI351:AV351&lt;&gt;""),AI351:AV351))</t>
        </is>
      </c>
      <c r="AE351" s="49" t="inlineStr">
        <is>
          <t>IF(OR(F351="",COUNT(AI351:AV351)&lt;2),"",LOOKUP(2,1/(AI351:AV351&lt;&gt;""),AI351:AV351)-MIN(AI351:AV351))</t>
        </is>
      </c>
      <c r="AF351" s="49" t="inlineStr">
        <is>
          <t>IF(OR(AD351="",AC351="Not started",AC351=""),"",IFERROR(AD351-IF(VLOOKUP(AC351,'06_Status_Pipeline'!$B$3:$E$20,4,FALSE)="",0,VLOOKUP(AC351,'06_Status_Pipeline'!$B$3:$E$20,4,FALSE)),""))</t>
        </is>
      </c>
      <c r="AG351" s="42" t="inlineStr">
        <is>
          <t>IF(F351="","",IF(OR(AA351="Cancelled",AC351="Cancelled"),"Cancelled",IF(OR(AC351="Completed / Handover",Y351&lt;&gt;"",Z351&gt;=100),"Completed — on track",IF(O351="Not awarded",IF(U351="",IF(X351="","No planned date",IF(TODAY()&gt;X351,"Behind — past planned date",IF(X351-TODAY()&lt;=30,"At risk — close to off track","On track"))),IF(TODAY()&gt;U351,"Behind — award date passed",IF(U351-TODAY()&lt;=30,"At risk — close to off track","On track"))),IF(X351="","No planned date",IF(AND(TODAY()&gt;X351,OR(Z351="",Z351&lt;100)),"Behind — past end date",IF(AND(T351&lt;&gt;"",X351&lt;&gt;"",Z351&lt;&gt;"",(Z351&lt;100),((TODAY()-T351)/MAX(X351-T351,1)*100)-Z351&gt;15),"Behind — progress lag",IF(AND(X351-TODAY()&lt;=30,X351-TODAY()&gt;=0,OR(Z351="",Z351&lt;90)),"At risk — close to off track","On track"))))))))</t>
        </is>
      </c>
      <c r="AH351" s="49" t="inlineStr">
        <is>
          <t>IF(OR(F351="",AC351="Completed / Handover",AC351="Cancelled"),"",IF(O351="Not awarded",IF(U351&lt;&gt;"",U351-TODAY(),IF(X351="","",X351-TODAY())),IF(X351="","",X351-TODAY())))</t>
        </is>
      </c>
      <c r="AI351" s="47" t="n"/>
      <c r="AJ351" s="47" t="n"/>
      <c r="AK351" s="47" t="n"/>
      <c r="AL351" s="47" t="n"/>
      <c r="AM351" s="47" t="n"/>
      <c r="AN351" s="47" t="n"/>
      <c r="AO351" s="47" t="n"/>
      <c r="AP351" s="47" t="n"/>
      <c r="AQ351" s="47" t="n"/>
      <c r="AR351" s="47" t="n"/>
      <c r="AS351" s="47" t="n"/>
      <c r="AT351" s="50" t="n"/>
      <c r="AU351" s="50" t="n"/>
      <c r="AV351" s="50" t="n"/>
      <c r="AW351" s="49" t="inlineStr">
        <is>
          <t>IF(OR(F351="",AJ351=""),"",IF(COUNT(AI351:AI351)=0,"",AJ351-LOOKUP(2,1/(AI351:AI351&lt;&gt;""),AI351:AI351)))</t>
        </is>
      </c>
      <c r="AX351" s="49" t="inlineStr">
        <is>
          <t>IF(OR(F351="",AK351=""),"",IF(COUNT(AI351:AJ351)=0,"",AK351-LOOKUP(2,1/(AI351:AJ351&lt;&gt;""),AI351:AJ351)))</t>
        </is>
      </c>
      <c r="AY351" s="49" t="inlineStr">
        <is>
          <t>IF(OR(F351="",AL351=""),"",IF(COUNT(AI351:AK351)=0,"",AL351-LOOKUP(2,1/(AI351:AK351&lt;&gt;""),AI351:AK351)))</t>
        </is>
      </c>
      <c r="AZ351" s="49" t="inlineStr">
        <is>
          <t>IF(OR(F351="",AM351=""),"",IF(COUNT(AI351:AL351)=0,"",AM351-LOOKUP(2,1/(AI351:AL351&lt;&gt;""),AI351:AL351)))</t>
        </is>
      </c>
      <c r="BA351" s="49" t="inlineStr">
        <is>
          <t>IF(OR(F351="",AN351=""),"",IF(COUNT(AI351:AM351)=0,"",AN351-LOOKUP(2,1/(AI351:AM351&lt;&gt;""),AI351:AM351)))</t>
        </is>
      </c>
      <c r="BB351" s="49" t="inlineStr">
        <is>
          <t>IF(OR(F351="",AO351=""),"",IF(COUNT(AI351:AN351)=0,"",AO351-LOOKUP(2,1/(AI351:AN351&lt;&gt;""),AI351:AN351)))</t>
        </is>
      </c>
      <c r="BC351" s="49" t="inlineStr">
        <is>
          <t>IF(OR(F351="",AP351=""),"",IF(COUNT(AI351:AO351)=0,"",AP351-LOOKUP(2,1/(AI351:AO351&lt;&gt;""),AI351:AO351)))</t>
        </is>
      </c>
      <c r="BD351" s="49" t="inlineStr">
        <is>
          <t>IF(OR(F351="",AQ351=""),"",IF(COUNT(AI351:AP351)=0,"",AQ351-LOOKUP(2,1/(AI351:AP351&lt;&gt;""),AI351:AP351)))</t>
        </is>
      </c>
      <c r="BE351" s="49" t="inlineStr">
        <is>
          <t>IF(OR(F351="",AR351=""),"",IF(COUNT(AI351:AQ351)=0,"",AR351-LOOKUP(2,1/(AI351:AQ351&lt;&gt;""),AI351:AQ351)))</t>
        </is>
      </c>
      <c r="BF351" s="49" t="inlineStr">
        <is>
          <t>IF(OR(F351="",AS351=""),"",IF(COUNT(AI351:AR351)=0,"",AS351-LOOKUP(2,1/(AI351:AR351&lt;&gt;""),AI351:AR351)))</t>
        </is>
      </c>
      <c r="BG351" s="49" t="inlineStr">
        <is>
          <t>IF(OR(F351="",AT351=""),"",IF(COUNT(AI351:AS351)=0,"",AT351-LOOKUP(2,1/(AI351:AS351&lt;&gt;""),AI351:AS351)))</t>
        </is>
      </c>
      <c r="BH351" s="49" t="inlineStr">
        <is>
          <t>IF(OR(F351="",AU351=""),"",IF(COUNT(AI351:AT351)=0,"",AU351-LOOKUP(2,1/(AI351:AT351&lt;&gt;""),AI351:AT351)))</t>
        </is>
      </c>
      <c r="BI351" s="49" t="inlineStr">
        <is>
          <t>IF(OR(F351="",AV351=""),"",IF(COUNT(AI351:AU351)=0,"",AV351-LOOKUP(2,1/(AI351:AU351&lt;&gt;""),AI351:AU351)))</t>
        </is>
      </c>
      <c r="BJ351" s="51" t="inlineStr">
        <is>
          <t>IF(J351="","All_Provinces",IFERROR(VLOOKUP(J351,'09_Lookups'!$A$4:$B$20,2,FALSE),"All_Provinces"))</t>
        </is>
      </c>
      <c r="BK351" s="51" t="inlineStr">
        <is>
          <t>IF(K351="","All_Districts",IFERROR(VLOOKUP(K351,'09_Lookups'!$E$4:$F$42,2,FALSE),"All_Districts"))</t>
        </is>
      </c>
    </row>
    <row r="352" ht="18" customHeight="1">
      <c r="A352" s="42" t="inlineStr">
        <is>
          <t>IF(F352="","",ROW()-3)</t>
        </is>
      </c>
      <c r="B352" s="52" t="n"/>
      <c r="C352" s="52" t="n"/>
      <c r="D352" s="52" t="n"/>
      <c r="E352" s="52" t="n"/>
      <c r="F352" s="52" t="n"/>
      <c r="G352" s="52" t="n"/>
      <c r="H352" s="52" t="n"/>
      <c r="I352" s="52" t="n"/>
      <c r="J352" s="52" t="n"/>
      <c r="K352" s="52" t="n"/>
      <c r="L352" s="52" t="n"/>
      <c r="M352" s="52" t="n"/>
      <c r="N352" s="52" t="n"/>
      <c r="O352" s="52" t="n"/>
      <c r="P352" s="52" t="n"/>
      <c r="Q352" s="52" t="n"/>
      <c r="R352" s="52" t="n"/>
      <c r="S352" s="53" t="n"/>
      <c r="T352" s="46" t="inlineStr">
        <is>
          <t>IF(AQ352="","",AQ352)</t>
        </is>
      </c>
      <c r="U352" s="54" t="n"/>
      <c r="V352" s="55" t="n"/>
      <c r="W352" s="54" t="n"/>
      <c r="X352" s="46" t="inlineStr">
        <is>
          <t>IF(W352&lt;&gt;"",W352,IF(OR(T352="",V352=""),"",EDATE(T352,V352)))</t>
        </is>
      </c>
      <c r="Y352" s="54" t="n"/>
      <c r="Z352" s="55" t="n"/>
      <c r="AA352" s="52" t="n"/>
      <c r="AB352" s="52" t="n"/>
      <c r="AC352" s="42" t="inlineStr">
        <is>
          <t>IF(F352="","",IF(COUNT(AI352:AV352)=0,IF(AA352="","Not started",AA352),SUBSTITUTE(LOOKUP(2,1/(AI352:AV352&lt;&gt;""),$AI$3:$AV$3),"Date: ","")))</t>
        </is>
      </c>
      <c r="AD352" s="49" t="inlineStr">
        <is>
          <t>IF(OR(F352="",COUNT(AI352:AV352)=0),"",TODAY()-LOOKUP(2,1/(AI352:AV352&lt;&gt;""),AI352:AV352))</t>
        </is>
      </c>
      <c r="AE352" s="49" t="inlineStr">
        <is>
          <t>IF(OR(F352="",COUNT(AI352:AV352)&lt;2),"",LOOKUP(2,1/(AI352:AV352&lt;&gt;""),AI352:AV352)-MIN(AI352:AV352))</t>
        </is>
      </c>
      <c r="AF352" s="49" t="inlineStr">
        <is>
          <t>IF(OR(AD352="",AC352="Not started",AC352=""),"",IFERROR(AD352-IF(VLOOKUP(AC352,'06_Status_Pipeline'!$B$3:$E$20,4,FALSE)="",0,VLOOKUP(AC352,'06_Status_Pipeline'!$B$3:$E$20,4,FALSE)),""))</t>
        </is>
      </c>
      <c r="AG352" s="42" t="inlineStr">
        <is>
          <t>IF(F352="","",IF(OR(AA352="Cancelled",AC352="Cancelled"),"Cancelled",IF(OR(AC352="Completed / Handover",Y352&lt;&gt;"",Z352&gt;=100),"Completed — on track",IF(O352="Not awarded",IF(U352="",IF(X352="","No planned date",IF(TODAY()&gt;X352,"Behind — past planned date",IF(X352-TODAY()&lt;=30,"At risk — close to off track","On track"))),IF(TODAY()&gt;U352,"Behind — award date passed",IF(U352-TODAY()&lt;=30,"At risk — close to off track","On track"))),IF(X352="","No planned date",IF(AND(TODAY()&gt;X352,OR(Z352="",Z352&lt;100)),"Behind — past end date",IF(AND(T352&lt;&gt;"",X352&lt;&gt;"",Z352&lt;&gt;"",(Z352&lt;100),((TODAY()-T352)/MAX(X352-T352,1)*100)-Z352&gt;15),"Behind — progress lag",IF(AND(X352-TODAY()&lt;=30,X352-TODAY()&gt;=0,OR(Z352="",Z352&lt;90)),"At risk — close to off track","On track"))))))))</t>
        </is>
      </c>
      <c r="AH352" s="49" t="inlineStr">
        <is>
          <t>IF(OR(F352="",AC352="Completed / Handover",AC352="Cancelled"),"",IF(O352="Not awarded",IF(U352&lt;&gt;"",U352-TODAY(),IF(X352="","",X352-TODAY())),IF(X352="","",X352-TODAY())))</t>
        </is>
      </c>
      <c r="AI352" s="54" t="n"/>
      <c r="AJ352" s="54" t="n"/>
      <c r="AK352" s="54" t="n"/>
      <c r="AL352" s="54" t="n"/>
      <c r="AM352" s="54" t="n"/>
      <c r="AN352" s="54" t="n"/>
      <c r="AO352" s="54" t="n"/>
      <c r="AP352" s="54" t="n"/>
      <c r="AQ352" s="54" t="n"/>
      <c r="AR352" s="54" t="n"/>
      <c r="AS352" s="54" t="n"/>
      <c r="AT352" s="50" t="n"/>
      <c r="AU352" s="50" t="n"/>
      <c r="AV352" s="50" t="n"/>
      <c r="AW352" s="49" t="inlineStr">
        <is>
          <t>IF(OR(F352="",AJ352=""),"",IF(COUNT(AI352:AI352)=0,"",AJ352-LOOKUP(2,1/(AI352:AI352&lt;&gt;""),AI352:AI352)))</t>
        </is>
      </c>
      <c r="AX352" s="49" t="inlineStr">
        <is>
          <t>IF(OR(F352="",AK352=""),"",IF(COUNT(AI352:AJ352)=0,"",AK352-LOOKUP(2,1/(AI352:AJ352&lt;&gt;""),AI352:AJ352)))</t>
        </is>
      </c>
      <c r="AY352" s="49" t="inlineStr">
        <is>
          <t>IF(OR(F352="",AL352=""),"",IF(COUNT(AI352:AK352)=0,"",AL352-LOOKUP(2,1/(AI352:AK352&lt;&gt;""),AI352:AK352)))</t>
        </is>
      </c>
      <c r="AZ352" s="49" t="inlineStr">
        <is>
          <t>IF(OR(F352="",AM352=""),"",IF(COUNT(AI352:AL352)=0,"",AM352-LOOKUP(2,1/(AI352:AL352&lt;&gt;""),AI352:AL352)))</t>
        </is>
      </c>
      <c r="BA352" s="49" t="inlineStr">
        <is>
          <t>IF(OR(F352="",AN352=""),"",IF(COUNT(AI352:AM352)=0,"",AN352-LOOKUP(2,1/(AI352:AM352&lt;&gt;""),AI352:AM352)))</t>
        </is>
      </c>
      <c r="BB352" s="49" t="inlineStr">
        <is>
          <t>IF(OR(F352="",AO352=""),"",IF(COUNT(AI352:AN352)=0,"",AO352-LOOKUP(2,1/(AI352:AN352&lt;&gt;""),AI352:AN352)))</t>
        </is>
      </c>
      <c r="BC352" s="49" t="inlineStr">
        <is>
          <t>IF(OR(F352="",AP352=""),"",IF(COUNT(AI352:AO352)=0,"",AP352-LOOKUP(2,1/(AI352:AO352&lt;&gt;""),AI352:AO352)))</t>
        </is>
      </c>
      <c r="BD352" s="49" t="inlineStr">
        <is>
          <t>IF(OR(F352="",AQ352=""),"",IF(COUNT(AI352:AP352)=0,"",AQ352-LOOKUP(2,1/(AI352:AP352&lt;&gt;""),AI352:AP352)))</t>
        </is>
      </c>
      <c r="BE352" s="49" t="inlineStr">
        <is>
          <t>IF(OR(F352="",AR352=""),"",IF(COUNT(AI352:AQ352)=0,"",AR352-LOOKUP(2,1/(AI352:AQ352&lt;&gt;""),AI352:AQ352)))</t>
        </is>
      </c>
      <c r="BF352" s="49" t="inlineStr">
        <is>
          <t>IF(OR(F352="",AS352=""),"",IF(COUNT(AI352:AR352)=0,"",AS352-LOOKUP(2,1/(AI352:AR352&lt;&gt;""),AI352:AR352)))</t>
        </is>
      </c>
      <c r="BG352" s="49" t="inlineStr">
        <is>
          <t>IF(OR(F352="",AT352=""),"",IF(COUNT(AI352:AS352)=0,"",AT352-LOOKUP(2,1/(AI352:AS352&lt;&gt;""),AI352:AS352)))</t>
        </is>
      </c>
      <c r="BH352" s="49" t="inlineStr">
        <is>
          <t>IF(OR(F352="",AU352=""),"",IF(COUNT(AI352:AT352)=0,"",AU352-LOOKUP(2,1/(AI352:AT352&lt;&gt;""),AI352:AT352)))</t>
        </is>
      </c>
      <c r="BI352" s="49" t="inlineStr">
        <is>
          <t>IF(OR(F352="",AV352=""),"",IF(COUNT(AI352:AU352)=0,"",AV352-LOOKUP(2,1/(AI352:AU352&lt;&gt;""),AI352:AU352)))</t>
        </is>
      </c>
      <c r="BJ352" s="51" t="inlineStr">
        <is>
          <t>IF(J352="","All_Provinces",IFERROR(VLOOKUP(J352,'09_Lookups'!$A$4:$B$20,2,FALSE),"All_Provinces"))</t>
        </is>
      </c>
      <c r="BK352" s="51" t="inlineStr">
        <is>
          <t>IF(K352="","All_Districts",IFERROR(VLOOKUP(K352,'09_Lookups'!$E$4:$F$42,2,FALSE),"All_Districts"))</t>
        </is>
      </c>
    </row>
    <row r="353" ht="18" customHeight="1">
      <c r="A353" s="42" t="inlineStr">
        <is>
          <t>IF(F353="","",ROW()-3)</t>
        </is>
      </c>
      <c r="B353" s="44" t="n"/>
      <c r="C353" s="44" t="n"/>
      <c r="D353" s="44" t="n"/>
      <c r="E353" s="44" t="n"/>
      <c r="F353" s="44" t="n"/>
      <c r="G353" s="44" t="n"/>
      <c r="H353" s="44" t="n"/>
      <c r="I353" s="44" t="n"/>
      <c r="J353" s="44" t="n"/>
      <c r="K353" s="44" t="n"/>
      <c r="L353" s="44" t="n"/>
      <c r="M353" s="44" t="n"/>
      <c r="N353" s="44" t="n"/>
      <c r="O353" s="44" t="n"/>
      <c r="P353" s="44" t="n"/>
      <c r="Q353" s="44" t="n"/>
      <c r="R353" s="44" t="n"/>
      <c r="S353" s="45" t="n"/>
      <c r="T353" s="46" t="inlineStr">
        <is>
          <t>IF(AQ353="","",AQ353)</t>
        </is>
      </c>
      <c r="U353" s="47" t="n"/>
      <c r="V353" s="48" t="n"/>
      <c r="W353" s="47" t="n"/>
      <c r="X353" s="46" t="inlineStr">
        <is>
          <t>IF(W353&lt;&gt;"",W353,IF(OR(T353="",V353=""),"",EDATE(T353,V353)))</t>
        </is>
      </c>
      <c r="Y353" s="47" t="n"/>
      <c r="Z353" s="48" t="n"/>
      <c r="AA353" s="44" t="n"/>
      <c r="AB353" s="44" t="n"/>
      <c r="AC353" s="42" t="inlineStr">
        <is>
          <t>IF(F353="","",IF(COUNT(AI353:AV353)=0,IF(AA353="","Not started",AA353),SUBSTITUTE(LOOKUP(2,1/(AI353:AV353&lt;&gt;""),$AI$3:$AV$3),"Date: ","")))</t>
        </is>
      </c>
      <c r="AD353" s="49" t="inlineStr">
        <is>
          <t>IF(OR(F353="",COUNT(AI353:AV353)=0),"",TODAY()-LOOKUP(2,1/(AI353:AV353&lt;&gt;""),AI353:AV353))</t>
        </is>
      </c>
      <c r="AE353" s="49" t="inlineStr">
        <is>
          <t>IF(OR(F353="",COUNT(AI353:AV353)&lt;2),"",LOOKUP(2,1/(AI353:AV353&lt;&gt;""),AI353:AV353)-MIN(AI353:AV353))</t>
        </is>
      </c>
      <c r="AF353" s="49" t="inlineStr">
        <is>
          <t>IF(OR(AD353="",AC353="Not started",AC353=""),"",IFERROR(AD353-IF(VLOOKUP(AC353,'06_Status_Pipeline'!$B$3:$E$20,4,FALSE)="",0,VLOOKUP(AC353,'06_Status_Pipeline'!$B$3:$E$20,4,FALSE)),""))</t>
        </is>
      </c>
      <c r="AG353" s="42" t="inlineStr">
        <is>
          <t>IF(F353="","",IF(OR(AA353="Cancelled",AC353="Cancelled"),"Cancelled",IF(OR(AC353="Completed / Handover",Y353&lt;&gt;"",Z353&gt;=100),"Completed — on track",IF(O353="Not awarded",IF(U353="",IF(X353="","No planned date",IF(TODAY()&gt;X353,"Behind — past planned date",IF(X353-TODAY()&lt;=30,"At risk — close to off track","On track"))),IF(TODAY()&gt;U353,"Behind — award date passed",IF(U353-TODAY()&lt;=30,"At risk — close to off track","On track"))),IF(X353="","No planned date",IF(AND(TODAY()&gt;X353,OR(Z353="",Z353&lt;100)),"Behind — past end date",IF(AND(T353&lt;&gt;"",X353&lt;&gt;"",Z353&lt;&gt;"",(Z353&lt;100),((TODAY()-T353)/MAX(X353-T353,1)*100)-Z353&gt;15),"Behind — progress lag",IF(AND(X353-TODAY()&lt;=30,X353-TODAY()&gt;=0,OR(Z353="",Z353&lt;90)),"At risk — close to off track","On track"))))))))</t>
        </is>
      </c>
      <c r="AH353" s="49" t="inlineStr">
        <is>
          <t>IF(OR(F353="",AC353="Completed / Handover",AC353="Cancelled"),"",IF(O353="Not awarded",IF(U353&lt;&gt;"",U353-TODAY(),IF(X353="","",X353-TODAY())),IF(X353="","",X353-TODAY())))</t>
        </is>
      </c>
      <c r="AI353" s="47" t="n"/>
      <c r="AJ353" s="47" t="n"/>
      <c r="AK353" s="47" t="n"/>
      <c r="AL353" s="47" t="n"/>
      <c r="AM353" s="47" t="n"/>
      <c r="AN353" s="47" t="n"/>
      <c r="AO353" s="47" t="n"/>
      <c r="AP353" s="47" t="n"/>
      <c r="AQ353" s="47" t="n"/>
      <c r="AR353" s="47" t="n"/>
      <c r="AS353" s="47" t="n"/>
      <c r="AT353" s="50" t="n"/>
      <c r="AU353" s="50" t="n"/>
      <c r="AV353" s="50" t="n"/>
      <c r="AW353" s="49" t="inlineStr">
        <is>
          <t>IF(OR(F353="",AJ353=""),"",IF(COUNT(AI353:AI353)=0,"",AJ353-LOOKUP(2,1/(AI353:AI353&lt;&gt;""),AI353:AI353)))</t>
        </is>
      </c>
      <c r="AX353" s="49" t="inlineStr">
        <is>
          <t>IF(OR(F353="",AK353=""),"",IF(COUNT(AI353:AJ353)=0,"",AK353-LOOKUP(2,1/(AI353:AJ353&lt;&gt;""),AI353:AJ353)))</t>
        </is>
      </c>
      <c r="AY353" s="49" t="inlineStr">
        <is>
          <t>IF(OR(F353="",AL353=""),"",IF(COUNT(AI353:AK353)=0,"",AL353-LOOKUP(2,1/(AI353:AK353&lt;&gt;""),AI353:AK353)))</t>
        </is>
      </c>
      <c r="AZ353" s="49" t="inlineStr">
        <is>
          <t>IF(OR(F353="",AM353=""),"",IF(COUNT(AI353:AL353)=0,"",AM353-LOOKUP(2,1/(AI353:AL353&lt;&gt;""),AI353:AL353)))</t>
        </is>
      </c>
      <c r="BA353" s="49" t="inlineStr">
        <is>
          <t>IF(OR(F353="",AN353=""),"",IF(COUNT(AI353:AM353)=0,"",AN353-LOOKUP(2,1/(AI353:AM353&lt;&gt;""),AI353:AM353)))</t>
        </is>
      </c>
      <c r="BB353" s="49" t="inlineStr">
        <is>
          <t>IF(OR(F353="",AO353=""),"",IF(COUNT(AI353:AN353)=0,"",AO353-LOOKUP(2,1/(AI353:AN353&lt;&gt;""),AI353:AN353)))</t>
        </is>
      </c>
      <c r="BC353" s="49" t="inlineStr">
        <is>
          <t>IF(OR(F353="",AP353=""),"",IF(COUNT(AI353:AO353)=0,"",AP353-LOOKUP(2,1/(AI353:AO353&lt;&gt;""),AI353:AO353)))</t>
        </is>
      </c>
      <c r="BD353" s="49" t="inlineStr">
        <is>
          <t>IF(OR(F353="",AQ353=""),"",IF(COUNT(AI353:AP353)=0,"",AQ353-LOOKUP(2,1/(AI353:AP353&lt;&gt;""),AI353:AP353)))</t>
        </is>
      </c>
      <c r="BE353" s="49" t="inlineStr">
        <is>
          <t>IF(OR(F353="",AR353=""),"",IF(COUNT(AI353:AQ353)=0,"",AR353-LOOKUP(2,1/(AI353:AQ353&lt;&gt;""),AI353:AQ353)))</t>
        </is>
      </c>
      <c r="BF353" s="49" t="inlineStr">
        <is>
          <t>IF(OR(F353="",AS353=""),"",IF(COUNT(AI353:AR353)=0,"",AS353-LOOKUP(2,1/(AI353:AR353&lt;&gt;""),AI353:AR353)))</t>
        </is>
      </c>
      <c r="BG353" s="49" t="inlineStr">
        <is>
          <t>IF(OR(F353="",AT353=""),"",IF(COUNT(AI353:AS353)=0,"",AT353-LOOKUP(2,1/(AI353:AS353&lt;&gt;""),AI353:AS353)))</t>
        </is>
      </c>
      <c r="BH353" s="49" t="inlineStr">
        <is>
          <t>IF(OR(F353="",AU353=""),"",IF(COUNT(AI353:AT353)=0,"",AU353-LOOKUP(2,1/(AI353:AT353&lt;&gt;""),AI353:AT353)))</t>
        </is>
      </c>
      <c r="BI353" s="49" t="inlineStr">
        <is>
          <t>IF(OR(F353="",AV353=""),"",IF(COUNT(AI353:AU353)=0,"",AV353-LOOKUP(2,1/(AI353:AU353&lt;&gt;""),AI353:AU353)))</t>
        </is>
      </c>
      <c r="BJ353" s="51" t="inlineStr">
        <is>
          <t>IF(J353="","All_Provinces",IFERROR(VLOOKUP(J353,'09_Lookups'!$A$4:$B$20,2,FALSE),"All_Provinces"))</t>
        </is>
      </c>
      <c r="BK353" s="51" t="inlineStr">
        <is>
          <t>IF(K353="","All_Districts",IFERROR(VLOOKUP(K353,'09_Lookups'!$E$4:$F$42,2,FALSE),"All_Districts"))</t>
        </is>
      </c>
    </row>
    <row r="354" ht="18" customHeight="1">
      <c r="A354" s="42" t="inlineStr">
        <is>
          <t>IF(F354="","",ROW()-3)</t>
        </is>
      </c>
      <c r="B354" s="52" t="n"/>
      <c r="C354" s="52" t="n"/>
      <c r="D354" s="52" t="n"/>
      <c r="E354" s="52" t="n"/>
      <c r="F354" s="52" t="n"/>
      <c r="G354" s="52" t="n"/>
      <c r="H354" s="52" t="n"/>
      <c r="I354" s="52" t="n"/>
      <c r="J354" s="52" t="n"/>
      <c r="K354" s="52" t="n"/>
      <c r="L354" s="52" t="n"/>
      <c r="M354" s="52" t="n"/>
      <c r="N354" s="52" t="n"/>
      <c r="O354" s="52" t="n"/>
      <c r="P354" s="52" t="n"/>
      <c r="Q354" s="52" t="n"/>
      <c r="R354" s="52" t="n"/>
      <c r="S354" s="53" t="n"/>
      <c r="T354" s="46" t="inlineStr">
        <is>
          <t>IF(AQ354="","",AQ354)</t>
        </is>
      </c>
      <c r="U354" s="54" t="n"/>
      <c r="V354" s="55" t="n"/>
      <c r="W354" s="54" t="n"/>
      <c r="X354" s="46" t="inlineStr">
        <is>
          <t>IF(W354&lt;&gt;"",W354,IF(OR(T354="",V354=""),"",EDATE(T354,V354)))</t>
        </is>
      </c>
      <c r="Y354" s="54" t="n"/>
      <c r="Z354" s="55" t="n"/>
      <c r="AA354" s="52" t="n"/>
      <c r="AB354" s="52" t="n"/>
      <c r="AC354" s="42" t="inlineStr">
        <is>
          <t>IF(F354="","",IF(COUNT(AI354:AV354)=0,IF(AA354="","Not started",AA354),SUBSTITUTE(LOOKUP(2,1/(AI354:AV354&lt;&gt;""),$AI$3:$AV$3),"Date: ","")))</t>
        </is>
      </c>
      <c r="AD354" s="49" t="inlineStr">
        <is>
          <t>IF(OR(F354="",COUNT(AI354:AV354)=0),"",TODAY()-LOOKUP(2,1/(AI354:AV354&lt;&gt;""),AI354:AV354))</t>
        </is>
      </c>
      <c r="AE354" s="49" t="inlineStr">
        <is>
          <t>IF(OR(F354="",COUNT(AI354:AV354)&lt;2),"",LOOKUP(2,1/(AI354:AV354&lt;&gt;""),AI354:AV354)-MIN(AI354:AV354))</t>
        </is>
      </c>
      <c r="AF354" s="49" t="inlineStr">
        <is>
          <t>IF(OR(AD354="",AC354="Not started",AC354=""),"",IFERROR(AD354-IF(VLOOKUP(AC354,'06_Status_Pipeline'!$B$3:$E$20,4,FALSE)="",0,VLOOKUP(AC354,'06_Status_Pipeline'!$B$3:$E$20,4,FALSE)),""))</t>
        </is>
      </c>
      <c r="AG354" s="42" t="inlineStr">
        <is>
          <t>IF(F354="","",IF(OR(AA354="Cancelled",AC354="Cancelled"),"Cancelled",IF(OR(AC354="Completed / Handover",Y354&lt;&gt;"",Z354&gt;=100),"Completed — on track",IF(O354="Not awarded",IF(U354="",IF(X354="","No planned date",IF(TODAY()&gt;X354,"Behind — past planned date",IF(X354-TODAY()&lt;=30,"At risk — close to off track","On track"))),IF(TODAY()&gt;U354,"Behind — award date passed",IF(U354-TODAY()&lt;=30,"At risk — close to off track","On track"))),IF(X354="","No planned date",IF(AND(TODAY()&gt;X354,OR(Z354="",Z354&lt;100)),"Behind — past end date",IF(AND(T354&lt;&gt;"",X354&lt;&gt;"",Z354&lt;&gt;"",(Z354&lt;100),((TODAY()-T354)/MAX(X354-T354,1)*100)-Z354&gt;15),"Behind — progress lag",IF(AND(X354-TODAY()&lt;=30,X354-TODAY()&gt;=0,OR(Z354="",Z354&lt;90)),"At risk — close to off track","On track"))))))))</t>
        </is>
      </c>
      <c r="AH354" s="49" t="inlineStr">
        <is>
          <t>IF(OR(F354="",AC354="Completed / Handover",AC354="Cancelled"),"",IF(O354="Not awarded",IF(U354&lt;&gt;"",U354-TODAY(),IF(X354="","",X354-TODAY())),IF(X354="","",X354-TODAY())))</t>
        </is>
      </c>
      <c r="AI354" s="54" t="n"/>
      <c r="AJ354" s="54" t="n"/>
      <c r="AK354" s="54" t="n"/>
      <c r="AL354" s="54" t="n"/>
      <c r="AM354" s="54" t="n"/>
      <c r="AN354" s="54" t="n"/>
      <c r="AO354" s="54" t="n"/>
      <c r="AP354" s="54" t="n"/>
      <c r="AQ354" s="54" t="n"/>
      <c r="AR354" s="54" t="n"/>
      <c r="AS354" s="54" t="n"/>
      <c r="AT354" s="50" t="n"/>
      <c r="AU354" s="50" t="n"/>
      <c r="AV354" s="50" t="n"/>
      <c r="AW354" s="49" t="inlineStr">
        <is>
          <t>IF(OR(F354="",AJ354=""),"",IF(COUNT(AI354:AI354)=0,"",AJ354-LOOKUP(2,1/(AI354:AI354&lt;&gt;""),AI354:AI354)))</t>
        </is>
      </c>
      <c r="AX354" s="49" t="inlineStr">
        <is>
          <t>IF(OR(F354="",AK354=""),"",IF(COUNT(AI354:AJ354)=0,"",AK354-LOOKUP(2,1/(AI354:AJ354&lt;&gt;""),AI354:AJ354)))</t>
        </is>
      </c>
      <c r="AY354" s="49" t="inlineStr">
        <is>
          <t>IF(OR(F354="",AL354=""),"",IF(COUNT(AI354:AK354)=0,"",AL354-LOOKUP(2,1/(AI354:AK354&lt;&gt;""),AI354:AK354)))</t>
        </is>
      </c>
      <c r="AZ354" s="49" t="inlineStr">
        <is>
          <t>IF(OR(F354="",AM354=""),"",IF(COUNT(AI354:AL354)=0,"",AM354-LOOKUP(2,1/(AI354:AL354&lt;&gt;""),AI354:AL354)))</t>
        </is>
      </c>
      <c r="BA354" s="49" t="inlineStr">
        <is>
          <t>IF(OR(F354="",AN354=""),"",IF(COUNT(AI354:AM354)=0,"",AN354-LOOKUP(2,1/(AI354:AM354&lt;&gt;""),AI354:AM354)))</t>
        </is>
      </c>
      <c r="BB354" s="49" t="inlineStr">
        <is>
          <t>IF(OR(F354="",AO354=""),"",IF(COUNT(AI354:AN354)=0,"",AO354-LOOKUP(2,1/(AI354:AN354&lt;&gt;""),AI354:AN354)))</t>
        </is>
      </c>
      <c r="BC354" s="49" t="inlineStr">
        <is>
          <t>IF(OR(F354="",AP354=""),"",IF(COUNT(AI354:AO354)=0,"",AP354-LOOKUP(2,1/(AI354:AO354&lt;&gt;""),AI354:AO354)))</t>
        </is>
      </c>
      <c r="BD354" s="49" t="inlineStr">
        <is>
          <t>IF(OR(F354="",AQ354=""),"",IF(COUNT(AI354:AP354)=0,"",AQ354-LOOKUP(2,1/(AI354:AP354&lt;&gt;""),AI354:AP354)))</t>
        </is>
      </c>
      <c r="BE354" s="49" t="inlineStr">
        <is>
          <t>IF(OR(F354="",AR354=""),"",IF(COUNT(AI354:AQ354)=0,"",AR354-LOOKUP(2,1/(AI354:AQ354&lt;&gt;""),AI354:AQ354)))</t>
        </is>
      </c>
      <c r="BF354" s="49" t="inlineStr">
        <is>
          <t>IF(OR(F354="",AS354=""),"",IF(COUNT(AI354:AR354)=0,"",AS354-LOOKUP(2,1/(AI354:AR354&lt;&gt;""),AI354:AR354)))</t>
        </is>
      </c>
      <c r="BG354" s="49" t="inlineStr">
        <is>
          <t>IF(OR(F354="",AT354=""),"",IF(COUNT(AI354:AS354)=0,"",AT354-LOOKUP(2,1/(AI354:AS354&lt;&gt;""),AI354:AS354)))</t>
        </is>
      </c>
      <c r="BH354" s="49" t="inlineStr">
        <is>
          <t>IF(OR(F354="",AU354=""),"",IF(COUNT(AI354:AT354)=0,"",AU354-LOOKUP(2,1/(AI354:AT354&lt;&gt;""),AI354:AT354)))</t>
        </is>
      </c>
      <c r="BI354" s="49" t="inlineStr">
        <is>
          <t>IF(OR(F354="",AV354=""),"",IF(COUNT(AI354:AU354)=0,"",AV354-LOOKUP(2,1/(AI354:AU354&lt;&gt;""),AI354:AU354)))</t>
        </is>
      </c>
      <c r="BJ354" s="51" t="inlineStr">
        <is>
          <t>IF(J354="","All_Provinces",IFERROR(VLOOKUP(J354,'09_Lookups'!$A$4:$B$20,2,FALSE),"All_Provinces"))</t>
        </is>
      </c>
      <c r="BK354" s="51" t="inlineStr">
        <is>
          <t>IF(K354="","All_Districts",IFERROR(VLOOKUP(K354,'09_Lookups'!$E$4:$F$42,2,FALSE),"All_Districts"))</t>
        </is>
      </c>
    </row>
    <row r="355" ht="18" customHeight="1">
      <c r="A355" s="42" t="inlineStr">
        <is>
          <t>IF(F355="","",ROW()-3)</t>
        </is>
      </c>
      <c r="B355" s="44" t="n"/>
      <c r="C355" s="44" t="n"/>
      <c r="D355" s="44" t="n"/>
      <c r="E355" s="44" t="n"/>
      <c r="F355" s="44" t="n"/>
      <c r="G355" s="44" t="n"/>
      <c r="H355" s="44" t="n"/>
      <c r="I355" s="44" t="n"/>
      <c r="J355" s="44" t="n"/>
      <c r="K355" s="44" t="n"/>
      <c r="L355" s="44" t="n"/>
      <c r="M355" s="44" t="n"/>
      <c r="N355" s="44" t="n"/>
      <c r="O355" s="44" t="n"/>
      <c r="P355" s="44" t="n"/>
      <c r="Q355" s="44" t="n"/>
      <c r="R355" s="44" t="n"/>
      <c r="S355" s="45" t="n"/>
      <c r="T355" s="46" t="inlineStr">
        <is>
          <t>IF(AQ355="","",AQ355)</t>
        </is>
      </c>
      <c r="U355" s="47" t="n"/>
      <c r="V355" s="48" t="n"/>
      <c r="W355" s="47" t="n"/>
      <c r="X355" s="46" t="inlineStr">
        <is>
          <t>IF(W355&lt;&gt;"",W355,IF(OR(T355="",V355=""),"",EDATE(T355,V355)))</t>
        </is>
      </c>
      <c r="Y355" s="47" t="n"/>
      <c r="Z355" s="48" t="n"/>
      <c r="AA355" s="44" t="n"/>
      <c r="AB355" s="44" t="n"/>
      <c r="AC355" s="42" t="inlineStr">
        <is>
          <t>IF(F355="","",IF(COUNT(AI355:AV355)=0,IF(AA355="","Not started",AA355),SUBSTITUTE(LOOKUP(2,1/(AI355:AV355&lt;&gt;""),$AI$3:$AV$3),"Date: ","")))</t>
        </is>
      </c>
      <c r="AD355" s="49" t="inlineStr">
        <is>
          <t>IF(OR(F355="",COUNT(AI355:AV355)=0),"",TODAY()-LOOKUP(2,1/(AI355:AV355&lt;&gt;""),AI355:AV355))</t>
        </is>
      </c>
      <c r="AE355" s="49" t="inlineStr">
        <is>
          <t>IF(OR(F355="",COUNT(AI355:AV355)&lt;2),"",LOOKUP(2,1/(AI355:AV355&lt;&gt;""),AI355:AV355)-MIN(AI355:AV355))</t>
        </is>
      </c>
      <c r="AF355" s="49" t="inlineStr">
        <is>
          <t>IF(OR(AD355="",AC355="Not started",AC355=""),"",IFERROR(AD355-IF(VLOOKUP(AC355,'06_Status_Pipeline'!$B$3:$E$20,4,FALSE)="",0,VLOOKUP(AC355,'06_Status_Pipeline'!$B$3:$E$20,4,FALSE)),""))</t>
        </is>
      </c>
      <c r="AG355" s="42" t="inlineStr">
        <is>
          <t>IF(F355="","",IF(OR(AA355="Cancelled",AC355="Cancelled"),"Cancelled",IF(OR(AC355="Completed / Handover",Y355&lt;&gt;"",Z355&gt;=100),"Completed — on track",IF(O355="Not awarded",IF(U355="",IF(X355="","No planned date",IF(TODAY()&gt;X355,"Behind — past planned date",IF(X355-TODAY()&lt;=30,"At risk — close to off track","On track"))),IF(TODAY()&gt;U355,"Behind — award date passed",IF(U355-TODAY()&lt;=30,"At risk — close to off track","On track"))),IF(X355="","No planned date",IF(AND(TODAY()&gt;X355,OR(Z355="",Z355&lt;100)),"Behind — past end date",IF(AND(T355&lt;&gt;"",X355&lt;&gt;"",Z355&lt;&gt;"",(Z355&lt;100),((TODAY()-T355)/MAX(X355-T355,1)*100)-Z355&gt;15),"Behind — progress lag",IF(AND(X355-TODAY()&lt;=30,X355-TODAY()&gt;=0,OR(Z355="",Z355&lt;90)),"At risk — close to off track","On track"))))))))</t>
        </is>
      </c>
      <c r="AH355" s="49" t="inlineStr">
        <is>
          <t>IF(OR(F355="",AC355="Completed / Handover",AC355="Cancelled"),"",IF(O355="Not awarded",IF(U355&lt;&gt;"",U355-TODAY(),IF(X355="","",X355-TODAY())),IF(X355="","",X355-TODAY())))</t>
        </is>
      </c>
      <c r="AI355" s="47" t="n"/>
      <c r="AJ355" s="47" t="n"/>
      <c r="AK355" s="47" t="n"/>
      <c r="AL355" s="47" t="n"/>
      <c r="AM355" s="47" t="n"/>
      <c r="AN355" s="47" t="n"/>
      <c r="AO355" s="47" t="n"/>
      <c r="AP355" s="47" t="n"/>
      <c r="AQ355" s="47" t="n"/>
      <c r="AR355" s="47" t="n"/>
      <c r="AS355" s="47" t="n"/>
      <c r="AT355" s="50" t="n"/>
      <c r="AU355" s="50" t="n"/>
      <c r="AV355" s="50" t="n"/>
      <c r="AW355" s="49" t="inlineStr">
        <is>
          <t>IF(OR(F355="",AJ355=""),"",IF(COUNT(AI355:AI355)=0,"",AJ355-LOOKUP(2,1/(AI355:AI355&lt;&gt;""),AI355:AI355)))</t>
        </is>
      </c>
      <c r="AX355" s="49" t="inlineStr">
        <is>
          <t>IF(OR(F355="",AK355=""),"",IF(COUNT(AI355:AJ355)=0,"",AK355-LOOKUP(2,1/(AI355:AJ355&lt;&gt;""),AI355:AJ355)))</t>
        </is>
      </c>
      <c r="AY355" s="49" t="inlineStr">
        <is>
          <t>IF(OR(F355="",AL355=""),"",IF(COUNT(AI355:AK355)=0,"",AL355-LOOKUP(2,1/(AI355:AK355&lt;&gt;""),AI355:AK355)))</t>
        </is>
      </c>
      <c r="AZ355" s="49" t="inlineStr">
        <is>
          <t>IF(OR(F355="",AM355=""),"",IF(COUNT(AI355:AL355)=0,"",AM355-LOOKUP(2,1/(AI355:AL355&lt;&gt;""),AI355:AL355)))</t>
        </is>
      </c>
      <c r="BA355" s="49" t="inlineStr">
        <is>
          <t>IF(OR(F355="",AN355=""),"",IF(COUNT(AI355:AM355)=0,"",AN355-LOOKUP(2,1/(AI355:AM355&lt;&gt;""),AI355:AM355)))</t>
        </is>
      </c>
      <c r="BB355" s="49" t="inlineStr">
        <is>
          <t>IF(OR(F355="",AO355=""),"",IF(COUNT(AI355:AN355)=0,"",AO355-LOOKUP(2,1/(AI355:AN355&lt;&gt;""),AI355:AN355)))</t>
        </is>
      </c>
      <c r="BC355" s="49" t="inlineStr">
        <is>
          <t>IF(OR(F355="",AP355=""),"",IF(COUNT(AI355:AO355)=0,"",AP355-LOOKUP(2,1/(AI355:AO355&lt;&gt;""),AI355:AO355)))</t>
        </is>
      </c>
      <c r="BD355" s="49" t="inlineStr">
        <is>
          <t>IF(OR(F355="",AQ355=""),"",IF(COUNT(AI355:AP355)=0,"",AQ355-LOOKUP(2,1/(AI355:AP355&lt;&gt;""),AI355:AP355)))</t>
        </is>
      </c>
      <c r="BE355" s="49" t="inlineStr">
        <is>
          <t>IF(OR(F355="",AR355=""),"",IF(COUNT(AI355:AQ355)=0,"",AR355-LOOKUP(2,1/(AI355:AQ355&lt;&gt;""),AI355:AQ355)))</t>
        </is>
      </c>
      <c r="BF355" s="49" t="inlineStr">
        <is>
          <t>IF(OR(F355="",AS355=""),"",IF(COUNT(AI355:AR355)=0,"",AS355-LOOKUP(2,1/(AI355:AR355&lt;&gt;""),AI355:AR355)))</t>
        </is>
      </c>
      <c r="BG355" s="49" t="inlineStr">
        <is>
          <t>IF(OR(F355="",AT355=""),"",IF(COUNT(AI355:AS355)=0,"",AT355-LOOKUP(2,1/(AI355:AS355&lt;&gt;""),AI355:AS355)))</t>
        </is>
      </c>
      <c r="BH355" s="49" t="inlineStr">
        <is>
          <t>IF(OR(F355="",AU355=""),"",IF(COUNT(AI355:AT355)=0,"",AU355-LOOKUP(2,1/(AI355:AT355&lt;&gt;""),AI355:AT355)))</t>
        </is>
      </c>
      <c r="BI355" s="49" t="inlineStr">
        <is>
          <t>IF(OR(F355="",AV355=""),"",IF(COUNT(AI355:AU355)=0,"",AV355-LOOKUP(2,1/(AI355:AU355&lt;&gt;""),AI355:AU355)))</t>
        </is>
      </c>
      <c r="BJ355" s="51" t="inlineStr">
        <is>
          <t>IF(J355="","All_Provinces",IFERROR(VLOOKUP(J355,'09_Lookups'!$A$4:$B$20,2,FALSE),"All_Provinces"))</t>
        </is>
      </c>
      <c r="BK355" s="51" t="inlineStr">
        <is>
          <t>IF(K355="","All_Districts",IFERROR(VLOOKUP(K355,'09_Lookups'!$E$4:$F$42,2,FALSE),"All_Districts"))</t>
        </is>
      </c>
    </row>
    <row r="356" ht="18" customHeight="1">
      <c r="A356" s="42" t="inlineStr">
        <is>
          <t>IF(F356="","",ROW()-3)</t>
        </is>
      </c>
      <c r="B356" s="52" t="n"/>
      <c r="C356" s="52" t="n"/>
      <c r="D356" s="52" t="n"/>
      <c r="E356" s="52" t="n"/>
      <c r="F356" s="52" t="n"/>
      <c r="G356" s="52" t="n"/>
      <c r="H356" s="52" t="n"/>
      <c r="I356" s="52" t="n"/>
      <c r="J356" s="52" t="n"/>
      <c r="K356" s="52" t="n"/>
      <c r="L356" s="52" t="n"/>
      <c r="M356" s="52" t="n"/>
      <c r="N356" s="52" t="n"/>
      <c r="O356" s="52" t="n"/>
      <c r="P356" s="52" t="n"/>
      <c r="Q356" s="52" t="n"/>
      <c r="R356" s="52" t="n"/>
      <c r="S356" s="53" t="n"/>
      <c r="T356" s="46" t="inlineStr">
        <is>
          <t>IF(AQ356="","",AQ356)</t>
        </is>
      </c>
      <c r="U356" s="54" t="n"/>
      <c r="V356" s="55" t="n"/>
      <c r="W356" s="54" t="n"/>
      <c r="X356" s="46" t="inlineStr">
        <is>
          <t>IF(W356&lt;&gt;"",W356,IF(OR(T356="",V356=""),"",EDATE(T356,V356)))</t>
        </is>
      </c>
      <c r="Y356" s="54" t="n"/>
      <c r="Z356" s="55" t="n"/>
      <c r="AA356" s="52" t="n"/>
      <c r="AB356" s="52" t="n"/>
      <c r="AC356" s="42" t="inlineStr">
        <is>
          <t>IF(F356="","",IF(COUNT(AI356:AV356)=0,IF(AA356="","Not started",AA356),SUBSTITUTE(LOOKUP(2,1/(AI356:AV356&lt;&gt;""),$AI$3:$AV$3),"Date: ","")))</t>
        </is>
      </c>
      <c r="AD356" s="49" t="inlineStr">
        <is>
          <t>IF(OR(F356="",COUNT(AI356:AV356)=0),"",TODAY()-LOOKUP(2,1/(AI356:AV356&lt;&gt;""),AI356:AV356))</t>
        </is>
      </c>
      <c r="AE356" s="49" t="inlineStr">
        <is>
          <t>IF(OR(F356="",COUNT(AI356:AV356)&lt;2),"",LOOKUP(2,1/(AI356:AV356&lt;&gt;""),AI356:AV356)-MIN(AI356:AV356))</t>
        </is>
      </c>
      <c r="AF356" s="49" t="inlineStr">
        <is>
          <t>IF(OR(AD356="",AC356="Not started",AC356=""),"",IFERROR(AD356-IF(VLOOKUP(AC356,'06_Status_Pipeline'!$B$3:$E$20,4,FALSE)="",0,VLOOKUP(AC356,'06_Status_Pipeline'!$B$3:$E$20,4,FALSE)),""))</t>
        </is>
      </c>
      <c r="AG356" s="42" t="inlineStr">
        <is>
          <t>IF(F356="","",IF(OR(AA356="Cancelled",AC356="Cancelled"),"Cancelled",IF(OR(AC356="Completed / Handover",Y356&lt;&gt;"",Z356&gt;=100),"Completed — on track",IF(O356="Not awarded",IF(U356="",IF(X356="","No planned date",IF(TODAY()&gt;X356,"Behind — past planned date",IF(X356-TODAY()&lt;=30,"At risk — close to off track","On track"))),IF(TODAY()&gt;U356,"Behind — award date passed",IF(U356-TODAY()&lt;=30,"At risk — close to off track","On track"))),IF(X356="","No planned date",IF(AND(TODAY()&gt;X356,OR(Z356="",Z356&lt;100)),"Behind — past end date",IF(AND(T356&lt;&gt;"",X356&lt;&gt;"",Z356&lt;&gt;"",(Z356&lt;100),((TODAY()-T356)/MAX(X356-T356,1)*100)-Z356&gt;15),"Behind — progress lag",IF(AND(X356-TODAY()&lt;=30,X356-TODAY()&gt;=0,OR(Z356="",Z356&lt;90)),"At risk — close to off track","On track"))))))))</t>
        </is>
      </c>
      <c r="AH356" s="49" t="inlineStr">
        <is>
          <t>IF(OR(F356="",AC356="Completed / Handover",AC356="Cancelled"),"",IF(O356="Not awarded",IF(U356&lt;&gt;"",U356-TODAY(),IF(X356="","",X356-TODAY())),IF(X356="","",X356-TODAY())))</t>
        </is>
      </c>
      <c r="AI356" s="54" t="n"/>
      <c r="AJ356" s="54" t="n"/>
      <c r="AK356" s="54" t="n"/>
      <c r="AL356" s="54" t="n"/>
      <c r="AM356" s="54" t="n"/>
      <c r="AN356" s="54" t="n"/>
      <c r="AO356" s="54" t="n"/>
      <c r="AP356" s="54" t="n"/>
      <c r="AQ356" s="54" t="n"/>
      <c r="AR356" s="54" t="n"/>
      <c r="AS356" s="54" t="n"/>
      <c r="AT356" s="50" t="n"/>
      <c r="AU356" s="50" t="n"/>
      <c r="AV356" s="50" t="n"/>
      <c r="AW356" s="49" t="inlineStr">
        <is>
          <t>IF(OR(F356="",AJ356=""),"",IF(COUNT(AI356:AI356)=0,"",AJ356-LOOKUP(2,1/(AI356:AI356&lt;&gt;""),AI356:AI356)))</t>
        </is>
      </c>
      <c r="AX356" s="49" t="inlineStr">
        <is>
          <t>IF(OR(F356="",AK356=""),"",IF(COUNT(AI356:AJ356)=0,"",AK356-LOOKUP(2,1/(AI356:AJ356&lt;&gt;""),AI356:AJ356)))</t>
        </is>
      </c>
      <c r="AY356" s="49" t="inlineStr">
        <is>
          <t>IF(OR(F356="",AL356=""),"",IF(COUNT(AI356:AK356)=0,"",AL356-LOOKUP(2,1/(AI356:AK356&lt;&gt;""),AI356:AK356)))</t>
        </is>
      </c>
      <c r="AZ356" s="49" t="inlineStr">
        <is>
          <t>IF(OR(F356="",AM356=""),"",IF(COUNT(AI356:AL356)=0,"",AM356-LOOKUP(2,1/(AI356:AL356&lt;&gt;""),AI356:AL356)))</t>
        </is>
      </c>
      <c r="BA356" s="49" t="inlineStr">
        <is>
          <t>IF(OR(F356="",AN356=""),"",IF(COUNT(AI356:AM356)=0,"",AN356-LOOKUP(2,1/(AI356:AM356&lt;&gt;""),AI356:AM356)))</t>
        </is>
      </c>
      <c r="BB356" s="49" t="inlineStr">
        <is>
          <t>IF(OR(F356="",AO356=""),"",IF(COUNT(AI356:AN356)=0,"",AO356-LOOKUP(2,1/(AI356:AN356&lt;&gt;""),AI356:AN356)))</t>
        </is>
      </c>
      <c r="BC356" s="49" t="inlineStr">
        <is>
          <t>IF(OR(F356="",AP356=""),"",IF(COUNT(AI356:AO356)=0,"",AP356-LOOKUP(2,1/(AI356:AO356&lt;&gt;""),AI356:AO356)))</t>
        </is>
      </c>
      <c r="BD356" s="49" t="inlineStr">
        <is>
          <t>IF(OR(F356="",AQ356=""),"",IF(COUNT(AI356:AP356)=0,"",AQ356-LOOKUP(2,1/(AI356:AP356&lt;&gt;""),AI356:AP356)))</t>
        </is>
      </c>
      <c r="BE356" s="49" t="inlineStr">
        <is>
          <t>IF(OR(F356="",AR356=""),"",IF(COUNT(AI356:AQ356)=0,"",AR356-LOOKUP(2,1/(AI356:AQ356&lt;&gt;""),AI356:AQ356)))</t>
        </is>
      </c>
      <c r="BF356" s="49" t="inlineStr">
        <is>
          <t>IF(OR(F356="",AS356=""),"",IF(COUNT(AI356:AR356)=0,"",AS356-LOOKUP(2,1/(AI356:AR356&lt;&gt;""),AI356:AR356)))</t>
        </is>
      </c>
      <c r="BG356" s="49" t="inlineStr">
        <is>
          <t>IF(OR(F356="",AT356=""),"",IF(COUNT(AI356:AS356)=0,"",AT356-LOOKUP(2,1/(AI356:AS356&lt;&gt;""),AI356:AS356)))</t>
        </is>
      </c>
      <c r="BH356" s="49" t="inlineStr">
        <is>
          <t>IF(OR(F356="",AU356=""),"",IF(COUNT(AI356:AT356)=0,"",AU356-LOOKUP(2,1/(AI356:AT356&lt;&gt;""),AI356:AT356)))</t>
        </is>
      </c>
      <c r="BI356" s="49" t="inlineStr">
        <is>
          <t>IF(OR(F356="",AV356=""),"",IF(COUNT(AI356:AU356)=0,"",AV356-LOOKUP(2,1/(AI356:AU356&lt;&gt;""),AI356:AU356)))</t>
        </is>
      </c>
      <c r="BJ356" s="51" t="inlineStr">
        <is>
          <t>IF(J356="","All_Provinces",IFERROR(VLOOKUP(J356,'09_Lookups'!$A$4:$B$20,2,FALSE),"All_Provinces"))</t>
        </is>
      </c>
      <c r="BK356" s="51" t="inlineStr">
        <is>
          <t>IF(K356="","All_Districts",IFERROR(VLOOKUP(K356,'09_Lookups'!$E$4:$F$42,2,FALSE),"All_Districts"))</t>
        </is>
      </c>
    </row>
    <row r="357" ht="18" customHeight="1">
      <c r="A357" s="42" t="inlineStr">
        <is>
          <t>IF(F357="","",ROW()-3)</t>
        </is>
      </c>
      <c r="B357" s="44" t="n"/>
      <c r="C357" s="44" t="n"/>
      <c r="D357" s="44" t="n"/>
      <c r="E357" s="44" t="n"/>
      <c r="F357" s="44" t="n"/>
      <c r="G357" s="44" t="n"/>
      <c r="H357" s="44" t="n"/>
      <c r="I357" s="44" t="n"/>
      <c r="J357" s="44" t="n"/>
      <c r="K357" s="44" t="n"/>
      <c r="L357" s="44" t="n"/>
      <c r="M357" s="44" t="n"/>
      <c r="N357" s="44" t="n"/>
      <c r="O357" s="44" t="n"/>
      <c r="P357" s="44" t="n"/>
      <c r="Q357" s="44" t="n"/>
      <c r="R357" s="44" t="n"/>
      <c r="S357" s="45" t="n"/>
      <c r="T357" s="46" t="inlineStr">
        <is>
          <t>IF(AQ357="","",AQ357)</t>
        </is>
      </c>
      <c r="U357" s="47" t="n"/>
      <c r="V357" s="48" t="n"/>
      <c r="W357" s="47" t="n"/>
      <c r="X357" s="46" t="inlineStr">
        <is>
          <t>IF(W357&lt;&gt;"",W357,IF(OR(T357="",V357=""),"",EDATE(T357,V357)))</t>
        </is>
      </c>
      <c r="Y357" s="47" t="n"/>
      <c r="Z357" s="48" t="n"/>
      <c r="AA357" s="44" t="n"/>
      <c r="AB357" s="44" t="n"/>
      <c r="AC357" s="42" t="inlineStr">
        <is>
          <t>IF(F357="","",IF(COUNT(AI357:AV357)=0,IF(AA357="","Not started",AA357),SUBSTITUTE(LOOKUP(2,1/(AI357:AV357&lt;&gt;""),$AI$3:$AV$3),"Date: ","")))</t>
        </is>
      </c>
      <c r="AD357" s="49" t="inlineStr">
        <is>
          <t>IF(OR(F357="",COUNT(AI357:AV357)=0),"",TODAY()-LOOKUP(2,1/(AI357:AV357&lt;&gt;""),AI357:AV357))</t>
        </is>
      </c>
      <c r="AE357" s="49" t="inlineStr">
        <is>
          <t>IF(OR(F357="",COUNT(AI357:AV357)&lt;2),"",LOOKUP(2,1/(AI357:AV357&lt;&gt;""),AI357:AV357)-MIN(AI357:AV357))</t>
        </is>
      </c>
      <c r="AF357" s="49" t="inlineStr">
        <is>
          <t>IF(OR(AD357="",AC357="Not started",AC357=""),"",IFERROR(AD357-IF(VLOOKUP(AC357,'06_Status_Pipeline'!$B$3:$E$20,4,FALSE)="",0,VLOOKUP(AC357,'06_Status_Pipeline'!$B$3:$E$20,4,FALSE)),""))</t>
        </is>
      </c>
      <c r="AG357" s="42" t="inlineStr">
        <is>
          <t>IF(F357="","",IF(OR(AA357="Cancelled",AC357="Cancelled"),"Cancelled",IF(OR(AC357="Completed / Handover",Y357&lt;&gt;"",Z357&gt;=100),"Completed — on track",IF(O357="Not awarded",IF(U357="",IF(X357="","No planned date",IF(TODAY()&gt;X357,"Behind — past planned date",IF(X357-TODAY()&lt;=30,"At risk — close to off track","On track"))),IF(TODAY()&gt;U357,"Behind — award date passed",IF(U357-TODAY()&lt;=30,"At risk — close to off track","On track"))),IF(X357="","No planned date",IF(AND(TODAY()&gt;X357,OR(Z357="",Z357&lt;100)),"Behind — past end date",IF(AND(T357&lt;&gt;"",X357&lt;&gt;"",Z357&lt;&gt;"",(Z357&lt;100),((TODAY()-T357)/MAX(X357-T357,1)*100)-Z357&gt;15),"Behind — progress lag",IF(AND(X357-TODAY()&lt;=30,X357-TODAY()&gt;=0,OR(Z357="",Z357&lt;90)),"At risk — close to off track","On track"))))))))</t>
        </is>
      </c>
      <c r="AH357" s="49" t="inlineStr">
        <is>
          <t>IF(OR(F357="",AC357="Completed / Handover",AC357="Cancelled"),"",IF(O357="Not awarded",IF(U357&lt;&gt;"",U357-TODAY(),IF(X357="","",X357-TODAY())),IF(X357="","",X357-TODAY())))</t>
        </is>
      </c>
      <c r="AI357" s="47" t="n"/>
      <c r="AJ357" s="47" t="n"/>
      <c r="AK357" s="47" t="n"/>
      <c r="AL357" s="47" t="n"/>
      <c r="AM357" s="47" t="n"/>
      <c r="AN357" s="47" t="n"/>
      <c r="AO357" s="47" t="n"/>
      <c r="AP357" s="47" t="n"/>
      <c r="AQ357" s="47" t="n"/>
      <c r="AR357" s="47" t="n"/>
      <c r="AS357" s="47" t="n"/>
      <c r="AT357" s="50" t="n"/>
      <c r="AU357" s="50" t="n"/>
      <c r="AV357" s="50" t="n"/>
      <c r="AW357" s="49" t="inlineStr">
        <is>
          <t>IF(OR(F357="",AJ357=""),"",IF(COUNT(AI357:AI357)=0,"",AJ357-LOOKUP(2,1/(AI357:AI357&lt;&gt;""),AI357:AI357)))</t>
        </is>
      </c>
      <c r="AX357" s="49" t="inlineStr">
        <is>
          <t>IF(OR(F357="",AK357=""),"",IF(COUNT(AI357:AJ357)=0,"",AK357-LOOKUP(2,1/(AI357:AJ357&lt;&gt;""),AI357:AJ357)))</t>
        </is>
      </c>
      <c r="AY357" s="49" t="inlineStr">
        <is>
          <t>IF(OR(F357="",AL357=""),"",IF(COUNT(AI357:AK357)=0,"",AL357-LOOKUP(2,1/(AI357:AK357&lt;&gt;""),AI357:AK357)))</t>
        </is>
      </c>
      <c r="AZ357" s="49" t="inlineStr">
        <is>
          <t>IF(OR(F357="",AM357=""),"",IF(COUNT(AI357:AL357)=0,"",AM357-LOOKUP(2,1/(AI357:AL357&lt;&gt;""),AI357:AL357)))</t>
        </is>
      </c>
      <c r="BA357" s="49" t="inlineStr">
        <is>
          <t>IF(OR(F357="",AN357=""),"",IF(COUNT(AI357:AM357)=0,"",AN357-LOOKUP(2,1/(AI357:AM357&lt;&gt;""),AI357:AM357)))</t>
        </is>
      </c>
      <c r="BB357" s="49" t="inlineStr">
        <is>
          <t>IF(OR(F357="",AO357=""),"",IF(COUNT(AI357:AN357)=0,"",AO357-LOOKUP(2,1/(AI357:AN357&lt;&gt;""),AI357:AN357)))</t>
        </is>
      </c>
      <c r="BC357" s="49" t="inlineStr">
        <is>
          <t>IF(OR(F357="",AP357=""),"",IF(COUNT(AI357:AO357)=0,"",AP357-LOOKUP(2,1/(AI357:AO357&lt;&gt;""),AI357:AO357)))</t>
        </is>
      </c>
      <c r="BD357" s="49" t="inlineStr">
        <is>
          <t>IF(OR(F357="",AQ357=""),"",IF(COUNT(AI357:AP357)=0,"",AQ357-LOOKUP(2,1/(AI357:AP357&lt;&gt;""),AI357:AP357)))</t>
        </is>
      </c>
      <c r="BE357" s="49" t="inlineStr">
        <is>
          <t>IF(OR(F357="",AR357=""),"",IF(COUNT(AI357:AQ357)=0,"",AR357-LOOKUP(2,1/(AI357:AQ357&lt;&gt;""),AI357:AQ357)))</t>
        </is>
      </c>
      <c r="BF357" s="49" t="inlineStr">
        <is>
          <t>IF(OR(F357="",AS357=""),"",IF(COUNT(AI357:AR357)=0,"",AS357-LOOKUP(2,1/(AI357:AR357&lt;&gt;""),AI357:AR357)))</t>
        </is>
      </c>
      <c r="BG357" s="49" t="inlineStr">
        <is>
          <t>IF(OR(F357="",AT357=""),"",IF(COUNT(AI357:AS357)=0,"",AT357-LOOKUP(2,1/(AI357:AS357&lt;&gt;""),AI357:AS357)))</t>
        </is>
      </c>
      <c r="BH357" s="49" t="inlineStr">
        <is>
          <t>IF(OR(F357="",AU357=""),"",IF(COUNT(AI357:AT357)=0,"",AU357-LOOKUP(2,1/(AI357:AT357&lt;&gt;""),AI357:AT357)))</t>
        </is>
      </c>
      <c r="BI357" s="49" t="inlineStr">
        <is>
          <t>IF(OR(F357="",AV357=""),"",IF(COUNT(AI357:AU357)=0,"",AV357-LOOKUP(2,1/(AI357:AU357&lt;&gt;""),AI357:AU357)))</t>
        </is>
      </c>
      <c r="BJ357" s="51" t="inlineStr">
        <is>
          <t>IF(J357="","All_Provinces",IFERROR(VLOOKUP(J357,'09_Lookups'!$A$4:$B$20,2,FALSE),"All_Provinces"))</t>
        </is>
      </c>
      <c r="BK357" s="51" t="inlineStr">
        <is>
          <t>IF(K357="","All_Districts",IFERROR(VLOOKUP(K357,'09_Lookups'!$E$4:$F$42,2,FALSE),"All_Districts"))</t>
        </is>
      </c>
    </row>
    <row r="358" ht="18" customHeight="1">
      <c r="A358" s="42" t="inlineStr">
        <is>
          <t>IF(F358="","",ROW()-3)</t>
        </is>
      </c>
      <c r="B358" s="52" t="n"/>
      <c r="C358" s="52" t="n"/>
      <c r="D358" s="52" t="n"/>
      <c r="E358" s="52" t="n"/>
      <c r="F358" s="52" t="n"/>
      <c r="G358" s="52" t="n"/>
      <c r="H358" s="52" t="n"/>
      <c r="I358" s="52" t="n"/>
      <c r="J358" s="52" t="n"/>
      <c r="K358" s="52" t="n"/>
      <c r="L358" s="52" t="n"/>
      <c r="M358" s="52" t="n"/>
      <c r="N358" s="52" t="n"/>
      <c r="O358" s="52" t="n"/>
      <c r="P358" s="52" t="n"/>
      <c r="Q358" s="52" t="n"/>
      <c r="R358" s="52" t="n"/>
      <c r="S358" s="53" t="n"/>
      <c r="T358" s="46" t="inlineStr">
        <is>
          <t>IF(AQ358="","",AQ358)</t>
        </is>
      </c>
      <c r="U358" s="54" t="n"/>
      <c r="V358" s="55" t="n"/>
      <c r="W358" s="54" t="n"/>
      <c r="X358" s="46" t="inlineStr">
        <is>
          <t>IF(W358&lt;&gt;"",W358,IF(OR(T358="",V358=""),"",EDATE(T358,V358)))</t>
        </is>
      </c>
      <c r="Y358" s="54" t="n"/>
      <c r="Z358" s="55" t="n"/>
      <c r="AA358" s="52" t="n"/>
      <c r="AB358" s="52" t="n"/>
      <c r="AC358" s="42" t="inlineStr">
        <is>
          <t>IF(F358="","",IF(COUNT(AI358:AV358)=0,IF(AA358="","Not started",AA358),SUBSTITUTE(LOOKUP(2,1/(AI358:AV358&lt;&gt;""),$AI$3:$AV$3),"Date: ","")))</t>
        </is>
      </c>
      <c r="AD358" s="49" t="inlineStr">
        <is>
          <t>IF(OR(F358="",COUNT(AI358:AV358)=0),"",TODAY()-LOOKUP(2,1/(AI358:AV358&lt;&gt;""),AI358:AV358))</t>
        </is>
      </c>
      <c r="AE358" s="49" t="inlineStr">
        <is>
          <t>IF(OR(F358="",COUNT(AI358:AV358)&lt;2),"",LOOKUP(2,1/(AI358:AV358&lt;&gt;""),AI358:AV358)-MIN(AI358:AV358))</t>
        </is>
      </c>
      <c r="AF358" s="49" t="inlineStr">
        <is>
          <t>IF(OR(AD358="",AC358="Not started",AC358=""),"",IFERROR(AD358-IF(VLOOKUP(AC358,'06_Status_Pipeline'!$B$3:$E$20,4,FALSE)="",0,VLOOKUP(AC358,'06_Status_Pipeline'!$B$3:$E$20,4,FALSE)),""))</t>
        </is>
      </c>
      <c r="AG358" s="42" t="inlineStr">
        <is>
          <t>IF(F358="","",IF(OR(AA358="Cancelled",AC358="Cancelled"),"Cancelled",IF(OR(AC358="Completed / Handover",Y358&lt;&gt;"",Z358&gt;=100),"Completed — on track",IF(O358="Not awarded",IF(U358="",IF(X358="","No planned date",IF(TODAY()&gt;X358,"Behind — past planned date",IF(X358-TODAY()&lt;=30,"At risk — close to off track","On track"))),IF(TODAY()&gt;U358,"Behind — award date passed",IF(U358-TODAY()&lt;=30,"At risk — close to off track","On track"))),IF(X358="","No planned date",IF(AND(TODAY()&gt;X358,OR(Z358="",Z358&lt;100)),"Behind — past end date",IF(AND(T358&lt;&gt;"",X358&lt;&gt;"",Z358&lt;&gt;"",(Z358&lt;100),((TODAY()-T358)/MAX(X358-T358,1)*100)-Z358&gt;15),"Behind — progress lag",IF(AND(X358-TODAY()&lt;=30,X358-TODAY()&gt;=0,OR(Z358="",Z358&lt;90)),"At risk — close to off track","On track"))))))))</t>
        </is>
      </c>
      <c r="AH358" s="49" t="inlineStr">
        <is>
          <t>IF(OR(F358="",AC358="Completed / Handover",AC358="Cancelled"),"",IF(O358="Not awarded",IF(U358&lt;&gt;"",U358-TODAY(),IF(X358="","",X358-TODAY())),IF(X358="","",X358-TODAY())))</t>
        </is>
      </c>
      <c r="AI358" s="54" t="n"/>
      <c r="AJ358" s="54" t="n"/>
      <c r="AK358" s="54" t="n"/>
      <c r="AL358" s="54" t="n"/>
      <c r="AM358" s="54" t="n"/>
      <c r="AN358" s="54" t="n"/>
      <c r="AO358" s="54" t="n"/>
      <c r="AP358" s="54" t="n"/>
      <c r="AQ358" s="54" t="n"/>
      <c r="AR358" s="54" t="n"/>
      <c r="AS358" s="54" t="n"/>
      <c r="AT358" s="50" t="n"/>
      <c r="AU358" s="50" t="n"/>
      <c r="AV358" s="50" t="n"/>
      <c r="AW358" s="49" t="inlineStr">
        <is>
          <t>IF(OR(F358="",AJ358=""),"",IF(COUNT(AI358:AI358)=0,"",AJ358-LOOKUP(2,1/(AI358:AI358&lt;&gt;""),AI358:AI358)))</t>
        </is>
      </c>
      <c r="AX358" s="49" t="inlineStr">
        <is>
          <t>IF(OR(F358="",AK358=""),"",IF(COUNT(AI358:AJ358)=0,"",AK358-LOOKUP(2,1/(AI358:AJ358&lt;&gt;""),AI358:AJ358)))</t>
        </is>
      </c>
      <c r="AY358" s="49" t="inlineStr">
        <is>
          <t>IF(OR(F358="",AL358=""),"",IF(COUNT(AI358:AK358)=0,"",AL358-LOOKUP(2,1/(AI358:AK358&lt;&gt;""),AI358:AK358)))</t>
        </is>
      </c>
      <c r="AZ358" s="49" t="inlineStr">
        <is>
          <t>IF(OR(F358="",AM358=""),"",IF(COUNT(AI358:AL358)=0,"",AM358-LOOKUP(2,1/(AI358:AL358&lt;&gt;""),AI358:AL358)))</t>
        </is>
      </c>
      <c r="BA358" s="49" t="inlineStr">
        <is>
          <t>IF(OR(F358="",AN358=""),"",IF(COUNT(AI358:AM358)=0,"",AN358-LOOKUP(2,1/(AI358:AM358&lt;&gt;""),AI358:AM358)))</t>
        </is>
      </c>
      <c r="BB358" s="49" t="inlineStr">
        <is>
          <t>IF(OR(F358="",AO358=""),"",IF(COUNT(AI358:AN358)=0,"",AO358-LOOKUP(2,1/(AI358:AN358&lt;&gt;""),AI358:AN358)))</t>
        </is>
      </c>
      <c r="BC358" s="49" t="inlineStr">
        <is>
          <t>IF(OR(F358="",AP358=""),"",IF(COUNT(AI358:AO358)=0,"",AP358-LOOKUP(2,1/(AI358:AO358&lt;&gt;""),AI358:AO358)))</t>
        </is>
      </c>
      <c r="BD358" s="49" t="inlineStr">
        <is>
          <t>IF(OR(F358="",AQ358=""),"",IF(COUNT(AI358:AP358)=0,"",AQ358-LOOKUP(2,1/(AI358:AP358&lt;&gt;""),AI358:AP358)))</t>
        </is>
      </c>
      <c r="BE358" s="49" t="inlineStr">
        <is>
          <t>IF(OR(F358="",AR358=""),"",IF(COUNT(AI358:AQ358)=0,"",AR358-LOOKUP(2,1/(AI358:AQ358&lt;&gt;""),AI358:AQ358)))</t>
        </is>
      </c>
      <c r="BF358" s="49" t="inlineStr">
        <is>
          <t>IF(OR(F358="",AS358=""),"",IF(COUNT(AI358:AR358)=0,"",AS358-LOOKUP(2,1/(AI358:AR358&lt;&gt;""),AI358:AR358)))</t>
        </is>
      </c>
      <c r="BG358" s="49" t="inlineStr">
        <is>
          <t>IF(OR(F358="",AT358=""),"",IF(COUNT(AI358:AS358)=0,"",AT358-LOOKUP(2,1/(AI358:AS358&lt;&gt;""),AI358:AS358)))</t>
        </is>
      </c>
      <c r="BH358" s="49" t="inlineStr">
        <is>
          <t>IF(OR(F358="",AU358=""),"",IF(COUNT(AI358:AT358)=0,"",AU358-LOOKUP(2,1/(AI358:AT358&lt;&gt;""),AI358:AT358)))</t>
        </is>
      </c>
      <c r="BI358" s="49" t="inlineStr">
        <is>
          <t>IF(OR(F358="",AV358=""),"",IF(COUNT(AI358:AU358)=0,"",AV358-LOOKUP(2,1/(AI358:AU358&lt;&gt;""),AI358:AU358)))</t>
        </is>
      </c>
      <c r="BJ358" s="51" t="inlineStr">
        <is>
          <t>IF(J358="","All_Provinces",IFERROR(VLOOKUP(J358,'09_Lookups'!$A$4:$B$20,2,FALSE),"All_Provinces"))</t>
        </is>
      </c>
      <c r="BK358" s="51" t="inlineStr">
        <is>
          <t>IF(K358="","All_Districts",IFERROR(VLOOKUP(K358,'09_Lookups'!$E$4:$F$42,2,FALSE),"All_Districts"))</t>
        </is>
      </c>
    </row>
    <row r="359" ht="18" customHeight="1">
      <c r="A359" s="42" t="inlineStr">
        <is>
          <t>IF(F359="","",ROW()-3)</t>
        </is>
      </c>
      <c r="B359" s="44" t="n"/>
      <c r="C359" s="44" t="n"/>
      <c r="D359" s="44" t="n"/>
      <c r="E359" s="44" t="n"/>
      <c r="F359" s="44" t="n"/>
      <c r="G359" s="44" t="n"/>
      <c r="H359" s="44" t="n"/>
      <c r="I359" s="44" t="n"/>
      <c r="J359" s="44" t="n"/>
      <c r="K359" s="44" t="n"/>
      <c r="L359" s="44" t="n"/>
      <c r="M359" s="44" t="n"/>
      <c r="N359" s="44" t="n"/>
      <c r="O359" s="44" t="n"/>
      <c r="P359" s="44" t="n"/>
      <c r="Q359" s="44" t="n"/>
      <c r="R359" s="44" t="n"/>
      <c r="S359" s="45" t="n"/>
      <c r="T359" s="46" t="inlineStr">
        <is>
          <t>IF(AQ359="","",AQ359)</t>
        </is>
      </c>
      <c r="U359" s="47" t="n"/>
      <c r="V359" s="48" t="n"/>
      <c r="W359" s="47" t="n"/>
      <c r="X359" s="46" t="inlineStr">
        <is>
          <t>IF(W359&lt;&gt;"",W359,IF(OR(T359="",V359=""),"",EDATE(T359,V359)))</t>
        </is>
      </c>
      <c r="Y359" s="47" t="n"/>
      <c r="Z359" s="48" t="n"/>
      <c r="AA359" s="44" t="n"/>
      <c r="AB359" s="44" t="n"/>
      <c r="AC359" s="42" t="inlineStr">
        <is>
          <t>IF(F359="","",IF(COUNT(AI359:AV359)=0,IF(AA359="","Not started",AA359),SUBSTITUTE(LOOKUP(2,1/(AI359:AV359&lt;&gt;""),$AI$3:$AV$3),"Date: ","")))</t>
        </is>
      </c>
      <c r="AD359" s="49" t="inlineStr">
        <is>
          <t>IF(OR(F359="",COUNT(AI359:AV359)=0),"",TODAY()-LOOKUP(2,1/(AI359:AV359&lt;&gt;""),AI359:AV359))</t>
        </is>
      </c>
      <c r="AE359" s="49" t="inlineStr">
        <is>
          <t>IF(OR(F359="",COUNT(AI359:AV359)&lt;2),"",LOOKUP(2,1/(AI359:AV359&lt;&gt;""),AI359:AV359)-MIN(AI359:AV359))</t>
        </is>
      </c>
      <c r="AF359" s="49" t="inlineStr">
        <is>
          <t>IF(OR(AD359="",AC359="Not started",AC359=""),"",IFERROR(AD359-IF(VLOOKUP(AC359,'06_Status_Pipeline'!$B$3:$E$20,4,FALSE)="",0,VLOOKUP(AC359,'06_Status_Pipeline'!$B$3:$E$20,4,FALSE)),""))</t>
        </is>
      </c>
      <c r="AG359" s="42" t="inlineStr">
        <is>
          <t>IF(F359="","",IF(OR(AA359="Cancelled",AC359="Cancelled"),"Cancelled",IF(OR(AC359="Completed / Handover",Y359&lt;&gt;"",Z359&gt;=100),"Completed — on track",IF(O359="Not awarded",IF(U359="",IF(X359="","No planned date",IF(TODAY()&gt;X359,"Behind — past planned date",IF(X359-TODAY()&lt;=30,"At risk — close to off track","On track"))),IF(TODAY()&gt;U359,"Behind — award date passed",IF(U359-TODAY()&lt;=30,"At risk — close to off track","On track"))),IF(X359="","No planned date",IF(AND(TODAY()&gt;X359,OR(Z359="",Z359&lt;100)),"Behind — past end date",IF(AND(T359&lt;&gt;"",X359&lt;&gt;"",Z359&lt;&gt;"",(Z359&lt;100),((TODAY()-T359)/MAX(X359-T359,1)*100)-Z359&gt;15),"Behind — progress lag",IF(AND(X359-TODAY()&lt;=30,X359-TODAY()&gt;=0,OR(Z359="",Z359&lt;90)),"At risk — close to off track","On track"))))))))</t>
        </is>
      </c>
      <c r="AH359" s="49" t="inlineStr">
        <is>
          <t>IF(OR(F359="",AC359="Completed / Handover",AC359="Cancelled"),"",IF(O359="Not awarded",IF(U359&lt;&gt;"",U359-TODAY(),IF(X359="","",X359-TODAY())),IF(X359="","",X359-TODAY())))</t>
        </is>
      </c>
      <c r="AI359" s="47" t="n"/>
      <c r="AJ359" s="47" t="n"/>
      <c r="AK359" s="47" t="n"/>
      <c r="AL359" s="47" t="n"/>
      <c r="AM359" s="47" t="n"/>
      <c r="AN359" s="47" t="n"/>
      <c r="AO359" s="47" t="n"/>
      <c r="AP359" s="47" t="n"/>
      <c r="AQ359" s="47" t="n"/>
      <c r="AR359" s="47" t="n"/>
      <c r="AS359" s="47" t="n"/>
      <c r="AT359" s="50" t="n"/>
      <c r="AU359" s="50" t="n"/>
      <c r="AV359" s="50" t="n"/>
      <c r="AW359" s="49" t="inlineStr">
        <is>
          <t>IF(OR(F359="",AJ359=""),"",IF(COUNT(AI359:AI359)=0,"",AJ359-LOOKUP(2,1/(AI359:AI359&lt;&gt;""),AI359:AI359)))</t>
        </is>
      </c>
      <c r="AX359" s="49" t="inlineStr">
        <is>
          <t>IF(OR(F359="",AK359=""),"",IF(COUNT(AI359:AJ359)=0,"",AK359-LOOKUP(2,1/(AI359:AJ359&lt;&gt;""),AI359:AJ359)))</t>
        </is>
      </c>
      <c r="AY359" s="49" t="inlineStr">
        <is>
          <t>IF(OR(F359="",AL359=""),"",IF(COUNT(AI359:AK359)=0,"",AL359-LOOKUP(2,1/(AI359:AK359&lt;&gt;""),AI359:AK359)))</t>
        </is>
      </c>
      <c r="AZ359" s="49" t="inlineStr">
        <is>
          <t>IF(OR(F359="",AM359=""),"",IF(COUNT(AI359:AL359)=0,"",AM359-LOOKUP(2,1/(AI359:AL359&lt;&gt;""),AI359:AL359)))</t>
        </is>
      </c>
      <c r="BA359" s="49" t="inlineStr">
        <is>
          <t>IF(OR(F359="",AN359=""),"",IF(COUNT(AI359:AM359)=0,"",AN359-LOOKUP(2,1/(AI359:AM359&lt;&gt;""),AI359:AM359)))</t>
        </is>
      </c>
      <c r="BB359" s="49" t="inlineStr">
        <is>
          <t>IF(OR(F359="",AO359=""),"",IF(COUNT(AI359:AN359)=0,"",AO359-LOOKUP(2,1/(AI359:AN359&lt;&gt;""),AI359:AN359)))</t>
        </is>
      </c>
      <c r="BC359" s="49" t="inlineStr">
        <is>
          <t>IF(OR(F359="",AP359=""),"",IF(COUNT(AI359:AO359)=0,"",AP359-LOOKUP(2,1/(AI359:AO359&lt;&gt;""),AI359:AO359)))</t>
        </is>
      </c>
      <c r="BD359" s="49" t="inlineStr">
        <is>
          <t>IF(OR(F359="",AQ359=""),"",IF(COUNT(AI359:AP359)=0,"",AQ359-LOOKUP(2,1/(AI359:AP359&lt;&gt;""),AI359:AP359)))</t>
        </is>
      </c>
      <c r="BE359" s="49" t="inlineStr">
        <is>
          <t>IF(OR(F359="",AR359=""),"",IF(COUNT(AI359:AQ359)=0,"",AR359-LOOKUP(2,1/(AI359:AQ359&lt;&gt;""),AI359:AQ359)))</t>
        </is>
      </c>
      <c r="BF359" s="49" t="inlineStr">
        <is>
          <t>IF(OR(F359="",AS359=""),"",IF(COUNT(AI359:AR359)=0,"",AS359-LOOKUP(2,1/(AI359:AR359&lt;&gt;""),AI359:AR359)))</t>
        </is>
      </c>
      <c r="BG359" s="49" t="inlineStr">
        <is>
          <t>IF(OR(F359="",AT359=""),"",IF(COUNT(AI359:AS359)=0,"",AT359-LOOKUP(2,1/(AI359:AS359&lt;&gt;""),AI359:AS359)))</t>
        </is>
      </c>
      <c r="BH359" s="49" t="inlineStr">
        <is>
          <t>IF(OR(F359="",AU359=""),"",IF(COUNT(AI359:AT359)=0,"",AU359-LOOKUP(2,1/(AI359:AT359&lt;&gt;""),AI359:AT359)))</t>
        </is>
      </c>
      <c r="BI359" s="49" t="inlineStr">
        <is>
          <t>IF(OR(F359="",AV359=""),"",IF(COUNT(AI359:AU359)=0,"",AV359-LOOKUP(2,1/(AI359:AU359&lt;&gt;""),AI359:AU359)))</t>
        </is>
      </c>
      <c r="BJ359" s="51" t="inlineStr">
        <is>
          <t>IF(J359="","All_Provinces",IFERROR(VLOOKUP(J359,'09_Lookups'!$A$4:$B$20,2,FALSE),"All_Provinces"))</t>
        </is>
      </c>
      <c r="BK359" s="51" t="inlineStr">
        <is>
          <t>IF(K359="","All_Districts",IFERROR(VLOOKUP(K359,'09_Lookups'!$E$4:$F$42,2,FALSE),"All_Districts"))</t>
        </is>
      </c>
    </row>
    <row r="360" ht="18" customHeight="1">
      <c r="A360" s="42" t="inlineStr">
        <is>
          <t>IF(F360="","",ROW()-3)</t>
        </is>
      </c>
      <c r="B360" s="52" t="n"/>
      <c r="C360" s="52" t="n"/>
      <c r="D360" s="52" t="n"/>
      <c r="E360" s="52" t="n"/>
      <c r="F360" s="52" t="n"/>
      <c r="G360" s="52" t="n"/>
      <c r="H360" s="52" t="n"/>
      <c r="I360" s="52" t="n"/>
      <c r="J360" s="52" t="n"/>
      <c r="K360" s="52" t="n"/>
      <c r="L360" s="52" t="n"/>
      <c r="M360" s="52" t="n"/>
      <c r="N360" s="52" t="n"/>
      <c r="O360" s="52" t="n"/>
      <c r="P360" s="52" t="n"/>
      <c r="Q360" s="52" t="n"/>
      <c r="R360" s="52" t="n"/>
      <c r="S360" s="53" t="n"/>
      <c r="T360" s="46" t="inlineStr">
        <is>
          <t>IF(AQ360="","",AQ360)</t>
        </is>
      </c>
      <c r="U360" s="54" t="n"/>
      <c r="V360" s="55" t="n"/>
      <c r="W360" s="54" t="n"/>
      <c r="X360" s="46" t="inlineStr">
        <is>
          <t>IF(W360&lt;&gt;"",W360,IF(OR(T360="",V360=""),"",EDATE(T360,V360)))</t>
        </is>
      </c>
      <c r="Y360" s="54" t="n"/>
      <c r="Z360" s="55" t="n"/>
      <c r="AA360" s="52" t="n"/>
      <c r="AB360" s="52" t="n"/>
      <c r="AC360" s="42" t="inlineStr">
        <is>
          <t>IF(F360="","",IF(COUNT(AI360:AV360)=0,IF(AA360="","Not started",AA360),SUBSTITUTE(LOOKUP(2,1/(AI360:AV360&lt;&gt;""),$AI$3:$AV$3),"Date: ","")))</t>
        </is>
      </c>
      <c r="AD360" s="49" t="inlineStr">
        <is>
          <t>IF(OR(F360="",COUNT(AI360:AV360)=0),"",TODAY()-LOOKUP(2,1/(AI360:AV360&lt;&gt;""),AI360:AV360))</t>
        </is>
      </c>
      <c r="AE360" s="49" t="inlineStr">
        <is>
          <t>IF(OR(F360="",COUNT(AI360:AV360)&lt;2),"",LOOKUP(2,1/(AI360:AV360&lt;&gt;""),AI360:AV360)-MIN(AI360:AV360))</t>
        </is>
      </c>
      <c r="AF360" s="49" t="inlineStr">
        <is>
          <t>IF(OR(AD360="",AC360="Not started",AC360=""),"",IFERROR(AD360-IF(VLOOKUP(AC360,'06_Status_Pipeline'!$B$3:$E$20,4,FALSE)="",0,VLOOKUP(AC360,'06_Status_Pipeline'!$B$3:$E$20,4,FALSE)),""))</t>
        </is>
      </c>
      <c r="AG360" s="42" t="inlineStr">
        <is>
          <t>IF(F360="","",IF(OR(AA360="Cancelled",AC360="Cancelled"),"Cancelled",IF(OR(AC360="Completed / Handover",Y360&lt;&gt;"",Z360&gt;=100),"Completed — on track",IF(O360="Not awarded",IF(U360="",IF(X360="","No planned date",IF(TODAY()&gt;X360,"Behind — past planned date",IF(X360-TODAY()&lt;=30,"At risk — close to off track","On track"))),IF(TODAY()&gt;U360,"Behind — award date passed",IF(U360-TODAY()&lt;=30,"At risk — close to off track","On track"))),IF(X360="","No planned date",IF(AND(TODAY()&gt;X360,OR(Z360="",Z360&lt;100)),"Behind — past end date",IF(AND(T360&lt;&gt;"",X360&lt;&gt;"",Z360&lt;&gt;"",(Z360&lt;100),((TODAY()-T360)/MAX(X360-T360,1)*100)-Z360&gt;15),"Behind — progress lag",IF(AND(X360-TODAY()&lt;=30,X360-TODAY()&gt;=0,OR(Z360="",Z360&lt;90)),"At risk — close to off track","On track"))))))))</t>
        </is>
      </c>
      <c r="AH360" s="49" t="inlineStr">
        <is>
          <t>IF(OR(F360="",AC360="Completed / Handover",AC360="Cancelled"),"",IF(O360="Not awarded",IF(U360&lt;&gt;"",U360-TODAY(),IF(X360="","",X360-TODAY())),IF(X360="","",X360-TODAY())))</t>
        </is>
      </c>
      <c r="AI360" s="54" t="n"/>
      <c r="AJ360" s="54" t="n"/>
      <c r="AK360" s="54" t="n"/>
      <c r="AL360" s="54" t="n"/>
      <c r="AM360" s="54" t="n"/>
      <c r="AN360" s="54" t="n"/>
      <c r="AO360" s="54" t="n"/>
      <c r="AP360" s="54" t="n"/>
      <c r="AQ360" s="54" t="n"/>
      <c r="AR360" s="54" t="n"/>
      <c r="AS360" s="54" t="n"/>
      <c r="AT360" s="50" t="n"/>
      <c r="AU360" s="50" t="n"/>
      <c r="AV360" s="50" t="n"/>
      <c r="AW360" s="49" t="inlineStr">
        <is>
          <t>IF(OR(F360="",AJ360=""),"",IF(COUNT(AI360:AI360)=0,"",AJ360-LOOKUP(2,1/(AI360:AI360&lt;&gt;""),AI360:AI360)))</t>
        </is>
      </c>
      <c r="AX360" s="49" t="inlineStr">
        <is>
          <t>IF(OR(F360="",AK360=""),"",IF(COUNT(AI360:AJ360)=0,"",AK360-LOOKUP(2,1/(AI360:AJ360&lt;&gt;""),AI360:AJ360)))</t>
        </is>
      </c>
      <c r="AY360" s="49" t="inlineStr">
        <is>
          <t>IF(OR(F360="",AL360=""),"",IF(COUNT(AI360:AK360)=0,"",AL360-LOOKUP(2,1/(AI360:AK360&lt;&gt;""),AI360:AK360)))</t>
        </is>
      </c>
      <c r="AZ360" s="49" t="inlineStr">
        <is>
          <t>IF(OR(F360="",AM360=""),"",IF(COUNT(AI360:AL360)=0,"",AM360-LOOKUP(2,1/(AI360:AL360&lt;&gt;""),AI360:AL360)))</t>
        </is>
      </c>
      <c r="BA360" s="49" t="inlineStr">
        <is>
          <t>IF(OR(F360="",AN360=""),"",IF(COUNT(AI360:AM360)=0,"",AN360-LOOKUP(2,1/(AI360:AM360&lt;&gt;""),AI360:AM360)))</t>
        </is>
      </c>
      <c r="BB360" s="49" t="inlineStr">
        <is>
          <t>IF(OR(F360="",AO360=""),"",IF(COUNT(AI360:AN360)=0,"",AO360-LOOKUP(2,1/(AI360:AN360&lt;&gt;""),AI360:AN360)))</t>
        </is>
      </c>
      <c r="BC360" s="49" t="inlineStr">
        <is>
          <t>IF(OR(F360="",AP360=""),"",IF(COUNT(AI360:AO360)=0,"",AP360-LOOKUP(2,1/(AI360:AO360&lt;&gt;""),AI360:AO360)))</t>
        </is>
      </c>
      <c r="BD360" s="49" t="inlineStr">
        <is>
          <t>IF(OR(F360="",AQ360=""),"",IF(COUNT(AI360:AP360)=0,"",AQ360-LOOKUP(2,1/(AI360:AP360&lt;&gt;""),AI360:AP360)))</t>
        </is>
      </c>
      <c r="BE360" s="49" t="inlineStr">
        <is>
          <t>IF(OR(F360="",AR360=""),"",IF(COUNT(AI360:AQ360)=0,"",AR360-LOOKUP(2,1/(AI360:AQ360&lt;&gt;""),AI360:AQ360)))</t>
        </is>
      </c>
      <c r="BF360" s="49" t="inlineStr">
        <is>
          <t>IF(OR(F360="",AS360=""),"",IF(COUNT(AI360:AR360)=0,"",AS360-LOOKUP(2,1/(AI360:AR360&lt;&gt;""),AI360:AR360)))</t>
        </is>
      </c>
      <c r="BG360" s="49" t="inlineStr">
        <is>
          <t>IF(OR(F360="",AT360=""),"",IF(COUNT(AI360:AS360)=0,"",AT360-LOOKUP(2,1/(AI360:AS360&lt;&gt;""),AI360:AS360)))</t>
        </is>
      </c>
      <c r="BH360" s="49" t="inlineStr">
        <is>
          <t>IF(OR(F360="",AU360=""),"",IF(COUNT(AI360:AT360)=0,"",AU360-LOOKUP(2,1/(AI360:AT360&lt;&gt;""),AI360:AT360)))</t>
        </is>
      </c>
      <c r="BI360" s="49" t="inlineStr">
        <is>
          <t>IF(OR(F360="",AV360=""),"",IF(COUNT(AI360:AU360)=0,"",AV360-LOOKUP(2,1/(AI360:AU360&lt;&gt;""),AI360:AU360)))</t>
        </is>
      </c>
      <c r="BJ360" s="51" t="inlineStr">
        <is>
          <t>IF(J360="","All_Provinces",IFERROR(VLOOKUP(J360,'09_Lookups'!$A$4:$B$20,2,FALSE),"All_Provinces"))</t>
        </is>
      </c>
      <c r="BK360" s="51" t="inlineStr">
        <is>
          <t>IF(K360="","All_Districts",IFERROR(VLOOKUP(K360,'09_Lookups'!$E$4:$F$42,2,FALSE),"All_Districts"))</t>
        </is>
      </c>
    </row>
    <row r="361" ht="18" customHeight="1">
      <c r="A361" s="42" t="inlineStr">
        <is>
          <t>IF(F361="","",ROW()-3)</t>
        </is>
      </c>
      <c r="B361" s="44" t="n"/>
      <c r="C361" s="44" t="n"/>
      <c r="D361" s="44" t="n"/>
      <c r="E361" s="44" t="n"/>
      <c r="F361" s="44" t="n"/>
      <c r="G361" s="44" t="n"/>
      <c r="H361" s="44" t="n"/>
      <c r="I361" s="44" t="n"/>
      <c r="J361" s="44" t="n"/>
      <c r="K361" s="44" t="n"/>
      <c r="L361" s="44" t="n"/>
      <c r="M361" s="44" t="n"/>
      <c r="N361" s="44" t="n"/>
      <c r="O361" s="44" t="n"/>
      <c r="P361" s="44" t="n"/>
      <c r="Q361" s="44" t="n"/>
      <c r="R361" s="44" t="n"/>
      <c r="S361" s="45" t="n"/>
      <c r="T361" s="46" t="inlineStr">
        <is>
          <t>IF(AQ361="","",AQ361)</t>
        </is>
      </c>
      <c r="U361" s="47" t="n"/>
      <c r="V361" s="48" t="n"/>
      <c r="W361" s="47" t="n"/>
      <c r="X361" s="46" t="inlineStr">
        <is>
          <t>IF(W361&lt;&gt;"",W361,IF(OR(T361="",V361=""),"",EDATE(T361,V361)))</t>
        </is>
      </c>
      <c r="Y361" s="47" t="n"/>
      <c r="Z361" s="48" t="n"/>
      <c r="AA361" s="44" t="n"/>
      <c r="AB361" s="44" t="n"/>
      <c r="AC361" s="42" t="inlineStr">
        <is>
          <t>IF(F361="","",IF(COUNT(AI361:AV361)=0,IF(AA361="","Not started",AA361),SUBSTITUTE(LOOKUP(2,1/(AI361:AV361&lt;&gt;""),$AI$3:$AV$3),"Date: ","")))</t>
        </is>
      </c>
      <c r="AD361" s="49" t="inlineStr">
        <is>
          <t>IF(OR(F361="",COUNT(AI361:AV361)=0),"",TODAY()-LOOKUP(2,1/(AI361:AV361&lt;&gt;""),AI361:AV361))</t>
        </is>
      </c>
      <c r="AE361" s="49" t="inlineStr">
        <is>
          <t>IF(OR(F361="",COUNT(AI361:AV361)&lt;2),"",LOOKUP(2,1/(AI361:AV361&lt;&gt;""),AI361:AV361)-MIN(AI361:AV361))</t>
        </is>
      </c>
      <c r="AF361" s="49" t="inlineStr">
        <is>
          <t>IF(OR(AD361="",AC361="Not started",AC361=""),"",IFERROR(AD361-IF(VLOOKUP(AC361,'06_Status_Pipeline'!$B$3:$E$20,4,FALSE)="",0,VLOOKUP(AC361,'06_Status_Pipeline'!$B$3:$E$20,4,FALSE)),""))</t>
        </is>
      </c>
      <c r="AG361" s="42" t="inlineStr">
        <is>
          <t>IF(F361="","",IF(OR(AA361="Cancelled",AC361="Cancelled"),"Cancelled",IF(OR(AC361="Completed / Handover",Y361&lt;&gt;"",Z361&gt;=100),"Completed — on track",IF(O361="Not awarded",IF(U361="",IF(X361="","No planned date",IF(TODAY()&gt;X361,"Behind — past planned date",IF(X361-TODAY()&lt;=30,"At risk — close to off track","On track"))),IF(TODAY()&gt;U361,"Behind — award date passed",IF(U361-TODAY()&lt;=30,"At risk — close to off track","On track"))),IF(X361="","No planned date",IF(AND(TODAY()&gt;X361,OR(Z361="",Z361&lt;100)),"Behind — past end date",IF(AND(T361&lt;&gt;"",X361&lt;&gt;"",Z361&lt;&gt;"",(Z361&lt;100),((TODAY()-T361)/MAX(X361-T361,1)*100)-Z361&gt;15),"Behind — progress lag",IF(AND(X361-TODAY()&lt;=30,X361-TODAY()&gt;=0,OR(Z361="",Z361&lt;90)),"At risk — close to off track","On track"))))))))</t>
        </is>
      </c>
      <c r="AH361" s="49" t="inlineStr">
        <is>
          <t>IF(OR(F361="",AC361="Completed / Handover",AC361="Cancelled"),"",IF(O361="Not awarded",IF(U361&lt;&gt;"",U361-TODAY(),IF(X361="","",X361-TODAY())),IF(X361="","",X361-TODAY())))</t>
        </is>
      </c>
      <c r="AI361" s="47" t="n"/>
      <c r="AJ361" s="47" t="n"/>
      <c r="AK361" s="47" t="n"/>
      <c r="AL361" s="47" t="n"/>
      <c r="AM361" s="47" t="n"/>
      <c r="AN361" s="47" t="n"/>
      <c r="AO361" s="47" t="n"/>
      <c r="AP361" s="47" t="n"/>
      <c r="AQ361" s="47" t="n"/>
      <c r="AR361" s="47" t="n"/>
      <c r="AS361" s="47" t="n"/>
      <c r="AT361" s="50" t="n"/>
      <c r="AU361" s="50" t="n"/>
      <c r="AV361" s="50" t="n"/>
      <c r="AW361" s="49" t="inlineStr">
        <is>
          <t>IF(OR(F361="",AJ361=""),"",IF(COUNT(AI361:AI361)=0,"",AJ361-LOOKUP(2,1/(AI361:AI361&lt;&gt;""),AI361:AI361)))</t>
        </is>
      </c>
      <c r="AX361" s="49" t="inlineStr">
        <is>
          <t>IF(OR(F361="",AK361=""),"",IF(COUNT(AI361:AJ361)=0,"",AK361-LOOKUP(2,1/(AI361:AJ361&lt;&gt;""),AI361:AJ361)))</t>
        </is>
      </c>
      <c r="AY361" s="49" t="inlineStr">
        <is>
          <t>IF(OR(F361="",AL361=""),"",IF(COUNT(AI361:AK361)=0,"",AL361-LOOKUP(2,1/(AI361:AK361&lt;&gt;""),AI361:AK361)))</t>
        </is>
      </c>
      <c r="AZ361" s="49" t="inlineStr">
        <is>
          <t>IF(OR(F361="",AM361=""),"",IF(COUNT(AI361:AL361)=0,"",AM361-LOOKUP(2,1/(AI361:AL361&lt;&gt;""),AI361:AL361)))</t>
        </is>
      </c>
      <c r="BA361" s="49" t="inlineStr">
        <is>
          <t>IF(OR(F361="",AN361=""),"",IF(COUNT(AI361:AM361)=0,"",AN361-LOOKUP(2,1/(AI361:AM361&lt;&gt;""),AI361:AM361)))</t>
        </is>
      </c>
      <c r="BB361" s="49" t="inlineStr">
        <is>
          <t>IF(OR(F361="",AO361=""),"",IF(COUNT(AI361:AN361)=0,"",AO361-LOOKUP(2,1/(AI361:AN361&lt;&gt;""),AI361:AN361)))</t>
        </is>
      </c>
      <c r="BC361" s="49" t="inlineStr">
        <is>
          <t>IF(OR(F361="",AP361=""),"",IF(COUNT(AI361:AO361)=0,"",AP361-LOOKUP(2,1/(AI361:AO361&lt;&gt;""),AI361:AO361)))</t>
        </is>
      </c>
      <c r="BD361" s="49" t="inlineStr">
        <is>
          <t>IF(OR(F361="",AQ361=""),"",IF(COUNT(AI361:AP361)=0,"",AQ361-LOOKUP(2,1/(AI361:AP361&lt;&gt;""),AI361:AP361)))</t>
        </is>
      </c>
      <c r="BE361" s="49" t="inlineStr">
        <is>
          <t>IF(OR(F361="",AR361=""),"",IF(COUNT(AI361:AQ361)=0,"",AR361-LOOKUP(2,1/(AI361:AQ361&lt;&gt;""),AI361:AQ361)))</t>
        </is>
      </c>
      <c r="BF361" s="49" t="inlineStr">
        <is>
          <t>IF(OR(F361="",AS361=""),"",IF(COUNT(AI361:AR361)=0,"",AS361-LOOKUP(2,1/(AI361:AR361&lt;&gt;""),AI361:AR361)))</t>
        </is>
      </c>
      <c r="BG361" s="49" t="inlineStr">
        <is>
          <t>IF(OR(F361="",AT361=""),"",IF(COUNT(AI361:AS361)=0,"",AT361-LOOKUP(2,1/(AI361:AS361&lt;&gt;""),AI361:AS361)))</t>
        </is>
      </c>
      <c r="BH361" s="49" t="inlineStr">
        <is>
          <t>IF(OR(F361="",AU361=""),"",IF(COUNT(AI361:AT361)=0,"",AU361-LOOKUP(2,1/(AI361:AT361&lt;&gt;""),AI361:AT361)))</t>
        </is>
      </c>
      <c r="BI361" s="49" t="inlineStr">
        <is>
          <t>IF(OR(F361="",AV361=""),"",IF(COUNT(AI361:AU361)=0,"",AV361-LOOKUP(2,1/(AI361:AU361&lt;&gt;""),AI361:AU361)))</t>
        </is>
      </c>
      <c r="BJ361" s="51" t="inlineStr">
        <is>
          <t>IF(J361="","All_Provinces",IFERROR(VLOOKUP(J361,'09_Lookups'!$A$4:$B$20,2,FALSE),"All_Provinces"))</t>
        </is>
      </c>
      <c r="BK361" s="51" t="inlineStr">
        <is>
          <t>IF(K361="","All_Districts",IFERROR(VLOOKUP(K361,'09_Lookups'!$E$4:$F$42,2,FALSE),"All_Districts"))</t>
        </is>
      </c>
    </row>
    <row r="362" ht="18" customHeight="1">
      <c r="A362" s="42" t="inlineStr">
        <is>
          <t>IF(F362="","",ROW()-3)</t>
        </is>
      </c>
      <c r="B362" s="52" t="n"/>
      <c r="C362" s="52" t="n"/>
      <c r="D362" s="52" t="n"/>
      <c r="E362" s="52" t="n"/>
      <c r="F362" s="52" t="n"/>
      <c r="G362" s="52" t="n"/>
      <c r="H362" s="52" t="n"/>
      <c r="I362" s="52" t="n"/>
      <c r="J362" s="52" t="n"/>
      <c r="K362" s="52" t="n"/>
      <c r="L362" s="52" t="n"/>
      <c r="M362" s="52" t="n"/>
      <c r="N362" s="52" t="n"/>
      <c r="O362" s="52" t="n"/>
      <c r="P362" s="52" t="n"/>
      <c r="Q362" s="52" t="n"/>
      <c r="R362" s="52" t="n"/>
      <c r="S362" s="53" t="n"/>
      <c r="T362" s="46" t="inlineStr">
        <is>
          <t>IF(AQ362="","",AQ362)</t>
        </is>
      </c>
      <c r="U362" s="54" t="n"/>
      <c r="V362" s="55" t="n"/>
      <c r="W362" s="54" t="n"/>
      <c r="X362" s="46" t="inlineStr">
        <is>
          <t>IF(W362&lt;&gt;"",W362,IF(OR(T362="",V362=""),"",EDATE(T362,V362)))</t>
        </is>
      </c>
      <c r="Y362" s="54" t="n"/>
      <c r="Z362" s="55" t="n"/>
      <c r="AA362" s="52" t="n"/>
      <c r="AB362" s="52" t="n"/>
      <c r="AC362" s="42" t="inlineStr">
        <is>
          <t>IF(F362="","",IF(COUNT(AI362:AV362)=0,IF(AA362="","Not started",AA362),SUBSTITUTE(LOOKUP(2,1/(AI362:AV362&lt;&gt;""),$AI$3:$AV$3),"Date: ","")))</t>
        </is>
      </c>
      <c r="AD362" s="49" t="inlineStr">
        <is>
          <t>IF(OR(F362="",COUNT(AI362:AV362)=0),"",TODAY()-LOOKUP(2,1/(AI362:AV362&lt;&gt;""),AI362:AV362))</t>
        </is>
      </c>
      <c r="AE362" s="49" t="inlineStr">
        <is>
          <t>IF(OR(F362="",COUNT(AI362:AV362)&lt;2),"",LOOKUP(2,1/(AI362:AV362&lt;&gt;""),AI362:AV362)-MIN(AI362:AV362))</t>
        </is>
      </c>
      <c r="AF362" s="49" t="inlineStr">
        <is>
          <t>IF(OR(AD362="",AC362="Not started",AC362=""),"",IFERROR(AD362-IF(VLOOKUP(AC362,'06_Status_Pipeline'!$B$3:$E$20,4,FALSE)="",0,VLOOKUP(AC362,'06_Status_Pipeline'!$B$3:$E$20,4,FALSE)),""))</t>
        </is>
      </c>
      <c r="AG362" s="42" t="inlineStr">
        <is>
          <t>IF(F362="","",IF(OR(AA362="Cancelled",AC362="Cancelled"),"Cancelled",IF(OR(AC362="Completed / Handover",Y362&lt;&gt;"",Z362&gt;=100),"Completed — on track",IF(O362="Not awarded",IF(U362="",IF(X362="","No planned date",IF(TODAY()&gt;X362,"Behind — past planned date",IF(X362-TODAY()&lt;=30,"At risk — close to off track","On track"))),IF(TODAY()&gt;U362,"Behind — award date passed",IF(U362-TODAY()&lt;=30,"At risk — close to off track","On track"))),IF(X362="","No planned date",IF(AND(TODAY()&gt;X362,OR(Z362="",Z362&lt;100)),"Behind — past end date",IF(AND(T362&lt;&gt;"",X362&lt;&gt;"",Z362&lt;&gt;"",(Z362&lt;100),((TODAY()-T362)/MAX(X362-T362,1)*100)-Z362&gt;15),"Behind — progress lag",IF(AND(X362-TODAY()&lt;=30,X362-TODAY()&gt;=0,OR(Z362="",Z362&lt;90)),"At risk — close to off track","On track"))))))))</t>
        </is>
      </c>
      <c r="AH362" s="49" t="inlineStr">
        <is>
          <t>IF(OR(F362="",AC362="Completed / Handover",AC362="Cancelled"),"",IF(O362="Not awarded",IF(U362&lt;&gt;"",U362-TODAY(),IF(X362="","",X362-TODAY())),IF(X362="","",X362-TODAY())))</t>
        </is>
      </c>
      <c r="AI362" s="54" t="n"/>
      <c r="AJ362" s="54" t="n"/>
      <c r="AK362" s="54" t="n"/>
      <c r="AL362" s="54" t="n"/>
      <c r="AM362" s="54" t="n"/>
      <c r="AN362" s="54" t="n"/>
      <c r="AO362" s="54" t="n"/>
      <c r="AP362" s="54" t="n"/>
      <c r="AQ362" s="54" t="n"/>
      <c r="AR362" s="54" t="n"/>
      <c r="AS362" s="54" t="n"/>
      <c r="AT362" s="50" t="n"/>
      <c r="AU362" s="50" t="n"/>
      <c r="AV362" s="50" t="n"/>
      <c r="AW362" s="49" t="inlineStr">
        <is>
          <t>IF(OR(F362="",AJ362=""),"",IF(COUNT(AI362:AI362)=0,"",AJ362-LOOKUP(2,1/(AI362:AI362&lt;&gt;""),AI362:AI362)))</t>
        </is>
      </c>
      <c r="AX362" s="49" t="inlineStr">
        <is>
          <t>IF(OR(F362="",AK362=""),"",IF(COUNT(AI362:AJ362)=0,"",AK362-LOOKUP(2,1/(AI362:AJ362&lt;&gt;""),AI362:AJ362)))</t>
        </is>
      </c>
      <c r="AY362" s="49" t="inlineStr">
        <is>
          <t>IF(OR(F362="",AL362=""),"",IF(COUNT(AI362:AK362)=0,"",AL362-LOOKUP(2,1/(AI362:AK362&lt;&gt;""),AI362:AK362)))</t>
        </is>
      </c>
      <c r="AZ362" s="49" t="inlineStr">
        <is>
          <t>IF(OR(F362="",AM362=""),"",IF(COUNT(AI362:AL362)=0,"",AM362-LOOKUP(2,1/(AI362:AL362&lt;&gt;""),AI362:AL362)))</t>
        </is>
      </c>
      <c r="BA362" s="49" t="inlineStr">
        <is>
          <t>IF(OR(F362="",AN362=""),"",IF(COUNT(AI362:AM362)=0,"",AN362-LOOKUP(2,1/(AI362:AM362&lt;&gt;""),AI362:AM362)))</t>
        </is>
      </c>
      <c r="BB362" s="49" t="inlineStr">
        <is>
          <t>IF(OR(F362="",AO362=""),"",IF(COUNT(AI362:AN362)=0,"",AO362-LOOKUP(2,1/(AI362:AN362&lt;&gt;""),AI362:AN362)))</t>
        </is>
      </c>
      <c r="BC362" s="49" t="inlineStr">
        <is>
          <t>IF(OR(F362="",AP362=""),"",IF(COUNT(AI362:AO362)=0,"",AP362-LOOKUP(2,1/(AI362:AO362&lt;&gt;""),AI362:AO362)))</t>
        </is>
      </c>
      <c r="BD362" s="49" t="inlineStr">
        <is>
          <t>IF(OR(F362="",AQ362=""),"",IF(COUNT(AI362:AP362)=0,"",AQ362-LOOKUP(2,1/(AI362:AP362&lt;&gt;""),AI362:AP362)))</t>
        </is>
      </c>
      <c r="BE362" s="49" t="inlineStr">
        <is>
          <t>IF(OR(F362="",AR362=""),"",IF(COUNT(AI362:AQ362)=0,"",AR362-LOOKUP(2,1/(AI362:AQ362&lt;&gt;""),AI362:AQ362)))</t>
        </is>
      </c>
      <c r="BF362" s="49" t="inlineStr">
        <is>
          <t>IF(OR(F362="",AS362=""),"",IF(COUNT(AI362:AR362)=0,"",AS362-LOOKUP(2,1/(AI362:AR362&lt;&gt;""),AI362:AR362)))</t>
        </is>
      </c>
      <c r="BG362" s="49" t="inlineStr">
        <is>
          <t>IF(OR(F362="",AT362=""),"",IF(COUNT(AI362:AS362)=0,"",AT362-LOOKUP(2,1/(AI362:AS362&lt;&gt;""),AI362:AS362)))</t>
        </is>
      </c>
      <c r="BH362" s="49" t="inlineStr">
        <is>
          <t>IF(OR(F362="",AU362=""),"",IF(COUNT(AI362:AT362)=0,"",AU362-LOOKUP(2,1/(AI362:AT362&lt;&gt;""),AI362:AT362)))</t>
        </is>
      </c>
      <c r="BI362" s="49" t="inlineStr">
        <is>
          <t>IF(OR(F362="",AV362=""),"",IF(COUNT(AI362:AU362)=0,"",AV362-LOOKUP(2,1/(AI362:AU362&lt;&gt;""),AI362:AU362)))</t>
        </is>
      </c>
      <c r="BJ362" s="51" t="inlineStr">
        <is>
          <t>IF(J362="","All_Provinces",IFERROR(VLOOKUP(J362,'09_Lookups'!$A$4:$B$20,2,FALSE),"All_Provinces"))</t>
        </is>
      </c>
      <c r="BK362" s="51" t="inlineStr">
        <is>
          <t>IF(K362="","All_Districts",IFERROR(VLOOKUP(K362,'09_Lookups'!$E$4:$F$42,2,FALSE),"All_Districts"))</t>
        </is>
      </c>
    </row>
    <row r="363" ht="18" customHeight="1">
      <c r="A363" s="42" t="inlineStr">
        <is>
          <t>IF(F363="","",ROW()-3)</t>
        </is>
      </c>
      <c r="B363" s="44" t="n"/>
      <c r="C363" s="44" t="n"/>
      <c r="D363" s="44" t="n"/>
      <c r="E363" s="44" t="n"/>
      <c r="F363" s="44" t="n"/>
      <c r="G363" s="44" t="n"/>
      <c r="H363" s="44" t="n"/>
      <c r="I363" s="44" t="n"/>
      <c r="J363" s="44" t="n"/>
      <c r="K363" s="44" t="n"/>
      <c r="L363" s="44" t="n"/>
      <c r="M363" s="44" t="n"/>
      <c r="N363" s="44" t="n"/>
      <c r="O363" s="44" t="n"/>
      <c r="P363" s="44" t="n"/>
      <c r="Q363" s="44" t="n"/>
      <c r="R363" s="44" t="n"/>
      <c r="S363" s="45" t="n"/>
      <c r="T363" s="46" t="inlineStr">
        <is>
          <t>IF(AQ363="","",AQ363)</t>
        </is>
      </c>
      <c r="U363" s="47" t="n"/>
      <c r="V363" s="48" t="n"/>
      <c r="W363" s="47" t="n"/>
      <c r="X363" s="46" t="inlineStr">
        <is>
          <t>IF(W363&lt;&gt;"",W363,IF(OR(T363="",V363=""),"",EDATE(T363,V363)))</t>
        </is>
      </c>
      <c r="Y363" s="47" t="n"/>
      <c r="Z363" s="48" t="n"/>
      <c r="AA363" s="44" t="n"/>
      <c r="AB363" s="44" t="n"/>
      <c r="AC363" s="42" t="inlineStr">
        <is>
          <t>IF(F363="","",IF(COUNT(AI363:AV363)=0,IF(AA363="","Not started",AA363),SUBSTITUTE(LOOKUP(2,1/(AI363:AV363&lt;&gt;""),$AI$3:$AV$3),"Date: ","")))</t>
        </is>
      </c>
      <c r="AD363" s="49" t="inlineStr">
        <is>
          <t>IF(OR(F363="",COUNT(AI363:AV363)=0),"",TODAY()-LOOKUP(2,1/(AI363:AV363&lt;&gt;""),AI363:AV363))</t>
        </is>
      </c>
      <c r="AE363" s="49" t="inlineStr">
        <is>
          <t>IF(OR(F363="",COUNT(AI363:AV363)&lt;2),"",LOOKUP(2,1/(AI363:AV363&lt;&gt;""),AI363:AV363)-MIN(AI363:AV363))</t>
        </is>
      </c>
      <c r="AF363" s="49" t="inlineStr">
        <is>
          <t>IF(OR(AD363="",AC363="Not started",AC363=""),"",IFERROR(AD363-IF(VLOOKUP(AC363,'06_Status_Pipeline'!$B$3:$E$20,4,FALSE)="",0,VLOOKUP(AC363,'06_Status_Pipeline'!$B$3:$E$20,4,FALSE)),""))</t>
        </is>
      </c>
      <c r="AG363" s="42" t="inlineStr">
        <is>
          <t>IF(F363="","",IF(OR(AA363="Cancelled",AC363="Cancelled"),"Cancelled",IF(OR(AC363="Completed / Handover",Y363&lt;&gt;"",Z363&gt;=100),"Completed — on track",IF(O363="Not awarded",IF(U363="",IF(X363="","No planned date",IF(TODAY()&gt;X363,"Behind — past planned date",IF(X363-TODAY()&lt;=30,"At risk — close to off track","On track"))),IF(TODAY()&gt;U363,"Behind — award date passed",IF(U363-TODAY()&lt;=30,"At risk — close to off track","On track"))),IF(X363="","No planned date",IF(AND(TODAY()&gt;X363,OR(Z363="",Z363&lt;100)),"Behind — past end date",IF(AND(T363&lt;&gt;"",X363&lt;&gt;"",Z363&lt;&gt;"",(Z363&lt;100),((TODAY()-T363)/MAX(X363-T363,1)*100)-Z363&gt;15),"Behind — progress lag",IF(AND(X363-TODAY()&lt;=30,X363-TODAY()&gt;=0,OR(Z363="",Z363&lt;90)),"At risk — close to off track","On track"))))))))</t>
        </is>
      </c>
      <c r="AH363" s="49" t="inlineStr">
        <is>
          <t>IF(OR(F363="",AC363="Completed / Handover",AC363="Cancelled"),"",IF(O363="Not awarded",IF(U363&lt;&gt;"",U363-TODAY(),IF(X363="","",X363-TODAY())),IF(X363="","",X363-TODAY())))</t>
        </is>
      </c>
      <c r="AI363" s="47" t="n"/>
      <c r="AJ363" s="47" t="n"/>
      <c r="AK363" s="47" t="n"/>
      <c r="AL363" s="47" t="n"/>
      <c r="AM363" s="47" t="n"/>
      <c r="AN363" s="47" t="n"/>
      <c r="AO363" s="47" t="n"/>
      <c r="AP363" s="47" t="n"/>
      <c r="AQ363" s="47" t="n"/>
      <c r="AR363" s="47" t="n"/>
      <c r="AS363" s="47" t="n"/>
      <c r="AT363" s="50" t="n"/>
      <c r="AU363" s="50" t="n"/>
      <c r="AV363" s="50" t="n"/>
      <c r="AW363" s="49" t="inlineStr">
        <is>
          <t>IF(OR(F363="",AJ363=""),"",IF(COUNT(AI363:AI363)=0,"",AJ363-LOOKUP(2,1/(AI363:AI363&lt;&gt;""),AI363:AI363)))</t>
        </is>
      </c>
      <c r="AX363" s="49" t="inlineStr">
        <is>
          <t>IF(OR(F363="",AK363=""),"",IF(COUNT(AI363:AJ363)=0,"",AK363-LOOKUP(2,1/(AI363:AJ363&lt;&gt;""),AI363:AJ363)))</t>
        </is>
      </c>
      <c r="AY363" s="49" t="inlineStr">
        <is>
          <t>IF(OR(F363="",AL363=""),"",IF(COUNT(AI363:AK363)=0,"",AL363-LOOKUP(2,1/(AI363:AK363&lt;&gt;""),AI363:AK363)))</t>
        </is>
      </c>
      <c r="AZ363" s="49" t="inlineStr">
        <is>
          <t>IF(OR(F363="",AM363=""),"",IF(COUNT(AI363:AL363)=0,"",AM363-LOOKUP(2,1/(AI363:AL363&lt;&gt;""),AI363:AL363)))</t>
        </is>
      </c>
      <c r="BA363" s="49" t="inlineStr">
        <is>
          <t>IF(OR(F363="",AN363=""),"",IF(COUNT(AI363:AM363)=0,"",AN363-LOOKUP(2,1/(AI363:AM363&lt;&gt;""),AI363:AM363)))</t>
        </is>
      </c>
      <c r="BB363" s="49" t="inlineStr">
        <is>
          <t>IF(OR(F363="",AO363=""),"",IF(COUNT(AI363:AN363)=0,"",AO363-LOOKUP(2,1/(AI363:AN363&lt;&gt;""),AI363:AN363)))</t>
        </is>
      </c>
      <c r="BC363" s="49" t="inlineStr">
        <is>
          <t>IF(OR(F363="",AP363=""),"",IF(COUNT(AI363:AO363)=0,"",AP363-LOOKUP(2,1/(AI363:AO363&lt;&gt;""),AI363:AO363)))</t>
        </is>
      </c>
      <c r="BD363" s="49" t="inlineStr">
        <is>
          <t>IF(OR(F363="",AQ363=""),"",IF(COUNT(AI363:AP363)=0,"",AQ363-LOOKUP(2,1/(AI363:AP363&lt;&gt;""),AI363:AP363)))</t>
        </is>
      </c>
      <c r="BE363" s="49" t="inlineStr">
        <is>
          <t>IF(OR(F363="",AR363=""),"",IF(COUNT(AI363:AQ363)=0,"",AR363-LOOKUP(2,1/(AI363:AQ363&lt;&gt;""),AI363:AQ363)))</t>
        </is>
      </c>
      <c r="BF363" s="49" t="inlineStr">
        <is>
          <t>IF(OR(F363="",AS363=""),"",IF(COUNT(AI363:AR363)=0,"",AS363-LOOKUP(2,1/(AI363:AR363&lt;&gt;""),AI363:AR363)))</t>
        </is>
      </c>
      <c r="BG363" s="49" t="inlineStr">
        <is>
          <t>IF(OR(F363="",AT363=""),"",IF(COUNT(AI363:AS363)=0,"",AT363-LOOKUP(2,1/(AI363:AS363&lt;&gt;""),AI363:AS363)))</t>
        </is>
      </c>
      <c r="BH363" s="49" t="inlineStr">
        <is>
          <t>IF(OR(F363="",AU363=""),"",IF(COUNT(AI363:AT363)=0,"",AU363-LOOKUP(2,1/(AI363:AT363&lt;&gt;""),AI363:AT363)))</t>
        </is>
      </c>
      <c r="BI363" s="49" t="inlineStr">
        <is>
          <t>IF(OR(F363="",AV363=""),"",IF(COUNT(AI363:AU363)=0,"",AV363-LOOKUP(2,1/(AI363:AU363&lt;&gt;""),AI363:AU363)))</t>
        </is>
      </c>
      <c r="BJ363" s="51" t="inlineStr">
        <is>
          <t>IF(J363="","All_Provinces",IFERROR(VLOOKUP(J363,'09_Lookups'!$A$4:$B$20,2,FALSE),"All_Provinces"))</t>
        </is>
      </c>
      <c r="BK363" s="51" t="inlineStr">
        <is>
          <t>IF(K363="","All_Districts",IFERROR(VLOOKUP(K363,'09_Lookups'!$E$4:$F$42,2,FALSE),"All_Districts"))</t>
        </is>
      </c>
    </row>
    <row r="364" ht="18" customHeight="1">
      <c r="A364" s="42" t="inlineStr">
        <is>
          <t>IF(F364="","",ROW()-3)</t>
        </is>
      </c>
      <c r="B364" s="52" t="n"/>
      <c r="C364" s="52" t="n"/>
      <c r="D364" s="52" t="n"/>
      <c r="E364" s="52" t="n"/>
      <c r="F364" s="52" t="n"/>
      <c r="G364" s="52" t="n"/>
      <c r="H364" s="52" t="n"/>
      <c r="I364" s="52" t="n"/>
      <c r="J364" s="52" t="n"/>
      <c r="K364" s="52" t="n"/>
      <c r="L364" s="52" t="n"/>
      <c r="M364" s="52" t="n"/>
      <c r="N364" s="52" t="n"/>
      <c r="O364" s="52" t="n"/>
      <c r="P364" s="52" t="n"/>
      <c r="Q364" s="52" t="n"/>
      <c r="R364" s="52" t="n"/>
      <c r="S364" s="53" t="n"/>
      <c r="T364" s="46" t="inlineStr">
        <is>
          <t>IF(AQ364="","",AQ364)</t>
        </is>
      </c>
      <c r="U364" s="54" t="n"/>
      <c r="V364" s="55" t="n"/>
      <c r="W364" s="54" t="n"/>
      <c r="X364" s="46" t="inlineStr">
        <is>
          <t>IF(W364&lt;&gt;"",W364,IF(OR(T364="",V364=""),"",EDATE(T364,V364)))</t>
        </is>
      </c>
      <c r="Y364" s="54" t="n"/>
      <c r="Z364" s="55" t="n"/>
      <c r="AA364" s="52" t="n"/>
      <c r="AB364" s="52" t="n"/>
      <c r="AC364" s="42" t="inlineStr">
        <is>
          <t>IF(F364="","",IF(COUNT(AI364:AV364)=0,IF(AA364="","Not started",AA364),SUBSTITUTE(LOOKUP(2,1/(AI364:AV364&lt;&gt;""),$AI$3:$AV$3),"Date: ","")))</t>
        </is>
      </c>
      <c r="AD364" s="49" t="inlineStr">
        <is>
          <t>IF(OR(F364="",COUNT(AI364:AV364)=0),"",TODAY()-LOOKUP(2,1/(AI364:AV364&lt;&gt;""),AI364:AV364))</t>
        </is>
      </c>
      <c r="AE364" s="49" t="inlineStr">
        <is>
          <t>IF(OR(F364="",COUNT(AI364:AV364)&lt;2),"",LOOKUP(2,1/(AI364:AV364&lt;&gt;""),AI364:AV364)-MIN(AI364:AV364))</t>
        </is>
      </c>
      <c r="AF364" s="49" t="inlineStr">
        <is>
          <t>IF(OR(AD364="",AC364="Not started",AC364=""),"",IFERROR(AD364-IF(VLOOKUP(AC364,'06_Status_Pipeline'!$B$3:$E$20,4,FALSE)="",0,VLOOKUP(AC364,'06_Status_Pipeline'!$B$3:$E$20,4,FALSE)),""))</t>
        </is>
      </c>
      <c r="AG364" s="42" t="inlineStr">
        <is>
          <t>IF(F364="","",IF(OR(AA364="Cancelled",AC364="Cancelled"),"Cancelled",IF(OR(AC364="Completed / Handover",Y364&lt;&gt;"",Z364&gt;=100),"Completed — on track",IF(O364="Not awarded",IF(U364="",IF(X364="","No planned date",IF(TODAY()&gt;X364,"Behind — past planned date",IF(X364-TODAY()&lt;=30,"At risk — close to off track","On track"))),IF(TODAY()&gt;U364,"Behind — award date passed",IF(U364-TODAY()&lt;=30,"At risk — close to off track","On track"))),IF(X364="","No planned date",IF(AND(TODAY()&gt;X364,OR(Z364="",Z364&lt;100)),"Behind — past end date",IF(AND(T364&lt;&gt;"",X364&lt;&gt;"",Z364&lt;&gt;"",(Z364&lt;100),((TODAY()-T364)/MAX(X364-T364,1)*100)-Z364&gt;15),"Behind — progress lag",IF(AND(X364-TODAY()&lt;=30,X364-TODAY()&gt;=0,OR(Z364="",Z364&lt;90)),"At risk — close to off track","On track"))))))))</t>
        </is>
      </c>
      <c r="AH364" s="49" t="inlineStr">
        <is>
          <t>IF(OR(F364="",AC364="Completed / Handover",AC364="Cancelled"),"",IF(O364="Not awarded",IF(U364&lt;&gt;"",U364-TODAY(),IF(X364="","",X364-TODAY())),IF(X364="","",X364-TODAY())))</t>
        </is>
      </c>
      <c r="AI364" s="54" t="n"/>
      <c r="AJ364" s="54" t="n"/>
      <c r="AK364" s="54" t="n"/>
      <c r="AL364" s="54" t="n"/>
      <c r="AM364" s="54" t="n"/>
      <c r="AN364" s="54" t="n"/>
      <c r="AO364" s="54" t="n"/>
      <c r="AP364" s="54" t="n"/>
      <c r="AQ364" s="54" t="n"/>
      <c r="AR364" s="54" t="n"/>
      <c r="AS364" s="54" t="n"/>
      <c r="AT364" s="50" t="n"/>
      <c r="AU364" s="50" t="n"/>
      <c r="AV364" s="50" t="n"/>
      <c r="AW364" s="49" t="inlineStr">
        <is>
          <t>IF(OR(F364="",AJ364=""),"",IF(COUNT(AI364:AI364)=0,"",AJ364-LOOKUP(2,1/(AI364:AI364&lt;&gt;""),AI364:AI364)))</t>
        </is>
      </c>
      <c r="AX364" s="49" t="inlineStr">
        <is>
          <t>IF(OR(F364="",AK364=""),"",IF(COUNT(AI364:AJ364)=0,"",AK364-LOOKUP(2,1/(AI364:AJ364&lt;&gt;""),AI364:AJ364)))</t>
        </is>
      </c>
      <c r="AY364" s="49" t="inlineStr">
        <is>
          <t>IF(OR(F364="",AL364=""),"",IF(COUNT(AI364:AK364)=0,"",AL364-LOOKUP(2,1/(AI364:AK364&lt;&gt;""),AI364:AK364)))</t>
        </is>
      </c>
      <c r="AZ364" s="49" t="inlineStr">
        <is>
          <t>IF(OR(F364="",AM364=""),"",IF(COUNT(AI364:AL364)=0,"",AM364-LOOKUP(2,1/(AI364:AL364&lt;&gt;""),AI364:AL364)))</t>
        </is>
      </c>
      <c r="BA364" s="49" t="inlineStr">
        <is>
          <t>IF(OR(F364="",AN364=""),"",IF(COUNT(AI364:AM364)=0,"",AN364-LOOKUP(2,1/(AI364:AM364&lt;&gt;""),AI364:AM364)))</t>
        </is>
      </c>
      <c r="BB364" s="49" t="inlineStr">
        <is>
          <t>IF(OR(F364="",AO364=""),"",IF(COUNT(AI364:AN364)=0,"",AO364-LOOKUP(2,1/(AI364:AN364&lt;&gt;""),AI364:AN364)))</t>
        </is>
      </c>
      <c r="BC364" s="49" t="inlineStr">
        <is>
          <t>IF(OR(F364="",AP364=""),"",IF(COUNT(AI364:AO364)=0,"",AP364-LOOKUP(2,1/(AI364:AO364&lt;&gt;""),AI364:AO364)))</t>
        </is>
      </c>
      <c r="BD364" s="49" t="inlineStr">
        <is>
          <t>IF(OR(F364="",AQ364=""),"",IF(COUNT(AI364:AP364)=0,"",AQ364-LOOKUP(2,1/(AI364:AP364&lt;&gt;""),AI364:AP364)))</t>
        </is>
      </c>
      <c r="BE364" s="49" t="inlineStr">
        <is>
          <t>IF(OR(F364="",AR364=""),"",IF(COUNT(AI364:AQ364)=0,"",AR364-LOOKUP(2,1/(AI364:AQ364&lt;&gt;""),AI364:AQ364)))</t>
        </is>
      </c>
      <c r="BF364" s="49" t="inlineStr">
        <is>
          <t>IF(OR(F364="",AS364=""),"",IF(COUNT(AI364:AR364)=0,"",AS364-LOOKUP(2,1/(AI364:AR364&lt;&gt;""),AI364:AR364)))</t>
        </is>
      </c>
      <c r="BG364" s="49" t="inlineStr">
        <is>
          <t>IF(OR(F364="",AT364=""),"",IF(COUNT(AI364:AS364)=0,"",AT364-LOOKUP(2,1/(AI364:AS364&lt;&gt;""),AI364:AS364)))</t>
        </is>
      </c>
      <c r="BH364" s="49" t="inlineStr">
        <is>
          <t>IF(OR(F364="",AU364=""),"",IF(COUNT(AI364:AT364)=0,"",AU364-LOOKUP(2,1/(AI364:AT364&lt;&gt;""),AI364:AT364)))</t>
        </is>
      </c>
      <c r="BI364" s="49" t="inlineStr">
        <is>
          <t>IF(OR(F364="",AV364=""),"",IF(COUNT(AI364:AU364)=0,"",AV364-LOOKUP(2,1/(AI364:AU364&lt;&gt;""),AI364:AU364)))</t>
        </is>
      </c>
      <c r="BJ364" s="51" t="inlineStr">
        <is>
          <t>IF(J364="","All_Provinces",IFERROR(VLOOKUP(J364,'09_Lookups'!$A$4:$B$20,2,FALSE),"All_Provinces"))</t>
        </is>
      </c>
      <c r="BK364" s="51" t="inlineStr">
        <is>
          <t>IF(K364="","All_Districts",IFERROR(VLOOKUP(K364,'09_Lookups'!$E$4:$F$42,2,FALSE),"All_Districts"))</t>
        </is>
      </c>
    </row>
    <row r="365" ht="18" customHeight="1">
      <c r="A365" s="42" t="inlineStr">
        <is>
          <t>IF(F365="","",ROW()-3)</t>
        </is>
      </c>
      <c r="B365" s="44" t="n"/>
      <c r="C365" s="44" t="n"/>
      <c r="D365" s="44" t="n"/>
      <c r="E365" s="44" t="n"/>
      <c r="F365" s="44" t="n"/>
      <c r="G365" s="44" t="n"/>
      <c r="H365" s="44" t="n"/>
      <c r="I365" s="44" t="n"/>
      <c r="J365" s="44" t="n"/>
      <c r="K365" s="44" t="n"/>
      <c r="L365" s="44" t="n"/>
      <c r="M365" s="44" t="n"/>
      <c r="N365" s="44" t="n"/>
      <c r="O365" s="44" t="n"/>
      <c r="P365" s="44" t="n"/>
      <c r="Q365" s="44" t="n"/>
      <c r="R365" s="44" t="n"/>
      <c r="S365" s="45" t="n"/>
      <c r="T365" s="46" t="inlineStr">
        <is>
          <t>IF(AQ365="","",AQ365)</t>
        </is>
      </c>
      <c r="U365" s="47" t="n"/>
      <c r="V365" s="48" t="n"/>
      <c r="W365" s="47" t="n"/>
      <c r="X365" s="46" t="inlineStr">
        <is>
          <t>IF(W365&lt;&gt;"",W365,IF(OR(T365="",V365=""),"",EDATE(T365,V365)))</t>
        </is>
      </c>
      <c r="Y365" s="47" t="n"/>
      <c r="Z365" s="48" t="n"/>
      <c r="AA365" s="44" t="n"/>
      <c r="AB365" s="44" t="n"/>
      <c r="AC365" s="42" t="inlineStr">
        <is>
          <t>IF(F365="","",IF(COUNT(AI365:AV365)=0,IF(AA365="","Not started",AA365),SUBSTITUTE(LOOKUP(2,1/(AI365:AV365&lt;&gt;""),$AI$3:$AV$3),"Date: ","")))</t>
        </is>
      </c>
      <c r="AD365" s="49" t="inlineStr">
        <is>
          <t>IF(OR(F365="",COUNT(AI365:AV365)=0),"",TODAY()-LOOKUP(2,1/(AI365:AV365&lt;&gt;""),AI365:AV365))</t>
        </is>
      </c>
      <c r="AE365" s="49" t="inlineStr">
        <is>
          <t>IF(OR(F365="",COUNT(AI365:AV365)&lt;2),"",LOOKUP(2,1/(AI365:AV365&lt;&gt;""),AI365:AV365)-MIN(AI365:AV365))</t>
        </is>
      </c>
      <c r="AF365" s="49" t="inlineStr">
        <is>
          <t>IF(OR(AD365="",AC365="Not started",AC365=""),"",IFERROR(AD365-IF(VLOOKUP(AC365,'06_Status_Pipeline'!$B$3:$E$20,4,FALSE)="",0,VLOOKUP(AC365,'06_Status_Pipeline'!$B$3:$E$20,4,FALSE)),""))</t>
        </is>
      </c>
      <c r="AG365" s="42" t="inlineStr">
        <is>
          <t>IF(F365="","",IF(OR(AA365="Cancelled",AC365="Cancelled"),"Cancelled",IF(OR(AC365="Completed / Handover",Y365&lt;&gt;"",Z365&gt;=100),"Completed — on track",IF(O365="Not awarded",IF(U365="",IF(X365="","No planned date",IF(TODAY()&gt;X365,"Behind — past planned date",IF(X365-TODAY()&lt;=30,"At risk — close to off track","On track"))),IF(TODAY()&gt;U365,"Behind — award date passed",IF(U365-TODAY()&lt;=30,"At risk — close to off track","On track"))),IF(X365="","No planned date",IF(AND(TODAY()&gt;X365,OR(Z365="",Z365&lt;100)),"Behind — past end date",IF(AND(T365&lt;&gt;"",X365&lt;&gt;"",Z365&lt;&gt;"",(Z365&lt;100),((TODAY()-T365)/MAX(X365-T365,1)*100)-Z365&gt;15),"Behind — progress lag",IF(AND(X365-TODAY()&lt;=30,X365-TODAY()&gt;=0,OR(Z365="",Z365&lt;90)),"At risk — close to off track","On track"))))))))</t>
        </is>
      </c>
      <c r="AH365" s="49" t="inlineStr">
        <is>
          <t>IF(OR(F365="",AC365="Completed / Handover",AC365="Cancelled"),"",IF(O365="Not awarded",IF(U365&lt;&gt;"",U365-TODAY(),IF(X365="","",X365-TODAY())),IF(X365="","",X365-TODAY())))</t>
        </is>
      </c>
      <c r="AI365" s="47" t="n"/>
      <c r="AJ365" s="47" t="n"/>
      <c r="AK365" s="47" t="n"/>
      <c r="AL365" s="47" t="n"/>
      <c r="AM365" s="47" t="n"/>
      <c r="AN365" s="47" t="n"/>
      <c r="AO365" s="47" t="n"/>
      <c r="AP365" s="47" t="n"/>
      <c r="AQ365" s="47" t="n"/>
      <c r="AR365" s="47" t="n"/>
      <c r="AS365" s="47" t="n"/>
      <c r="AT365" s="50" t="n"/>
      <c r="AU365" s="50" t="n"/>
      <c r="AV365" s="50" t="n"/>
      <c r="AW365" s="49" t="inlineStr">
        <is>
          <t>IF(OR(F365="",AJ365=""),"",IF(COUNT(AI365:AI365)=0,"",AJ365-LOOKUP(2,1/(AI365:AI365&lt;&gt;""),AI365:AI365)))</t>
        </is>
      </c>
      <c r="AX365" s="49" t="inlineStr">
        <is>
          <t>IF(OR(F365="",AK365=""),"",IF(COUNT(AI365:AJ365)=0,"",AK365-LOOKUP(2,1/(AI365:AJ365&lt;&gt;""),AI365:AJ365)))</t>
        </is>
      </c>
      <c r="AY365" s="49" t="inlineStr">
        <is>
          <t>IF(OR(F365="",AL365=""),"",IF(COUNT(AI365:AK365)=0,"",AL365-LOOKUP(2,1/(AI365:AK365&lt;&gt;""),AI365:AK365)))</t>
        </is>
      </c>
      <c r="AZ365" s="49" t="inlineStr">
        <is>
          <t>IF(OR(F365="",AM365=""),"",IF(COUNT(AI365:AL365)=0,"",AM365-LOOKUP(2,1/(AI365:AL365&lt;&gt;""),AI365:AL365)))</t>
        </is>
      </c>
      <c r="BA365" s="49" t="inlineStr">
        <is>
          <t>IF(OR(F365="",AN365=""),"",IF(COUNT(AI365:AM365)=0,"",AN365-LOOKUP(2,1/(AI365:AM365&lt;&gt;""),AI365:AM365)))</t>
        </is>
      </c>
      <c r="BB365" s="49" t="inlineStr">
        <is>
          <t>IF(OR(F365="",AO365=""),"",IF(COUNT(AI365:AN365)=0,"",AO365-LOOKUP(2,1/(AI365:AN365&lt;&gt;""),AI365:AN365)))</t>
        </is>
      </c>
      <c r="BC365" s="49" t="inlineStr">
        <is>
          <t>IF(OR(F365="",AP365=""),"",IF(COUNT(AI365:AO365)=0,"",AP365-LOOKUP(2,1/(AI365:AO365&lt;&gt;""),AI365:AO365)))</t>
        </is>
      </c>
      <c r="BD365" s="49" t="inlineStr">
        <is>
          <t>IF(OR(F365="",AQ365=""),"",IF(COUNT(AI365:AP365)=0,"",AQ365-LOOKUP(2,1/(AI365:AP365&lt;&gt;""),AI365:AP365)))</t>
        </is>
      </c>
      <c r="BE365" s="49" t="inlineStr">
        <is>
          <t>IF(OR(F365="",AR365=""),"",IF(COUNT(AI365:AQ365)=0,"",AR365-LOOKUP(2,1/(AI365:AQ365&lt;&gt;""),AI365:AQ365)))</t>
        </is>
      </c>
      <c r="BF365" s="49" t="inlineStr">
        <is>
          <t>IF(OR(F365="",AS365=""),"",IF(COUNT(AI365:AR365)=0,"",AS365-LOOKUP(2,1/(AI365:AR365&lt;&gt;""),AI365:AR365)))</t>
        </is>
      </c>
      <c r="BG365" s="49" t="inlineStr">
        <is>
          <t>IF(OR(F365="",AT365=""),"",IF(COUNT(AI365:AS365)=0,"",AT365-LOOKUP(2,1/(AI365:AS365&lt;&gt;""),AI365:AS365)))</t>
        </is>
      </c>
      <c r="BH365" s="49" t="inlineStr">
        <is>
          <t>IF(OR(F365="",AU365=""),"",IF(COUNT(AI365:AT365)=0,"",AU365-LOOKUP(2,1/(AI365:AT365&lt;&gt;""),AI365:AT365)))</t>
        </is>
      </c>
      <c r="BI365" s="49" t="inlineStr">
        <is>
          <t>IF(OR(F365="",AV365=""),"",IF(COUNT(AI365:AU365)=0,"",AV365-LOOKUP(2,1/(AI365:AU365&lt;&gt;""),AI365:AU365)))</t>
        </is>
      </c>
      <c r="BJ365" s="51" t="inlineStr">
        <is>
          <t>IF(J365="","All_Provinces",IFERROR(VLOOKUP(J365,'09_Lookups'!$A$4:$B$20,2,FALSE),"All_Provinces"))</t>
        </is>
      </c>
      <c r="BK365" s="51" t="inlineStr">
        <is>
          <t>IF(K365="","All_Districts",IFERROR(VLOOKUP(K365,'09_Lookups'!$E$4:$F$42,2,FALSE),"All_Districts"))</t>
        </is>
      </c>
    </row>
    <row r="366" ht="18" customHeight="1">
      <c r="A366" s="42" t="inlineStr">
        <is>
          <t>IF(F366="","",ROW()-3)</t>
        </is>
      </c>
      <c r="B366" s="52" t="n"/>
      <c r="C366" s="52" t="n"/>
      <c r="D366" s="52" t="n"/>
      <c r="E366" s="52" t="n"/>
      <c r="F366" s="52" t="n"/>
      <c r="G366" s="52" t="n"/>
      <c r="H366" s="52" t="n"/>
      <c r="I366" s="52" t="n"/>
      <c r="J366" s="52" t="n"/>
      <c r="K366" s="52" t="n"/>
      <c r="L366" s="52" t="n"/>
      <c r="M366" s="52" t="n"/>
      <c r="N366" s="52" t="n"/>
      <c r="O366" s="52" t="n"/>
      <c r="P366" s="52" t="n"/>
      <c r="Q366" s="52" t="n"/>
      <c r="R366" s="52" t="n"/>
      <c r="S366" s="53" t="n"/>
      <c r="T366" s="46" t="inlineStr">
        <is>
          <t>IF(AQ366="","",AQ366)</t>
        </is>
      </c>
      <c r="U366" s="54" t="n"/>
      <c r="V366" s="55" t="n"/>
      <c r="W366" s="54" t="n"/>
      <c r="X366" s="46" t="inlineStr">
        <is>
          <t>IF(W366&lt;&gt;"",W366,IF(OR(T366="",V366=""),"",EDATE(T366,V366)))</t>
        </is>
      </c>
      <c r="Y366" s="54" t="n"/>
      <c r="Z366" s="55" t="n"/>
      <c r="AA366" s="52" t="n"/>
      <c r="AB366" s="52" t="n"/>
      <c r="AC366" s="42" t="inlineStr">
        <is>
          <t>IF(F366="","",IF(COUNT(AI366:AV366)=0,IF(AA366="","Not started",AA366),SUBSTITUTE(LOOKUP(2,1/(AI366:AV366&lt;&gt;""),$AI$3:$AV$3),"Date: ","")))</t>
        </is>
      </c>
      <c r="AD366" s="49" t="inlineStr">
        <is>
          <t>IF(OR(F366="",COUNT(AI366:AV366)=0),"",TODAY()-LOOKUP(2,1/(AI366:AV366&lt;&gt;""),AI366:AV366))</t>
        </is>
      </c>
      <c r="AE366" s="49" t="inlineStr">
        <is>
          <t>IF(OR(F366="",COUNT(AI366:AV366)&lt;2),"",LOOKUP(2,1/(AI366:AV366&lt;&gt;""),AI366:AV366)-MIN(AI366:AV366))</t>
        </is>
      </c>
      <c r="AF366" s="49" t="inlineStr">
        <is>
          <t>IF(OR(AD366="",AC366="Not started",AC366=""),"",IFERROR(AD366-IF(VLOOKUP(AC366,'06_Status_Pipeline'!$B$3:$E$20,4,FALSE)="",0,VLOOKUP(AC366,'06_Status_Pipeline'!$B$3:$E$20,4,FALSE)),""))</t>
        </is>
      </c>
      <c r="AG366" s="42" t="inlineStr">
        <is>
          <t>IF(F366="","",IF(OR(AA366="Cancelled",AC366="Cancelled"),"Cancelled",IF(OR(AC366="Completed / Handover",Y366&lt;&gt;"",Z366&gt;=100),"Completed — on track",IF(O366="Not awarded",IF(U366="",IF(X366="","No planned date",IF(TODAY()&gt;X366,"Behind — past planned date",IF(X366-TODAY()&lt;=30,"At risk — close to off track","On track"))),IF(TODAY()&gt;U366,"Behind — award date passed",IF(U366-TODAY()&lt;=30,"At risk — close to off track","On track"))),IF(X366="","No planned date",IF(AND(TODAY()&gt;X366,OR(Z366="",Z366&lt;100)),"Behind — past end date",IF(AND(T366&lt;&gt;"",X366&lt;&gt;"",Z366&lt;&gt;"",(Z366&lt;100),((TODAY()-T366)/MAX(X366-T366,1)*100)-Z366&gt;15),"Behind — progress lag",IF(AND(X366-TODAY()&lt;=30,X366-TODAY()&gt;=0,OR(Z366="",Z366&lt;90)),"At risk — close to off track","On track"))))))))</t>
        </is>
      </c>
      <c r="AH366" s="49" t="inlineStr">
        <is>
          <t>IF(OR(F366="",AC366="Completed / Handover",AC366="Cancelled"),"",IF(O366="Not awarded",IF(U366&lt;&gt;"",U366-TODAY(),IF(X366="","",X366-TODAY())),IF(X366="","",X366-TODAY())))</t>
        </is>
      </c>
      <c r="AI366" s="54" t="n"/>
      <c r="AJ366" s="54" t="n"/>
      <c r="AK366" s="54" t="n"/>
      <c r="AL366" s="54" t="n"/>
      <c r="AM366" s="54" t="n"/>
      <c r="AN366" s="54" t="n"/>
      <c r="AO366" s="54" t="n"/>
      <c r="AP366" s="54" t="n"/>
      <c r="AQ366" s="54" t="n"/>
      <c r="AR366" s="54" t="n"/>
      <c r="AS366" s="54" t="n"/>
      <c r="AT366" s="50" t="n"/>
      <c r="AU366" s="50" t="n"/>
      <c r="AV366" s="50" t="n"/>
      <c r="AW366" s="49" t="inlineStr">
        <is>
          <t>IF(OR(F366="",AJ366=""),"",IF(COUNT(AI366:AI366)=0,"",AJ366-LOOKUP(2,1/(AI366:AI366&lt;&gt;""),AI366:AI366)))</t>
        </is>
      </c>
      <c r="AX366" s="49" t="inlineStr">
        <is>
          <t>IF(OR(F366="",AK366=""),"",IF(COUNT(AI366:AJ366)=0,"",AK366-LOOKUP(2,1/(AI366:AJ366&lt;&gt;""),AI366:AJ366)))</t>
        </is>
      </c>
      <c r="AY366" s="49" t="inlineStr">
        <is>
          <t>IF(OR(F366="",AL366=""),"",IF(COUNT(AI366:AK366)=0,"",AL366-LOOKUP(2,1/(AI366:AK366&lt;&gt;""),AI366:AK366)))</t>
        </is>
      </c>
      <c r="AZ366" s="49" t="inlineStr">
        <is>
          <t>IF(OR(F366="",AM366=""),"",IF(COUNT(AI366:AL366)=0,"",AM366-LOOKUP(2,1/(AI366:AL366&lt;&gt;""),AI366:AL366)))</t>
        </is>
      </c>
      <c r="BA366" s="49" t="inlineStr">
        <is>
          <t>IF(OR(F366="",AN366=""),"",IF(COUNT(AI366:AM366)=0,"",AN366-LOOKUP(2,1/(AI366:AM366&lt;&gt;""),AI366:AM366)))</t>
        </is>
      </c>
      <c r="BB366" s="49" t="inlineStr">
        <is>
          <t>IF(OR(F366="",AO366=""),"",IF(COUNT(AI366:AN366)=0,"",AO366-LOOKUP(2,1/(AI366:AN366&lt;&gt;""),AI366:AN366)))</t>
        </is>
      </c>
      <c r="BC366" s="49" t="inlineStr">
        <is>
          <t>IF(OR(F366="",AP366=""),"",IF(COUNT(AI366:AO366)=0,"",AP366-LOOKUP(2,1/(AI366:AO366&lt;&gt;""),AI366:AO366)))</t>
        </is>
      </c>
      <c r="BD366" s="49" t="inlineStr">
        <is>
          <t>IF(OR(F366="",AQ366=""),"",IF(COUNT(AI366:AP366)=0,"",AQ366-LOOKUP(2,1/(AI366:AP366&lt;&gt;""),AI366:AP366)))</t>
        </is>
      </c>
      <c r="BE366" s="49" t="inlineStr">
        <is>
          <t>IF(OR(F366="",AR366=""),"",IF(COUNT(AI366:AQ366)=0,"",AR366-LOOKUP(2,1/(AI366:AQ366&lt;&gt;""),AI366:AQ366)))</t>
        </is>
      </c>
      <c r="BF366" s="49" t="inlineStr">
        <is>
          <t>IF(OR(F366="",AS366=""),"",IF(COUNT(AI366:AR366)=0,"",AS366-LOOKUP(2,1/(AI366:AR366&lt;&gt;""),AI366:AR366)))</t>
        </is>
      </c>
      <c r="BG366" s="49" t="inlineStr">
        <is>
          <t>IF(OR(F366="",AT366=""),"",IF(COUNT(AI366:AS366)=0,"",AT366-LOOKUP(2,1/(AI366:AS366&lt;&gt;""),AI366:AS366)))</t>
        </is>
      </c>
      <c r="BH366" s="49" t="inlineStr">
        <is>
          <t>IF(OR(F366="",AU366=""),"",IF(COUNT(AI366:AT366)=0,"",AU366-LOOKUP(2,1/(AI366:AT366&lt;&gt;""),AI366:AT366)))</t>
        </is>
      </c>
      <c r="BI366" s="49" t="inlineStr">
        <is>
          <t>IF(OR(F366="",AV366=""),"",IF(COUNT(AI366:AU366)=0,"",AV366-LOOKUP(2,1/(AI366:AU366&lt;&gt;""),AI366:AU366)))</t>
        </is>
      </c>
      <c r="BJ366" s="51" t="inlineStr">
        <is>
          <t>IF(J366="","All_Provinces",IFERROR(VLOOKUP(J366,'09_Lookups'!$A$4:$B$20,2,FALSE),"All_Provinces"))</t>
        </is>
      </c>
      <c r="BK366" s="51" t="inlineStr">
        <is>
          <t>IF(K366="","All_Districts",IFERROR(VLOOKUP(K366,'09_Lookups'!$E$4:$F$42,2,FALSE),"All_Districts"))</t>
        </is>
      </c>
    </row>
    <row r="367" ht="18" customHeight="1">
      <c r="A367" s="42" t="inlineStr">
        <is>
          <t>IF(F367="","",ROW()-3)</t>
        </is>
      </c>
      <c r="B367" s="44" t="n"/>
      <c r="C367" s="44" t="n"/>
      <c r="D367" s="44" t="n"/>
      <c r="E367" s="44" t="n"/>
      <c r="F367" s="44" t="n"/>
      <c r="G367" s="44" t="n"/>
      <c r="H367" s="44" t="n"/>
      <c r="I367" s="44" t="n"/>
      <c r="J367" s="44" t="n"/>
      <c r="K367" s="44" t="n"/>
      <c r="L367" s="44" t="n"/>
      <c r="M367" s="44" t="n"/>
      <c r="N367" s="44" t="n"/>
      <c r="O367" s="44" t="n"/>
      <c r="P367" s="44" t="n"/>
      <c r="Q367" s="44" t="n"/>
      <c r="R367" s="44" t="n"/>
      <c r="S367" s="45" t="n"/>
      <c r="T367" s="46" t="inlineStr">
        <is>
          <t>IF(AQ367="","",AQ367)</t>
        </is>
      </c>
      <c r="U367" s="47" t="n"/>
      <c r="V367" s="48" t="n"/>
      <c r="W367" s="47" t="n"/>
      <c r="X367" s="46" t="inlineStr">
        <is>
          <t>IF(W367&lt;&gt;"",W367,IF(OR(T367="",V367=""),"",EDATE(T367,V367)))</t>
        </is>
      </c>
      <c r="Y367" s="47" t="n"/>
      <c r="Z367" s="48" t="n"/>
      <c r="AA367" s="44" t="n"/>
      <c r="AB367" s="44" t="n"/>
      <c r="AC367" s="42" t="inlineStr">
        <is>
          <t>IF(F367="","",IF(COUNT(AI367:AV367)=0,IF(AA367="","Not started",AA367),SUBSTITUTE(LOOKUP(2,1/(AI367:AV367&lt;&gt;""),$AI$3:$AV$3),"Date: ","")))</t>
        </is>
      </c>
      <c r="AD367" s="49" t="inlineStr">
        <is>
          <t>IF(OR(F367="",COUNT(AI367:AV367)=0),"",TODAY()-LOOKUP(2,1/(AI367:AV367&lt;&gt;""),AI367:AV367))</t>
        </is>
      </c>
      <c r="AE367" s="49" t="inlineStr">
        <is>
          <t>IF(OR(F367="",COUNT(AI367:AV367)&lt;2),"",LOOKUP(2,1/(AI367:AV367&lt;&gt;""),AI367:AV367)-MIN(AI367:AV367))</t>
        </is>
      </c>
      <c r="AF367" s="49" t="inlineStr">
        <is>
          <t>IF(OR(AD367="",AC367="Not started",AC367=""),"",IFERROR(AD367-IF(VLOOKUP(AC367,'06_Status_Pipeline'!$B$3:$E$20,4,FALSE)="",0,VLOOKUP(AC367,'06_Status_Pipeline'!$B$3:$E$20,4,FALSE)),""))</t>
        </is>
      </c>
      <c r="AG367" s="42" t="inlineStr">
        <is>
          <t>IF(F367="","",IF(OR(AA367="Cancelled",AC367="Cancelled"),"Cancelled",IF(OR(AC367="Completed / Handover",Y367&lt;&gt;"",Z367&gt;=100),"Completed — on track",IF(O367="Not awarded",IF(U367="",IF(X367="","No planned date",IF(TODAY()&gt;X367,"Behind — past planned date",IF(X367-TODAY()&lt;=30,"At risk — close to off track","On track"))),IF(TODAY()&gt;U367,"Behind — award date passed",IF(U367-TODAY()&lt;=30,"At risk — close to off track","On track"))),IF(X367="","No planned date",IF(AND(TODAY()&gt;X367,OR(Z367="",Z367&lt;100)),"Behind — past end date",IF(AND(T367&lt;&gt;"",X367&lt;&gt;"",Z367&lt;&gt;"",(Z367&lt;100),((TODAY()-T367)/MAX(X367-T367,1)*100)-Z367&gt;15),"Behind — progress lag",IF(AND(X367-TODAY()&lt;=30,X367-TODAY()&gt;=0,OR(Z367="",Z367&lt;90)),"At risk — close to off track","On track"))))))))</t>
        </is>
      </c>
      <c r="AH367" s="49" t="inlineStr">
        <is>
          <t>IF(OR(F367="",AC367="Completed / Handover",AC367="Cancelled"),"",IF(O367="Not awarded",IF(U367&lt;&gt;"",U367-TODAY(),IF(X367="","",X367-TODAY())),IF(X367="","",X367-TODAY())))</t>
        </is>
      </c>
      <c r="AI367" s="47" t="n"/>
      <c r="AJ367" s="47" t="n"/>
      <c r="AK367" s="47" t="n"/>
      <c r="AL367" s="47" t="n"/>
      <c r="AM367" s="47" t="n"/>
      <c r="AN367" s="47" t="n"/>
      <c r="AO367" s="47" t="n"/>
      <c r="AP367" s="47" t="n"/>
      <c r="AQ367" s="47" t="n"/>
      <c r="AR367" s="47" t="n"/>
      <c r="AS367" s="47" t="n"/>
      <c r="AT367" s="50" t="n"/>
      <c r="AU367" s="50" t="n"/>
      <c r="AV367" s="50" t="n"/>
      <c r="AW367" s="49" t="inlineStr">
        <is>
          <t>IF(OR(F367="",AJ367=""),"",IF(COUNT(AI367:AI367)=0,"",AJ367-LOOKUP(2,1/(AI367:AI367&lt;&gt;""),AI367:AI367)))</t>
        </is>
      </c>
      <c r="AX367" s="49" t="inlineStr">
        <is>
          <t>IF(OR(F367="",AK367=""),"",IF(COUNT(AI367:AJ367)=0,"",AK367-LOOKUP(2,1/(AI367:AJ367&lt;&gt;""),AI367:AJ367)))</t>
        </is>
      </c>
      <c r="AY367" s="49" t="inlineStr">
        <is>
          <t>IF(OR(F367="",AL367=""),"",IF(COUNT(AI367:AK367)=0,"",AL367-LOOKUP(2,1/(AI367:AK367&lt;&gt;""),AI367:AK367)))</t>
        </is>
      </c>
      <c r="AZ367" s="49" t="inlineStr">
        <is>
          <t>IF(OR(F367="",AM367=""),"",IF(COUNT(AI367:AL367)=0,"",AM367-LOOKUP(2,1/(AI367:AL367&lt;&gt;""),AI367:AL367)))</t>
        </is>
      </c>
      <c r="BA367" s="49" t="inlineStr">
        <is>
          <t>IF(OR(F367="",AN367=""),"",IF(COUNT(AI367:AM367)=0,"",AN367-LOOKUP(2,1/(AI367:AM367&lt;&gt;""),AI367:AM367)))</t>
        </is>
      </c>
      <c r="BB367" s="49" t="inlineStr">
        <is>
          <t>IF(OR(F367="",AO367=""),"",IF(COUNT(AI367:AN367)=0,"",AO367-LOOKUP(2,1/(AI367:AN367&lt;&gt;""),AI367:AN367)))</t>
        </is>
      </c>
      <c r="BC367" s="49" t="inlineStr">
        <is>
          <t>IF(OR(F367="",AP367=""),"",IF(COUNT(AI367:AO367)=0,"",AP367-LOOKUP(2,1/(AI367:AO367&lt;&gt;""),AI367:AO367)))</t>
        </is>
      </c>
      <c r="BD367" s="49" t="inlineStr">
        <is>
          <t>IF(OR(F367="",AQ367=""),"",IF(COUNT(AI367:AP367)=0,"",AQ367-LOOKUP(2,1/(AI367:AP367&lt;&gt;""),AI367:AP367)))</t>
        </is>
      </c>
      <c r="BE367" s="49" t="inlineStr">
        <is>
          <t>IF(OR(F367="",AR367=""),"",IF(COUNT(AI367:AQ367)=0,"",AR367-LOOKUP(2,1/(AI367:AQ367&lt;&gt;""),AI367:AQ367)))</t>
        </is>
      </c>
      <c r="BF367" s="49" t="inlineStr">
        <is>
          <t>IF(OR(F367="",AS367=""),"",IF(COUNT(AI367:AR367)=0,"",AS367-LOOKUP(2,1/(AI367:AR367&lt;&gt;""),AI367:AR367)))</t>
        </is>
      </c>
      <c r="BG367" s="49" t="inlineStr">
        <is>
          <t>IF(OR(F367="",AT367=""),"",IF(COUNT(AI367:AS367)=0,"",AT367-LOOKUP(2,1/(AI367:AS367&lt;&gt;""),AI367:AS367)))</t>
        </is>
      </c>
      <c r="BH367" s="49" t="inlineStr">
        <is>
          <t>IF(OR(F367="",AU367=""),"",IF(COUNT(AI367:AT367)=0,"",AU367-LOOKUP(2,1/(AI367:AT367&lt;&gt;""),AI367:AT367)))</t>
        </is>
      </c>
      <c r="BI367" s="49" t="inlineStr">
        <is>
          <t>IF(OR(F367="",AV367=""),"",IF(COUNT(AI367:AU367)=0,"",AV367-LOOKUP(2,1/(AI367:AU367&lt;&gt;""),AI367:AU367)))</t>
        </is>
      </c>
      <c r="BJ367" s="51" t="inlineStr">
        <is>
          <t>IF(J367="","All_Provinces",IFERROR(VLOOKUP(J367,'09_Lookups'!$A$4:$B$20,2,FALSE),"All_Provinces"))</t>
        </is>
      </c>
      <c r="BK367" s="51" t="inlineStr">
        <is>
          <t>IF(K367="","All_Districts",IFERROR(VLOOKUP(K367,'09_Lookups'!$E$4:$F$42,2,FALSE),"All_Districts"))</t>
        </is>
      </c>
    </row>
    <row r="368" ht="18" customHeight="1">
      <c r="A368" s="42" t="inlineStr">
        <is>
          <t>IF(F368="","",ROW()-3)</t>
        </is>
      </c>
      <c r="B368" s="52" t="n"/>
      <c r="C368" s="52" t="n"/>
      <c r="D368" s="52" t="n"/>
      <c r="E368" s="52" t="n"/>
      <c r="F368" s="52" t="n"/>
      <c r="G368" s="52" t="n"/>
      <c r="H368" s="52" t="n"/>
      <c r="I368" s="52" t="n"/>
      <c r="J368" s="52" t="n"/>
      <c r="K368" s="52" t="n"/>
      <c r="L368" s="52" t="n"/>
      <c r="M368" s="52" t="n"/>
      <c r="N368" s="52" t="n"/>
      <c r="O368" s="52" t="n"/>
      <c r="P368" s="52" t="n"/>
      <c r="Q368" s="52" t="n"/>
      <c r="R368" s="52" t="n"/>
      <c r="S368" s="53" t="n"/>
      <c r="T368" s="46" t="inlineStr">
        <is>
          <t>IF(AQ368="","",AQ368)</t>
        </is>
      </c>
      <c r="U368" s="54" t="n"/>
      <c r="V368" s="55" t="n"/>
      <c r="W368" s="54" t="n"/>
      <c r="X368" s="46" t="inlineStr">
        <is>
          <t>IF(W368&lt;&gt;"",W368,IF(OR(T368="",V368=""),"",EDATE(T368,V368)))</t>
        </is>
      </c>
      <c r="Y368" s="54" t="n"/>
      <c r="Z368" s="55" t="n"/>
      <c r="AA368" s="52" t="n"/>
      <c r="AB368" s="52" t="n"/>
      <c r="AC368" s="42" t="inlineStr">
        <is>
          <t>IF(F368="","",IF(COUNT(AI368:AV368)=0,IF(AA368="","Not started",AA368),SUBSTITUTE(LOOKUP(2,1/(AI368:AV368&lt;&gt;""),$AI$3:$AV$3),"Date: ","")))</t>
        </is>
      </c>
      <c r="AD368" s="49" t="inlineStr">
        <is>
          <t>IF(OR(F368="",COUNT(AI368:AV368)=0),"",TODAY()-LOOKUP(2,1/(AI368:AV368&lt;&gt;""),AI368:AV368))</t>
        </is>
      </c>
      <c r="AE368" s="49" t="inlineStr">
        <is>
          <t>IF(OR(F368="",COUNT(AI368:AV368)&lt;2),"",LOOKUP(2,1/(AI368:AV368&lt;&gt;""),AI368:AV368)-MIN(AI368:AV368))</t>
        </is>
      </c>
      <c r="AF368" s="49" t="inlineStr">
        <is>
          <t>IF(OR(AD368="",AC368="Not started",AC368=""),"",IFERROR(AD368-IF(VLOOKUP(AC368,'06_Status_Pipeline'!$B$3:$E$20,4,FALSE)="",0,VLOOKUP(AC368,'06_Status_Pipeline'!$B$3:$E$20,4,FALSE)),""))</t>
        </is>
      </c>
      <c r="AG368" s="42" t="inlineStr">
        <is>
          <t>IF(F368="","",IF(OR(AA368="Cancelled",AC368="Cancelled"),"Cancelled",IF(OR(AC368="Completed / Handover",Y368&lt;&gt;"",Z368&gt;=100),"Completed — on track",IF(O368="Not awarded",IF(U368="",IF(X368="","No planned date",IF(TODAY()&gt;X368,"Behind — past planned date",IF(X368-TODAY()&lt;=30,"At risk — close to off track","On track"))),IF(TODAY()&gt;U368,"Behind — award date passed",IF(U368-TODAY()&lt;=30,"At risk — close to off track","On track"))),IF(X368="","No planned date",IF(AND(TODAY()&gt;X368,OR(Z368="",Z368&lt;100)),"Behind — past end date",IF(AND(T368&lt;&gt;"",X368&lt;&gt;"",Z368&lt;&gt;"",(Z368&lt;100),((TODAY()-T368)/MAX(X368-T368,1)*100)-Z368&gt;15),"Behind — progress lag",IF(AND(X368-TODAY()&lt;=30,X368-TODAY()&gt;=0,OR(Z368="",Z368&lt;90)),"At risk — close to off track","On track"))))))))</t>
        </is>
      </c>
      <c r="AH368" s="49" t="inlineStr">
        <is>
          <t>IF(OR(F368="",AC368="Completed / Handover",AC368="Cancelled"),"",IF(O368="Not awarded",IF(U368&lt;&gt;"",U368-TODAY(),IF(X368="","",X368-TODAY())),IF(X368="","",X368-TODAY())))</t>
        </is>
      </c>
      <c r="AI368" s="54" t="n"/>
      <c r="AJ368" s="54" t="n"/>
      <c r="AK368" s="54" t="n"/>
      <c r="AL368" s="54" t="n"/>
      <c r="AM368" s="54" t="n"/>
      <c r="AN368" s="54" t="n"/>
      <c r="AO368" s="54" t="n"/>
      <c r="AP368" s="54" t="n"/>
      <c r="AQ368" s="54" t="n"/>
      <c r="AR368" s="54" t="n"/>
      <c r="AS368" s="54" t="n"/>
      <c r="AT368" s="50" t="n"/>
      <c r="AU368" s="50" t="n"/>
      <c r="AV368" s="50" t="n"/>
      <c r="AW368" s="49" t="inlineStr">
        <is>
          <t>IF(OR(F368="",AJ368=""),"",IF(COUNT(AI368:AI368)=0,"",AJ368-LOOKUP(2,1/(AI368:AI368&lt;&gt;""),AI368:AI368)))</t>
        </is>
      </c>
      <c r="AX368" s="49" t="inlineStr">
        <is>
          <t>IF(OR(F368="",AK368=""),"",IF(COUNT(AI368:AJ368)=0,"",AK368-LOOKUP(2,1/(AI368:AJ368&lt;&gt;""),AI368:AJ368)))</t>
        </is>
      </c>
      <c r="AY368" s="49" t="inlineStr">
        <is>
          <t>IF(OR(F368="",AL368=""),"",IF(COUNT(AI368:AK368)=0,"",AL368-LOOKUP(2,1/(AI368:AK368&lt;&gt;""),AI368:AK368)))</t>
        </is>
      </c>
      <c r="AZ368" s="49" t="inlineStr">
        <is>
          <t>IF(OR(F368="",AM368=""),"",IF(COUNT(AI368:AL368)=0,"",AM368-LOOKUP(2,1/(AI368:AL368&lt;&gt;""),AI368:AL368)))</t>
        </is>
      </c>
      <c r="BA368" s="49" t="inlineStr">
        <is>
          <t>IF(OR(F368="",AN368=""),"",IF(COUNT(AI368:AM368)=0,"",AN368-LOOKUP(2,1/(AI368:AM368&lt;&gt;""),AI368:AM368)))</t>
        </is>
      </c>
      <c r="BB368" s="49" t="inlineStr">
        <is>
          <t>IF(OR(F368="",AO368=""),"",IF(COUNT(AI368:AN368)=0,"",AO368-LOOKUP(2,1/(AI368:AN368&lt;&gt;""),AI368:AN368)))</t>
        </is>
      </c>
      <c r="BC368" s="49" t="inlineStr">
        <is>
          <t>IF(OR(F368="",AP368=""),"",IF(COUNT(AI368:AO368)=0,"",AP368-LOOKUP(2,1/(AI368:AO368&lt;&gt;""),AI368:AO368)))</t>
        </is>
      </c>
      <c r="BD368" s="49" t="inlineStr">
        <is>
          <t>IF(OR(F368="",AQ368=""),"",IF(COUNT(AI368:AP368)=0,"",AQ368-LOOKUP(2,1/(AI368:AP368&lt;&gt;""),AI368:AP368)))</t>
        </is>
      </c>
      <c r="BE368" s="49" t="inlineStr">
        <is>
          <t>IF(OR(F368="",AR368=""),"",IF(COUNT(AI368:AQ368)=0,"",AR368-LOOKUP(2,1/(AI368:AQ368&lt;&gt;""),AI368:AQ368)))</t>
        </is>
      </c>
      <c r="BF368" s="49" t="inlineStr">
        <is>
          <t>IF(OR(F368="",AS368=""),"",IF(COUNT(AI368:AR368)=0,"",AS368-LOOKUP(2,1/(AI368:AR368&lt;&gt;""),AI368:AR368)))</t>
        </is>
      </c>
      <c r="BG368" s="49" t="inlineStr">
        <is>
          <t>IF(OR(F368="",AT368=""),"",IF(COUNT(AI368:AS368)=0,"",AT368-LOOKUP(2,1/(AI368:AS368&lt;&gt;""),AI368:AS368)))</t>
        </is>
      </c>
      <c r="BH368" s="49" t="inlineStr">
        <is>
          <t>IF(OR(F368="",AU368=""),"",IF(COUNT(AI368:AT368)=0,"",AU368-LOOKUP(2,1/(AI368:AT368&lt;&gt;""),AI368:AT368)))</t>
        </is>
      </c>
      <c r="BI368" s="49" t="inlineStr">
        <is>
          <t>IF(OR(F368="",AV368=""),"",IF(COUNT(AI368:AU368)=0,"",AV368-LOOKUP(2,1/(AI368:AU368&lt;&gt;""),AI368:AU368)))</t>
        </is>
      </c>
      <c r="BJ368" s="51" t="inlineStr">
        <is>
          <t>IF(J368="","All_Provinces",IFERROR(VLOOKUP(J368,'09_Lookups'!$A$4:$B$20,2,FALSE),"All_Provinces"))</t>
        </is>
      </c>
      <c r="BK368" s="51" t="inlineStr">
        <is>
          <t>IF(K368="","All_Districts",IFERROR(VLOOKUP(K368,'09_Lookups'!$E$4:$F$42,2,FALSE),"All_Districts"))</t>
        </is>
      </c>
    </row>
    <row r="369" ht="18" customHeight="1">
      <c r="A369" s="42" t="inlineStr">
        <is>
          <t>IF(F369="","",ROW()-3)</t>
        </is>
      </c>
      <c r="B369" s="44" t="n"/>
      <c r="C369" s="44" t="n"/>
      <c r="D369" s="44" t="n"/>
      <c r="E369" s="44" t="n"/>
      <c r="F369" s="44" t="n"/>
      <c r="G369" s="44" t="n"/>
      <c r="H369" s="44" t="n"/>
      <c r="I369" s="44" t="n"/>
      <c r="J369" s="44" t="n"/>
      <c r="K369" s="44" t="n"/>
      <c r="L369" s="44" t="n"/>
      <c r="M369" s="44" t="n"/>
      <c r="N369" s="44" t="n"/>
      <c r="O369" s="44" t="n"/>
      <c r="P369" s="44" t="n"/>
      <c r="Q369" s="44" t="n"/>
      <c r="R369" s="44" t="n"/>
      <c r="S369" s="45" t="n"/>
      <c r="T369" s="46" t="inlineStr">
        <is>
          <t>IF(AQ369="","",AQ369)</t>
        </is>
      </c>
      <c r="U369" s="47" t="n"/>
      <c r="V369" s="48" t="n"/>
      <c r="W369" s="47" t="n"/>
      <c r="X369" s="46" t="inlineStr">
        <is>
          <t>IF(W369&lt;&gt;"",W369,IF(OR(T369="",V369=""),"",EDATE(T369,V369)))</t>
        </is>
      </c>
      <c r="Y369" s="47" t="n"/>
      <c r="Z369" s="48" t="n"/>
      <c r="AA369" s="44" t="n"/>
      <c r="AB369" s="44" t="n"/>
      <c r="AC369" s="42" t="inlineStr">
        <is>
          <t>IF(F369="","",IF(COUNT(AI369:AV369)=0,IF(AA369="","Not started",AA369),SUBSTITUTE(LOOKUP(2,1/(AI369:AV369&lt;&gt;""),$AI$3:$AV$3),"Date: ","")))</t>
        </is>
      </c>
      <c r="AD369" s="49" t="inlineStr">
        <is>
          <t>IF(OR(F369="",COUNT(AI369:AV369)=0),"",TODAY()-LOOKUP(2,1/(AI369:AV369&lt;&gt;""),AI369:AV369))</t>
        </is>
      </c>
      <c r="AE369" s="49" t="inlineStr">
        <is>
          <t>IF(OR(F369="",COUNT(AI369:AV369)&lt;2),"",LOOKUP(2,1/(AI369:AV369&lt;&gt;""),AI369:AV369)-MIN(AI369:AV369))</t>
        </is>
      </c>
      <c r="AF369" s="49" t="inlineStr">
        <is>
          <t>IF(OR(AD369="",AC369="Not started",AC369=""),"",IFERROR(AD369-IF(VLOOKUP(AC369,'06_Status_Pipeline'!$B$3:$E$20,4,FALSE)="",0,VLOOKUP(AC369,'06_Status_Pipeline'!$B$3:$E$20,4,FALSE)),""))</t>
        </is>
      </c>
      <c r="AG369" s="42" t="inlineStr">
        <is>
          <t>IF(F369="","",IF(OR(AA369="Cancelled",AC369="Cancelled"),"Cancelled",IF(OR(AC369="Completed / Handover",Y369&lt;&gt;"",Z369&gt;=100),"Completed — on track",IF(O369="Not awarded",IF(U369="",IF(X369="","No planned date",IF(TODAY()&gt;X369,"Behind — past planned date",IF(X369-TODAY()&lt;=30,"At risk — close to off track","On track"))),IF(TODAY()&gt;U369,"Behind — award date passed",IF(U369-TODAY()&lt;=30,"At risk — close to off track","On track"))),IF(X369="","No planned date",IF(AND(TODAY()&gt;X369,OR(Z369="",Z369&lt;100)),"Behind — past end date",IF(AND(T369&lt;&gt;"",X369&lt;&gt;"",Z369&lt;&gt;"",(Z369&lt;100),((TODAY()-T369)/MAX(X369-T369,1)*100)-Z369&gt;15),"Behind — progress lag",IF(AND(X369-TODAY()&lt;=30,X369-TODAY()&gt;=0,OR(Z369="",Z369&lt;90)),"At risk — close to off track","On track"))))))))</t>
        </is>
      </c>
      <c r="AH369" s="49" t="inlineStr">
        <is>
          <t>IF(OR(F369="",AC369="Completed / Handover",AC369="Cancelled"),"",IF(O369="Not awarded",IF(U369&lt;&gt;"",U369-TODAY(),IF(X369="","",X369-TODAY())),IF(X369="","",X369-TODAY())))</t>
        </is>
      </c>
      <c r="AI369" s="47" t="n"/>
      <c r="AJ369" s="47" t="n"/>
      <c r="AK369" s="47" t="n"/>
      <c r="AL369" s="47" t="n"/>
      <c r="AM369" s="47" t="n"/>
      <c r="AN369" s="47" t="n"/>
      <c r="AO369" s="47" t="n"/>
      <c r="AP369" s="47" t="n"/>
      <c r="AQ369" s="47" t="n"/>
      <c r="AR369" s="47" t="n"/>
      <c r="AS369" s="47" t="n"/>
      <c r="AT369" s="50" t="n"/>
      <c r="AU369" s="50" t="n"/>
      <c r="AV369" s="50" t="n"/>
      <c r="AW369" s="49" t="inlineStr">
        <is>
          <t>IF(OR(F369="",AJ369=""),"",IF(COUNT(AI369:AI369)=0,"",AJ369-LOOKUP(2,1/(AI369:AI369&lt;&gt;""),AI369:AI369)))</t>
        </is>
      </c>
      <c r="AX369" s="49" t="inlineStr">
        <is>
          <t>IF(OR(F369="",AK369=""),"",IF(COUNT(AI369:AJ369)=0,"",AK369-LOOKUP(2,1/(AI369:AJ369&lt;&gt;""),AI369:AJ369)))</t>
        </is>
      </c>
      <c r="AY369" s="49" t="inlineStr">
        <is>
          <t>IF(OR(F369="",AL369=""),"",IF(COUNT(AI369:AK369)=0,"",AL369-LOOKUP(2,1/(AI369:AK369&lt;&gt;""),AI369:AK369)))</t>
        </is>
      </c>
      <c r="AZ369" s="49" t="inlineStr">
        <is>
          <t>IF(OR(F369="",AM369=""),"",IF(COUNT(AI369:AL369)=0,"",AM369-LOOKUP(2,1/(AI369:AL369&lt;&gt;""),AI369:AL369)))</t>
        </is>
      </c>
      <c r="BA369" s="49" t="inlineStr">
        <is>
          <t>IF(OR(F369="",AN369=""),"",IF(COUNT(AI369:AM369)=0,"",AN369-LOOKUP(2,1/(AI369:AM369&lt;&gt;""),AI369:AM369)))</t>
        </is>
      </c>
      <c r="BB369" s="49" t="inlineStr">
        <is>
          <t>IF(OR(F369="",AO369=""),"",IF(COUNT(AI369:AN369)=0,"",AO369-LOOKUP(2,1/(AI369:AN369&lt;&gt;""),AI369:AN369)))</t>
        </is>
      </c>
      <c r="BC369" s="49" t="inlineStr">
        <is>
          <t>IF(OR(F369="",AP369=""),"",IF(COUNT(AI369:AO369)=0,"",AP369-LOOKUP(2,1/(AI369:AO369&lt;&gt;""),AI369:AO369)))</t>
        </is>
      </c>
      <c r="BD369" s="49" t="inlineStr">
        <is>
          <t>IF(OR(F369="",AQ369=""),"",IF(COUNT(AI369:AP369)=0,"",AQ369-LOOKUP(2,1/(AI369:AP369&lt;&gt;""),AI369:AP369)))</t>
        </is>
      </c>
      <c r="BE369" s="49" t="inlineStr">
        <is>
          <t>IF(OR(F369="",AR369=""),"",IF(COUNT(AI369:AQ369)=0,"",AR369-LOOKUP(2,1/(AI369:AQ369&lt;&gt;""),AI369:AQ369)))</t>
        </is>
      </c>
      <c r="BF369" s="49" t="inlineStr">
        <is>
          <t>IF(OR(F369="",AS369=""),"",IF(COUNT(AI369:AR369)=0,"",AS369-LOOKUP(2,1/(AI369:AR369&lt;&gt;""),AI369:AR369)))</t>
        </is>
      </c>
      <c r="BG369" s="49" t="inlineStr">
        <is>
          <t>IF(OR(F369="",AT369=""),"",IF(COUNT(AI369:AS369)=0,"",AT369-LOOKUP(2,1/(AI369:AS369&lt;&gt;""),AI369:AS369)))</t>
        </is>
      </c>
      <c r="BH369" s="49" t="inlineStr">
        <is>
          <t>IF(OR(F369="",AU369=""),"",IF(COUNT(AI369:AT369)=0,"",AU369-LOOKUP(2,1/(AI369:AT369&lt;&gt;""),AI369:AT369)))</t>
        </is>
      </c>
      <c r="BI369" s="49" t="inlineStr">
        <is>
          <t>IF(OR(F369="",AV369=""),"",IF(COUNT(AI369:AU369)=0,"",AV369-LOOKUP(2,1/(AI369:AU369&lt;&gt;""),AI369:AU369)))</t>
        </is>
      </c>
      <c r="BJ369" s="51" t="inlineStr">
        <is>
          <t>IF(J369="","All_Provinces",IFERROR(VLOOKUP(J369,'09_Lookups'!$A$4:$B$20,2,FALSE),"All_Provinces"))</t>
        </is>
      </c>
      <c r="BK369" s="51" t="inlineStr">
        <is>
          <t>IF(K369="","All_Districts",IFERROR(VLOOKUP(K369,'09_Lookups'!$E$4:$F$42,2,FALSE),"All_Districts"))</t>
        </is>
      </c>
    </row>
    <row r="370" ht="18" customHeight="1">
      <c r="A370" s="42" t="inlineStr">
        <is>
          <t>IF(F370="","",ROW()-3)</t>
        </is>
      </c>
      <c r="B370" s="52" t="n"/>
      <c r="C370" s="52" t="n"/>
      <c r="D370" s="52" t="n"/>
      <c r="E370" s="52" t="n"/>
      <c r="F370" s="52" t="n"/>
      <c r="G370" s="52" t="n"/>
      <c r="H370" s="52" t="n"/>
      <c r="I370" s="52" t="n"/>
      <c r="J370" s="52" t="n"/>
      <c r="K370" s="52" t="n"/>
      <c r="L370" s="52" t="n"/>
      <c r="M370" s="52" t="n"/>
      <c r="N370" s="52" t="n"/>
      <c r="O370" s="52" t="n"/>
      <c r="P370" s="52" t="n"/>
      <c r="Q370" s="52" t="n"/>
      <c r="R370" s="52" t="n"/>
      <c r="S370" s="53" t="n"/>
      <c r="T370" s="46" t="inlineStr">
        <is>
          <t>IF(AQ370="","",AQ370)</t>
        </is>
      </c>
      <c r="U370" s="54" t="n"/>
      <c r="V370" s="55" t="n"/>
      <c r="W370" s="54" t="n"/>
      <c r="X370" s="46" t="inlineStr">
        <is>
          <t>IF(W370&lt;&gt;"",W370,IF(OR(T370="",V370=""),"",EDATE(T370,V370)))</t>
        </is>
      </c>
      <c r="Y370" s="54" t="n"/>
      <c r="Z370" s="55" t="n"/>
      <c r="AA370" s="52" t="n"/>
      <c r="AB370" s="52" t="n"/>
      <c r="AC370" s="42" t="inlineStr">
        <is>
          <t>IF(F370="","",IF(COUNT(AI370:AV370)=0,IF(AA370="","Not started",AA370),SUBSTITUTE(LOOKUP(2,1/(AI370:AV370&lt;&gt;""),$AI$3:$AV$3),"Date: ","")))</t>
        </is>
      </c>
      <c r="AD370" s="49" t="inlineStr">
        <is>
          <t>IF(OR(F370="",COUNT(AI370:AV370)=0),"",TODAY()-LOOKUP(2,1/(AI370:AV370&lt;&gt;""),AI370:AV370))</t>
        </is>
      </c>
      <c r="AE370" s="49" t="inlineStr">
        <is>
          <t>IF(OR(F370="",COUNT(AI370:AV370)&lt;2),"",LOOKUP(2,1/(AI370:AV370&lt;&gt;""),AI370:AV370)-MIN(AI370:AV370))</t>
        </is>
      </c>
      <c r="AF370" s="49" t="inlineStr">
        <is>
          <t>IF(OR(AD370="",AC370="Not started",AC370=""),"",IFERROR(AD370-IF(VLOOKUP(AC370,'06_Status_Pipeline'!$B$3:$E$20,4,FALSE)="",0,VLOOKUP(AC370,'06_Status_Pipeline'!$B$3:$E$20,4,FALSE)),""))</t>
        </is>
      </c>
      <c r="AG370" s="42" t="inlineStr">
        <is>
          <t>IF(F370="","",IF(OR(AA370="Cancelled",AC370="Cancelled"),"Cancelled",IF(OR(AC370="Completed / Handover",Y370&lt;&gt;"",Z370&gt;=100),"Completed — on track",IF(O370="Not awarded",IF(U370="",IF(X370="","No planned date",IF(TODAY()&gt;X370,"Behind — past planned date",IF(X370-TODAY()&lt;=30,"At risk — close to off track","On track"))),IF(TODAY()&gt;U370,"Behind — award date passed",IF(U370-TODAY()&lt;=30,"At risk — close to off track","On track"))),IF(X370="","No planned date",IF(AND(TODAY()&gt;X370,OR(Z370="",Z370&lt;100)),"Behind — past end date",IF(AND(T370&lt;&gt;"",X370&lt;&gt;"",Z370&lt;&gt;"",(Z370&lt;100),((TODAY()-T370)/MAX(X370-T370,1)*100)-Z370&gt;15),"Behind — progress lag",IF(AND(X370-TODAY()&lt;=30,X370-TODAY()&gt;=0,OR(Z370="",Z370&lt;90)),"At risk — close to off track","On track"))))))))</t>
        </is>
      </c>
      <c r="AH370" s="49" t="inlineStr">
        <is>
          <t>IF(OR(F370="",AC370="Completed / Handover",AC370="Cancelled"),"",IF(O370="Not awarded",IF(U370&lt;&gt;"",U370-TODAY(),IF(X370="","",X370-TODAY())),IF(X370="","",X370-TODAY())))</t>
        </is>
      </c>
      <c r="AI370" s="54" t="n"/>
      <c r="AJ370" s="54" t="n"/>
      <c r="AK370" s="54" t="n"/>
      <c r="AL370" s="54" t="n"/>
      <c r="AM370" s="54" t="n"/>
      <c r="AN370" s="54" t="n"/>
      <c r="AO370" s="54" t="n"/>
      <c r="AP370" s="54" t="n"/>
      <c r="AQ370" s="54" t="n"/>
      <c r="AR370" s="54" t="n"/>
      <c r="AS370" s="54" t="n"/>
      <c r="AT370" s="50" t="n"/>
      <c r="AU370" s="50" t="n"/>
      <c r="AV370" s="50" t="n"/>
      <c r="AW370" s="49" t="inlineStr">
        <is>
          <t>IF(OR(F370="",AJ370=""),"",IF(COUNT(AI370:AI370)=0,"",AJ370-LOOKUP(2,1/(AI370:AI370&lt;&gt;""),AI370:AI370)))</t>
        </is>
      </c>
      <c r="AX370" s="49" t="inlineStr">
        <is>
          <t>IF(OR(F370="",AK370=""),"",IF(COUNT(AI370:AJ370)=0,"",AK370-LOOKUP(2,1/(AI370:AJ370&lt;&gt;""),AI370:AJ370)))</t>
        </is>
      </c>
      <c r="AY370" s="49" t="inlineStr">
        <is>
          <t>IF(OR(F370="",AL370=""),"",IF(COUNT(AI370:AK370)=0,"",AL370-LOOKUP(2,1/(AI370:AK370&lt;&gt;""),AI370:AK370)))</t>
        </is>
      </c>
      <c r="AZ370" s="49" t="inlineStr">
        <is>
          <t>IF(OR(F370="",AM370=""),"",IF(COUNT(AI370:AL370)=0,"",AM370-LOOKUP(2,1/(AI370:AL370&lt;&gt;""),AI370:AL370)))</t>
        </is>
      </c>
      <c r="BA370" s="49" t="inlineStr">
        <is>
          <t>IF(OR(F370="",AN370=""),"",IF(COUNT(AI370:AM370)=0,"",AN370-LOOKUP(2,1/(AI370:AM370&lt;&gt;""),AI370:AM370)))</t>
        </is>
      </c>
      <c r="BB370" s="49" t="inlineStr">
        <is>
          <t>IF(OR(F370="",AO370=""),"",IF(COUNT(AI370:AN370)=0,"",AO370-LOOKUP(2,1/(AI370:AN370&lt;&gt;""),AI370:AN370)))</t>
        </is>
      </c>
      <c r="BC370" s="49" t="inlineStr">
        <is>
          <t>IF(OR(F370="",AP370=""),"",IF(COUNT(AI370:AO370)=0,"",AP370-LOOKUP(2,1/(AI370:AO370&lt;&gt;""),AI370:AO370)))</t>
        </is>
      </c>
      <c r="BD370" s="49" t="inlineStr">
        <is>
          <t>IF(OR(F370="",AQ370=""),"",IF(COUNT(AI370:AP370)=0,"",AQ370-LOOKUP(2,1/(AI370:AP370&lt;&gt;""),AI370:AP370)))</t>
        </is>
      </c>
      <c r="BE370" s="49" t="inlineStr">
        <is>
          <t>IF(OR(F370="",AR370=""),"",IF(COUNT(AI370:AQ370)=0,"",AR370-LOOKUP(2,1/(AI370:AQ370&lt;&gt;""),AI370:AQ370)))</t>
        </is>
      </c>
      <c r="BF370" s="49" t="inlineStr">
        <is>
          <t>IF(OR(F370="",AS370=""),"",IF(COUNT(AI370:AR370)=0,"",AS370-LOOKUP(2,1/(AI370:AR370&lt;&gt;""),AI370:AR370)))</t>
        </is>
      </c>
      <c r="BG370" s="49" t="inlineStr">
        <is>
          <t>IF(OR(F370="",AT370=""),"",IF(COUNT(AI370:AS370)=0,"",AT370-LOOKUP(2,1/(AI370:AS370&lt;&gt;""),AI370:AS370)))</t>
        </is>
      </c>
      <c r="BH370" s="49" t="inlineStr">
        <is>
          <t>IF(OR(F370="",AU370=""),"",IF(COUNT(AI370:AT370)=0,"",AU370-LOOKUP(2,1/(AI370:AT370&lt;&gt;""),AI370:AT370)))</t>
        </is>
      </c>
      <c r="BI370" s="49" t="inlineStr">
        <is>
          <t>IF(OR(F370="",AV370=""),"",IF(COUNT(AI370:AU370)=0,"",AV370-LOOKUP(2,1/(AI370:AU370&lt;&gt;""),AI370:AU370)))</t>
        </is>
      </c>
      <c r="BJ370" s="51" t="inlineStr">
        <is>
          <t>IF(J370="","All_Provinces",IFERROR(VLOOKUP(J370,'09_Lookups'!$A$4:$B$20,2,FALSE),"All_Provinces"))</t>
        </is>
      </c>
      <c r="BK370" s="51" t="inlineStr">
        <is>
          <t>IF(K370="","All_Districts",IFERROR(VLOOKUP(K370,'09_Lookups'!$E$4:$F$42,2,FALSE),"All_Districts"))</t>
        </is>
      </c>
    </row>
    <row r="371" ht="18" customHeight="1">
      <c r="A371" s="42" t="inlineStr">
        <is>
          <t>IF(F371="","",ROW()-3)</t>
        </is>
      </c>
      <c r="B371" s="44" t="n"/>
      <c r="C371" s="44" t="n"/>
      <c r="D371" s="44" t="n"/>
      <c r="E371" s="44" t="n"/>
      <c r="F371" s="44" t="n"/>
      <c r="G371" s="44" t="n"/>
      <c r="H371" s="44" t="n"/>
      <c r="I371" s="44" t="n"/>
      <c r="J371" s="44" t="n"/>
      <c r="K371" s="44" t="n"/>
      <c r="L371" s="44" t="n"/>
      <c r="M371" s="44" t="n"/>
      <c r="N371" s="44" t="n"/>
      <c r="O371" s="44" t="n"/>
      <c r="P371" s="44" t="n"/>
      <c r="Q371" s="44" t="n"/>
      <c r="R371" s="44" t="n"/>
      <c r="S371" s="45" t="n"/>
      <c r="T371" s="46" t="inlineStr">
        <is>
          <t>IF(AQ371="","",AQ371)</t>
        </is>
      </c>
      <c r="U371" s="47" t="n"/>
      <c r="V371" s="48" t="n"/>
      <c r="W371" s="47" t="n"/>
      <c r="X371" s="46" t="inlineStr">
        <is>
          <t>IF(W371&lt;&gt;"",W371,IF(OR(T371="",V371=""),"",EDATE(T371,V371)))</t>
        </is>
      </c>
      <c r="Y371" s="47" t="n"/>
      <c r="Z371" s="48" t="n"/>
      <c r="AA371" s="44" t="n"/>
      <c r="AB371" s="44" t="n"/>
      <c r="AC371" s="42" t="inlineStr">
        <is>
          <t>IF(F371="","",IF(COUNT(AI371:AV371)=0,IF(AA371="","Not started",AA371),SUBSTITUTE(LOOKUP(2,1/(AI371:AV371&lt;&gt;""),$AI$3:$AV$3),"Date: ","")))</t>
        </is>
      </c>
      <c r="AD371" s="49" t="inlineStr">
        <is>
          <t>IF(OR(F371="",COUNT(AI371:AV371)=0),"",TODAY()-LOOKUP(2,1/(AI371:AV371&lt;&gt;""),AI371:AV371))</t>
        </is>
      </c>
      <c r="AE371" s="49" t="inlineStr">
        <is>
          <t>IF(OR(F371="",COUNT(AI371:AV371)&lt;2),"",LOOKUP(2,1/(AI371:AV371&lt;&gt;""),AI371:AV371)-MIN(AI371:AV371))</t>
        </is>
      </c>
      <c r="AF371" s="49" t="inlineStr">
        <is>
          <t>IF(OR(AD371="",AC371="Not started",AC371=""),"",IFERROR(AD371-IF(VLOOKUP(AC371,'06_Status_Pipeline'!$B$3:$E$20,4,FALSE)="",0,VLOOKUP(AC371,'06_Status_Pipeline'!$B$3:$E$20,4,FALSE)),""))</t>
        </is>
      </c>
      <c r="AG371" s="42" t="inlineStr">
        <is>
          <t>IF(F371="","",IF(OR(AA371="Cancelled",AC371="Cancelled"),"Cancelled",IF(OR(AC371="Completed / Handover",Y371&lt;&gt;"",Z371&gt;=100),"Completed — on track",IF(O371="Not awarded",IF(U371="",IF(X371="","No planned date",IF(TODAY()&gt;X371,"Behind — past planned date",IF(X371-TODAY()&lt;=30,"At risk — close to off track","On track"))),IF(TODAY()&gt;U371,"Behind — award date passed",IF(U371-TODAY()&lt;=30,"At risk — close to off track","On track"))),IF(X371="","No planned date",IF(AND(TODAY()&gt;X371,OR(Z371="",Z371&lt;100)),"Behind — past end date",IF(AND(T371&lt;&gt;"",X371&lt;&gt;"",Z371&lt;&gt;"",(Z371&lt;100),((TODAY()-T371)/MAX(X371-T371,1)*100)-Z371&gt;15),"Behind — progress lag",IF(AND(X371-TODAY()&lt;=30,X371-TODAY()&gt;=0,OR(Z371="",Z371&lt;90)),"At risk — close to off track","On track"))))))))</t>
        </is>
      </c>
      <c r="AH371" s="49" t="inlineStr">
        <is>
          <t>IF(OR(F371="",AC371="Completed / Handover",AC371="Cancelled"),"",IF(O371="Not awarded",IF(U371&lt;&gt;"",U371-TODAY(),IF(X371="","",X371-TODAY())),IF(X371="","",X371-TODAY())))</t>
        </is>
      </c>
      <c r="AI371" s="47" t="n"/>
      <c r="AJ371" s="47" t="n"/>
      <c r="AK371" s="47" t="n"/>
      <c r="AL371" s="47" t="n"/>
      <c r="AM371" s="47" t="n"/>
      <c r="AN371" s="47" t="n"/>
      <c r="AO371" s="47" t="n"/>
      <c r="AP371" s="47" t="n"/>
      <c r="AQ371" s="47" t="n"/>
      <c r="AR371" s="47" t="n"/>
      <c r="AS371" s="47" t="n"/>
      <c r="AT371" s="50" t="n"/>
      <c r="AU371" s="50" t="n"/>
      <c r="AV371" s="50" t="n"/>
      <c r="AW371" s="49" t="inlineStr">
        <is>
          <t>IF(OR(F371="",AJ371=""),"",IF(COUNT(AI371:AI371)=0,"",AJ371-LOOKUP(2,1/(AI371:AI371&lt;&gt;""),AI371:AI371)))</t>
        </is>
      </c>
      <c r="AX371" s="49" t="inlineStr">
        <is>
          <t>IF(OR(F371="",AK371=""),"",IF(COUNT(AI371:AJ371)=0,"",AK371-LOOKUP(2,1/(AI371:AJ371&lt;&gt;""),AI371:AJ371)))</t>
        </is>
      </c>
      <c r="AY371" s="49" t="inlineStr">
        <is>
          <t>IF(OR(F371="",AL371=""),"",IF(COUNT(AI371:AK371)=0,"",AL371-LOOKUP(2,1/(AI371:AK371&lt;&gt;""),AI371:AK371)))</t>
        </is>
      </c>
      <c r="AZ371" s="49" t="inlineStr">
        <is>
          <t>IF(OR(F371="",AM371=""),"",IF(COUNT(AI371:AL371)=0,"",AM371-LOOKUP(2,1/(AI371:AL371&lt;&gt;""),AI371:AL371)))</t>
        </is>
      </c>
      <c r="BA371" s="49" t="inlineStr">
        <is>
          <t>IF(OR(F371="",AN371=""),"",IF(COUNT(AI371:AM371)=0,"",AN371-LOOKUP(2,1/(AI371:AM371&lt;&gt;""),AI371:AM371)))</t>
        </is>
      </c>
      <c r="BB371" s="49" t="inlineStr">
        <is>
          <t>IF(OR(F371="",AO371=""),"",IF(COUNT(AI371:AN371)=0,"",AO371-LOOKUP(2,1/(AI371:AN371&lt;&gt;""),AI371:AN371)))</t>
        </is>
      </c>
      <c r="BC371" s="49" t="inlineStr">
        <is>
          <t>IF(OR(F371="",AP371=""),"",IF(COUNT(AI371:AO371)=0,"",AP371-LOOKUP(2,1/(AI371:AO371&lt;&gt;""),AI371:AO371)))</t>
        </is>
      </c>
      <c r="BD371" s="49" t="inlineStr">
        <is>
          <t>IF(OR(F371="",AQ371=""),"",IF(COUNT(AI371:AP371)=0,"",AQ371-LOOKUP(2,1/(AI371:AP371&lt;&gt;""),AI371:AP371)))</t>
        </is>
      </c>
      <c r="BE371" s="49" t="inlineStr">
        <is>
          <t>IF(OR(F371="",AR371=""),"",IF(COUNT(AI371:AQ371)=0,"",AR371-LOOKUP(2,1/(AI371:AQ371&lt;&gt;""),AI371:AQ371)))</t>
        </is>
      </c>
      <c r="BF371" s="49" t="inlineStr">
        <is>
          <t>IF(OR(F371="",AS371=""),"",IF(COUNT(AI371:AR371)=0,"",AS371-LOOKUP(2,1/(AI371:AR371&lt;&gt;""),AI371:AR371)))</t>
        </is>
      </c>
      <c r="BG371" s="49" t="inlineStr">
        <is>
          <t>IF(OR(F371="",AT371=""),"",IF(COUNT(AI371:AS371)=0,"",AT371-LOOKUP(2,1/(AI371:AS371&lt;&gt;""),AI371:AS371)))</t>
        </is>
      </c>
      <c r="BH371" s="49" t="inlineStr">
        <is>
          <t>IF(OR(F371="",AU371=""),"",IF(COUNT(AI371:AT371)=0,"",AU371-LOOKUP(2,1/(AI371:AT371&lt;&gt;""),AI371:AT371)))</t>
        </is>
      </c>
      <c r="BI371" s="49" t="inlineStr">
        <is>
          <t>IF(OR(F371="",AV371=""),"",IF(COUNT(AI371:AU371)=0,"",AV371-LOOKUP(2,1/(AI371:AU371&lt;&gt;""),AI371:AU371)))</t>
        </is>
      </c>
      <c r="BJ371" s="51" t="inlineStr">
        <is>
          <t>IF(J371="","All_Provinces",IFERROR(VLOOKUP(J371,'09_Lookups'!$A$4:$B$20,2,FALSE),"All_Provinces"))</t>
        </is>
      </c>
      <c r="BK371" s="51" t="inlineStr">
        <is>
          <t>IF(K371="","All_Districts",IFERROR(VLOOKUP(K371,'09_Lookups'!$E$4:$F$42,2,FALSE),"All_Districts"))</t>
        </is>
      </c>
    </row>
    <row r="372" ht="18" customHeight="1">
      <c r="A372" s="42" t="inlineStr">
        <is>
          <t>IF(F372="","",ROW()-3)</t>
        </is>
      </c>
      <c r="B372" s="52" t="n"/>
      <c r="C372" s="52" t="n"/>
      <c r="D372" s="52" t="n"/>
      <c r="E372" s="52" t="n"/>
      <c r="F372" s="52" t="n"/>
      <c r="G372" s="52" t="n"/>
      <c r="H372" s="52" t="n"/>
      <c r="I372" s="52" t="n"/>
      <c r="J372" s="52" t="n"/>
      <c r="K372" s="52" t="n"/>
      <c r="L372" s="52" t="n"/>
      <c r="M372" s="52" t="n"/>
      <c r="N372" s="52" t="n"/>
      <c r="O372" s="52" t="n"/>
      <c r="P372" s="52" t="n"/>
      <c r="Q372" s="52" t="n"/>
      <c r="R372" s="52" t="n"/>
      <c r="S372" s="53" t="n"/>
      <c r="T372" s="46" t="inlineStr">
        <is>
          <t>IF(AQ372="","",AQ372)</t>
        </is>
      </c>
      <c r="U372" s="54" t="n"/>
      <c r="V372" s="55" t="n"/>
      <c r="W372" s="54" t="n"/>
      <c r="X372" s="46" t="inlineStr">
        <is>
          <t>IF(W372&lt;&gt;"",W372,IF(OR(T372="",V372=""),"",EDATE(T372,V372)))</t>
        </is>
      </c>
      <c r="Y372" s="54" t="n"/>
      <c r="Z372" s="55" t="n"/>
      <c r="AA372" s="52" t="n"/>
      <c r="AB372" s="52" t="n"/>
      <c r="AC372" s="42" t="inlineStr">
        <is>
          <t>IF(F372="","",IF(COUNT(AI372:AV372)=0,IF(AA372="","Not started",AA372),SUBSTITUTE(LOOKUP(2,1/(AI372:AV372&lt;&gt;""),$AI$3:$AV$3),"Date: ","")))</t>
        </is>
      </c>
      <c r="AD372" s="49" t="inlineStr">
        <is>
          <t>IF(OR(F372="",COUNT(AI372:AV372)=0),"",TODAY()-LOOKUP(2,1/(AI372:AV372&lt;&gt;""),AI372:AV372))</t>
        </is>
      </c>
      <c r="AE372" s="49" t="inlineStr">
        <is>
          <t>IF(OR(F372="",COUNT(AI372:AV372)&lt;2),"",LOOKUP(2,1/(AI372:AV372&lt;&gt;""),AI372:AV372)-MIN(AI372:AV372))</t>
        </is>
      </c>
      <c r="AF372" s="49" t="inlineStr">
        <is>
          <t>IF(OR(AD372="",AC372="Not started",AC372=""),"",IFERROR(AD372-IF(VLOOKUP(AC372,'06_Status_Pipeline'!$B$3:$E$20,4,FALSE)="",0,VLOOKUP(AC372,'06_Status_Pipeline'!$B$3:$E$20,4,FALSE)),""))</t>
        </is>
      </c>
      <c r="AG372" s="42" t="inlineStr">
        <is>
          <t>IF(F372="","",IF(OR(AA372="Cancelled",AC372="Cancelled"),"Cancelled",IF(OR(AC372="Completed / Handover",Y372&lt;&gt;"",Z372&gt;=100),"Completed — on track",IF(O372="Not awarded",IF(U372="",IF(X372="","No planned date",IF(TODAY()&gt;X372,"Behind — past planned date",IF(X372-TODAY()&lt;=30,"At risk — close to off track","On track"))),IF(TODAY()&gt;U372,"Behind — award date passed",IF(U372-TODAY()&lt;=30,"At risk — close to off track","On track"))),IF(X372="","No planned date",IF(AND(TODAY()&gt;X372,OR(Z372="",Z372&lt;100)),"Behind — past end date",IF(AND(T372&lt;&gt;"",X372&lt;&gt;"",Z372&lt;&gt;"",(Z372&lt;100),((TODAY()-T372)/MAX(X372-T372,1)*100)-Z372&gt;15),"Behind — progress lag",IF(AND(X372-TODAY()&lt;=30,X372-TODAY()&gt;=0,OR(Z372="",Z372&lt;90)),"At risk — close to off track","On track"))))))))</t>
        </is>
      </c>
      <c r="AH372" s="49" t="inlineStr">
        <is>
          <t>IF(OR(F372="",AC372="Completed / Handover",AC372="Cancelled"),"",IF(O372="Not awarded",IF(U372&lt;&gt;"",U372-TODAY(),IF(X372="","",X372-TODAY())),IF(X372="","",X372-TODAY())))</t>
        </is>
      </c>
      <c r="AI372" s="54" t="n"/>
      <c r="AJ372" s="54" t="n"/>
      <c r="AK372" s="54" t="n"/>
      <c r="AL372" s="54" t="n"/>
      <c r="AM372" s="54" t="n"/>
      <c r="AN372" s="54" t="n"/>
      <c r="AO372" s="54" t="n"/>
      <c r="AP372" s="54" t="n"/>
      <c r="AQ372" s="54" t="n"/>
      <c r="AR372" s="54" t="n"/>
      <c r="AS372" s="54" t="n"/>
      <c r="AT372" s="50" t="n"/>
      <c r="AU372" s="50" t="n"/>
      <c r="AV372" s="50" t="n"/>
      <c r="AW372" s="49" t="inlineStr">
        <is>
          <t>IF(OR(F372="",AJ372=""),"",IF(COUNT(AI372:AI372)=0,"",AJ372-LOOKUP(2,1/(AI372:AI372&lt;&gt;""),AI372:AI372)))</t>
        </is>
      </c>
      <c r="AX372" s="49" t="inlineStr">
        <is>
          <t>IF(OR(F372="",AK372=""),"",IF(COUNT(AI372:AJ372)=0,"",AK372-LOOKUP(2,1/(AI372:AJ372&lt;&gt;""),AI372:AJ372)))</t>
        </is>
      </c>
      <c r="AY372" s="49" t="inlineStr">
        <is>
          <t>IF(OR(F372="",AL372=""),"",IF(COUNT(AI372:AK372)=0,"",AL372-LOOKUP(2,1/(AI372:AK372&lt;&gt;""),AI372:AK372)))</t>
        </is>
      </c>
      <c r="AZ372" s="49" t="inlineStr">
        <is>
          <t>IF(OR(F372="",AM372=""),"",IF(COUNT(AI372:AL372)=0,"",AM372-LOOKUP(2,1/(AI372:AL372&lt;&gt;""),AI372:AL372)))</t>
        </is>
      </c>
      <c r="BA372" s="49" t="inlineStr">
        <is>
          <t>IF(OR(F372="",AN372=""),"",IF(COUNT(AI372:AM372)=0,"",AN372-LOOKUP(2,1/(AI372:AM372&lt;&gt;""),AI372:AM372)))</t>
        </is>
      </c>
      <c r="BB372" s="49" t="inlineStr">
        <is>
          <t>IF(OR(F372="",AO372=""),"",IF(COUNT(AI372:AN372)=0,"",AO372-LOOKUP(2,1/(AI372:AN372&lt;&gt;""),AI372:AN372)))</t>
        </is>
      </c>
      <c r="BC372" s="49" t="inlineStr">
        <is>
          <t>IF(OR(F372="",AP372=""),"",IF(COUNT(AI372:AO372)=0,"",AP372-LOOKUP(2,1/(AI372:AO372&lt;&gt;""),AI372:AO372)))</t>
        </is>
      </c>
      <c r="BD372" s="49" t="inlineStr">
        <is>
          <t>IF(OR(F372="",AQ372=""),"",IF(COUNT(AI372:AP372)=0,"",AQ372-LOOKUP(2,1/(AI372:AP372&lt;&gt;""),AI372:AP372)))</t>
        </is>
      </c>
      <c r="BE372" s="49" t="inlineStr">
        <is>
          <t>IF(OR(F372="",AR372=""),"",IF(COUNT(AI372:AQ372)=0,"",AR372-LOOKUP(2,1/(AI372:AQ372&lt;&gt;""),AI372:AQ372)))</t>
        </is>
      </c>
      <c r="BF372" s="49" t="inlineStr">
        <is>
          <t>IF(OR(F372="",AS372=""),"",IF(COUNT(AI372:AR372)=0,"",AS372-LOOKUP(2,1/(AI372:AR372&lt;&gt;""),AI372:AR372)))</t>
        </is>
      </c>
      <c r="BG372" s="49" t="inlineStr">
        <is>
          <t>IF(OR(F372="",AT372=""),"",IF(COUNT(AI372:AS372)=0,"",AT372-LOOKUP(2,1/(AI372:AS372&lt;&gt;""),AI372:AS372)))</t>
        </is>
      </c>
      <c r="BH372" s="49" t="inlineStr">
        <is>
          <t>IF(OR(F372="",AU372=""),"",IF(COUNT(AI372:AT372)=0,"",AU372-LOOKUP(2,1/(AI372:AT372&lt;&gt;""),AI372:AT372)))</t>
        </is>
      </c>
      <c r="BI372" s="49" t="inlineStr">
        <is>
          <t>IF(OR(F372="",AV372=""),"",IF(COUNT(AI372:AU372)=0,"",AV372-LOOKUP(2,1/(AI372:AU372&lt;&gt;""),AI372:AU372)))</t>
        </is>
      </c>
      <c r="BJ372" s="51" t="inlineStr">
        <is>
          <t>IF(J372="","All_Provinces",IFERROR(VLOOKUP(J372,'09_Lookups'!$A$4:$B$20,2,FALSE),"All_Provinces"))</t>
        </is>
      </c>
      <c r="BK372" s="51" t="inlineStr">
        <is>
          <t>IF(K372="","All_Districts",IFERROR(VLOOKUP(K372,'09_Lookups'!$E$4:$F$42,2,FALSE),"All_Districts"))</t>
        </is>
      </c>
    </row>
    <row r="373" ht="18" customHeight="1">
      <c r="A373" s="42" t="inlineStr">
        <is>
          <t>IF(F373="","",ROW()-3)</t>
        </is>
      </c>
      <c r="B373" s="44" t="n"/>
      <c r="C373" s="44" t="n"/>
      <c r="D373" s="44" t="n"/>
      <c r="E373" s="44" t="n"/>
      <c r="F373" s="44" t="n"/>
      <c r="G373" s="44" t="n"/>
      <c r="H373" s="44" t="n"/>
      <c r="I373" s="44" t="n"/>
      <c r="J373" s="44" t="n"/>
      <c r="K373" s="44" t="n"/>
      <c r="L373" s="44" t="n"/>
      <c r="M373" s="44" t="n"/>
      <c r="N373" s="44" t="n"/>
      <c r="O373" s="44" t="n"/>
      <c r="P373" s="44" t="n"/>
      <c r="Q373" s="44" t="n"/>
      <c r="R373" s="44" t="n"/>
      <c r="S373" s="45" t="n"/>
      <c r="T373" s="46" t="inlineStr">
        <is>
          <t>IF(AQ373="","",AQ373)</t>
        </is>
      </c>
      <c r="U373" s="47" t="n"/>
      <c r="V373" s="48" t="n"/>
      <c r="W373" s="47" t="n"/>
      <c r="X373" s="46" t="inlineStr">
        <is>
          <t>IF(W373&lt;&gt;"",W373,IF(OR(T373="",V373=""),"",EDATE(T373,V373)))</t>
        </is>
      </c>
      <c r="Y373" s="47" t="n"/>
      <c r="Z373" s="48" t="n"/>
      <c r="AA373" s="44" t="n"/>
      <c r="AB373" s="44" t="n"/>
      <c r="AC373" s="42" t="inlineStr">
        <is>
          <t>IF(F373="","",IF(COUNT(AI373:AV373)=0,IF(AA373="","Not started",AA373),SUBSTITUTE(LOOKUP(2,1/(AI373:AV373&lt;&gt;""),$AI$3:$AV$3),"Date: ","")))</t>
        </is>
      </c>
      <c r="AD373" s="49" t="inlineStr">
        <is>
          <t>IF(OR(F373="",COUNT(AI373:AV373)=0),"",TODAY()-LOOKUP(2,1/(AI373:AV373&lt;&gt;""),AI373:AV373))</t>
        </is>
      </c>
      <c r="AE373" s="49" t="inlineStr">
        <is>
          <t>IF(OR(F373="",COUNT(AI373:AV373)&lt;2),"",LOOKUP(2,1/(AI373:AV373&lt;&gt;""),AI373:AV373)-MIN(AI373:AV373))</t>
        </is>
      </c>
      <c r="AF373" s="49" t="inlineStr">
        <is>
          <t>IF(OR(AD373="",AC373="Not started",AC373=""),"",IFERROR(AD373-IF(VLOOKUP(AC373,'06_Status_Pipeline'!$B$3:$E$20,4,FALSE)="",0,VLOOKUP(AC373,'06_Status_Pipeline'!$B$3:$E$20,4,FALSE)),""))</t>
        </is>
      </c>
      <c r="AG373" s="42" t="inlineStr">
        <is>
          <t>IF(F373="","",IF(OR(AA373="Cancelled",AC373="Cancelled"),"Cancelled",IF(OR(AC373="Completed / Handover",Y373&lt;&gt;"",Z373&gt;=100),"Completed — on track",IF(O373="Not awarded",IF(U373="",IF(X373="","No planned date",IF(TODAY()&gt;X373,"Behind — past planned date",IF(X373-TODAY()&lt;=30,"At risk — close to off track","On track"))),IF(TODAY()&gt;U373,"Behind — award date passed",IF(U373-TODAY()&lt;=30,"At risk — close to off track","On track"))),IF(X373="","No planned date",IF(AND(TODAY()&gt;X373,OR(Z373="",Z373&lt;100)),"Behind — past end date",IF(AND(T373&lt;&gt;"",X373&lt;&gt;"",Z373&lt;&gt;"",(Z373&lt;100),((TODAY()-T373)/MAX(X373-T373,1)*100)-Z373&gt;15),"Behind — progress lag",IF(AND(X373-TODAY()&lt;=30,X373-TODAY()&gt;=0,OR(Z373="",Z373&lt;90)),"At risk — close to off track","On track"))))))))</t>
        </is>
      </c>
      <c r="AH373" s="49" t="inlineStr">
        <is>
          <t>IF(OR(F373="",AC373="Completed / Handover",AC373="Cancelled"),"",IF(O373="Not awarded",IF(U373&lt;&gt;"",U373-TODAY(),IF(X373="","",X373-TODAY())),IF(X373="","",X373-TODAY())))</t>
        </is>
      </c>
      <c r="AI373" s="47" t="n"/>
      <c r="AJ373" s="47" t="n"/>
      <c r="AK373" s="47" t="n"/>
      <c r="AL373" s="47" t="n"/>
      <c r="AM373" s="47" t="n"/>
      <c r="AN373" s="47" t="n"/>
      <c r="AO373" s="47" t="n"/>
      <c r="AP373" s="47" t="n"/>
      <c r="AQ373" s="47" t="n"/>
      <c r="AR373" s="47" t="n"/>
      <c r="AS373" s="47" t="n"/>
      <c r="AT373" s="50" t="n"/>
      <c r="AU373" s="50" t="n"/>
      <c r="AV373" s="50" t="n"/>
      <c r="AW373" s="49" t="inlineStr">
        <is>
          <t>IF(OR(F373="",AJ373=""),"",IF(COUNT(AI373:AI373)=0,"",AJ373-LOOKUP(2,1/(AI373:AI373&lt;&gt;""),AI373:AI373)))</t>
        </is>
      </c>
      <c r="AX373" s="49" t="inlineStr">
        <is>
          <t>IF(OR(F373="",AK373=""),"",IF(COUNT(AI373:AJ373)=0,"",AK373-LOOKUP(2,1/(AI373:AJ373&lt;&gt;""),AI373:AJ373)))</t>
        </is>
      </c>
      <c r="AY373" s="49" t="inlineStr">
        <is>
          <t>IF(OR(F373="",AL373=""),"",IF(COUNT(AI373:AK373)=0,"",AL373-LOOKUP(2,1/(AI373:AK373&lt;&gt;""),AI373:AK373)))</t>
        </is>
      </c>
      <c r="AZ373" s="49" t="inlineStr">
        <is>
          <t>IF(OR(F373="",AM373=""),"",IF(COUNT(AI373:AL373)=0,"",AM373-LOOKUP(2,1/(AI373:AL373&lt;&gt;""),AI373:AL373)))</t>
        </is>
      </c>
      <c r="BA373" s="49" t="inlineStr">
        <is>
          <t>IF(OR(F373="",AN373=""),"",IF(COUNT(AI373:AM373)=0,"",AN373-LOOKUP(2,1/(AI373:AM373&lt;&gt;""),AI373:AM373)))</t>
        </is>
      </c>
      <c r="BB373" s="49" t="inlineStr">
        <is>
          <t>IF(OR(F373="",AO373=""),"",IF(COUNT(AI373:AN373)=0,"",AO373-LOOKUP(2,1/(AI373:AN373&lt;&gt;""),AI373:AN373)))</t>
        </is>
      </c>
      <c r="BC373" s="49" t="inlineStr">
        <is>
          <t>IF(OR(F373="",AP373=""),"",IF(COUNT(AI373:AO373)=0,"",AP373-LOOKUP(2,1/(AI373:AO373&lt;&gt;""),AI373:AO373)))</t>
        </is>
      </c>
      <c r="BD373" s="49" t="inlineStr">
        <is>
          <t>IF(OR(F373="",AQ373=""),"",IF(COUNT(AI373:AP373)=0,"",AQ373-LOOKUP(2,1/(AI373:AP373&lt;&gt;""),AI373:AP373)))</t>
        </is>
      </c>
      <c r="BE373" s="49" t="inlineStr">
        <is>
          <t>IF(OR(F373="",AR373=""),"",IF(COUNT(AI373:AQ373)=0,"",AR373-LOOKUP(2,1/(AI373:AQ373&lt;&gt;""),AI373:AQ373)))</t>
        </is>
      </c>
      <c r="BF373" s="49" t="inlineStr">
        <is>
          <t>IF(OR(F373="",AS373=""),"",IF(COUNT(AI373:AR373)=0,"",AS373-LOOKUP(2,1/(AI373:AR373&lt;&gt;""),AI373:AR373)))</t>
        </is>
      </c>
      <c r="BG373" s="49" t="inlineStr">
        <is>
          <t>IF(OR(F373="",AT373=""),"",IF(COUNT(AI373:AS373)=0,"",AT373-LOOKUP(2,1/(AI373:AS373&lt;&gt;""),AI373:AS373)))</t>
        </is>
      </c>
      <c r="BH373" s="49" t="inlineStr">
        <is>
          <t>IF(OR(F373="",AU373=""),"",IF(COUNT(AI373:AT373)=0,"",AU373-LOOKUP(2,1/(AI373:AT373&lt;&gt;""),AI373:AT373)))</t>
        </is>
      </c>
      <c r="BI373" s="49" t="inlineStr">
        <is>
          <t>IF(OR(F373="",AV373=""),"",IF(COUNT(AI373:AU373)=0,"",AV373-LOOKUP(2,1/(AI373:AU373&lt;&gt;""),AI373:AU373)))</t>
        </is>
      </c>
      <c r="BJ373" s="51" t="inlineStr">
        <is>
          <t>IF(J373="","All_Provinces",IFERROR(VLOOKUP(J373,'09_Lookups'!$A$4:$B$20,2,FALSE),"All_Provinces"))</t>
        </is>
      </c>
      <c r="BK373" s="51" t="inlineStr">
        <is>
          <t>IF(K373="","All_Districts",IFERROR(VLOOKUP(K373,'09_Lookups'!$E$4:$F$42,2,FALSE),"All_Districts"))</t>
        </is>
      </c>
    </row>
    <row r="374" ht="18" customHeight="1">
      <c r="A374" s="42" t="inlineStr">
        <is>
          <t>IF(F374="","",ROW()-3)</t>
        </is>
      </c>
      <c r="B374" s="52" t="n"/>
      <c r="C374" s="52" t="n"/>
      <c r="D374" s="52" t="n"/>
      <c r="E374" s="52" t="n"/>
      <c r="F374" s="52" t="n"/>
      <c r="G374" s="52" t="n"/>
      <c r="H374" s="52" t="n"/>
      <c r="I374" s="52" t="n"/>
      <c r="J374" s="52" t="n"/>
      <c r="K374" s="52" t="n"/>
      <c r="L374" s="52" t="n"/>
      <c r="M374" s="52" t="n"/>
      <c r="N374" s="52" t="n"/>
      <c r="O374" s="52" t="n"/>
      <c r="P374" s="52" t="n"/>
      <c r="Q374" s="52" t="n"/>
      <c r="R374" s="52" t="n"/>
      <c r="S374" s="53" t="n"/>
      <c r="T374" s="46" t="inlineStr">
        <is>
          <t>IF(AQ374="","",AQ374)</t>
        </is>
      </c>
      <c r="U374" s="54" t="n"/>
      <c r="V374" s="55" t="n"/>
      <c r="W374" s="54" t="n"/>
      <c r="X374" s="46" t="inlineStr">
        <is>
          <t>IF(W374&lt;&gt;"",W374,IF(OR(T374="",V374=""),"",EDATE(T374,V374)))</t>
        </is>
      </c>
      <c r="Y374" s="54" t="n"/>
      <c r="Z374" s="55" t="n"/>
      <c r="AA374" s="52" t="n"/>
      <c r="AB374" s="52" t="n"/>
      <c r="AC374" s="42" t="inlineStr">
        <is>
          <t>IF(F374="","",IF(COUNT(AI374:AV374)=0,IF(AA374="","Not started",AA374),SUBSTITUTE(LOOKUP(2,1/(AI374:AV374&lt;&gt;""),$AI$3:$AV$3),"Date: ","")))</t>
        </is>
      </c>
      <c r="AD374" s="49" t="inlineStr">
        <is>
          <t>IF(OR(F374="",COUNT(AI374:AV374)=0),"",TODAY()-LOOKUP(2,1/(AI374:AV374&lt;&gt;""),AI374:AV374))</t>
        </is>
      </c>
      <c r="AE374" s="49" t="inlineStr">
        <is>
          <t>IF(OR(F374="",COUNT(AI374:AV374)&lt;2),"",LOOKUP(2,1/(AI374:AV374&lt;&gt;""),AI374:AV374)-MIN(AI374:AV374))</t>
        </is>
      </c>
      <c r="AF374" s="49" t="inlineStr">
        <is>
          <t>IF(OR(AD374="",AC374="Not started",AC374=""),"",IFERROR(AD374-IF(VLOOKUP(AC374,'06_Status_Pipeline'!$B$3:$E$20,4,FALSE)="",0,VLOOKUP(AC374,'06_Status_Pipeline'!$B$3:$E$20,4,FALSE)),""))</t>
        </is>
      </c>
      <c r="AG374" s="42" t="inlineStr">
        <is>
          <t>IF(F374="","",IF(OR(AA374="Cancelled",AC374="Cancelled"),"Cancelled",IF(OR(AC374="Completed / Handover",Y374&lt;&gt;"",Z374&gt;=100),"Completed — on track",IF(O374="Not awarded",IF(U374="",IF(X374="","No planned date",IF(TODAY()&gt;X374,"Behind — past planned date",IF(X374-TODAY()&lt;=30,"At risk — close to off track","On track"))),IF(TODAY()&gt;U374,"Behind — award date passed",IF(U374-TODAY()&lt;=30,"At risk — close to off track","On track"))),IF(X374="","No planned date",IF(AND(TODAY()&gt;X374,OR(Z374="",Z374&lt;100)),"Behind — past end date",IF(AND(T374&lt;&gt;"",X374&lt;&gt;"",Z374&lt;&gt;"",(Z374&lt;100),((TODAY()-T374)/MAX(X374-T374,1)*100)-Z374&gt;15),"Behind — progress lag",IF(AND(X374-TODAY()&lt;=30,X374-TODAY()&gt;=0,OR(Z374="",Z374&lt;90)),"At risk — close to off track","On track"))))))))</t>
        </is>
      </c>
      <c r="AH374" s="49" t="inlineStr">
        <is>
          <t>IF(OR(F374="",AC374="Completed / Handover",AC374="Cancelled"),"",IF(O374="Not awarded",IF(U374&lt;&gt;"",U374-TODAY(),IF(X374="","",X374-TODAY())),IF(X374="","",X374-TODAY())))</t>
        </is>
      </c>
      <c r="AI374" s="54" t="n"/>
      <c r="AJ374" s="54" t="n"/>
      <c r="AK374" s="54" t="n"/>
      <c r="AL374" s="54" t="n"/>
      <c r="AM374" s="54" t="n"/>
      <c r="AN374" s="54" t="n"/>
      <c r="AO374" s="54" t="n"/>
      <c r="AP374" s="54" t="n"/>
      <c r="AQ374" s="54" t="n"/>
      <c r="AR374" s="54" t="n"/>
      <c r="AS374" s="54" t="n"/>
      <c r="AT374" s="50" t="n"/>
      <c r="AU374" s="50" t="n"/>
      <c r="AV374" s="50" t="n"/>
      <c r="AW374" s="49" t="inlineStr">
        <is>
          <t>IF(OR(F374="",AJ374=""),"",IF(COUNT(AI374:AI374)=0,"",AJ374-LOOKUP(2,1/(AI374:AI374&lt;&gt;""),AI374:AI374)))</t>
        </is>
      </c>
      <c r="AX374" s="49" t="inlineStr">
        <is>
          <t>IF(OR(F374="",AK374=""),"",IF(COUNT(AI374:AJ374)=0,"",AK374-LOOKUP(2,1/(AI374:AJ374&lt;&gt;""),AI374:AJ374)))</t>
        </is>
      </c>
      <c r="AY374" s="49" t="inlineStr">
        <is>
          <t>IF(OR(F374="",AL374=""),"",IF(COUNT(AI374:AK374)=0,"",AL374-LOOKUP(2,1/(AI374:AK374&lt;&gt;""),AI374:AK374)))</t>
        </is>
      </c>
      <c r="AZ374" s="49" t="inlineStr">
        <is>
          <t>IF(OR(F374="",AM374=""),"",IF(COUNT(AI374:AL374)=0,"",AM374-LOOKUP(2,1/(AI374:AL374&lt;&gt;""),AI374:AL374)))</t>
        </is>
      </c>
      <c r="BA374" s="49" t="inlineStr">
        <is>
          <t>IF(OR(F374="",AN374=""),"",IF(COUNT(AI374:AM374)=0,"",AN374-LOOKUP(2,1/(AI374:AM374&lt;&gt;""),AI374:AM374)))</t>
        </is>
      </c>
      <c r="BB374" s="49" t="inlineStr">
        <is>
          <t>IF(OR(F374="",AO374=""),"",IF(COUNT(AI374:AN374)=0,"",AO374-LOOKUP(2,1/(AI374:AN374&lt;&gt;""),AI374:AN374)))</t>
        </is>
      </c>
      <c r="BC374" s="49" t="inlineStr">
        <is>
          <t>IF(OR(F374="",AP374=""),"",IF(COUNT(AI374:AO374)=0,"",AP374-LOOKUP(2,1/(AI374:AO374&lt;&gt;""),AI374:AO374)))</t>
        </is>
      </c>
      <c r="BD374" s="49" t="inlineStr">
        <is>
          <t>IF(OR(F374="",AQ374=""),"",IF(COUNT(AI374:AP374)=0,"",AQ374-LOOKUP(2,1/(AI374:AP374&lt;&gt;""),AI374:AP374)))</t>
        </is>
      </c>
      <c r="BE374" s="49" t="inlineStr">
        <is>
          <t>IF(OR(F374="",AR374=""),"",IF(COUNT(AI374:AQ374)=0,"",AR374-LOOKUP(2,1/(AI374:AQ374&lt;&gt;""),AI374:AQ374)))</t>
        </is>
      </c>
      <c r="BF374" s="49" t="inlineStr">
        <is>
          <t>IF(OR(F374="",AS374=""),"",IF(COUNT(AI374:AR374)=0,"",AS374-LOOKUP(2,1/(AI374:AR374&lt;&gt;""),AI374:AR374)))</t>
        </is>
      </c>
      <c r="BG374" s="49" t="inlineStr">
        <is>
          <t>IF(OR(F374="",AT374=""),"",IF(COUNT(AI374:AS374)=0,"",AT374-LOOKUP(2,1/(AI374:AS374&lt;&gt;""),AI374:AS374)))</t>
        </is>
      </c>
      <c r="BH374" s="49" t="inlineStr">
        <is>
          <t>IF(OR(F374="",AU374=""),"",IF(COUNT(AI374:AT374)=0,"",AU374-LOOKUP(2,1/(AI374:AT374&lt;&gt;""),AI374:AT374)))</t>
        </is>
      </c>
      <c r="BI374" s="49" t="inlineStr">
        <is>
          <t>IF(OR(F374="",AV374=""),"",IF(COUNT(AI374:AU374)=0,"",AV374-LOOKUP(2,1/(AI374:AU374&lt;&gt;""),AI374:AU374)))</t>
        </is>
      </c>
      <c r="BJ374" s="51" t="inlineStr">
        <is>
          <t>IF(J374="","All_Provinces",IFERROR(VLOOKUP(J374,'09_Lookups'!$A$4:$B$20,2,FALSE),"All_Provinces"))</t>
        </is>
      </c>
      <c r="BK374" s="51" t="inlineStr">
        <is>
          <t>IF(K374="","All_Districts",IFERROR(VLOOKUP(K374,'09_Lookups'!$E$4:$F$42,2,FALSE),"All_Districts"))</t>
        </is>
      </c>
    </row>
    <row r="375" ht="18" customHeight="1">
      <c r="A375" s="42" t="inlineStr">
        <is>
          <t>IF(F375="","",ROW()-3)</t>
        </is>
      </c>
      <c r="B375" s="44" t="n"/>
      <c r="C375" s="44" t="n"/>
      <c r="D375" s="44" t="n"/>
      <c r="E375" s="44" t="n"/>
      <c r="F375" s="44" t="n"/>
      <c r="G375" s="44" t="n"/>
      <c r="H375" s="44" t="n"/>
      <c r="I375" s="44" t="n"/>
      <c r="J375" s="44" t="n"/>
      <c r="K375" s="44" t="n"/>
      <c r="L375" s="44" t="n"/>
      <c r="M375" s="44" t="n"/>
      <c r="N375" s="44" t="n"/>
      <c r="O375" s="44" t="n"/>
      <c r="P375" s="44" t="n"/>
      <c r="Q375" s="44" t="n"/>
      <c r="R375" s="44" t="n"/>
      <c r="S375" s="45" t="n"/>
      <c r="T375" s="46" t="inlineStr">
        <is>
          <t>IF(AQ375="","",AQ375)</t>
        </is>
      </c>
      <c r="U375" s="47" t="n"/>
      <c r="V375" s="48" t="n"/>
      <c r="W375" s="47" t="n"/>
      <c r="X375" s="46" t="inlineStr">
        <is>
          <t>IF(W375&lt;&gt;"",W375,IF(OR(T375="",V375=""),"",EDATE(T375,V375)))</t>
        </is>
      </c>
      <c r="Y375" s="47" t="n"/>
      <c r="Z375" s="48" t="n"/>
      <c r="AA375" s="44" t="n"/>
      <c r="AB375" s="44" t="n"/>
      <c r="AC375" s="42" t="inlineStr">
        <is>
          <t>IF(F375="","",IF(COUNT(AI375:AV375)=0,IF(AA375="","Not started",AA375),SUBSTITUTE(LOOKUP(2,1/(AI375:AV375&lt;&gt;""),$AI$3:$AV$3),"Date: ","")))</t>
        </is>
      </c>
      <c r="AD375" s="49" t="inlineStr">
        <is>
          <t>IF(OR(F375="",COUNT(AI375:AV375)=0),"",TODAY()-LOOKUP(2,1/(AI375:AV375&lt;&gt;""),AI375:AV375))</t>
        </is>
      </c>
      <c r="AE375" s="49" t="inlineStr">
        <is>
          <t>IF(OR(F375="",COUNT(AI375:AV375)&lt;2),"",LOOKUP(2,1/(AI375:AV375&lt;&gt;""),AI375:AV375)-MIN(AI375:AV375))</t>
        </is>
      </c>
      <c r="AF375" s="49" t="inlineStr">
        <is>
          <t>IF(OR(AD375="",AC375="Not started",AC375=""),"",IFERROR(AD375-IF(VLOOKUP(AC375,'06_Status_Pipeline'!$B$3:$E$20,4,FALSE)="",0,VLOOKUP(AC375,'06_Status_Pipeline'!$B$3:$E$20,4,FALSE)),""))</t>
        </is>
      </c>
      <c r="AG375" s="42" t="inlineStr">
        <is>
          <t>IF(F375="","",IF(OR(AA375="Cancelled",AC375="Cancelled"),"Cancelled",IF(OR(AC375="Completed / Handover",Y375&lt;&gt;"",Z375&gt;=100),"Completed — on track",IF(O375="Not awarded",IF(U375="",IF(X375="","No planned date",IF(TODAY()&gt;X375,"Behind — past planned date",IF(X375-TODAY()&lt;=30,"At risk — close to off track","On track"))),IF(TODAY()&gt;U375,"Behind — award date passed",IF(U375-TODAY()&lt;=30,"At risk — close to off track","On track"))),IF(X375="","No planned date",IF(AND(TODAY()&gt;X375,OR(Z375="",Z375&lt;100)),"Behind — past end date",IF(AND(T375&lt;&gt;"",X375&lt;&gt;"",Z375&lt;&gt;"",(Z375&lt;100),((TODAY()-T375)/MAX(X375-T375,1)*100)-Z375&gt;15),"Behind — progress lag",IF(AND(X375-TODAY()&lt;=30,X375-TODAY()&gt;=0,OR(Z375="",Z375&lt;90)),"At risk — close to off track","On track"))))))))</t>
        </is>
      </c>
      <c r="AH375" s="49" t="inlineStr">
        <is>
          <t>IF(OR(F375="",AC375="Completed / Handover",AC375="Cancelled"),"",IF(O375="Not awarded",IF(U375&lt;&gt;"",U375-TODAY(),IF(X375="","",X375-TODAY())),IF(X375="","",X375-TODAY())))</t>
        </is>
      </c>
      <c r="AI375" s="47" t="n"/>
      <c r="AJ375" s="47" t="n"/>
      <c r="AK375" s="47" t="n"/>
      <c r="AL375" s="47" t="n"/>
      <c r="AM375" s="47" t="n"/>
      <c r="AN375" s="47" t="n"/>
      <c r="AO375" s="47" t="n"/>
      <c r="AP375" s="47" t="n"/>
      <c r="AQ375" s="47" t="n"/>
      <c r="AR375" s="47" t="n"/>
      <c r="AS375" s="47" t="n"/>
      <c r="AT375" s="50" t="n"/>
      <c r="AU375" s="50" t="n"/>
      <c r="AV375" s="50" t="n"/>
      <c r="AW375" s="49" t="inlineStr">
        <is>
          <t>IF(OR(F375="",AJ375=""),"",IF(COUNT(AI375:AI375)=0,"",AJ375-LOOKUP(2,1/(AI375:AI375&lt;&gt;""),AI375:AI375)))</t>
        </is>
      </c>
      <c r="AX375" s="49" t="inlineStr">
        <is>
          <t>IF(OR(F375="",AK375=""),"",IF(COUNT(AI375:AJ375)=0,"",AK375-LOOKUP(2,1/(AI375:AJ375&lt;&gt;""),AI375:AJ375)))</t>
        </is>
      </c>
      <c r="AY375" s="49" t="inlineStr">
        <is>
          <t>IF(OR(F375="",AL375=""),"",IF(COUNT(AI375:AK375)=0,"",AL375-LOOKUP(2,1/(AI375:AK375&lt;&gt;""),AI375:AK375)))</t>
        </is>
      </c>
      <c r="AZ375" s="49" t="inlineStr">
        <is>
          <t>IF(OR(F375="",AM375=""),"",IF(COUNT(AI375:AL375)=0,"",AM375-LOOKUP(2,1/(AI375:AL375&lt;&gt;""),AI375:AL375)))</t>
        </is>
      </c>
      <c r="BA375" s="49" t="inlineStr">
        <is>
          <t>IF(OR(F375="",AN375=""),"",IF(COUNT(AI375:AM375)=0,"",AN375-LOOKUP(2,1/(AI375:AM375&lt;&gt;""),AI375:AM375)))</t>
        </is>
      </c>
      <c r="BB375" s="49" t="inlineStr">
        <is>
          <t>IF(OR(F375="",AO375=""),"",IF(COUNT(AI375:AN375)=0,"",AO375-LOOKUP(2,1/(AI375:AN375&lt;&gt;""),AI375:AN375)))</t>
        </is>
      </c>
      <c r="BC375" s="49" t="inlineStr">
        <is>
          <t>IF(OR(F375="",AP375=""),"",IF(COUNT(AI375:AO375)=0,"",AP375-LOOKUP(2,1/(AI375:AO375&lt;&gt;""),AI375:AO375)))</t>
        </is>
      </c>
      <c r="BD375" s="49" t="inlineStr">
        <is>
          <t>IF(OR(F375="",AQ375=""),"",IF(COUNT(AI375:AP375)=0,"",AQ375-LOOKUP(2,1/(AI375:AP375&lt;&gt;""),AI375:AP375)))</t>
        </is>
      </c>
      <c r="BE375" s="49" t="inlineStr">
        <is>
          <t>IF(OR(F375="",AR375=""),"",IF(COUNT(AI375:AQ375)=0,"",AR375-LOOKUP(2,1/(AI375:AQ375&lt;&gt;""),AI375:AQ375)))</t>
        </is>
      </c>
      <c r="BF375" s="49" t="inlineStr">
        <is>
          <t>IF(OR(F375="",AS375=""),"",IF(COUNT(AI375:AR375)=0,"",AS375-LOOKUP(2,1/(AI375:AR375&lt;&gt;""),AI375:AR375)))</t>
        </is>
      </c>
      <c r="BG375" s="49" t="inlineStr">
        <is>
          <t>IF(OR(F375="",AT375=""),"",IF(COUNT(AI375:AS375)=0,"",AT375-LOOKUP(2,1/(AI375:AS375&lt;&gt;""),AI375:AS375)))</t>
        </is>
      </c>
      <c r="BH375" s="49" t="inlineStr">
        <is>
          <t>IF(OR(F375="",AU375=""),"",IF(COUNT(AI375:AT375)=0,"",AU375-LOOKUP(2,1/(AI375:AT375&lt;&gt;""),AI375:AT375)))</t>
        </is>
      </c>
      <c r="BI375" s="49" t="inlineStr">
        <is>
          <t>IF(OR(F375="",AV375=""),"",IF(COUNT(AI375:AU375)=0,"",AV375-LOOKUP(2,1/(AI375:AU375&lt;&gt;""),AI375:AU375)))</t>
        </is>
      </c>
      <c r="BJ375" s="51" t="inlineStr">
        <is>
          <t>IF(J375="","All_Provinces",IFERROR(VLOOKUP(J375,'09_Lookups'!$A$4:$B$20,2,FALSE),"All_Provinces"))</t>
        </is>
      </c>
      <c r="BK375" s="51" t="inlineStr">
        <is>
          <t>IF(K375="","All_Districts",IFERROR(VLOOKUP(K375,'09_Lookups'!$E$4:$F$42,2,FALSE),"All_Districts"))</t>
        </is>
      </c>
    </row>
    <row r="376" ht="18" customHeight="1">
      <c r="A376" s="42" t="inlineStr">
        <is>
          <t>IF(F376="","",ROW()-3)</t>
        </is>
      </c>
      <c r="B376" s="52" t="n"/>
      <c r="C376" s="52" t="n"/>
      <c r="D376" s="52" t="n"/>
      <c r="E376" s="52" t="n"/>
      <c r="F376" s="52" t="n"/>
      <c r="G376" s="52" t="n"/>
      <c r="H376" s="52" t="n"/>
      <c r="I376" s="52" t="n"/>
      <c r="J376" s="52" t="n"/>
      <c r="K376" s="52" t="n"/>
      <c r="L376" s="52" t="n"/>
      <c r="M376" s="52" t="n"/>
      <c r="N376" s="52" t="n"/>
      <c r="O376" s="52" t="n"/>
      <c r="P376" s="52" t="n"/>
      <c r="Q376" s="52" t="n"/>
      <c r="R376" s="52" t="n"/>
      <c r="S376" s="53" t="n"/>
      <c r="T376" s="46" t="inlineStr">
        <is>
          <t>IF(AQ376="","",AQ376)</t>
        </is>
      </c>
      <c r="U376" s="54" t="n"/>
      <c r="V376" s="55" t="n"/>
      <c r="W376" s="54" t="n"/>
      <c r="X376" s="46" t="inlineStr">
        <is>
          <t>IF(W376&lt;&gt;"",W376,IF(OR(T376="",V376=""),"",EDATE(T376,V376)))</t>
        </is>
      </c>
      <c r="Y376" s="54" t="n"/>
      <c r="Z376" s="55" t="n"/>
      <c r="AA376" s="52" t="n"/>
      <c r="AB376" s="52" t="n"/>
      <c r="AC376" s="42" t="inlineStr">
        <is>
          <t>IF(F376="","",IF(COUNT(AI376:AV376)=0,IF(AA376="","Not started",AA376),SUBSTITUTE(LOOKUP(2,1/(AI376:AV376&lt;&gt;""),$AI$3:$AV$3),"Date: ","")))</t>
        </is>
      </c>
      <c r="AD376" s="49" t="inlineStr">
        <is>
          <t>IF(OR(F376="",COUNT(AI376:AV376)=0),"",TODAY()-LOOKUP(2,1/(AI376:AV376&lt;&gt;""),AI376:AV376))</t>
        </is>
      </c>
      <c r="AE376" s="49" t="inlineStr">
        <is>
          <t>IF(OR(F376="",COUNT(AI376:AV376)&lt;2),"",LOOKUP(2,1/(AI376:AV376&lt;&gt;""),AI376:AV376)-MIN(AI376:AV376))</t>
        </is>
      </c>
      <c r="AF376" s="49" t="inlineStr">
        <is>
          <t>IF(OR(AD376="",AC376="Not started",AC376=""),"",IFERROR(AD376-IF(VLOOKUP(AC376,'06_Status_Pipeline'!$B$3:$E$20,4,FALSE)="",0,VLOOKUP(AC376,'06_Status_Pipeline'!$B$3:$E$20,4,FALSE)),""))</t>
        </is>
      </c>
      <c r="AG376" s="42" t="inlineStr">
        <is>
          <t>IF(F376="","",IF(OR(AA376="Cancelled",AC376="Cancelled"),"Cancelled",IF(OR(AC376="Completed / Handover",Y376&lt;&gt;"",Z376&gt;=100),"Completed — on track",IF(O376="Not awarded",IF(U376="",IF(X376="","No planned date",IF(TODAY()&gt;X376,"Behind — past planned date",IF(X376-TODAY()&lt;=30,"At risk — close to off track","On track"))),IF(TODAY()&gt;U376,"Behind — award date passed",IF(U376-TODAY()&lt;=30,"At risk — close to off track","On track"))),IF(X376="","No planned date",IF(AND(TODAY()&gt;X376,OR(Z376="",Z376&lt;100)),"Behind — past end date",IF(AND(T376&lt;&gt;"",X376&lt;&gt;"",Z376&lt;&gt;"",(Z376&lt;100),((TODAY()-T376)/MAX(X376-T376,1)*100)-Z376&gt;15),"Behind — progress lag",IF(AND(X376-TODAY()&lt;=30,X376-TODAY()&gt;=0,OR(Z376="",Z376&lt;90)),"At risk — close to off track","On track"))))))))</t>
        </is>
      </c>
      <c r="AH376" s="49" t="inlineStr">
        <is>
          <t>IF(OR(F376="",AC376="Completed / Handover",AC376="Cancelled"),"",IF(O376="Not awarded",IF(U376&lt;&gt;"",U376-TODAY(),IF(X376="","",X376-TODAY())),IF(X376="","",X376-TODAY())))</t>
        </is>
      </c>
      <c r="AI376" s="54" t="n"/>
      <c r="AJ376" s="54" t="n"/>
      <c r="AK376" s="54" t="n"/>
      <c r="AL376" s="54" t="n"/>
      <c r="AM376" s="54" t="n"/>
      <c r="AN376" s="54" t="n"/>
      <c r="AO376" s="54" t="n"/>
      <c r="AP376" s="54" t="n"/>
      <c r="AQ376" s="54" t="n"/>
      <c r="AR376" s="54" t="n"/>
      <c r="AS376" s="54" t="n"/>
      <c r="AT376" s="50" t="n"/>
      <c r="AU376" s="50" t="n"/>
      <c r="AV376" s="50" t="n"/>
      <c r="AW376" s="49" t="inlineStr">
        <is>
          <t>IF(OR(F376="",AJ376=""),"",IF(COUNT(AI376:AI376)=0,"",AJ376-LOOKUP(2,1/(AI376:AI376&lt;&gt;""),AI376:AI376)))</t>
        </is>
      </c>
      <c r="AX376" s="49" t="inlineStr">
        <is>
          <t>IF(OR(F376="",AK376=""),"",IF(COUNT(AI376:AJ376)=0,"",AK376-LOOKUP(2,1/(AI376:AJ376&lt;&gt;""),AI376:AJ376)))</t>
        </is>
      </c>
      <c r="AY376" s="49" t="inlineStr">
        <is>
          <t>IF(OR(F376="",AL376=""),"",IF(COUNT(AI376:AK376)=0,"",AL376-LOOKUP(2,1/(AI376:AK376&lt;&gt;""),AI376:AK376)))</t>
        </is>
      </c>
      <c r="AZ376" s="49" t="inlineStr">
        <is>
          <t>IF(OR(F376="",AM376=""),"",IF(COUNT(AI376:AL376)=0,"",AM376-LOOKUP(2,1/(AI376:AL376&lt;&gt;""),AI376:AL376)))</t>
        </is>
      </c>
      <c r="BA376" s="49" t="inlineStr">
        <is>
          <t>IF(OR(F376="",AN376=""),"",IF(COUNT(AI376:AM376)=0,"",AN376-LOOKUP(2,1/(AI376:AM376&lt;&gt;""),AI376:AM376)))</t>
        </is>
      </c>
      <c r="BB376" s="49" t="inlineStr">
        <is>
          <t>IF(OR(F376="",AO376=""),"",IF(COUNT(AI376:AN376)=0,"",AO376-LOOKUP(2,1/(AI376:AN376&lt;&gt;""),AI376:AN376)))</t>
        </is>
      </c>
      <c r="BC376" s="49" t="inlineStr">
        <is>
          <t>IF(OR(F376="",AP376=""),"",IF(COUNT(AI376:AO376)=0,"",AP376-LOOKUP(2,1/(AI376:AO376&lt;&gt;""),AI376:AO376)))</t>
        </is>
      </c>
      <c r="BD376" s="49" t="inlineStr">
        <is>
          <t>IF(OR(F376="",AQ376=""),"",IF(COUNT(AI376:AP376)=0,"",AQ376-LOOKUP(2,1/(AI376:AP376&lt;&gt;""),AI376:AP376)))</t>
        </is>
      </c>
      <c r="BE376" s="49" t="inlineStr">
        <is>
          <t>IF(OR(F376="",AR376=""),"",IF(COUNT(AI376:AQ376)=0,"",AR376-LOOKUP(2,1/(AI376:AQ376&lt;&gt;""),AI376:AQ376)))</t>
        </is>
      </c>
      <c r="BF376" s="49" t="inlineStr">
        <is>
          <t>IF(OR(F376="",AS376=""),"",IF(COUNT(AI376:AR376)=0,"",AS376-LOOKUP(2,1/(AI376:AR376&lt;&gt;""),AI376:AR376)))</t>
        </is>
      </c>
      <c r="BG376" s="49" t="inlineStr">
        <is>
          <t>IF(OR(F376="",AT376=""),"",IF(COUNT(AI376:AS376)=0,"",AT376-LOOKUP(2,1/(AI376:AS376&lt;&gt;""),AI376:AS376)))</t>
        </is>
      </c>
      <c r="BH376" s="49" t="inlineStr">
        <is>
          <t>IF(OR(F376="",AU376=""),"",IF(COUNT(AI376:AT376)=0,"",AU376-LOOKUP(2,1/(AI376:AT376&lt;&gt;""),AI376:AT376)))</t>
        </is>
      </c>
      <c r="BI376" s="49" t="inlineStr">
        <is>
          <t>IF(OR(F376="",AV376=""),"",IF(COUNT(AI376:AU376)=0,"",AV376-LOOKUP(2,1/(AI376:AU376&lt;&gt;""),AI376:AU376)))</t>
        </is>
      </c>
      <c r="BJ376" s="51" t="inlineStr">
        <is>
          <t>IF(J376="","All_Provinces",IFERROR(VLOOKUP(J376,'09_Lookups'!$A$4:$B$20,2,FALSE),"All_Provinces"))</t>
        </is>
      </c>
      <c r="BK376" s="51" t="inlineStr">
        <is>
          <t>IF(K376="","All_Districts",IFERROR(VLOOKUP(K376,'09_Lookups'!$E$4:$F$42,2,FALSE),"All_Districts"))</t>
        </is>
      </c>
    </row>
    <row r="377" ht="18" customHeight="1">
      <c r="A377" s="42" t="inlineStr">
        <is>
          <t>IF(F377="","",ROW()-3)</t>
        </is>
      </c>
      <c r="B377" s="44" t="n"/>
      <c r="C377" s="44" t="n"/>
      <c r="D377" s="44" t="n"/>
      <c r="E377" s="44" t="n"/>
      <c r="F377" s="44" t="n"/>
      <c r="G377" s="44" t="n"/>
      <c r="H377" s="44" t="n"/>
      <c r="I377" s="44" t="n"/>
      <c r="J377" s="44" t="n"/>
      <c r="K377" s="44" t="n"/>
      <c r="L377" s="44" t="n"/>
      <c r="M377" s="44" t="n"/>
      <c r="N377" s="44" t="n"/>
      <c r="O377" s="44" t="n"/>
      <c r="P377" s="44" t="n"/>
      <c r="Q377" s="44" t="n"/>
      <c r="R377" s="44" t="n"/>
      <c r="S377" s="45" t="n"/>
      <c r="T377" s="46" t="inlineStr">
        <is>
          <t>IF(AQ377="","",AQ377)</t>
        </is>
      </c>
      <c r="U377" s="47" t="n"/>
      <c r="V377" s="48" t="n"/>
      <c r="W377" s="47" t="n"/>
      <c r="X377" s="46" t="inlineStr">
        <is>
          <t>IF(W377&lt;&gt;"",W377,IF(OR(T377="",V377=""),"",EDATE(T377,V377)))</t>
        </is>
      </c>
      <c r="Y377" s="47" t="n"/>
      <c r="Z377" s="48" t="n"/>
      <c r="AA377" s="44" t="n"/>
      <c r="AB377" s="44" t="n"/>
      <c r="AC377" s="42" t="inlineStr">
        <is>
          <t>IF(F377="","",IF(COUNT(AI377:AV377)=0,IF(AA377="","Not started",AA377),SUBSTITUTE(LOOKUP(2,1/(AI377:AV377&lt;&gt;""),$AI$3:$AV$3),"Date: ","")))</t>
        </is>
      </c>
      <c r="AD377" s="49" t="inlineStr">
        <is>
          <t>IF(OR(F377="",COUNT(AI377:AV377)=0),"",TODAY()-LOOKUP(2,1/(AI377:AV377&lt;&gt;""),AI377:AV377))</t>
        </is>
      </c>
      <c r="AE377" s="49" t="inlineStr">
        <is>
          <t>IF(OR(F377="",COUNT(AI377:AV377)&lt;2),"",LOOKUP(2,1/(AI377:AV377&lt;&gt;""),AI377:AV377)-MIN(AI377:AV377))</t>
        </is>
      </c>
      <c r="AF377" s="49" t="inlineStr">
        <is>
          <t>IF(OR(AD377="",AC377="Not started",AC377=""),"",IFERROR(AD377-IF(VLOOKUP(AC377,'06_Status_Pipeline'!$B$3:$E$20,4,FALSE)="",0,VLOOKUP(AC377,'06_Status_Pipeline'!$B$3:$E$20,4,FALSE)),""))</t>
        </is>
      </c>
      <c r="AG377" s="42" t="inlineStr">
        <is>
          <t>IF(F377="","",IF(OR(AA377="Cancelled",AC377="Cancelled"),"Cancelled",IF(OR(AC377="Completed / Handover",Y377&lt;&gt;"",Z377&gt;=100),"Completed — on track",IF(O377="Not awarded",IF(U377="",IF(X377="","No planned date",IF(TODAY()&gt;X377,"Behind — past planned date",IF(X377-TODAY()&lt;=30,"At risk — close to off track","On track"))),IF(TODAY()&gt;U377,"Behind — award date passed",IF(U377-TODAY()&lt;=30,"At risk — close to off track","On track"))),IF(X377="","No planned date",IF(AND(TODAY()&gt;X377,OR(Z377="",Z377&lt;100)),"Behind — past end date",IF(AND(T377&lt;&gt;"",X377&lt;&gt;"",Z377&lt;&gt;"",(Z377&lt;100),((TODAY()-T377)/MAX(X377-T377,1)*100)-Z377&gt;15),"Behind — progress lag",IF(AND(X377-TODAY()&lt;=30,X377-TODAY()&gt;=0,OR(Z377="",Z377&lt;90)),"At risk — close to off track","On track"))))))))</t>
        </is>
      </c>
      <c r="AH377" s="49" t="inlineStr">
        <is>
          <t>IF(OR(F377="",AC377="Completed / Handover",AC377="Cancelled"),"",IF(O377="Not awarded",IF(U377&lt;&gt;"",U377-TODAY(),IF(X377="","",X377-TODAY())),IF(X377="","",X377-TODAY())))</t>
        </is>
      </c>
      <c r="AI377" s="47" t="n"/>
      <c r="AJ377" s="47" t="n"/>
      <c r="AK377" s="47" t="n"/>
      <c r="AL377" s="47" t="n"/>
      <c r="AM377" s="47" t="n"/>
      <c r="AN377" s="47" t="n"/>
      <c r="AO377" s="47" t="n"/>
      <c r="AP377" s="47" t="n"/>
      <c r="AQ377" s="47" t="n"/>
      <c r="AR377" s="47" t="n"/>
      <c r="AS377" s="47" t="n"/>
      <c r="AT377" s="50" t="n"/>
      <c r="AU377" s="50" t="n"/>
      <c r="AV377" s="50" t="n"/>
      <c r="AW377" s="49" t="inlineStr">
        <is>
          <t>IF(OR(F377="",AJ377=""),"",IF(COUNT(AI377:AI377)=0,"",AJ377-LOOKUP(2,1/(AI377:AI377&lt;&gt;""),AI377:AI377)))</t>
        </is>
      </c>
      <c r="AX377" s="49" t="inlineStr">
        <is>
          <t>IF(OR(F377="",AK377=""),"",IF(COUNT(AI377:AJ377)=0,"",AK377-LOOKUP(2,1/(AI377:AJ377&lt;&gt;""),AI377:AJ377)))</t>
        </is>
      </c>
      <c r="AY377" s="49" t="inlineStr">
        <is>
          <t>IF(OR(F377="",AL377=""),"",IF(COUNT(AI377:AK377)=0,"",AL377-LOOKUP(2,1/(AI377:AK377&lt;&gt;""),AI377:AK377)))</t>
        </is>
      </c>
      <c r="AZ377" s="49" t="inlineStr">
        <is>
          <t>IF(OR(F377="",AM377=""),"",IF(COUNT(AI377:AL377)=0,"",AM377-LOOKUP(2,1/(AI377:AL377&lt;&gt;""),AI377:AL377)))</t>
        </is>
      </c>
      <c r="BA377" s="49" t="inlineStr">
        <is>
          <t>IF(OR(F377="",AN377=""),"",IF(COUNT(AI377:AM377)=0,"",AN377-LOOKUP(2,1/(AI377:AM377&lt;&gt;""),AI377:AM377)))</t>
        </is>
      </c>
      <c r="BB377" s="49" t="inlineStr">
        <is>
          <t>IF(OR(F377="",AO377=""),"",IF(COUNT(AI377:AN377)=0,"",AO377-LOOKUP(2,1/(AI377:AN377&lt;&gt;""),AI377:AN377)))</t>
        </is>
      </c>
      <c r="BC377" s="49" t="inlineStr">
        <is>
          <t>IF(OR(F377="",AP377=""),"",IF(COUNT(AI377:AO377)=0,"",AP377-LOOKUP(2,1/(AI377:AO377&lt;&gt;""),AI377:AO377)))</t>
        </is>
      </c>
      <c r="BD377" s="49" t="inlineStr">
        <is>
          <t>IF(OR(F377="",AQ377=""),"",IF(COUNT(AI377:AP377)=0,"",AQ377-LOOKUP(2,1/(AI377:AP377&lt;&gt;""),AI377:AP377)))</t>
        </is>
      </c>
      <c r="BE377" s="49" t="inlineStr">
        <is>
          <t>IF(OR(F377="",AR377=""),"",IF(COUNT(AI377:AQ377)=0,"",AR377-LOOKUP(2,1/(AI377:AQ377&lt;&gt;""),AI377:AQ377)))</t>
        </is>
      </c>
      <c r="BF377" s="49" t="inlineStr">
        <is>
          <t>IF(OR(F377="",AS377=""),"",IF(COUNT(AI377:AR377)=0,"",AS377-LOOKUP(2,1/(AI377:AR377&lt;&gt;""),AI377:AR377)))</t>
        </is>
      </c>
      <c r="BG377" s="49" t="inlineStr">
        <is>
          <t>IF(OR(F377="",AT377=""),"",IF(COUNT(AI377:AS377)=0,"",AT377-LOOKUP(2,1/(AI377:AS377&lt;&gt;""),AI377:AS377)))</t>
        </is>
      </c>
      <c r="BH377" s="49" t="inlineStr">
        <is>
          <t>IF(OR(F377="",AU377=""),"",IF(COUNT(AI377:AT377)=0,"",AU377-LOOKUP(2,1/(AI377:AT377&lt;&gt;""),AI377:AT377)))</t>
        </is>
      </c>
      <c r="BI377" s="49" t="inlineStr">
        <is>
          <t>IF(OR(F377="",AV377=""),"",IF(COUNT(AI377:AU377)=0,"",AV377-LOOKUP(2,1/(AI377:AU377&lt;&gt;""),AI377:AU377)))</t>
        </is>
      </c>
      <c r="BJ377" s="51" t="inlineStr">
        <is>
          <t>IF(J377="","All_Provinces",IFERROR(VLOOKUP(J377,'09_Lookups'!$A$4:$B$20,2,FALSE),"All_Provinces"))</t>
        </is>
      </c>
      <c r="BK377" s="51" t="inlineStr">
        <is>
          <t>IF(K377="","All_Districts",IFERROR(VLOOKUP(K377,'09_Lookups'!$E$4:$F$42,2,FALSE),"All_Districts"))</t>
        </is>
      </c>
    </row>
    <row r="378" ht="18" customHeight="1">
      <c r="A378" s="42" t="inlineStr">
        <is>
          <t>IF(F378="","",ROW()-3)</t>
        </is>
      </c>
      <c r="B378" s="52" t="n"/>
      <c r="C378" s="52" t="n"/>
      <c r="D378" s="52" t="n"/>
      <c r="E378" s="52" t="n"/>
      <c r="F378" s="52" t="n"/>
      <c r="G378" s="52" t="n"/>
      <c r="H378" s="52" t="n"/>
      <c r="I378" s="52" t="n"/>
      <c r="J378" s="52" t="n"/>
      <c r="K378" s="52" t="n"/>
      <c r="L378" s="52" t="n"/>
      <c r="M378" s="52" t="n"/>
      <c r="N378" s="52" t="n"/>
      <c r="O378" s="52" t="n"/>
      <c r="P378" s="52" t="n"/>
      <c r="Q378" s="52" t="n"/>
      <c r="R378" s="52" t="n"/>
      <c r="S378" s="53" t="n"/>
      <c r="T378" s="46" t="inlineStr">
        <is>
          <t>IF(AQ378="","",AQ378)</t>
        </is>
      </c>
      <c r="U378" s="54" t="n"/>
      <c r="V378" s="55" t="n"/>
      <c r="W378" s="54" t="n"/>
      <c r="X378" s="46" t="inlineStr">
        <is>
          <t>IF(W378&lt;&gt;"",W378,IF(OR(T378="",V378=""),"",EDATE(T378,V378)))</t>
        </is>
      </c>
      <c r="Y378" s="54" t="n"/>
      <c r="Z378" s="55" t="n"/>
      <c r="AA378" s="52" t="n"/>
      <c r="AB378" s="52" t="n"/>
      <c r="AC378" s="42" t="inlineStr">
        <is>
          <t>IF(F378="","",IF(COUNT(AI378:AV378)=0,IF(AA378="","Not started",AA378),SUBSTITUTE(LOOKUP(2,1/(AI378:AV378&lt;&gt;""),$AI$3:$AV$3),"Date: ","")))</t>
        </is>
      </c>
      <c r="AD378" s="49" t="inlineStr">
        <is>
          <t>IF(OR(F378="",COUNT(AI378:AV378)=0),"",TODAY()-LOOKUP(2,1/(AI378:AV378&lt;&gt;""),AI378:AV378))</t>
        </is>
      </c>
      <c r="AE378" s="49" t="inlineStr">
        <is>
          <t>IF(OR(F378="",COUNT(AI378:AV378)&lt;2),"",LOOKUP(2,1/(AI378:AV378&lt;&gt;""),AI378:AV378)-MIN(AI378:AV378))</t>
        </is>
      </c>
      <c r="AF378" s="49" t="inlineStr">
        <is>
          <t>IF(OR(AD378="",AC378="Not started",AC378=""),"",IFERROR(AD378-IF(VLOOKUP(AC378,'06_Status_Pipeline'!$B$3:$E$20,4,FALSE)="",0,VLOOKUP(AC378,'06_Status_Pipeline'!$B$3:$E$20,4,FALSE)),""))</t>
        </is>
      </c>
      <c r="AG378" s="42" t="inlineStr">
        <is>
          <t>IF(F378="","",IF(OR(AA378="Cancelled",AC378="Cancelled"),"Cancelled",IF(OR(AC378="Completed / Handover",Y378&lt;&gt;"",Z378&gt;=100),"Completed — on track",IF(O378="Not awarded",IF(U378="",IF(X378="","No planned date",IF(TODAY()&gt;X378,"Behind — past planned date",IF(X378-TODAY()&lt;=30,"At risk — close to off track","On track"))),IF(TODAY()&gt;U378,"Behind — award date passed",IF(U378-TODAY()&lt;=30,"At risk — close to off track","On track"))),IF(X378="","No planned date",IF(AND(TODAY()&gt;X378,OR(Z378="",Z378&lt;100)),"Behind — past end date",IF(AND(T378&lt;&gt;"",X378&lt;&gt;"",Z378&lt;&gt;"",(Z378&lt;100),((TODAY()-T378)/MAX(X378-T378,1)*100)-Z378&gt;15),"Behind — progress lag",IF(AND(X378-TODAY()&lt;=30,X378-TODAY()&gt;=0,OR(Z378="",Z378&lt;90)),"At risk — close to off track","On track"))))))))</t>
        </is>
      </c>
      <c r="AH378" s="49" t="inlineStr">
        <is>
          <t>IF(OR(F378="",AC378="Completed / Handover",AC378="Cancelled"),"",IF(O378="Not awarded",IF(U378&lt;&gt;"",U378-TODAY(),IF(X378="","",X378-TODAY())),IF(X378="","",X378-TODAY())))</t>
        </is>
      </c>
      <c r="AI378" s="54" t="n"/>
      <c r="AJ378" s="54" t="n"/>
      <c r="AK378" s="54" t="n"/>
      <c r="AL378" s="54" t="n"/>
      <c r="AM378" s="54" t="n"/>
      <c r="AN378" s="54" t="n"/>
      <c r="AO378" s="54" t="n"/>
      <c r="AP378" s="54" t="n"/>
      <c r="AQ378" s="54" t="n"/>
      <c r="AR378" s="54" t="n"/>
      <c r="AS378" s="54" t="n"/>
      <c r="AT378" s="50" t="n"/>
      <c r="AU378" s="50" t="n"/>
      <c r="AV378" s="50" t="n"/>
      <c r="AW378" s="49" t="inlineStr">
        <is>
          <t>IF(OR(F378="",AJ378=""),"",IF(COUNT(AI378:AI378)=0,"",AJ378-LOOKUP(2,1/(AI378:AI378&lt;&gt;""),AI378:AI378)))</t>
        </is>
      </c>
      <c r="AX378" s="49" t="inlineStr">
        <is>
          <t>IF(OR(F378="",AK378=""),"",IF(COUNT(AI378:AJ378)=0,"",AK378-LOOKUP(2,1/(AI378:AJ378&lt;&gt;""),AI378:AJ378)))</t>
        </is>
      </c>
      <c r="AY378" s="49" t="inlineStr">
        <is>
          <t>IF(OR(F378="",AL378=""),"",IF(COUNT(AI378:AK378)=0,"",AL378-LOOKUP(2,1/(AI378:AK378&lt;&gt;""),AI378:AK378)))</t>
        </is>
      </c>
      <c r="AZ378" s="49" t="inlineStr">
        <is>
          <t>IF(OR(F378="",AM378=""),"",IF(COUNT(AI378:AL378)=0,"",AM378-LOOKUP(2,1/(AI378:AL378&lt;&gt;""),AI378:AL378)))</t>
        </is>
      </c>
      <c r="BA378" s="49" t="inlineStr">
        <is>
          <t>IF(OR(F378="",AN378=""),"",IF(COUNT(AI378:AM378)=0,"",AN378-LOOKUP(2,1/(AI378:AM378&lt;&gt;""),AI378:AM378)))</t>
        </is>
      </c>
      <c r="BB378" s="49" t="inlineStr">
        <is>
          <t>IF(OR(F378="",AO378=""),"",IF(COUNT(AI378:AN378)=0,"",AO378-LOOKUP(2,1/(AI378:AN378&lt;&gt;""),AI378:AN378)))</t>
        </is>
      </c>
      <c r="BC378" s="49" t="inlineStr">
        <is>
          <t>IF(OR(F378="",AP378=""),"",IF(COUNT(AI378:AO378)=0,"",AP378-LOOKUP(2,1/(AI378:AO378&lt;&gt;""),AI378:AO378)))</t>
        </is>
      </c>
      <c r="BD378" s="49" t="inlineStr">
        <is>
          <t>IF(OR(F378="",AQ378=""),"",IF(COUNT(AI378:AP378)=0,"",AQ378-LOOKUP(2,1/(AI378:AP378&lt;&gt;""),AI378:AP378)))</t>
        </is>
      </c>
      <c r="BE378" s="49" t="inlineStr">
        <is>
          <t>IF(OR(F378="",AR378=""),"",IF(COUNT(AI378:AQ378)=0,"",AR378-LOOKUP(2,1/(AI378:AQ378&lt;&gt;""),AI378:AQ378)))</t>
        </is>
      </c>
      <c r="BF378" s="49" t="inlineStr">
        <is>
          <t>IF(OR(F378="",AS378=""),"",IF(COUNT(AI378:AR378)=0,"",AS378-LOOKUP(2,1/(AI378:AR378&lt;&gt;""),AI378:AR378)))</t>
        </is>
      </c>
      <c r="BG378" s="49" t="inlineStr">
        <is>
          <t>IF(OR(F378="",AT378=""),"",IF(COUNT(AI378:AS378)=0,"",AT378-LOOKUP(2,1/(AI378:AS378&lt;&gt;""),AI378:AS378)))</t>
        </is>
      </c>
      <c r="BH378" s="49" t="inlineStr">
        <is>
          <t>IF(OR(F378="",AU378=""),"",IF(COUNT(AI378:AT378)=0,"",AU378-LOOKUP(2,1/(AI378:AT378&lt;&gt;""),AI378:AT378)))</t>
        </is>
      </c>
      <c r="BI378" s="49" t="inlineStr">
        <is>
          <t>IF(OR(F378="",AV378=""),"",IF(COUNT(AI378:AU378)=0,"",AV378-LOOKUP(2,1/(AI378:AU378&lt;&gt;""),AI378:AU378)))</t>
        </is>
      </c>
      <c r="BJ378" s="51" t="inlineStr">
        <is>
          <t>IF(J378="","All_Provinces",IFERROR(VLOOKUP(J378,'09_Lookups'!$A$4:$B$20,2,FALSE),"All_Provinces"))</t>
        </is>
      </c>
      <c r="BK378" s="51" t="inlineStr">
        <is>
          <t>IF(K378="","All_Districts",IFERROR(VLOOKUP(K378,'09_Lookups'!$E$4:$F$42,2,FALSE),"All_Districts"))</t>
        </is>
      </c>
    </row>
    <row r="379" ht="18" customHeight="1">
      <c r="A379" s="42" t="inlineStr">
        <is>
          <t>IF(F379="","",ROW()-3)</t>
        </is>
      </c>
      <c r="B379" s="44" t="n"/>
      <c r="C379" s="44" t="n"/>
      <c r="D379" s="44" t="n"/>
      <c r="E379" s="44" t="n"/>
      <c r="F379" s="44" t="n"/>
      <c r="G379" s="44" t="n"/>
      <c r="H379" s="44" t="n"/>
      <c r="I379" s="44" t="n"/>
      <c r="J379" s="44" t="n"/>
      <c r="K379" s="44" t="n"/>
      <c r="L379" s="44" t="n"/>
      <c r="M379" s="44" t="n"/>
      <c r="N379" s="44" t="n"/>
      <c r="O379" s="44" t="n"/>
      <c r="P379" s="44" t="n"/>
      <c r="Q379" s="44" t="n"/>
      <c r="R379" s="44" t="n"/>
      <c r="S379" s="45" t="n"/>
      <c r="T379" s="46" t="inlineStr">
        <is>
          <t>IF(AQ379="","",AQ379)</t>
        </is>
      </c>
      <c r="U379" s="47" t="n"/>
      <c r="V379" s="48" t="n"/>
      <c r="W379" s="47" t="n"/>
      <c r="X379" s="46" t="inlineStr">
        <is>
          <t>IF(W379&lt;&gt;"",W379,IF(OR(T379="",V379=""),"",EDATE(T379,V379)))</t>
        </is>
      </c>
      <c r="Y379" s="47" t="n"/>
      <c r="Z379" s="48" t="n"/>
      <c r="AA379" s="44" t="n"/>
      <c r="AB379" s="44" t="n"/>
      <c r="AC379" s="42" t="inlineStr">
        <is>
          <t>IF(F379="","",IF(COUNT(AI379:AV379)=0,IF(AA379="","Not started",AA379),SUBSTITUTE(LOOKUP(2,1/(AI379:AV379&lt;&gt;""),$AI$3:$AV$3),"Date: ","")))</t>
        </is>
      </c>
      <c r="AD379" s="49" t="inlineStr">
        <is>
          <t>IF(OR(F379="",COUNT(AI379:AV379)=0),"",TODAY()-LOOKUP(2,1/(AI379:AV379&lt;&gt;""),AI379:AV379))</t>
        </is>
      </c>
      <c r="AE379" s="49" t="inlineStr">
        <is>
          <t>IF(OR(F379="",COUNT(AI379:AV379)&lt;2),"",LOOKUP(2,1/(AI379:AV379&lt;&gt;""),AI379:AV379)-MIN(AI379:AV379))</t>
        </is>
      </c>
      <c r="AF379" s="49" t="inlineStr">
        <is>
          <t>IF(OR(AD379="",AC379="Not started",AC379=""),"",IFERROR(AD379-IF(VLOOKUP(AC379,'06_Status_Pipeline'!$B$3:$E$20,4,FALSE)="",0,VLOOKUP(AC379,'06_Status_Pipeline'!$B$3:$E$20,4,FALSE)),""))</t>
        </is>
      </c>
      <c r="AG379" s="42" t="inlineStr">
        <is>
          <t>IF(F379="","",IF(OR(AA379="Cancelled",AC379="Cancelled"),"Cancelled",IF(OR(AC379="Completed / Handover",Y379&lt;&gt;"",Z379&gt;=100),"Completed — on track",IF(O379="Not awarded",IF(U379="",IF(X379="","No planned date",IF(TODAY()&gt;X379,"Behind — past planned date",IF(X379-TODAY()&lt;=30,"At risk — close to off track","On track"))),IF(TODAY()&gt;U379,"Behind — award date passed",IF(U379-TODAY()&lt;=30,"At risk — close to off track","On track"))),IF(X379="","No planned date",IF(AND(TODAY()&gt;X379,OR(Z379="",Z379&lt;100)),"Behind — past end date",IF(AND(T379&lt;&gt;"",X379&lt;&gt;"",Z379&lt;&gt;"",(Z379&lt;100),((TODAY()-T379)/MAX(X379-T379,1)*100)-Z379&gt;15),"Behind — progress lag",IF(AND(X379-TODAY()&lt;=30,X379-TODAY()&gt;=0,OR(Z379="",Z379&lt;90)),"At risk — close to off track","On track"))))))))</t>
        </is>
      </c>
      <c r="AH379" s="49" t="inlineStr">
        <is>
          <t>IF(OR(F379="",AC379="Completed / Handover",AC379="Cancelled"),"",IF(O379="Not awarded",IF(U379&lt;&gt;"",U379-TODAY(),IF(X379="","",X379-TODAY())),IF(X379="","",X379-TODAY())))</t>
        </is>
      </c>
      <c r="AI379" s="47" t="n"/>
      <c r="AJ379" s="47" t="n"/>
      <c r="AK379" s="47" t="n"/>
      <c r="AL379" s="47" t="n"/>
      <c r="AM379" s="47" t="n"/>
      <c r="AN379" s="47" t="n"/>
      <c r="AO379" s="47" t="n"/>
      <c r="AP379" s="47" t="n"/>
      <c r="AQ379" s="47" t="n"/>
      <c r="AR379" s="47" t="n"/>
      <c r="AS379" s="47" t="n"/>
      <c r="AT379" s="50" t="n"/>
      <c r="AU379" s="50" t="n"/>
      <c r="AV379" s="50" t="n"/>
      <c r="AW379" s="49" t="inlineStr">
        <is>
          <t>IF(OR(F379="",AJ379=""),"",IF(COUNT(AI379:AI379)=0,"",AJ379-LOOKUP(2,1/(AI379:AI379&lt;&gt;""),AI379:AI379)))</t>
        </is>
      </c>
      <c r="AX379" s="49" t="inlineStr">
        <is>
          <t>IF(OR(F379="",AK379=""),"",IF(COUNT(AI379:AJ379)=0,"",AK379-LOOKUP(2,1/(AI379:AJ379&lt;&gt;""),AI379:AJ379)))</t>
        </is>
      </c>
      <c r="AY379" s="49" t="inlineStr">
        <is>
          <t>IF(OR(F379="",AL379=""),"",IF(COUNT(AI379:AK379)=0,"",AL379-LOOKUP(2,1/(AI379:AK379&lt;&gt;""),AI379:AK379)))</t>
        </is>
      </c>
      <c r="AZ379" s="49" t="inlineStr">
        <is>
          <t>IF(OR(F379="",AM379=""),"",IF(COUNT(AI379:AL379)=0,"",AM379-LOOKUP(2,1/(AI379:AL379&lt;&gt;""),AI379:AL379)))</t>
        </is>
      </c>
      <c r="BA379" s="49" t="inlineStr">
        <is>
          <t>IF(OR(F379="",AN379=""),"",IF(COUNT(AI379:AM379)=0,"",AN379-LOOKUP(2,1/(AI379:AM379&lt;&gt;""),AI379:AM379)))</t>
        </is>
      </c>
      <c r="BB379" s="49" t="inlineStr">
        <is>
          <t>IF(OR(F379="",AO379=""),"",IF(COUNT(AI379:AN379)=0,"",AO379-LOOKUP(2,1/(AI379:AN379&lt;&gt;""),AI379:AN379)))</t>
        </is>
      </c>
      <c r="BC379" s="49" t="inlineStr">
        <is>
          <t>IF(OR(F379="",AP379=""),"",IF(COUNT(AI379:AO379)=0,"",AP379-LOOKUP(2,1/(AI379:AO379&lt;&gt;""),AI379:AO379)))</t>
        </is>
      </c>
      <c r="BD379" s="49" t="inlineStr">
        <is>
          <t>IF(OR(F379="",AQ379=""),"",IF(COUNT(AI379:AP379)=0,"",AQ379-LOOKUP(2,1/(AI379:AP379&lt;&gt;""),AI379:AP379)))</t>
        </is>
      </c>
      <c r="BE379" s="49" t="inlineStr">
        <is>
          <t>IF(OR(F379="",AR379=""),"",IF(COUNT(AI379:AQ379)=0,"",AR379-LOOKUP(2,1/(AI379:AQ379&lt;&gt;""),AI379:AQ379)))</t>
        </is>
      </c>
      <c r="BF379" s="49" t="inlineStr">
        <is>
          <t>IF(OR(F379="",AS379=""),"",IF(COUNT(AI379:AR379)=0,"",AS379-LOOKUP(2,1/(AI379:AR379&lt;&gt;""),AI379:AR379)))</t>
        </is>
      </c>
      <c r="BG379" s="49" t="inlineStr">
        <is>
          <t>IF(OR(F379="",AT379=""),"",IF(COUNT(AI379:AS379)=0,"",AT379-LOOKUP(2,1/(AI379:AS379&lt;&gt;""),AI379:AS379)))</t>
        </is>
      </c>
      <c r="BH379" s="49" t="inlineStr">
        <is>
          <t>IF(OR(F379="",AU379=""),"",IF(COUNT(AI379:AT379)=0,"",AU379-LOOKUP(2,1/(AI379:AT379&lt;&gt;""),AI379:AT379)))</t>
        </is>
      </c>
      <c r="BI379" s="49" t="inlineStr">
        <is>
          <t>IF(OR(F379="",AV379=""),"",IF(COUNT(AI379:AU379)=0,"",AV379-LOOKUP(2,1/(AI379:AU379&lt;&gt;""),AI379:AU379)))</t>
        </is>
      </c>
      <c r="BJ379" s="51" t="inlineStr">
        <is>
          <t>IF(J379="","All_Provinces",IFERROR(VLOOKUP(J379,'09_Lookups'!$A$4:$B$20,2,FALSE),"All_Provinces"))</t>
        </is>
      </c>
      <c r="BK379" s="51" t="inlineStr">
        <is>
          <t>IF(K379="","All_Districts",IFERROR(VLOOKUP(K379,'09_Lookups'!$E$4:$F$42,2,FALSE),"All_Districts"))</t>
        </is>
      </c>
    </row>
    <row r="380" ht="18" customHeight="1">
      <c r="A380" s="42" t="inlineStr">
        <is>
          <t>IF(F380="","",ROW()-3)</t>
        </is>
      </c>
      <c r="B380" s="52" t="n"/>
      <c r="C380" s="52" t="n"/>
      <c r="D380" s="52" t="n"/>
      <c r="E380" s="52" t="n"/>
      <c r="F380" s="52" t="n"/>
      <c r="G380" s="52" t="n"/>
      <c r="H380" s="52" t="n"/>
      <c r="I380" s="52" t="n"/>
      <c r="J380" s="52" t="n"/>
      <c r="K380" s="52" t="n"/>
      <c r="L380" s="52" t="n"/>
      <c r="M380" s="52" t="n"/>
      <c r="N380" s="52" t="n"/>
      <c r="O380" s="52" t="n"/>
      <c r="P380" s="52" t="n"/>
      <c r="Q380" s="52" t="n"/>
      <c r="R380" s="52" t="n"/>
      <c r="S380" s="53" t="n"/>
      <c r="T380" s="46" t="inlineStr">
        <is>
          <t>IF(AQ380="","",AQ380)</t>
        </is>
      </c>
      <c r="U380" s="54" t="n"/>
      <c r="V380" s="55" t="n"/>
      <c r="W380" s="54" t="n"/>
      <c r="X380" s="46" t="inlineStr">
        <is>
          <t>IF(W380&lt;&gt;"",W380,IF(OR(T380="",V380=""),"",EDATE(T380,V380)))</t>
        </is>
      </c>
      <c r="Y380" s="54" t="n"/>
      <c r="Z380" s="55" t="n"/>
      <c r="AA380" s="52" t="n"/>
      <c r="AB380" s="52" t="n"/>
      <c r="AC380" s="42" t="inlineStr">
        <is>
          <t>IF(F380="","",IF(COUNT(AI380:AV380)=0,IF(AA380="","Not started",AA380),SUBSTITUTE(LOOKUP(2,1/(AI380:AV380&lt;&gt;""),$AI$3:$AV$3),"Date: ","")))</t>
        </is>
      </c>
      <c r="AD380" s="49" t="inlineStr">
        <is>
          <t>IF(OR(F380="",COUNT(AI380:AV380)=0),"",TODAY()-LOOKUP(2,1/(AI380:AV380&lt;&gt;""),AI380:AV380))</t>
        </is>
      </c>
      <c r="AE380" s="49" t="inlineStr">
        <is>
          <t>IF(OR(F380="",COUNT(AI380:AV380)&lt;2),"",LOOKUP(2,1/(AI380:AV380&lt;&gt;""),AI380:AV380)-MIN(AI380:AV380))</t>
        </is>
      </c>
      <c r="AF380" s="49" t="inlineStr">
        <is>
          <t>IF(OR(AD380="",AC380="Not started",AC380=""),"",IFERROR(AD380-IF(VLOOKUP(AC380,'06_Status_Pipeline'!$B$3:$E$20,4,FALSE)="",0,VLOOKUP(AC380,'06_Status_Pipeline'!$B$3:$E$20,4,FALSE)),""))</t>
        </is>
      </c>
      <c r="AG380" s="42" t="inlineStr">
        <is>
          <t>IF(F380="","",IF(OR(AA380="Cancelled",AC380="Cancelled"),"Cancelled",IF(OR(AC380="Completed / Handover",Y380&lt;&gt;"",Z380&gt;=100),"Completed — on track",IF(O380="Not awarded",IF(U380="",IF(X380="","No planned date",IF(TODAY()&gt;X380,"Behind — past planned date",IF(X380-TODAY()&lt;=30,"At risk — close to off track","On track"))),IF(TODAY()&gt;U380,"Behind — award date passed",IF(U380-TODAY()&lt;=30,"At risk — close to off track","On track"))),IF(X380="","No planned date",IF(AND(TODAY()&gt;X380,OR(Z380="",Z380&lt;100)),"Behind — past end date",IF(AND(T380&lt;&gt;"",X380&lt;&gt;"",Z380&lt;&gt;"",(Z380&lt;100),((TODAY()-T380)/MAX(X380-T380,1)*100)-Z380&gt;15),"Behind — progress lag",IF(AND(X380-TODAY()&lt;=30,X380-TODAY()&gt;=0,OR(Z380="",Z380&lt;90)),"At risk — close to off track","On track"))))))))</t>
        </is>
      </c>
      <c r="AH380" s="49" t="inlineStr">
        <is>
          <t>IF(OR(F380="",AC380="Completed / Handover",AC380="Cancelled"),"",IF(O380="Not awarded",IF(U380&lt;&gt;"",U380-TODAY(),IF(X380="","",X380-TODAY())),IF(X380="","",X380-TODAY())))</t>
        </is>
      </c>
      <c r="AI380" s="54" t="n"/>
      <c r="AJ380" s="54" t="n"/>
      <c r="AK380" s="54" t="n"/>
      <c r="AL380" s="54" t="n"/>
      <c r="AM380" s="54" t="n"/>
      <c r="AN380" s="54" t="n"/>
      <c r="AO380" s="54" t="n"/>
      <c r="AP380" s="54" t="n"/>
      <c r="AQ380" s="54" t="n"/>
      <c r="AR380" s="54" t="n"/>
      <c r="AS380" s="54" t="n"/>
      <c r="AT380" s="50" t="n"/>
      <c r="AU380" s="50" t="n"/>
      <c r="AV380" s="50" t="n"/>
      <c r="AW380" s="49" t="inlineStr">
        <is>
          <t>IF(OR(F380="",AJ380=""),"",IF(COUNT(AI380:AI380)=0,"",AJ380-LOOKUP(2,1/(AI380:AI380&lt;&gt;""),AI380:AI380)))</t>
        </is>
      </c>
      <c r="AX380" s="49" t="inlineStr">
        <is>
          <t>IF(OR(F380="",AK380=""),"",IF(COUNT(AI380:AJ380)=0,"",AK380-LOOKUP(2,1/(AI380:AJ380&lt;&gt;""),AI380:AJ380)))</t>
        </is>
      </c>
      <c r="AY380" s="49" t="inlineStr">
        <is>
          <t>IF(OR(F380="",AL380=""),"",IF(COUNT(AI380:AK380)=0,"",AL380-LOOKUP(2,1/(AI380:AK380&lt;&gt;""),AI380:AK380)))</t>
        </is>
      </c>
      <c r="AZ380" s="49" t="inlineStr">
        <is>
          <t>IF(OR(F380="",AM380=""),"",IF(COUNT(AI380:AL380)=0,"",AM380-LOOKUP(2,1/(AI380:AL380&lt;&gt;""),AI380:AL380)))</t>
        </is>
      </c>
      <c r="BA380" s="49" t="inlineStr">
        <is>
          <t>IF(OR(F380="",AN380=""),"",IF(COUNT(AI380:AM380)=0,"",AN380-LOOKUP(2,1/(AI380:AM380&lt;&gt;""),AI380:AM380)))</t>
        </is>
      </c>
      <c r="BB380" s="49" t="inlineStr">
        <is>
          <t>IF(OR(F380="",AO380=""),"",IF(COUNT(AI380:AN380)=0,"",AO380-LOOKUP(2,1/(AI380:AN380&lt;&gt;""),AI380:AN380)))</t>
        </is>
      </c>
      <c r="BC380" s="49" t="inlineStr">
        <is>
          <t>IF(OR(F380="",AP380=""),"",IF(COUNT(AI380:AO380)=0,"",AP380-LOOKUP(2,1/(AI380:AO380&lt;&gt;""),AI380:AO380)))</t>
        </is>
      </c>
      <c r="BD380" s="49" t="inlineStr">
        <is>
          <t>IF(OR(F380="",AQ380=""),"",IF(COUNT(AI380:AP380)=0,"",AQ380-LOOKUP(2,1/(AI380:AP380&lt;&gt;""),AI380:AP380)))</t>
        </is>
      </c>
      <c r="BE380" s="49" t="inlineStr">
        <is>
          <t>IF(OR(F380="",AR380=""),"",IF(COUNT(AI380:AQ380)=0,"",AR380-LOOKUP(2,1/(AI380:AQ380&lt;&gt;""),AI380:AQ380)))</t>
        </is>
      </c>
      <c r="BF380" s="49" t="inlineStr">
        <is>
          <t>IF(OR(F380="",AS380=""),"",IF(COUNT(AI380:AR380)=0,"",AS380-LOOKUP(2,1/(AI380:AR380&lt;&gt;""),AI380:AR380)))</t>
        </is>
      </c>
      <c r="BG380" s="49" t="inlineStr">
        <is>
          <t>IF(OR(F380="",AT380=""),"",IF(COUNT(AI380:AS380)=0,"",AT380-LOOKUP(2,1/(AI380:AS380&lt;&gt;""),AI380:AS380)))</t>
        </is>
      </c>
      <c r="BH380" s="49" t="inlineStr">
        <is>
          <t>IF(OR(F380="",AU380=""),"",IF(COUNT(AI380:AT380)=0,"",AU380-LOOKUP(2,1/(AI380:AT380&lt;&gt;""),AI380:AT380)))</t>
        </is>
      </c>
      <c r="BI380" s="49" t="inlineStr">
        <is>
          <t>IF(OR(F380="",AV380=""),"",IF(COUNT(AI380:AU380)=0,"",AV380-LOOKUP(2,1/(AI380:AU380&lt;&gt;""),AI380:AU380)))</t>
        </is>
      </c>
      <c r="BJ380" s="51" t="inlineStr">
        <is>
          <t>IF(J380="","All_Provinces",IFERROR(VLOOKUP(J380,'09_Lookups'!$A$4:$B$20,2,FALSE),"All_Provinces"))</t>
        </is>
      </c>
      <c r="BK380" s="51" t="inlineStr">
        <is>
          <t>IF(K380="","All_Districts",IFERROR(VLOOKUP(K380,'09_Lookups'!$E$4:$F$42,2,FALSE),"All_Districts"))</t>
        </is>
      </c>
    </row>
    <row r="381" ht="18" customHeight="1">
      <c r="A381" s="42" t="inlineStr">
        <is>
          <t>IF(F381="","",ROW()-3)</t>
        </is>
      </c>
      <c r="B381" s="44" t="n"/>
      <c r="C381" s="44" t="n"/>
      <c r="D381" s="44" t="n"/>
      <c r="E381" s="44" t="n"/>
      <c r="F381" s="44" t="n"/>
      <c r="G381" s="44" t="n"/>
      <c r="H381" s="44" t="n"/>
      <c r="I381" s="44" t="n"/>
      <c r="J381" s="44" t="n"/>
      <c r="K381" s="44" t="n"/>
      <c r="L381" s="44" t="n"/>
      <c r="M381" s="44" t="n"/>
      <c r="N381" s="44" t="n"/>
      <c r="O381" s="44" t="n"/>
      <c r="P381" s="44" t="n"/>
      <c r="Q381" s="44" t="n"/>
      <c r="R381" s="44" t="n"/>
      <c r="S381" s="45" t="n"/>
      <c r="T381" s="46" t="inlineStr">
        <is>
          <t>IF(AQ381="","",AQ381)</t>
        </is>
      </c>
      <c r="U381" s="47" t="n"/>
      <c r="V381" s="48" t="n"/>
      <c r="W381" s="47" t="n"/>
      <c r="X381" s="46" t="inlineStr">
        <is>
          <t>IF(W381&lt;&gt;"",W381,IF(OR(T381="",V381=""),"",EDATE(T381,V381)))</t>
        </is>
      </c>
      <c r="Y381" s="47" t="n"/>
      <c r="Z381" s="48" t="n"/>
      <c r="AA381" s="44" t="n"/>
      <c r="AB381" s="44" t="n"/>
      <c r="AC381" s="42" t="inlineStr">
        <is>
          <t>IF(F381="","",IF(COUNT(AI381:AV381)=0,IF(AA381="","Not started",AA381),SUBSTITUTE(LOOKUP(2,1/(AI381:AV381&lt;&gt;""),$AI$3:$AV$3),"Date: ","")))</t>
        </is>
      </c>
      <c r="AD381" s="49" t="inlineStr">
        <is>
          <t>IF(OR(F381="",COUNT(AI381:AV381)=0),"",TODAY()-LOOKUP(2,1/(AI381:AV381&lt;&gt;""),AI381:AV381))</t>
        </is>
      </c>
      <c r="AE381" s="49" t="inlineStr">
        <is>
          <t>IF(OR(F381="",COUNT(AI381:AV381)&lt;2),"",LOOKUP(2,1/(AI381:AV381&lt;&gt;""),AI381:AV381)-MIN(AI381:AV381))</t>
        </is>
      </c>
      <c r="AF381" s="49" t="inlineStr">
        <is>
          <t>IF(OR(AD381="",AC381="Not started",AC381=""),"",IFERROR(AD381-IF(VLOOKUP(AC381,'06_Status_Pipeline'!$B$3:$E$20,4,FALSE)="",0,VLOOKUP(AC381,'06_Status_Pipeline'!$B$3:$E$20,4,FALSE)),""))</t>
        </is>
      </c>
      <c r="AG381" s="42" t="inlineStr">
        <is>
          <t>IF(F381="","",IF(OR(AA381="Cancelled",AC381="Cancelled"),"Cancelled",IF(OR(AC381="Completed / Handover",Y381&lt;&gt;"",Z381&gt;=100),"Completed — on track",IF(O381="Not awarded",IF(U381="",IF(X381="","No planned date",IF(TODAY()&gt;X381,"Behind — past planned date",IF(X381-TODAY()&lt;=30,"At risk — close to off track","On track"))),IF(TODAY()&gt;U381,"Behind — award date passed",IF(U381-TODAY()&lt;=30,"At risk — close to off track","On track"))),IF(X381="","No planned date",IF(AND(TODAY()&gt;X381,OR(Z381="",Z381&lt;100)),"Behind — past end date",IF(AND(T381&lt;&gt;"",X381&lt;&gt;"",Z381&lt;&gt;"",(Z381&lt;100),((TODAY()-T381)/MAX(X381-T381,1)*100)-Z381&gt;15),"Behind — progress lag",IF(AND(X381-TODAY()&lt;=30,X381-TODAY()&gt;=0,OR(Z381="",Z381&lt;90)),"At risk — close to off track","On track"))))))))</t>
        </is>
      </c>
      <c r="AH381" s="49" t="inlineStr">
        <is>
          <t>IF(OR(F381="",AC381="Completed / Handover",AC381="Cancelled"),"",IF(O381="Not awarded",IF(U381&lt;&gt;"",U381-TODAY(),IF(X381="","",X381-TODAY())),IF(X381="","",X381-TODAY())))</t>
        </is>
      </c>
      <c r="AI381" s="47" t="n"/>
      <c r="AJ381" s="47" t="n"/>
      <c r="AK381" s="47" t="n"/>
      <c r="AL381" s="47" t="n"/>
      <c r="AM381" s="47" t="n"/>
      <c r="AN381" s="47" t="n"/>
      <c r="AO381" s="47" t="n"/>
      <c r="AP381" s="47" t="n"/>
      <c r="AQ381" s="47" t="n"/>
      <c r="AR381" s="47" t="n"/>
      <c r="AS381" s="47" t="n"/>
      <c r="AT381" s="50" t="n"/>
      <c r="AU381" s="50" t="n"/>
      <c r="AV381" s="50" t="n"/>
      <c r="AW381" s="49" t="inlineStr">
        <is>
          <t>IF(OR(F381="",AJ381=""),"",IF(COUNT(AI381:AI381)=0,"",AJ381-LOOKUP(2,1/(AI381:AI381&lt;&gt;""),AI381:AI381)))</t>
        </is>
      </c>
      <c r="AX381" s="49" t="inlineStr">
        <is>
          <t>IF(OR(F381="",AK381=""),"",IF(COUNT(AI381:AJ381)=0,"",AK381-LOOKUP(2,1/(AI381:AJ381&lt;&gt;""),AI381:AJ381)))</t>
        </is>
      </c>
      <c r="AY381" s="49" t="inlineStr">
        <is>
          <t>IF(OR(F381="",AL381=""),"",IF(COUNT(AI381:AK381)=0,"",AL381-LOOKUP(2,1/(AI381:AK381&lt;&gt;""),AI381:AK381)))</t>
        </is>
      </c>
      <c r="AZ381" s="49" t="inlineStr">
        <is>
          <t>IF(OR(F381="",AM381=""),"",IF(COUNT(AI381:AL381)=0,"",AM381-LOOKUP(2,1/(AI381:AL381&lt;&gt;""),AI381:AL381)))</t>
        </is>
      </c>
      <c r="BA381" s="49" t="inlineStr">
        <is>
          <t>IF(OR(F381="",AN381=""),"",IF(COUNT(AI381:AM381)=0,"",AN381-LOOKUP(2,1/(AI381:AM381&lt;&gt;""),AI381:AM381)))</t>
        </is>
      </c>
      <c r="BB381" s="49" t="inlineStr">
        <is>
          <t>IF(OR(F381="",AO381=""),"",IF(COUNT(AI381:AN381)=0,"",AO381-LOOKUP(2,1/(AI381:AN381&lt;&gt;""),AI381:AN381)))</t>
        </is>
      </c>
      <c r="BC381" s="49" t="inlineStr">
        <is>
          <t>IF(OR(F381="",AP381=""),"",IF(COUNT(AI381:AO381)=0,"",AP381-LOOKUP(2,1/(AI381:AO381&lt;&gt;""),AI381:AO381)))</t>
        </is>
      </c>
      <c r="BD381" s="49" t="inlineStr">
        <is>
          <t>IF(OR(F381="",AQ381=""),"",IF(COUNT(AI381:AP381)=0,"",AQ381-LOOKUP(2,1/(AI381:AP381&lt;&gt;""),AI381:AP381)))</t>
        </is>
      </c>
      <c r="BE381" s="49" t="inlineStr">
        <is>
          <t>IF(OR(F381="",AR381=""),"",IF(COUNT(AI381:AQ381)=0,"",AR381-LOOKUP(2,1/(AI381:AQ381&lt;&gt;""),AI381:AQ381)))</t>
        </is>
      </c>
      <c r="BF381" s="49" t="inlineStr">
        <is>
          <t>IF(OR(F381="",AS381=""),"",IF(COUNT(AI381:AR381)=0,"",AS381-LOOKUP(2,1/(AI381:AR381&lt;&gt;""),AI381:AR381)))</t>
        </is>
      </c>
      <c r="BG381" s="49" t="inlineStr">
        <is>
          <t>IF(OR(F381="",AT381=""),"",IF(COUNT(AI381:AS381)=0,"",AT381-LOOKUP(2,1/(AI381:AS381&lt;&gt;""),AI381:AS381)))</t>
        </is>
      </c>
      <c r="BH381" s="49" t="inlineStr">
        <is>
          <t>IF(OR(F381="",AU381=""),"",IF(COUNT(AI381:AT381)=0,"",AU381-LOOKUP(2,1/(AI381:AT381&lt;&gt;""),AI381:AT381)))</t>
        </is>
      </c>
      <c r="BI381" s="49" t="inlineStr">
        <is>
          <t>IF(OR(F381="",AV381=""),"",IF(COUNT(AI381:AU381)=0,"",AV381-LOOKUP(2,1/(AI381:AU381&lt;&gt;""),AI381:AU381)))</t>
        </is>
      </c>
      <c r="BJ381" s="51" t="inlineStr">
        <is>
          <t>IF(J381="","All_Provinces",IFERROR(VLOOKUP(J381,'09_Lookups'!$A$4:$B$20,2,FALSE),"All_Provinces"))</t>
        </is>
      </c>
      <c r="BK381" s="51" t="inlineStr">
        <is>
          <t>IF(K381="","All_Districts",IFERROR(VLOOKUP(K381,'09_Lookups'!$E$4:$F$42,2,FALSE),"All_Districts"))</t>
        </is>
      </c>
    </row>
    <row r="382" ht="18" customHeight="1">
      <c r="A382" s="42" t="inlineStr">
        <is>
          <t>IF(F382="","",ROW()-3)</t>
        </is>
      </c>
      <c r="B382" s="52" t="n"/>
      <c r="C382" s="52" t="n"/>
      <c r="D382" s="52" t="n"/>
      <c r="E382" s="52" t="n"/>
      <c r="F382" s="52" t="n"/>
      <c r="G382" s="52" t="n"/>
      <c r="H382" s="52" t="n"/>
      <c r="I382" s="52" t="n"/>
      <c r="J382" s="52" t="n"/>
      <c r="K382" s="52" t="n"/>
      <c r="L382" s="52" t="n"/>
      <c r="M382" s="52" t="n"/>
      <c r="N382" s="52" t="n"/>
      <c r="O382" s="52" t="n"/>
      <c r="P382" s="52" t="n"/>
      <c r="Q382" s="52" t="n"/>
      <c r="R382" s="52" t="n"/>
      <c r="S382" s="53" t="n"/>
      <c r="T382" s="46" t="inlineStr">
        <is>
          <t>IF(AQ382="","",AQ382)</t>
        </is>
      </c>
      <c r="U382" s="54" t="n"/>
      <c r="V382" s="55" t="n"/>
      <c r="W382" s="54" t="n"/>
      <c r="X382" s="46" t="inlineStr">
        <is>
          <t>IF(W382&lt;&gt;"",W382,IF(OR(T382="",V382=""),"",EDATE(T382,V382)))</t>
        </is>
      </c>
      <c r="Y382" s="54" t="n"/>
      <c r="Z382" s="55" t="n"/>
      <c r="AA382" s="52" t="n"/>
      <c r="AB382" s="52" t="n"/>
      <c r="AC382" s="42" t="inlineStr">
        <is>
          <t>IF(F382="","",IF(COUNT(AI382:AV382)=0,IF(AA382="","Not started",AA382),SUBSTITUTE(LOOKUP(2,1/(AI382:AV382&lt;&gt;""),$AI$3:$AV$3),"Date: ","")))</t>
        </is>
      </c>
      <c r="AD382" s="49" t="inlineStr">
        <is>
          <t>IF(OR(F382="",COUNT(AI382:AV382)=0),"",TODAY()-LOOKUP(2,1/(AI382:AV382&lt;&gt;""),AI382:AV382))</t>
        </is>
      </c>
      <c r="AE382" s="49" t="inlineStr">
        <is>
          <t>IF(OR(F382="",COUNT(AI382:AV382)&lt;2),"",LOOKUP(2,1/(AI382:AV382&lt;&gt;""),AI382:AV382)-MIN(AI382:AV382))</t>
        </is>
      </c>
      <c r="AF382" s="49" t="inlineStr">
        <is>
          <t>IF(OR(AD382="",AC382="Not started",AC382=""),"",IFERROR(AD382-IF(VLOOKUP(AC382,'06_Status_Pipeline'!$B$3:$E$20,4,FALSE)="",0,VLOOKUP(AC382,'06_Status_Pipeline'!$B$3:$E$20,4,FALSE)),""))</t>
        </is>
      </c>
      <c r="AG382" s="42" t="inlineStr">
        <is>
          <t>IF(F382="","",IF(OR(AA382="Cancelled",AC382="Cancelled"),"Cancelled",IF(OR(AC382="Completed / Handover",Y382&lt;&gt;"",Z382&gt;=100),"Completed — on track",IF(O382="Not awarded",IF(U382="",IF(X382="","No planned date",IF(TODAY()&gt;X382,"Behind — past planned date",IF(X382-TODAY()&lt;=30,"At risk — close to off track","On track"))),IF(TODAY()&gt;U382,"Behind — award date passed",IF(U382-TODAY()&lt;=30,"At risk — close to off track","On track"))),IF(X382="","No planned date",IF(AND(TODAY()&gt;X382,OR(Z382="",Z382&lt;100)),"Behind — past end date",IF(AND(T382&lt;&gt;"",X382&lt;&gt;"",Z382&lt;&gt;"",(Z382&lt;100),((TODAY()-T382)/MAX(X382-T382,1)*100)-Z382&gt;15),"Behind — progress lag",IF(AND(X382-TODAY()&lt;=30,X382-TODAY()&gt;=0,OR(Z382="",Z382&lt;90)),"At risk — close to off track","On track"))))))))</t>
        </is>
      </c>
      <c r="AH382" s="49" t="inlineStr">
        <is>
          <t>IF(OR(F382="",AC382="Completed / Handover",AC382="Cancelled"),"",IF(O382="Not awarded",IF(U382&lt;&gt;"",U382-TODAY(),IF(X382="","",X382-TODAY())),IF(X382="","",X382-TODAY())))</t>
        </is>
      </c>
      <c r="AI382" s="54" t="n"/>
      <c r="AJ382" s="54" t="n"/>
      <c r="AK382" s="54" t="n"/>
      <c r="AL382" s="54" t="n"/>
      <c r="AM382" s="54" t="n"/>
      <c r="AN382" s="54" t="n"/>
      <c r="AO382" s="54" t="n"/>
      <c r="AP382" s="54" t="n"/>
      <c r="AQ382" s="54" t="n"/>
      <c r="AR382" s="54" t="n"/>
      <c r="AS382" s="54" t="n"/>
      <c r="AT382" s="50" t="n"/>
      <c r="AU382" s="50" t="n"/>
      <c r="AV382" s="50" t="n"/>
      <c r="AW382" s="49" t="inlineStr">
        <is>
          <t>IF(OR(F382="",AJ382=""),"",IF(COUNT(AI382:AI382)=0,"",AJ382-LOOKUP(2,1/(AI382:AI382&lt;&gt;""),AI382:AI382)))</t>
        </is>
      </c>
      <c r="AX382" s="49" t="inlineStr">
        <is>
          <t>IF(OR(F382="",AK382=""),"",IF(COUNT(AI382:AJ382)=0,"",AK382-LOOKUP(2,1/(AI382:AJ382&lt;&gt;""),AI382:AJ382)))</t>
        </is>
      </c>
      <c r="AY382" s="49" t="inlineStr">
        <is>
          <t>IF(OR(F382="",AL382=""),"",IF(COUNT(AI382:AK382)=0,"",AL382-LOOKUP(2,1/(AI382:AK382&lt;&gt;""),AI382:AK382)))</t>
        </is>
      </c>
      <c r="AZ382" s="49" t="inlineStr">
        <is>
          <t>IF(OR(F382="",AM382=""),"",IF(COUNT(AI382:AL382)=0,"",AM382-LOOKUP(2,1/(AI382:AL382&lt;&gt;""),AI382:AL382)))</t>
        </is>
      </c>
      <c r="BA382" s="49" t="inlineStr">
        <is>
          <t>IF(OR(F382="",AN382=""),"",IF(COUNT(AI382:AM382)=0,"",AN382-LOOKUP(2,1/(AI382:AM382&lt;&gt;""),AI382:AM382)))</t>
        </is>
      </c>
      <c r="BB382" s="49" t="inlineStr">
        <is>
          <t>IF(OR(F382="",AO382=""),"",IF(COUNT(AI382:AN382)=0,"",AO382-LOOKUP(2,1/(AI382:AN382&lt;&gt;""),AI382:AN382)))</t>
        </is>
      </c>
      <c r="BC382" s="49" t="inlineStr">
        <is>
          <t>IF(OR(F382="",AP382=""),"",IF(COUNT(AI382:AO382)=0,"",AP382-LOOKUP(2,1/(AI382:AO382&lt;&gt;""),AI382:AO382)))</t>
        </is>
      </c>
      <c r="BD382" s="49" t="inlineStr">
        <is>
          <t>IF(OR(F382="",AQ382=""),"",IF(COUNT(AI382:AP382)=0,"",AQ382-LOOKUP(2,1/(AI382:AP382&lt;&gt;""),AI382:AP382)))</t>
        </is>
      </c>
      <c r="BE382" s="49" t="inlineStr">
        <is>
          <t>IF(OR(F382="",AR382=""),"",IF(COUNT(AI382:AQ382)=0,"",AR382-LOOKUP(2,1/(AI382:AQ382&lt;&gt;""),AI382:AQ382)))</t>
        </is>
      </c>
      <c r="BF382" s="49" t="inlineStr">
        <is>
          <t>IF(OR(F382="",AS382=""),"",IF(COUNT(AI382:AR382)=0,"",AS382-LOOKUP(2,1/(AI382:AR382&lt;&gt;""),AI382:AR382)))</t>
        </is>
      </c>
      <c r="BG382" s="49" t="inlineStr">
        <is>
          <t>IF(OR(F382="",AT382=""),"",IF(COUNT(AI382:AS382)=0,"",AT382-LOOKUP(2,1/(AI382:AS382&lt;&gt;""),AI382:AS382)))</t>
        </is>
      </c>
      <c r="BH382" s="49" t="inlineStr">
        <is>
          <t>IF(OR(F382="",AU382=""),"",IF(COUNT(AI382:AT382)=0,"",AU382-LOOKUP(2,1/(AI382:AT382&lt;&gt;""),AI382:AT382)))</t>
        </is>
      </c>
      <c r="BI382" s="49" t="inlineStr">
        <is>
          <t>IF(OR(F382="",AV382=""),"",IF(COUNT(AI382:AU382)=0,"",AV382-LOOKUP(2,1/(AI382:AU382&lt;&gt;""),AI382:AU382)))</t>
        </is>
      </c>
      <c r="BJ382" s="51" t="inlineStr">
        <is>
          <t>IF(J382="","All_Provinces",IFERROR(VLOOKUP(J382,'09_Lookups'!$A$4:$B$20,2,FALSE),"All_Provinces"))</t>
        </is>
      </c>
      <c r="BK382" s="51" t="inlineStr">
        <is>
          <t>IF(K382="","All_Districts",IFERROR(VLOOKUP(K382,'09_Lookups'!$E$4:$F$42,2,FALSE),"All_Districts"))</t>
        </is>
      </c>
    </row>
    <row r="383" ht="18" customHeight="1">
      <c r="A383" s="42" t="inlineStr">
        <is>
          <t>IF(F383="","",ROW()-3)</t>
        </is>
      </c>
      <c r="B383" s="44" t="n"/>
      <c r="C383" s="44" t="n"/>
      <c r="D383" s="44" t="n"/>
      <c r="E383" s="44" t="n"/>
      <c r="F383" s="44" t="n"/>
      <c r="G383" s="44" t="n"/>
      <c r="H383" s="44" t="n"/>
      <c r="I383" s="44" t="n"/>
      <c r="J383" s="44" t="n"/>
      <c r="K383" s="44" t="n"/>
      <c r="L383" s="44" t="n"/>
      <c r="M383" s="44" t="n"/>
      <c r="N383" s="44" t="n"/>
      <c r="O383" s="44" t="n"/>
      <c r="P383" s="44" t="n"/>
      <c r="Q383" s="44" t="n"/>
      <c r="R383" s="44" t="n"/>
      <c r="S383" s="45" t="n"/>
      <c r="T383" s="46" t="inlineStr">
        <is>
          <t>IF(AQ383="","",AQ383)</t>
        </is>
      </c>
      <c r="U383" s="47" t="n"/>
      <c r="V383" s="48" t="n"/>
      <c r="W383" s="47" t="n"/>
      <c r="X383" s="46" t="inlineStr">
        <is>
          <t>IF(W383&lt;&gt;"",W383,IF(OR(T383="",V383=""),"",EDATE(T383,V383)))</t>
        </is>
      </c>
      <c r="Y383" s="47" t="n"/>
      <c r="Z383" s="48" t="n"/>
      <c r="AA383" s="44" t="n"/>
      <c r="AB383" s="44" t="n"/>
      <c r="AC383" s="42" t="inlineStr">
        <is>
          <t>IF(F383="","",IF(COUNT(AI383:AV383)=0,IF(AA383="","Not started",AA383),SUBSTITUTE(LOOKUP(2,1/(AI383:AV383&lt;&gt;""),$AI$3:$AV$3),"Date: ","")))</t>
        </is>
      </c>
      <c r="AD383" s="49" t="inlineStr">
        <is>
          <t>IF(OR(F383="",COUNT(AI383:AV383)=0),"",TODAY()-LOOKUP(2,1/(AI383:AV383&lt;&gt;""),AI383:AV383))</t>
        </is>
      </c>
      <c r="AE383" s="49" t="inlineStr">
        <is>
          <t>IF(OR(F383="",COUNT(AI383:AV383)&lt;2),"",LOOKUP(2,1/(AI383:AV383&lt;&gt;""),AI383:AV383)-MIN(AI383:AV383))</t>
        </is>
      </c>
      <c r="AF383" s="49" t="inlineStr">
        <is>
          <t>IF(OR(AD383="",AC383="Not started",AC383=""),"",IFERROR(AD383-IF(VLOOKUP(AC383,'06_Status_Pipeline'!$B$3:$E$20,4,FALSE)="",0,VLOOKUP(AC383,'06_Status_Pipeline'!$B$3:$E$20,4,FALSE)),""))</t>
        </is>
      </c>
      <c r="AG383" s="42" t="inlineStr">
        <is>
          <t>IF(F383="","",IF(OR(AA383="Cancelled",AC383="Cancelled"),"Cancelled",IF(OR(AC383="Completed / Handover",Y383&lt;&gt;"",Z383&gt;=100),"Completed — on track",IF(O383="Not awarded",IF(U383="",IF(X383="","No planned date",IF(TODAY()&gt;X383,"Behind — past planned date",IF(X383-TODAY()&lt;=30,"At risk — close to off track","On track"))),IF(TODAY()&gt;U383,"Behind — award date passed",IF(U383-TODAY()&lt;=30,"At risk — close to off track","On track"))),IF(X383="","No planned date",IF(AND(TODAY()&gt;X383,OR(Z383="",Z383&lt;100)),"Behind — past end date",IF(AND(T383&lt;&gt;"",X383&lt;&gt;"",Z383&lt;&gt;"",(Z383&lt;100),((TODAY()-T383)/MAX(X383-T383,1)*100)-Z383&gt;15),"Behind — progress lag",IF(AND(X383-TODAY()&lt;=30,X383-TODAY()&gt;=0,OR(Z383="",Z383&lt;90)),"At risk — close to off track","On track"))))))))</t>
        </is>
      </c>
      <c r="AH383" s="49" t="inlineStr">
        <is>
          <t>IF(OR(F383="",AC383="Completed / Handover",AC383="Cancelled"),"",IF(O383="Not awarded",IF(U383&lt;&gt;"",U383-TODAY(),IF(X383="","",X383-TODAY())),IF(X383="","",X383-TODAY())))</t>
        </is>
      </c>
      <c r="AI383" s="47" t="n"/>
      <c r="AJ383" s="47" t="n"/>
      <c r="AK383" s="47" t="n"/>
      <c r="AL383" s="47" t="n"/>
      <c r="AM383" s="47" t="n"/>
      <c r="AN383" s="47" t="n"/>
      <c r="AO383" s="47" t="n"/>
      <c r="AP383" s="47" t="n"/>
      <c r="AQ383" s="47" t="n"/>
      <c r="AR383" s="47" t="n"/>
      <c r="AS383" s="47" t="n"/>
      <c r="AT383" s="50" t="n"/>
      <c r="AU383" s="50" t="n"/>
      <c r="AV383" s="50" t="n"/>
      <c r="AW383" s="49" t="inlineStr">
        <is>
          <t>IF(OR(F383="",AJ383=""),"",IF(COUNT(AI383:AI383)=0,"",AJ383-LOOKUP(2,1/(AI383:AI383&lt;&gt;""),AI383:AI383)))</t>
        </is>
      </c>
      <c r="AX383" s="49" t="inlineStr">
        <is>
          <t>IF(OR(F383="",AK383=""),"",IF(COUNT(AI383:AJ383)=0,"",AK383-LOOKUP(2,1/(AI383:AJ383&lt;&gt;""),AI383:AJ383)))</t>
        </is>
      </c>
      <c r="AY383" s="49" t="inlineStr">
        <is>
          <t>IF(OR(F383="",AL383=""),"",IF(COUNT(AI383:AK383)=0,"",AL383-LOOKUP(2,1/(AI383:AK383&lt;&gt;""),AI383:AK383)))</t>
        </is>
      </c>
      <c r="AZ383" s="49" t="inlineStr">
        <is>
          <t>IF(OR(F383="",AM383=""),"",IF(COUNT(AI383:AL383)=0,"",AM383-LOOKUP(2,1/(AI383:AL383&lt;&gt;""),AI383:AL383)))</t>
        </is>
      </c>
      <c r="BA383" s="49" t="inlineStr">
        <is>
          <t>IF(OR(F383="",AN383=""),"",IF(COUNT(AI383:AM383)=0,"",AN383-LOOKUP(2,1/(AI383:AM383&lt;&gt;""),AI383:AM383)))</t>
        </is>
      </c>
      <c r="BB383" s="49" t="inlineStr">
        <is>
          <t>IF(OR(F383="",AO383=""),"",IF(COUNT(AI383:AN383)=0,"",AO383-LOOKUP(2,1/(AI383:AN383&lt;&gt;""),AI383:AN383)))</t>
        </is>
      </c>
      <c r="BC383" s="49" t="inlineStr">
        <is>
          <t>IF(OR(F383="",AP383=""),"",IF(COUNT(AI383:AO383)=0,"",AP383-LOOKUP(2,1/(AI383:AO383&lt;&gt;""),AI383:AO383)))</t>
        </is>
      </c>
      <c r="BD383" s="49" t="inlineStr">
        <is>
          <t>IF(OR(F383="",AQ383=""),"",IF(COUNT(AI383:AP383)=0,"",AQ383-LOOKUP(2,1/(AI383:AP383&lt;&gt;""),AI383:AP383)))</t>
        </is>
      </c>
      <c r="BE383" s="49" t="inlineStr">
        <is>
          <t>IF(OR(F383="",AR383=""),"",IF(COUNT(AI383:AQ383)=0,"",AR383-LOOKUP(2,1/(AI383:AQ383&lt;&gt;""),AI383:AQ383)))</t>
        </is>
      </c>
      <c r="BF383" s="49" t="inlineStr">
        <is>
          <t>IF(OR(F383="",AS383=""),"",IF(COUNT(AI383:AR383)=0,"",AS383-LOOKUP(2,1/(AI383:AR383&lt;&gt;""),AI383:AR383)))</t>
        </is>
      </c>
      <c r="BG383" s="49" t="inlineStr">
        <is>
          <t>IF(OR(F383="",AT383=""),"",IF(COUNT(AI383:AS383)=0,"",AT383-LOOKUP(2,1/(AI383:AS383&lt;&gt;""),AI383:AS383)))</t>
        </is>
      </c>
      <c r="BH383" s="49" t="inlineStr">
        <is>
          <t>IF(OR(F383="",AU383=""),"",IF(COUNT(AI383:AT383)=0,"",AU383-LOOKUP(2,1/(AI383:AT383&lt;&gt;""),AI383:AT383)))</t>
        </is>
      </c>
      <c r="BI383" s="49" t="inlineStr">
        <is>
          <t>IF(OR(F383="",AV383=""),"",IF(COUNT(AI383:AU383)=0,"",AV383-LOOKUP(2,1/(AI383:AU383&lt;&gt;""),AI383:AU383)))</t>
        </is>
      </c>
      <c r="BJ383" s="51" t="inlineStr">
        <is>
          <t>IF(J383="","All_Provinces",IFERROR(VLOOKUP(J383,'09_Lookups'!$A$4:$B$20,2,FALSE),"All_Provinces"))</t>
        </is>
      </c>
      <c r="BK383" s="51" t="inlineStr">
        <is>
          <t>IF(K383="","All_Districts",IFERROR(VLOOKUP(K383,'09_Lookups'!$E$4:$F$42,2,FALSE),"All_Districts"))</t>
        </is>
      </c>
    </row>
    <row r="384" ht="18" customHeight="1">
      <c r="A384" s="42" t="inlineStr">
        <is>
          <t>IF(F384="","",ROW()-3)</t>
        </is>
      </c>
      <c r="B384" s="52" t="n"/>
      <c r="C384" s="52" t="n"/>
      <c r="D384" s="52" t="n"/>
      <c r="E384" s="52" t="n"/>
      <c r="F384" s="52" t="n"/>
      <c r="G384" s="52" t="n"/>
      <c r="H384" s="52" t="n"/>
      <c r="I384" s="52" t="n"/>
      <c r="J384" s="52" t="n"/>
      <c r="K384" s="52" t="n"/>
      <c r="L384" s="52" t="n"/>
      <c r="M384" s="52" t="n"/>
      <c r="N384" s="52" t="n"/>
      <c r="O384" s="52" t="n"/>
      <c r="P384" s="52" t="n"/>
      <c r="Q384" s="52" t="n"/>
      <c r="R384" s="52" t="n"/>
      <c r="S384" s="53" t="n"/>
      <c r="T384" s="46" t="inlineStr">
        <is>
          <t>IF(AQ384="","",AQ384)</t>
        </is>
      </c>
      <c r="U384" s="54" t="n"/>
      <c r="V384" s="55" t="n"/>
      <c r="W384" s="54" t="n"/>
      <c r="X384" s="46" t="inlineStr">
        <is>
          <t>IF(W384&lt;&gt;"",W384,IF(OR(T384="",V384=""),"",EDATE(T384,V384)))</t>
        </is>
      </c>
      <c r="Y384" s="54" t="n"/>
      <c r="Z384" s="55" t="n"/>
      <c r="AA384" s="52" t="n"/>
      <c r="AB384" s="52" t="n"/>
      <c r="AC384" s="42" t="inlineStr">
        <is>
          <t>IF(F384="","",IF(COUNT(AI384:AV384)=0,IF(AA384="","Not started",AA384),SUBSTITUTE(LOOKUP(2,1/(AI384:AV384&lt;&gt;""),$AI$3:$AV$3),"Date: ","")))</t>
        </is>
      </c>
      <c r="AD384" s="49" t="inlineStr">
        <is>
          <t>IF(OR(F384="",COUNT(AI384:AV384)=0),"",TODAY()-LOOKUP(2,1/(AI384:AV384&lt;&gt;""),AI384:AV384))</t>
        </is>
      </c>
      <c r="AE384" s="49" t="inlineStr">
        <is>
          <t>IF(OR(F384="",COUNT(AI384:AV384)&lt;2),"",LOOKUP(2,1/(AI384:AV384&lt;&gt;""),AI384:AV384)-MIN(AI384:AV384))</t>
        </is>
      </c>
      <c r="AF384" s="49" t="inlineStr">
        <is>
          <t>IF(OR(AD384="",AC384="Not started",AC384=""),"",IFERROR(AD384-IF(VLOOKUP(AC384,'06_Status_Pipeline'!$B$3:$E$20,4,FALSE)="",0,VLOOKUP(AC384,'06_Status_Pipeline'!$B$3:$E$20,4,FALSE)),""))</t>
        </is>
      </c>
      <c r="AG384" s="42" t="inlineStr">
        <is>
          <t>IF(F384="","",IF(OR(AA384="Cancelled",AC384="Cancelled"),"Cancelled",IF(OR(AC384="Completed / Handover",Y384&lt;&gt;"",Z384&gt;=100),"Completed — on track",IF(O384="Not awarded",IF(U384="",IF(X384="","No planned date",IF(TODAY()&gt;X384,"Behind — past planned date",IF(X384-TODAY()&lt;=30,"At risk — close to off track","On track"))),IF(TODAY()&gt;U384,"Behind — award date passed",IF(U384-TODAY()&lt;=30,"At risk — close to off track","On track"))),IF(X384="","No planned date",IF(AND(TODAY()&gt;X384,OR(Z384="",Z384&lt;100)),"Behind — past end date",IF(AND(T384&lt;&gt;"",X384&lt;&gt;"",Z384&lt;&gt;"",(Z384&lt;100),((TODAY()-T384)/MAX(X384-T384,1)*100)-Z384&gt;15),"Behind — progress lag",IF(AND(X384-TODAY()&lt;=30,X384-TODAY()&gt;=0,OR(Z384="",Z384&lt;90)),"At risk — close to off track","On track"))))))))</t>
        </is>
      </c>
      <c r="AH384" s="49" t="inlineStr">
        <is>
          <t>IF(OR(F384="",AC384="Completed / Handover",AC384="Cancelled"),"",IF(O384="Not awarded",IF(U384&lt;&gt;"",U384-TODAY(),IF(X384="","",X384-TODAY())),IF(X384="","",X384-TODAY())))</t>
        </is>
      </c>
      <c r="AI384" s="54" t="n"/>
      <c r="AJ384" s="54" t="n"/>
      <c r="AK384" s="54" t="n"/>
      <c r="AL384" s="54" t="n"/>
      <c r="AM384" s="54" t="n"/>
      <c r="AN384" s="54" t="n"/>
      <c r="AO384" s="54" t="n"/>
      <c r="AP384" s="54" t="n"/>
      <c r="AQ384" s="54" t="n"/>
      <c r="AR384" s="54" t="n"/>
      <c r="AS384" s="54" t="n"/>
      <c r="AT384" s="50" t="n"/>
      <c r="AU384" s="50" t="n"/>
      <c r="AV384" s="50" t="n"/>
      <c r="AW384" s="49" t="inlineStr">
        <is>
          <t>IF(OR(F384="",AJ384=""),"",IF(COUNT(AI384:AI384)=0,"",AJ384-LOOKUP(2,1/(AI384:AI384&lt;&gt;""),AI384:AI384)))</t>
        </is>
      </c>
      <c r="AX384" s="49" t="inlineStr">
        <is>
          <t>IF(OR(F384="",AK384=""),"",IF(COUNT(AI384:AJ384)=0,"",AK384-LOOKUP(2,1/(AI384:AJ384&lt;&gt;""),AI384:AJ384)))</t>
        </is>
      </c>
      <c r="AY384" s="49" t="inlineStr">
        <is>
          <t>IF(OR(F384="",AL384=""),"",IF(COUNT(AI384:AK384)=0,"",AL384-LOOKUP(2,1/(AI384:AK384&lt;&gt;""),AI384:AK384)))</t>
        </is>
      </c>
      <c r="AZ384" s="49" t="inlineStr">
        <is>
          <t>IF(OR(F384="",AM384=""),"",IF(COUNT(AI384:AL384)=0,"",AM384-LOOKUP(2,1/(AI384:AL384&lt;&gt;""),AI384:AL384)))</t>
        </is>
      </c>
      <c r="BA384" s="49" t="inlineStr">
        <is>
          <t>IF(OR(F384="",AN384=""),"",IF(COUNT(AI384:AM384)=0,"",AN384-LOOKUP(2,1/(AI384:AM384&lt;&gt;""),AI384:AM384)))</t>
        </is>
      </c>
      <c r="BB384" s="49" t="inlineStr">
        <is>
          <t>IF(OR(F384="",AO384=""),"",IF(COUNT(AI384:AN384)=0,"",AO384-LOOKUP(2,1/(AI384:AN384&lt;&gt;""),AI384:AN384)))</t>
        </is>
      </c>
      <c r="BC384" s="49" t="inlineStr">
        <is>
          <t>IF(OR(F384="",AP384=""),"",IF(COUNT(AI384:AO384)=0,"",AP384-LOOKUP(2,1/(AI384:AO384&lt;&gt;""),AI384:AO384)))</t>
        </is>
      </c>
      <c r="BD384" s="49" t="inlineStr">
        <is>
          <t>IF(OR(F384="",AQ384=""),"",IF(COUNT(AI384:AP384)=0,"",AQ384-LOOKUP(2,1/(AI384:AP384&lt;&gt;""),AI384:AP384)))</t>
        </is>
      </c>
      <c r="BE384" s="49" t="inlineStr">
        <is>
          <t>IF(OR(F384="",AR384=""),"",IF(COUNT(AI384:AQ384)=0,"",AR384-LOOKUP(2,1/(AI384:AQ384&lt;&gt;""),AI384:AQ384)))</t>
        </is>
      </c>
      <c r="BF384" s="49" t="inlineStr">
        <is>
          <t>IF(OR(F384="",AS384=""),"",IF(COUNT(AI384:AR384)=0,"",AS384-LOOKUP(2,1/(AI384:AR384&lt;&gt;""),AI384:AR384)))</t>
        </is>
      </c>
      <c r="BG384" s="49" t="inlineStr">
        <is>
          <t>IF(OR(F384="",AT384=""),"",IF(COUNT(AI384:AS384)=0,"",AT384-LOOKUP(2,1/(AI384:AS384&lt;&gt;""),AI384:AS384)))</t>
        </is>
      </c>
      <c r="BH384" s="49" t="inlineStr">
        <is>
          <t>IF(OR(F384="",AU384=""),"",IF(COUNT(AI384:AT384)=0,"",AU384-LOOKUP(2,1/(AI384:AT384&lt;&gt;""),AI384:AT384)))</t>
        </is>
      </c>
      <c r="BI384" s="49" t="inlineStr">
        <is>
          <t>IF(OR(F384="",AV384=""),"",IF(COUNT(AI384:AU384)=0,"",AV384-LOOKUP(2,1/(AI384:AU384&lt;&gt;""),AI384:AU384)))</t>
        </is>
      </c>
      <c r="BJ384" s="51" t="inlineStr">
        <is>
          <t>IF(J384="","All_Provinces",IFERROR(VLOOKUP(J384,'09_Lookups'!$A$4:$B$20,2,FALSE),"All_Provinces"))</t>
        </is>
      </c>
      <c r="BK384" s="51" t="inlineStr">
        <is>
          <t>IF(K384="","All_Districts",IFERROR(VLOOKUP(K384,'09_Lookups'!$E$4:$F$42,2,FALSE),"All_Districts"))</t>
        </is>
      </c>
    </row>
    <row r="385" ht="18" customHeight="1">
      <c r="A385" s="42" t="inlineStr">
        <is>
          <t>IF(F385="","",ROW()-3)</t>
        </is>
      </c>
      <c r="B385" s="44" t="n"/>
      <c r="C385" s="44" t="n"/>
      <c r="D385" s="44" t="n"/>
      <c r="E385" s="44" t="n"/>
      <c r="F385" s="44" t="n"/>
      <c r="G385" s="44" t="n"/>
      <c r="H385" s="44" t="n"/>
      <c r="I385" s="44" t="n"/>
      <c r="J385" s="44" t="n"/>
      <c r="K385" s="44" t="n"/>
      <c r="L385" s="44" t="n"/>
      <c r="M385" s="44" t="n"/>
      <c r="N385" s="44" t="n"/>
      <c r="O385" s="44" t="n"/>
      <c r="P385" s="44" t="n"/>
      <c r="Q385" s="44" t="n"/>
      <c r="R385" s="44" t="n"/>
      <c r="S385" s="45" t="n"/>
      <c r="T385" s="46" t="inlineStr">
        <is>
          <t>IF(AQ385="","",AQ385)</t>
        </is>
      </c>
      <c r="U385" s="47" t="n"/>
      <c r="V385" s="48" t="n"/>
      <c r="W385" s="47" t="n"/>
      <c r="X385" s="46" t="inlineStr">
        <is>
          <t>IF(W385&lt;&gt;"",W385,IF(OR(T385="",V385=""),"",EDATE(T385,V385)))</t>
        </is>
      </c>
      <c r="Y385" s="47" t="n"/>
      <c r="Z385" s="48" t="n"/>
      <c r="AA385" s="44" t="n"/>
      <c r="AB385" s="44" t="n"/>
      <c r="AC385" s="42" t="inlineStr">
        <is>
          <t>IF(F385="","",IF(COUNT(AI385:AV385)=0,IF(AA385="","Not started",AA385),SUBSTITUTE(LOOKUP(2,1/(AI385:AV385&lt;&gt;""),$AI$3:$AV$3),"Date: ","")))</t>
        </is>
      </c>
      <c r="AD385" s="49" t="inlineStr">
        <is>
          <t>IF(OR(F385="",COUNT(AI385:AV385)=0),"",TODAY()-LOOKUP(2,1/(AI385:AV385&lt;&gt;""),AI385:AV385))</t>
        </is>
      </c>
      <c r="AE385" s="49" t="inlineStr">
        <is>
          <t>IF(OR(F385="",COUNT(AI385:AV385)&lt;2),"",LOOKUP(2,1/(AI385:AV385&lt;&gt;""),AI385:AV385)-MIN(AI385:AV385))</t>
        </is>
      </c>
      <c r="AF385" s="49" t="inlineStr">
        <is>
          <t>IF(OR(AD385="",AC385="Not started",AC385=""),"",IFERROR(AD385-IF(VLOOKUP(AC385,'06_Status_Pipeline'!$B$3:$E$20,4,FALSE)="",0,VLOOKUP(AC385,'06_Status_Pipeline'!$B$3:$E$20,4,FALSE)),""))</t>
        </is>
      </c>
      <c r="AG385" s="42" t="inlineStr">
        <is>
          <t>IF(F385="","",IF(OR(AA385="Cancelled",AC385="Cancelled"),"Cancelled",IF(OR(AC385="Completed / Handover",Y385&lt;&gt;"",Z385&gt;=100),"Completed — on track",IF(O385="Not awarded",IF(U385="",IF(X385="","No planned date",IF(TODAY()&gt;X385,"Behind — past planned date",IF(X385-TODAY()&lt;=30,"At risk — close to off track","On track"))),IF(TODAY()&gt;U385,"Behind — award date passed",IF(U385-TODAY()&lt;=30,"At risk — close to off track","On track"))),IF(X385="","No planned date",IF(AND(TODAY()&gt;X385,OR(Z385="",Z385&lt;100)),"Behind — past end date",IF(AND(T385&lt;&gt;"",X385&lt;&gt;"",Z385&lt;&gt;"",(Z385&lt;100),((TODAY()-T385)/MAX(X385-T385,1)*100)-Z385&gt;15),"Behind — progress lag",IF(AND(X385-TODAY()&lt;=30,X385-TODAY()&gt;=0,OR(Z385="",Z385&lt;90)),"At risk — close to off track","On track"))))))))</t>
        </is>
      </c>
      <c r="AH385" s="49" t="inlineStr">
        <is>
          <t>IF(OR(F385="",AC385="Completed / Handover",AC385="Cancelled"),"",IF(O385="Not awarded",IF(U385&lt;&gt;"",U385-TODAY(),IF(X385="","",X385-TODAY())),IF(X385="","",X385-TODAY())))</t>
        </is>
      </c>
      <c r="AI385" s="47" t="n"/>
      <c r="AJ385" s="47" t="n"/>
      <c r="AK385" s="47" t="n"/>
      <c r="AL385" s="47" t="n"/>
      <c r="AM385" s="47" t="n"/>
      <c r="AN385" s="47" t="n"/>
      <c r="AO385" s="47" t="n"/>
      <c r="AP385" s="47" t="n"/>
      <c r="AQ385" s="47" t="n"/>
      <c r="AR385" s="47" t="n"/>
      <c r="AS385" s="47" t="n"/>
      <c r="AT385" s="50" t="n"/>
      <c r="AU385" s="50" t="n"/>
      <c r="AV385" s="50" t="n"/>
      <c r="AW385" s="49" t="inlineStr">
        <is>
          <t>IF(OR(F385="",AJ385=""),"",IF(COUNT(AI385:AI385)=0,"",AJ385-LOOKUP(2,1/(AI385:AI385&lt;&gt;""),AI385:AI385)))</t>
        </is>
      </c>
      <c r="AX385" s="49" t="inlineStr">
        <is>
          <t>IF(OR(F385="",AK385=""),"",IF(COUNT(AI385:AJ385)=0,"",AK385-LOOKUP(2,1/(AI385:AJ385&lt;&gt;""),AI385:AJ385)))</t>
        </is>
      </c>
      <c r="AY385" s="49" t="inlineStr">
        <is>
          <t>IF(OR(F385="",AL385=""),"",IF(COUNT(AI385:AK385)=0,"",AL385-LOOKUP(2,1/(AI385:AK385&lt;&gt;""),AI385:AK385)))</t>
        </is>
      </c>
      <c r="AZ385" s="49" t="inlineStr">
        <is>
          <t>IF(OR(F385="",AM385=""),"",IF(COUNT(AI385:AL385)=0,"",AM385-LOOKUP(2,1/(AI385:AL385&lt;&gt;""),AI385:AL385)))</t>
        </is>
      </c>
      <c r="BA385" s="49" t="inlineStr">
        <is>
          <t>IF(OR(F385="",AN385=""),"",IF(COUNT(AI385:AM385)=0,"",AN385-LOOKUP(2,1/(AI385:AM385&lt;&gt;""),AI385:AM385)))</t>
        </is>
      </c>
      <c r="BB385" s="49" t="inlineStr">
        <is>
          <t>IF(OR(F385="",AO385=""),"",IF(COUNT(AI385:AN385)=0,"",AO385-LOOKUP(2,1/(AI385:AN385&lt;&gt;""),AI385:AN385)))</t>
        </is>
      </c>
      <c r="BC385" s="49" t="inlineStr">
        <is>
          <t>IF(OR(F385="",AP385=""),"",IF(COUNT(AI385:AO385)=0,"",AP385-LOOKUP(2,1/(AI385:AO385&lt;&gt;""),AI385:AO385)))</t>
        </is>
      </c>
      <c r="BD385" s="49" t="inlineStr">
        <is>
          <t>IF(OR(F385="",AQ385=""),"",IF(COUNT(AI385:AP385)=0,"",AQ385-LOOKUP(2,1/(AI385:AP385&lt;&gt;""),AI385:AP385)))</t>
        </is>
      </c>
      <c r="BE385" s="49" t="inlineStr">
        <is>
          <t>IF(OR(F385="",AR385=""),"",IF(COUNT(AI385:AQ385)=0,"",AR385-LOOKUP(2,1/(AI385:AQ385&lt;&gt;""),AI385:AQ385)))</t>
        </is>
      </c>
      <c r="BF385" s="49" t="inlineStr">
        <is>
          <t>IF(OR(F385="",AS385=""),"",IF(COUNT(AI385:AR385)=0,"",AS385-LOOKUP(2,1/(AI385:AR385&lt;&gt;""),AI385:AR385)))</t>
        </is>
      </c>
      <c r="BG385" s="49" t="inlineStr">
        <is>
          <t>IF(OR(F385="",AT385=""),"",IF(COUNT(AI385:AS385)=0,"",AT385-LOOKUP(2,1/(AI385:AS385&lt;&gt;""),AI385:AS385)))</t>
        </is>
      </c>
      <c r="BH385" s="49" t="inlineStr">
        <is>
          <t>IF(OR(F385="",AU385=""),"",IF(COUNT(AI385:AT385)=0,"",AU385-LOOKUP(2,1/(AI385:AT385&lt;&gt;""),AI385:AT385)))</t>
        </is>
      </c>
      <c r="BI385" s="49" t="inlineStr">
        <is>
          <t>IF(OR(F385="",AV385=""),"",IF(COUNT(AI385:AU385)=0,"",AV385-LOOKUP(2,1/(AI385:AU385&lt;&gt;""),AI385:AU385)))</t>
        </is>
      </c>
      <c r="BJ385" s="51" t="inlineStr">
        <is>
          <t>IF(J385="","All_Provinces",IFERROR(VLOOKUP(J385,'09_Lookups'!$A$4:$B$20,2,FALSE),"All_Provinces"))</t>
        </is>
      </c>
      <c r="BK385" s="51" t="inlineStr">
        <is>
          <t>IF(K385="","All_Districts",IFERROR(VLOOKUP(K385,'09_Lookups'!$E$4:$F$42,2,FALSE),"All_Districts"))</t>
        </is>
      </c>
    </row>
    <row r="386" ht="18" customHeight="1">
      <c r="A386" s="42" t="inlineStr">
        <is>
          <t>IF(F386="","",ROW()-3)</t>
        </is>
      </c>
      <c r="B386" s="52" t="n"/>
      <c r="C386" s="52" t="n"/>
      <c r="D386" s="52" t="n"/>
      <c r="E386" s="52" t="n"/>
      <c r="F386" s="52" t="n"/>
      <c r="G386" s="52" t="n"/>
      <c r="H386" s="52" t="n"/>
      <c r="I386" s="52" t="n"/>
      <c r="J386" s="52" t="n"/>
      <c r="K386" s="52" t="n"/>
      <c r="L386" s="52" t="n"/>
      <c r="M386" s="52" t="n"/>
      <c r="N386" s="52" t="n"/>
      <c r="O386" s="52" t="n"/>
      <c r="P386" s="52" t="n"/>
      <c r="Q386" s="52" t="n"/>
      <c r="R386" s="52" t="n"/>
      <c r="S386" s="53" t="n"/>
      <c r="T386" s="46" t="inlineStr">
        <is>
          <t>IF(AQ386="","",AQ386)</t>
        </is>
      </c>
      <c r="U386" s="54" t="n"/>
      <c r="V386" s="55" t="n"/>
      <c r="W386" s="54" t="n"/>
      <c r="X386" s="46" t="inlineStr">
        <is>
          <t>IF(W386&lt;&gt;"",W386,IF(OR(T386="",V386=""),"",EDATE(T386,V386)))</t>
        </is>
      </c>
      <c r="Y386" s="54" t="n"/>
      <c r="Z386" s="55" t="n"/>
      <c r="AA386" s="52" t="n"/>
      <c r="AB386" s="52" t="n"/>
      <c r="AC386" s="42" t="inlineStr">
        <is>
          <t>IF(F386="","",IF(COUNT(AI386:AV386)=0,IF(AA386="","Not started",AA386),SUBSTITUTE(LOOKUP(2,1/(AI386:AV386&lt;&gt;""),$AI$3:$AV$3),"Date: ","")))</t>
        </is>
      </c>
      <c r="AD386" s="49" t="inlineStr">
        <is>
          <t>IF(OR(F386="",COUNT(AI386:AV386)=0),"",TODAY()-LOOKUP(2,1/(AI386:AV386&lt;&gt;""),AI386:AV386))</t>
        </is>
      </c>
      <c r="AE386" s="49" t="inlineStr">
        <is>
          <t>IF(OR(F386="",COUNT(AI386:AV386)&lt;2),"",LOOKUP(2,1/(AI386:AV386&lt;&gt;""),AI386:AV386)-MIN(AI386:AV386))</t>
        </is>
      </c>
      <c r="AF386" s="49" t="inlineStr">
        <is>
          <t>IF(OR(AD386="",AC386="Not started",AC386=""),"",IFERROR(AD386-IF(VLOOKUP(AC386,'06_Status_Pipeline'!$B$3:$E$20,4,FALSE)="",0,VLOOKUP(AC386,'06_Status_Pipeline'!$B$3:$E$20,4,FALSE)),""))</t>
        </is>
      </c>
      <c r="AG386" s="42" t="inlineStr">
        <is>
          <t>IF(F386="","",IF(OR(AA386="Cancelled",AC386="Cancelled"),"Cancelled",IF(OR(AC386="Completed / Handover",Y386&lt;&gt;"",Z386&gt;=100),"Completed — on track",IF(O386="Not awarded",IF(U386="",IF(X386="","No planned date",IF(TODAY()&gt;X386,"Behind — past planned date",IF(X386-TODAY()&lt;=30,"At risk — close to off track","On track"))),IF(TODAY()&gt;U386,"Behind — award date passed",IF(U386-TODAY()&lt;=30,"At risk — close to off track","On track"))),IF(X386="","No planned date",IF(AND(TODAY()&gt;X386,OR(Z386="",Z386&lt;100)),"Behind — past end date",IF(AND(T386&lt;&gt;"",X386&lt;&gt;"",Z386&lt;&gt;"",(Z386&lt;100),((TODAY()-T386)/MAX(X386-T386,1)*100)-Z386&gt;15),"Behind — progress lag",IF(AND(X386-TODAY()&lt;=30,X386-TODAY()&gt;=0,OR(Z386="",Z386&lt;90)),"At risk — close to off track","On track"))))))))</t>
        </is>
      </c>
      <c r="AH386" s="49" t="inlineStr">
        <is>
          <t>IF(OR(F386="",AC386="Completed / Handover",AC386="Cancelled"),"",IF(O386="Not awarded",IF(U386&lt;&gt;"",U386-TODAY(),IF(X386="","",X386-TODAY())),IF(X386="","",X386-TODAY())))</t>
        </is>
      </c>
      <c r="AI386" s="54" t="n"/>
      <c r="AJ386" s="54" t="n"/>
      <c r="AK386" s="54" t="n"/>
      <c r="AL386" s="54" t="n"/>
      <c r="AM386" s="54" t="n"/>
      <c r="AN386" s="54" t="n"/>
      <c r="AO386" s="54" t="n"/>
      <c r="AP386" s="54" t="n"/>
      <c r="AQ386" s="54" t="n"/>
      <c r="AR386" s="54" t="n"/>
      <c r="AS386" s="54" t="n"/>
      <c r="AT386" s="50" t="n"/>
      <c r="AU386" s="50" t="n"/>
      <c r="AV386" s="50" t="n"/>
      <c r="AW386" s="49" t="inlineStr">
        <is>
          <t>IF(OR(F386="",AJ386=""),"",IF(COUNT(AI386:AI386)=0,"",AJ386-LOOKUP(2,1/(AI386:AI386&lt;&gt;""),AI386:AI386)))</t>
        </is>
      </c>
      <c r="AX386" s="49" t="inlineStr">
        <is>
          <t>IF(OR(F386="",AK386=""),"",IF(COUNT(AI386:AJ386)=0,"",AK386-LOOKUP(2,1/(AI386:AJ386&lt;&gt;""),AI386:AJ386)))</t>
        </is>
      </c>
      <c r="AY386" s="49" t="inlineStr">
        <is>
          <t>IF(OR(F386="",AL386=""),"",IF(COUNT(AI386:AK386)=0,"",AL386-LOOKUP(2,1/(AI386:AK386&lt;&gt;""),AI386:AK386)))</t>
        </is>
      </c>
      <c r="AZ386" s="49" t="inlineStr">
        <is>
          <t>IF(OR(F386="",AM386=""),"",IF(COUNT(AI386:AL386)=0,"",AM386-LOOKUP(2,1/(AI386:AL386&lt;&gt;""),AI386:AL386)))</t>
        </is>
      </c>
      <c r="BA386" s="49" t="inlineStr">
        <is>
          <t>IF(OR(F386="",AN386=""),"",IF(COUNT(AI386:AM386)=0,"",AN386-LOOKUP(2,1/(AI386:AM386&lt;&gt;""),AI386:AM386)))</t>
        </is>
      </c>
      <c r="BB386" s="49" t="inlineStr">
        <is>
          <t>IF(OR(F386="",AO386=""),"",IF(COUNT(AI386:AN386)=0,"",AO386-LOOKUP(2,1/(AI386:AN386&lt;&gt;""),AI386:AN386)))</t>
        </is>
      </c>
      <c r="BC386" s="49" t="inlineStr">
        <is>
          <t>IF(OR(F386="",AP386=""),"",IF(COUNT(AI386:AO386)=0,"",AP386-LOOKUP(2,1/(AI386:AO386&lt;&gt;""),AI386:AO386)))</t>
        </is>
      </c>
      <c r="BD386" s="49" t="inlineStr">
        <is>
          <t>IF(OR(F386="",AQ386=""),"",IF(COUNT(AI386:AP386)=0,"",AQ386-LOOKUP(2,1/(AI386:AP386&lt;&gt;""),AI386:AP386)))</t>
        </is>
      </c>
      <c r="BE386" s="49" t="inlineStr">
        <is>
          <t>IF(OR(F386="",AR386=""),"",IF(COUNT(AI386:AQ386)=0,"",AR386-LOOKUP(2,1/(AI386:AQ386&lt;&gt;""),AI386:AQ386)))</t>
        </is>
      </c>
      <c r="BF386" s="49" t="inlineStr">
        <is>
          <t>IF(OR(F386="",AS386=""),"",IF(COUNT(AI386:AR386)=0,"",AS386-LOOKUP(2,1/(AI386:AR386&lt;&gt;""),AI386:AR386)))</t>
        </is>
      </c>
      <c r="BG386" s="49" t="inlineStr">
        <is>
          <t>IF(OR(F386="",AT386=""),"",IF(COUNT(AI386:AS386)=0,"",AT386-LOOKUP(2,1/(AI386:AS386&lt;&gt;""),AI386:AS386)))</t>
        </is>
      </c>
      <c r="BH386" s="49" t="inlineStr">
        <is>
          <t>IF(OR(F386="",AU386=""),"",IF(COUNT(AI386:AT386)=0,"",AU386-LOOKUP(2,1/(AI386:AT386&lt;&gt;""),AI386:AT386)))</t>
        </is>
      </c>
      <c r="BI386" s="49" t="inlineStr">
        <is>
          <t>IF(OR(F386="",AV386=""),"",IF(COUNT(AI386:AU386)=0,"",AV386-LOOKUP(2,1/(AI386:AU386&lt;&gt;""),AI386:AU386)))</t>
        </is>
      </c>
      <c r="BJ386" s="51" t="inlineStr">
        <is>
          <t>IF(J386="","All_Provinces",IFERROR(VLOOKUP(J386,'09_Lookups'!$A$4:$B$20,2,FALSE),"All_Provinces"))</t>
        </is>
      </c>
      <c r="BK386" s="51" t="inlineStr">
        <is>
          <t>IF(K386="","All_Districts",IFERROR(VLOOKUP(K386,'09_Lookups'!$E$4:$F$42,2,FALSE),"All_Districts"))</t>
        </is>
      </c>
    </row>
    <row r="387" ht="18" customHeight="1">
      <c r="A387" s="42" t="inlineStr">
        <is>
          <t>IF(F387="","",ROW()-3)</t>
        </is>
      </c>
      <c r="B387" s="44" t="n"/>
      <c r="C387" s="44" t="n"/>
      <c r="D387" s="44" t="n"/>
      <c r="E387" s="44" t="n"/>
      <c r="F387" s="44" t="n"/>
      <c r="G387" s="44" t="n"/>
      <c r="H387" s="44" t="n"/>
      <c r="I387" s="44" t="n"/>
      <c r="J387" s="44" t="n"/>
      <c r="K387" s="44" t="n"/>
      <c r="L387" s="44" t="n"/>
      <c r="M387" s="44" t="n"/>
      <c r="N387" s="44" t="n"/>
      <c r="O387" s="44" t="n"/>
      <c r="P387" s="44" t="n"/>
      <c r="Q387" s="44" t="n"/>
      <c r="R387" s="44" t="n"/>
      <c r="S387" s="45" t="n"/>
      <c r="T387" s="46" t="inlineStr">
        <is>
          <t>IF(AQ387="","",AQ387)</t>
        </is>
      </c>
      <c r="U387" s="47" t="n"/>
      <c r="V387" s="48" t="n"/>
      <c r="W387" s="47" t="n"/>
      <c r="X387" s="46" t="inlineStr">
        <is>
          <t>IF(W387&lt;&gt;"",W387,IF(OR(T387="",V387=""),"",EDATE(T387,V387)))</t>
        </is>
      </c>
      <c r="Y387" s="47" t="n"/>
      <c r="Z387" s="48" t="n"/>
      <c r="AA387" s="44" t="n"/>
      <c r="AB387" s="44" t="n"/>
      <c r="AC387" s="42" t="inlineStr">
        <is>
          <t>IF(F387="","",IF(COUNT(AI387:AV387)=0,IF(AA387="","Not started",AA387),SUBSTITUTE(LOOKUP(2,1/(AI387:AV387&lt;&gt;""),$AI$3:$AV$3),"Date: ","")))</t>
        </is>
      </c>
      <c r="AD387" s="49" t="inlineStr">
        <is>
          <t>IF(OR(F387="",COUNT(AI387:AV387)=0),"",TODAY()-LOOKUP(2,1/(AI387:AV387&lt;&gt;""),AI387:AV387))</t>
        </is>
      </c>
      <c r="AE387" s="49" t="inlineStr">
        <is>
          <t>IF(OR(F387="",COUNT(AI387:AV387)&lt;2),"",LOOKUP(2,1/(AI387:AV387&lt;&gt;""),AI387:AV387)-MIN(AI387:AV387))</t>
        </is>
      </c>
      <c r="AF387" s="49" t="inlineStr">
        <is>
          <t>IF(OR(AD387="",AC387="Not started",AC387=""),"",IFERROR(AD387-IF(VLOOKUP(AC387,'06_Status_Pipeline'!$B$3:$E$20,4,FALSE)="",0,VLOOKUP(AC387,'06_Status_Pipeline'!$B$3:$E$20,4,FALSE)),""))</t>
        </is>
      </c>
      <c r="AG387" s="42" t="inlineStr">
        <is>
          <t>IF(F387="","",IF(OR(AA387="Cancelled",AC387="Cancelled"),"Cancelled",IF(OR(AC387="Completed / Handover",Y387&lt;&gt;"",Z387&gt;=100),"Completed — on track",IF(O387="Not awarded",IF(U387="",IF(X387="","No planned date",IF(TODAY()&gt;X387,"Behind — past planned date",IF(X387-TODAY()&lt;=30,"At risk — close to off track","On track"))),IF(TODAY()&gt;U387,"Behind — award date passed",IF(U387-TODAY()&lt;=30,"At risk — close to off track","On track"))),IF(X387="","No planned date",IF(AND(TODAY()&gt;X387,OR(Z387="",Z387&lt;100)),"Behind — past end date",IF(AND(T387&lt;&gt;"",X387&lt;&gt;"",Z387&lt;&gt;"",(Z387&lt;100),((TODAY()-T387)/MAX(X387-T387,1)*100)-Z387&gt;15),"Behind — progress lag",IF(AND(X387-TODAY()&lt;=30,X387-TODAY()&gt;=0,OR(Z387="",Z387&lt;90)),"At risk — close to off track","On track"))))))))</t>
        </is>
      </c>
      <c r="AH387" s="49" t="inlineStr">
        <is>
          <t>IF(OR(F387="",AC387="Completed / Handover",AC387="Cancelled"),"",IF(O387="Not awarded",IF(U387&lt;&gt;"",U387-TODAY(),IF(X387="","",X387-TODAY())),IF(X387="","",X387-TODAY())))</t>
        </is>
      </c>
      <c r="AI387" s="47" t="n"/>
      <c r="AJ387" s="47" t="n"/>
      <c r="AK387" s="47" t="n"/>
      <c r="AL387" s="47" t="n"/>
      <c r="AM387" s="47" t="n"/>
      <c r="AN387" s="47" t="n"/>
      <c r="AO387" s="47" t="n"/>
      <c r="AP387" s="47" t="n"/>
      <c r="AQ387" s="47" t="n"/>
      <c r="AR387" s="47" t="n"/>
      <c r="AS387" s="47" t="n"/>
      <c r="AT387" s="50" t="n"/>
      <c r="AU387" s="50" t="n"/>
      <c r="AV387" s="50" t="n"/>
      <c r="AW387" s="49" t="inlineStr">
        <is>
          <t>IF(OR(F387="",AJ387=""),"",IF(COUNT(AI387:AI387)=0,"",AJ387-LOOKUP(2,1/(AI387:AI387&lt;&gt;""),AI387:AI387)))</t>
        </is>
      </c>
      <c r="AX387" s="49" t="inlineStr">
        <is>
          <t>IF(OR(F387="",AK387=""),"",IF(COUNT(AI387:AJ387)=0,"",AK387-LOOKUP(2,1/(AI387:AJ387&lt;&gt;""),AI387:AJ387)))</t>
        </is>
      </c>
      <c r="AY387" s="49" t="inlineStr">
        <is>
          <t>IF(OR(F387="",AL387=""),"",IF(COUNT(AI387:AK387)=0,"",AL387-LOOKUP(2,1/(AI387:AK387&lt;&gt;""),AI387:AK387)))</t>
        </is>
      </c>
      <c r="AZ387" s="49" t="inlineStr">
        <is>
          <t>IF(OR(F387="",AM387=""),"",IF(COUNT(AI387:AL387)=0,"",AM387-LOOKUP(2,1/(AI387:AL387&lt;&gt;""),AI387:AL387)))</t>
        </is>
      </c>
      <c r="BA387" s="49" t="inlineStr">
        <is>
          <t>IF(OR(F387="",AN387=""),"",IF(COUNT(AI387:AM387)=0,"",AN387-LOOKUP(2,1/(AI387:AM387&lt;&gt;""),AI387:AM387)))</t>
        </is>
      </c>
      <c r="BB387" s="49" t="inlineStr">
        <is>
          <t>IF(OR(F387="",AO387=""),"",IF(COUNT(AI387:AN387)=0,"",AO387-LOOKUP(2,1/(AI387:AN387&lt;&gt;""),AI387:AN387)))</t>
        </is>
      </c>
      <c r="BC387" s="49" t="inlineStr">
        <is>
          <t>IF(OR(F387="",AP387=""),"",IF(COUNT(AI387:AO387)=0,"",AP387-LOOKUP(2,1/(AI387:AO387&lt;&gt;""),AI387:AO387)))</t>
        </is>
      </c>
      <c r="BD387" s="49" t="inlineStr">
        <is>
          <t>IF(OR(F387="",AQ387=""),"",IF(COUNT(AI387:AP387)=0,"",AQ387-LOOKUP(2,1/(AI387:AP387&lt;&gt;""),AI387:AP387)))</t>
        </is>
      </c>
      <c r="BE387" s="49" t="inlineStr">
        <is>
          <t>IF(OR(F387="",AR387=""),"",IF(COUNT(AI387:AQ387)=0,"",AR387-LOOKUP(2,1/(AI387:AQ387&lt;&gt;""),AI387:AQ387)))</t>
        </is>
      </c>
      <c r="BF387" s="49" t="inlineStr">
        <is>
          <t>IF(OR(F387="",AS387=""),"",IF(COUNT(AI387:AR387)=0,"",AS387-LOOKUP(2,1/(AI387:AR387&lt;&gt;""),AI387:AR387)))</t>
        </is>
      </c>
      <c r="BG387" s="49" t="inlineStr">
        <is>
          <t>IF(OR(F387="",AT387=""),"",IF(COUNT(AI387:AS387)=0,"",AT387-LOOKUP(2,1/(AI387:AS387&lt;&gt;""),AI387:AS387)))</t>
        </is>
      </c>
      <c r="BH387" s="49" t="inlineStr">
        <is>
          <t>IF(OR(F387="",AU387=""),"",IF(COUNT(AI387:AT387)=0,"",AU387-LOOKUP(2,1/(AI387:AT387&lt;&gt;""),AI387:AT387)))</t>
        </is>
      </c>
      <c r="BI387" s="49" t="inlineStr">
        <is>
          <t>IF(OR(F387="",AV387=""),"",IF(COUNT(AI387:AU387)=0,"",AV387-LOOKUP(2,1/(AI387:AU387&lt;&gt;""),AI387:AU387)))</t>
        </is>
      </c>
      <c r="BJ387" s="51" t="inlineStr">
        <is>
          <t>IF(J387="","All_Provinces",IFERROR(VLOOKUP(J387,'09_Lookups'!$A$4:$B$20,2,FALSE),"All_Provinces"))</t>
        </is>
      </c>
      <c r="BK387" s="51" t="inlineStr">
        <is>
          <t>IF(K387="","All_Districts",IFERROR(VLOOKUP(K387,'09_Lookups'!$E$4:$F$42,2,FALSE),"All_Districts"))</t>
        </is>
      </c>
    </row>
    <row r="388" ht="18" customHeight="1">
      <c r="A388" s="42" t="inlineStr">
        <is>
          <t>IF(F388="","",ROW()-3)</t>
        </is>
      </c>
      <c r="B388" s="52" t="n"/>
      <c r="C388" s="52" t="n"/>
      <c r="D388" s="52" t="n"/>
      <c r="E388" s="52" t="n"/>
      <c r="F388" s="52" t="n"/>
      <c r="G388" s="52" t="n"/>
      <c r="H388" s="52" t="n"/>
      <c r="I388" s="52" t="n"/>
      <c r="J388" s="52" t="n"/>
      <c r="K388" s="52" t="n"/>
      <c r="L388" s="52" t="n"/>
      <c r="M388" s="52" t="n"/>
      <c r="N388" s="52" t="n"/>
      <c r="O388" s="52" t="n"/>
      <c r="P388" s="52" t="n"/>
      <c r="Q388" s="52" t="n"/>
      <c r="R388" s="52" t="n"/>
      <c r="S388" s="53" t="n"/>
      <c r="T388" s="46" t="inlineStr">
        <is>
          <t>IF(AQ388="","",AQ388)</t>
        </is>
      </c>
      <c r="U388" s="54" t="n"/>
      <c r="V388" s="55" t="n"/>
      <c r="W388" s="54" t="n"/>
      <c r="X388" s="46" t="inlineStr">
        <is>
          <t>IF(W388&lt;&gt;"",W388,IF(OR(T388="",V388=""),"",EDATE(T388,V388)))</t>
        </is>
      </c>
      <c r="Y388" s="54" t="n"/>
      <c r="Z388" s="55" t="n"/>
      <c r="AA388" s="52" t="n"/>
      <c r="AB388" s="52" t="n"/>
      <c r="AC388" s="42" t="inlineStr">
        <is>
          <t>IF(F388="","",IF(COUNT(AI388:AV388)=0,IF(AA388="","Not started",AA388),SUBSTITUTE(LOOKUP(2,1/(AI388:AV388&lt;&gt;""),$AI$3:$AV$3),"Date: ","")))</t>
        </is>
      </c>
      <c r="AD388" s="49" t="inlineStr">
        <is>
          <t>IF(OR(F388="",COUNT(AI388:AV388)=0),"",TODAY()-LOOKUP(2,1/(AI388:AV388&lt;&gt;""),AI388:AV388))</t>
        </is>
      </c>
      <c r="AE388" s="49" t="inlineStr">
        <is>
          <t>IF(OR(F388="",COUNT(AI388:AV388)&lt;2),"",LOOKUP(2,1/(AI388:AV388&lt;&gt;""),AI388:AV388)-MIN(AI388:AV388))</t>
        </is>
      </c>
      <c r="AF388" s="49" t="inlineStr">
        <is>
          <t>IF(OR(AD388="",AC388="Not started",AC388=""),"",IFERROR(AD388-IF(VLOOKUP(AC388,'06_Status_Pipeline'!$B$3:$E$20,4,FALSE)="",0,VLOOKUP(AC388,'06_Status_Pipeline'!$B$3:$E$20,4,FALSE)),""))</t>
        </is>
      </c>
      <c r="AG388" s="42" t="inlineStr">
        <is>
          <t>IF(F388="","",IF(OR(AA388="Cancelled",AC388="Cancelled"),"Cancelled",IF(OR(AC388="Completed / Handover",Y388&lt;&gt;"",Z388&gt;=100),"Completed — on track",IF(O388="Not awarded",IF(U388="",IF(X388="","No planned date",IF(TODAY()&gt;X388,"Behind — past planned date",IF(X388-TODAY()&lt;=30,"At risk — close to off track","On track"))),IF(TODAY()&gt;U388,"Behind — award date passed",IF(U388-TODAY()&lt;=30,"At risk — close to off track","On track"))),IF(X388="","No planned date",IF(AND(TODAY()&gt;X388,OR(Z388="",Z388&lt;100)),"Behind — past end date",IF(AND(T388&lt;&gt;"",X388&lt;&gt;"",Z388&lt;&gt;"",(Z388&lt;100),((TODAY()-T388)/MAX(X388-T388,1)*100)-Z388&gt;15),"Behind — progress lag",IF(AND(X388-TODAY()&lt;=30,X388-TODAY()&gt;=0,OR(Z388="",Z388&lt;90)),"At risk — close to off track","On track"))))))))</t>
        </is>
      </c>
      <c r="AH388" s="49" t="inlineStr">
        <is>
          <t>IF(OR(F388="",AC388="Completed / Handover",AC388="Cancelled"),"",IF(O388="Not awarded",IF(U388&lt;&gt;"",U388-TODAY(),IF(X388="","",X388-TODAY())),IF(X388="","",X388-TODAY())))</t>
        </is>
      </c>
      <c r="AI388" s="54" t="n"/>
      <c r="AJ388" s="54" t="n"/>
      <c r="AK388" s="54" t="n"/>
      <c r="AL388" s="54" t="n"/>
      <c r="AM388" s="54" t="n"/>
      <c r="AN388" s="54" t="n"/>
      <c r="AO388" s="54" t="n"/>
      <c r="AP388" s="54" t="n"/>
      <c r="AQ388" s="54" t="n"/>
      <c r="AR388" s="54" t="n"/>
      <c r="AS388" s="54" t="n"/>
      <c r="AT388" s="50" t="n"/>
      <c r="AU388" s="50" t="n"/>
      <c r="AV388" s="50" t="n"/>
      <c r="AW388" s="49" t="inlineStr">
        <is>
          <t>IF(OR(F388="",AJ388=""),"",IF(COUNT(AI388:AI388)=0,"",AJ388-LOOKUP(2,1/(AI388:AI388&lt;&gt;""),AI388:AI388)))</t>
        </is>
      </c>
      <c r="AX388" s="49" t="inlineStr">
        <is>
          <t>IF(OR(F388="",AK388=""),"",IF(COUNT(AI388:AJ388)=0,"",AK388-LOOKUP(2,1/(AI388:AJ388&lt;&gt;""),AI388:AJ388)))</t>
        </is>
      </c>
      <c r="AY388" s="49" t="inlineStr">
        <is>
          <t>IF(OR(F388="",AL388=""),"",IF(COUNT(AI388:AK388)=0,"",AL388-LOOKUP(2,1/(AI388:AK388&lt;&gt;""),AI388:AK388)))</t>
        </is>
      </c>
      <c r="AZ388" s="49" t="inlineStr">
        <is>
          <t>IF(OR(F388="",AM388=""),"",IF(COUNT(AI388:AL388)=0,"",AM388-LOOKUP(2,1/(AI388:AL388&lt;&gt;""),AI388:AL388)))</t>
        </is>
      </c>
      <c r="BA388" s="49" t="inlineStr">
        <is>
          <t>IF(OR(F388="",AN388=""),"",IF(COUNT(AI388:AM388)=0,"",AN388-LOOKUP(2,1/(AI388:AM388&lt;&gt;""),AI388:AM388)))</t>
        </is>
      </c>
      <c r="BB388" s="49" t="inlineStr">
        <is>
          <t>IF(OR(F388="",AO388=""),"",IF(COUNT(AI388:AN388)=0,"",AO388-LOOKUP(2,1/(AI388:AN388&lt;&gt;""),AI388:AN388)))</t>
        </is>
      </c>
      <c r="BC388" s="49" t="inlineStr">
        <is>
          <t>IF(OR(F388="",AP388=""),"",IF(COUNT(AI388:AO388)=0,"",AP388-LOOKUP(2,1/(AI388:AO388&lt;&gt;""),AI388:AO388)))</t>
        </is>
      </c>
      <c r="BD388" s="49" t="inlineStr">
        <is>
          <t>IF(OR(F388="",AQ388=""),"",IF(COUNT(AI388:AP388)=0,"",AQ388-LOOKUP(2,1/(AI388:AP388&lt;&gt;""),AI388:AP388)))</t>
        </is>
      </c>
      <c r="BE388" s="49" t="inlineStr">
        <is>
          <t>IF(OR(F388="",AR388=""),"",IF(COUNT(AI388:AQ388)=0,"",AR388-LOOKUP(2,1/(AI388:AQ388&lt;&gt;""),AI388:AQ388)))</t>
        </is>
      </c>
      <c r="BF388" s="49" t="inlineStr">
        <is>
          <t>IF(OR(F388="",AS388=""),"",IF(COUNT(AI388:AR388)=0,"",AS388-LOOKUP(2,1/(AI388:AR388&lt;&gt;""),AI388:AR388)))</t>
        </is>
      </c>
      <c r="BG388" s="49" t="inlineStr">
        <is>
          <t>IF(OR(F388="",AT388=""),"",IF(COUNT(AI388:AS388)=0,"",AT388-LOOKUP(2,1/(AI388:AS388&lt;&gt;""),AI388:AS388)))</t>
        </is>
      </c>
      <c r="BH388" s="49" t="inlineStr">
        <is>
          <t>IF(OR(F388="",AU388=""),"",IF(COUNT(AI388:AT388)=0,"",AU388-LOOKUP(2,1/(AI388:AT388&lt;&gt;""),AI388:AT388)))</t>
        </is>
      </c>
      <c r="BI388" s="49" t="inlineStr">
        <is>
          <t>IF(OR(F388="",AV388=""),"",IF(COUNT(AI388:AU388)=0,"",AV388-LOOKUP(2,1/(AI388:AU388&lt;&gt;""),AI388:AU388)))</t>
        </is>
      </c>
      <c r="BJ388" s="51" t="inlineStr">
        <is>
          <t>IF(J388="","All_Provinces",IFERROR(VLOOKUP(J388,'09_Lookups'!$A$4:$B$20,2,FALSE),"All_Provinces"))</t>
        </is>
      </c>
      <c r="BK388" s="51" t="inlineStr">
        <is>
          <t>IF(K388="","All_Districts",IFERROR(VLOOKUP(K388,'09_Lookups'!$E$4:$F$42,2,FALSE),"All_Districts"))</t>
        </is>
      </c>
    </row>
    <row r="389" ht="18" customHeight="1">
      <c r="A389" s="42" t="inlineStr">
        <is>
          <t>IF(F389="","",ROW()-3)</t>
        </is>
      </c>
      <c r="B389" s="44" t="n"/>
      <c r="C389" s="44" t="n"/>
      <c r="D389" s="44" t="n"/>
      <c r="E389" s="44" t="n"/>
      <c r="F389" s="44" t="n"/>
      <c r="G389" s="44" t="n"/>
      <c r="H389" s="44" t="n"/>
      <c r="I389" s="44" t="n"/>
      <c r="J389" s="44" t="n"/>
      <c r="K389" s="44" t="n"/>
      <c r="L389" s="44" t="n"/>
      <c r="M389" s="44" t="n"/>
      <c r="N389" s="44" t="n"/>
      <c r="O389" s="44" t="n"/>
      <c r="P389" s="44" t="n"/>
      <c r="Q389" s="44" t="n"/>
      <c r="R389" s="44" t="n"/>
      <c r="S389" s="45" t="n"/>
      <c r="T389" s="46" t="inlineStr">
        <is>
          <t>IF(AQ389="","",AQ389)</t>
        </is>
      </c>
      <c r="U389" s="47" t="n"/>
      <c r="V389" s="48" t="n"/>
      <c r="W389" s="47" t="n"/>
      <c r="X389" s="46" t="inlineStr">
        <is>
          <t>IF(W389&lt;&gt;"",W389,IF(OR(T389="",V389=""),"",EDATE(T389,V389)))</t>
        </is>
      </c>
      <c r="Y389" s="47" t="n"/>
      <c r="Z389" s="48" t="n"/>
      <c r="AA389" s="44" t="n"/>
      <c r="AB389" s="44" t="n"/>
      <c r="AC389" s="42" t="inlineStr">
        <is>
          <t>IF(F389="","",IF(COUNT(AI389:AV389)=0,IF(AA389="","Not started",AA389),SUBSTITUTE(LOOKUP(2,1/(AI389:AV389&lt;&gt;""),$AI$3:$AV$3),"Date: ","")))</t>
        </is>
      </c>
      <c r="AD389" s="49" t="inlineStr">
        <is>
          <t>IF(OR(F389="",COUNT(AI389:AV389)=0),"",TODAY()-LOOKUP(2,1/(AI389:AV389&lt;&gt;""),AI389:AV389))</t>
        </is>
      </c>
      <c r="AE389" s="49" t="inlineStr">
        <is>
          <t>IF(OR(F389="",COUNT(AI389:AV389)&lt;2),"",LOOKUP(2,1/(AI389:AV389&lt;&gt;""),AI389:AV389)-MIN(AI389:AV389))</t>
        </is>
      </c>
      <c r="AF389" s="49" t="inlineStr">
        <is>
          <t>IF(OR(AD389="",AC389="Not started",AC389=""),"",IFERROR(AD389-IF(VLOOKUP(AC389,'06_Status_Pipeline'!$B$3:$E$20,4,FALSE)="",0,VLOOKUP(AC389,'06_Status_Pipeline'!$B$3:$E$20,4,FALSE)),""))</t>
        </is>
      </c>
      <c r="AG389" s="42" t="inlineStr">
        <is>
          <t>IF(F389="","",IF(OR(AA389="Cancelled",AC389="Cancelled"),"Cancelled",IF(OR(AC389="Completed / Handover",Y389&lt;&gt;"",Z389&gt;=100),"Completed — on track",IF(O389="Not awarded",IF(U389="",IF(X389="","No planned date",IF(TODAY()&gt;X389,"Behind — past planned date",IF(X389-TODAY()&lt;=30,"At risk — close to off track","On track"))),IF(TODAY()&gt;U389,"Behind — award date passed",IF(U389-TODAY()&lt;=30,"At risk — close to off track","On track"))),IF(X389="","No planned date",IF(AND(TODAY()&gt;X389,OR(Z389="",Z389&lt;100)),"Behind — past end date",IF(AND(T389&lt;&gt;"",X389&lt;&gt;"",Z389&lt;&gt;"",(Z389&lt;100),((TODAY()-T389)/MAX(X389-T389,1)*100)-Z389&gt;15),"Behind — progress lag",IF(AND(X389-TODAY()&lt;=30,X389-TODAY()&gt;=0,OR(Z389="",Z389&lt;90)),"At risk — close to off track","On track"))))))))</t>
        </is>
      </c>
      <c r="AH389" s="49" t="inlineStr">
        <is>
          <t>IF(OR(F389="",AC389="Completed / Handover",AC389="Cancelled"),"",IF(O389="Not awarded",IF(U389&lt;&gt;"",U389-TODAY(),IF(X389="","",X389-TODAY())),IF(X389="","",X389-TODAY())))</t>
        </is>
      </c>
      <c r="AI389" s="47" t="n"/>
      <c r="AJ389" s="47" t="n"/>
      <c r="AK389" s="47" t="n"/>
      <c r="AL389" s="47" t="n"/>
      <c r="AM389" s="47" t="n"/>
      <c r="AN389" s="47" t="n"/>
      <c r="AO389" s="47" t="n"/>
      <c r="AP389" s="47" t="n"/>
      <c r="AQ389" s="47" t="n"/>
      <c r="AR389" s="47" t="n"/>
      <c r="AS389" s="47" t="n"/>
      <c r="AT389" s="50" t="n"/>
      <c r="AU389" s="50" t="n"/>
      <c r="AV389" s="50" t="n"/>
      <c r="AW389" s="49" t="inlineStr">
        <is>
          <t>IF(OR(F389="",AJ389=""),"",IF(COUNT(AI389:AI389)=0,"",AJ389-LOOKUP(2,1/(AI389:AI389&lt;&gt;""),AI389:AI389)))</t>
        </is>
      </c>
      <c r="AX389" s="49" t="inlineStr">
        <is>
          <t>IF(OR(F389="",AK389=""),"",IF(COUNT(AI389:AJ389)=0,"",AK389-LOOKUP(2,1/(AI389:AJ389&lt;&gt;""),AI389:AJ389)))</t>
        </is>
      </c>
      <c r="AY389" s="49" t="inlineStr">
        <is>
          <t>IF(OR(F389="",AL389=""),"",IF(COUNT(AI389:AK389)=0,"",AL389-LOOKUP(2,1/(AI389:AK389&lt;&gt;""),AI389:AK389)))</t>
        </is>
      </c>
      <c r="AZ389" s="49" t="inlineStr">
        <is>
          <t>IF(OR(F389="",AM389=""),"",IF(COUNT(AI389:AL389)=0,"",AM389-LOOKUP(2,1/(AI389:AL389&lt;&gt;""),AI389:AL389)))</t>
        </is>
      </c>
      <c r="BA389" s="49" t="inlineStr">
        <is>
          <t>IF(OR(F389="",AN389=""),"",IF(COUNT(AI389:AM389)=0,"",AN389-LOOKUP(2,1/(AI389:AM389&lt;&gt;""),AI389:AM389)))</t>
        </is>
      </c>
      <c r="BB389" s="49" t="inlineStr">
        <is>
          <t>IF(OR(F389="",AO389=""),"",IF(COUNT(AI389:AN389)=0,"",AO389-LOOKUP(2,1/(AI389:AN389&lt;&gt;""),AI389:AN389)))</t>
        </is>
      </c>
      <c r="BC389" s="49" t="inlineStr">
        <is>
          <t>IF(OR(F389="",AP389=""),"",IF(COUNT(AI389:AO389)=0,"",AP389-LOOKUP(2,1/(AI389:AO389&lt;&gt;""),AI389:AO389)))</t>
        </is>
      </c>
      <c r="BD389" s="49" t="inlineStr">
        <is>
          <t>IF(OR(F389="",AQ389=""),"",IF(COUNT(AI389:AP389)=0,"",AQ389-LOOKUP(2,1/(AI389:AP389&lt;&gt;""),AI389:AP389)))</t>
        </is>
      </c>
      <c r="BE389" s="49" t="inlineStr">
        <is>
          <t>IF(OR(F389="",AR389=""),"",IF(COUNT(AI389:AQ389)=0,"",AR389-LOOKUP(2,1/(AI389:AQ389&lt;&gt;""),AI389:AQ389)))</t>
        </is>
      </c>
      <c r="BF389" s="49" t="inlineStr">
        <is>
          <t>IF(OR(F389="",AS389=""),"",IF(COUNT(AI389:AR389)=0,"",AS389-LOOKUP(2,1/(AI389:AR389&lt;&gt;""),AI389:AR389)))</t>
        </is>
      </c>
      <c r="BG389" s="49" t="inlineStr">
        <is>
          <t>IF(OR(F389="",AT389=""),"",IF(COUNT(AI389:AS389)=0,"",AT389-LOOKUP(2,1/(AI389:AS389&lt;&gt;""),AI389:AS389)))</t>
        </is>
      </c>
      <c r="BH389" s="49" t="inlineStr">
        <is>
          <t>IF(OR(F389="",AU389=""),"",IF(COUNT(AI389:AT389)=0,"",AU389-LOOKUP(2,1/(AI389:AT389&lt;&gt;""),AI389:AT389)))</t>
        </is>
      </c>
      <c r="BI389" s="49" t="inlineStr">
        <is>
          <t>IF(OR(F389="",AV389=""),"",IF(COUNT(AI389:AU389)=0,"",AV389-LOOKUP(2,1/(AI389:AU389&lt;&gt;""),AI389:AU389)))</t>
        </is>
      </c>
      <c r="BJ389" s="51" t="inlineStr">
        <is>
          <t>IF(J389="","All_Provinces",IFERROR(VLOOKUP(J389,'09_Lookups'!$A$4:$B$20,2,FALSE),"All_Provinces"))</t>
        </is>
      </c>
      <c r="BK389" s="51" t="inlineStr">
        <is>
          <t>IF(K389="","All_Districts",IFERROR(VLOOKUP(K389,'09_Lookups'!$E$4:$F$42,2,FALSE),"All_Districts"))</t>
        </is>
      </c>
    </row>
    <row r="390" ht="18" customHeight="1">
      <c r="A390" s="42" t="inlineStr">
        <is>
          <t>IF(F390="","",ROW()-3)</t>
        </is>
      </c>
      <c r="B390" s="52" t="n"/>
      <c r="C390" s="52" t="n"/>
      <c r="D390" s="52" t="n"/>
      <c r="E390" s="52" t="n"/>
      <c r="F390" s="52" t="n"/>
      <c r="G390" s="52" t="n"/>
      <c r="H390" s="52" t="n"/>
      <c r="I390" s="52" t="n"/>
      <c r="J390" s="52" t="n"/>
      <c r="K390" s="52" t="n"/>
      <c r="L390" s="52" t="n"/>
      <c r="M390" s="52" t="n"/>
      <c r="N390" s="52" t="n"/>
      <c r="O390" s="52" t="n"/>
      <c r="P390" s="52" t="n"/>
      <c r="Q390" s="52" t="n"/>
      <c r="R390" s="52" t="n"/>
      <c r="S390" s="53" t="n"/>
      <c r="T390" s="46" t="inlineStr">
        <is>
          <t>IF(AQ390="","",AQ390)</t>
        </is>
      </c>
      <c r="U390" s="54" t="n"/>
      <c r="V390" s="55" t="n"/>
      <c r="W390" s="54" t="n"/>
      <c r="X390" s="46" t="inlineStr">
        <is>
          <t>IF(W390&lt;&gt;"",W390,IF(OR(T390="",V390=""),"",EDATE(T390,V390)))</t>
        </is>
      </c>
      <c r="Y390" s="54" t="n"/>
      <c r="Z390" s="55" t="n"/>
      <c r="AA390" s="52" t="n"/>
      <c r="AB390" s="52" t="n"/>
      <c r="AC390" s="42" t="inlineStr">
        <is>
          <t>IF(F390="","",IF(COUNT(AI390:AV390)=0,IF(AA390="","Not started",AA390),SUBSTITUTE(LOOKUP(2,1/(AI390:AV390&lt;&gt;""),$AI$3:$AV$3),"Date: ","")))</t>
        </is>
      </c>
      <c r="AD390" s="49" t="inlineStr">
        <is>
          <t>IF(OR(F390="",COUNT(AI390:AV390)=0),"",TODAY()-LOOKUP(2,1/(AI390:AV390&lt;&gt;""),AI390:AV390))</t>
        </is>
      </c>
      <c r="AE390" s="49" t="inlineStr">
        <is>
          <t>IF(OR(F390="",COUNT(AI390:AV390)&lt;2),"",LOOKUP(2,1/(AI390:AV390&lt;&gt;""),AI390:AV390)-MIN(AI390:AV390))</t>
        </is>
      </c>
      <c r="AF390" s="49" t="inlineStr">
        <is>
          <t>IF(OR(AD390="",AC390="Not started",AC390=""),"",IFERROR(AD390-IF(VLOOKUP(AC390,'06_Status_Pipeline'!$B$3:$E$20,4,FALSE)="",0,VLOOKUP(AC390,'06_Status_Pipeline'!$B$3:$E$20,4,FALSE)),""))</t>
        </is>
      </c>
      <c r="AG390" s="42" t="inlineStr">
        <is>
          <t>IF(F390="","",IF(OR(AA390="Cancelled",AC390="Cancelled"),"Cancelled",IF(OR(AC390="Completed / Handover",Y390&lt;&gt;"",Z390&gt;=100),"Completed — on track",IF(O390="Not awarded",IF(U390="",IF(X390="","No planned date",IF(TODAY()&gt;X390,"Behind — past planned date",IF(X390-TODAY()&lt;=30,"At risk — close to off track","On track"))),IF(TODAY()&gt;U390,"Behind — award date passed",IF(U390-TODAY()&lt;=30,"At risk — close to off track","On track"))),IF(X390="","No planned date",IF(AND(TODAY()&gt;X390,OR(Z390="",Z390&lt;100)),"Behind — past end date",IF(AND(T390&lt;&gt;"",X390&lt;&gt;"",Z390&lt;&gt;"",(Z390&lt;100),((TODAY()-T390)/MAX(X390-T390,1)*100)-Z390&gt;15),"Behind — progress lag",IF(AND(X390-TODAY()&lt;=30,X390-TODAY()&gt;=0,OR(Z390="",Z390&lt;90)),"At risk — close to off track","On track"))))))))</t>
        </is>
      </c>
      <c r="AH390" s="49" t="inlineStr">
        <is>
          <t>IF(OR(F390="",AC390="Completed / Handover",AC390="Cancelled"),"",IF(O390="Not awarded",IF(U390&lt;&gt;"",U390-TODAY(),IF(X390="","",X390-TODAY())),IF(X390="","",X390-TODAY())))</t>
        </is>
      </c>
      <c r="AI390" s="54" t="n"/>
      <c r="AJ390" s="54" t="n"/>
      <c r="AK390" s="54" t="n"/>
      <c r="AL390" s="54" t="n"/>
      <c r="AM390" s="54" t="n"/>
      <c r="AN390" s="54" t="n"/>
      <c r="AO390" s="54" t="n"/>
      <c r="AP390" s="54" t="n"/>
      <c r="AQ390" s="54" t="n"/>
      <c r="AR390" s="54" t="n"/>
      <c r="AS390" s="54" t="n"/>
      <c r="AT390" s="50" t="n"/>
      <c r="AU390" s="50" t="n"/>
      <c r="AV390" s="50" t="n"/>
      <c r="AW390" s="49" t="inlineStr">
        <is>
          <t>IF(OR(F390="",AJ390=""),"",IF(COUNT(AI390:AI390)=0,"",AJ390-LOOKUP(2,1/(AI390:AI390&lt;&gt;""),AI390:AI390)))</t>
        </is>
      </c>
      <c r="AX390" s="49" t="inlineStr">
        <is>
          <t>IF(OR(F390="",AK390=""),"",IF(COUNT(AI390:AJ390)=0,"",AK390-LOOKUP(2,1/(AI390:AJ390&lt;&gt;""),AI390:AJ390)))</t>
        </is>
      </c>
      <c r="AY390" s="49" t="inlineStr">
        <is>
          <t>IF(OR(F390="",AL390=""),"",IF(COUNT(AI390:AK390)=0,"",AL390-LOOKUP(2,1/(AI390:AK390&lt;&gt;""),AI390:AK390)))</t>
        </is>
      </c>
      <c r="AZ390" s="49" t="inlineStr">
        <is>
          <t>IF(OR(F390="",AM390=""),"",IF(COUNT(AI390:AL390)=0,"",AM390-LOOKUP(2,1/(AI390:AL390&lt;&gt;""),AI390:AL390)))</t>
        </is>
      </c>
      <c r="BA390" s="49" t="inlineStr">
        <is>
          <t>IF(OR(F390="",AN390=""),"",IF(COUNT(AI390:AM390)=0,"",AN390-LOOKUP(2,1/(AI390:AM390&lt;&gt;""),AI390:AM390)))</t>
        </is>
      </c>
      <c r="BB390" s="49" t="inlineStr">
        <is>
          <t>IF(OR(F390="",AO390=""),"",IF(COUNT(AI390:AN390)=0,"",AO390-LOOKUP(2,1/(AI390:AN390&lt;&gt;""),AI390:AN390)))</t>
        </is>
      </c>
      <c r="BC390" s="49" t="inlineStr">
        <is>
          <t>IF(OR(F390="",AP390=""),"",IF(COUNT(AI390:AO390)=0,"",AP390-LOOKUP(2,1/(AI390:AO390&lt;&gt;""),AI390:AO390)))</t>
        </is>
      </c>
      <c r="BD390" s="49" t="inlineStr">
        <is>
          <t>IF(OR(F390="",AQ390=""),"",IF(COUNT(AI390:AP390)=0,"",AQ390-LOOKUP(2,1/(AI390:AP390&lt;&gt;""),AI390:AP390)))</t>
        </is>
      </c>
      <c r="BE390" s="49" t="inlineStr">
        <is>
          <t>IF(OR(F390="",AR390=""),"",IF(COUNT(AI390:AQ390)=0,"",AR390-LOOKUP(2,1/(AI390:AQ390&lt;&gt;""),AI390:AQ390)))</t>
        </is>
      </c>
      <c r="BF390" s="49" t="inlineStr">
        <is>
          <t>IF(OR(F390="",AS390=""),"",IF(COUNT(AI390:AR390)=0,"",AS390-LOOKUP(2,1/(AI390:AR390&lt;&gt;""),AI390:AR390)))</t>
        </is>
      </c>
      <c r="BG390" s="49" t="inlineStr">
        <is>
          <t>IF(OR(F390="",AT390=""),"",IF(COUNT(AI390:AS390)=0,"",AT390-LOOKUP(2,1/(AI390:AS390&lt;&gt;""),AI390:AS390)))</t>
        </is>
      </c>
      <c r="BH390" s="49" t="inlineStr">
        <is>
          <t>IF(OR(F390="",AU390=""),"",IF(COUNT(AI390:AT390)=0,"",AU390-LOOKUP(2,1/(AI390:AT390&lt;&gt;""),AI390:AT390)))</t>
        </is>
      </c>
      <c r="BI390" s="49" t="inlineStr">
        <is>
          <t>IF(OR(F390="",AV390=""),"",IF(COUNT(AI390:AU390)=0,"",AV390-LOOKUP(2,1/(AI390:AU390&lt;&gt;""),AI390:AU390)))</t>
        </is>
      </c>
      <c r="BJ390" s="51" t="inlineStr">
        <is>
          <t>IF(J390="","All_Provinces",IFERROR(VLOOKUP(J390,'09_Lookups'!$A$4:$B$20,2,FALSE),"All_Provinces"))</t>
        </is>
      </c>
      <c r="BK390" s="51" t="inlineStr">
        <is>
          <t>IF(K390="","All_Districts",IFERROR(VLOOKUP(K390,'09_Lookups'!$E$4:$F$42,2,FALSE),"All_Districts"))</t>
        </is>
      </c>
    </row>
    <row r="391" ht="18" customHeight="1">
      <c r="A391" s="42" t="inlineStr">
        <is>
          <t>IF(F391="","",ROW()-3)</t>
        </is>
      </c>
      <c r="B391" s="44" t="n"/>
      <c r="C391" s="44" t="n"/>
      <c r="D391" s="44" t="n"/>
      <c r="E391" s="44" t="n"/>
      <c r="F391" s="44" t="n"/>
      <c r="G391" s="44" t="n"/>
      <c r="H391" s="44" t="n"/>
      <c r="I391" s="44" t="n"/>
      <c r="J391" s="44" t="n"/>
      <c r="K391" s="44" t="n"/>
      <c r="L391" s="44" t="n"/>
      <c r="M391" s="44" t="n"/>
      <c r="N391" s="44" t="n"/>
      <c r="O391" s="44" t="n"/>
      <c r="P391" s="44" t="n"/>
      <c r="Q391" s="44" t="n"/>
      <c r="R391" s="44" t="n"/>
      <c r="S391" s="45" t="n"/>
      <c r="T391" s="46" t="inlineStr">
        <is>
          <t>IF(AQ391="","",AQ391)</t>
        </is>
      </c>
      <c r="U391" s="47" t="n"/>
      <c r="V391" s="48" t="n"/>
      <c r="W391" s="47" t="n"/>
      <c r="X391" s="46" t="inlineStr">
        <is>
          <t>IF(W391&lt;&gt;"",W391,IF(OR(T391="",V391=""),"",EDATE(T391,V391)))</t>
        </is>
      </c>
      <c r="Y391" s="47" t="n"/>
      <c r="Z391" s="48" t="n"/>
      <c r="AA391" s="44" t="n"/>
      <c r="AB391" s="44" t="n"/>
      <c r="AC391" s="42" t="inlineStr">
        <is>
          <t>IF(F391="","",IF(COUNT(AI391:AV391)=0,IF(AA391="","Not started",AA391),SUBSTITUTE(LOOKUP(2,1/(AI391:AV391&lt;&gt;""),$AI$3:$AV$3),"Date: ","")))</t>
        </is>
      </c>
      <c r="AD391" s="49" t="inlineStr">
        <is>
          <t>IF(OR(F391="",COUNT(AI391:AV391)=0),"",TODAY()-LOOKUP(2,1/(AI391:AV391&lt;&gt;""),AI391:AV391))</t>
        </is>
      </c>
      <c r="AE391" s="49" t="inlineStr">
        <is>
          <t>IF(OR(F391="",COUNT(AI391:AV391)&lt;2),"",LOOKUP(2,1/(AI391:AV391&lt;&gt;""),AI391:AV391)-MIN(AI391:AV391))</t>
        </is>
      </c>
      <c r="AF391" s="49" t="inlineStr">
        <is>
          <t>IF(OR(AD391="",AC391="Not started",AC391=""),"",IFERROR(AD391-IF(VLOOKUP(AC391,'06_Status_Pipeline'!$B$3:$E$20,4,FALSE)="",0,VLOOKUP(AC391,'06_Status_Pipeline'!$B$3:$E$20,4,FALSE)),""))</t>
        </is>
      </c>
      <c r="AG391" s="42" t="inlineStr">
        <is>
          <t>IF(F391="","",IF(OR(AA391="Cancelled",AC391="Cancelled"),"Cancelled",IF(OR(AC391="Completed / Handover",Y391&lt;&gt;"",Z391&gt;=100),"Completed — on track",IF(O391="Not awarded",IF(U391="",IF(X391="","No planned date",IF(TODAY()&gt;X391,"Behind — past planned date",IF(X391-TODAY()&lt;=30,"At risk — close to off track","On track"))),IF(TODAY()&gt;U391,"Behind — award date passed",IF(U391-TODAY()&lt;=30,"At risk — close to off track","On track"))),IF(X391="","No planned date",IF(AND(TODAY()&gt;X391,OR(Z391="",Z391&lt;100)),"Behind — past end date",IF(AND(T391&lt;&gt;"",X391&lt;&gt;"",Z391&lt;&gt;"",(Z391&lt;100),((TODAY()-T391)/MAX(X391-T391,1)*100)-Z391&gt;15),"Behind — progress lag",IF(AND(X391-TODAY()&lt;=30,X391-TODAY()&gt;=0,OR(Z391="",Z391&lt;90)),"At risk — close to off track","On track"))))))))</t>
        </is>
      </c>
      <c r="AH391" s="49" t="inlineStr">
        <is>
          <t>IF(OR(F391="",AC391="Completed / Handover",AC391="Cancelled"),"",IF(O391="Not awarded",IF(U391&lt;&gt;"",U391-TODAY(),IF(X391="","",X391-TODAY())),IF(X391="","",X391-TODAY())))</t>
        </is>
      </c>
      <c r="AI391" s="47" t="n"/>
      <c r="AJ391" s="47" t="n"/>
      <c r="AK391" s="47" t="n"/>
      <c r="AL391" s="47" t="n"/>
      <c r="AM391" s="47" t="n"/>
      <c r="AN391" s="47" t="n"/>
      <c r="AO391" s="47" t="n"/>
      <c r="AP391" s="47" t="n"/>
      <c r="AQ391" s="47" t="n"/>
      <c r="AR391" s="47" t="n"/>
      <c r="AS391" s="47" t="n"/>
      <c r="AT391" s="50" t="n"/>
      <c r="AU391" s="50" t="n"/>
      <c r="AV391" s="50" t="n"/>
      <c r="AW391" s="49" t="inlineStr">
        <is>
          <t>IF(OR(F391="",AJ391=""),"",IF(COUNT(AI391:AI391)=0,"",AJ391-LOOKUP(2,1/(AI391:AI391&lt;&gt;""),AI391:AI391)))</t>
        </is>
      </c>
      <c r="AX391" s="49" t="inlineStr">
        <is>
          <t>IF(OR(F391="",AK391=""),"",IF(COUNT(AI391:AJ391)=0,"",AK391-LOOKUP(2,1/(AI391:AJ391&lt;&gt;""),AI391:AJ391)))</t>
        </is>
      </c>
      <c r="AY391" s="49" t="inlineStr">
        <is>
          <t>IF(OR(F391="",AL391=""),"",IF(COUNT(AI391:AK391)=0,"",AL391-LOOKUP(2,1/(AI391:AK391&lt;&gt;""),AI391:AK391)))</t>
        </is>
      </c>
      <c r="AZ391" s="49" t="inlineStr">
        <is>
          <t>IF(OR(F391="",AM391=""),"",IF(COUNT(AI391:AL391)=0,"",AM391-LOOKUP(2,1/(AI391:AL391&lt;&gt;""),AI391:AL391)))</t>
        </is>
      </c>
      <c r="BA391" s="49" t="inlineStr">
        <is>
          <t>IF(OR(F391="",AN391=""),"",IF(COUNT(AI391:AM391)=0,"",AN391-LOOKUP(2,1/(AI391:AM391&lt;&gt;""),AI391:AM391)))</t>
        </is>
      </c>
      <c r="BB391" s="49" t="inlineStr">
        <is>
          <t>IF(OR(F391="",AO391=""),"",IF(COUNT(AI391:AN391)=0,"",AO391-LOOKUP(2,1/(AI391:AN391&lt;&gt;""),AI391:AN391)))</t>
        </is>
      </c>
      <c r="BC391" s="49" t="inlineStr">
        <is>
          <t>IF(OR(F391="",AP391=""),"",IF(COUNT(AI391:AO391)=0,"",AP391-LOOKUP(2,1/(AI391:AO391&lt;&gt;""),AI391:AO391)))</t>
        </is>
      </c>
      <c r="BD391" s="49" t="inlineStr">
        <is>
          <t>IF(OR(F391="",AQ391=""),"",IF(COUNT(AI391:AP391)=0,"",AQ391-LOOKUP(2,1/(AI391:AP391&lt;&gt;""),AI391:AP391)))</t>
        </is>
      </c>
      <c r="BE391" s="49" t="inlineStr">
        <is>
          <t>IF(OR(F391="",AR391=""),"",IF(COUNT(AI391:AQ391)=0,"",AR391-LOOKUP(2,1/(AI391:AQ391&lt;&gt;""),AI391:AQ391)))</t>
        </is>
      </c>
      <c r="BF391" s="49" t="inlineStr">
        <is>
          <t>IF(OR(F391="",AS391=""),"",IF(COUNT(AI391:AR391)=0,"",AS391-LOOKUP(2,1/(AI391:AR391&lt;&gt;""),AI391:AR391)))</t>
        </is>
      </c>
      <c r="BG391" s="49" t="inlineStr">
        <is>
          <t>IF(OR(F391="",AT391=""),"",IF(COUNT(AI391:AS391)=0,"",AT391-LOOKUP(2,1/(AI391:AS391&lt;&gt;""),AI391:AS391)))</t>
        </is>
      </c>
      <c r="BH391" s="49" t="inlineStr">
        <is>
          <t>IF(OR(F391="",AU391=""),"",IF(COUNT(AI391:AT391)=0,"",AU391-LOOKUP(2,1/(AI391:AT391&lt;&gt;""),AI391:AT391)))</t>
        </is>
      </c>
      <c r="BI391" s="49" t="inlineStr">
        <is>
          <t>IF(OR(F391="",AV391=""),"",IF(COUNT(AI391:AU391)=0,"",AV391-LOOKUP(2,1/(AI391:AU391&lt;&gt;""),AI391:AU391)))</t>
        </is>
      </c>
      <c r="BJ391" s="51" t="inlineStr">
        <is>
          <t>IF(J391="","All_Provinces",IFERROR(VLOOKUP(J391,'09_Lookups'!$A$4:$B$20,2,FALSE),"All_Provinces"))</t>
        </is>
      </c>
      <c r="BK391" s="51" t="inlineStr">
        <is>
          <t>IF(K391="","All_Districts",IFERROR(VLOOKUP(K391,'09_Lookups'!$E$4:$F$42,2,FALSE),"All_Districts"))</t>
        </is>
      </c>
    </row>
    <row r="392" ht="18" customHeight="1">
      <c r="A392" s="42" t="inlineStr">
        <is>
          <t>IF(F392="","",ROW()-3)</t>
        </is>
      </c>
      <c r="B392" s="52" t="n"/>
      <c r="C392" s="52" t="n"/>
      <c r="D392" s="52" t="n"/>
      <c r="E392" s="52" t="n"/>
      <c r="F392" s="52" t="n"/>
      <c r="G392" s="52" t="n"/>
      <c r="H392" s="52" t="n"/>
      <c r="I392" s="52" t="n"/>
      <c r="J392" s="52" t="n"/>
      <c r="K392" s="52" t="n"/>
      <c r="L392" s="52" t="n"/>
      <c r="M392" s="52" t="n"/>
      <c r="N392" s="52" t="n"/>
      <c r="O392" s="52" t="n"/>
      <c r="P392" s="52" t="n"/>
      <c r="Q392" s="52" t="n"/>
      <c r="R392" s="52" t="n"/>
      <c r="S392" s="53" t="n"/>
      <c r="T392" s="46" t="inlineStr">
        <is>
          <t>IF(AQ392="","",AQ392)</t>
        </is>
      </c>
      <c r="U392" s="54" t="n"/>
      <c r="V392" s="55" t="n"/>
      <c r="W392" s="54" t="n"/>
      <c r="X392" s="46" t="inlineStr">
        <is>
          <t>IF(W392&lt;&gt;"",W392,IF(OR(T392="",V392=""),"",EDATE(T392,V392)))</t>
        </is>
      </c>
      <c r="Y392" s="54" t="n"/>
      <c r="Z392" s="55" t="n"/>
      <c r="AA392" s="52" t="n"/>
      <c r="AB392" s="52" t="n"/>
      <c r="AC392" s="42" t="inlineStr">
        <is>
          <t>IF(F392="","",IF(COUNT(AI392:AV392)=0,IF(AA392="","Not started",AA392),SUBSTITUTE(LOOKUP(2,1/(AI392:AV392&lt;&gt;""),$AI$3:$AV$3),"Date: ","")))</t>
        </is>
      </c>
      <c r="AD392" s="49" t="inlineStr">
        <is>
          <t>IF(OR(F392="",COUNT(AI392:AV392)=0),"",TODAY()-LOOKUP(2,1/(AI392:AV392&lt;&gt;""),AI392:AV392))</t>
        </is>
      </c>
      <c r="AE392" s="49" t="inlineStr">
        <is>
          <t>IF(OR(F392="",COUNT(AI392:AV392)&lt;2),"",LOOKUP(2,1/(AI392:AV392&lt;&gt;""),AI392:AV392)-MIN(AI392:AV392))</t>
        </is>
      </c>
      <c r="AF392" s="49" t="inlineStr">
        <is>
          <t>IF(OR(AD392="",AC392="Not started",AC392=""),"",IFERROR(AD392-IF(VLOOKUP(AC392,'06_Status_Pipeline'!$B$3:$E$20,4,FALSE)="",0,VLOOKUP(AC392,'06_Status_Pipeline'!$B$3:$E$20,4,FALSE)),""))</t>
        </is>
      </c>
      <c r="AG392" s="42" t="inlineStr">
        <is>
          <t>IF(F392="","",IF(OR(AA392="Cancelled",AC392="Cancelled"),"Cancelled",IF(OR(AC392="Completed / Handover",Y392&lt;&gt;"",Z392&gt;=100),"Completed — on track",IF(O392="Not awarded",IF(U392="",IF(X392="","No planned date",IF(TODAY()&gt;X392,"Behind — past planned date",IF(X392-TODAY()&lt;=30,"At risk — close to off track","On track"))),IF(TODAY()&gt;U392,"Behind — award date passed",IF(U392-TODAY()&lt;=30,"At risk — close to off track","On track"))),IF(X392="","No planned date",IF(AND(TODAY()&gt;X392,OR(Z392="",Z392&lt;100)),"Behind — past end date",IF(AND(T392&lt;&gt;"",X392&lt;&gt;"",Z392&lt;&gt;"",(Z392&lt;100),((TODAY()-T392)/MAX(X392-T392,1)*100)-Z392&gt;15),"Behind — progress lag",IF(AND(X392-TODAY()&lt;=30,X392-TODAY()&gt;=0,OR(Z392="",Z392&lt;90)),"At risk — close to off track","On track"))))))))</t>
        </is>
      </c>
      <c r="AH392" s="49" t="inlineStr">
        <is>
          <t>IF(OR(F392="",AC392="Completed / Handover",AC392="Cancelled"),"",IF(O392="Not awarded",IF(U392&lt;&gt;"",U392-TODAY(),IF(X392="","",X392-TODAY())),IF(X392="","",X392-TODAY())))</t>
        </is>
      </c>
      <c r="AI392" s="54" t="n"/>
      <c r="AJ392" s="54" t="n"/>
      <c r="AK392" s="54" t="n"/>
      <c r="AL392" s="54" t="n"/>
      <c r="AM392" s="54" t="n"/>
      <c r="AN392" s="54" t="n"/>
      <c r="AO392" s="54" t="n"/>
      <c r="AP392" s="54" t="n"/>
      <c r="AQ392" s="54" t="n"/>
      <c r="AR392" s="54" t="n"/>
      <c r="AS392" s="54" t="n"/>
      <c r="AT392" s="50" t="n"/>
      <c r="AU392" s="50" t="n"/>
      <c r="AV392" s="50" t="n"/>
      <c r="AW392" s="49" t="inlineStr">
        <is>
          <t>IF(OR(F392="",AJ392=""),"",IF(COUNT(AI392:AI392)=0,"",AJ392-LOOKUP(2,1/(AI392:AI392&lt;&gt;""),AI392:AI392)))</t>
        </is>
      </c>
      <c r="AX392" s="49" t="inlineStr">
        <is>
          <t>IF(OR(F392="",AK392=""),"",IF(COUNT(AI392:AJ392)=0,"",AK392-LOOKUP(2,1/(AI392:AJ392&lt;&gt;""),AI392:AJ392)))</t>
        </is>
      </c>
      <c r="AY392" s="49" t="inlineStr">
        <is>
          <t>IF(OR(F392="",AL392=""),"",IF(COUNT(AI392:AK392)=0,"",AL392-LOOKUP(2,1/(AI392:AK392&lt;&gt;""),AI392:AK392)))</t>
        </is>
      </c>
      <c r="AZ392" s="49" t="inlineStr">
        <is>
          <t>IF(OR(F392="",AM392=""),"",IF(COUNT(AI392:AL392)=0,"",AM392-LOOKUP(2,1/(AI392:AL392&lt;&gt;""),AI392:AL392)))</t>
        </is>
      </c>
      <c r="BA392" s="49" t="inlineStr">
        <is>
          <t>IF(OR(F392="",AN392=""),"",IF(COUNT(AI392:AM392)=0,"",AN392-LOOKUP(2,1/(AI392:AM392&lt;&gt;""),AI392:AM392)))</t>
        </is>
      </c>
      <c r="BB392" s="49" t="inlineStr">
        <is>
          <t>IF(OR(F392="",AO392=""),"",IF(COUNT(AI392:AN392)=0,"",AO392-LOOKUP(2,1/(AI392:AN392&lt;&gt;""),AI392:AN392)))</t>
        </is>
      </c>
      <c r="BC392" s="49" t="inlineStr">
        <is>
          <t>IF(OR(F392="",AP392=""),"",IF(COUNT(AI392:AO392)=0,"",AP392-LOOKUP(2,1/(AI392:AO392&lt;&gt;""),AI392:AO392)))</t>
        </is>
      </c>
      <c r="BD392" s="49" t="inlineStr">
        <is>
          <t>IF(OR(F392="",AQ392=""),"",IF(COUNT(AI392:AP392)=0,"",AQ392-LOOKUP(2,1/(AI392:AP392&lt;&gt;""),AI392:AP392)))</t>
        </is>
      </c>
      <c r="BE392" s="49" t="inlineStr">
        <is>
          <t>IF(OR(F392="",AR392=""),"",IF(COUNT(AI392:AQ392)=0,"",AR392-LOOKUP(2,1/(AI392:AQ392&lt;&gt;""),AI392:AQ392)))</t>
        </is>
      </c>
      <c r="BF392" s="49" t="inlineStr">
        <is>
          <t>IF(OR(F392="",AS392=""),"",IF(COUNT(AI392:AR392)=0,"",AS392-LOOKUP(2,1/(AI392:AR392&lt;&gt;""),AI392:AR392)))</t>
        </is>
      </c>
      <c r="BG392" s="49" t="inlineStr">
        <is>
          <t>IF(OR(F392="",AT392=""),"",IF(COUNT(AI392:AS392)=0,"",AT392-LOOKUP(2,1/(AI392:AS392&lt;&gt;""),AI392:AS392)))</t>
        </is>
      </c>
      <c r="BH392" s="49" t="inlineStr">
        <is>
          <t>IF(OR(F392="",AU392=""),"",IF(COUNT(AI392:AT392)=0,"",AU392-LOOKUP(2,1/(AI392:AT392&lt;&gt;""),AI392:AT392)))</t>
        </is>
      </c>
      <c r="BI392" s="49" t="inlineStr">
        <is>
          <t>IF(OR(F392="",AV392=""),"",IF(COUNT(AI392:AU392)=0,"",AV392-LOOKUP(2,1/(AI392:AU392&lt;&gt;""),AI392:AU392)))</t>
        </is>
      </c>
      <c r="BJ392" s="51" t="inlineStr">
        <is>
          <t>IF(J392="","All_Provinces",IFERROR(VLOOKUP(J392,'09_Lookups'!$A$4:$B$20,2,FALSE),"All_Provinces"))</t>
        </is>
      </c>
      <c r="BK392" s="51" t="inlineStr">
        <is>
          <t>IF(K392="","All_Districts",IFERROR(VLOOKUP(K392,'09_Lookups'!$E$4:$F$42,2,FALSE),"All_Districts"))</t>
        </is>
      </c>
    </row>
    <row r="393" ht="18" customHeight="1">
      <c r="A393" s="42" t="inlineStr">
        <is>
          <t>IF(F393="","",ROW()-3)</t>
        </is>
      </c>
      <c r="B393" s="44" t="n"/>
      <c r="C393" s="44" t="n"/>
      <c r="D393" s="44" t="n"/>
      <c r="E393" s="44" t="n"/>
      <c r="F393" s="44" t="n"/>
      <c r="G393" s="44" t="n"/>
      <c r="H393" s="44" t="n"/>
      <c r="I393" s="44" t="n"/>
      <c r="J393" s="44" t="n"/>
      <c r="K393" s="44" t="n"/>
      <c r="L393" s="44" t="n"/>
      <c r="M393" s="44" t="n"/>
      <c r="N393" s="44" t="n"/>
      <c r="O393" s="44" t="n"/>
      <c r="P393" s="44" t="n"/>
      <c r="Q393" s="44" t="n"/>
      <c r="R393" s="44" t="n"/>
      <c r="S393" s="45" t="n"/>
      <c r="T393" s="46" t="inlineStr">
        <is>
          <t>IF(AQ393="","",AQ393)</t>
        </is>
      </c>
      <c r="U393" s="47" t="n"/>
      <c r="V393" s="48" t="n"/>
      <c r="W393" s="47" t="n"/>
      <c r="X393" s="46" t="inlineStr">
        <is>
          <t>IF(W393&lt;&gt;"",W393,IF(OR(T393="",V393=""),"",EDATE(T393,V393)))</t>
        </is>
      </c>
      <c r="Y393" s="47" t="n"/>
      <c r="Z393" s="48" t="n"/>
      <c r="AA393" s="44" t="n"/>
      <c r="AB393" s="44" t="n"/>
      <c r="AC393" s="42" t="inlineStr">
        <is>
          <t>IF(F393="","",IF(COUNT(AI393:AV393)=0,IF(AA393="","Not started",AA393),SUBSTITUTE(LOOKUP(2,1/(AI393:AV393&lt;&gt;""),$AI$3:$AV$3),"Date: ","")))</t>
        </is>
      </c>
      <c r="AD393" s="49" t="inlineStr">
        <is>
          <t>IF(OR(F393="",COUNT(AI393:AV393)=0),"",TODAY()-LOOKUP(2,1/(AI393:AV393&lt;&gt;""),AI393:AV393))</t>
        </is>
      </c>
      <c r="AE393" s="49" t="inlineStr">
        <is>
          <t>IF(OR(F393="",COUNT(AI393:AV393)&lt;2),"",LOOKUP(2,1/(AI393:AV393&lt;&gt;""),AI393:AV393)-MIN(AI393:AV393))</t>
        </is>
      </c>
      <c r="AF393" s="49" t="inlineStr">
        <is>
          <t>IF(OR(AD393="",AC393="Not started",AC393=""),"",IFERROR(AD393-IF(VLOOKUP(AC393,'06_Status_Pipeline'!$B$3:$E$20,4,FALSE)="",0,VLOOKUP(AC393,'06_Status_Pipeline'!$B$3:$E$20,4,FALSE)),""))</t>
        </is>
      </c>
      <c r="AG393" s="42" t="inlineStr">
        <is>
          <t>IF(F393="","",IF(OR(AA393="Cancelled",AC393="Cancelled"),"Cancelled",IF(OR(AC393="Completed / Handover",Y393&lt;&gt;"",Z393&gt;=100),"Completed — on track",IF(O393="Not awarded",IF(U393="",IF(X393="","No planned date",IF(TODAY()&gt;X393,"Behind — past planned date",IF(X393-TODAY()&lt;=30,"At risk — close to off track","On track"))),IF(TODAY()&gt;U393,"Behind — award date passed",IF(U393-TODAY()&lt;=30,"At risk — close to off track","On track"))),IF(X393="","No planned date",IF(AND(TODAY()&gt;X393,OR(Z393="",Z393&lt;100)),"Behind — past end date",IF(AND(T393&lt;&gt;"",X393&lt;&gt;"",Z393&lt;&gt;"",(Z393&lt;100),((TODAY()-T393)/MAX(X393-T393,1)*100)-Z393&gt;15),"Behind — progress lag",IF(AND(X393-TODAY()&lt;=30,X393-TODAY()&gt;=0,OR(Z393="",Z393&lt;90)),"At risk — close to off track","On track"))))))))</t>
        </is>
      </c>
      <c r="AH393" s="49" t="inlineStr">
        <is>
          <t>IF(OR(F393="",AC393="Completed / Handover",AC393="Cancelled"),"",IF(O393="Not awarded",IF(U393&lt;&gt;"",U393-TODAY(),IF(X393="","",X393-TODAY())),IF(X393="","",X393-TODAY())))</t>
        </is>
      </c>
      <c r="AI393" s="47" t="n"/>
      <c r="AJ393" s="47" t="n"/>
      <c r="AK393" s="47" t="n"/>
      <c r="AL393" s="47" t="n"/>
      <c r="AM393" s="47" t="n"/>
      <c r="AN393" s="47" t="n"/>
      <c r="AO393" s="47" t="n"/>
      <c r="AP393" s="47" t="n"/>
      <c r="AQ393" s="47" t="n"/>
      <c r="AR393" s="47" t="n"/>
      <c r="AS393" s="47" t="n"/>
      <c r="AT393" s="50" t="n"/>
      <c r="AU393" s="50" t="n"/>
      <c r="AV393" s="50" t="n"/>
      <c r="AW393" s="49" t="inlineStr">
        <is>
          <t>IF(OR(F393="",AJ393=""),"",IF(COUNT(AI393:AI393)=0,"",AJ393-LOOKUP(2,1/(AI393:AI393&lt;&gt;""),AI393:AI393)))</t>
        </is>
      </c>
      <c r="AX393" s="49" t="inlineStr">
        <is>
          <t>IF(OR(F393="",AK393=""),"",IF(COUNT(AI393:AJ393)=0,"",AK393-LOOKUP(2,1/(AI393:AJ393&lt;&gt;""),AI393:AJ393)))</t>
        </is>
      </c>
      <c r="AY393" s="49" t="inlineStr">
        <is>
          <t>IF(OR(F393="",AL393=""),"",IF(COUNT(AI393:AK393)=0,"",AL393-LOOKUP(2,1/(AI393:AK393&lt;&gt;""),AI393:AK393)))</t>
        </is>
      </c>
      <c r="AZ393" s="49" t="inlineStr">
        <is>
          <t>IF(OR(F393="",AM393=""),"",IF(COUNT(AI393:AL393)=0,"",AM393-LOOKUP(2,1/(AI393:AL393&lt;&gt;""),AI393:AL393)))</t>
        </is>
      </c>
      <c r="BA393" s="49" t="inlineStr">
        <is>
          <t>IF(OR(F393="",AN393=""),"",IF(COUNT(AI393:AM393)=0,"",AN393-LOOKUP(2,1/(AI393:AM393&lt;&gt;""),AI393:AM393)))</t>
        </is>
      </c>
      <c r="BB393" s="49" t="inlineStr">
        <is>
          <t>IF(OR(F393="",AO393=""),"",IF(COUNT(AI393:AN393)=0,"",AO393-LOOKUP(2,1/(AI393:AN393&lt;&gt;""),AI393:AN393)))</t>
        </is>
      </c>
      <c r="BC393" s="49" t="inlineStr">
        <is>
          <t>IF(OR(F393="",AP393=""),"",IF(COUNT(AI393:AO393)=0,"",AP393-LOOKUP(2,1/(AI393:AO393&lt;&gt;""),AI393:AO393)))</t>
        </is>
      </c>
      <c r="BD393" s="49" t="inlineStr">
        <is>
          <t>IF(OR(F393="",AQ393=""),"",IF(COUNT(AI393:AP393)=0,"",AQ393-LOOKUP(2,1/(AI393:AP393&lt;&gt;""),AI393:AP393)))</t>
        </is>
      </c>
      <c r="BE393" s="49" t="inlineStr">
        <is>
          <t>IF(OR(F393="",AR393=""),"",IF(COUNT(AI393:AQ393)=0,"",AR393-LOOKUP(2,1/(AI393:AQ393&lt;&gt;""),AI393:AQ393)))</t>
        </is>
      </c>
      <c r="BF393" s="49" t="inlineStr">
        <is>
          <t>IF(OR(F393="",AS393=""),"",IF(COUNT(AI393:AR393)=0,"",AS393-LOOKUP(2,1/(AI393:AR393&lt;&gt;""),AI393:AR393)))</t>
        </is>
      </c>
      <c r="BG393" s="49" t="inlineStr">
        <is>
          <t>IF(OR(F393="",AT393=""),"",IF(COUNT(AI393:AS393)=0,"",AT393-LOOKUP(2,1/(AI393:AS393&lt;&gt;""),AI393:AS393)))</t>
        </is>
      </c>
      <c r="BH393" s="49" t="inlineStr">
        <is>
          <t>IF(OR(F393="",AU393=""),"",IF(COUNT(AI393:AT393)=0,"",AU393-LOOKUP(2,1/(AI393:AT393&lt;&gt;""),AI393:AT393)))</t>
        </is>
      </c>
      <c r="BI393" s="49" t="inlineStr">
        <is>
          <t>IF(OR(F393="",AV393=""),"",IF(COUNT(AI393:AU393)=0,"",AV393-LOOKUP(2,1/(AI393:AU393&lt;&gt;""),AI393:AU393)))</t>
        </is>
      </c>
      <c r="BJ393" s="51" t="inlineStr">
        <is>
          <t>IF(J393="","All_Provinces",IFERROR(VLOOKUP(J393,'09_Lookups'!$A$4:$B$20,2,FALSE),"All_Provinces"))</t>
        </is>
      </c>
      <c r="BK393" s="51" t="inlineStr">
        <is>
          <t>IF(K393="","All_Districts",IFERROR(VLOOKUP(K393,'09_Lookups'!$E$4:$F$42,2,FALSE),"All_Districts"))</t>
        </is>
      </c>
    </row>
    <row r="394" ht="18" customHeight="1">
      <c r="A394" s="42" t="inlineStr">
        <is>
          <t>IF(F394="","",ROW()-3)</t>
        </is>
      </c>
      <c r="B394" s="52" t="n"/>
      <c r="C394" s="52" t="n"/>
      <c r="D394" s="52" t="n"/>
      <c r="E394" s="52" t="n"/>
      <c r="F394" s="52" t="n"/>
      <c r="G394" s="52" t="n"/>
      <c r="H394" s="52" t="n"/>
      <c r="I394" s="52" t="n"/>
      <c r="J394" s="52" t="n"/>
      <c r="K394" s="52" t="n"/>
      <c r="L394" s="52" t="n"/>
      <c r="M394" s="52" t="n"/>
      <c r="N394" s="52" t="n"/>
      <c r="O394" s="52" t="n"/>
      <c r="P394" s="52" t="n"/>
      <c r="Q394" s="52" t="n"/>
      <c r="R394" s="52" t="n"/>
      <c r="S394" s="53" t="n"/>
      <c r="T394" s="46" t="inlineStr">
        <is>
          <t>IF(AQ394="","",AQ394)</t>
        </is>
      </c>
      <c r="U394" s="54" t="n"/>
      <c r="V394" s="55" t="n"/>
      <c r="W394" s="54" t="n"/>
      <c r="X394" s="46" t="inlineStr">
        <is>
          <t>IF(W394&lt;&gt;"",W394,IF(OR(T394="",V394=""),"",EDATE(T394,V394)))</t>
        </is>
      </c>
      <c r="Y394" s="54" t="n"/>
      <c r="Z394" s="55" t="n"/>
      <c r="AA394" s="52" t="n"/>
      <c r="AB394" s="52" t="n"/>
      <c r="AC394" s="42" t="inlineStr">
        <is>
          <t>IF(F394="","",IF(COUNT(AI394:AV394)=0,IF(AA394="","Not started",AA394),SUBSTITUTE(LOOKUP(2,1/(AI394:AV394&lt;&gt;""),$AI$3:$AV$3),"Date: ","")))</t>
        </is>
      </c>
      <c r="AD394" s="49" t="inlineStr">
        <is>
          <t>IF(OR(F394="",COUNT(AI394:AV394)=0),"",TODAY()-LOOKUP(2,1/(AI394:AV394&lt;&gt;""),AI394:AV394))</t>
        </is>
      </c>
      <c r="AE394" s="49" t="inlineStr">
        <is>
          <t>IF(OR(F394="",COUNT(AI394:AV394)&lt;2),"",LOOKUP(2,1/(AI394:AV394&lt;&gt;""),AI394:AV394)-MIN(AI394:AV394))</t>
        </is>
      </c>
      <c r="AF394" s="49" t="inlineStr">
        <is>
          <t>IF(OR(AD394="",AC394="Not started",AC394=""),"",IFERROR(AD394-IF(VLOOKUP(AC394,'06_Status_Pipeline'!$B$3:$E$20,4,FALSE)="",0,VLOOKUP(AC394,'06_Status_Pipeline'!$B$3:$E$20,4,FALSE)),""))</t>
        </is>
      </c>
      <c r="AG394" s="42" t="inlineStr">
        <is>
          <t>IF(F394="","",IF(OR(AA394="Cancelled",AC394="Cancelled"),"Cancelled",IF(OR(AC394="Completed / Handover",Y394&lt;&gt;"",Z394&gt;=100),"Completed — on track",IF(O394="Not awarded",IF(U394="",IF(X394="","No planned date",IF(TODAY()&gt;X394,"Behind — past planned date",IF(X394-TODAY()&lt;=30,"At risk — close to off track","On track"))),IF(TODAY()&gt;U394,"Behind — award date passed",IF(U394-TODAY()&lt;=30,"At risk — close to off track","On track"))),IF(X394="","No planned date",IF(AND(TODAY()&gt;X394,OR(Z394="",Z394&lt;100)),"Behind — past end date",IF(AND(T394&lt;&gt;"",X394&lt;&gt;"",Z394&lt;&gt;"",(Z394&lt;100),((TODAY()-T394)/MAX(X394-T394,1)*100)-Z394&gt;15),"Behind — progress lag",IF(AND(X394-TODAY()&lt;=30,X394-TODAY()&gt;=0,OR(Z394="",Z394&lt;90)),"At risk — close to off track","On track"))))))))</t>
        </is>
      </c>
      <c r="AH394" s="49" t="inlineStr">
        <is>
          <t>IF(OR(F394="",AC394="Completed / Handover",AC394="Cancelled"),"",IF(O394="Not awarded",IF(U394&lt;&gt;"",U394-TODAY(),IF(X394="","",X394-TODAY())),IF(X394="","",X394-TODAY())))</t>
        </is>
      </c>
      <c r="AI394" s="54" t="n"/>
      <c r="AJ394" s="54" t="n"/>
      <c r="AK394" s="54" t="n"/>
      <c r="AL394" s="54" t="n"/>
      <c r="AM394" s="54" t="n"/>
      <c r="AN394" s="54" t="n"/>
      <c r="AO394" s="54" t="n"/>
      <c r="AP394" s="54" t="n"/>
      <c r="AQ394" s="54" t="n"/>
      <c r="AR394" s="54" t="n"/>
      <c r="AS394" s="54" t="n"/>
      <c r="AT394" s="50" t="n"/>
      <c r="AU394" s="50" t="n"/>
      <c r="AV394" s="50" t="n"/>
      <c r="AW394" s="49" t="inlineStr">
        <is>
          <t>IF(OR(F394="",AJ394=""),"",IF(COUNT(AI394:AI394)=0,"",AJ394-LOOKUP(2,1/(AI394:AI394&lt;&gt;""),AI394:AI394)))</t>
        </is>
      </c>
      <c r="AX394" s="49" t="inlineStr">
        <is>
          <t>IF(OR(F394="",AK394=""),"",IF(COUNT(AI394:AJ394)=0,"",AK394-LOOKUP(2,1/(AI394:AJ394&lt;&gt;""),AI394:AJ394)))</t>
        </is>
      </c>
      <c r="AY394" s="49" t="inlineStr">
        <is>
          <t>IF(OR(F394="",AL394=""),"",IF(COUNT(AI394:AK394)=0,"",AL394-LOOKUP(2,1/(AI394:AK394&lt;&gt;""),AI394:AK394)))</t>
        </is>
      </c>
      <c r="AZ394" s="49" t="inlineStr">
        <is>
          <t>IF(OR(F394="",AM394=""),"",IF(COUNT(AI394:AL394)=0,"",AM394-LOOKUP(2,1/(AI394:AL394&lt;&gt;""),AI394:AL394)))</t>
        </is>
      </c>
      <c r="BA394" s="49" t="inlineStr">
        <is>
          <t>IF(OR(F394="",AN394=""),"",IF(COUNT(AI394:AM394)=0,"",AN394-LOOKUP(2,1/(AI394:AM394&lt;&gt;""),AI394:AM394)))</t>
        </is>
      </c>
      <c r="BB394" s="49" t="inlineStr">
        <is>
          <t>IF(OR(F394="",AO394=""),"",IF(COUNT(AI394:AN394)=0,"",AO394-LOOKUP(2,1/(AI394:AN394&lt;&gt;""),AI394:AN394)))</t>
        </is>
      </c>
      <c r="BC394" s="49" t="inlineStr">
        <is>
          <t>IF(OR(F394="",AP394=""),"",IF(COUNT(AI394:AO394)=0,"",AP394-LOOKUP(2,1/(AI394:AO394&lt;&gt;""),AI394:AO394)))</t>
        </is>
      </c>
      <c r="BD394" s="49" t="inlineStr">
        <is>
          <t>IF(OR(F394="",AQ394=""),"",IF(COUNT(AI394:AP394)=0,"",AQ394-LOOKUP(2,1/(AI394:AP394&lt;&gt;""),AI394:AP394)))</t>
        </is>
      </c>
      <c r="BE394" s="49" t="inlineStr">
        <is>
          <t>IF(OR(F394="",AR394=""),"",IF(COUNT(AI394:AQ394)=0,"",AR394-LOOKUP(2,1/(AI394:AQ394&lt;&gt;""),AI394:AQ394)))</t>
        </is>
      </c>
      <c r="BF394" s="49" t="inlineStr">
        <is>
          <t>IF(OR(F394="",AS394=""),"",IF(COUNT(AI394:AR394)=0,"",AS394-LOOKUP(2,1/(AI394:AR394&lt;&gt;""),AI394:AR394)))</t>
        </is>
      </c>
      <c r="BG394" s="49" t="inlineStr">
        <is>
          <t>IF(OR(F394="",AT394=""),"",IF(COUNT(AI394:AS394)=0,"",AT394-LOOKUP(2,1/(AI394:AS394&lt;&gt;""),AI394:AS394)))</t>
        </is>
      </c>
      <c r="BH394" s="49" t="inlineStr">
        <is>
          <t>IF(OR(F394="",AU394=""),"",IF(COUNT(AI394:AT394)=0,"",AU394-LOOKUP(2,1/(AI394:AT394&lt;&gt;""),AI394:AT394)))</t>
        </is>
      </c>
      <c r="BI394" s="49" t="inlineStr">
        <is>
          <t>IF(OR(F394="",AV394=""),"",IF(COUNT(AI394:AU394)=0,"",AV394-LOOKUP(2,1/(AI394:AU394&lt;&gt;""),AI394:AU394)))</t>
        </is>
      </c>
      <c r="BJ394" s="51" t="inlineStr">
        <is>
          <t>IF(J394="","All_Provinces",IFERROR(VLOOKUP(J394,'09_Lookups'!$A$4:$B$20,2,FALSE),"All_Provinces"))</t>
        </is>
      </c>
      <c r="BK394" s="51" t="inlineStr">
        <is>
          <t>IF(K394="","All_Districts",IFERROR(VLOOKUP(K394,'09_Lookups'!$E$4:$F$42,2,FALSE),"All_Districts"))</t>
        </is>
      </c>
    </row>
    <row r="395" ht="18" customHeight="1">
      <c r="A395" s="42" t="inlineStr">
        <is>
          <t>IF(F395="","",ROW()-3)</t>
        </is>
      </c>
      <c r="B395" s="44" t="n"/>
      <c r="C395" s="44" t="n"/>
      <c r="D395" s="44" t="n"/>
      <c r="E395" s="44" t="n"/>
      <c r="F395" s="44" t="n"/>
      <c r="G395" s="44" t="n"/>
      <c r="H395" s="44" t="n"/>
      <c r="I395" s="44" t="n"/>
      <c r="J395" s="44" t="n"/>
      <c r="K395" s="44" t="n"/>
      <c r="L395" s="44" t="n"/>
      <c r="M395" s="44" t="n"/>
      <c r="N395" s="44" t="n"/>
      <c r="O395" s="44" t="n"/>
      <c r="P395" s="44" t="n"/>
      <c r="Q395" s="44" t="n"/>
      <c r="R395" s="44" t="n"/>
      <c r="S395" s="45" t="n"/>
      <c r="T395" s="46" t="inlineStr">
        <is>
          <t>IF(AQ395="","",AQ395)</t>
        </is>
      </c>
      <c r="U395" s="47" t="n"/>
      <c r="V395" s="48" t="n"/>
      <c r="W395" s="47" t="n"/>
      <c r="X395" s="46" t="inlineStr">
        <is>
          <t>IF(W395&lt;&gt;"",W395,IF(OR(T395="",V395=""),"",EDATE(T395,V395)))</t>
        </is>
      </c>
      <c r="Y395" s="47" t="n"/>
      <c r="Z395" s="48" t="n"/>
      <c r="AA395" s="44" t="n"/>
      <c r="AB395" s="44" t="n"/>
      <c r="AC395" s="42" t="inlineStr">
        <is>
          <t>IF(F395="","",IF(COUNT(AI395:AV395)=0,IF(AA395="","Not started",AA395),SUBSTITUTE(LOOKUP(2,1/(AI395:AV395&lt;&gt;""),$AI$3:$AV$3),"Date: ","")))</t>
        </is>
      </c>
      <c r="AD395" s="49" t="inlineStr">
        <is>
          <t>IF(OR(F395="",COUNT(AI395:AV395)=0),"",TODAY()-LOOKUP(2,1/(AI395:AV395&lt;&gt;""),AI395:AV395))</t>
        </is>
      </c>
      <c r="AE395" s="49" t="inlineStr">
        <is>
          <t>IF(OR(F395="",COUNT(AI395:AV395)&lt;2),"",LOOKUP(2,1/(AI395:AV395&lt;&gt;""),AI395:AV395)-MIN(AI395:AV395))</t>
        </is>
      </c>
      <c r="AF395" s="49" t="inlineStr">
        <is>
          <t>IF(OR(AD395="",AC395="Not started",AC395=""),"",IFERROR(AD395-IF(VLOOKUP(AC395,'06_Status_Pipeline'!$B$3:$E$20,4,FALSE)="",0,VLOOKUP(AC395,'06_Status_Pipeline'!$B$3:$E$20,4,FALSE)),""))</t>
        </is>
      </c>
      <c r="AG395" s="42" t="inlineStr">
        <is>
          <t>IF(F395="","",IF(OR(AA395="Cancelled",AC395="Cancelled"),"Cancelled",IF(OR(AC395="Completed / Handover",Y395&lt;&gt;"",Z395&gt;=100),"Completed — on track",IF(O395="Not awarded",IF(U395="",IF(X395="","No planned date",IF(TODAY()&gt;X395,"Behind — past planned date",IF(X395-TODAY()&lt;=30,"At risk — close to off track","On track"))),IF(TODAY()&gt;U395,"Behind — award date passed",IF(U395-TODAY()&lt;=30,"At risk — close to off track","On track"))),IF(X395="","No planned date",IF(AND(TODAY()&gt;X395,OR(Z395="",Z395&lt;100)),"Behind — past end date",IF(AND(T395&lt;&gt;"",X395&lt;&gt;"",Z395&lt;&gt;"",(Z395&lt;100),((TODAY()-T395)/MAX(X395-T395,1)*100)-Z395&gt;15),"Behind — progress lag",IF(AND(X395-TODAY()&lt;=30,X395-TODAY()&gt;=0,OR(Z395="",Z395&lt;90)),"At risk — close to off track","On track"))))))))</t>
        </is>
      </c>
      <c r="AH395" s="49" t="inlineStr">
        <is>
          <t>IF(OR(F395="",AC395="Completed / Handover",AC395="Cancelled"),"",IF(O395="Not awarded",IF(U395&lt;&gt;"",U395-TODAY(),IF(X395="","",X395-TODAY())),IF(X395="","",X395-TODAY())))</t>
        </is>
      </c>
      <c r="AI395" s="47" t="n"/>
      <c r="AJ395" s="47" t="n"/>
      <c r="AK395" s="47" t="n"/>
      <c r="AL395" s="47" t="n"/>
      <c r="AM395" s="47" t="n"/>
      <c r="AN395" s="47" t="n"/>
      <c r="AO395" s="47" t="n"/>
      <c r="AP395" s="47" t="n"/>
      <c r="AQ395" s="47" t="n"/>
      <c r="AR395" s="47" t="n"/>
      <c r="AS395" s="47" t="n"/>
      <c r="AT395" s="50" t="n"/>
      <c r="AU395" s="50" t="n"/>
      <c r="AV395" s="50" t="n"/>
      <c r="AW395" s="49" t="inlineStr">
        <is>
          <t>IF(OR(F395="",AJ395=""),"",IF(COUNT(AI395:AI395)=0,"",AJ395-LOOKUP(2,1/(AI395:AI395&lt;&gt;""),AI395:AI395)))</t>
        </is>
      </c>
      <c r="AX395" s="49" t="inlineStr">
        <is>
          <t>IF(OR(F395="",AK395=""),"",IF(COUNT(AI395:AJ395)=0,"",AK395-LOOKUP(2,1/(AI395:AJ395&lt;&gt;""),AI395:AJ395)))</t>
        </is>
      </c>
      <c r="AY395" s="49" t="inlineStr">
        <is>
          <t>IF(OR(F395="",AL395=""),"",IF(COUNT(AI395:AK395)=0,"",AL395-LOOKUP(2,1/(AI395:AK395&lt;&gt;""),AI395:AK395)))</t>
        </is>
      </c>
      <c r="AZ395" s="49" t="inlineStr">
        <is>
          <t>IF(OR(F395="",AM395=""),"",IF(COUNT(AI395:AL395)=0,"",AM395-LOOKUP(2,1/(AI395:AL395&lt;&gt;""),AI395:AL395)))</t>
        </is>
      </c>
      <c r="BA395" s="49" t="inlineStr">
        <is>
          <t>IF(OR(F395="",AN395=""),"",IF(COUNT(AI395:AM395)=0,"",AN395-LOOKUP(2,1/(AI395:AM395&lt;&gt;""),AI395:AM395)))</t>
        </is>
      </c>
      <c r="BB395" s="49" t="inlineStr">
        <is>
          <t>IF(OR(F395="",AO395=""),"",IF(COUNT(AI395:AN395)=0,"",AO395-LOOKUP(2,1/(AI395:AN395&lt;&gt;""),AI395:AN395)))</t>
        </is>
      </c>
      <c r="BC395" s="49" t="inlineStr">
        <is>
          <t>IF(OR(F395="",AP395=""),"",IF(COUNT(AI395:AO395)=0,"",AP395-LOOKUP(2,1/(AI395:AO395&lt;&gt;""),AI395:AO395)))</t>
        </is>
      </c>
      <c r="BD395" s="49" t="inlineStr">
        <is>
          <t>IF(OR(F395="",AQ395=""),"",IF(COUNT(AI395:AP395)=0,"",AQ395-LOOKUP(2,1/(AI395:AP395&lt;&gt;""),AI395:AP395)))</t>
        </is>
      </c>
      <c r="BE395" s="49" t="inlineStr">
        <is>
          <t>IF(OR(F395="",AR395=""),"",IF(COUNT(AI395:AQ395)=0,"",AR395-LOOKUP(2,1/(AI395:AQ395&lt;&gt;""),AI395:AQ395)))</t>
        </is>
      </c>
      <c r="BF395" s="49" t="inlineStr">
        <is>
          <t>IF(OR(F395="",AS395=""),"",IF(COUNT(AI395:AR395)=0,"",AS395-LOOKUP(2,1/(AI395:AR395&lt;&gt;""),AI395:AR395)))</t>
        </is>
      </c>
      <c r="BG395" s="49" t="inlineStr">
        <is>
          <t>IF(OR(F395="",AT395=""),"",IF(COUNT(AI395:AS395)=0,"",AT395-LOOKUP(2,1/(AI395:AS395&lt;&gt;""),AI395:AS395)))</t>
        </is>
      </c>
      <c r="BH395" s="49" t="inlineStr">
        <is>
          <t>IF(OR(F395="",AU395=""),"",IF(COUNT(AI395:AT395)=0,"",AU395-LOOKUP(2,1/(AI395:AT395&lt;&gt;""),AI395:AT395)))</t>
        </is>
      </c>
      <c r="BI395" s="49" t="inlineStr">
        <is>
          <t>IF(OR(F395="",AV395=""),"",IF(COUNT(AI395:AU395)=0,"",AV395-LOOKUP(2,1/(AI395:AU395&lt;&gt;""),AI395:AU395)))</t>
        </is>
      </c>
      <c r="BJ395" s="51" t="inlineStr">
        <is>
          <t>IF(J395="","All_Provinces",IFERROR(VLOOKUP(J395,'09_Lookups'!$A$4:$B$20,2,FALSE),"All_Provinces"))</t>
        </is>
      </c>
      <c r="BK395" s="51" t="inlineStr">
        <is>
          <t>IF(K395="","All_Districts",IFERROR(VLOOKUP(K395,'09_Lookups'!$E$4:$F$42,2,FALSE),"All_Districts"))</t>
        </is>
      </c>
    </row>
    <row r="396" ht="18" customHeight="1">
      <c r="A396" s="42" t="inlineStr">
        <is>
          <t>IF(F396="","",ROW()-3)</t>
        </is>
      </c>
      <c r="B396" s="52" t="n"/>
      <c r="C396" s="52" t="n"/>
      <c r="D396" s="52" t="n"/>
      <c r="E396" s="52" t="n"/>
      <c r="F396" s="52" t="n"/>
      <c r="G396" s="52" t="n"/>
      <c r="H396" s="52" t="n"/>
      <c r="I396" s="52" t="n"/>
      <c r="J396" s="52" t="n"/>
      <c r="K396" s="52" t="n"/>
      <c r="L396" s="52" t="n"/>
      <c r="M396" s="52" t="n"/>
      <c r="N396" s="52" t="n"/>
      <c r="O396" s="52" t="n"/>
      <c r="P396" s="52" t="n"/>
      <c r="Q396" s="52" t="n"/>
      <c r="R396" s="52" t="n"/>
      <c r="S396" s="53" t="n"/>
      <c r="T396" s="46" t="inlineStr">
        <is>
          <t>IF(AQ396="","",AQ396)</t>
        </is>
      </c>
      <c r="U396" s="54" t="n"/>
      <c r="V396" s="55" t="n"/>
      <c r="W396" s="54" t="n"/>
      <c r="X396" s="46" t="inlineStr">
        <is>
          <t>IF(W396&lt;&gt;"",W396,IF(OR(T396="",V396=""),"",EDATE(T396,V396)))</t>
        </is>
      </c>
      <c r="Y396" s="54" t="n"/>
      <c r="Z396" s="55" t="n"/>
      <c r="AA396" s="52" t="n"/>
      <c r="AB396" s="52" t="n"/>
      <c r="AC396" s="42" t="inlineStr">
        <is>
          <t>IF(F396="","",IF(COUNT(AI396:AV396)=0,IF(AA396="","Not started",AA396),SUBSTITUTE(LOOKUP(2,1/(AI396:AV396&lt;&gt;""),$AI$3:$AV$3),"Date: ","")))</t>
        </is>
      </c>
      <c r="AD396" s="49" t="inlineStr">
        <is>
          <t>IF(OR(F396="",COUNT(AI396:AV396)=0),"",TODAY()-LOOKUP(2,1/(AI396:AV396&lt;&gt;""),AI396:AV396))</t>
        </is>
      </c>
      <c r="AE396" s="49" t="inlineStr">
        <is>
          <t>IF(OR(F396="",COUNT(AI396:AV396)&lt;2),"",LOOKUP(2,1/(AI396:AV396&lt;&gt;""),AI396:AV396)-MIN(AI396:AV396))</t>
        </is>
      </c>
      <c r="AF396" s="49" t="inlineStr">
        <is>
          <t>IF(OR(AD396="",AC396="Not started",AC396=""),"",IFERROR(AD396-IF(VLOOKUP(AC396,'06_Status_Pipeline'!$B$3:$E$20,4,FALSE)="",0,VLOOKUP(AC396,'06_Status_Pipeline'!$B$3:$E$20,4,FALSE)),""))</t>
        </is>
      </c>
      <c r="AG396" s="42" t="inlineStr">
        <is>
          <t>IF(F396="","",IF(OR(AA396="Cancelled",AC396="Cancelled"),"Cancelled",IF(OR(AC396="Completed / Handover",Y396&lt;&gt;"",Z396&gt;=100),"Completed — on track",IF(O396="Not awarded",IF(U396="",IF(X396="","No planned date",IF(TODAY()&gt;X396,"Behind — past planned date",IF(X396-TODAY()&lt;=30,"At risk — close to off track","On track"))),IF(TODAY()&gt;U396,"Behind — award date passed",IF(U396-TODAY()&lt;=30,"At risk — close to off track","On track"))),IF(X396="","No planned date",IF(AND(TODAY()&gt;X396,OR(Z396="",Z396&lt;100)),"Behind — past end date",IF(AND(T396&lt;&gt;"",X396&lt;&gt;"",Z396&lt;&gt;"",(Z396&lt;100),((TODAY()-T396)/MAX(X396-T396,1)*100)-Z396&gt;15),"Behind — progress lag",IF(AND(X396-TODAY()&lt;=30,X396-TODAY()&gt;=0,OR(Z396="",Z396&lt;90)),"At risk — close to off track","On track"))))))))</t>
        </is>
      </c>
      <c r="AH396" s="49" t="inlineStr">
        <is>
          <t>IF(OR(F396="",AC396="Completed / Handover",AC396="Cancelled"),"",IF(O396="Not awarded",IF(U396&lt;&gt;"",U396-TODAY(),IF(X396="","",X396-TODAY())),IF(X396="","",X396-TODAY())))</t>
        </is>
      </c>
      <c r="AI396" s="54" t="n"/>
      <c r="AJ396" s="54" t="n"/>
      <c r="AK396" s="54" t="n"/>
      <c r="AL396" s="54" t="n"/>
      <c r="AM396" s="54" t="n"/>
      <c r="AN396" s="54" t="n"/>
      <c r="AO396" s="54" t="n"/>
      <c r="AP396" s="54" t="n"/>
      <c r="AQ396" s="54" t="n"/>
      <c r="AR396" s="54" t="n"/>
      <c r="AS396" s="54" t="n"/>
      <c r="AT396" s="50" t="n"/>
      <c r="AU396" s="50" t="n"/>
      <c r="AV396" s="50" t="n"/>
      <c r="AW396" s="49" t="inlineStr">
        <is>
          <t>IF(OR(F396="",AJ396=""),"",IF(COUNT(AI396:AI396)=0,"",AJ396-LOOKUP(2,1/(AI396:AI396&lt;&gt;""),AI396:AI396)))</t>
        </is>
      </c>
      <c r="AX396" s="49" t="inlineStr">
        <is>
          <t>IF(OR(F396="",AK396=""),"",IF(COUNT(AI396:AJ396)=0,"",AK396-LOOKUP(2,1/(AI396:AJ396&lt;&gt;""),AI396:AJ396)))</t>
        </is>
      </c>
      <c r="AY396" s="49" t="inlineStr">
        <is>
          <t>IF(OR(F396="",AL396=""),"",IF(COUNT(AI396:AK396)=0,"",AL396-LOOKUP(2,1/(AI396:AK396&lt;&gt;""),AI396:AK396)))</t>
        </is>
      </c>
      <c r="AZ396" s="49" t="inlineStr">
        <is>
          <t>IF(OR(F396="",AM396=""),"",IF(COUNT(AI396:AL396)=0,"",AM396-LOOKUP(2,1/(AI396:AL396&lt;&gt;""),AI396:AL396)))</t>
        </is>
      </c>
      <c r="BA396" s="49" t="inlineStr">
        <is>
          <t>IF(OR(F396="",AN396=""),"",IF(COUNT(AI396:AM396)=0,"",AN396-LOOKUP(2,1/(AI396:AM396&lt;&gt;""),AI396:AM396)))</t>
        </is>
      </c>
      <c r="BB396" s="49" t="inlineStr">
        <is>
          <t>IF(OR(F396="",AO396=""),"",IF(COUNT(AI396:AN396)=0,"",AO396-LOOKUP(2,1/(AI396:AN396&lt;&gt;""),AI396:AN396)))</t>
        </is>
      </c>
      <c r="BC396" s="49" t="inlineStr">
        <is>
          <t>IF(OR(F396="",AP396=""),"",IF(COUNT(AI396:AO396)=0,"",AP396-LOOKUP(2,1/(AI396:AO396&lt;&gt;""),AI396:AO396)))</t>
        </is>
      </c>
      <c r="BD396" s="49" t="inlineStr">
        <is>
          <t>IF(OR(F396="",AQ396=""),"",IF(COUNT(AI396:AP396)=0,"",AQ396-LOOKUP(2,1/(AI396:AP396&lt;&gt;""),AI396:AP396)))</t>
        </is>
      </c>
      <c r="BE396" s="49" t="inlineStr">
        <is>
          <t>IF(OR(F396="",AR396=""),"",IF(COUNT(AI396:AQ396)=0,"",AR396-LOOKUP(2,1/(AI396:AQ396&lt;&gt;""),AI396:AQ396)))</t>
        </is>
      </c>
      <c r="BF396" s="49" t="inlineStr">
        <is>
          <t>IF(OR(F396="",AS396=""),"",IF(COUNT(AI396:AR396)=0,"",AS396-LOOKUP(2,1/(AI396:AR396&lt;&gt;""),AI396:AR396)))</t>
        </is>
      </c>
      <c r="BG396" s="49" t="inlineStr">
        <is>
          <t>IF(OR(F396="",AT396=""),"",IF(COUNT(AI396:AS396)=0,"",AT396-LOOKUP(2,1/(AI396:AS396&lt;&gt;""),AI396:AS396)))</t>
        </is>
      </c>
      <c r="BH396" s="49" t="inlineStr">
        <is>
          <t>IF(OR(F396="",AU396=""),"",IF(COUNT(AI396:AT396)=0,"",AU396-LOOKUP(2,1/(AI396:AT396&lt;&gt;""),AI396:AT396)))</t>
        </is>
      </c>
      <c r="BI396" s="49" t="inlineStr">
        <is>
          <t>IF(OR(F396="",AV396=""),"",IF(COUNT(AI396:AU396)=0,"",AV396-LOOKUP(2,1/(AI396:AU396&lt;&gt;""),AI396:AU396)))</t>
        </is>
      </c>
      <c r="BJ396" s="51" t="inlineStr">
        <is>
          <t>IF(J396="","All_Provinces",IFERROR(VLOOKUP(J396,'09_Lookups'!$A$4:$B$20,2,FALSE),"All_Provinces"))</t>
        </is>
      </c>
      <c r="BK396" s="51" t="inlineStr">
        <is>
          <t>IF(K396="","All_Districts",IFERROR(VLOOKUP(K396,'09_Lookups'!$E$4:$F$42,2,FALSE),"All_Districts"))</t>
        </is>
      </c>
    </row>
    <row r="397" ht="18" customHeight="1">
      <c r="A397" s="42" t="inlineStr">
        <is>
          <t>IF(F397="","",ROW()-3)</t>
        </is>
      </c>
      <c r="B397" s="44" t="n"/>
      <c r="C397" s="44" t="n"/>
      <c r="D397" s="44" t="n"/>
      <c r="E397" s="44" t="n"/>
      <c r="F397" s="44" t="n"/>
      <c r="G397" s="44" t="n"/>
      <c r="H397" s="44" t="n"/>
      <c r="I397" s="44" t="n"/>
      <c r="J397" s="44" t="n"/>
      <c r="K397" s="44" t="n"/>
      <c r="L397" s="44" t="n"/>
      <c r="M397" s="44" t="n"/>
      <c r="N397" s="44" t="n"/>
      <c r="O397" s="44" t="n"/>
      <c r="P397" s="44" t="n"/>
      <c r="Q397" s="44" t="n"/>
      <c r="R397" s="44" t="n"/>
      <c r="S397" s="45" t="n"/>
      <c r="T397" s="46" t="inlineStr">
        <is>
          <t>IF(AQ397="","",AQ397)</t>
        </is>
      </c>
      <c r="U397" s="47" t="n"/>
      <c r="V397" s="48" t="n"/>
      <c r="W397" s="47" t="n"/>
      <c r="X397" s="46" t="inlineStr">
        <is>
          <t>IF(W397&lt;&gt;"",W397,IF(OR(T397="",V397=""),"",EDATE(T397,V397)))</t>
        </is>
      </c>
      <c r="Y397" s="47" t="n"/>
      <c r="Z397" s="48" t="n"/>
      <c r="AA397" s="44" t="n"/>
      <c r="AB397" s="44" t="n"/>
      <c r="AC397" s="42" t="inlineStr">
        <is>
          <t>IF(F397="","",IF(COUNT(AI397:AV397)=0,IF(AA397="","Not started",AA397),SUBSTITUTE(LOOKUP(2,1/(AI397:AV397&lt;&gt;""),$AI$3:$AV$3),"Date: ","")))</t>
        </is>
      </c>
      <c r="AD397" s="49" t="inlineStr">
        <is>
          <t>IF(OR(F397="",COUNT(AI397:AV397)=0),"",TODAY()-LOOKUP(2,1/(AI397:AV397&lt;&gt;""),AI397:AV397))</t>
        </is>
      </c>
      <c r="AE397" s="49" t="inlineStr">
        <is>
          <t>IF(OR(F397="",COUNT(AI397:AV397)&lt;2),"",LOOKUP(2,1/(AI397:AV397&lt;&gt;""),AI397:AV397)-MIN(AI397:AV397))</t>
        </is>
      </c>
      <c r="AF397" s="49" t="inlineStr">
        <is>
          <t>IF(OR(AD397="",AC397="Not started",AC397=""),"",IFERROR(AD397-IF(VLOOKUP(AC397,'06_Status_Pipeline'!$B$3:$E$20,4,FALSE)="",0,VLOOKUP(AC397,'06_Status_Pipeline'!$B$3:$E$20,4,FALSE)),""))</t>
        </is>
      </c>
      <c r="AG397" s="42" t="inlineStr">
        <is>
          <t>IF(F397="","",IF(OR(AA397="Cancelled",AC397="Cancelled"),"Cancelled",IF(OR(AC397="Completed / Handover",Y397&lt;&gt;"",Z397&gt;=100),"Completed — on track",IF(O397="Not awarded",IF(U397="",IF(X397="","No planned date",IF(TODAY()&gt;X397,"Behind — past planned date",IF(X397-TODAY()&lt;=30,"At risk — close to off track","On track"))),IF(TODAY()&gt;U397,"Behind — award date passed",IF(U397-TODAY()&lt;=30,"At risk — close to off track","On track"))),IF(X397="","No planned date",IF(AND(TODAY()&gt;X397,OR(Z397="",Z397&lt;100)),"Behind — past end date",IF(AND(T397&lt;&gt;"",X397&lt;&gt;"",Z397&lt;&gt;"",(Z397&lt;100),((TODAY()-T397)/MAX(X397-T397,1)*100)-Z397&gt;15),"Behind — progress lag",IF(AND(X397-TODAY()&lt;=30,X397-TODAY()&gt;=0,OR(Z397="",Z397&lt;90)),"At risk — close to off track","On track"))))))))</t>
        </is>
      </c>
      <c r="AH397" s="49" t="inlineStr">
        <is>
          <t>IF(OR(F397="",AC397="Completed / Handover",AC397="Cancelled"),"",IF(O397="Not awarded",IF(U397&lt;&gt;"",U397-TODAY(),IF(X397="","",X397-TODAY())),IF(X397="","",X397-TODAY())))</t>
        </is>
      </c>
      <c r="AI397" s="47" t="n"/>
      <c r="AJ397" s="47" t="n"/>
      <c r="AK397" s="47" t="n"/>
      <c r="AL397" s="47" t="n"/>
      <c r="AM397" s="47" t="n"/>
      <c r="AN397" s="47" t="n"/>
      <c r="AO397" s="47" t="n"/>
      <c r="AP397" s="47" t="n"/>
      <c r="AQ397" s="47" t="n"/>
      <c r="AR397" s="47" t="n"/>
      <c r="AS397" s="47" t="n"/>
      <c r="AT397" s="50" t="n"/>
      <c r="AU397" s="50" t="n"/>
      <c r="AV397" s="50" t="n"/>
      <c r="AW397" s="49" t="inlineStr">
        <is>
          <t>IF(OR(F397="",AJ397=""),"",IF(COUNT(AI397:AI397)=0,"",AJ397-LOOKUP(2,1/(AI397:AI397&lt;&gt;""),AI397:AI397)))</t>
        </is>
      </c>
      <c r="AX397" s="49" t="inlineStr">
        <is>
          <t>IF(OR(F397="",AK397=""),"",IF(COUNT(AI397:AJ397)=0,"",AK397-LOOKUP(2,1/(AI397:AJ397&lt;&gt;""),AI397:AJ397)))</t>
        </is>
      </c>
      <c r="AY397" s="49" t="inlineStr">
        <is>
          <t>IF(OR(F397="",AL397=""),"",IF(COUNT(AI397:AK397)=0,"",AL397-LOOKUP(2,1/(AI397:AK397&lt;&gt;""),AI397:AK397)))</t>
        </is>
      </c>
      <c r="AZ397" s="49" t="inlineStr">
        <is>
          <t>IF(OR(F397="",AM397=""),"",IF(COUNT(AI397:AL397)=0,"",AM397-LOOKUP(2,1/(AI397:AL397&lt;&gt;""),AI397:AL397)))</t>
        </is>
      </c>
      <c r="BA397" s="49" t="inlineStr">
        <is>
          <t>IF(OR(F397="",AN397=""),"",IF(COUNT(AI397:AM397)=0,"",AN397-LOOKUP(2,1/(AI397:AM397&lt;&gt;""),AI397:AM397)))</t>
        </is>
      </c>
      <c r="BB397" s="49" t="inlineStr">
        <is>
          <t>IF(OR(F397="",AO397=""),"",IF(COUNT(AI397:AN397)=0,"",AO397-LOOKUP(2,1/(AI397:AN397&lt;&gt;""),AI397:AN397)))</t>
        </is>
      </c>
      <c r="BC397" s="49" t="inlineStr">
        <is>
          <t>IF(OR(F397="",AP397=""),"",IF(COUNT(AI397:AO397)=0,"",AP397-LOOKUP(2,1/(AI397:AO397&lt;&gt;""),AI397:AO397)))</t>
        </is>
      </c>
      <c r="BD397" s="49" t="inlineStr">
        <is>
          <t>IF(OR(F397="",AQ397=""),"",IF(COUNT(AI397:AP397)=0,"",AQ397-LOOKUP(2,1/(AI397:AP397&lt;&gt;""),AI397:AP397)))</t>
        </is>
      </c>
      <c r="BE397" s="49" t="inlineStr">
        <is>
          <t>IF(OR(F397="",AR397=""),"",IF(COUNT(AI397:AQ397)=0,"",AR397-LOOKUP(2,1/(AI397:AQ397&lt;&gt;""),AI397:AQ397)))</t>
        </is>
      </c>
      <c r="BF397" s="49" t="inlineStr">
        <is>
          <t>IF(OR(F397="",AS397=""),"",IF(COUNT(AI397:AR397)=0,"",AS397-LOOKUP(2,1/(AI397:AR397&lt;&gt;""),AI397:AR397)))</t>
        </is>
      </c>
      <c r="BG397" s="49" t="inlineStr">
        <is>
          <t>IF(OR(F397="",AT397=""),"",IF(COUNT(AI397:AS397)=0,"",AT397-LOOKUP(2,1/(AI397:AS397&lt;&gt;""),AI397:AS397)))</t>
        </is>
      </c>
      <c r="BH397" s="49" t="inlineStr">
        <is>
          <t>IF(OR(F397="",AU397=""),"",IF(COUNT(AI397:AT397)=0,"",AU397-LOOKUP(2,1/(AI397:AT397&lt;&gt;""),AI397:AT397)))</t>
        </is>
      </c>
      <c r="BI397" s="49" t="inlineStr">
        <is>
          <t>IF(OR(F397="",AV397=""),"",IF(COUNT(AI397:AU397)=0,"",AV397-LOOKUP(2,1/(AI397:AU397&lt;&gt;""),AI397:AU397)))</t>
        </is>
      </c>
      <c r="BJ397" s="51" t="inlineStr">
        <is>
          <t>IF(J397="","All_Provinces",IFERROR(VLOOKUP(J397,'09_Lookups'!$A$4:$B$20,2,FALSE),"All_Provinces"))</t>
        </is>
      </c>
      <c r="BK397" s="51" t="inlineStr">
        <is>
          <t>IF(K397="","All_Districts",IFERROR(VLOOKUP(K397,'09_Lookups'!$E$4:$F$42,2,FALSE),"All_Districts"))</t>
        </is>
      </c>
    </row>
    <row r="398" ht="18" customHeight="1">
      <c r="A398" s="42" t="inlineStr">
        <is>
          <t>IF(F398="","",ROW()-3)</t>
        </is>
      </c>
      <c r="B398" s="52" t="n"/>
      <c r="C398" s="52" t="n"/>
      <c r="D398" s="52" t="n"/>
      <c r="E398" s="52" t="n"/>
      <c r="F398" s="52" t="n"/>
      <c r="G398" s="52" t="n"/>
      <c r="H398" s="52" t="n"/>
      <c r="I398" s="52" t="n"/>
      <c r="J398" s="52" t="n"/>
      <c r="K398" s="52" t="n"/>
      <c r="L398" s="52" t="n"/>
      <c r="M398" s="52" t="n"/>
      <c r="N398" s="52" t="n"/>
      <c r="O398" s="52" t="n"/>
      <c r="P398" s="52" t="n"/>
      <c r="Q398" s="52" t="n"/>
      <c r="R398" s="52" t="n"/>
      <c r="S398" s="53" t="n"/>
      <c r="T398" s="46" t="inlineStr">
        <is>
          <t>IF(AQ398="","",AQ398)</t>
        </is>
      </c>
      <c r="U398" s="54" t="n"/>
      <c r="V398" s="55" t="n"/>
      <c r="W398" s="54" t="n"/>
      <c r="X398" s="46" t="inlineStr">
        <is>
          <t>IF(W398&lt;&gt;"",W398,IF(OR(T398="",V398=""),"",EDATE(T398,V398)))</t>
        </is>
      </c>
      <c r="Y398" s="54" t="n"/>
      <c r="Z398" s="55" t="n"/>
      <c r="AA398" s="52" t="n"/>
      <c r="AB398" s="52" t="n"/>
      <c r="AC398" s="42" t="inlineStr">
        <is>
          <t>IF(F398="","",IF(COUNT(AI398:AV398)=0,IF(AA398="","Not started",AA398),SUBSTITUTE(LOOKUP(2,1/(AI398:AV398&lt;&gt;""),$AI$3:$AV$3),"Date: ","")))</t>
        </is>
      </c>
      <c r="AD398" s="49" t="inlineStr">
        <is>
          <t>IF(OR(F398="",COUNT(AI398:AV398)=0),"",TODAY()-LOOKUP(2,1/(AI398:AV398&lt;&gt;""),AI398:AV398))</t>
        </is>
      </c>
      <c r="AE398" s="49" t="inlineStr">
        <is>
          <t>IF(OR(F398="",COUNT(AI398:AV398)&lt;2),"",LOOKUP(2,1/(AI398:AV398&lt;&gt;""),AI398:AV398)-MIN(AI398:AV398))</t>
        </is>
      </c>
      <c r="AF398" s="49" t="inlineStr">
        <is>
          <t>IF(OR(AD398="",AC398="Not started",AC398=""),"",IFERROR(AD398-IF(VLOOKUP(AC398,'06_Status_Pipeline'!$B$3:$E$20,4,FALSE)="",0,VLOOKUP(AC398,'06_Status_Pipeline'!$B$3:$E$20,4,FALSE)),""))</t>
        </is>
      </c>
      <c r="AG398" s="42" t="inlineStr">
        <is>
          <t>IF(F398="","",IF(OR(AA398="Cancelled",AC398="Cancelled"),"Cancelled",IF(OR(AC398="Completed / Handover",Y398&lt;&gt;"",Z398&gt;=100),"Completed — on track",IF(O398="Not awarded",IF(U398="",IF(X398="","No planned date",IF(TODAY()&gt;X398,"Behind — past planned date",IF(X398-TODAY()&lt;=30,"At risk — close to off track","On track"))),IF(TODAY()&gt;U398,"Behind — award date passed",IF(U398-TODAY()&lt;=30,"At risk — close to off track","On track"))),IF(X398="","No planned date",IF(AND(TODAY()&gt;X398,OR(Z398="",Z398&lt;100)),"Behind — past end date",IF(AND(T398&lt;&gt;"",X398&lt;&gt;"",Z398&lt;&gt;"",(Z398&lt;100),((TODAY()-T398)/MAX(X398-T398,1)*100)-Z398&gt;15),"Behind — progress lag",IF(AND(X398-TODAY()&lt;=30,X398-TODAY()&gt;=0,OR(Z398="",Z398&lt;90)),"At risk — close to off track","On track"))))))))</t>
        </is>
      </c>
      <c r="AH398" s="49" t="inlineStr">
        <is>
          <t>IF(OR(F398="",AC398="Completed / Handover",AC398="Cancelled"),"",IF(O398="Not awarded",IF(U398&lt;&gt;"",U398-TODAY(),IF(X398="","",X398-TODAY())),IF(X398="","",X398-TODAY())))</t>
        </is>
      </c>
      <c r="AI398" s="54" t="n"/>
      <c r="AJ398" s="54" t="n"/>
      <c r="AK398" s="54" t="n"/>
      <c r="AL398" s="54" t="n"/>
      <c r="AM398" s="54" t="n"/>
      <c r="AN398" s="54" t="n"/>
      <c r="AO398" s="54" t="n"/>
      <c r="AP398" s="54" t="n"/>
      <c r="AQ398" s="54" t="n"/>
      <c r="AR398" s="54" t="n"/>
      <c r="AS398" s="54" t="n"/>
      <c r="AT398" s="50" t="n"/>
      <c r="AU398" s="50" t="n"/>
      <c r="AV398" s="50" t="n"/>
      <c r="AW398" s="49" t="inlineStr">
        <is>
          <t>IF(OR(F398="",AJ398=""),"",IF(COUNT(AI398:AI398)=0,"",AJ398-LOOKUP(2,1/(AI398:AI398&lt;&gt;""),AI398:AI398)))</t>
        </is>
      </c>
      <c r="AX398" s="49" t="inlineStr">
        <is>
          <t>IF(OR(F398="",AK398=""),"",IF(COUNT(AI398:AJ398)=0,"",AK398-LOOKUP(2,1/(AI398:AJ398&lt;&gt;""),AI398:AJ398)))</t>
        </is>
      </c>
      <c r="AY398" s="49" t="inlineStr">
        <is>
          <t>IF(OR(F398="",AL398=""),"",IF(COUNT(AI398:AK398)=0,"",AL398-LOOKUP(2,1/(AI398:AK398&lt;&gt;""),AI398:AK398)))</t>
        </is>
      </c>
      <c r="AZ398" s="49" t="inlineStr">
        <is>
          <t>IF(OR(F398="",AM398=""),"",IF(COUNT(AI398:AL398)=0,"",AM398-LOOKUP(2,1/(AI398:AL398&lt;&gt;""),AI398:AL398)))</t>
        </is>
      </c>
      <c r="BA398" s="49" t="inlineStr">
        <is>
          <t>IF(OR(F398="",AN398=""),"",IF(COUNT(AI398:AM398)=0,"",AN398-LOOKUP(2,1/(AI398:AM398&lt;&gt;""),AI398:AM398)))</t>
        </is>
      </c>
      <c r="BB398" s="49" t="inlineStr">
        <is>
          <t>IF(OR(F398="",AO398=""),"",IF(COUNT(AI398:AN398)=0,"",AO398-LOOKUP(2,1/(AI398:AN398&lt;&gt;""),AI398:AN398)))</t>
        </is>
      </c>
      <c r="BC398" s="49" t="inlineStr">
        <is>
          <t>IF(OR(F398="",AP398=""),"",IF(COUNT(AI398:AO398)=0,"",AP398-LOOKUP(2,1/(AI398:AO398&lt;&gt;""),AI398:AO398)))</t>
        </is>
      </c>
      <c r="BD398" s="49" t="inlineStr">
        <is>
          <t>IF(OR(F398="",AQ398=""),"",IF(COUNT(AI398:AP398)=0,"",AQ398-LOOKUP(2,1/(AI398:AP398&lt;&gt;""),AI398:AP398)))</t>
        </is>
      </c>
      <c r="BE398" s="49" t="inlineStr">
        <is>
          <t>IF(OR(F398="",AR398=""),"",IF(COUNT(AI398:AQ398)=0,"",AR398-LOOKUP(2,1/(AI398:AQ398&lt;&gt;""),AI398:AQ398)))</t>
        </is>
      </c>
      <c r="BF398" s="49" t="inlineStr">
        <is>
          <t>IF(OR(F398="",AS398=""),"",IF(COUNT(AI398:AR398)=0,"",AS398-LOOKUP(2,1/(AI398:AR398&lt;&gt;""),AI398:AR398)))</t>
        </is>
      </c>
      <c r="BG398" s="49" t="inlineStr">
        <is>
          <t>IF(OR(F398="",AT398=""),"",IF(COUNT(AI398:AS398)=0,"",AT398-LOOKUP(2,1/(AI398:AS398&lt;&gt;""),AI398:AS398)))</t>
        </is>
      </c>
      <c r="BH398" s="49" t="inlineStr">
        <is>
          <t>IF(OR(F398="",AU398=""),"",IF(COUNT(AI398:AT398)=0,"",AU398-LOOKUP(2,1/(AI398:AT398&lt;&gt;""),AI398:AT398)))</t>
        </is>
      </c>
      <c r="BI398" s="49" t="inlineStr">
        <is>
          <t>IF(OR(F398="",AV398=""),"",IF(COUNT(AI398:AU398)=0,"",AV398-LOOKUP(2,1/(AI398:AU398&lt;&gt;""),AI398:AU398)))</t>
        </is>
      </c>
      <c r="BJ398" s="51" t="inlineStr">
        <is>
          <t>IF(J398="","All_Provinces",IFERROR(VLOOKUP(J398,'09_Lookups'!$A$4:$B$20,2,FALSE),"All_Provinces"))</t>
        </is>
      </c>
      <c r="BK398" s="51" t="inlineStr">
        <is>
          <t>IF(K398="","All_Districts",IFERROR(VLOOKUP(K398,'09_Lookups'!$E$4:$F$42,2,FALSE),"All_Districts"))</t>
        </is>
      </c>
    </row>
    <row r="399" ht="18" customHeight="1">
      <c r="A399" s="42" t="inlineStr">
        <is>
          <t>IF(F399="","",ROW()-3)</t>
        </is>
      </c>
      <c r="B399" s="44" t="n"/>
      <c r="C399" s="44" t="n"/>
      <c r="D399" s="44" t="n"/>
      <c r="E399" s="44" t="n"/>
      <c r="F399" s="44" t="n"/>
      <c r="G399" s="44" t="n"/>
      <c r="H399" s="44" t="n"/>
      <c r="I399" s="44" t="n"/>
      <c r="J399" s="44" t="n"/>
      <c r="K399" s="44" t="n"/>
      <c r="L399" s="44" t="n"/>
      <c r="M399" s="44" t="n"/>
      <c r="N399" s="44" t="n"/>
      <c r="O399" s="44" t="n"/>
      <c r="P399" s="44" t="n"/>
      <c r="Q399" s="44" t="n"/>
      <c r="R399" s="44" t="n"/>
      <c r="S399" s="45" t="n"/>
      <c r="T399" s="46" t="inlineStr">
        <is>
          <t>IF(AQ399="","",AQ399)</t>
        </is>
      </c>
      <c r="U399" s="47" t="n"/>
      <c r="V399" s="48" t="n"/>
      <c r="W399" s="47" t="n"/>
      <c r="X399" s="46" t="inlineStr">
        <is>
          <t>IF(W399&lt;&gt;"",W399,IF(OR(T399="",V399=""),"",EDATE(T399,V399)))</t>
        </is>
      </c>
      <c r="Y399" s="47" t="n"/>
      <c r="Z399" s="48" t="n"/>
      <c r="AA399" s="44" t="n"/>
      <c r="AB399" s="44" t="n"/>
      <c r="AC399" s="42" t="inlineStr">
        <is>
          <t>IF(F399="","",IF(COUNT(AI399:AV399)=0,IF(AA399="","Not started",AA399),SUBSTITUTE(LOOKUP(2,1/(AI399:AV399&lt;&gt;""),$AI$3:$AV$3),"Date: ","")))</t>
        </is>
      </c>
      <c r="AD399" s="49" t="inlineStr">
        <is>
          <t>IF(OR(F399="",COUNT(AI399:AV399)=0),"",TODAY()-LOOKUP(2,1/(AI399:AV399&lt;&gt;""),AI399:AV399))</t>
        </is>
      </c>
      <c r="AE399" s="49" t="inlineStr">
        <is>
          <t>IF(OR(F399="",COUNT(AI399:AV399)&lt;2),"",LOOKUP(2,1/(AI399:AV399&lt;&gt;""),AI399:AV399)-MIN(AI399:AV399))</t>
        </is>
      </c>
      <c r="AF399" s="49" t="inlineStr">
        <is>
          <t>IF(OR(AD399="",AC399="Not started",AC399=""),"",IFERROR(AD399-IF(VLOOKUP(AC399,'06_Status_Pipeline'!$B$3:$E$20,4,FALSE)="",0,VLOOKUP(AC399,'06_Status_Pipeline'!$B$3:$E$20,4,FALSE)),""))</t>
        </is>
      </c>
      <c r="AG399" s="42" t="inlineStr">
        <is>
          <t>IF(F399="","",IF(OR(AA399="Cancelled",AC399="Cancelled"),"Cancelled",IF(OR(AC399="Completed / Handover",Y399&lt;&gt;"",Z399&gt;=100),"Completed — on track",IF(O399="Not awarded",IF(U399="",IF(X399="","No planned date",IF(TODAY()&gt;X399,"Behind — past planned date",IF(X399-TODAY()&lt;=30,"At risk — close to off track","On track"))),IF(TODAY()&gt;U399,"Behind — award date passed",IF(U399-TODAY()&lt;=30,"At risk — close to off track","On track"))),IF(X399="","No planned date",IF(AND(TODAY()&gt;X399,OR(Z399="",Z399&lt;100)),"Behind — past end date",IF(AND(T399&lt;&gt;"",X399&lt;&gt;"",Z399&lt;&gt;"",(Z399&lt;100),((TODAY()-T399)/MAX(X399-T399,1)*100)-Z399&gt;15),"Behind — progress lag",IF(AND(X399-TODAY()&lt;=30,X399-TODAY()&gt;=0,OR(Z399="",Z399&lt;90)),"At risk — close to off track","On track"))))))))</t>
        </is>
      </c>
      <c r="AH399" s="49" t="inlineStr">
        <is>
          <t>IF(OR(F399="",AC399="Completed / Handover",AC399="Cancelled"),"",IF(O399="Not awarded",IF(U399&lt;&gt;"",U399-TODAY(),IF(X399="","",X399-TODAY())),IF(X399="","",X399-TODAY())))</t>
        </is>
      </c>
      <c r="AI399" s="47" t="n"/>
      <c r="AJ399" s="47" t="n"/>
      <c r="AK399" s="47" t="n"/>
      <c r="AL399" s="47" t="n"/>
      <c r="AM399" s="47" t="n"/>
      <c r="AN399" s="47" t="n"/>
      <c r="AO399" s="47" t="n"/>
      <c r="AP399" s="47" t="n"/>
      <c r="AQ399" s="47" t="n"/>
      <c r="AR399" s="47" t="n"/>
      <c r="AS399" s="47" t="n"/>
      <c r="AT399" s="50" t="n"/>
      <c r="AU399" s="50" t="n"/>
      <c r="AV399" s="50" t="n"/>
      <c r="AW399" s="49" t="inlineStr">
        <is>
          <t>IF(OR(F399="",AJ399=""),"",IF(COUNT(AI399:AI399)=0,"",AJ399-LOOKUP(2,1/(AI399:AI399&lt;&gt;""),AI399:AI399)))</t>
        </is>
      </c>
      <c r="AX399" s="49" t="inlineStr">
        <is>
          <t>IF(OR(F399="",AK399=""),"",IF(COUNT(AI399:AJ399)=0,"",AK399-LOOKUP(2,1/(AI399:AJ399&lt;&gt;""),AI399:AJ399)))</t>
        </is>
      </c>
      <c r="AY399" s="49" t="inlineStr">
        <is>
          <t>IF(OR(F399="",AL399=""),"",IF(COUNT(AI399:AK399)=0,"",AL399-LOOKUP(2,1/(AI399:AK399&lt;&gt;""),AI399:AK399)))</t>
        </is>
      </c>
      <c r="AZ399" s="49" t="inlineStr">
        <is>
          <t>IF(OR(F399="",AM399=""),"",IF(COUNT(AI399:AL399)=0,"",AM399-LOOKUP(2,1/(AI399:AL399&lt;&gt;""),AI399:AL399)))</t>
        </is>
      </c>
      <c r="BA399" s="49" t="inlineStr">
        <is>
          <t>IF(OR(F399="",AN399=""),"",IF(COUNT(AI399:AM399)=0,"",AN399-LOOKUP(2,1/(AI399:AM399&lt;&gt;""),AI399:AM399)))</t>
        </is>
      </c>
      <c r="BB399" s="49" t="inlineStr">
        <is>
          <t>IF(OR(F399="",AO399=""),"",IF(COUNT(AI399:AN399)=0,"",AO399-LOOKUP(2,1/(AI399:AN399&lt;&gt;""),AI399:AN399)))</t>
        </is>
      </c>
      <c r="BC399" s="49" t="inlineStr">
        <is>
          <t>IF(OR(F399="",AP399=""),"",IF(COUNT(AI399:AO399)=0,"",AP399-LOOKUP(2,1/(AI399:AO399&lt;&gt;""),AI399:AO399)))</t>
        </is>
      </c>
      <c r="BD399" s="49" t="inlineStr">
        <is>
          <t>IF(OR(F399="",AQ399=""),"",IF(COUNT(AI399:AP399)=0,"",AQ399-LOOKUP(2,1/(AI399:AP399&lt;&gt;""),AI399:AP399)))</t>
        </is>
      </c>
      <c r="BE399" s="49" t="inlineStr">
        <is>
          <t>IF(OR(F399="",AR399=""),"",IF(COUNT(AI399:AQ399)=0,"",AR399-LOOKUP(2,1/(AI399:AQ399&lt;&gt;""),AI399:AQ399)))</t>
        </is>
      </c>
      <c r="BF399" s="49" t="inlineStr">
        <is>
          <t>IF(OR(F399="",AS399=""),"",IF(COUNT(AI399:AR399)=0,"",AS399-LOOKUP(2,1/(AI399:AR399&lt;&gt;""),AI399:AR399)))</t>
        </is>
      </c>
      <c r="BG399" s="49" t="inlineStr">
        <is>
          <t>IF(OR(F399="",AT399=""),"",IF(COUNT(AI399:AS399)=0,"",AT399-LOOKUP(2,1/(AI399:AS399&lt;&gt;""),AI399:AS399)))</t>
        </is>
      </c>
      <c r="BH399" s="49" t="inlineStr">
        <is>
          <t>IF(OR(F399="",AU399=""),"",IF(COUNT(AI399:AT399)=0,"",AU399-LOOKUP(2,1/(AI399:AT399&lt;&gt;""),AI399:AT399)))</t>
        </is>
      </c>
      <c r="BI399" s="49" t="inlineStr">
        <is>
          <t>IF(OR(F399="",AV399=""),"",IF(COUNT(AI399:AU399)=0,"",AV399-LOOKUP(2,1/(AI399:AU399&lt;&gt;""),AI399:AU399)))</t>
        </is>
      </c>
      <c r="BJ399" s="51" t="inlineStr">
        <is>
          <t>IF(J399="","All_Provinces",IFERROR(VLOOKUP(J399,'09_Lookups'!$A$4:$B$20,2,FALSE),"All_Provinces"))</t>
        </is>
      </c>
      <c r="BK399" s="51" t="inlineStr">
        <is>
          <t>IF(K399="","All_Districts",IFERROR(VLOOKUP(K399,'09_Lookups'!$E$4:$F$42,2,FALSE),"All_Districts"))</t>
        </is>
      </c>
    </row>
    <row r="400" ht="18" customHeight="1">
      <c r="A400" s="42" t="inlineStr">
        <is>
          <t>IF(F400="","",ROW()-3)</t>
        </is>
      </c>
      <c r="B400" s="52" t="n"/>
      <c r="C400" s="52" t="n"/>
      <c r="D400" s="52" t="n"/>
      <c r="E400" s="52" t="n"/>
      <c r="F400" s="52" t="n"/>
      <c r="G400" s="52" t="n"/>
      <c r="H400" s="52" t="n"/>
      <c r="I400" s="52" t="n"/>
      <c r="J400" s="52" t="n"/>
      <c r="K400" s="52" t="n"/>
      <c r="L400" s="52" t="n"/>
      <c r="M400" s="52" t="n"/>
      <c r="N400" s="52" t="n"/>
      <c r="O400" s="52" t="n"/>
      <c r="P400" s="52" t="n"/>
      <c r="Q400" s="52" t="n"/>
      <c r="R400" s="52" t="n"/>
      <c r="S400" s="53" t="n"/>
      <c r="T400" s="46" t="inlineStr">
        <is>
          <t>IF(AQ400="","",AQ400)</t>
        </is>
      </c>
      <c r="U400" s="54" t="n"/>
      <c r="V400" s="55" t="n"/>
      <c r="W400" s="54" t="n"/>
      <c r="X400" s="46" t="inlineStr">
        <is>
          <t>IF(W400&lt;&gt;"",W400,IF(OR(T400="",V400=""),"",EDATE(T400,V400)))</t>
        </is>
      </c>
      <c r="Y400" s="54" t="n"/>
      <c r="Z400" s="55" t="n"/>
      <c r="AA400" s="52" t="n"/>
      <c r="AB400" s="52" t="n"/>
      <c r="AC400" s="42" t="inlineStr">
        <is>
          <t>IF(F400="","",IF(COUNT(AI400:AV400)=0,IF(AA400="","Not started",AA400),SUBSTITUTE(LOOKUP(2,1/(AI400:AV400&lt;&gt;""),$AI$3:$AV$3),"Date: ","")))</t>
        </is>
      </c>
      <c r="AD400" s="49" t="inlineStr">
        <is>
          <t>IF(OR(F400="",COUNT(AI400:AV400)=0),"",TODAY()-LOOKUP(2,1/(AI400:AV400&lt;&gt;""),AI400:AV400))</t>
        </is>
      </c>
      <c r="AE400" s="49" t="inlineStr">
        <is>
          <t>IF(OR(F400="",COUNT(AI400:AV400)&lt;2),"",LOOKUP(2,1/(AI400:AV400&lt;&gt;""),AI400:AV400)-MIN(AI400:AV400))</t>
        </is>
      </c>
      <c r="AF400" s="49" t="inlineStr">
        <is>
          <t>IF(OR(AD400="",AC400="Not started",AC400=""),"",IFERROR(AD400-IF(VLOOKUP(AC400,'06_Status_Pipeline'!$B$3:$E$20,4,FALSE)="",0,VLOOKUP(AC400,'06_Status_Pipeline'!$B$3:$E$20,4,FALSE)),""))</t>
        </is>
      </c>
      <c r="AG400" s="42" t="inlineStr">
        <is>
          <t>IF(F400="","",IF(OR(AA400="Cancelled",AC400="Cancelled"),"Cancelled",IF(OR(AC400="Completed / Handover",Y400&lt;&gt;"",Z400&gt;=100),"Completed — on track",IF(O400="Not awarded",IF(U400="",IF(X400="","No planned date",IF(TODAY()&gt;X400,"Behind — past planned date",IF(X400-TODAY()&lt;=30,"At risk — close to off track","On track"))),IF(TODAY()&gt;U400,"Behind — award date passed",IF(U400-TODAY()&lt;=30,"At risk — close to off track","On track"))),IF(X400="","No planned date",IF(AND(TODAY()&gt;X400,OR(Z400="",Z400&lt;100)),"Behind — past end date",IF(AND(T400&lt;&gt;"",X400&lt;&gt;"",Z400&lt;&gt;"",(Z400&lt;100),((TODAY()-T400)/MAX(X400-T400,1)*100)-Z400&gt;15),"Behind — progress lag",IF(AND(X400-TODAY()&lt;=30,X400-TODAY()&gt;=0,OR(Z400="",Z400&lt;90)),"At risk — close to off track","On track"))))))))</t>
        </is>
      </c>
      <c r="AH400" s="49" t="inlineStr">
        <is>
          <t>IF(OR(F400="",AC400="Completed / Handover",AC400="Cancelled"),"",IF(O400="Not awarded",IF(U400&lt;&gt;"",U400-TODAY(),IF(X400="","",X400-TODAY())),IF(X400="","",X400-TODAY())))</t>
        </is>
      </c>
      <c r="AI400" s="54" t="n"/>
      <c r="AJ400" s="54" t="n"/>
      <c r="AK400" s="54" t="n"/>
      <c r="AL400" s="54" t="n"/>
      <c r="AM400" s="54" t="n"/>
      <c r="AN400" s="54" t="n"/>
      <c r="AO400" s="54" t="n"/>
      <c r="AP400" s="54" t="n"/>
      <c r="AQ400" s="54" t="n"/>
      <c r="AR400" s="54" t="n"/>
      <c r="AS400" s="54" t="n"/>
      <c r="AT400" s="50" t="n"/>
      <c r="AU400" s="50" t="n"/>
      <c r="AV400" s="50" t="n"/>
      <c r="AW400" s="49" t="inlineStr">
        <is>
          <t>IF(OR(F400="",AJ400=""),"",IF(COUNT(AI400:AI400)=0,"",AJ400-LOOKUP(2,1/(AI400:AI400&lt;&gt;""),AI400:AI400)))</t>
        </is>
      </c>
      <c r="AX400" s="49" t="inlineStr">
        <is>
          <t>IF(OR(F400="",AK400=""),"",IF(COUNT(AI400:AJ400)=0,"",AK400-LOOKUP(2,1/(AI400:AJ400&lt;&gt;""),AI400:AJ400)))</t>
        </is>
      </c>
      <c r="AY400" s="49" t="inlineStr">
        <is>
          <t>IF(OR(F400="",AL400=""),"",IF(COUNT(AI400:AK400)=0,"",AL400-LOOKUP(2,1/(AI400:AK400&lt;&gt;""),AI400:AK400)))</t>
        </is>
      </c>
      <c r="AZ400" s="49" t="inlineStr">
        <is>
          <t>IF(OR(F400="",AM400=""),"",IF(COUNT(AI400:AL400)=0,"",AM400-LOOKUP(2,1/(AI400:AL400&lt;&gt;""),AI400:AL400)))</t>
        </is>
      </c>
      <c r="BA400" s="49" t="inlineStr">
        <is>
          <t>IF(OR(F400="",AN400=""),"",IF(COUNT(AI400:AM400)=0,"",AN400-LOOKUP(2,1/(AI400:AM400&lt;&gt;""),AI400:AM400)))</t>
        </is>
      </c>
      <c r="BB400" s="49" t="inlineStr">
        <is>
          <t>IF(OR(F400="",AO400=""),"",IF(COUNT(AI400:AN400)=0,"",AO400-LOOKUP(2,1/(AI400:AN400&lt;&gt;""),AI400:AN400)))</t>
        </is>
      </c>
      <c r="BC400" s="49" t="inlineStr">
        <is>
          <t>IF(OR(F400="",AP400=""),"",IF(COUNT(AI400:AO400)=0,"",AP400-LOOKUP(2,1/(AI400:AO400&lt;&gt;""),AI400:AO400)))</t>
        </is>
      </c>
      <c r="BD400" s="49" t="inlineStr">
        <is>
          <t>IF(OR(F400="",AQ400=""),"",IF(COUNT(AI400:AP400)=0,"",AQ400-LOOKUP(2,1/(AI400:AP400&lt;&gt;""),AI400:AP400)))</t>
        </is>
      </c>
      <c r="BE400" s="49" t="inlineStr">
        <is>
          <t>IF(OR(F400="",AR400=""),"",IF(COUNT(AI400:AQ400)=0,"",AR400-LOOKUP(2,1/(AI400:AQ400&lt;&gt;""),AI400:AQ400)))</t>
        </is>
      </c>
      <c r="BF400" s="49" t="inlineStr">
        <is>
          <t>IF(OR(F400="",AS400=""),"",IF(COUNT(AI400:AR400)=0,"",AS400-LOOKUP(2,1/(AI400:AR400&lt;&gt;""),AI400:AR400)))</t>
        </is>
      </c>
      <c r="BG400" s="49" t="inlineStr">
        <is>
          <t>IF(OR(F400="",AT400=""),"",IF(COUNT(AI400:AS400)=0,"",AT400-LOOKUP(2,1/(AI400:AS400&lt;&gt;""),AI400:AS400)))</t>
        </is>
      </c>
      <c r="BH400" s="49" t="inlineStr">
        <is>
          <t>IF(OR(F400="",AU400=""),"",IF(COUNT(AI400:AT400)=0,"",AU400-LOOKUP(2,1/(AI400:AT400&lt;&gt;""),AI400:AT400)))</t>
        </is>
      </c>
      <c r="BI400" s="49" t="inlineStr">
        <is>
          <t>IF(OR(F400="",AV400=""),"",IF(COUNT(AI400:AU400)=0,"",AV400-LOOKUP(2,1/(AI400:AU400&lt;&gt;""),AI400:AU400)))</t>
        </is>
      </c>
      <c r="BJ400" s="51" t="inlineStr">
        <is>
          <t>IF(J400="","All_Provinces",IFERROR(VLOOKUP(J400,'09_Lookups'!$A$4:$B$20,2,FALSE),"All_Provinces"))</t>
        </is>
      </c>
      <c r="BK400" s="51" t="inlineStr">
        <is>
          <t>IF(K400="","All_Districts",IFERROR(VLOOKUP(K400,'09_Lookups'!$E$4:$F$42,2,FALSE),"All_Districts"))</t>
        </is>
      </c>
    </row>
    <row r="401" ht="18" customHeight="1">
      <c r="A401" s="42" t="inlineStr">
        <is>
          <t>IF(F401="","",ROW()-3)</t>
        </is>
      </c>
      <c r="B401" s="44" t="n"/>
      <c r="C401" s="44" t="n"/>
      <c r="D401" s="44" t="n"/>
      <c r="E401" s="44" t="n"/>
      <c r="F401" s="44" t="n"/>
      <c r="G401" s="44" t="n"/>
      <c r="H401" s="44" t="n"/>
      <c r="I401" s="44" t="n"/>
      <c r="J401" s="44" t="n"/>
      <c r="K401" s="44" t="n"/>
      <c r="L401" s="44" t="n"/>
      <c r="M401" s="44" t="n"/>
      <c r="N401" s="44" t="n"/>
      <c r="O401" s="44" t="n"/>
      <c r="P401" s="44" t="n"/>
      <c r="Q401" s="44" t="n"/>
      <c r="R401" s="44" t="n"/>
      <c r="S401" s="45" t="n"/>
      <c r="T401" s="46" t="inlineStr">
        <is>
          <t>IF(AQ401="","",AQ401)</t>
        </is>
      </c>
      <c r="U401" s="47" t="n"/>
      <c r="V401" s="48" t="n"/>
      <c r="W401" s="47" t="n"/>
      <c r="X401" s="46" t="inlineStr">
        <is>
          <t>IF(W401&lt;&gt;"",W401,IF(OR(T401="",V401=""),"",EDATE(T401,V401)))</t>
        </is>
      </c>
      <c r="Y401" s="47" t="n"/>
      <c r="Z401" s="48" t="n"/>
      <c r="AA401" s="44" t="n"/>
      <c r="AB401" s="44" t="n"/>
      <c r="AC401" s="42" t="inlineStr">
        <is>
          <t>IF(F401="","",IF(COUNT(AI401:AV401)=0,IF(AA401="","Not started",AA401),SUBSTITUTE(LOOKUP(2,1/(AI401:AV401&lt;&gt;""),$AI$3:$AV$3),"Date: ","")))</t>
        </is>
      </c>
      <c r="AD401" s="49" t="inlineStr">
        <is>
          <t>IF(OR(F401="",COUNT(AI401:AV401)=0),"",TODAY()-LOOKUP(2,1/(AI401:AV401&lt;&gt;""),AI401:AV401))</t>
        </is>
      </c>
      <c r="AE401" s="49" t="inlineStr">
        <is>
          <t>IF(OR(F401="",COUNT(AI401:AV401)&lt;2),"",LOOKUP(2,1/(AI401:AV401&lt;&gt;""),AI401:AV401)-MIN(AI401:AV401))</t>
        </is>
      </c>
      <c r="AF401" s="49" t="inlineStr">
        <is>
          <t>IF(OR(AD401="",AC401="Not started",AC401=""),"",IFERROR(AD401-IF(VLOOKUP(AC401,'06_Status_Pipeline'!$B$3:$E$20,4,FALSE)="",0,VLOOKUP(AC401,'06_Status_Pipeline'!$B$3:$E$20,4,FALSE)),""))</t>
        </is>
      </c>
      <c r="AG401" s="42" t="inlineStr">
        <is>
          <t>IF(F401="","",IF(OR(AA401="Cancelled",AC401="Cancelled"),"Cancelled",IF(OR(AC401="Completed / Handover",Y401&lt;&gt;"",Z401&gt;=100),"Completed — on track",IF(O401="Not awarded",IF(U401="",IF(X401="","No planned date",IF(TODAY()&gt;X401,"Behind — past planned date",IF(X401-TODAY()&lt;=30,"At risk — close to off track","On track"))),IF(TODAY()&gt;U401,"Behind — award date passed",IF(U401-TODAY()&lt;=30,"At risk — close to off track","On track"))),IF(X401="","No planned date",IF(AND(TODAY()&gt;X401,OR(Z401="",Z401&lt;100)),"Behind — past end date",IF(AND(T401&lt;&gt;"",X401&lt;&gt;"",Z401&lt;&gt;"",(Z401&lt;100),((TODAY()-T401)/MAX(X401-T401,1)*100)-Z401&gt;15),"Behind — progress lag",IF(AND(X401-TODAY()&lt;=30,X401-TODAY()&gt;=0,OR(Z401="",Z401&lt;90)),"At risk — close to off track","On track"))))))))</t>
        </is>
      </c>
      <c r="AH401" s="49" t="inlineStr">
        <is>
          <t>IF(OR(F401="",AC401="Completed / Handover",AC401="Cancelled"),"",IF(O401="Not awarded",IF(U401&lt;&gt;"",U401-TODAY(),IF(X401="","",X401-TODAY())),IF(X401="","",X401-TODAY())))</t>
        </is>
      </c>
      <c r="AI401" s="47" t="n"/>
      <c r="AJ401" s="47" t="n"/>
      <c r="AK401" s="47" t="n"/>
      <c r="AL401" s="47" t="n"/>
      <c r="AM401" s="47" t="n"/>
      <c r="AN401" s="47" t="n"/>
      <c r="AO401" s="47" t="n"/>
      <c r="AP401" s="47" t="n"/>
      <c r="AQ401" s="47" t="n"/>
      <c r="AR401" s="47" t="n"/>
      <c r="AS401" s="47" t="n"/>
      <c r="AT401" s="50" t="n"/>
      <c r="AU401" s="50" t="n"/>
      <c r="AV401" s="50" t="n"/>
      <c r="AW401" s="49" t="inlineStr">
        <is>
          <t>IF(OR(F401="",AJ401=""),"",IF(COUNT(AI401:AI401)=0,"",AJ401-LOOKUP(2,1/(AI401:AI401&lt;&gt;""),AI401:AI401)))</t>
        </is>
      </c>
      <c r="AX401" s="49" t="inlineStr">
        <is>
          <t>IF(OR(F401="",AK401=""),"",IF(COUNT(AI401:AJ401)=0,"",AK401-LOOKUP(2,1/(AI401:AJ401&lt;&gt;""),AI401:AJ401)))</t>
        </is>
      </c>
      <c r="AY401" s="49" t="inlineStr">
        <is>
          <t>IF(OR(F401="",AL401=""),"",IF(COUNT(AI401:AK401)=0,"",AL401-LOOKUP(2,1/(AI401:AK401&lt;&gt;""),AI401:AK401)))</t>
        </is>
      </c>
      <c r="AZ401" s="49" t="inlineStr">
        <is>
          <t>IF(OR(F401="",AM401=""),"",IF(COUNT(AI401:AL401)=0,"",AM401-LOOKUP(2,1/(AI401:AL401&lt;&gt;""),AI401:AL401)))</t>
        </is>
      </c>
      <c r="BA401" s="49" t="inlineStr">
        <is>
          <t>IF(OR(F401="",AN401=""),"",IF(COUNT(AI401:AM401)=0,"",AN401-LOOKUP(2,1/(AI401:AM401&lt;&gt;""),AI401:AM401)))</t>
        </is>
      </c>
      <c r="BB401" s="49" t="inlineStr">
        <is>
          <t>IF(OR(F401="",AO401=""),"",IF(COUNT(AI401:AN401)=0,"",AO401-LOOKUP(2,1/(AI401:AN401&lt;&gt;""),AI401:AN401)))</t>
        </is>
      </c>
      <c r="BC401" s="49" t="inlineStr">
        <is>
          <t>IF(OR(F401="",AP401=""),"",IF(COUNT(AI401:AO401)=0,"",AP401-LOOKUP(2,1/(AI401:AO401&lt;&gt;""),AI401:AO401)))</t>
        </is>
      </c>
      <c r="BD401" s="49" t="inlineStr">
        <is>
          <t>IF(OR(F401="",AQ401=""),"",IF(COUNT(AI401:AP401)=0,"",AQ401-LOOKUP(2,1/(AI401:AP401&lt;&gt;""),AI401:AP401)))</t>
        </is>
      </c>
      <c r="BE401" s="49" t="inlineStr">
        <is>
          <t>IF(OR(F401="",AR401=""),"",IF(COUNT(AI401:AQ401)=0,"",AR401-LOOKUP(2,1/(AI401:AQ401&lt;&gt;""),AI401:AQ401)))</t>
        </is>
      </c>
      <c r="BF401" s="49" t="inlineStr">
        <is>
          <t>IF(OR(F401="",AS401=""),"",IF(COUNT(AI401:AR401)=0,"",AS401-LOOKUP(2,1/(AI401:AR401&lt;&gt;""),AI401:AR401)))</t>
        </is>
      </c>
      <c r="BG401" s="49" t="inlineStr">
        <is>
          <t>IF(OR(F401="",AT401=""),"",IF(COUNT(AI401:AS401)=0,"",AT401-LOOKUP(2,1/(AI401:AS401&lt;&gt;""),AI401:AS401)))</t>
        </is>
      </c>
      <c r="BH401" s="49" t="inlineStr">
        <is>
          <t>IF(OR(F401="",AU401=""),"",IF(COUNT(AI401:AT401)=0,"",AU401-LOOKUP(2,1/(AI401:AT401&lt;&gt;""),AI401:AT401)))</t>
        </is>
      </c>
      <c r="BI401" s="49" t="inlineStr">
        <is>
          <t>IF(OR(F401="",AV401=""),"",IF(COUNT(AI401:AU401)=0,"",AV401-LOOKUP(2,1/(AI401:AU401&lt;&gt;""),AI401:AU401)))</t>
        </is>
      </c>
      <c r="BJ401" s="51" t="inlineStr">
        <is>
          <t>IF(J401="","All_Provinces",IFERROR(VLOOKUP(J401,'09_Lookups'!$A$4:$B$20,2,FALSE),"All_Provinces"))</t>
        </is>
      </c>
      <c r="BK401" s="51" t="inlineStr">
        <is>
          <t>IF(K401="","All_Districts",IFERROR(VLOOKUP(K401,'09_Lookups'!$E$4:$F$42,2,FALSE),"All_Districts"))</t>
        </is>
      </c>
    </row>
    <row r="402" ht="18" customHeight="1">
      <c r="A402" s="42" t="inlineStr">
        <is>
          <t>IF(F402="","",ROW()-3)</t>
        </is>
      </c>
      <c r="B402" s="52" t="n"/>
      <c r="C402" s="52" t="n"/>
      <c r="D402" s="52" t="n"/>
      <c r="E402" s="52" t="n"/>
      <c r="F402" s="52" t="n"/>
      <c r="G402" s="52" t="n"/>
      <c r="H402" s="52" t="n"/>
      <c r="I402" s="52" t="n"/>
      <c r="J402" s="52" t="n"/>
      <c r="K402" s="52" t="n"/>
      <c r="L402" s="52" t="n"/>
      <c r="M402" s="52" t="n"/>
      <c r="N402" s="52" t="n"/>
      <c r="O402" s="52" t="n"/>
      <c r="P402" s="52" t="n"/>
      <c r="Q402" s="52" t="n"/>
      <c r="R402" s="52" t="n"/>
      <c r="S402" s="53" t="n"/>
      <c r="T402" s="46" t="inlineStr">
        <is>
          <t>IF(AQ402="","",AQ402)</t>
        </is>
      </c>
      <c r="U402" s="54" t="n"/>
      <c r="V402" s="55" t="n"/>
      <c r="W402" s="54" t="n"/>
      <c r="X402" s="46" t="inlineStr">
        <is>
          <t>IF(W402&lt;&gt;"",W402,IF(OR(T402="",V402=""),"",EDATE(T402,V402)))</t>
        </is>
      </c>
      <c r="Y402" s="54" t="n"/>
      <c r="Z402" s="55" t="n"/>
      <c r="AA402" s="52" t="n"/>
      <c r="AB402" s="52" t="n"/>
      <c r="AC402" s="42" t="inlineStr">
        <is>
          <t>IF(F402="","",IF(COUNT(AI402:AV402)=0,IF(AA402="","Not started",AA402),SUBSTITUTE(LOOKUP(2,1/(AI402:AV402&lt;&gt;""),$AI$3:$AV$3),"Date: ","")))</t>
        </is>
      </c>
      <c r="AD402" s="49" t="inlineStr">
        <is>
          <t>IF(OR(F402="",COUNT(AI402:AV402)=0),"",TODAY()-LOOKUP(2,1/(AI402:AV402&lt;&gt;""),AI402:AV402))</t>
        </is>
      </c>
      <c r="AE402" s="49" t="inlineStr">
        <is>
          <t>IF(OR(F402="",COUNT(AI402:AV402)&lt;2),"",LOOKUP(2,1/(AI402:AV402&lt;&gt;""),AI402:AV402)-MIN(AI402:AV402))</t>
        </is>
      </c>
      <c r="AF402" s="49" t="inlineStr">
        <is>
          <t>IF(OR(AD402="",AC402="Not started",AC402=""),"",IFERROR(AD402-IF(VLOOKUP(AC402,'06_Status_Pipeline'!$B$3:$E$20,4,FALSE)="",0,VLOOKUP(AC402,'06_Status_Pipeline'!$B$3:$E$20,4,FALSE)),""))</t>
        </is>
      </c>
      <c r="AG402" s="42" t="inlineStr">
        <is>
          <t>IF(F402="","",IF(OR(AA402="Cancelled",AC402="Cancelled"),"Cancelled",IF(OR(AC402="Completed / Handover",Y402&lt;&gt;"",Z402&gt;=100),"Completed — on track",IF(O402="Not awarded",IF(U402="",IF(X402="","No planned date",IF(TODAY()&gt;X402,"Behind — past planned date",IF(X402-TODAY()&lt;=30,"At risk — close to off track","On track"))),IF(TODAY()&gt;U402,"Behind — award date passed",IF(U402-TODAY()&lt;=30,"At risk — close to off track","On track"))),IF(X402="","No planned date",IF(AND(TODAY()&gt;X402,OR(Z402="",Z402&lt;100)),"Behind — past end date",IF(AND(T402&lt;&gt;"",X402&lt;&gt;"",Z402&lt;&gt;"",(Z402&lt;100),((TODAY()-T402)/MAX(X402-T402,1)*100)-Z402&gt;15),"Behind — progress lag",IF(AND(X402-TODAY()&lt;=30,X402-TODAY()&gt;=0,OR(Z402="",Z402&lt;90)),"At risk — close to off track","On track"))))))))</t>
        </is>
      </c>
      <c r="AH402" s="49" t="inlineStr">
        <is>
          <t>IF(OR(F402="",AC402="Completed / Handover",AC402="Cancelled"),"",IF(O402="Not awarded",IF(U402&lt;&gt;"",U402-TODAY(),IF(X402="","",X402-TODAY())),IF(X402="","",X402-TODAY())))</t>
        </is>
      </c>
      <c r="AI402" s="54" t="n"/>
      <c r="AJ402" s="54" t="n"/>
      <c r="AK402" s="54" t="n"/>
      <c r="AL402" s="54" t="n"/>
      <c r="AM402" s="54" t="n"/>
      <c r="AN402" s="54" t="n"/>
      <c r="AO402" s="54" t="n"/>
      <c r="AP402" s="54" t="n"/>
      <c r="AQ402" s="54" t="n"/>
      <c r="AR402" s="54" t="n"/>
      <c r="AS402" s="54" t="n"/>
      <c r="AT402" s="50" t="n"/>
      <c r="AU402" s="50" t="n"/>
      <c r="AV402" s="50" t="n"/>
      <c r="AW402" s="49" t="inlineStr">
        <is>
          <t>IF(OR(F402="",AJ402=""),"",IF(COUNT(AI402:AI402)=0,"",AJ402-LOOKUP(2,1/(AI402:AI402&lt;&gt;""),AI402:AI402)))</t>
        </is>
      </c>
      <c r="AX402" s="49" t="inlineStr">
        <is>
          <t>IF(OR(F402="",AK402=""),"",IF(COUNT(AI402:AJ402)=0,"",AK402-LOOKUP(2,1/(AI402:AJ402&lt;&gt;""),AI402:AJ402)))</t>
        </is>
      </c>
      <c r="AY402" s="49" t="inlineStr">
        <is>
          <t>IF(OR(F402="",AL402=""),"",IF(COUNT(AI402:AK402)=0,"",AL402-LOOKUP(2,1/(AI402:AK402&lt;&gt;""),AI402:AK402)))</t>
        </is>
      </c>
      <c r="AZ402" s="49" t="inlineStr">
        <is>
          <t>IF(OR(F402="",AM402=""),"",IF(COUNT(AI402:AL402)=0,"",AM402-LOOKUP(2,1/(AI402:AL402&lt;&gt;""),AI402:AL402)))</t>
        </is>
      </c>
      <c r="BA402" s="49" t="inlineStr">
        <is>
          <t>IF(OR(F402="",AN402=""),"",IF(COUNT(AI402:AM402)=0,"",AN402-LOOKUP(2,1/(AI402:AM402&lt;&gt;""),AI402:AM402)))</t>
        </is>
      </c>
      <c r="BB402" s="49" t="inlineStr">
        <is>
          <t>IF(OR(F402="",AO402=""),"",IF(COUNT(AI402:AN402)=0,"",AO402-LOOKUP(2,1/(AI402:AN402&lt;&gt;""),AI402:AN402)))</t>
        </is>
      </c>
      <c r="BC402" s="49" t="inlineStr">
        <is>
          <t>IF(OR(F402="",AP402=""),"",IF(COUNT(AI402:AO402)=0,"",AP402-LOOKUP(2,1/(AI402:AO402&lt;&gt;""),AI402:AO402)))</t>
        </is>
      </c>
      <c r="BD402" s="49" t="inlineStr">
        <is>
          <t>IF(OR(F402="",AQ402=""),"",IF(COUNT(AI402:AP402)=0,"",AQ402-LOOKUP(2,1/(AI402:AP402&lt;&gt;""),AI402:AP402)))</t>
        </is>
      </c>
      <c r="BE402" s="49" t="inlineStr">
        <is>
          <t>IF(OR(F402="",AR402=""),"",IF(COUNT(AI402:AQ402)=0,"",AR402-LOOKUP(2,1/(AI402:AQ402&lt;&gt;""),AI402:AQ402)))</t>
        </is>
      </c>
      <c r="BF402" s="49" t="inlineStr">
        <is>
          <t>IF(OR(F402="",AS402=""),"",IF(COUNT(AI402:AR402)=0,"",AS402-LOOKUP(2,1/(AI402:AR402&lt;&gt;""),AI402:AR402)))</t>
        </is>
      </c>
      <c r="BG402" s="49" t="inlineStr">
        <is>
          <t>IF(OR(F402="",AT402=""),"",IF(COUNT(AI402:AS402)=0,"",AT402-LOOKUP(2,1/(AI402:AS402&lt;&gt;""),AI402:AS402)))</t>
        </is>
      </c>
      <c r="BH402" s="49" t="inlineStr">
        <is>
          <t>IF(OR(F402="",AU402=""),"",IF(COUNT(AI402:AT402)=0,"",AU402-LOOKUP(2,1/(AI402:AT402&lt;&gt;""),AI402:AT402)))</t>
        </is>
      </c>
      <c r="BI402" s="49" t="inlineStr">
        <is>
          <t>IF(OR(F402="",AV402=""),"",IF(COUNT(AI402:AU402)=0,"",AV402-LOOKUP(2,1/(AI402:AU402&lt;&gt;""),AI402:AU402)))</t>
        </is>
      </c>
      <c r="BJ402" s="51" t="inlineStr">
        <is>
          <t>IF(J402="","All_Provinces",IFERROR(VLOOKUP(J402,'09_Lookups'!$A$4:$B$20,2,FALSE),"All_Provinces"))</t>
        </is>
      </c>
      <c r="BK402" s="51" t="inlineStr">
        <is>
          <t>IF(K402="","All_Districts",IFERROR(VLOOKUP(K402,'09_Lookups'!$E$4:$F$42,2,FALSE),"All_Districts"))</t>
        </is>
      </c>
    </row>
    <row r="403" ht="18" customHeight="1">
      <c r="A403" s="42" t="inlineStr">
        <is>
          <t>IF(F403="","",ROW()-3)</t>
        </is>
      </c>
      <c r="B403" s="44" t="n"/>
      <c r="C403" s="44" t="n"/>
      <c r="D403" s="44" t="n"/>
      <c r="E403" s="44" t="n"/>
      <c r="F403" s="44" t="n"/>
      <c r="G403" s="44" t="n"/>
      <c r="H403" s="44" t="n"/>
      <c r="I403" s="44" t="n"/>
      <c r="J403" s="44" t="n"/>
      <c r="K403" s="44" t="n"/>
      <c r="L403" s="44" t="n"/>
      <c r="M403" s="44" t="n"/>
      <c r="N403" s="44" t="n"/>
      <c r="O403" s="44" t="n"/>
      <c r="P403" s="44" t="n"/>
      <c r="Q403" s="44" t="n"/>
      <c r="R403" s="44" t="n"/>
      <c r="S403" s="45" t="n"/>
      <c r="T403" s="46" t="inlineStr">
        <is>
          <t>IF(AQ403="","",AQ403)</t>
        </is>
      </c>
      <c r="U403" s="47" t="n"/>
      <c r="V403" s="48" t="n"/>
      <c r="W403" s="47" t="n"/>
      <c r="X403" s="46" t="inlineStr">
        <is>
          <t>IF(W403&lt;&gt;"",W403,IF(OR(T403="",V403=""),"",EDATE(T403,V403)))</t>
        </is>
      </c>
      <c r="Y403" s="47" t="n"/>
      <c r="Z403" s="48" t="n"/>
      <c r="AA403" s="44" t="n"/>
      <c r="AB403" s="44" t="n"/>
      <c r="AC403" s="42" t="inlineStr">
        <is>
          <t>IF(F403="","",IF(COUNT(AI403:AV403)=0,IF(AA403="","Not started",AA403),SUBSTITUTE(LOOKUP(2,1/(AI403:AV403&lt;&gt;""),$AI$3:$AV$3),"Date: ","")))</t>
        </is>
      </c>
      <c r="AD403" s="49" t="inlineStr">
        <is>
          <t>IF(OR(F403="",COUNT(AI403:AV403)=0),"",TODAY()-LOOKUP(2,1/(AI403:AV403&lt;&gt;""),AI403:AV403))</t>
        </is>
      </c>
      <c r="AE403" s="49" t="inlineStr">
        <is>
          <t>IF(OR(F403="",COUNT(AI403:AV403)&lt;2),"",LOOKUP(2,1/(AI403:AV403&lt;&gt;""),AI403:AV403)-MIN(AI403:AV403))</t>
        </is>
      </c>
      <c r="AF403" s="49" t="inlineStr">
        <is>
          <t>IF(OR(AD403="",AC403="Not started",AC403=""),"",IFERROR(AD403-IF(VLOOKUP(AC403,'06_Status_Pipeline'!$B$3:$E$20,4,FALSE)="",0,VLOOKUP(AC403,'06_Status_Pipeline'!$B$3:$E$20,4,FALSE)),""))</t>
        </is>
      </c>
      <c r="AG403" s="42" t="inlineStr">
        <is>
          <t>IF(F403="","",IF(OR(AA403="Cancelled",AC403="Cancelled"),"Cancelled",IF(OR(AC403="Completed / Handover",Y403&lt;&gt;"",Z403&gt;=100),"Completed — on track",IF(O403="Not awarded",IF(U403="",IF(X403="","No planned date",IF(TODAY()&gt;X403,"Behind — past planned date",IF(X403-TODAY()&lt;=30,"At risk — close to off track","On track"))),IF(TODAY()&gt;U403,"Behind — award date passed",IF(U403-TODAY()&lt;=30,"At risk — close to off track","On track"))),IF(X403="","No planned date",IF(AND(TODAY()&gt;X403,OR(Z403="",Z403&lt;100)),"Behind — past end date",IF(AND(T403&lt;&gt;"",X403&lt;&gt;"",Z403&lt;&gt;"",(Z403&lt;100),((TODAY()-T403)/MAX(X403-T403,1)*100)-Z403&gt;15),"Behind — progress lag",IF(AND(X403-TODAY()&lt;=30,X403-TODAY()&gt;=0,OR(Z403="",Z403&lt;90)),"At risk — close to off track","On track"))))))))</t>
        </is>
      </c>
      <c r="AH403" s="49" t="inlineStr">
        <is>
          <t>IF(OR(F403="",AC403="Completed / Handover",AC403="Cancelled"),"",IF(O403="Not awarded",IF(U403&lt;&gt;"",U403-TODAY(),IF(X403="","",X403-TODAY())),IF(X403="","",X403-TODAY())))</t>
        </is>
      </c>
      <c r="AI403" s="47" t="n"/>
      <c r="AJ403" s="47" t="n"/>
      <c r="AK403" s="47" t="n"/>
      <c r="AL403" s="47" t="n"/>
      <c r="AM403" s="47" t="n"/>
      <c r="AN403" s="47" t="n"/>
      <c r="AO403" s="47" t="n"/>
      <c r="AP403" s="47" t="n"/>
      <c r="AQ403" s="47" t="n"/>
      <c r="AR403" s="47" t="n"/>
      <c r="AS403" s="47" t="n"/>
      <c r="AT403" s="50" t="n"/>
      <c r="AU403" s="50" t="n"/>
      <c r="AV403" s="50" t="n"/>
      <c r="AW403" s="49" t="inlineStr">
        <is>
          <t>IF(OR(F403="",AJ403=""),"",IF(COUNT(AI403:AI403)=0,"",AJ403-LOOKUP(2,1/(AI403:AI403&lt;&gt;""),AI403:AI403)))</t>
        </is>
      </c>
      <c r="AX403" s="49" t="inlineStr">
        <is>
          <t>IF(OR(F403="",AK403=""),"",IF(COUNT(AI403:AJ403)=0,"",AK403-LOOKUP(2,1/(AI403:AJ403&lt;&gt;""),AI403:AJ403)))</t>
        </is>
      </c>
      <c r="AY403" s="49" t="inlineStr">
        <is>
          <t>IF(OR(F403="",AL403=""),"",IF(COUNT(AI403:AK403)=0,"",AL403-LOOKUP(2,1/(AI403:AK403&lt;&gt;""),AI403:AK403)))</t>
        </is>
      </c>
      <c r="AZ403" s="49" t="inlineStr">
        <is>
          <t>IF(OR(F403="",AM403=""),"",IF(COUNT(AI403:AL403)=0,"",AM403-LOOKUP(2,1/(AI403:AL403&lt;&gt;""),AI403:AL403)))</t>
        </is>
      </c>
      <c r="BA403" s="49" t="inlineStr">
        <is>
          <t>IF(OR(F403="",AN403=""),"",IF(COUNT(AI403:AM403)=0,"",AN403-LOOKUP(2,1/(AI403:AM403&lt;&gt;""),AI403:AM403)))</t>
        </is>
      </c>
      <c r="BB403" s="49" t="inlineStr">
        <is>
          <t>IF(OR(F403="",AO403=""),"",IF(COUNT(AI403:AN403)=0,"",AO403-LOOKUP(2,1/(AI403:AN403&lt;&gt;""),AI403:AN403)))</t>
        </is>
      </c>
      <c r="BC403" s="49" t="inlineStr">
        <is>
          <t>IF(OR(F403="",AP403=""),"",IF(COUNT(AI403:AO403)=0,"",AP403-LOOKUP(2,1/(AI403:AO403&lt;&gt;""),AI403:AO403)))</t>
        </is>
      </c>
      <c r="BD403" s="49" t="inlineStr">
        <is>
          <t>IF(OR(F403="",AQ403=""),"",IF(COUNT(AI403:AP403)=0,"",AQ403-LOOKUP(2,1/(AI403:AP403&lt;&gt;""),AI403:AP403)))</t>
        </is>
      </c>
      <c r="BE403" s="49" t="inlineStr">
        <is>
          <t>IF(OR(F403="",AR403=""),"",IF(COUNT(AI403:AQ403)=0,"",AR403-LOOKUP(2,1/(AI403:AQ403&lt;&gt;""),AI403:AQ403)))</t>
        </is>
      </c>
      <c r="BF403" s="49" t="inlineStr">
        <is>
          <t>IF(OR(F403="",AS403=""),"",IF(COUNT(AI403:AR403)=0,"",AS403-LOOKUP(2,1/(AI403:AR403&lt;&gt;""),AI403:AR403)))</t>
        </is>
      </c>
      <c r="BG403" s="49" t="inlineStr">
        <is>
          <t>IF(OR(F403="",AT403=""),"",IF(COUNT(AI403:AS403)=0,"",AT403-LOOKUP(2,1/(AI403:AS403&lt;&gt;""),AI403:AS403)))</t>
        </is>
      </c>
      <c r="BH403" s="49" t="inlineStr">
        <is>
          <t>IF(OR(F403="",AU403=""),"",IF(COUNT(AI403:AT403)=0,"",AU403-LOOKUP(2,1/(AI403:AT403&lt;&gt;""),AI403:AT403)))</t>
        </is>
      </c>
      <c r="BI403" s="49" t="inlineStr">
        <is>
          <t>IF(OR(F403="",AV403=""),"",IF(COUNT(AI403:AU403)=0,"",AV403-LOOKUP(2,1/(AI403:AU403&lt;&gt;""),AI403:AU403)))</t>
        </is>
      </c>
      <c r="BJ403" s="51" t="inlineStr">
        <is>
          <t>IF(J403="","All_Provinces",IFERROR(VLOOKUP(J403,'09_Lookups'!$A$4:$B$20,2,FALSE),"All_Provinces"))</t>
        </is>
      </c>
      <c r="BK403" s="51" t="inlineStr">
        <is>
          <t>IF(K403="","All_Districts",IFERROR(VLOOKUP(K403,'09_Lookups'!$E$4:$F$42,2,FALSE),"All_Districts"))</t>
        </is>
      </c>
    </row>
    <row r="404" ht="18" customHeight="1">
      <c r="A404" s="42" t="inlineStr">
        <is>
          <t>IF(F404="","",ROW()-3)</t>
        </is>
      </c>
      <c r="B404" s="52" t="n"/>
      <c r="C404" s="52" t="n"/>
      <c r="D404" s="52" t="n"/>
      <c r="E404" s="52" t="n"/>
      <c r="F404" s="52" t="n"/>
      <c r="G404" s="52" t="n"/>
      <c r="H404" s="52" t="n"/>
      <c r="I404" s="52" t="n"/>
      <c r="J404" s="52" t="n"/>
      <c r="K404" s="52" t="n"/>
      <c r="L404" s="52" t="n"/>
      <c r="M404" s="52" t="n"/>
      <c r="N404" s="52" t="n"/>
      <c r="O404" s="52" t="n"/>
      <c r="P404" s="52" t="n"/>
      <c r="Q404" s="52" t="n"/>
      <c r="R404" s="52" t="n"/>
      <c r="S404" s="53" t="n"/>
      <c r="T404" s="46" t="inlineStr">
        <is>
          <t>IF(AQ404="","",AQ404)</t>
        </is>
      </c>
      <c r="U404" s="54" t="n"/>
      <c r="V404" s="55" t="n"/>
      <c r="W404" s="54" t="n"/>
      <c r="X404" s="46" t="inlineStr">
        <is>
          <t>IF(W404&lt;&gt;"",W404,IF(OR(T404="",V404=""),"",EDATE(T404,V404)))</t>
        </is>
      </c>
      <c r="Y404" s="54" t="n"/>
      <c r="Z404" s="55" t="n"/>
      <c r="AA404" s="52" t="n"/>
      <c r="AB404" s="52" t="n"/>
      <c r="AC404" s="42" t="inlineStr">
        <is>
          <t>IF(F404="","",IF(COUNT(AI404:AV404)=0,IF(AA404="","Not started",AA404),SUBSTITUTE(LOOKUP(2,1/(AI404:AV404&lt;&gt;""),$AI$3:$AV$3),"Date: ","")))</t>
        </is>
      </c>
      <c r="AD404" s="49" t="inlineStr">
        <is>
          <t>IF(OR(F404="",COUNT(AI404:AV404)=0),"",TODAY()-LOOKUP(2,1/(AI404:AV404&lt;&gt;""),AI404:AV404))</t>
        </is>
      </c>
      <c r="AE404" s="49" t="inlineStr">
        <is>
          <t>IF(OR(F404="",COUNT(AI404:AV404)&lt;2),"",LOOKUP(2,1/(AI404:AV404&lt;&gt;""),AI404:AV404)-MIN(AI404:AV404))</t>
        </is>
      </c>
      <c r="AF404" s="49" t="inlineStr">
        <is>
          <t>IF(OR(AD404="",AC404="Not started",AC404=""),"",IFERROR(AD404-IF(VLOOKUP(AC404,'06_Status_Pipeline'!$B$3:$E$20,4,FALSE)="",0,VLOOKUP(AC404,'06_Status_Pipeline'!$B$3:$E$20,4,FALSE)),""))</t>
        </is>
      </c>
      <c r="AG404" s="42" t="inlineStr">
        <is>
          <t>IF(F404="","",IF(OR(AA404="Cancelled",AC404="Cancelled"),"Cancelled",IF(OR(AC404="Completed / Handover",Y404&lt;&gt;"",Z404&gt;=100),"Completed — on track",IF(O404="Not awarded",IF(U404="",IF(X404="","No planned date",IF(TODAY()&gt;X404,"Behind — past planned date",IF(X404-TODAY()&lt;=30,"At risk — close to off track","On track"))),IF(TODAY()&gt;U404,"Behind — award date passed",IF(U404-TODAY()&lt;=30,"At risk — close to off track","On track"))),IF(X404="","No planned date",IF(AND(TODAY()&gt;X404,OR(Z404="",Z404&lt;100)),"Behind — past end date",IF(AND(T404&lt;&gt;"",X404&lt;&gt;"",Z404&lt;&gt;"",(Z404&lt;100),((TODAY()-T404)/MAX(X404-T404,1)*100)-Z404&gt;15),"Behind — progress lag",IF(AND(X404-TODAY()&lt;=30,X404-TODAY()&gt;=0,OR(Z404="",Z404&lt;90)),"At risk — close to off track","On track"))))))))</t>
        </is>
      </c>
      <c r="AH404" s="49" t="inlineStr">
        <is>
          <t>IF(OR(F404="",AC404="Completed / Handover",AC404="Cancelled"),"",IF(O404="Not awarded",IF(U404&lt;&gt;"",U404-TODAY(),IF(X404="","",X404-TODAY())),IF(X404="","",X404-TODAY())))</t>
        </is>
      </c>
      <c r="AI404" s="54" t="n"/>
      <c r="AJ404" s="54" t="n"/>
      <c r="AK404" s="54" t="n"/>
      <c r="AL404" s="54" t="n"/>
      <c r="AM404" s="54" t="n"/>
      <c r="AN404" s="54" t="n"/>
      <c r="AO404" s="54" t="n"/>
      <c r="AP404" s="54" t="n"/>
      <c r="AQ404" s="54" t="n"/>
      <c r="AR404" s="54" t="n"/>
      <c r="AS404" s="54" t="n"/>
      <c r="AT404" s="50" t="n"/>
      <c r="AU404" s="50" t="n"/>
      <c r="AV404" s="50" t="n"/>
      <c r="AW404" s="49" t="inlineStr">
        <is>
          <t>IF(OR(F404="",AJ404=""),"",IF(COUNT(AI404:AI404)=0,"",AJ404-LOOKUP(2,1/(AI404:AI404&lt;&gt;""),AI404:AI404)))</t>
        </is>
      </c>
      <c r="AX404" s="49" t="inlineStr">
        <is>
          <t>IF(OR(F404="",AK404=""),"",IF(COUNT(AI404:AJ404)=0,"",AK404-LOOKUP(2,1/(AI404:AJ404&lt;&gt;""),AI404:AJ404)))</t>
        </is>
      </c>
      <c r="AY404" s="49" t="inlineStr">
        <is>
          <t>IF(OR(F404="",AL404=""),"",IF(COUNT(AI404:AK404)=0,"",AL404-LOOKUP(2,1/(AI404:AK404&lt;&gt;""),AI404:AK404)))</t>
        </is>
      </c>
      <c r="AZ404" s="49" t="inlineStr">
        <is>
          <t>IF(OR(F404="",AM404=""),"",IF(COUNT(AI404:AL404)=0,"",AM404-LOOKUP(2,1/(AI404:AL404&lt;&gt;""),AI404:AL404)))</t>
        </is>
      </c>
      <c r="BA404" s="49" t="inlineStr">
        <is>
          <t>IF(OR(F404="",AN404=""),"",IF(COUNT(AI404:AM404)=0,"",AN404-LOOKUP(2,1/(AI404:AM404&lt;&gt;""),AI404:AM404)))</t>
        </is>
      </c>
      <c r="BB404" s="49" t="inlineStr">
        <is>
          <t>IF(OR(F404="",AO404=""),"",IF(COUNT(AI404:AN404)=0,"",AO404-LOOKUP(2,1/(AI404:AN404&lt;&gt;""),AI404:AN404)))</t>
        </is>
      </c>
      <c r="BC404" s="49" t="inlineStr">
        <is>
          <t>IF(OR(F404="",AP404=""),"",IF(COUNT(AI404:AO404)=0,"",AP404-LOOKUP(2,1/(AI404:AO404&lt;&gt;""),AI404:AO404)))</t>
        </is>
      </c>
      <c r="BD404" s="49" t="inlineStr">
        <is>
          <t>IF(OR(F404="",AQ404=""),"",IF(COUNT(AI404:AP404)=0,"",AQ404-LOOKUP(2,1/(AI404:AP404&lt;&gt;""),AI404:AP404)))</t>
        </is>
      </c>
      <c r="BE404" s="49" t="inlineStr">
        <is>
          <t>IF(OR(F404="",AR404=""),"",IF(COUNT(AI404:AQ404)=0,"",AR404-LOOKUP(2,1/(AI404:AQ404&lt;&gt;""),AI404:AQ404)))</t>
        </is>
      </c>
      <c r="BF404" s="49" t="inlineStr">
        <is>
          <t>IF(OR(F404="",AS404=""),"",IF(COUNT(AI404:AR404)=0,"",AS404-LOOKUP(2,1/(AI404:AR404&lt;&gt;""),AI404:AR404)))</t>
        </is>
      </c>
      <c r="BG404" s="49" t="inlineStr">
        <is>
          <t>IF(OR(F404="",AT404=""),"",IF(COUNT(AI404:AS404)=0,"",AT404-LOOKUP(2,1/(AI404:AS404&lt;&gt;""),AI404:AS404)))</t>
        </is>
      </c>
      <c r="BH404" s="49" t="inlineStr">
        <is>
          <t>IF(OR(F404="",AU404=""),"",IF(COUNT(AI404:AT404)=0,"",AU404-LOOKUP(2,1/(AI404:AT404&lt;&gt;""),AI404:AT404)))</t>
        </is>
      </c>
      <c r="BI404" s="49" t="inlineStr">
        <is>
          <t>IF(OR(F404="",AV404=""),"",IF(COUNT(AI404:AU404)=0,"",AV404-LOOKUP(2,1/(AI404:AU404&lt;&gt;""),AI404:AU404)))</t>
        </is>
      </c>
      <c r="BJ404" s="51" t="inlineStr">
        <is>
          <t>IF(J404="","All_Provinces",IFERROR(VLOOKUP(J404,'09_Lookups'!$A$4:$B$20,2,FALSE),"All_Provinces"))</t>
        </is>
      </c>
      <c r="BK404" s="51" t="inlineStr">
        <is>
          <t>IF(K404="","All_Districts",IFERROR(VLOOKUP(K404,'09_Lookups'!$E$4:$F$42,2,FALSE),"All_Districts"))</t>
        </is>
      </c>
    </row>
    <row r="405" ht="18" customHeight="1">
      <c r="A405" s="42" t="inlineStr">
        <is>
          <t>IF(F405="","",ROW()-3)</t>
        </is>
      </c>
      <c r="B405" s="44" t="n"/>
      <c r="C405" s="44" t="n"/>
      <c r="D405" s="44" t="n"/>
      <c r="E405" s="44" t="n"/>
      <c r="F405" s="44" t="n"/>
      <c r="G405" s="44" t="n"/>
      <c r="H405" s="44" t="n"/>
      <c r="I405" s="44" t="n"/>
      <c r="J405" s="44" t="n"/>
      <c r="K405" s="44" t="n"/>
      <c r="L405" s="44" t="n"/>
      <c r="M405" s="44" t="n"/>
      <c r="N405" s="44" t="n"/>
      <c r="O405" s="44" t="n"/>
      <c r="P405" s="44" t="n"/>
      <c r="Q405" s="44" t="n"/>
      <c r="R405" s="44" t="n"/>
      <c r="S405" s="45" t="n"/>
      <c r="T405" s="46" t="inlineStr">
        <is>
          <t>IF(AQ405="","",AQ405)</t>
        </is>
      </c>
      <c r="U405" s="47" t="n"/>
      <c r="V405" s="48" t="n"/>
      <c r="W405" s="47" t="n"/>
      <c r="X405" s="46" t="inlineStr">
        <is>
          <t>IF(W405&lt;&gt;"",W405,IF(OR(T405="",V405=""),"",EDATE(T405,V405)))</t>
        </is>
      </c>
      <c r="Y405" s="47" t="n"/>
      <c r="Z405" s="48" t="n"/>
      <c r="AA405" s="44" t="n"/>
      <c r="AB405" s="44" t="n"/>
      <c r="AC405" s="42" t="inlineStr">
        <is>
          <t>IF(F405="","",IF(COUNT(AI405:AV405)=0,IF(AA405="","Not started",AA405),SUBSTITUTE(LOOKUP(2,1/(AI405:AV405&lt;&gt;""),$AI$3:$AV$3),"Date: ","")))</t>
        </is>
      </c>
      <c r="AD405" s="49" t="inlineStr">
        <is>
          <t>IF(OR(F405="",COUNT(AI405:AV405)=0),"",TODAY()-LOOKUP(2,1/(AI405:AV405&lt;&gt;""),AI405:AV405))</t>
        </is>
      </c>
      <c r="AE405" s="49" t="inlineStr">
        <is>
          <t>IF(OR(F405="",COUNT(AI405:AV405)&lt;2),"",LOOKUP(2,1/(AI405:AV405&lt;&gt;""),AI405:AV405)-MIN(AI405:AV405))</t>
        </is>
      </c>
      <c r="AF405" s="49" t="inlineStr">
        <is>
          <t>IF(OR(AD405="",AC405="Not started",AC405=""),"",IFERROR(AD405-IF(VLOOKUP(AC405,'06_Status_Pipeline'!$B$3:$E$20,4,FALSE)="",0,VLOOKUP(AC405,'06_Status_Pipeline'!$B$3:$E$20,4,FALSE)),""))</t>
        </is>
      </c>
      <c r="AG405" s="42" t="inlineStr">
        <is>
          <t>IF(F405="","",IF(OR(AA405="Cancelled",AC405="Cancelled"),"Cancelled",IF(OR(AC405="Completed / Handover",Y405&lt;&gt;"",Z405&gt;=100),"Completed — on track",IF(O405="Not awarded",IF(U405="",IF(X405="","No planned date",IF(TODAY()&gt;X405,"Behind — past planned date",IF(X405-TODAY()&lt;=30,"At risk — close to off track","On track"))),IF(TODAY()&gt;U405,"Behind — award date passed",IF(U405-TODAY()&lt;=30,"At risk — close to off track","On track"))),IF(X405="","No planned date",IF(AND(TODAY()&gt;X405,OR(Z405="",Z405&lt;100)),"Behind — past end date",IF(AND(T405&lt;&gt;"",X405&lt;&gt;"",Z405&lt;&gt;"",(Z405&lt;100),((TODAY()-T405)/MAX(X405-T405,1)*100)-Z405&gt;15),"Behind — progress lag",IF(AND(X405-TODAY()&lt;=30,X405-TODAY()&gt;=0,OR(Z405="",Z405&lt;90)),"At risk — close to off track","On track"))))))))</t>
        </is>
      </c>
      <c r="AH405" s="49" t="inlineStr">
        <is>
          <t>IF(OR(F405="",AC405="Completed / Handover",AC405="Cancelled"),"",IF(O405="Not awarded",IF(U405&lt;&gt;"",U405-TODAY(),IF(X405="","",X405-TODAY())),IF(X405="","",X405-TODAY())))</t>
        </is>
      </c>
      <c r="AI405" s="47" t="n"/>
      <c r="AJ405" s="47" t="n"/>
      <c r="AK405" s="47" t="n"/>
      <c r="AL405" s="47" t="n"/>
      <c r="AM405" s="47" t="n"/>
      <c r="AN405" s="47" t="n"/>
      <c r="AO405" s="47" t="n"/>
      <c r="AP405" s="47" t="n"/>
      <c r="AQ405" s="47" t="n"/>
      <c r="AR405" s="47" t="n"/>
      <c r="AS405" s="47" t="n"/>
      <c r="AT405" s="50" t="n"/>
      <c r="AU405" s="50" t="n"/>
      <c r="AV405" s="50" t="n"/>
      <c r="AW405" s="49" t="inlineStr">
        <is>
          <t>IF(OR(F405="",AJ405=""),"",IF(COUNT(AI405:AI405)=0,"",AJ405-LOOKUP(2,1/(AI405:AI405&lt;&gt;""),AI405:AI405)))</t>
        </is>
      </c>
      <c r="AX405" s="49" t="inlineStr">
        <is>
          <t>IF(OR(F405="",AK405=""),"",IF(COUNT(AI405:AJ405)=0,"",AK405-LOOKUP(2,1/(AI405:AJ405&lt;&gt;""),AI405:AJ405)))</t>
        </is>
      </c>
      <c r="AY405" s="49" t="inlineStr">
        <is>
          <t>IF(OR(F405="",AL405=""),"",IF(COUNT(AI405:AK405)=0,"",AL405-LOOKUP(2,1/(AI405:AK405&lt;&gt;""),AI405:AK405)))</t>
        </is>
      </c>
      <c r="AZ405" s="49" t="inlineStr">
        <is>
          <t>IF(OR(F405="",AM405=""),"",IF(COUNT(AI405:AL405)=0,"",AM405-LOOKUP(2,1/(AI405:AL405&lt;&gt;""),AI405:AL405)))</t>
        </is>
      </c>
      <c r="BA405" s="49" t="inlineStr">
        <is>
          <t>IF(OR(F405="",AN405=""),"",IF(COUNT(AI405:AM405)=0,"",AN405-LOOKUP(2,1/(AI405:AM405&lt;&gt;""),AI405:AM405)))</t>
        </is>
      </c>
      <c r="BB405" s="49" t="inlineStr">
        <is>
          <t>IF(OR(F405="",AO405=""),"",IF(COUNT(AI405:AN405)=0,"",AO405-LOOKUP(2,1/(AI405:AN405&lt;&gt;""),AI405:AN405)))</t>
        </is>
      </c>
      <c r="BC405" s="49" t="inlineStr">
        <is>
          <t>IF(OR(F405="",AP405=""),"",IF(COUNT(AI405:AO405)=0,"",AP405-LOOKUP(2,1/(AI405:AO405&lt;&gt;""),AI405:AO405)))</t>
        </is>
      </c>
      <c r="BD405" s="49" t="inlineStr">
        <is>
          <t>IF(OR(F405="",AQ405=""),"",IF(COUNT(AI405:AP405)=0,"",AQ405-LOOKUP(2,1/(AI405:AP405&lt;&gt;""),AI405:AP405)))</t>
        </is>
      </c>
      <c r="BE405" s="49" t="inlineStr">
        <is>
          <t>IF(OR(F405="",AR405=""),"",IF(COUNT(AI405:AQ405)=0,"",AR405-LOOKUP(2,1/(AI405:AQ405&lt;&gt;""),AI405:AQ405)))</t>
        </is>
      </c>
      <c r="BF405" s="49" t="inlineStr">
        <is>
          <t>IF(OR(F405="",AS405=""),"",IF(COUNT(AI405:AR405)=0,"",AS405-LOOKUP(2,1/(AI405:AR405&lt;&gt;""),AI405:AR405)))</t>
        </is>
      </c>
      <c r="BG405" s="49" t="inlineStr">
        <is>
          <t>IF(OR(F405="",AT405=""),"",IF(COUNT(AI405:AS405)=0,"",AT405-LOOKUP(2,1/(AI405:AS405&lt;&gt;""),AI405:AS405)))</t>
        </is>
      </c>
      <c r="BH405" s="49" t="inlineStr">
        <is>
          <t>IF(OR(F405="",AU405=""),"",IF(COUNT(AI405:AT405)=0,"",AU405-LOOKUP(2,1/(AI405:AT405&lt;&gt;""),AI405:AT405)))</t>
        </is>
      </c>
      <c r="BI405" s="49" t="inlineStr">
        <is>
          <t>IF(OR(F405="",AV405=""),"",IF(COUNT(AI405:AU405)=0,"",AV405-LOOKUP(2,1/(AI405:AU405&lt;&gt;""),AI405:AU405)))</t>
        </is>
      </c>
      <c r="BJ405" s="51" t="inlineStr">
        <is>
          <t>IF(J405="","All_Provinces",IFERROR(VLOOKUP(J405,'09_Lookups'!$A$4:$B$20,2,FALSE),"All_Provinces"))</t>
        </is>
      </c>
      <c r="BK405" s="51" t="inlineStr">
        <is>
          <t>IF(K405="","All_Districts",IFERROR(VLOOKUP(K405,'09_Lookups'!$E$4:$F$42,2,FALSE),"All_Districts"))</t>
        </is>
      </c>
    </row>
    <row r="406" ht="18" customHeight="1">
      <c r="A406" s="42" t="inlineStr">
        <is>
          <t>IF(F406="","",ROW()-3)</t>
        </is>
      </c>
      <c r="B406" s="52" t="n"/>
      <c r="C406" s="52" t="n"/>
      <c r="D406" s="52" t="n"/>
      <c r="E406" s="52" t="n"/>
      <c r="F406" s="52" t="n"/>
      <c r="G406" s="52" t="n"/>
      <c r="H406" s="52" t="n"/>
      <c r="I406" s="52" t="n"/>
      <c r="J406" s="52" t="n"/>
      <c r="K406" s="52" t="n"/>
      <c r="L406" s="52" t="n"/>
      <c r="M406" s="52" t="n"/>
      <c r="N406" s="52" t="n"/>
      <c r="O406" s="52" t="n"/>
      <c r="P406" s="52" t="n"/>
      <c r="Q406" s="52" t="n"/>
      <c r="R406" s="52" t="n"/>
      <c r="S406" s="53" t="n"/>
      <c r="T406" s="46" t="inlineStr">
        <is>
          <t>IF(AQ406="","",AQ406)</t>
        </is>
      </c>
      <c r="U406" s="54" t="n"/>
      <c r="V406" s="55" t="n"/>
      <c r="W406" s="54" t="n"/>
      <c r="X406" s="46" t="inlineStr">
        <is>
          <t>IF(W406&lt;&gt;"",W406,IF(OR(T406="",V406=""),"",EDATE(T406,V406)))</t>
        </is>
      </c>
      <c r="Y406" s="54" t="n"/>
      <c r="Z406" s="55" t="n"/>
      <c r="AA406" s="52" t="n"/>
      <c r="AB406" s="52" t="n"/>
      <c r="AC406" s="42" t="inlineStr">
        <is>
          <t>IF(F406="","",IF(COUNT(AI406:AV406)=0,IF(AA406="","Not started",AA406),SUBSTITUTE(LOOKUP(2,1/(AI406:AV406&lt;&gt;""),$AI$3:$AV$3),"Date: ","")))</t>
        </is>
      </c>
      <c r="AD406" s="49" t="inlineStr">
        <is>
          <t>IF(OR(F406="",COUNT(AI406:AV406)=0),"",TODAY()-LOOKUP(2,1/(AI406:AV406&lt;&gt;""),AI406:AV406))</t>
        </is>
      </c>
      <c r="AE406" s="49" t="inlineStr">
        <is>
          <t>IF(OR(F406="",COUNT(AI406:AV406)&lt;2),"",LOOKUP(2,1/(AI406:AV406&lt;&gt;""),AI406:AV406)-MIN(AI406:AV406))</t>
        </is>
      </c>
      <c r="AF406" s="49" t="inlineStr">
        <is>
          <t>IF(OR(AD406="",AC406="Not started",AC406=""),"",IFERROR(AD406-IF(VLOOKUP(AC406,'06_Status_Pipeline'!$B$3:$E$20,4,FALSE)="",0,VLOOKUP(AC406,'06_Status_Pipeline'!$B$3:$E$20,4,FALSE)),""))</t>
        </is>
      </c>
      <c r="AG406" s="42" t="inlineStr">
        <is>
          <t>IF(F406="","",IF(OR(AA406="Cancelled",AC406="Cancelled"),"Cancelled",IF(OR(AC406="Completed / Handover",Y406&lt;&gt;"",Z406&gt;=100),"Completed — on track",IF(O406="Not awarded",IF(U406="",IF(X406="","No planned date",IF(TODAY()&gt;X406,"Behind — past planned date",IF(X406-TODAY()&lt;=30,"At risk — close to off track","On track"))),IF(TODAY()&gt;U406,"Behind — award date passed",IF(U406-TODAY()&lt;=30,"At risk — close to off track","On track"))),IF(X406="","No planned date",IF(AND(TODAY()&gt;X406,OR(Z406="",Z406&lt;100)),"Behind — past end date",IF(AND(T406&lt;&gt;"",X406&lt;&gt;"",Z406&lt;&gt;"",(Z406&lt;100),((TODAY()-T406)/MAX(X406-T406,1)*100)-Z406&gt;15),"Behind — progress lag",IF(AND(X406-TODAY()&lt;=30,X406-TODAY()&gt;=0,OR(Z406="",Z406&lt;90)),"At risk — close to off track","On track"))))))))</t>
        </is>
      </c>
      <c r="AH406" s="49" t="inlineStr">
        <is>
          <t>IF(OR(F406="",AC406="Completed / Handover",AC406="Cancelled"),"",IF(O406="Not awarded",IF(U406&lt;&gt;"",U406-TODAY(),IF(X406="","",X406-TODAY())),IF(X406="","",X406-TODAY())))</t>
        </is>
      </c>
      <c r="AI406" s="54" t="n"/>
      <c r="AJ406" s="54" t="n"/>
      <c r="AK406" s="54" t="n"/>
      <c r="AL406" s="54" t="n"/>
      <c r="AM406" s="54" t="n"/>
      <c r="AN406" s="54" t="n"/>
      <c r="AO406" s="54" t="n"/>
      <c r="AP406" s="54" t="n"/>
      <c r="AQ406" s="54" t="n"/>
      <c r="AR406" s="54" t="n"/>
      <c r="AS406" s="54" t="n"/>
      <c r="AT406" s="50" t="n"/>
      <c r="AU406" s="50" t="n"/>
      <c r="AV406" s="50" t="n"/>
      <c r="AW406" s="49" t="inlineStr">
        <is>
          <t>IF(OR(F406="",AJ406=""),"",IF(COUNT(AI406:AI406)=0,"",AJ406-LOOKUP(2,1/(AI406:AI406&lt;&gt;""),AI406:AI406)))</t>
        </is>
      </c>
      <c r="AX406" s="49" t="inlineStr">
        <is>
          <t>IF(OR(F406="",AK406=""),"",IF(COUNT(AI406:AJ406)=0,"",AK406-LOOKUP(2,1/(AI406:AJ406&lt;&gt;""),AI406:AJ406)))</t>
        </is>
      </c>
      <c r="AY406" s="49" t="inlineStr">
        <is>
          <t>IF(OR(F406="",AL406=""),"",IF(COUNT(AI406:AK406)=0,"",AL406-LOOKUP(2,1/(AI406:AK406&lt;&gt;""),AI406:AK406)))</t>
        </is>
      </c>
      <c r="AZ406" s="49" t="inlineStr">
        <is>
          <t>IF(OR(F406="",AM406=""),"",IF(COUNT(AI406:AL406)=0,"",AM406-LOOKUP(2,1/(AI406:AL406&lt;&gt;""),AI406:AL406)))</t>
        </is>
      </c>
      <c r="BA406" s="49" t="inlineStr">
        <is>
          <t>IF(OR(F406="",AN406=""),"",IF(COUNT(AI406:AM406)=0,"",AN406-LOOKUP(2,1/(AI406:AM406&lt;&gt;""),AI406:AM406)))</t>
        </is>
      </c>
      <c r="BB406" s="49" t="inlineStr">
        <is>
          <t>IF(OR(F406="",AO406=""),"",IF(COUNT(AI406:AN406)=0,"",AO406-LOOKUP(2,1/(AI406:AN406&lt;&gt;""),AI406:AN406)))</t>
        </is>
      </c>
      <c r="BC406" s="49" t="inlineStr">
        <is>
          <t>IF(OR(F406="",AP406=""),"",IF(COUNT(AI406:AO406)=0,"",AP406-LOOKUP(2,1/(AI406:AO406&lt;&gt;""),AI406:AO406)))</t>
        </is>
      </c>
      <c r="BD406" s="49" t="inlineStr">
        <is>
          <t>IF(OR(F406="",AQ406=""),"",IF(COUNT(AI406:AP406)=0,"",AQ406-LOOKUP(2,1/(AI406:AP406&lt;&gt;""),AI406:AP406)))</t>
        </is>
      </c>
      <c r="BE406" s="49" t="inlineStr">
        <is>
          <t>IF(OR(F406="",AR406=""),"",IF(COUNT(AI406:AQ406)=0,"",AR406-LOOKUP(2,1/(AI406:AQ406&lt;&gt;""),AI406:AQ406)))</t>
        </is>
      </c>
      <c r="BF406" s="49" t="inlineStr">
        <is>
          <t>IF(OR(F406="",AS406=""),"",IF(COUNT(AI406:AR406)=0,"",AS406-LOOKUP(2,1/(AI406:AR406&lt;&gt;""),AI406:AR406)))</t>
        </is>
      </c>
      <c r="BG406" s="49" t="inlineStr">
        <is>
          <t>IF(OR(F406="",AT406=""),"",IF(COUNT(AI406:AS406)=0,"",AT406-LOOKUP(2,1/(AI406:AS406&lt;&gt;""),AI406:AS406)))</t>
        </is>
      </c>
      <c r="BH406" s="49" t="inlineStr">
        <is>
          <t>IF(OR(F406="",AU406=""),"",IF(COUNT(AI406:AT406)=0,"",AU406-LOOKUP(2,1/(AI406:AT406&lt;&gt;""),AI406:AT406)))</t>
        </is>
      </c>
      <c r="BI406" s="49" t="inlineStr">
        <is>
          <t>IF(OR(F406="",AV406=""),"",IF(COUNT(AI406:AU406)=0,"",AV406-LOOKUP(2,1/(AI406:AU406&lt;&gt;""),AI406:AU406)))</t>
        </is>
      </c>
      <c r="BJ406" s="51" t="inlineStr">
        <is>
          <t>IF(J406="","All_Provinces",IFERROR(VLOOKUP(J406,'09_Lookups'!$A$4:$B$20,2,FALSE),"All_Provinces"))</t>
        </is>
      </c>
      <c r="BK406" s="51" t="inlineStr">
        <is>
          <t>IF(K406="","All_Districts",IFERROR(VLOOKUP(K406,'09_Lookups'!$E$4:$F$42,2,FALSE),"All_Districts"))</t>
        </is>
      </c>
    </row>
    <row r="407" ht="18" customHeight="1">
      <c r="A407" s="42" t="inlineStr">
        <is>
          <t>IF(F407="","",ROW()-3)</t>
        </is>
      </c>
      <c r="B407" s="44" t="n"/>
      <c r="C407" s="44" t="n"/>
      <c r="D407" s="44" t="n"/>
      <c r="E407" s="44" t="n"/>
      <c r="F407" s="44" t="n"/>
      <c r="G407" s="44" t="n"/>
      <c r="H407" s="44" t="n"/>
      <c r="I407" s="44" t="n"/>
      <c r="J407" s="44" t="n"/>
      <c r="K407" s="44" t="n"/>
      <c r="L407" s="44" t="n"/>
      <c r="M407" s="44" t="n"/>
      <c r="N407" s="44" t="n"/>
      <c r="O407" s="44" t="n"/>
      <c r="P407" s="44" t="n"/>
      <c r="Q407" s="44" t="n"/>
      <c r="R407" s="44" t="n"/>
      <c r="S407" s="45" t="n"/>
      <c r="T407" s="46" t="inlineStr">
        <is>
          <t>IF(AQ407="","",AQ407)</t>
        </is>
      </c>
      <c r="U407" s="47" t="n"/>
      <c r="V407" s="48" t="n"/>
      <c r="W407" s="47" t="n"/>
      <c r="X407" s="46" t="inlineStr">
        <is>
          <t>IF(W407&lt;&gt;"",W407,IF(OR(T407="",V407=""),"",EDATE(T407,V407)))</t>
        </is>
      </c>
      <c r="Y407" s="47" t="n"/>
      <c r="Z407" s="48" t="n"/>
      <c r="AA407" s="44" t="n"/>
      <c r="AB407" s="44" t="n"/>
      <c r="AC407" s="42" t="inlineStr">
        <is>
          <t>IF(F407="","",IF(COUNT(AI407:AV407)=0,IF(AA407="","Not started",AA407),SUBSTITUTE(LOOKUP(2,1/(AI407:AV407&lt;&gt;""),$AI$3:$AV$3),"Date: ","")))</t>
        </is>
      </c>
      <c r="AD407" s="49" t="inlineStr">
        <is>
          <t>IF(OR(F407="",COUNT(AI407:AV407)=0),"",TODAY()-LOOKUP(2,1/(AI407:AV407&lt;&gt;""),AI407:AV407))</t>
        </is>
      </c>
      <c r="AE407" s="49" t="inlineStr">
        <is>
          <t>IF(OR(F407="",COUNT(AI407:AV407)&lt;2),"",LOOKUP(2,1/(AI407:AV407&lt;&gt;""),AI407:AV407)-MIN(AI407:AV407))</t>
        </is>
      </c>
      <c r="AF407" s="49" t="inlineStr">
        <is>
          <t>IF(OR(AD407="",AC407="Not started",AC407=""),"",IFERROR(AD407-IF(VLOOKUP(AC407,'06_Status_Pipeline'!$B$3:$E$20,4,FALSE)="",0,VLOOKUP(AC407,'06_Status_Pipeline'!$B$3:$E$20,4,FALSE)),""))</t>
        </is>
      </c>
      <c r="AG407" s="42" t="inlineStr">
        <is>
          <t>IF(F407="","",IF(OR(AA407="Cancelled",AC407="Cancelled"),"Cancelled",IF(OR(AC407="Completed / Handover",Y407&lt;&gt;"",Z407&gt;=100),"Completed — on track",IF(O407="Not awarded",IF(U407="",IF(X407="","No planned date",IF(TODAY()&gt;X407,"Behind — past planned date",IF(X407-TODAY()&lt;=30,"At risk — close to off track","On track"))),IF(TODAY()&gt;U407,"Behind — award date passed",IF(U407-TODAY()&lt;=30,"At risk — close to off track","On track"))),IF(X407="","No planned date",IF(AND(TODAY()&gt;X407,OR(Z407="",Z407&lt;100)),"Behind — past end date",IF(AND(T407&lt;&gt;"",X407&lt;&gt;"",Z407&lt;&gt;"",(Z407&lt;100),((TODAY()-T407)/MAX(X407-T407,1)*100)-Z407&gt;15),"Behind — progress lag",IF(AND(X407-TODAY()&lt;=30,X407-TODAY()&gt;=0,OR(Z407="",Z407&lt;90)),"At risk — close to off track","On track"))))))))</t>
        </is>
      </c>
      <c r="AH407" s="49" t="inlineStr">
        <is>
          <t>IF(OR(F407="",AC407="Completed / Handover",AC407="Cancelled"),"",IF(O407="Not awarded",IF(U407&lt;&gt;"",U407-TODAY(),IF(X407="","",X407-TODAY())),IF(X407="","",X407-TODAY())))</t>
        </is>
      </c>
      <c r="AI407" s="47" t="n"/>
      <c r="AJ407" s="47" t="n"/>
      <c r="AK407" s="47" t="n"/>
      <c r="AL407" s="47" t="n"/>
      <c r="AM407" s="47" t="n"/>
      <c r="AN407" s="47" t="n"/>
      <c r="AO407" s="47" t="n"/>
      <c r="AP407" s="47" t="n"/>
      <c r="AQ407" s="47" t="n"/>
      <c r="AR407" s="47" t="n"/>
      <c r="AS407" s="47" t="n"/>
      <c r="AT407" s="50" t="n"/>
      <c r="AU407" s="50" t="n"/>
      <c r="AV407" s="50" t="n"/>
      <c r="AW407" s="49" t="inlineStr">
        <is>
          <t>IF(OR(F407="",AJ407=""),"",IF(COUNT(AI407:AI407)=0,"",AJ407-LOOKUP(2,1/(AI407:AI407&lt;&gt;""),AI407:AI407)))</t>
        </is>
      </c>
      <c r="AX407" s="49" t="inlineStr">
        <is>
          <t>IF(OR(F407="",AK407=""),"",IF(COUNT(AI407:AJ407)=0,"",AK407-LOOKUP(2,1/(AI407:AJ407&lt;&gt;""),AI407:AJ407)))</t>
        </is>
      </c>
      <c r="AY407" s="49" t="inlineStr">
        <is>
          <t>IF(OR(F407="",AL407=""),"",IF(COUNT(AI407:AK407)=0,"",AL407-LOOKUP(2,1/(AI407:AK407&lt;&gt;""),AI407:AK407)))</t>
        </is>
      </c>
      <c r="AZ407" s="49" t="inlineStr">
        <is>
          <t>IF(OR(F407="",AM407=""),"",IF(COUNT(AI407:AL407)=0,"",AM407-LOOKUP(2,1/(AI407:AL407&lt;&gt;""),AI407:AL407)))</t>
        </is>
      </c>
      <c r="BA407" s="49" t="inlineStr">
        <is>
          <t>IF(OR(F407="",AN407=""),"",IF(COUNT(AI407:AM407)=0,"",AN407-LOOKUP(2,1/(AI407:AM407&lt;&gt;""),AI407:AM407)))</t>
        </is>
      </c>
      <c r="BB407" s="49" t="inlineStr">
        <is>
          <t>IF(OR(F407="",AO407=""),"",IF(COUNT(AI407:AN407)=0,"",AO407-LOOKUP(2,1/(AI407:AN407&lt;&gt;""),AI407:AN407)))</t>
        </is>
      </c>
      <c r="BC407" s="49" t="inlineStr">
        <is>
          <t>IF(OR(F407="",AP407=""),"",IF(COUNT(AI407:AO407)=0,"",AP407-LOOKUP(2,1/(AI407:AO407&lt;&gt;""),AI407:AO407)))</t>
        </is>
      </c>
      <c r="BD407" s="49" t="inlineStr">
        <is>
          <t>IF(OR(F407="",AQ407=""),"",IF(COUNT(AI407:AP407)=0,"",AQ407-LOOKUP(2,1/(AI407:AP407&lt;&gt;""),AI407:AP407)))</t>
        </is>
      </c>
      <c r="BE407" s="49" t="inlineStr">
        <is>
          <t>IF(OR(F407="",AR407=""),"",IF(COUNT(AI407:AQ407)=0,"",AR407-LOOKUP(2,1/(AI407:AQ407&lt;&gt;""),AI407:AQ407)))</t>
        </is>
      </c>
      <c r="BF407" s="49" t="inlineStr">
        <is>
          <t>IF(OR(F407="",AS407=""),"",IF(COUNT(AI407:AR407)=0,"",AS407-LOOKUP(2,1/(AI407:AR407&lt;&gt;""),AI407:AR407)))</t>
        </is>
      </c>
      <c r="BG407" s="49" t="inlineStr">
        <is>
          <t>IF(OR(F407="",AT407=""),"",IF(COUNT(AI407:AS407)=0,"",AT407-LOOKUP(2,1/(AI407:AS407&lt;&gt;""),AI407:AS407)))</t>
        </is>
      </c>
      <c r="BH407" s="49" t="inlineStr">
        <is>
          <t>IF(OR(F407="",AU407=""),"",IF(COUNT(AI407:AT407)=0,"",AU407-LOOKUP(2,1/(AI407:AT407&lt;&gt;""),AI407:AT407)))</t>
        </is>
      </c>
      <c r="BI407" s="49" t="inlineStr">
        <is>
          <t>IF(OR(F407="",AV407=""),"",IF(COUNT(AI407:AU407)=0,"",AV407-LOOKUP(2,1/(AI407:AU407&lt;&gt;""),AI407:AU407)))</t>
        </is>
      </c>
      <c r="BJ407" s="51" t="inlineStr">
        <is>
          <t>IF(J407="","All_Provinces",IFERROR(VLOOKUP(J407,'09_Lookups'!$A$4:$B$20,2,FALSE),"All_Provinces"))</t>
        </is>
      </c>
      <c r="BK407" s="51" t="inlineStr">
        <is>
          <t>IF(K407="","All_Districts",IFERROR(VLOOKUP(K407,'09_Lookups'!$E$4:$F$42,2,FALSE),"All_Districts"))</t>
        </is>
      </c>
    </row>
    <row r="408" ht="18" customHeight="1">
      <c r="A408" s="42" t="inlineStr">
        <is>
          <t>IF(F408="","",ROW()-3)</t>
        </is>
      </c>
      <c r="B408" s="52" t="n"/>
      <c r="C408" s="52" t="n"/>
      <c r="D408" s="52" t="n"/>
      <c r="E408" s="52" t="n"/>
      <c r="F408" s="52" t="n"/>
      <c r="G408" s="52" t="n"/>
      <c r="H408" s="52" t="n"/>
      <c r="I408" s="52" t="n"/>
      <c r="J408" s="52" t="n"/>
      <c r="K408" s="52" t="n"/>
      <c r="L408" s="52" t="n"/>
      <c r="M408" s="52" t="n"/>
      <c r="N408" s="52" t="n"/>
      <c r="O408" s="52" t="n"/>
      <c r="P408" s="52" t="n"/>
      <c r="Q408" s="52" t="n"/>
      <c r="R408" s="52" t="n"/>
      <c r="S408" s="53" t="n"/>
      <c r="T408" s="46" t="inlineStr">
        <is>
          <t>IF(AQ408="","",AQ408)</t>
        </is>
      </c>
      <c r="U408" s="54" t="n"/>
      <c r="V408" s="55" t="n"/>
      <c r="W408" s="54" t="n"/>
      <c r="X408" s="46" t="inlineStr">
        <is>
          <t>IF(W408&lt;&gt;"",W408,IF(OR(T408="",V408=""),"",EDATE(T408,V408)))</t>
        </is>
      </c>
      <c r="Y408" s="54" t="n"/>
      <c r="Z408" s="55" t="n"/>
      <c r="AA408" s="52" t="n"/>
      <c r="AB408" s="52" t="n"/>
      <c r="AC408" s="42" t="inlineStr">
        <is>
          <t>IF(F408="","",IF(COUNT(AI408:AV408)=0,IF(AA408="","Not started",AA408),SUBSTITUTE(LOOKUP(2,1/(AI408:AV408&lt;&gt;""),$AI$3:$AV$3),"Date: ","")))</t>
        </is>
      </c>
      <c r="AD408" s="49" t="inlineStr">
        <is>
          <t>IF(OR(F408="",COUNT(AI408:AV408)=0),"",TODAY()-LOOKUP(2,1/(AI408:AV408&lt;&gt;""),AI408:AV408))</t>
        </is>
      </c>
      <c r="AE408" s="49" t="inlineStr">
        <is>
          <t>IF(OR(F408="",COUNT(AI408:AV408)&lt;2),"",LOOKUP(2,1/(AI408:AV408&lt;&gt;""),AI408:AV408)-MIN(AI408:AV408))</t>
        </is>
      </c>
      <c r="AF408" s="49" t="inlineStr">
        <is>
          <t>IF(OR(AD408="",AC408="Not started",AC408=""),"",IFERROR(AD408-IF(VLOOKUP(AC408,'06_Status_Pipeline'!$B$3:$E$20,4,FALSE)="",0,VLOOKUP(AC408,'06_Status_Pipeline'!$B$3:$E$20,4,FALSE)),""))</t>
        </is>
      </c>
      <c r="AG408" s="42" t="inlineStr">
        <is>
          <t>IF(F408="","",IF(OR(AA408="Cancelled",AC408="Cancelled"),"Cancelled",IF(OR(AC408="Completed / Handover",Y408&lt;&gt;"",Z408&gt;=100),"Completed — on track",IF(O408="Not awarded",IF(U408="",IF(X408="","No planned date",IF(TODAY()&gt;X408,"Behind — past planned date",IF(X408-TODAY()&lt;=30,"At risk — close to off track","On track"))),IF(TODAY()&gt;U408,"Behind — award date passed",IF(U408-TODAY()&lt;=30,"At risk — close to off track","On track"))),IF(X408="","No planned date",IF(AND(TODAY()&gt;X408,OR(Z408="",Z408&lt;100)),"Behind — past end date",IF(AND(T408&lt;&gt;"",X408&lt;&gt;"",Z408&lt;&gt;"",(Z408&lt;100),((TODAY()-T408)/MAX(X408-T408,1)*100)-Z408&gt;15),"Behind — progress lag",IF(AND(X408-TODAY()&lt;=30,X408-TODAY()&gt;=0,OR(Z408="",Z408&lt;90)),"At risk — close to off track","On track"))))))))</t>
        </is>
      </c>
      <c r="AH408" s="49" t="inlineStr">
        <is>
          <t>IF(OR(F408="",AC408="Completed / Handover",AC408="Cancelled"),"",IF(O408="Not awarded",IF(U408&lt;&gt;"",U408-TODAY(),IF(X408="","",X408-TODAY())),IF(X408="","",X408-TODAY())))</t>
        </is>
      </c>
      <c r="AI408" s="54" t="n"/>
      <c r="AJ408" s="54" t="n"/>
      <c r="AK408" s="54" t="n"/>
      <c r="AL408" s="54" t="n"/>
      <c r="AM408" s="54" t="n"/>
      <c r="AN408" s="54" t="n"/>
      <c r="AO408" s="54" t="n"/>
      <c r="AP408" s="54" t="n"/>
      <c r="AQ408" s="54" t="n"/>
      <c r="AR408" s="54" t="n"/>
      <c r="AS408" s="54" t="n"/>
      <c r="AT408" s="50" t="n"/>
      <c r="AU408" s="50" t="n"/>
      <c r="AV408" s="50" t="n"/>
      <c r="AW408" s="49" t="inlineStr">
        <is>
          <t>IF(OR(F408="",AJ408=""),"",IF(COUNT(AI408:AI408)=0,"",AJ408-LOOKUP(2,1/(AI408:AI408&lt;&gt;""),AI408:AI408)))</t>
        </is>
      </c>
      <c r="AX408" s="49" t="inlineStr">
        <is>
          <t>IF(OR(F408="",AK408=""),"",IF(COUNT(AI408:AJ408)=0,"",AK408-LOOKUP(2,1/(AI408:AJ408&lt;&gt;""),AI408:AJ408)))</t>
        </is>
      </c>
      <c r="AY408" s="49" t="inlineStr">
        <is>
          <t>IF(OR(F408="",AL408=""),"",IF(COUNT(AI408:AK408)=0,"",AL408-LOOKUP(2,1/(AI408:AK408&lt;&gt;""),AI408:AK408)))</t>
        </is>
      </c>
      <c r="AZ408" s="49" t="inlineStr">
        <is>
          <t>IF(OR(F408="",AM408=""),"",IF(COUNT(AI408:AL408)=0,"",AM408-LOOKUP(2,1/(AI408:AL408&lt;&gt;""),AI408:AL408)))</t>
        </is>
      </c>
      <c r="BA408" s="49" t="inlineStr">
        <is>
          <t>IF(OR(F408="",AN408=""),"",IF(COUNT(AI408:AM408)=0,"",AN408-LOOKUP(2,1/(AI408:AM408&lt;&gt;""),AI408:AM408)))</t>
        </is>
      </c>
      <c r="BB408" s="49" t="inlineStr">
        <is>
          <t>IF(OR(F408="",AO408=""),"",IF(COUNT(AI408:AN408)=0,"",AO408-LOOKUP(2,1/(AI408:AN408&lt;&gt;""),AI408:AN408)))</t>
        </is>
      </c>
      <c r="BC408" s="49" t="inlineStr">
        <is>
          <t>IF(OR(F408="",AP408=""),"",IF(COUNT(AI408:AO408)=0,"",AP408-LOOKUP(2,1/(AI408:AO408&lt;&gt;""),AI408:AO408)))</t>
        </is>
      </c>
      <c r="BD408" s="49" t="inlineStr">
        <is>
          <t>IF(OR(F408="",AQ408=""),"",IF(COUNT(AI408:AP408)=0,"",AQ408-LOOKUP(2,1/(AI408:AP408&lt;&gt;""),AI408:AP408)))</t>
        </is>
      </c>
      <c r="BE408" s="49" t="inlineStr">
        <is>
          <t>IF(OR(F408="",AR408=""),"",IF(COUNT(AI408:AQ408)=0,"",AR408-LOOKUP(2,1/(AI408:AQ408&lt;&gt;""),AI408:AQ408)))</t>
        </is>
      </c>
      <c r="BF408" s="49" t="inlineStr">
        <is>
          <t>IF(OR(F408="",AS408=""),"",IF(COUNT(AI408:AR408)=0,"",AS408-LOOKUP(2,1/(AI408:AR408&lt;&gt;""),AI408:AR408)))</t>
        </is>
      </c>
      <c r="BG408" s="49" t="inlineStr">
        <is>
          <t>IF(OR(F408="",AT408=""),"",IF(COUNT(AI408:AS408)=0,"",AT408-LOOKUP(2,1/(AI408:AS408&lt;&gt;""),AI408:AS408)))</t>
        </is>
      </c>
      <c r="BH408" s="49" t="inlineStr">
        <is>
          <t>IF(OR(F408="",AU408=""),"",IF(COUNT(AI408:AT408)=0,"",AU408-LOOKUP(2,1/(AI408:AT408&lt;&gt;""),AI408:AT408)))</t>
        </is>
      </c>
      <c r="BI408" s="49" t="inlineStr">
        <is>
          <t>IF(OR(F408="",AV408=""),"",IF(COUNT(AI408:AU408)=0,"",AV408-LOOKUP(2,1/(AI408:AU408&lt;&gt;""),AI408:AU408)))</t>
        </is>
      </c>
      <c r="BJ408" s="51" t="inlineStr">
        <is>
          <t>IF(J408="","All_Provinces",IFERROR(VLOOKUP(J408,'09_Lookups'!$A$4:$B$20,2,FALSE),"All_Provinces"))</t>
        </is>
      </c>
      <c r="BK408" s="51" t="inlineStr">
        <is>
          <t>IF(K408="","All_Districts",IFERROR(VLOOKUP(K408,'09_Lookups'!$E$4:$F$42,2,FALSE),"All_Districts"))</t>
        </is>
      </c>
    </row>
    <row r="409" ht="18" customHeight="1">
      <c r="A409" s="42" t="inlineStr">
        <is>
          <t>IF(F409="","",ROW()-3)</t>
        </is>
      </c>
      <c r="B409" s="44" t="n"/>
      <c r="C409" s="44" t="n"/>
      <c r="D409" s="44" t="n"/>
      <c r="E409" s="44" t="n"/>
      <c r="F409" s="44" t="n"/>
      <c r="G409" s="44" t="n"/>
      <c r="H409" s="44" t="n"/>
      <c r="I409" s="44" t="n"/>
      <c r="J409" s="44" t="n"/>
      <c r="K409" s="44" t="n"/>
      <c r="L409" s="44" t="n"/>
      <c r="M409" s="44" t="n"/>
      <c r="N409" s="44" t="n"/>
      <c r="O409" s="44" t="n"/>
      <c r="P409" s="44" t="n"/>
      <c r="Q409" s="44" t="n"/>
      <c r="R409" s="44" t="n"/>
      <c r="S409" s="45" t="n"/>
      <c r="T409" s="46" t="inlineStr">
        <is>
          <t>IF(AQ409="","",AQ409)</t>
        </is>
      </c>
      <c r="U409" s="47" t="n"/>
      <c r="V409" s="48" t="n"/>
      <c r="W409" s="47" t="n"/>
      <c r="X409" s="46" t="inlineStr">
        <is>
          <t>IF(W409&lt;&gt;"",W409,IF(OR(T409="",V409=""),"",EDATE(T409,V409)))</t>
        </is>
      </c>
      <c r="Y409" s="47" t="n"/>
      <c r="Z409" s="48" t="n"/>
      <c r="AA409" s="44" t="n"/>
      <c r="AB409" s="44" t="n"/>
      <c r="AC409" s="42" t="inlineStr">
        <is>
          <t>IF(F409="","",IF(COUNT(AI409:AV409)=0,IF(AA409="","Not started",AA409),SUBSTITUTE(LOOKUP(2,1/(AI409:AV409&lt;&gt;""),$AI$3:$AV$3),"Date: ","")))</t>
        </is>
      </c>
      <c r="AD409" s="49" t="inlineStr">
        <is>
          <t>IF(OR(F409="",COUNT(AI409:AV409)=0),"",TODAY()-LOOKUP(2,1/(AI409:AV409&lt;&gt;""),AI409:AV409))</t>
        </is>
      </c>
      <c r="AE409" s="49" t="inlineStr">
        <is>
          <t>IF(OR(F409="",COUNT(AI409:AV409)&lt;2),"",LOOKUP(2,1/(AI409:AV409&lt;&gt;""),AI409:AV409)-MIN(AI409:AV409))</t>
        </is>
      </c>
      <c r="AF409" s="49" t="inlineStr">
        <is>
          <t>IF(OR(AD409="",AC409="Not started",AC409=""),"",IFERROR(AD409-IF(VLOOKUP(AC409,'06_Status_Pipeline'!$B$3:$E$20,4,FALSE)="",0,VLOOKUP(AC409,'06_Status_Pipeline'!$B$3:$E$20,4,FALSE)),""))</t>
        </is>
      </c>
      <c r="AG409" s="42" t="inlineStr">
        <is>
          <t>IF(F409="","",IF(OR(AA409="Cancelled",AC409="Cancelled"),"Cancelled",IF(OR(AC409="Completed / Handover",Y409&lt;&gt;"",Z409&gt;=100),"Completed — on track",IF(O409="Not awarded",IF(U409="",IF(X409="","No planned date",IF(TODAY()&gt;X409,"Behind — past planned date",IF(X409-TODAY()&lt;=30,"At risk — close to off track","On track"))),IF(TODAY()&gt;U409,"Behind — award date passed",IF(U409-TODAY()&lt;=30,"At risk — close to off track","On track"))),IF(X409="","No planned date",IF(AND(TODAY()&gt;X409,OR(Z409="",Z409&lt;100)),"Behind — past end date",IF(AND(T409&lt;&gt;"",X409&lt;&gt;"",Z409&lt;&gt;"",(Z409&lt;100),((TODAY()-T409)/MAX(X409-T409,1)*100)-Z409&gt;15),"Behind — progress lag",IF(AND(X409-TODAY()&lt;=30,X409-TODAY()&gt;=0,OR(Z409="",Z409&lt;90)),"At risk — close to off track","On track"))))))))</t>
        </is>
      </c>
      <c r="AH409" s="49" t="inlineStr">
        <is>
          <t>IF(OR(F409="",AC409="Completed / Handover",AC409="Cancelled"),"",IF(O409="Not awarded",IF(U409&lt;&gt;"",U409-TODAY(),IF(X409="","",X409-TODAY())),IF(X409="","",X409-TODAY())))</t>
        </is>
      </c>
      <c r="AI409" s="47" t="n"/>
      <c r="AJ409" s="47" t="n"/>
      <c r="AK409" s="47" t="n"/>
      <c r="AL409" s="47" t="n"/>
      <c r="AM409" s="47" t="n"/>
      <c r="AN409" s="47" t="n"/>
      <c r="AO409" s="47" t="n"/>
      <c r="AP409" s="47" t="n"/>
      <c r="AQ409" s="47" t="n"/>
      <c r="AR409" s="47" t="n"/>
      <c r="AS409" s="47" t="n"/>
      <c r="AT409" s="50" t="n"/>
      <c r="AU409" s="50" t="n"/>
      <c r="AV409" s="50" t="n"/>
      <c r="AW409" s="49" t="inlineStr">
        <is>
          <t>IF(OR(F409="",AJ409=""),"",IF(COUNT(AI409:AI409)=0,"",AJ409-LOOKUP(2,1/(AI409:AI409&lt;&gt;""),AI409:AI409)))</t>
        </is>
      </c>
      <c r="AX409" s="49" t="inlineStr">
        <is>
          <t>IF(OR(F409="",AK409=""),"",IF(COUNT(AI409:AJ409)=0,"",AK409-LOOKUP(2,1/(AI409:AJ409&lt;&gt;""),AI409:AJ409)))</t>
        </is>
      </c>
      <c r="AY409" s="49" t="inlineStr">
        <is>
          <t>IF(OR(F409="",AL409=""),"",IF(COUNT(AI409:AK409)=0,"",AL409-LOOKUP(2,1/(AI409:AK409&lt;&gt;""),AI409:AK409)))</t>
        </is>
      </c>
      <c r="AZ409" s="49" t="inlineStr">
        <is>
          <t>IF(OR(F409="",AM409=""),"",IF(COUNT(AI409:AL409)=0,"",AM409-LOOKUP(2,1/(AI409:AL409&lt;&gt;""),AI409:AL409)))</t>
        </is>
      </c>
      <c r="BA409" s="49" t="inlineStr">
        <is>
          <t>IF(OR(F409="",AN409=""),"",IF(COUNT(AI409:AM409)=0,"",AN409-LOOKUP(2,1/(AI409:AM409&lt;&gt;""),AI409:AM409)))</t>
        </is>
      </c>
      <c r="BB409" s="49" t="inlineStr">
        <is>
          <t>IF(OR(F409="",AO409=""),"",IF(COUNT(AI409:AN409)=0,"",AO409-LOOKUP(2,1/(AI409:AN409&lt;&gt;""),AI409:AN409)))</t>
        </is>
      </c>
      <c r="BC409" s="49" t="inlineStr">
        <is>
          <t>IF(OR(F409="",AP409=""),"",IF(COUNT(AI409:AO409)=0,"",AP409-LOOKUP(2,1/(AI409:AO409&lt;&gt;""),AI409:AO409)))</t>
        </is>
      </c>
      <c r="BD409" s="49" t="inlineStr">
        <is>
          <t>IF(OR(F409="",AQ409=""),"",IF(COUNT(AI409:AP409)=0,"",AQ409-LOOKUP(2,1/(AI409:AP409&lt;&gt;""),AI409:AP409)))</t>
        </is>
      </c>
      <c r="BE409" s="49" t="inlineStr">
        <is>
          <t>IF(OR(F409="",AR409=""),"",IF(COUNT(AI409:AQ409)=0,"",AR409-LOOKUP(2,1/(AI409:AQ409&lt;&gt;""),AI409:AQ409)))</t>
        </is>
      </c>
      <c r="BF409" s="49" t="inlineStr">
        <is>
          <t>IF(OR(F409="",AS409=""),"",IF(COUNT(AI409:AR409)=0,"",AS409-LOOKUP(2,1/(AI409:AR409&lt;&gt;""),AI409:AR409)))</t>
        </is>
      </c>
      <c r="BG409" s="49" t="inlineStr">
        <is>
          <t>IF(OR(F409="",AT409=""),"",IF(COUNT(AI409:AS409)=0,"",AT409-LOOKUP(2,1/(AI409:AS409&lt;&gt;""),AI409:AS409)))</t>
        </is>
      </c>
      <c r="BH409" s="49" t="inlineStr">
        <is>
          <t>IF(OR(F409="",AU409=""),"",IF(COUNT(AI409:AT409)=0,"",AU409-LOOKUP(2,1/(AI409:AT409&lt;&gt;""),AI409:AT409)))</t>
        </is>
      </c>
      <c r="BI409" s="49" t="inlineStr">
        <is>
          <t>IF(OR(F409="",AV409=""),"",IF(COUNT(AI409:AU409)=0,"",AV409-LOOKUP(2,1/(AI409:AU409&lt;&gt;""),AI409:AU409)))</t>
        </is>
      </c>
      <c r="BJ409" s="51" t="inlineStr">
        <is>
          <t>IF(J409="","All_Provinces",IFERROR(VLOOKUP(J409,'09_Lookups'!$A$4:$B$20,2,FALSE),"All_Provinces"))</t>
        </is>
      </c>
      <c r="BK409" s="51" t="inlineStr">
        <is>
          <t>IF(K409="","All_Districts",IFERROR(VLOOKUP(K409,'09_Lookups'!$E$4:$F$42,2,FALSE),"All_Districts"))</t>
        </is>
      </c>
    </row>
    <row r="410" ht="18" customHeight="1">
      <c r="A410" s="42" t="inlineStr">
        <is>
          <t>IF(F410="","",ROW()-3)</t>
        </is>
      </c>
      <c r="B410" s="52" t="n"/>
      <c r="C410" s="52" t="n"/>
      <c r="D410" s="52" t="n"/>
      <c r="E410" s="52" t="n"/>
      <c r="F410" s="52" t="n"/>
      <c r="G410" s="52" t="n"/>
      <c r="H410" s="52" t="n"/>
      <c r="I410" s="52" t="n"/>
      <c r="J410" s="52" t="n"/>
      <c r="K410" s="52" t="n"/>
      <c r="L410" s="52" t="n"/>
      <c r="M410" s="52" t="n"/>
      <c r="N410" s="52" t="n"/>
      <c r="O410" s="52" t="n"/>
      <c r="P410" s="52" t="n"/>
      <c r="Q410" s="52" t="n"/>
      <c r="R410" s="52" t="n"/>
      <c r="S410" s="53" t="n"/>
      <c r="T410" s="46" t="inlineStr">
        <is>
          <t>IF(AQ410="","",AQ410)</t>
        </is>
      </c>
      <c r="U410" s="54" t="n"/>
      <c r="V410" s="55" t="n"/>
      <c r="W410" s="54" t="n"/>
      <c r="X410" s="46" t="inlineStr">
        <is>
          <t>IF(W410&lt;&gt;"",W410,IF(OR(T410="",V410=""),"",EDATE(T410,V410)))</t>
        </is>
      </c>
      <c r="Y410" s="54" t="n"/>
      <c r="Z410" s="55" t="n"/>
      <c r="AA410" s="52" t="n"/>
      <c r="AB410" s="52" t="n"/>
      <c r="AC410" s="42" t="inlineStr">
        <is>
          <t>IF(F410="","",IF(COUNT(AI410:AV410)=0,IF(AA410="","Not started",AA410),SUBSTITUTE(LOOKUP(2,1/(AI410:AV410&lt;&gt;""),$AI$3:$AV$3),"Date: ","")))</t>
        </is>
      </c>
      <c r="AD410" s="49" t="inlineStr">
        <is>
          <t>IF(OR(F410="",COUNT(AI410:AV410)=0),"",TODAY()-LOOKUP(2,1/(AI410:AV410&lt;&gt;""),AI410:AV410))</t>
        </is>
      </c>
      <c r="AE410" s="49" t="inlineStr">
        <is>
          <t>IF(OR(F410="",COUNT(AI410:AV410)&lt;2),"",LOOKUP(2,1/(AI410:AV410&lt;&gt;""),AI410:AV410)-MIN(AI410:AV410))</t>
        </is>
      </c>
      <c r="AF410" s="49" t="inlineStr">
        <is>
          <t>IF(OR(AD410="",AC410="Not started",AC410=""),"",IFERROR(AD410-IF(VLOOKUP(AC410,'06_Status_Pipeline'!$B$3:$E$20,4,FALSE)="",0,VLOOKUP(AC410,'06_Status_Pipeline'!$B$3:$E$20,4,FALSE)),""))</t>
        </is>
      </c>
      <c r="AG410" s="42" t="inlineStr">
        <is>
          <t>IF(F410="","",IF(OR(AA410="Cancelled",AC410="Cancelled"),"Cancelled",IF(OR(AC410="Completed / Handover",Y410&lt;&gt;"",Z410&gt;=100),"Completed — on track",IF(O410="Not awarded",IF(U410="",IF(X410="","No planned date",IF(TODAY()&gt;X410,"Behind — past planned date",IF(X410-TODAY()&lt;=30,"At risk — close to off track","On track"))),IF(TODAY()&gt;U410,"Behind — award date passed",IF(U410-TODAY()&lt;=30,"At risk — close to off track","On track"))),IF(X410="","No planned date",IF(AND(TODAY()&gt;X410,OR(Z410="",Z410&lt;100)),"Behind — past end date",IF(AND(T410&lt;&gt;"",X410&lt;&gt;"",Z410&lt;&gt;"",(Z410&lt;100),((TODAY()-T410)/MAX(X410-T410,1)*100)-Z410&gt;15),"Behind — progress lag",IF(AND(X410-TODAY()&lt;=30,X410-TODAY()&gt;=0,OR(Z410="",Z410&lt;90)),"At risk — close to off track","On track"))))))))</t>
        </is>
      </c>
      <c r="AH410" s="49" t="inlineStr">
        <is>
          <t>IF(OR(F410="",AC410="Completed / Handover",AC410="Cancelled"),"",IF(O410="Not awarded",IF(U410&lt;&gt;"",U410-TODAY(),IF(X410="","",X410-TODAY())),IF(X410="","",X410-TODAY())))</t>
        </is>
      </c>
      <c r="AI410" s="54" t="n"/>
      <c r="AJ410" s="54" t="n"/>
      <c r="AK410" s="54" t="n"/>
      <c r="AL410" s="54" t="n"/>
      <c r="AM410" s="54" t="n"/>
      <c r="AN410" s="54" t="n"/>
      <c r="AO410" s="54" t="n"/>
      <c r="AP410" s="54" t="n"/>
      <c r="AQ410" s="54" t="n"/>
      <c r="AR410" s="54" t="n"/>
      <c r="AS410" s="54" t="n"/>
      <c r="AT410" s="50" t="n"/>
      <c r="AU410" s="50" t="n"/>
      <c r="AV410" s="50" t="n"/>
      <c r="AW410" s="49" t="inlineStr">
        <is>
          <t>IF(OR(F410="",AJ410=""),"",IF(COUNT(AI410:AI410)=0,"",AJ410-LOOKUP(2,1/(AI410:AI410&lt;&gt;""),AI410:AI410)))</t>
        </is>
      </c>
      <c r="AX410" s="49" t="inlineStr">
        <is>
          <t>IF(OR(F410="",AK410=""),"",IF(COUNT(AI410:AJ410)=0,"",AK410-LOOKUP(2,1/(AI410:AJ410&lt;&gt;""),AI410:AJ410)))</t>
        </is>
      </c>
      <c r="AY410" s="49" t="inlineStr">
        <is>
          <t>IF(OR(F410="",AL410=""),"",IF(COUNT(AI410:AK410)=0,"",AL410-LOOKUP(2,1/(AI410:AK410&lt;&gt;""),AI410:AK410)))</t>
        </is>
      </c>
      <c r="AZ410" s="49" t="inlineStr">
        <is>
          <t>IF(OR(F410="",AM410=""),"",IF(COUNT(AI410:AL410)=0,"",AM410-LOOKUP(2,1/(AI410:AL410&lt;&gt;""),AI410:AL410)))</t>
        </is>
      </c>
      <c r="BA410" s="49" t="inlineStr">
        <is>
          <t>IF(OR(F410="",AN410=""),"",IF(COUNT(AI410:AM410)=0,"",AN410-LOOKUP(2,1/(AI410:AM410&lt;&gt;""),AI410:AM410)))</t>
        </is>
      </c>
      <c r="BB410" s="49" t="inlineStr">
        <is>
          <t>IF(OR(F410="",AO410=""),"",IF(COUNT(AI410:AN410)=0,"",AO410-LOOKUP(2,1/(AI410:AN410&lt;&gt;""),AI410:AN410)))</t>
        </is>
      </c>
      <c r="BC410" s="49" t="inlineStr">
        <is>
          <t>IF(OR(F410="",AP410=""),"",IF(COUNT(AI410:AO410)=0,"",AP410-LOOKUP(2,1/(AI410:AO410&lt;&gt;""),AI410:AO410)))</t>
        </is>
      </c>
      <c r="BD410" s="49" t="inlineStr">
        <is>
          <t>IF(OR(F410="",AQ410=""),"",IF(COUNT(AI410:AP410)=0,"",AQ410-LOOKUP(2,1/(AI410:AP410&lt;&gt;""),AI410:AP410)))</t>
        </is>
      </c>
      <c r="BE410" s="49" t="inlineStr">
        <is>
          <t>IF(OR(F410="",AR410=""),"",IF(COUNT(AI410:AQ410)=0,"",AR410-LOOKUP(2,1/(AI410:AQ410&lt;&gt;""),AI410:AQ410)))</t>
        </is>
      </c>
      <c r="BF410" s="49" t="inlineStr">
        <is>
          <t>IF(OR(F410="",AS410=""),"",IF(COUNT(AI410:AR410)=0,"",AS410-LOOKUP(2,1/(AI410:AR410&lt;&gt;""),AI410:AR410)))</t>
        </is>
      </c>
      <c r="BG410" s="49" t="inlineStr">
        <is>
          <t>IF(OR(F410="",AT410=""),"",IF(COUNT(AI410:AS410)=0,"",AT410-LOOKUP(2,1/(AI410:AS410&lt;&gt;""),AI410:AS410)))</t>
        </is>
      </c>
      <c r="BH410" s="49" t="inlineStr">
        <is>
          <t>IF(OR(F410="",AU410=""),"",IF(COUNT(AI410:AT410)=0,"",AU410-LOOKUP(2,1/(AI410:AT410&lt;&gt;""),AI410:AT410)))</t>
        </is>
      </c>
      <c r="BI410" s="49" t="inlineStr">
        <is>
          <t>IF(OR(F410="",AV410=""),"",IF(COUNT(AI410:AU410)=0,"",AV410-LOOKUP(2,1/(AI410:AU410&lt;&gt;""),AI410:AU410)))</t>
        </is>
      </c>
      <c r="BJ410" s="51" t="inlineStr">
        <is>
          <t>IF(J410="","All_Provinces",IFERROR(VLOOKUP(J410,'09_Lookups'!$A$4:$B$20,2,FALSE),"All_Provinces"))</t>
        </is>
      </c>
      <c r="BK410" s="51" t="inlineStr">
        <is>
          <t>IF(K410="","All_Districts",IFERROR(VLOOKUP(K410,'09_Lookups'!$E$4:$F$42,2,FALSE),"All_Districts"))</t>
        </is>
      </c>
    </row>
    <row r="411" ht="18" customHeight="1">
      <c r="A411" s="42" t="inlineStr">
        <is>
          <t>IF(F411="","",ROW()-3)</t>
        </is>
      </c>
      <c r="B411" s="44" t="n"/>
      <c r="C411" s="44" t="n"/>
      <c r="D411" s="44" t="n"/>
      <c r="E411" s="44" t="n"/>
      <c r="F411" s="44" t="n"/>
      <c r="G411" s="44" t="n"/>
      <c r="H411" s="44" t="n"/>
      <c r="I411" s="44" t="n"/>
      <c r="J411" s="44" t="n"/>
      <c r="K411" s="44" t="n"/>
      <c r="L411" s="44" t="n"/>
      <c r="M411" s="44" t="n"/>
      <c r="N411" s="44" t="n"/>
      <c r="O411" s="44" t="n"/>
      <c r="P411" s="44" t="n"/>
      <c r="Q411" s="44" t="n"/>
      <c r="R411" s="44" t="n"/>
      <c r="S411" s="45" t="n"/>
      <c r="T411" s="46" t="inlineStr">
        <is>
          <t>IF(AQ411="","",AQ411)</t>
        </is>
      </c>
      <c r="U411" s="47" t="n"/>
      <c r="V411" s="48" t="n"/>
      <c r="W411" s="47" t="n"/>
      <c r="X411" s="46" t="inlineStr">
        <is>
          <t>IF(W411&lt;&gt;"",W411,IF(OR(T411="",V411=""),"",EDATE(T411,V411)))</t>
        </is>
      </c>
      <c r="Y411" s="47" t="n"/>
      <c r="Z411" s="48" t="n"/>
      <c r="AA411" s="44" t="n"/>
      <c r="AB411" s="44" t="n"/>
      <c r="AC411" s="42" t="inlineStr">
        <is>
          <t>IF(F411="","",IF(COUNT(AI411:AV411)=0,IF(AA411="","Not started",AA411),SUBSTITUTE(LOOKUP(2,1/(AI411:AV411&lt;&gt;""),$AI$3:$AV$3),"Date: ","")))</t>
        </is>
      </c>
      <c r="AD411" s="49" t="inlineStr">
        <is>
          <t>IF(OR(F411="",COUNT(AI411:AV411)=0),"",TODAY()-LOOKUP(2,1/(AI411:AV411&lt;&gt;""),AI411:AV411))</t>
        </is>
      </c>
      <c r="AE411" s="49" t="inlineStr">
        <is>
          <t>IF(OR(F411="",COUNT(AI411:AV411)&lt;2),"",LOOKUP(2,1/(AI411:AV411&lt;&gt;""),AI411:AV411)-MIN(AI411:AV411))</t>
        </is>
      </c>
      <c r="AF411" s="49" t="inlineStr">
        <is>
          <t>IF(OR(AD411="",AC411="Not started",AC411=""),"",IFERROR(AD411-IF(VLOOKUP(AC411,'06_Status_Pipeline'!$B$3:$E$20,4,FALSE)="",0,VLOOKUP(AC411,'06_Status_Pipeline'!$B$3:$E$20,4,FALSE)),""))</t>
        </is>
      </c>
      <c r="AG411" s="42" t="inlineStr">
        <is>
          <t>IF(F411="","",IF(OR(AA411="Cancelled",AC411="Cancelled"),"Cancelled",IF(OR(AC411="Completed / Handover",Y411&lt;&gt;"",Z411&gt;=100),"Completed — on track",IF(O411="Not awarded",IF(U411="",IF(X411="","No planned date",IF(TODAY()&gt;X411,"Behind — past planned date",IF(X411-TODAY()&lt;=30,"At risk — close to off track","On track"))),IF(TODAY()&gt;U411,"Behind — award date passed",IF(U411-TODAY()&lt;=30,"At risk — close to off track","On track"))),IF(X411="","No planned date",IF(AND(TODAY()&gt;X411,OR(Z411="",Z411&lt;100)),"Behind — past end date",IF(AND(T411&lt;&gt;"",X411&lt;&gt;"",Z411&lt;&gt;"",(Z411&lt;100),((TODAY()-T411)/MAX(X411-T411,1)*100)-Z411&gt;15),"Behind — progress lag",IF(AND(X411-TODAY()&lt;=30,X411-TODAY()&gt;=0,OR(Z411="",Z411&lt;90)),"At risk — close to off track","On track"))))))))</t>
        </is>
      </c>
      <c r="AH411" s="49" t="inlineStr">
        <is>
          <t>IF(OR(F411="",AC411="Completed / Handover",AC411="Cancelled"),"",IF(O411="Not awarded",IF(U411&lt;&gt;"",U411-TODAY(),IF(X411="","",X411-TODAY())),IF(X411="","",X411-TODAY())))</t>
        </is>
      </c>
      <c r="AI411" s="47" t="n"/>
      <c r="AJ411" s="47" t="n"/>
      <c r="AK411" s="47" t="n"/>
      <c r="AL411" s="47" t="n"/>
      <c r="AM411" s="47" t="n"/>
      <c r="AN411" s="47" t="n"/>
      <c r="AO411" s="47" t="n"/>
      <c r="AP411" s="47" t="n"/>
      <c r="AQ411" s="47" t="n"/>
      <c r="AR411" s="47" t="n"/>
      <c r="AS411" s="47" t="n"/>
      <c r="AT411" s="50" t="n"/>
      <c r="AU411" s="50" t="n"/>
      <c r="AV411" s="50" t="n"/>
      <c r="AW411" s="49" t="inlineStr">
        <is>
          <t>IF(OR(F411="",AJ411=""),"",IF(COUNT(AI411:AI411)=0,"",AJ411-LOOKUP(2,1/(AI411:AI411&lt;&gt;""),AI411:AI411)))</t>
        </is>
      </c>
      <c r="AX411" s="49" t="inlineStr">
        <is>
          <t>IF(OR(F411="",AK411=""),"",IF(COUNT(AI411:AJ411)=0,"",AK411-LOOKUP(2,1/(AI411:AJ411&lt;&gt;""),AI411:AJ411)))</t>
        </is>
      </c>
      <c r="AY411" s="49" t="inlineStr">
        <is>
          <t>IF(OR(F411="",AL411=""),"",IF(COUNT(AI411:AK411)=0,"",AL411-LOOKUP(2,1/(AI411:AK411&lt;&gt;""),AI411:AK411)))</t>
        </is>
      </c>
      <c r="AZ411" s="49" t="inlineStr">
        <is>
          <t>IF(OR(F411="",AM411=""),"",IF(COUNT(AI411:AL411)=0,"",AM411-LOOKUP(2,1/(AI411:AL411&lt;&gt;""),AI411:AL411)))</t>
        </is>
      </c>
      <c r="BA411" s="49" t="inlineStr">
        <is>
          <t>IF(OR(F411="",AN411=""),"",IF(COUNT(AI411:AM411)=0,"",AN411-LOOKUP(2,1/(AI411:AM411&lt;&gt;""),AI411:AM411)))</t>
        </is>
      </c>
      <c r="BB411" s="49" t="inlineStr">
        <is>
          <t>IF(OR(F411="",AO411=""),"",IF(COUNT(AI411:AN411)=0,"",AO411-LOOKUP(2,1/(AI411:AN411&lt;&gt;""),AI411:AN411)))</t>
        </is>
      </c>
      <c r="BC411" s="49" t="inlineStr">
        <is>
          <t>IF(OR(F411="",AP411=""),"",IF(COUNT(AI411:AO411)=0,"",AP411-LOOKUP(2,1/(AI411:AO411&lt;&gt;""),AI411:AO411)))</t>
        </is>
      </c>
      <c r="BD411" s="49" t="inlineStr">
        <is>
          <t>IF(OR(F411="",AQ411=""),"",IF(COUNT(AI411:AP411)=0,"",AQ411-LOOKUP(2,1/(AI411:AP411&lt;&gt;""),AI411:AP411)))</t>
        </is>
      </c>
      <c r="BE411" s="49" t="inlineStr">
        <is>
          <t>IF(OR(F411="",AR411=""),"",IF(COUNT(AI411:AQ411)=0,"",AR411-LOOKUP(2,1/(AI411:AQ411&lt;&gt;""),AI411:AQ411)))</t>
        </is>
      </c>
      <c r="BF411" s="49" t="inlineStr">
        <is>
          <t>IF(OR(F411="",AS411=""),"",IF(COUNT(AI411:AR411)=0,"",AS411-LOOKUP(2,1/(AI411:AR411&lt;&gt;""),AI411:AR411)))</t>
        </is>
      </c>
      <c r="BG411" s="49" t="inlineStr">
        <is>
          <t>IF(OR(F411="",AT411=""),"",IF(COUNT(AI411:AS411)=0,"",AT411-LOOKUP(2,1/(AI411:AS411&lt;&gt;""),AI411:AS411)))</t>
        </is>
      </c>
      <c r="BH411" s="49" t="inlineStr">
        <is>
          <t>IF(OR(F411="",AU411=""),"",IF(COUNT(AI411:AT411)=0,"",AU411-LOOKUP(2,1/(AI411:AT411&lt;&gt;""),AI411:AT411)))</t>
        </is>
      </c>
      <c r="BI411" s="49" t="inlineStr">
        <is>
          <t>IF(OR(F411="",AV411=""),"",IF(COUNT(AI411:AU411)=0,"",AV411-LOOKUP(2,1/(AI411:AU411&lt;&gt;""),AI411:AU411)))</t>
        </is>
      </c>
      <c r="BJ411" s="51" t="inlineStr">
        <is>
          <t>IF(J411="","All_Provinces",IFERROR(VLOOKUP(J411,'09_Lookups'!$A$4:$B$20,2,FALSE),"All_Provinces"))</t>
        </is>
      </c>
      <c r="BK411" s="51" t="inlineStr">
        <is>
          <t>IF(K411="","All_Districts",IFERROR(VLOOKUP(K411,'09_Lookups'!$E$4:$F$42,2,FALSE),"All_Districts"))</t>
        </is>
      </c>
    </row>
    <row r="412" ht="18" customHeight="1">
      <c r="A412" s="42" t="inlineStr">
        <is>
          <t>IF(F412="","",ROW()-3)</t>
        </is>
      </c>
      <c r="B412" s="52" t="n"/>
      <c r="C412" s="52" t="n"/>
      <c r="D412" s="52" t="n"/>
      <c r="E412" s="52" t="n"/>
      <c r="F412" s="52" t="n"/>
      <c r="G412" s="52" t="n"/>
      <c r="H412" s="52" t="n"/>
      <c r="I412" s="52" t="n"/>
      <c r="J412" s="52" t="n"/>
      <c r="K412" s="52" t="n"/>
      <c r="L412" s="52" t="n"/>
      <c r="M412" s="52" t="n"/>
      <c r="N412" s="52" t="n"/>
      <c r="O412" s="52" t="n"/>
      <c r="P412" s="52" t="n"/>
      <c r="Q412" s="52" t="n"/>
      <c r="R412" s="52" t="n"/>
      <c r="S412" s="53" t="n"/>
      <c r="T412" s="46" t="inlineStr">
        <is>
          <t>IF(AQ412="","",AQ412)</t>
        </is>
      </c>
      <c r="U412" s="54" t="n"/>
      <c r="V412" s="55" t="n"/>
      <c r="W412" s="54" t="n"/>
      <c r="X412" s="46" t="inlineStr">
        <is>
          <t>IF(W412&lt;&gt;"",W412,IF(OR(T412="",V412=""),"",EDATE(T412,V412)))</t>
        </is>
      </c>
      <c r="Y412" s="54" t="n"/>
      <c r="Z412" s="55" t="n"/>
      <c r="AA412" s="52" t="n"/>
      <c r="AB412" s="52" t="n"/>
      <c r="AC412" s="42" t="inlineStr">
        <is>
          <t>IF(F412="","",IF(COUNT(AI412:AV412)=0,IF(AA412="","Not started",AA412),SUBSTITUTE(LOOKUP(2,1/(AI412:AV412&lt;&gt;""),$AI$3:$AV$3),"Date: ","")))</t>
        </is>
      </c>
      <c r="AD412" s="49" t="inlineStr">
        <is>
          <t>IF(OR(F412="",COUNT(AI412:AV412)=0),"",TODAY()-LOOKUP(2,1/(AI412:AV412&lt;&gt;""),AI412:AV412))</t>
        </is>
      </c>
      <c r="AE412" s="49" t="inlineStr">
        <is>
          <t>IF(OR(F412="",COUNT(AI412:AV412)&lt;2),"",LOOKUP(2,1/(AI412:AV412&lt;&gt;""),AI412:AV412)-MIN(AI412:AV412))</t>
        </is>
      </c>
      <c r="AF412" s="49" t="inlineStr">
        <is>
          <t>IF(OR(AD412="",AC412="Not started",AC412=""),"",IFERROR(AD412-IF(VLOOKUP(AC412,'06_Status_Pipeline'!$B$3:$E$20,4,FALSE)="",0,VLOOKUP(AC412,'06_Status_Pipeline'!$B$3:$E$20,4,FALSE)),""))</t>
        </is>
      </c>
      <c r="AG412" s="42" t="inlineStr">
        <is>
          <t>IF(F412="","",IF(OR(AA412="Cancelled",AC412="Cancelled"),"Cancelled",IF(OR(AC412="Completed / Handover",Y412&lt;&gt;"",Z412&gt;=100),"Completed — on track",IF(O412="Not awarded",IF(U412="",IF(X412="","No planned date",IF(TODAY()&gt;X412,"Behind — past planned date",IF(X412-TODAY()&lt;=30,"At risk — close to off track","On track"))),IF(TODAY()&gt;U412,"Behind — award date passed",IF(U412-TODAY()&lt;=30,"At risk — close to off track","On track"))),IF(X412="","No planned date",IF(AND(TODAY()&gt;X412,OR(Z412="",Z412&lt;100)),"Behind — past end date",IF(AND(T412&lt;&gt;"",X412&lt;&gt;"",Z412&lt;&gt;"",(Z412&lt;100),((TODAY()-T412)/MAX(X412-T412,1)*100)-Z412&gt;15),"Behind — progress lag",IF(AND(X412-TODAY()&lt;=30,X412-TODAY()&gt;=0,OR(Z412="",Z412&lt;90)),"At risk — close to off track","On track"))))))))</t>
        </is>
      </c>
      <c r="AH412" s="49" t="inlineStr">
        <is>
          <t>IF(OR(F412="",AC412="Completed / Handover",AC412="Cancelled"),"",IF(O412="Not awarded",IF(U412&lt;&gt;"",U412-TODAY(),IF(X412="","",X412-TODAY())),IF(X412="","",X412-TODAY())))</t>
        </is>
      </c>
      <c r="AI412" s="54" t="n"/>
      <c r="AJ412" s="54" t="n"/>
      <c r="AK412" s="54" t="n"/>
      <c r="AL412" s="54" t="n"/>
      <c r="AM412" s="54" t="n"/>
      <c r="AN412" s="54" t="n"/>
      <c r="AO412" s="54" t="n"/>
      <c r="AP412" s="54" t="n"/>
      <c r="AQ412" s="54" t="n"/>
      <c r="AR412" s="54" t="n"/>
      <c r="AS412" s="54" t="n"/>
      <c r="AT412" s="50" t="n"/>
      <c r="AU412" s="50" t="n"/>
      <c r="AV412" s="50" t="n"/>
      <c r="AW412" s="49" t="inlineStr">
        <is>
          <t>IF(OR(F412="",AJ412=""),"",IF(COUNT(AI412:AI412)=0,"",AJ412-LOOKUP(2,1/(AI412:AI412&lt;&gt;""),AI412:AI412)))</t>
        </is>
      </c>
      <c r="AX412" s="49" t="inlineStr">
        <is>
          <t>IF(OR(F412="",AK412=""),"",IF(COUNT(AI412:AJ412)=0,"",AK412-LOOKUP(2,1/(AI412:AJ412&lt;&gt;""),AI412:AJ412)))</t>
        </is>
      </c>
      <c r="AY412" s="49" t="inlineStr">
        <is>
          <t>IF(OR(F412="",AL412=""),"",IF(COUNT(AI412:AK412)=0,"",AL412-LOOKUP(2,1/(AI412:AK412&lt;&gt;""),AI412:AK412)))</t>
        </is>
      </c>
      <c r="AZ412" s="49" t="inlineStr">
        <is>
          <t>IF(OR(F412="",AM412=""),"",IF(COUNT(AI412:AL412)=0,"",AM412-LOOKUP(2,1/(AI412:AL412&lt;&gt;""),AI412:AL412)))</t>
        </is>
      </c>
      <c r="BA412" s="49" t="inlineStr">
        <is>
          <t>IF(OR(F412="",AN412=""),"",IF(COUNT(AI412:AM412)=0,"",AN412-LOOKUP(2,1/(AI412:AM412&lt;&gt;""),AI412:AM412)))</t>
        </is>
      </c>
      <c r="BB412" s="49" t="inlineStr">
        <is>
          <t>IF(OR(F412="",AO412=""),"",IF(COUNT(AI412:AN412)=0,"",AO412-LOOKUP(2,1/(AI412:AN412&lt;&gt;""),AI412:AN412)))</t>
        </is>
      </c>
      <c r="BC412" s="49" t="inlineStr">
        <is>
          <t>IF(OR(F412="",AP412=""),"",IF(COUNT(AI412:AO412)=0,"",AP412-LOOKUP(2,1/(AI412:AO412&lt;&gt;""),AI412:AO412)))</t>
        </is>
      </c>
      <c r="BD412" s="49" t="inlineStr">
        <is>
          <t>IF(OR(F412="",AQ412=""),"",IF(COUNT(AI412:AP412)=0,"",AQ412-LOOKUP(2,1/(AI412:AP412&lt;&gt;""),AI412:AP412)))</t>
        </is>
      </c>
      <c r="BE412" s="49" t="inlineStr">
        <is>
          <t>IF(OR(F412="",AR412=""),"",IF(COUNT(AI412:AQ412)=0,"",AR412-LOOKUP(2,1/(AI412:AQ412&lt;&gt;""),AI412:AQ412)))</t>
        </is>
      </c>
      <c r="BF412" s="49" t="inlineStr">
        <is>
          <t>IF(OR(F412="",AS412=""),"",IF(COUNT(AI412:AR412)=0,"",AS412-LOOKUP(2,1/(AI412:AR412&lt;&gt;""),AI412:AR412)))</t>
        </is>
      </c>
      <c r="BG412" s="49" t="inlineStr">
        <is>
          <t>IF(OR(F412="",AT412=""),"",IF(COUNT(AI412:AS412)=0,"",AT412-LOOKUP(2,1/(AI412:AS412&lt;&gt;""),AI412:AS412)))</t>
        </is>
      </c>
      <c r="BH412" s="49" t="inlineStr">
        <is>
          <t>IF(OR(F412="",AU412=""),"",IF(COUNT(AI412:AT412)=0,"",AU412-LOOKUP(2,1/(AI412:AT412&lt;&gt;""),AI412:AT412)))</t>
        </is>
      </c>
      <c r="BI412" s="49" t="inlineStr">
        <is>
          <t>IF(OR(F412="",AV412=""),"",IF(COUNT(AI412:AU412)=0,"",AV412-LOOKUP(2,1/(AI412:AU412&lt;&gt;""),AI412:AU412)))</t>
        </is>
      </c>
      <c r="BJ412" s="51" t="inlineStr">
        <is>
          <t>IF(J412="","All_Provinces",IFERROR(VLOOKUP(J412,'09_Lookups'!$A$4:$B$20,2,FALSE),"All_Provinces"))</t>
        </is>
      </c>
      <c r="BK412" s="51" t="inlineStr">
        <is>
          <t>IF(K412="","All_Districts",IFERROR(VLOOKUP(K412,'09_Lookups'!$E$4:$F$42,2,FALSE),"All_Districts"))</t>
        </is>
      </c>
    </row>
    <row r="413" ht="18" customHeight="1">
      <c r="A413" s="42" t="inlineStr">
        <is>
          <t>IF(F413="","",ROW()-3)</t>
        </is>
      </c>
      <c r="B413" s="44" t="n"/>
      <c r="C413" s="44" t="n"/>
      <c r="D413" s="44" t="n"/>
      <c r="E413" s="44" t="n"/>
      <c r="F413" s="44" t="n"/>
      <c r="G413" s="44" t="n"/>
      <c r="H413" s="44" t="n"/>
      <c r="I413" s="44" t="n"/>
      <c r="J413" s="44" t="n"/>
      <c r="K413" s="44" t="n"/>
      <c r="L413" s="44" t="n"/>
      <c r="M413" s="44" t="n"/>
      <c r="N413" s="44" t="n"/>
      <c r="O413" s="44" t="n"/>
      <c r="P413" s="44" t="n"/>
      <c r="Q413" s="44" t="n"/>
      <c r="R413" s="44" t="n"/>
      <c r="S413" s="45" t="n"/>
      <c r="T413" s="46" t="inlineStr">
        <is>
          <t>IF(AQ413="","",AQ413)</t>
        </is>
      </c>
      <c r="U413" s="47" t="n"/>
      <c r="V413" s="48" t="n"/>
      <c r="W413" s="47" t="n"/>
      <c r="X413" s="46" t="inlineStr">
        <is>
          <t>IF(W413&lt;&gt;"",W413,IF(OR(T413="",V413=""),"",EDATE(T413,V413)))</t>
        </is>
      </c>
      <c r="Y413" s="47" t="n"/>
      <c r="Z413" s="48" t="n"/>
      <c r="AA413" s="44" t="n"/>
      <c r="AB413" s="44" t="n"/>
      <c r="AC413" s="42" t="inlineStr">
        <is>
          <t>IF(F413="","",IF(COUNT(AI413:AV413)=0,IF(AA413="","Not started",AA413),SUBSTITUTE(LOOKUP(2,1/(AI413:AV413&lt;&gt;""),$AI$3:$AV$3),"Date: ","")))</t>
        </is>
      </c>
      <c r="AD413" s="49" t="inlineStr">
        <is>
          <t>IF(OR(F413="",COUNT(AI413:AV413)=0),"",TODAY()-LOOKUP(2,1/(AI413:AV413&lt;&gt;""),AI413:AV413))</t>
        </is>
      </c>
      <c r="AE413" s="49" t="inlineStr">
        <is>
          <t>IF(OR(F413="",COUNT(AI413:AV413)&lt;2),"",LOOKUP(2,1/(AI413:AV413&lt;&gt;""),AI413:AV413)-MIN(AI413:AV413))</t>
        </is>
      </c>
      <c r="AF413" s="49" t="inlineStr">
        <is>
          <t>IF(OR(AD413="",AC413="Not started",AC413=""),"",IFERROR(AD413-IF(VLOOKUP(AC413,'06_Status_Pipeline'!$B$3:$E$20,4,FALSE)="",0,VLOOKUP(AC413,'06_Status_Pipeline'!$B$3:$E$20,4,FALSE)),""))</t>
        </is>
      </c>
      <c r="AG413" s="42" t="inlineStr">
        <is>
          <t>IF(F413="","",IF(OR(AA413="Cancelled",AC413="Cancelled"),"Cancelled",IF(OR(AC413="Completed / Handover",Y413&lt;&gt;"",Z413&gt;=100),"Completed — on track",IF(O413="Not awarded",IF(U413="",IF(X413="","No planned date",IF(TODAY()&gt;X413,"Behind — past planned date",IF(X413-TODAY()&lt;=30,"At risk — close to off track","On track"))),IF(TODAY()&gt;U413,"Behind — award date passed",IF(U413-TODAY()&lt;=30,"At risk — close to off track","On track"))),IF(X413="","No planned date",IF(AND(TODAY()&gt;X413,OR(Z413="",Z413&lt;100)),"Behind — past end date",IF(AND(T413&lt;&gt;"",X413&lt;&gt;"",Z413&lt;&gt;"",(Z413&lt;100),((TODAY()-T413)/MAX(X413-T413,1)*100)-Z413&gt;15),"Behind — progress lag",IF(AND(X413-TODAY()&lt;=30,X413-TODAY()&gt;=0,OR(Z413="",Z413&lt;90)),"At risk — close to off track","On track"))))))))</t>
        </is>
      </c>
      <c r="AH413" s="49" t="inlineStr">
        <is>
          <t>IF(OR(F413="",AC413="Completed / Handover",AC413="Cancelled"),"",IF(O413="Not awarded",IF(U413&lt;&gt;"",U413-TODAY(),IF(X413="","",X413-TODAY())),IF(X413="","",X413-TODAY())))</t>
        </is>
      </c>
      <c r="AI413" s="47" t="n"/>
      <c r="AJ413" s="47" t="n"/>
      <c r="AK413" s="47" t="n"/>
      <c r="AL413" s="47" t="n"/>
      <c r="AM413" s="47" t="n"/>
      <c r="AN413" s="47" t="n"/>
      <c r="AO413" s="47" t="n"/>
      <c r="AP413" s="47" t="n"/>
      <c r="AQ413" s="47" t="n"/>
      <c r="AR413" s="47" t="n"/>
      <c r="AS413" s="47" t="n"/>
      <c r="AT413" s="50" t="n"/>
      <c r="AU413" s="50" t="n"/>
      <c r="AV413" s="50" t="n"/>
      <c r="AW413" s="49" t="inlineStr">
        <is>
          <t>IF(OR(F413="",AJ413=""),"",IF(COUNT(AI413:AI413)=0,"",AJ413-LOOKUP(2,1/(AI413:AI413&lt;&gt;""),AI413:AI413)))</t>
        </is>
      </c>
      <c r="AX413" s="49" t="inlineStr">
        <is>
          <t>IF(OR(F413="",AK413=""),"",IF(COUNT(AI413:AJ413)=0,"",AK413-LOOKUP(2,1/(AI413:AJ413&lt;&gt;""),AI413:AJ413)))</t>
        </is>
      </c>
      <c r="AY413" s="49" t="inlineStr">
        <is>
          <t>IF(OR(F413="",AL413=""),"",IF(COUNT(AI413:AK413)=0,"",AL413-LOOKUP(2,1/(AI413:AK413&lt;&gt;""),AI413:AK413)))</t>
        </is>
      </c>
      <c r="AZ413" s="49" t="inlineStr">
        <is>
          <t>IF(OR(F413="",AM413=""),"",IF(COUNT(AI413:AL413)=0,"",AM413-LOOKUP(2,1/(AI413:AL413&lt;&gt;""),AI413:AL413)))</t>
        </is>
      </c>
      <c r="BA413" s="49" t="inlineStr">
        <is>
          <t>IF(OR(F413="",AN413=""),"",IF(COUNT(AI413:AM413)=0,"",AN413-LOOKUP(2,1/(AI413:AM413&lt;&gt;""),AI413:AM413)))</t>
        </is>
      </c>
      <c r="BB413" s="49" t="inlineStr">
        <is>
          <t>IF(OR(F413="",AO413=""),"",IF(COUNT(AI413:AN413)=0,"",AO413-LOOKUP(2,1/(AI413:AN413&lt;&gt;""),AI413:AN413)))</t>
        </is>
      </c>
      <c r="BC413" s="49" t="inlineStr">
        <is>
          <t>IF(OR(F413="",AP413=""),"",IF(COUNT(AI413:AO413)=0,"",AP413-LOOKUP(2,1/(AI413:AO413&lt;&gt;""),AI413:AO413)))</t>
        </is>
      </c>
      <c r="BD413" s="49" t="inlineStr">
        <is>
          <t>IF(OR(F413="",AQ413=""),"",IF(COUNT(AI413:AP413)=0,"",AQ413-LOOKUP(2,1/(AI413:AP413&lt;&gt;""),AI413:AP413)))</t>
        </is>
      </c>
      <c r="BE413" s="49" t="inlineStr">
        <is>
          <t>IF(OR(F413="",AR413=""),"",IF(COUNT(AI413:AQ413)=0,"",AR413-LOOKUP(2,1/(AI413:AQ413&lt;&gt;""),AI413:AQ413)))</t>
        </is>
      </c>
      <c r="BF413" s="49" t="inlineStr">
        <is>
          <t>IF(OR(F413="",AS413=""),"",IF(COUNT(AI413:AR413)=0,"",AS413-LOOKUP(2,1/(AI413:AR413&lt;&gt;""),AI413:AR413)))</t>
        </is>
      </c>
      <c r="BG413" s="49" t="inlineStr">
        <is>
          <t>IF(OR(F413="",AT413=""),"",IF(COUNT(AI413:AS413)=0,"",AT413-LOOKUP(2,1/(AI413:AS413&lt;&gt;""),AI413:AS413)))</t>
        </is>
      </c>
      <c r="BH413" s="49" t="inlineStr">
        <is>
          <t>IF(OR(F413="",AU413=""),"",IF(COUNT(AI413:AT413)=0,"",AU413-LOOKUP(2,1/(AI413:AT413&lt;&gt;""),AI413:AT413)))</t>
        </is>
      </c>
      <c r="BI413" s="49" t="inlineStr">
        <is>
          <t>IF(OR(F413="",AV413=""),"",IF(COUNT(AI413:AU413)=0,"",AV413-LOOKUP(2,1/(AI413:AU413&lt;&gt;""),AI413:AU413)))</t>
        </is>
      </c>
      <c r="BJ413" s="51" t="inlineStr">
        <is>
          <t>IF(J413="","All_Provinces",IFERROR(VLOOKUP(J413,'09_Lookups'!$A$4:$B$20,2,FALSE),"All_Provinces"))</t>
        </is>
      </c>
      <c r="BK413" s="51" t="inlineStr">
        <is>
          <t>IF(K413="","All_Districts",IFERROR(VLOOKUP(K413,'09_Lookups'!$E$4:$F$42,2,FALSE),"All_Districts"))</t>
        </is>
      </c>
    </row>
    <row r="414" ht="18" customHeight="1">
      <c r="A414" s="42" t="inlineStr">
        <is>
          <t>IF(F414="","",ROW()-3)</t>
        </is>
      </c>
      <c r="B414" s="52" t="n"/>
      <c r="C414" s="52" t="n"/>
      <c r="D414" s="52" t="n"/>
      <c r="E414" s="52" t="n"/>
      <c r="F414" s="52" t="n"/>
      <c r="G414" s="52" t="n"/>
      <c r="H414" s="52" t="n"/>
      <c r="I414" s="52" t="n"/>
      <c r="J414" s="52" t="n"/>
      <c r="K414" s="52" t="n"/>
      <c r="L414" s="52" t="n"/>
      <c r="M414" s="52" t="n"/>
      <c r="N414" s="52" t="n"/>
      <c r="O414" s="52" t="n"/>
      <c r="P414" s="52" t="n"/>
      <c r="Q414" s="52" t="n"/>
      <c r="R414" s="52" t="n"/>
      <c r="S414" s="53" t="n"/>
      <c r="T414" s="46" t="inlineStr">
        <is>
          <t>IF(AQ414="","",AQ414)</t>
        </is>
      </c>
      <c r="U414" s="54" t="n"/>
      <c r="V414" s="55" t="n"/>
      <c r="W414" s="54" t="n"/>
      <c r="X414" s="46" t="inlineStr">
        <is>
          <t>IF(W414&lt;&gt;"",W414,IF(OR(T414="",V414=""),"",EDATE(T414,V414)))</t>
        </is>
      </c>
      <c r="Y414" s="54" t="n"/>
      <c r="Z414" s="55" t="n"/>
      <c r="AA414" s="52" t="n"/>
      <c r="AB414" s="52" t="n"/>
      <c r="AC414" s="42" t="inlineStr">
        <is>
          <t>IF(F414="","",IF(COUNT(AI414:AV414)=0,IF(AA414="","Not started",AA414),SUBSTITUTE(LOOKUP(2,1/(AI414:AV414&lt;&gt;""),$AI$3:$AV$3),"Date: ","")))</t>
        </is>
      </c>
      <c r="AD414" s="49" t="inlineStr">
        <is>
          <t>IF(OR(F414="",COUNT(AI414:AV414)=0),"",TODAY()-LOOKUP(2,1/(AI414:AV414&lt;&gt;""),AI414:AV414))</t>
        </is>
      </c>
      <c r="AE414" s="49" t="inlineStr">
        <is>
          <t>IF(OR(F414="",COUNT(AI414:AV414)&lt;2),"",LOOKUP(2,1/(AI414:AV414&lt;&gt;""),AI414:AV414)-MIN(AI414:AV414))</t>
        </is>
      </c>
      <c r="AF414" s="49" t="inlineStr">
        <is>
          <t>IF(OR(AD414="",AC414="Not started",AC414=""),"",IFERROR(AD414-IF(VLOOKUP(AC414,'06_Status_Pipeline'!$B$3:$E$20,4,FALSE)="",0,VLOOKUP(AC414,'06_Status_Pipeline'!$B$3:$E$20,4,FALSE)),""))</t>
        </is>
      </c>
      <c r="AG414" s="42" t="inlineStr">
        <is>
          <t>IF(F414="","",IF(OR(AA414="Cancelled",AC414="Cancelled"),"Cancelled",IF(OR(AC414="Completed / Handover",Y414&lt;&gt;"",Z414&gt;=100),"Completed — on track",IF(O414="Not awarded",IF(U414="",IF(X414="","No planned date",IF(TODAY()&gt;X414,"Behind — past planned date",IF(X414-TODAY()&lt;=30,"At risk — close to off track","On track"))),IF(TODAY()&gt;U414,"Behind — award date passed",IF(U414-TODAY()&lt;=30,"At risk — close to off track","On track"))),IF(X414="","No planned date",IF(AND(TODAY()&gt;X414,OR(Z414="",Z414&lt;100)),"Behind — past end date",IF(AND(T414&lt;&gt;"",X414&lt;&gt;"",Z414&lt;&gt;"",(Z414&lt;100),((TODAY()-T414)/MAX(X414-T414,1)*100)-Z414&gt;15),"Behind — progress lag",IF(AND(X414-TODAY()&lt;=30,X414-TODAY()&gt;=0,OR(Z414="",Z414&lt;90)),"At risk — close to off track","On track"))))))))</t>
        </is>
      </c>
      <c r="AH414" s="49" t="inlineStr">
        <is>
          <t>IF(OR(F414="",AC414="Completed / Handover",AC414="Cancelled"),"",IF(O414="Not awarded",IF(U414&lt;&gt;"",U414-TODAY(),IF(X414="","",X414-TODAY())),IF(X414="","",X414-TODAY())))</t>
        </is>
      </c>
      <c r="AI414" s="54" t="n"/>
      <c r="AJ414" s="54" t="n"/>
      <c r="AK414" s="54" t="n"/>
      <c r="AL414" s="54" t="n"/>
      <c r="AM414" s="54" t="n"/>
      <c r="AN414" s="54" t="n"/>
      <c r="AO414" s="54" t="n"/>
      <c r="AP414" s="54" t="n"/>
      <c r="AQ414" s="54" t="n"/>
      <c r="AR414" s="54" t="n"/>
      <c r="AS414" s="54" t="n"/>
      <c r="AT414" s="50" t="n"/>
      <c r="AU414" s="50" t="n"/>
      <c r="AV414" s="50" t="n"/>
      <c r="AW414" s="49" t="inlineStr">
        <is>
          <t>IF(OR(F414="",AJ414=""),"",IF(COUNT(AI414:AI414)=0,"",AJ414-LOOKUP(2,1/(AI414:AI414&lt;&gt;""),AI414:AI414)))</t>
        </is>
      </c>
      <c r="AX414" s="49" t="inlineStr">
        <is>
          <t>IF(OR(F414="",AK414=""),"",IF(COUNT(AI414:AJ414)=0,"",AK414-LOOKUP(2,1/(AI414:AJ414&lt;&gt;""),AI414:AJ414)))</t>
        </is>
      </c>
      <c r="AY414" s="49" t="inlineStr">
        <is>
          <t>IF(OR(F414="",AL414=""),"",IF(COUNT(AI414:AK414)=0,"",AL414-LOOKUP(2,1/(AI414:AK414&lt;&gt;""),AI414:AK414)))</t>
        </is>
      </c>
      <c r="AZ414" s="49" t="inlineStr">
        <is>
          <t>IF(OR(F414="",AM414=""),"",IF(COUNT(AI414:AL414)=0,"",AM414-LOOKUP(2,1/(AI414:AL414&lt;&gt;""),AI414:AL414)))</t>
        </is>
      </c>
      <c r="BA414" s="49" t="inlineStr">
        <is>
          <t>IF(OR(F414="",AN414=""),"",IF(COUNT(AI414:AM414)=0,"",AN414-LOOKUP(2,1/(AI414:AM414&lt;&gt;""),AI414:AM414)))</t>
        </is>
      </c>
      <c r="BB414" s="49" t="inlineStr">
        <is>
          <t>IF(OR(F414="",AO414=""),"",IF(COUNT(AI414:AN414)=0,"",AO414-LOOKUP(2,1/(AI414:AN414&lt;&gt;""),AI414:AN414)))</t>
        </is>
      </c>
      <c r="BC414" s="49" t="inlineStr">
        <is>
          <t>IF(OR(F414="",AP414=""),"",IF(COUNT(AI414:AO414)=0,"",AP414-LOOKUP(2,1/(AI414:AO414&lt;&gt;""),AI414:AO414)))</t>
        </is>
      </c>
      <c r="BD414" s="49" t="inlineStr">
        <is>
          <t>IF(OR(F414="",AQ414=""),"",IF(COUNT(AI414:AP414)=0,"",AQ414-LOOKUP(2,1/(AI414:AP414&lt;&gt;""),AI414:AP414)))</t>
        </is>
      </c>
      <c r="BE414" s="49" t="inlineStr">
        <is>
          <t>IF(OR(F414="",AR414=""),"",IF(COUNT(AI414:AQ414)=0,"",AR414-LOOKUP(2,1/(AI414:AQ414&lt;&gt;""),AI414:AQ414)))</t>
        </is>
      </c>
      <c r="BF414" s="49" t="inlineStr">
        <is>
          <t>IF(OR(F414="",AS414=""),"",IF(COUNT(AI414:AR414)=0,"",AS414-LOOKUP(2,1/(AI414:AR414&lt;&gt;""),AI414:AR414)))</t>
        </is>
      </c>
      <c r="BG414" s="49" t="inlineStr">
        <is>
          <t>IF(OR(F414="",AT414=""),"",IF(COUNT(AI414:AS414)=0,"",AT414-LOOKUP(2,1/(AI414:AS414&lt;&gt;""),AI414:AS414)))</t>
        </is>
      </c>
      <c r="BH414" s="49" t="inlineStr">
        <is>
          <t>IF(OR(F414="",AU414=""),"",IF(COUNT(AI414:AT414)=0,"",AU414-LOOKUP(2,1/(AI414:AT414&lt;&gt;""),AI414:AT414)))</t>
        </is>
      </c>
      <c r="BI414" s="49" t="inlineStr">
        <is>
          <t>IF(OR(F414="",AV414=""),"",IF(COUNT(AI414:AU414)=0,"",AV414-LOOKUP(2,1/(AI414:AU414&lt;&gt;""),AI414:AU414)))</t>
        </is>
      </c>
      <c r="BJ414" s="51" t="inlineStr">
        <is>
          <t>IF(J414="","All_Provinces",IFERROR(VLOOKUP(J414,'09_Lookups'!$A$4:$B$20,2,FALSE),"All_Provinces"))</t>
        </is>
      </c>
      <c r="BK414" s="51" t="inlineStr">
        <is>
          <t>IF(K414="","All_Districts",IFERROR(VLOOKUP(K414,'09_Lookups'!$E$4:$F$42,2,FALSE),"All_Districts"))</t>
        </is>
      </c>
    </row>
    <row r="415" ht="18" customHeight="1">
      <c r="A415" s="42" t="inlineStr">
        <is>
          <t>IF(F415="","",ROW()-3)</t>
        </is>
      </c>
      <c r="B415" s="44" t="n"/>
      <c r="C415" s="44" t="n"/>
      <c r="D415" s="44" t="n"/>
      <c r="E415" s="44" t="n"/>
      <c r="F415" s="44" t="n"/>
      <c r="G415" s="44" t="n"/>
      <c r="H415" s="44" t="n"/>
      <c r="I415" s="44" t="n"/>
      <c r="J415" s="44" t="n"/>
      <c r="K415" s="44" t="n"/>
      <c r="L415" s="44" t="n"/>
      <c r="M415" s="44" t="n"/>
      <c r="N415" s="44" t="n"/>
      <c r="O415" s="44" t="n"/>
      <c r="P415" s="44" t="n"/>
      <c r="Q415" s="44" t="n"/>
      <c r="R415" s="44" t="n"/>
      <c r="S415" s="45" t="n"/>
      <c r="T415" s="46" t="inlineStr">
        <is>
          <t>IF(AQ415="","",AQ415)</t>
        </is>
      </c>
      <c r="U415" s="47" t="n"/>
      <c r="V415" s="48" t="n"/>
      <c r="W415" s="47" t="n"/>
      <c r="X415" s="46" t="inlineStr">
        <is>
          <t>IF(W415&lt;&gt;"",W415,IF(OR(T415="",V415=""),"",EDATE(T415,V415)))</t>
        </is>
      </c>
      <c r="Y415" s="47" t="n"/>
      <c r="Z415" s="48" t="n"/>
      <c r="AA415" s="44" t="n"/>
      <c r="AB415" s="44" t="n"/>
      <c r="AC415" s="42" t="inlineStr">
        <is>
          <t>IF(F415="","",IF(COUNT(AI415:AV415)=0,IF(AA415="","Not started",AA415),SUBSTITUTE(LOOKUP(2,1/(AI415:AV415&lt;&gt;""),$AI$3:$AV$3),"Date: ","")))</t>
        </is>
      </c>
      <c r="AD415" s="49" t="inlineStr">
        <is>
          <t>IF(OR(F415="",COUNT(AI415:AV415)=0),"",TODAY()-LOOKUP(2,1/(AI415:AV415&lt;&gt;""),AI415:AV415))</t>
        </is>
      </c>
      <c r="AE415" s="49" t="inlineStr">
        <is>
          <t>IF(OR(F415="",COUNT(AI415:AV415)&lt;2),"",LOOKUP(2,1/(AI415:AV415&lt;&gt;""),AI415:AV415)-MIN(AI415:AV415))</t>
        </is>
      </c>
      <c r="AF415" s="49" t="inlineStr">
        <is>
          <t>IF(OR(AD415="",AC415="Not started",AC415=""),"",IFERROR(AD415-IF(VLOOKUP(AC415,'06_Status_Pipeline'!$B$3:$E$20,4,FALSE)="",0,VLOOKUP(AC415,'06_Status_Pipeline'!$B$3:$E$20,4,FALSE)),""))</t>
        </is>
      </c>
      <c r="AG415" s="42" t="inlineStr">
        <is>
          <t>IF(F415="","",IF(OR(AA415="Cancelled",AC415="Cancelled"),"Cancelled",IF(OR(AC415="Completed / Handover",Y415&lt;&gt;"",Z415&gt;=100),"Completed — on track",IF(O415="Not awarded",IF(U415="",IF(X415="","No planned date",IF(TODAY()&gt;X415,"Behind — past planned date",IF(X415-TODAY()&lt;=30,"At risk — close to off track","On track"))),IF(TODAY()&gt;U415,"Behind — award date passed",IF(U415-TODAY()&lt;=30,"At risk — close to off track","On track"))),IF(X415="","No planned date",IF(AND(TODAY()&gt;X415,OR(Z415="",Z415&lt;100)),"Behind — past end date",IF(AND(T415&lt;&gt;"",X415&lt;&gt;"",Z415&lt;&gt;"",(Z415&lt;100),((TODAY()-T415)/MAX(X415-T415,1)*100)-Z415&gt;15),"Behind — progress lag",IF(AND(X415-TODAY()&lt;=30,X415-TODAY()&gt;=0,OR(Z415="",Z415&lt;90)),"At risk — close to off track","On track"))))))))</t>
        </is>
      </c>
      <c r="AH415" s="49" t="inlineStr">
        <is>
          <t>IF(OR(F415="",AC415="Completed / Handover",AC415="Cancelled"),"",IF(O415="Not awarded",IF(U415&lt;&gt;"",U415-TODAY(),IF(X415="","",X415-TODAY())),IF(X415="","",X415-TODAY())))</t>
        </is>
      </c>
      <c r="AI415" s="47" t="n"/>
      <c r="AJ415" s="47" t="n"/>
      <c r="AK415" s="47" t="n"/>
      <c r="AL415" s="47" t="n"/>
      <c r="AM415" s="47" t="n"/>
      <c r="AN415" s="47" t="n"/>
      <c r="AO415" s="47" t="n"/>
      <c r="AP415" s="47" t="n"/>
      <c r="AQ415" s="47" t="n"/>
      <c r="AR415" s="47" t="n"/>
      <c r="AS415" s="47" t="n"/>
      <c r="AT415" s="50" t="n"/>
      <c r="AU415" s="50" t="n"/>
      <c r="AV415" s="50" t="n"/>
      <c r="AW415" s="49" t="inlineStr">
        <is>
          <t>IF(OR(F415="",AJ415=""),"",IF(COUNT(AI415:AI415)=0,"",AJ415-LOOKUP(2,1/(AI415:AI415&lt;&gt;""),AI415:AI415)))</t>
        </is>
      </c>
      <c r="AX415" s="49" t="inlineStr">
        <is>
          <t>IF(OR(F415="",AK415=""),"",IF(COUNT(AI415:AJ415)=0,"",AK415-LOOKUP(2,1/(AI415:AJ415&lt;&gt;""),AI415:AJ415)))</t>
        </is>
      </c>
      <c r="AY415" s="49" t="inlineStr">
        <is>
          <t>IF(OR(F415="",AL415=""),"",IF(COUNT(AI415:AK415)=0,"",AL415-LOOKUP(2,1/(AI415:AK415&lt;&gt;""),AI415:AK415)))</t>
        </is>
      </c>
      <c r="AZ415" s="49" t="inlineStr">
        <is>
          <t>IF(OR(F415="",AM415=""),"",IF(COUNT(AI415:AL415)=0,"",AM415-LOOKUP(2,1/(AI415:AL415&lt;&gt;""),AI415:AL415)))</t>
        </is>
      </c>
      <c r="BA415" s="49" t="inlineStr">
        <is>
          <t>IF(OR(F415="",AN415=""),"",IF(COUNT(AI415:AM415)=0,"",AN415-LOOKUP(2,1/(AI415:AM415&lt;&gt;""),AI415:AM415)))</t>
        </is>
      </c>
      <c r="BB415" s="49" t="inlineStr">
        <is>
          <t>IF(OR(F415="",AO415=""),"",IF(COUNT(AI415:AN415)=0,"",AO415-LOOKUP(2,1/(AI415:AN415&lt;&gt;""),AI415:AN415)))</t>
        </is>
      </c>
      <c r="BC415" s="49" t="inlineStr">
        <is>
          <t>IF(OR(F415="",AP415=""),"",IF(COUNT(AI415:AO415)=0,"",AP415-LOOKUP(2,1/(AI415:AO415&lt;&gt;""),AI415:AO415)))</t>
        </is>
      </c>
      <c r="BD415" s="49" t="inlineStr">
        <is>
          <t>IF(OR(F415="",AQ415=""),"",IF(COUNT(AI415:AP415)=0,"",AQ415-LOOKUP(2,1/(AI415:AP415&lt;&gt;""),AI415:AP415)))</t>
        </is>
      </c>
      <c r="BE415" s="49" t="inlineStr">
        <is>
          <t>IF(OR(F415="",AR415=""),"",IF(COUNT(AI415:AQ415)=0,"",AR415-LOOKUP(2,1/(AI415:AQ415&lt;&gt;""),AI415:AQ415)))</t>
        </is>
      </c>
      <c r="BF415" s="49" t="inlineStr">
        <is>
          <t>IF(OR(F415="",AS415=""),"",IF(COUNT(AI415:AR415)=0,"",AS415-LOOKUP(2,1/(AI415:AR415&lt;&gt;""),AI415:AR415)))</t>
        </is>
      </c>
      <c r="BG415" s="49" t="inlineStr">
        <is>
          <t>IF(OR(F415="",AT415=""),"",IF(COUNT(AI415:AS415)=0,"",AT415-LOOKUP(2,1/(AI415:AS415&lt;&gt;""),AI415:AS415)))</t>
        </is>
      </c>
      <c r="BH415" s="49" t="inlineStr">
        <is>
          <t>IF(OR(F415="",AU415=""),"",IF(COUNT(AI415:AT415)=0,"",AU415-LOOKUP(2,1/(AI415:AT415&lt;&gt;""),AI415:AT415)))</t>
        </is>
      </c>
      <c r="BI415" s="49" t="inlineStr">
        <is>
          <t>IF(OR(F415="",AV415=""),"",IF(COUNT(AI415:AU415)=0,"",AV415-LOOKUP(2,1/(AI415:AU415&lt;&gt;""),AI415:AU415)))</t>
        </is>
      </c>
      <c r="BJ415" s="51" t="inlineStr">
        <is>
          <t>IF(J415="","All_Provinces",IFERROR(VLOOKUP(J415,'09_Lookups'!$A$4:$B$20,2,FALSE),"All_Provinces"))</t>
        </is>
      </c>
      <c r="BK415" s="51" t="inlineStr">
        <is>
          <t>IF(K415="","All_Districts",IFERROR(VLOOKUP(K415,'09_Lookups'!$E$4:$F$42,2,FALSE),"All_Districts"))</t>
        </is>
      </c>
    </row>
    <row r="416" ht="18" customHeight="1">
      <c r="A416" s="42" t="inlineStr">
        <is>
          <t>IF(F416="","",ROW()-3)</t>
        </is>
      </c>
      <c r="B416" s="52" t="n"/>
      <c r="C416" s="52" t="n"/>
      <c r="D416" s="52" t="n"/>
      <c r="E416" s="52" t="n"/>
      <c r="F416" s="52" t="n"/>
      <c r="G416" s="52" t="n"/>
      <c r="H416" s="52" t="n"/>
      <c r="I416" s="52" t="n"/>
      <c r="J416" s="52" t="n"/>
      <c r="K416" s="52" t="n"/>
      <c r="L416" s="52" t="n"/>
      <c r="M416" s="52" t="n"/>
      <c r="N416" s="52" t="n"/>
      <c r="O416" s="52" t="n"/>
      <c r="P416" s="52" t="n"/>
      <c r="Q416" s="52" t="n"/>
      <c r="R416" s="52" t="n"/>
      <c r="S416" s="53" t="n"/>
      <c r="T416" s="46" t="inlineStr">
        <is>
          <t>IF(AQ416="","",AQ416)</t>
        </is>
      </c>
      <c r="U416" s="54" t="n"/>
      <c r="V416" s="55" t="n"/>
      <c r="W416" s="54" t="n"/>
      <c r="X416" s="46" t="inlineStr">
        <is>
          <t>IF(W416&lt;&gt;"",W416,IF(OR(T416="",V416=""),"",EDATE(T416,V416)))</t>
        </is>
      </c>
      <c r="Y416" s="54" t="n"/>
      <c r="Z416" s="55" t="n"/>
      <c r="AA416" s="52" t="n"/>
      <c r="AB416" s="52" t="n"/>
      <c r="AC416" s="42" t="inlineStr">
        <is>
          <t>IF(F416="","",IF(COUNT(AI416:AV416)=0,IF(AA416="","Not started",AA416),SUBSTITUTE(LOOKUP(2,1/(AI416:AV416&lt;&gt;""),$AI$3:$AV$3),"Date: ","")))</t>
        </is>
      </c>
      <c r="AD416" s="49" t="inlineStr">
        <is>
          <t>IF(OR(F416="",COUNT(AI416:AV416)=0),"",TODAY()-LOOKUP(2,1/(AI416:AV416&lt;&gt;""),AI416:AV416))</t>
        </is>
      </c>
      <c r="AE416" s="49" t="inlineStr">
        <is>
          <t>IF(OR(F416="",COUNT(AI416:AV416)&lt;2),"",LOOKUP(2,1/(AI416:AV416&lt;&gt;""),AI416:AV416)-MIN(AI416:AV416))</t>
        </is>
      </c>
      <c r="AF416" s="49" t="inlineStr">
        <is>
          <t>IF(OR(AD416="",AC416="Not started",AC416=""),"",IFERROR(AD416-IF(VLOOKUP(AC416,'06_Status_Pipeline'!$B$3:$E$20,4,FALSE)="",0,VLOOKUP(AC416,'06_Status_Pipeline'!$B$3:$E$20,4,FALSE)),""))</t>
        </is>
      </c>
      <c r="AG416" s="42" t="inlineStr">
        <is>
          <t>IF(F416="","",IF(OR(AA416="Cancelled",AC416="Cancelled"),"Cancelled",IF(OR(AC416="Completed / Handover",Y416&lt;&gt;"",Z416&gt;=100),"Completed — on track",IF(O416="Not awarded",IF(U416="",IF(X416="","No planned date",IF(TODAY()&gt;X416,"Behind — past planned date",IF(X416-TODAY()&lt;=30,"At risk — close to off track","On track"))),IF(TODAY()&gt;U416,"Behind — award date passed",IF(U416-TODAY()&lt;=30,"At risk — close to off track","On track"))),IF(X416="","No planned date",IF(AND(TODAY()&gt;X416,OR(Z416="",Z416&lt;100)),"Behind — past end date",IF(AND(T416&lt;&gt;"",X416&lt;&gt;"",Z416&lt;&gt;"",(Z416&lt;100),((TODAY()-T416)/MAX(X416-T416,1)*100)-Z416&gt;15),"Behind — progress lag",IF(AND(X416-TODAY()&lt;=30,X416-TODAY()&gt;=0,OR(Z416="",Z416&lt;90)),"At risk — close to off track","On track"))))))))</t>
        </is>
      </c>
      <c r="AH416" s="49" t="inlineStr">
        <is>
          <t>IF(OR(F416="",AC416="Completed / Handover",AC416="Cancelled"),"",IF(O416="Not awarded",IF(U416&lt;&gt;"",U416-TODAY(),IF(X416="","",X416-TODAY())),IF(X416="","",X416-TODAY())))</t>
        </is>
      </c>
      <c r="AI416" s="54" t="n"/>
      <c r="AJ416" s="54" t="n"/>
      <c r="AK416" s="54" t="n"/>
      <c r="AL416" s="54" t="n"/>
      <c r="AM416" s="54" t="n"/>
      <c r="AN416" s="54" t="n"/>
      <c r="AO416" s="54" t="n"/>
      <c r="AP416" s="54" t="n"/>
      <c r="AQ416" s="54" t="n"/>
      <c r="AR416" s="54" t="n"/>
      <c r="AS416" s="54" t="n"/>
      <c r="AT416" s="50" t="n"/>
      <c r="AU416" s="50" t="n"/>
      <c r="AV416" s="50" t="n"/>
      <c r="AW416" s="49" t="inlineStr">
        <is>
          <t>IF(OR(F416="",AJ416=""),"",IF(COUNT(AI416:AI416)=0,"",AJ416-LOOKUP(2,1/(AI416:AI416&lt;&gt;""),AI416:AI416)))</t>
        </is>
      </c>
      <c r="AX416" s="49" t="inlineStr">
        <is>
          <t>IF(OR(F416="",AK416=""),"",IF(COUNT(AI416:AJ416)=0,"",AK416-LOOKUP(2,1/(AI416:AJ416&lt;&gt;""),AI416:AJ416)))</t>
        </is>
      </c>
      <c r="AY416" s="49" t="inlineStr">
        <is>
          <t>IF(OR(F416="",AL416=""),"",IF(COUNT(AI416:AK416)=0,"",AL416-LOOKUP(2,1/(AI416:AK416&lt;&gt;""),AI416:AK416)))</t>
        </is>
      </c>
      <c r="AZ416" s="49" t="inlineStr">
        <is>
          <t>IF(OR(F416="",AM416=""),"",IF(COUNT(AI416:AL416)=0,"",AM416-LOOKUP(2,1/(AI416:AL416&lt;&gt;""),AI416:AL416)))</t>
        </is>
      </c>
      <c r="BA416" s="49" t="inlineStr">
        <is>
          <t>IF(OR(F416="",AN416=""),"",IF(COUNT(AI416:AM416)=0,"",AN416-LOOKUP(2,1/(AI416:AM416&lt;&gt;""),AI416:AM416)))</t>
        </is>
      </c>
      <c r="BB416" s="49" t="inlineStr">
        <is>
          <t>IF(OR(F416="",AO416=""),"",IF(COUNT(AI416:AN416)=0,"",AO416-LOOKUP(2,1/(AI416:AN416&lt;&gt;""),AI416:AN416)))</t>
        </is>
      </c>
      <c r="BC416" s="49" t="inlineStr">
        <is>
          <t>IF(OR(F416="",AP416=""),"",IF(COUNT(AI416:AO416)=0,"",AP416-LOOKUP(2,1/(AI416:AO416&lt;&gt;""),AI416:AO416)))</t>
        </is>
      </c>
      <c r="BD416" s="49" t="inlineStr">
        <is>
          <t>IF(OR(F416="",AQ416=""),"",IF(COUNT(AI416:AP416)=0,"",AQ416-LOOKUP(2,1/(AI416:AP416&lt;&gt;""),AI416:AP416)))</t>
        </is>
      </c>
      <c r="BE416" s="49" t="inlineStr">
        <is>
          <t>IF(OR(F416="",AR416=""),"",IF(COUNT(AI416:AQ416)=0,"",AR416-LOOKUP(2,1/(AI416:AQ416&lt;&gt;""),AI416:AQ416)))</t>
        </is>
      </c>
      <c r="BF416" s="49" t="inlineStr">
        <is>
          <t>IF(OR(F416="",AS416=""),"",IF(COUNT(AI416:AR416)=0,"",AS416-LOOKUP(2,1/(AI416:AR416&lt;&gt;""),AI416:AR416)))</t>
        </is>
      </c>
      <c r="BG416" s="49" t="inlineStr">
        <is>
          <t>IF(OR(F416="",AT416=""),"",IF(COUNT(AI416:AS416)=0,"",AT416-LOOKUP(2,1/(AI416:AS416&lt;&gt;""),AI416:AS416)))</t>
        </is>
      </c>
      <c r="BH416" s="49" t="inlineStr">
        <is>
          <t>IF(OR(F416="",AU416=""),"",IF(COUNT(AI416:AT416)=0,"",AU416-LOOKUP(2,1/(AI416:AT416&lt;&gt;""),AI416:AT416)))</t>
        </is>
      </c>
      <c r="BI416" s="49" t="inlineStr">
        <is>
          <t>IF(OR(F416="",AV416=""),"",IF(COUNT(AI416:AU416)=0,"",AV416-LOOKUP(2,1/(AI416:AU416&lt;&gt;""),AI416:AU416)))</t>
        </is>
      </c>
      <c r="BJ416" s="51" t="inlineStr">
        <is>
          <t>IF(J416="","All_Provinces",IFERROR(VLOOKUP(J416,'09_Lookups'!$A$4:$B$20,2,FALSE),"All_Provinces"))</t>
        </is>
      </c>
      <c r="BK416" s="51" t="inlineStr">
        <is>
          <t>IF(K416="","All_Districts",IFERROR(VLOOKUP(K416,'09_Lookups'!$E$4:$F$42,2,FALSE),"All_Districts"))</t>
        </is>
      </c>
    </row>
    <row r="417" ht="18" customHeight="1">
      <c r="A417" s="42" t="inlineStr">
        <is>
          <t>IF(F417="","",ROW()-3)</t>
        </is>
      </c>
      <c r="B417" s="44" t="n"/>
      <c r="C417" s="44" t="n"/>
      <c r="D417" s="44" t="n"/>
      <c r="E417" s="44" t="n"/>
      <c r="F417" s="44" t="n"/>
      <c r="G417" s="44" t="n"/>
      <c r="H417" s="44" t="n"/>
      <c r="I417" s="44" t="n"/>
      <c r="J417" s="44" t="n"/>
      <c r="K417" s="44" t="n"/>
      <c r="L417" s="44" t="n"/>
      <c r="M417" s="44" t="n"/>
      <c r="N417" s="44" t="n"/>
      <c r="O417" s="44" t="n"/>
      <c r="P417" s="44" t="n"/>
      <c r="Q417" s="44" t="n"/>
      <c r="R417" s="44" t="n"/>
      <c r="S417" s="45" t="n"/>
      <c r="T417" s="46" t="inlineStr">
        <is>
          <t>IF(AQ417="","",AQ417)</t>
        </is>
      </c>
      <c r="U417" s="47" t="n"/>
      <c r="V417" s="48" t="n"/>
      <c r="W417" s="47" t="n"/>
      <c r="X417" s="46" t="inlineStr">
        <is>
          <t>IF(W417&lt;&gt;"",W417,IF(OR(T417="",V417=""),"",EDATE(T417,V417)))</t>
        </is>
      </c>
      <c r="Y417" s="47" t="n"/>
      <c r="Z417" s="48" t="n"/>
      <c r="AA417" s="44" t="n"/>
      <c r="AB417" s="44" t="n"/>
      <c r="AC417" s="42" t="inlineStr">
        <is>
          <t>IF(F417="","",IF(COUNT(AI417:AV417)=0,IF(AA417="","Not started",AA417),SUBSTITUTE(LOOKUP(2,1/(AI417:AV417&lt;&gt;""),$AI$3:$AV$3),"Date: ","")))</t>
        </is>
      </c>
      <c r="AD417" s="49" t="inlineStr">
        <is>
          <t>IF(OR(F417="",COUNT(AI417:AV417)=0),"",TODAY()-LOOKUP(2,1/(AI417:AV417&lt;&gt;""),AI417:AV417))</t>
        </is>
      </c>
      <c r="AE417" s="49" t="inlineStr">
        <is>
          <t>IF(OR(F417="",COUNT(AI417:AV417)&lt;2),"",LOOKUP(2,1/(AI417:AV417&lt;&gt;""),AI417:AV417)-MIN(AI417:AV417))</t>
        </is>
      </c>
      <c r="AF417" s="49" t="inlineStr">
        <is>
          <t>IF(OR(AD417="",AC417="Not started",AC417=""),"",IFERROR(AD417-IF(VLOOKUP(AC417,'06_Status_Pipeline'!$B$3:$E$20,4,FALSE)="",0,VLOOKUP(AC417,'06_Status_Pipeline'!$B$3:$E$20,4,FALSE)),""))</t>
        </is>
      </c>
      <c r="AG417" s="42" t="inlineStr">
        <is>
          <t>IF(F417="","",IF(OR(AA417="Cancelled",AC417="Cancelled"),"Cancelled",IF(OR(AC417="Completed / Handover",Y417&lt;&gt;"",Z417&gt;=100),"Completed — on track",IF(O417="Not awarded",IF(U417="",IF(X417="","No planned date",IF(TODAY()&gt;X417,"Behind — past planned date",IF(X417-TODAY()&lt;=30,"At risk — close to off track","On track"))),IF(TODAY()&gt;U417,"Behind — award date passed",IF(U417-TODAY()&lt;=30,"At risk — close to off track","On track"))),IF(X417="","No planned date",IF(AND(TODAY()&gt;X417,OR(Z417="",Z417&lt;100)),"Behind — past end date",IF(AND(T417&lt;&gt;"",X417&lt;&gt;"",Z417&lt;&gt;"",(Z417&lt;100),((TODAY()-T417)/MAX(X417-T417,1)*100)-Z417&gt;15),"Behind — progress lag",IF(AND(X417-TODAY()&lt;=30,X417-TODAY()&gt;=0,OR(Z417="",Z417&lt;90)),"At risk — close to off track","On track"))))))))</t>
        </is>
      </c>
      <c r="AH417" s="49" t="inlineStr">
        <is>
          <t>IF(OR(F417="",AC417="Completed / Handover",AC417="Cancelled"),"",IF(O417="Not awarded",IF(U417&lt;&gt;"",U417-TODAY(),IF(X417="","",X417-TODAY())),IF(X417="","",X417-TODAY())))</t>
        </is>
      </c>
      <c r="AI417" s="47" t="n"/>
      <c r="AJ417" s="47" t="n"/>
      <c r="AK417" s="47" t="n"/>
      <c r="AL417" s="47" t="n"/>
      <c r="AM417" s="47" t="n"/>
      <c r="AN417" s="47" t="n"/>
      <c r="AO417" s="47" t="n"/>
      <c r="AP417" s="47" t="n"/>
      <c r="AQ417" s="47" t="n"/>
      <c r="AR417" s="47" t="n"/>
      <c r="AS417" s="47" t="n"/>
      <c r="AT417" s="50" t="n"/>
      <c r="AU417" s="50" t="n"/>
      <c r="AV417" s="50" t="n"/>
      <c r="AW417" s="49" t="inlineStr">
        <is>
          <t>IF(OR(F417="",AJ417=""),"",IF(COUNT(AI417:AI417)=0,"",AJ417-LOOKUP(2,1/(AI417:AI417&lt;&gt;""),AI417:AI417)))</t>
        </is>
      </c>
      <c r="AX417" s="49" t="inlineStr">
        <is>
          <t>IF(OR(F417="",AK417=""),"",IF(COUNT(AI417:AJ417)=0,"",AK417-LOOKUP(2,1/(AI417:AJ417&lt;&gt;""),AI417:AJ417)))</t>
        </is>
      </c>
      <c r="AY417" s="49" t="inlineStr">
        <is>
          <t>IF(OR(F417="",AL417=""),"",IF(COUNT(AI417:AK417)=0,"",AL417-LOOKUP(2,1/(AI417:AK417&lt;&gt;""),AI417:AK417)))</t>
        </is>
      </c>
      <c r="AZ417" s="49" t="inlineStr">
        <is>
          <t>IF(OR(F417="",AM417=""),"",IF(COUNT(AI417:AL417)=0,"",AM417-LOOKUP(2,1/(AI417:AL417&lt;&gt;""),AI417:AL417)))</t>
        </is>
      </c>
      <c r="BA417" s="49" t="inlineStr">
        <is>
          <t>IF(OR(F417="",AN417=""),"",IF(COUNT(AI417:AM417)=0,"",AN417-LOOKUP(2,1/(AI417:AM417&lt;&gt;""),AI417:AM417)))</t>
        </is>
      </c>
      <c r="BB417" s="49" t="inlineStr">
        <is>
          <t>IF(OR(F417="",AO417=""),"",IF(COUNT(AI417:AN417)=0,"",AO417-LOOKUP(2,1/(AI417:AN417&lt;&gt;""),AI417:AN417)))</t>
        </is>
      </c>
      <c r="BC417" s="49" t="inlineStr">
        <is>
          <t>IF(OR(F417="",AP417=""),"",IF(COUNT(AI417:AO417)=0,"",AP417-LOOKUP(2,1/(AI417:AO417&lt;&gt;""),AI417:AO417)))</t>
        </is>
      </c>
      <c r="BD417" s="49" t="inlineStr">
        <is>
          <t>IF(OR(F417="",AQ417=""),"",IF(COUNT(AI417:AP417)=0,"",AQ417-LOOKUP(2,1/(AI417:AP417&lt;&gt;""),AI417:AP417)))</t>
        </is>
      </c>
      <c r="BE417" s="49" t="inlineStr">
        <is>
          <t>IF(OR(F417="",AR417=""),"",IF(COUNT(AI417:AQ417)=0,"",AR417-LOOKUP(2,1/(AI417:AQ417&lt;&gt;""),AI417:AQ417)))</t>
        </is>
      </c>
      <c r="BF417" s="49" t="inlineStr">
        <is>
          <t>IF(OR(F417="",AS417=""),"",IF(COUNT(AI417:AR417)=0,"",AS417-LOOKUP(2,1/(AI417:AR417&lt;&gt;""),AI417:AR417)))</t>
        </is>
      </c>
      <c r="BG417" s="49" t="inlineStr">
        <is>
          <t>IF(OR(F417="",AT417=""),"",IF(COUNT(AI417:AS417)=0,"",AT417-LOOKUP(2,1/(AI417:AS417&lt;&gt;""),AI417:AS417)))</t>
        </is>
      </c>
      <c r="BH417" s="49" t="inlineStr">
        <is>
          <t>IF(OR(F417="",AU417=""),"",IF(COUNT(AI417:AT417)=0,"",AU417-LOOKUP(2,1/(AI417:AT417&lt;&gt;""),AI417:AT417)))</t>
        </is>
      </c>
      <c r="BI417" s="49" t="inlineStr">
        <is>
          <t>IF(OR(F417="",AV417=""),"",IF(COUNT(AI417:AU417)=0,"",AV417-LOOKUP(2,1/(AI417:AU417&lt;&gt;""),AI417:AU417)))</t>
        </is>
      </c>
      <c r="BJ417" s="51" t="inlineStr">
        <is>
          <t>IF(J417="","All_Provinces",IFERROR(VLOOKUP(J417,'09_Lookups'!$A$4:$B$20,2,FALSE),"All_Provinces"))</t>
        </is>
      </c>
      <c r="BK417" s="51" t="inlineStr">
        <is>
          <t>IF(K417="","All_Districts",IFERROR(VLOOKUP(K417,'09_Lookups'!$E$4:$F$42,2,FALSE),"All_Districts"))</t>
        </is>
      </c>
    </row>
    <row r="418" ht="18" customHeight="1">
      <c r="A418" s="42" t="inlineStr">
        <is>
          <t>IF(F418="","",ROW()-3)</t>
        </is>
      </c>
      <c r="B418" s="52" t="n"/>
      <c r="C418" s="52" t="n"/>
      <c r="D418" s="52" t="n"/>
      <c r="E418" s="52" t="n"/>
      <c r="F418" s="52" t="n"/>
      <c r="G418" s="52" t="n"/>
      <c r="H418" s="52" t="n"/>
      <c r="I418" s="52" t="n"/>
      <c r="J418" s="52" t="n"/>
      <c r="K418" s="52" t="n"/>
      <c r="L418" s="52" t="n"/>
      <c r="M418" s="52" t="n"/>
      <c r="N418" s="52" t="n"/>
      <c r="O418" s="52" t="n"/>
      <c r="P418" s="52" t="n"/>
      <c r="Q418" s="52" t="n"/>
      <c r="R418" s="52" t="n"/>
      <c r="S418" s="53" t="n"/>
      <c r="T418" s="46" t="inlineStr">
        <is>
          <t>IF(AQ418="","",AQ418)</t>
        </is>
      </c>
      <c r="U418" s="54" t="n"/>
      <c r="V418" s="55" t="n"/>
      <c r="W418" s="54" t="n"/>
      <c r="X418" s="46" t="inlineStr">
        <is>
          <t>IF(W418&lt;&gt;"",W418,IF(OR(T418="",V418=""),"",EDATE(T418,V418)))</t>
        </is>
      </c>
      <c r="Y418" s="54" t="n"/>
      <c r="Z418" s="55" t="n"/>
      <c r="AA418" s="52" t="n"/>
      <c r="AB418" s="52" t="n"/>
      <c r="AC418" s="42" t="inlineStr">
        <is>
          <t>IF(F418="","",IF(COUNT(AI418:AV418)=0,IF(AA418="","Not started",AA418),SUBSTITUTE(LOOKUP(2,1/(AI418:AV418&lt;&gt;""),$AI$3:$AV$3),"Date: ","")))</t>
        </is>
      </c>
      <c r="AD418" s="49" t="inlineStr">
        <is>
          <t>IF(OR(F418="",COUNT(AI418:AV418)=0),"",TODAY()-LOOKUP(2,1/(AI418:AV418&lt;&gt;""),AI418:AV418))</t>
        </is>
      </c>
      <c r="AE418" s="49" t="inlineStr">
        <is>
          <t>IF(OR(F418="",COUNT(AI418:AV418)&lt;2),"",LOOKUP(2,1/(AI418:AV418&lt;&gt;""),AI418:AV418)-MIN(AI418:AV418))</t>
        </is>
      </c>
      <c r="AF418" s="49" t="inlineStr">
        <is>
          <t>IF(OR(AD418="",AC418="Not started",AC418=""),"",IFERROR(AD418-IF(VLOOKUP(AC418,'06_Status_Pipeline'!$B$3:$E$20,4,FALSE)="",0,VLOOKUP(AC418,'06_Status_Pipeline'!$B$3:$E$20,4,FALSE)),""))</t>
        </is>
      </c>
      <c r="AG418" s="42" t="inlineStr">
        <is>
          <t>IF(F418="","",IF(OR(AA418="Cancelled",AC418="Cancelled"),"Cancelled",IF(OR(AC418="Completed / Handover",Y418&lt;&gt;"",Z418&gt;=100),"Completed — on track",IF(O418="Not awarded",IF(U418="",IF(X418="","No planned date",IF(TODAY()&gt;X418,"Behind — past planned date",IF(X418-TODAY()&lt;=30,"At risk — close to off track","On track"))),IF(TODAY()&gt;U418,"Behind — award date passed",IF(U418-TODAY()&lt;=30,"At risk — close to off track","On track"))),IF(X418="","No planned date",IF(AND(TODAY()&gt;X418,OR(Z418="",Z418&lt;100)),"Behind — past end date",IF(AND(T418&lt;&gt;"",X418&lt;&gt;"",Z418&lt;&gt;"",(Z418&lt;100),((TODAY()-T418)/MAX(X418-T418,1)*100)-Z418&gt;15),"Behind — progress lag",IF(AND(X418-TODAY()&lt;=30,X418-TODAY()&gt;=0,OR(Z418="",Z418&lt;90)),"At risk — close to off track","On track"))))))))</t>
        </is>
      </c>
      <c r="AH418" s="49" t="inlineStr">
        <is>
          <t>IF(OR(F418="",AC418="Completed / Handover",AC418="Cancelled"),"",IF(O418="Not awarded",IF(U418&lt;&gt;"",U418-TODAY(),IF(X418="","",X418-TODAY())),IF(X418="","",X418-TODAY())))</t>
        </is>
      </c>
      <c r="AI418" s="54" t="n"/>
      <c r="AJ418" s="54" t="n"/>
      <c r="AK418" s="54" t="n"/>
      <c r="AL418" s="54" t="n"/>
      <c r="AM418" s="54" t="n"/>
      <c r="AN418" s="54" t="n"/>
      <c r="AO418" s="54" t="n"/>
      <c r="AP418" s="54" t="n"/>
      <c r="AQ418" s="54" t="n"/>
      <c r="AR418" s="54" t="n"/>
      <c r="AS418" s="54" t="n"/>
      <c r="AT418" s="50" t="n"/>
      <c r="AU418" s="50" t="n"/>
      <c r="AV418" s="50" t="n"/>
      <c r="AW418" s="49" t="inlineStr">
        <is>
          <t>IF(OR(F418="",AJ418=""),"",IF(COUNT(AI418:AI418)=0,"",AJ418-LOOKUP(2,1/(AI418:AI418&lt;&gt;""),AI418:AI418)))</t>
        </is>
      </c>
      <c r="AX418" s="49" t="inlineStr">
        <is>
          <t>IF(OR(F418="",AK418=""),"",IF(COUNT(AI418:AJ418)=0,"",AK418-LOOKUP(2,1/(AI418:AJ418&lt;&gt;""),AI418:AJ418)))</t>
        </is>
      </c>
      <c r="AY418" s="49" t="inlineStr">
        <is>
          <t>IF(OR(F418="",AL418=""),"",IF(COUNT(AI418:AK418)=0,"",AL418-LOOKUP(2,1/(AI418:AK418&lt;&gt;""),AI418:AK418)))</t>
        </is>
      </c>
      <c r="AZ418" s="49" t="inlineStr">
        <is>
          <t>IF(OR(F418="",AM418=""),"",IF(COUNT(AI418:AL418)=0,"",AM418-LOOKUP(2,1/(AI418:AL418&lt;&gt;""),AI418:AL418)))</t>
        </is>
      </c>
      <c r="BA418" s="49" t="inlineStr">
        <is>
          <t>IF(OR(F418="",AN418=""),"",IF(COUNT(AI418:AM418)=0,"",AN418-LOOKUP(2,1/(AI418:AM418&lt;&gt;""),AI418:AM418)))</t>
        </is>
      </c>
      <c r="BB418" s="49" t="inlineStr">
        <is>
          <t>IF(OR(F418="",AO418=""),"",IF(COUNT(AI418:AN418)=0,"",AO418-LOOKUP(2,1/(AI418:AN418&lt;&gt;""),AI418:AN418)))</t>
        </is>
      </c>
      <c r="BC418" s="49" t="inlineStr">
        <is>
          <t>IF(OR(F418="",AP418=""),"",IF(COUNT(AI418:AO418)=0,"",AP418-LOOKUP(2,1/(AI418:AO418&lt;&gt;""),AI418:AO418)))</t>
        </is>
      </c>
      <c r="BD418" s="49" t="inlineStr">
        <is>
          <t>IF(OR(F418="",AQ418=""),"",IF(COUNT(AI418:AP418)=0,"",AQ418-LOOKUP(2,1/(AI418:AP418&lt;&gt;""),AI418:AP418)))</t>
        </is>
      </c>
      <c r="BE418" s="49" t="inlineStr">
        <is>
          <t>IF(OR(F418="",AR418=""),"",IF(COUNT(AI418:AQ418)=0,"",AR418-LOOKUP(2,1/(AI418:AQ418&lt;&gt;""),AI418:AQ418)))</t>
        </is>
      </c>
      <c r="BF418" s="49" t="inlineStr">
        <is>
          <t>IF(OR(F418="",AS418=""),"",IF(COUNT(AI418:AR418)=0,"",AS418-LOOKUP(2,1/(AI418:AR418&lt;&gt;""),AI418:AR418)))</t>
        </is>
      </c>
      <c r="BG418" s="49" t="inlineStr">
        <is>
          <t>IF(OR(F418="",AT418=""),"",IF(COUNT(AI418:AS418)=0,"",AT418-LOOKUP(2,1/(AI418:AS418&lt;&gt;""),AI418:AS418)))</t>
        </is>
      </c>
      <c r="BH418" s="49" t="inlineStr">
        <is>
          <t>IF(OR(F418="",AU418=""),"",IF(COUNT(AI418:AT418)=0,"",AU418-LOOKUP(2,1/(AI418:AT418&lt;&gt;""),AI418:AT418)))</t>
        </is>
      </c>
      <c r="BI418" s="49" t="inlineStr">
        <is>
          <t>IF(OR(F418="",AV418=""),"",IF(COUNT(AI418:AU418)=0,"",AV418-LOOKUP(2,1/(AI418:AU418&lt;&gt;""),AI418:AU418)))</t>
        </is>
      </c>
      <c r="BJ418" s="51" t="inlineStr">
        <is>
          <t>IF(J418="","All_Provinces",IFERROR(VLOOKUP(J418,'09_Lookups'!$A$4:$B$20,2,FALSE),"All_Provinces"))</t>
        </is>
      </c>
      <c r="BK418" s="51" t="inlineStr">
        <is>
          <t>IF(K418="","All_Districts",IFERROR(VLOOKUP(K418,'09_Lookups'!$E$4:$F$42,2,FALSE),"All_Districts"))</t>
        </is>
      </c>
    </row>
    <row r="419" ht="18" customHeight="1">
      <c r="A419" s="42" t="inlineStr">
        <is>
          <t>IF(F419="","",ROW()-3)</t>
        </is>
      </c>
      <c r="B419" s="44" t="n"/>
      <c r="C419" s="44" t="n"/>
      <c r="D419" s="44" t="n"/>
      <c r="E419" s="44" t="n"/>
      <c r="F419" s="44" t="n"/>
      <c r="G419" s="44" t="n"/>
      <c r="H419" s="44" t="n"/>
      <c r="I419" s="44" t="n"/>
      <c r="J419" s="44" t="n"/>
      <c r="K419" s="44" t="n"/>
      <c r="L419" s="44" t="n"/>
      <c r="M419" s="44" t="n"/>
      <c r="N419" s="44" t="n"/>
      <c r="O419" s="44" t="n"/>
      <c r="P419" s="44" t="n"/>
      <c r="Q419" s="44" t="n"/>
      <c r="R419" s="44" t="n"/>
      <c r="S419" s="45" t="n"/>
      <c r="T419" s="46" t="inlineStr">
        <is>
          <t>IF(AQ419="","",AQ419)</t>
        </is>
      </c>
      <c r="U419" s="47" t="n"/>
      <c r="V419" s="48" t="n"/>
      <c r="W419" s="47" t="n"/>
      <c r="X419" s="46" t="inlineStr">
        <is>
          <t>IF(W419&lt;&gt;"",W419,IF(OR(T419="",V419=""),"",EDATE(T419,V419)))</t>
        </is>
      </c>
      <c r="Y419" s="47" t="n"/>
      <c r="Z419" s="48" t="n"/>
      <c r="AA419" s="44" t="n"/>
      <c r="AB419" s="44" t="n"/>
      <c r="AC419" s="42" t="inlineStr">
        <is>
          <t>IF(F419="","",IF(COUNT(AI419:AV419)=0,IF(AA419="","Not started",AA419),SUBSTITUTE(LOOKUP(2,1/(AI419:AV419&lt;&gt;""),$AI$3:$AV$3),"Date: ","")))</t>
        </is>
      </c>
      <c r="AD419" s="49" t="inlineStr">
        <is>
          <t>IF(OR(F419="",COUNT(AI419:AV419)=0),"",TODAY()-LOOKUP(2,1/(AI419:AV419&lt;&gt;""),AI419:AV419))</t>
        </is>
      </c>
      <c r="AE419" s="49" t="inlineStr">
        <is>
          <t>IF(OR(F419="",COUNT(AI419:AV419)&lt;2),"",LOOKUP(2,1/(AI419:AV419&lt;&gt;""),AI419:AV419)-MIN(AI419:AV419))</t>
        </is>
      </c>
      <c r="AF419" s="49" t="inlineStr">
        <is>
          <t>IF(OR(AD419="",AC419="Not started",AC419=""),"",IFERROR(AD419-IF(VLOOKUP(AC419,'06_Status_Pipeline'!$B$3:$E$20,4,FALSE)="",0,VLOOKUP(AC419,'06_Status_Pipeline'!$B$3:$E$20,4,FALSE)),""))</t>
        </is>
      </c>
      <c r="AG419" s="42" t="inlineStr">
        <is>
          <t>IF(F419="","",IF(OR(AA419="Cancelled",AC419="Cancelled"),"Cancelled",IF(OR(AC419="Completed / Handover",Y419&lt;&gt;"",Z419&gt;=100),"Completed — on track",IF(O419="Not awarded",IF(U419="",IF(X419="","No planned date",IF(TODAY()&gt;X419,"Behind — past planned date",IF(X419-TODAY()&lt;=30,"At risk — close to off track","On track"))),IF(TODAY()&gt;U419,"Behind — award date passed",IF(U419-TODAY()&lt;=30,"At risk — close to off track","On track"))),IF(X419="","No planned date",IF(AND(TODAY()&gt;X419,OR(Z419="",Z419&lt;100)),"Behind — past end date",IF(AND(T419&lt;&gt;"",X419&lt;&gt;"",Z419&lt;&gt;"",(Z419&lt;100),((TODAY()-T419)/MAX(X419-T419,1)*100)-Z419&gt;15),"Behind — progress lag",IF(AND(X419-TODAY()&lt;=30,X419-TODAY()&gt;=0,OR(Z419="",Z419&lt;90)),"At risk — close to off track","On track"))))))))</t>
        </is>
      </c>
      <c r="AH419" s="49" t="inlineStr">
        <is>
          <t>IF(OR(F419="",AC419="Completed / Handover",AC419="Cancelled"),"",IF(O419="Not awarded",IF(U419&lt;&gt;"",U419-TODAY(),IF(X419="","",X419-TODAY())),IF(X419="","",X419-TODAY())))</t>
        </is>
      </c>
      <c r="AI419" s="47" t="n"/>
      <c r="AJ419" s="47" t="n"/>
      <c r="AK419" s="47" t="n"/>
      <c r="AL419" s="47" t="n"/>
      <c r="AM419" s="47" t="n"/>
      <c r="AN419" s="47" t="n"/>
      <c r="AO419" s="47" t="n"/>
      <c r="AP419" s="47" t="n"/>
      <c r="AQ419" s="47" t="n"/>
      <c r="AR419" s="47" t="n"/>
      <c r="AS419" s="47" t="n"/>
      <c r="AT419" s="50" t="n"/>
      <c r="AU419" s="50" t="n"/>
      <c r="AV419" s="50" t="n"/>
      <c r="AW419" s="49" t="inlineStr">
        <is>
          <t>IF(OR(F419="",AJ419=""),"",IF(COUNT(AI419:AI419)=0,"",AJ419-LOOKUP(2,1/(AI419:AI419&lt;&gt;""),AI419:AI419)))</t>
        </is>
      </c>
      <c r="AX419" s="49" t="inlineStr">
        <is>
          <t>IF(OR(F419="",AK419=""),"",IF(COUNT(AI419:AJ419)=0,"",AK419-LOOKUP(2,1/(AI419:AJ419&lt;&gt;""),AI419:AJ419)))</t>
        </is>
      </c>
      <c r="AY419" s="49" t="inlineStr">
        <is>
          <t>IF(OR(F419="",AL419=""),"",IF(COUNT(AI419:AK419)=0,"",AL419-LOOKUP(2,1/(AI419:AK419&lt;&gt;""),AI419:AK419)))</t>
        </is>
      </c>
      <c r="AZ419" s="49" t="inlineStr">
        <is>
          <t>IF(OR(F419="",AM419=""),"",IF(COUNT(AI419:AL419)=0,"",AM419-LOOKUP(2,1/(AI419:AL419&lt;&gt;""),AI419:AL419)))</t>
        </is>
      </c>
      <c r="BA419" s="49" t="inlineStr">
        <is>
          <t>IF(OR(F419="",AN419=""),"",IF(COUNT(AI419:AM419)=0,"",AN419-LOOKUP(2,1/(AI419:AM419&lt;&gt;""),AI419:AM419)))</t>
        </is>
      </c>
      <c r="BB419" s="49" t="inlineStr">
        <is>
          <t>IF(OR(F419="",AO419=""),"",IF(COUNT(AI419:AN419)=0,"",AO419-LOOKUP(2,1/(AI419:AN419&lt;&gt;""),AI419:AN419)))</t>
        </is>
      </c>
      <c r="BC419" s="49" t="inlineStr">
        <is>
          <t>IF(OR(F419="",AP419=""),"",IF(COUNT(AI419:AO419)=0,"",AP419-LOOKUP(2,1/(AI419:AO419&lt;&gt;""),AI419:AO419)))</t>
        </is>
      </c>
      <c r="BD419" s="49" t="inlineStr">
        <is>
          <t>IF(OR(F419="",AQ419=""),"",IF(COUNT(AI419:AP419)=0,"",AQ419-LOOKUP(2,1/(AI419:AP419&lt;&gt;""),AI419:AP419)))</t>
        </is>
      </c>
      <c r="BE419" s="49" t="inlineStr">
        <is>
          <t>IF(OR(F419="",AR419=""),"",IF(COUNT(AI419:AQ419)=0,"",AR419-LOOKUP(2,1/(AI419:AQ419&lt;&gt;""),AI419:AQ419)))</t>
        </is>
      </c>
      <c r="BF419" s="49" t="inlineStr">
        <is>
          <t>IF(OR(F419="",AS419=""),"",IF(COUNT(AI419:AR419)=0,"",AS419-LOOKUP(2,1/(AI419:AR419&lt;&gt;""),AI419:AR419)))</t>
        </is>
      </c>
      <c r="BG419" s="49" t="inlineStr">
        <is>
          <t>IF(OR(F419="",AT419=""),"",IF(COUNT(AI419:AS419)=0,"",AT419-LOOKUP(2,1/(AI419:AS419&lt;&gt;""),AI419:AS419)))</t>
        </is>
      </c>
      <c r="BH419" s="49" t="inlineStr">
        <is>
          <t>IF(OR(F419="",AU419=""),"",IF(COUNT(AI419:AT419)=0,"",AU419-LOOKUP(2,1/(AI419:AT419&lt;&gt;""),AI419:AT419)))</t>
        </is>
      </c>
      <c r="BI419" s="49" t="inlineStr">
        <is>
          <t>IF(OR(F419="",AV419=""),"",IF(COUNT(AI419:AU419)=0,"",AV419-LOOKUP(2,1/(AI419:AU419&lt;&gt;""),AI419:AU419)))</t>
        </is>
      </c>
      <c r="BJ419" s="51" t="inlineStr">
        <is>
          <t>IF(J419="","All_Provinces",IFERROR(VLOOKUP(J419,'09_Lookups'!$A$4:$B$20,2,FALSE),"All_Provinces"))</t>
        </is>
      </c>
      <c r="BK419" s="51" t="inlineStr">
        <is>
          <t>IF(K419="","All_Districts",IFERROR(VLOOKUP(K419,'09_Lookups'!$E$4:$F$42,2,FALSE),"All_Districts"))</t>
        </is>
      </c>
    </row>
    <row r="420" ht="18" customHeight="1">
      <c r="A420" s="42" t="inlineStr">
        <is>
          <t>IF(F420="","",ROW()-3)</t>
        </is>
      </c>
      <c r="B420" s="52" t="n"/>
      <c r="C420" s="52" t="n"/>
      <c r="D420" s="52" t="n"/>
      <c r="E420" s="52" t="n"/>
      <c r="F420" s="52" t="n"/>
      <c r="G420" s="52" t="n"/>
      <c r="H420" s="52" t="n"/>
      <c r="I420" s="52" t="n"/>
      <c r="J420" s="52" t="n"/>
      <c r="K420" s="52" t="n"/>
      <c r="L420" s="52" t="n"/>
      <c r="M420" s="52" t="n"/>
      <c r="N420" s="52" t="n"/>
      <c r="O420" s="52" t="n"/>
      <c r="P420" s="52" t="n"/>
      <c r="Q420" s="52" t="n"/>
      <c r="R420" s="52" t="n"/>
      <c r="S420" s="53" t="n"/>
      <c r="T420" s="46" t="inlineStr">
        <is>
          <t>IF(AQ420="","",AQ420)</t>
        </is>
      </c>
      <c r="U420" s="54" t="n"/>
      <c r="V420" s="55" t="n"/>
      <c r="W420" s="54" t="n"/>
      <c r="X420" s="46" t="inlineStr">
        <is>
          <t>IF(W420&lt;&gt;"",W420,IF(OR(T420="",V420=""),"",EDATE(T420,V420)))</t>
        </is>
      </c>
      <c r="Y420" s="54" t="n"/>
      <c r="Z420" s="55" t="n"/>
      <c r="AA420" s="52" t="n"/>
      <c r="AB420" s="52" t="n"/>
      <c r="AC420" s="42" t="inlineStr">
        <is>
          <t>IF(F420="","",IF(COUNT(AI420:AV420)=0,IF(AA420="","Not started",AA420),SUBSTITUTE(LOOKUP(2,1/(AI420:AV420&lt;&gt;""),$AI$3:$AV$3),"Date: ","")))</t>
        </is>
      </c>
      <c r="AD420" s="49" t="inlineStr">
        <is>
          <t>IF(OR(F420="",COUNT(AI420:AV420)=0),"",TODAY()-LOOKUP(2,1/(AI420:AV420&lt;&gt;""),AI420:AV420))</t>
        </is>
      </c>
      <c r="AE420" s="49" t="inlineStr">
        <is>
          <t>IF(OR(F420="",COUNT(AI420:AV420)&lt;2),"",LOOKUP(2,1/(AI420:AV420&lt;&gt;""),AI420:AV420)-MIN(AI420:AV420))</t>
        </is>
      </c>
      <c r="AF420" s="49" t="inlineStr">
        <is>
          <t>IF(OR(AD420="",AC420="Not started",AC420=""),"",IFERROR(AD420-IF(VLOOKUP(AC420,'06_Status_Pipeline'!$B$3:$E$20,4,FALSE)="",0,VLOOKUP(AC420,'06_Status_Pipeline'!$B$3:$E$20,4,FALSE)),""))</t>
        </is>
      </c>
      <c r="AG420" s="42" t="inlineStr">
        <is>
          <t>IF(F420="","",IF(OR(AA420="Cancelled",AC420="Cancelled"),"Cancelled",IF(OR(AC420="Completed / Handover",Y420&lt;&gt;"",Z420&gt;=100),"Completed — on track",IF(O420="Not awarded",IF(U420="",IF(X420="","No planned date",IF(TODAY()&gt;X420,"Behind — past planned date",IF(X420-TODAY()&lt;=30,"At risk — close to off track","On track"))),IF(TODAY()&gt;U420,"Behind — award date passed",IF(U420-TODAY()&lt;=30,"At risk — close to off track","On track"))),IF(X420="","No planned date",IF(AND(TODAY()&gt;X420,OR(Z420="",Z420&lt;100)),"Behind — past end date",IF(AND(T420&lt;&gt;"",X420&lt;&gt;"",Z420&lt;&gt;"",(Z420&lt;100),((TODAY()-T420)/MAX(X420-T420,1)*100)-Z420&gt;15),"Behind — progress lag",IF(AND(X420-TODAY()&lt;=30,X420-TODAY()&gt;=0,OR(Z420="",Z420&lt;90)),"At risk — close to off track","On track"))))))))</t>
        </is>
      </c>
      <c r="AH420" s="49" t="inlineStr">
        <is>
          <t>IF(OR(F420="",AC420="Completed / Handover",AC420="Cancelled"),"",IF(O420="Not awarded",IF(U420&lt;&gt;"",U420-TODAY(),IF(X420="","",X420-TODAY())),IF(X420="","",X420-TODAY())))</t>
        </is>
      </c>
      <c r="AI420" s="54" t="n"/>
      <c r="AJ420" s="54" t="n"/>
      <c r="AK420" s="54" t="n"/>
      <c r="AL420" s="54" t="n"/>
      <c r="AM420" s="54" t="n"/>
      <c r="AN420" s="54" t="n"/>
      <c r="AO420" s="54" t="n"/>
      <c r="AP420" s="54" t="n"/>
      <c r="AQ420" s="54" t="n"/>
      <c r="AR420" s="54" t="n"/>
      <c r="AS420" s="54" t="n"/>
      <c r="AT420" s="50" t="n"/>
      <c r="AU420" s="50" t="n"/>
      <c r="AV420" s="50" t="n"/>
      <c r="AW420" s="49" t="inlineStr">
        <is>
          <t>IF(OR(F420="",AJ420=""),"",IF(COUNT(AI420:AI420)=0,"",AJ420-LOOKUP(2,1/(AI420:AI420&lt;&gt;""),AI420:AI420)))</t>
        </is>
      </c>
      <c r="AX420" s="49" t="inlineStr">
        <is>
          <t>IF(OR(F420="",AK420=""),"",IF(COUNT(AI420:AJ420)=0,"",AK420-LOOKUP(2,1/(AI420:AJ420&lt;&gt;""),AI420:AJ420)))</t>
        </is>
      </c>
      <c r="AY420" s="49" t="inlineStr">
        <is>
          <t>IF(OR(F420="",AL420=""),"",IF(COUNT(AI420:AK420)=0,"",AL420-LOOKUP(2,1/(AI420:AK420&lt;&gt;""),AI420:AK420)))</t>
        </is>
      </c>
      <c r="AZ420" s="49" t="inlineStr">
        <is>
          <t>IF(OR(F420="",AM420=""),"",IF(COUNT(AI420:AL420)=0,"",AM420-LOOKUP(2,1/(AI420:AL420&lt;&gt;""),AI420:AL420)))</t>
        </is>
      </c>
      <c r="BA420" s="49" t="inlineStr">
        <is>
          <t>IF(OR(F420="",AN420=""),"",IF(COUNT(AI420:AM420)=0,"",AN420-LOOKUP(2,1/(AI420:AM420&lt;&gt;""),AI420:AM420)))</t>
        </is>
      </c>
      <c r="BB420" s="49" t="inlineStr">
        <is>
          <t>IF(OR(F420="",AO420=""),"",IF(COUNT(AI420:AN420)=0,"",AO420-LOOKUP(2,1/(AI420:AN420&lt;&gt;""),AI420:AN420)))</t>
        </is>
      </c>
      <c r="BC420" s="49" t="inlineStr">
        <is>
          <t>IF(OR(F420="",AP420=""),"",IF(COUNT(AI420:AO420)=0,"",AP420-LOOKUP(2,1/(AI420:AO420&lt;&gt;""),AI420:AO420)))</t>
        </is>
      </c>
      <c r="BD420" s="49" t="inlineStr">
        <is>
          <t>IF(OR(F420="",AQ420=""),"",IF(COUNT(AI420:AP420)=0,"",AQ420-LOOKUP(2,1/(AI420:AP420&lt;&gt;""),AI420:AP420)))</t>
        </is>
      </c>
      <c r="BE420" s="49" t="inlineStr">
        <is>
          <t>IF(OR(F420="",AR420=""),"",IF(COUNT(AI420:AQ420)=0,"",AR420-LOOKUP(2,1/(AI420:AQ420&lt;&gt;""),AI420:AQ420)))</t>
        </is>
      </c>
      <c r="BF420" s="49" t="inlineStr">
        <is>
          <t>IF(OR(F420="",AS420=""),"",IF(COUNT(AI420:AR420)=0,"",AS420-LOOKUP(2,1/(AI420:AR420&lt;&gt;""),AI420:AR420)))</t>
        </is>
      </c>
      <c r="BG420" s="49" t="inlineStr">
        <is>
          <t>IF(OR(F420="",AT420=""),"",IF(COUNT(AI420:AS420)=0,"",AT420-LOOKUP(2,1/(AI420:AS420&lt;&gt;""),AI420:AS420)))</t>
        </is>
      </c>
      <c r="BH420" s="49" t="inlineStr">
        <is>
          <t>IF(OR(F420="",AU420=""),"",IF(COUNT(AI420:AT420)=0,"",AU420-LOOKUP(2,1/(AI420:AT420&lt;&gt;""),AI420:AT420)))</t>
        </is>
      </c>
      <c r="BI420" s="49" t="inlineStr">
        <is>
          <t>IF(OR(F420="",AV420=""),"",IF(COUNT(AI420:AU420)=0,"",AV420-LOOKUP(2,1/(AI420:AU420&lt;&gt;""),AI420:AU420)))</t>
        </is>
      </c>
      <c r="BJ420" s="51" t="inlineStr">
        <is>
          <t>IF(J420="","All_Provinces",IFERROR(VLOOKUP(J420,'09_Lookups'!$A$4:$B$20,2,FALSE),"All_Provinces"))</t>
        </is>
      </c>
      <c r="BK420" s="51" t="inlineStr">
        <is>
          <t>IF(K420="","All_Districts",IFERROR(VLOOKUP(K420,'09_Lookups'!$E$4:$F$42,2,FALSE),"All_Districts"))</t>
        </is>
      </c>
    </row>
    <row r="421" ht="18" customHeight="1">
      <c r="A421" s="42" t="inlineStr">
        <is>
          <t>IF(F421="","",ROW()-3)</t>
        </is>
      </c>
      <c r="B421" s="44" t="n"/>
      <c r="C421" s="44" t="n"/>
      <c r="D421" s="44" t="n"/>
      <c r="E421" s="44" t="n"/>
      <c r="F421" s="44" t="n"/>
      <c r="G421" s="44" t="n"/>
      <c r="H421" s="44" t="n"/>
      <c r="I421" s="44" t="n"/>
      <c r="J421" s="44" t="n"/>
      <c r="K421" s="44" t="n"/>
      <c r="L421" s="44" t="n"/>
      <c r="M421" s="44" t="n"/>
      <c r="N421" s="44" t="n"/>
      <c r="O421" s="44" t="n"/>
      <c r="P421" s="44" t="n"/>
      <c r="Q421" s="44" t="n"/>
      <c r="R421" s="44" t="n"/>
      <c r="S421" s="45" t="n"/>
      <c r="T421" s="46" t="inlineStr">
        <is>
          <t>IF(AQ421="","",AQ421)</t>
        </is>
      </c>
      <c r="U421" s="47" t="n"/>
      <c r="V421" s="48" t="n"/>
      <c r="W421" s="47" t="n"/>
      <c r="X421" s="46" t="inlineStr">
        <is>
          <t>IF(W421&lt;&gt;"",W421,IF(OR(T421="",V421=""),"",EDATE(T421,V421)))</t>
        </is>
      </c>
      <c r="Y421" s="47" t="n"/>
      <c r="Z421" s="48" t="n"/>
      <c r="AA421" s="44" t="n"/>
      <c r="AB421" s="44" t="n"/>
      <c r="AC421" s="42" t="inlineStr">
        <is>
          <t>IF(F421="","",IF(COUNT(AI421:AV421)=0,IF(AA421="","Not started",AA421),SUBSTITUTE(LOOKUP(2,1/(AI421:AV421&lt;&gt;""),$AI$3:$AV$3),"Date: ","")))</t>
        </is>
      </c>
      <c r="AD421" s="49" t="inlineStr">
        <is>
          <t>IF(OR(F421="",COUNT(AI421:AV421)=0),"",TODAY()-LOOKUP(2,1/(AI421:AV421&lt;&gt;""),AI421:AV421))</t>
        </is>
      </c>
      <c r="AE421" s="49" t="inlineStr">
        <is>
          <t>IF(OR(F421="",COUNT(AI421:AV421)&lt;2),"",LOOKUP(2,1/(AI421:AV421&lt;&gt;""),AI421:AV421)-MIN(AI421:AV421))</t>
        </is>
      </c>
      <c r="AF421" s="49" t="inlineStr">
        <is>
          <t>IF(OR(AD421="",AC421="Not started",AC421=""),"",IFERROR(AD421-IF(VLOOKUP(AC421,'06_Status_Pipeline'!$B$3:$E$20,4,FALSE)="",0,VLOOKUP(AC421,'06_Status_Pipeline'!$B$3:$E$20,4,FALSE)),""))</t>
        </is>
      </c>
      <c r="AG421" s="42" t="inlineStr">
        <is>
          <t>IF(F421="","",IF(OR(AA421="Cancelled",AC421="Cancelled"),"Cancelled",IF(OR(AC421="Completed / Handover",Y421&lt;&gt;"",Z421&gt;=100),"Completed — on track",IF(O421="Not awarded",IF(U421="",IF(X421="","No planned date",IF(TODAY()&gt;X421,"Behind — past planned date",IF(X421-TODAY()&lt;=30,"At risk — close to off track","On track"))),IF(TODAY()&gt;U421,"Behind — award date passed",IF(U421-TODAY()&lt;=30,"At risk — close to off track","On track"))),IF(X421="","No planned date",IF(AND(TODAY()&gt;X421,OR(Z421="",Z421&lt;100)),"Behind — past end date",IF(AND(T421&lt;&gt;"",X421&lt;&gt;"",Z421&lt;&gt;"",(Z421&lt;100),((TODAY()-T421)/MAX(X421-T421,1)*100)-Z421&gt;15),"Behind — progress lag",IF(AND(X421-TODAY()&lt;=30,X421-TODAY()&gt;=0,OR(Z421="",Z421&lt;90)),"At risk — close to off track","On track"))))))))</t>
        </is>
      </c>
      <c r="AH421" s="49" t="inlineStr">
        <is>
          <t>IF(OR(F421="",AC421="Completed / Handover",AC421="Cancelled"),"",IF(O421="Not awarded",IF(U421&lt;&gt;"",U421-TODAY(),IF(X421="","",X421-TODAY())),IF(X421="","",X421-TODAY())))</t>
        </is>
      </c>
      <c r="AI421" s="47" t="n"/>
      <c r="AJ421" s="47" t="n"/>
      <c r="AK421" s="47" t="n"/>
      <c r="AL421" s="47" t="n"/>
      <c r="AM421" s="47" t="n"/>
      <c r="AN421" s="47" t="n"/>
      <c r="AO421" s="47" t="n"/>
      <c r="AP421" s="47" t="n"/>
      <c r="AQ421" s="47" t="n"/>
      <c r="AR421" s="47" t="n"/>
      <c r="AS421" s="47" t="n"/>
      <c r="AT421" s="50" t="n"/>
      <c r="AU421" s="50" t="n"/>
      <c r="AV421" s="50" t="n"/>
      <c r="AW421" s="49" t="inlineStr">
        <is>
          <t>IF(OR(F421="",AJ421=""),"",IF(COUNT(AI421:AI421)=0,"",AJ421-LOOKUP(2,1/(AI421:AI421&lt;&gt;""),AI421:AI421)))</t>
        </is>
      </c>
      <c r="AX421" s="49" t="inlineStr">
        <is>
          <t>IF(OR(F421="",AK421=""),"",IF(COUNT(AI421:AJ421)=0,"",AK421-LOOKUP(2,1/(AI421:AJ421&lt;&gt;""),AI421:AJ421)))</t>
        </is>
      </c>
      <c r="AY421" s="49" t="inlineStr">
        <is>
          <t>IF(OR(F421="",AL421=""),"",IF(COUNT(AI421:AK421)=0,"",AL421-LOOKUP(2,1/(AI421:AK421&lt;&gt;""),AI421:AK421)))</t>
        </is>
      </c>
      <c r="AZ421" s="49" t="inlineStr">
        <is>
          <t>IF(OR(F421="",AM421=""),"",IF(COUNT(AI421:AL421)=0,"",AM421-LOOKUP(2,1/(AI421:AL421&lt;&gt;""),AI421:AL421)))</t>
        </is>
      </c>
      <c r="BA421" s="49" t="inlineStr">
        <is>
          <t>IF(OR(F421="",AN421=""),"",IF(COUNT(AI421:AM421)=0,"",AN421-LOOKUP(2,1/(AI421:AM421&lt;&gt;""),AI421:AM421)))</t>
        </is>
      </c>
      <c r="BB421" s="49" t="inlineStr">
        <is>
          <t>IF(OR(F421="",AO421=""),"",IF(COUNT(AI421:AN421)=0,"",AO421-LOOKUP(2,1/(AI421:AN421&lt;&gt;""),AI421:AN421)))</t>
        </is>
      </c>
      <c r="BC421" s="49" t="inlineStr">
        <is>
          <t>IF(OR(F421="",AP421=""),"",IF(COUNT(AI421:AO421)=0,"",AP421-LOOKUP(2,1/(AI421:AO421&lt;&gt;""),AI421:AO421)))</t>
        </is>
      </c>
      <c r="BD421" s="49" t="inlineStr">
        <is>
          <t>IF(OR(F421="",AQ421=""),"",IF(COUNT(AI421:AP421)=0,"",AQ421-LOOKUP(2,1/(AI421:AP421&lt;&gt;""),AI421:AP421)))</t>
        </is>
      </c>
      <c r="BE421" s="49" t="inlineStr">
        <is>
          <t>IF(OR(F421="",AR421=""),"",IF(COUNT(AI421:AQ421)=0,"",AR421-LOOKUP(2,1/(AI421:AQ421&lt;&gt;""),AI421:AQ421)))</t>
        </is>
      </c>
      <c r="BF421" s="49" t="inlineStr">
        <is>
          <t>IF(OR(F421="",AS421=""),"",IF(COUNT(AI421:AR421)=0,"",AS421-LOOKUP(2,1/(AI421:AR421&lt;&gt;""),AI421:AR421)))</t>
        </is>
      </c>
      <c r="BG421" s="49" t="inlineStr">
        <is>
          <t>IF(OR(F421="",AT421=""),"",IF(COUNT(AI421:AS421)=0,"",AT421-LOOKUP(2,1/(AI421:AS421&lt;&gt;""),AI421:AS421)))</t>
        </is>
      </c>
      <c r="BH421" s="49" t="inlineStr">
        <is>
          <t>IF(OR(F421="",AU421=""),"",IF(COUNT(AI421:AT421)=0,"",AU421-LOOKUP(2,1/(AI421:AT421&lt;&gt;""),AI421:AT421)))</t>
        </is>
      </c>
      <c r="BI421" s="49" t="inlineStr">
        <is>
          <t>IF(OR(F421="",AV421=""),"",IF(COUNT(AI421:AU421)=0,"",AV421-LOOKUP(2,1/(AI421:AU421&lt;&gt;""),AI421:AU421)))</t>
        </is>
      </c>
      <c r="BJ421" s="51" t="inlineStr">
        <is>
          <t>IF(J421="","All_Provinces",IFERROR(VLOOKUP(J421,'09_Lookups'!$A$4:$B$20,2,FALSE),"All_Provinces"))</t>
        </is>
      </c>
      <c r="BK421" s="51" t="inlineStr">
        <is>
          <t>IF(K421="","All_Districts",IFERROR(VLOOKUP(K421,'09_Lookups'!$E$4:$F$42,2,FALSE),"All_Districts"))</t>
        </is>
      </c>
    </row>
    <row r="422" ht="18" customHeight="1">
      <c r="A422" s="42" t="inlineStr">
        <is>
          <t>IF(F422="","",ROW()-3)</t>
        </is>
      </c>
      <c r="B422" s="52" t="n"/>
      <c r="C422" s="52" t="n"/>
      <c r="D422" s="52" t="n"/>
      <c r="E422" s="52" t="n"/>
      <c r="F422" s="52" t="n"/>
      <c r="G422" s="52" t="n"/>
      <c r="H422" s="52" t="n"/>
      <c r="I422" s="52" t="n"/>
      <c r="J422" s="52" t="n"/>
      <c r="K422" s="52" t="n"/>
      <c r="L422" s="52" t="n"/>
      <c r="M422" s="52" t="n"/>
      <c r="N422" s="52" t="n"/>
      <c r="O422" s="52" t="n"/>
      <c r="P422" s="52" t="n"/>
      <c r="Q422" s="52" t="n"/>
      <c r="R422" s="52" t="n"/>
      <c r="S422" s="53" t="n"/>
      <c r="T422" s="46" t="inlineStr">
        <is>
          <t>IF(AQ422="","",AQ422)</t>
        </is>
      </c>
      <c r="U422" s="54" t="n"/>
      <c r="V422" s="55" t="n"/>
      <c r="W422" s="54" t="n"/>
      <c r="X422" s="46" t="inlineStr">
        <is>
          <t>IF(W422&lt;&gt;"",W422,IF(OR(T422="",V422=""),"",EDATE(T422,V422)))</t>
        </is>
      </c>
      <c r="Y422" s="54" t="n"/>
      <c r="Z422" s="55" t="n"/>
      <c r="AA422" s="52" t="n"/>
      <c r="AB422" s="52" t="n"/>
      <c r="AC422" s="42" t="inlineStr">
        <is>
          <t>IF(F422="","",IF(COUNT(AI422:AV422)=0,IF(AA422="","Not started",AA422),SUBSTITUTE(LOOKUP(2,1/(AI422:AV422&lt;&gt;""),$AI$3:$AV$3),"Date: ","")))</t>
        </is>
      </c>
      <c r="AD422" s="49" t="inlineStr">
        <is>
          <t>IF(OR(F422="",COUNT(AI422:AV422)=0),"",TODAY()-LOOKUP(2,1/(AI422:AV422&lt;&gt;""),AI422:AV422))</t>
        </is>
      </c>
      <c r="AE422" s="49" t="inlineStr">
        <is>
          <t>IF(OR(F422="",COUNT(AI422:AV422)&lt;2),"",LOOKUP(2,1/(AI422:AV422&lt;&gt;""),AI422:AV422)-MIN(AI422:AV422))</t>
        </is>
      </c>
      <c r="AF422" s="49" t="inlineStr">
        <is>
          <t>IF(OR(AD422="",AC422="Not started",AC422=""),"",IFERROR(AD422-IF(VLOOKUP(AC422,'06_Status_Pipeline'!$B$3:$E$20,4,FALSE)="",0,VLOOKUP(AC422,'06_Status_Pipeline'!$B$3:$E$20,4,FALSE)),""))</t>
        </is>
      </c>
      <c r="AG422" s="42" t="inlineStr">
        <is>
          <t>IF(F422="","",IF(OR(AA422="Cancelled",AC422="Cancelled"),"Cancelled",IF(OR(AC422="Completed / Handover",Y422&lt;&gt;"",Z422&gt;=100),"Completed — on track",IF(O422="Not awarded",IF(U422="",IF(X422="","No planned date",IF(TODAY()&gt;X422,"Behind — past planned date",IF(X422-TODAY()&lt;=30,"At risk — close to off track","On track"))),IF(TODAY()&gt;U422,"Behind — award date passed",IF(U422-TODAY()&lt;=30,"At risk — close to off track","On track"))),IF(X422="","No planned date",IF(AND(TODAY()&gt;X422,OR(Z422="",Z422&lt;100)),"Behind — past end date",IF(AND(T422&lt;&gt;"",X422&lt;&gt;"",Z422&lt;&gt;"",(Z422&lt;100),((TODAY()-T422)/MAX(X422-T422,1)*100)-Z422&gt;15),"Behind — progress lag",IF(AND(X422-TODAY()&lt;=30,X422-TODAY()&gt;=0,OR(Z422="",Z422&lt;90)),"At risk — close to off track","On track"))))))))</t>
        </is>
      </c>
      <c r="AH422" s="49" t="inlineStr">
        <is>
          <t>IF(OR(F422="",AC422="Completed / Handover",AC422="Cancelled"),"",IF(O422="Not awarded",IF(U422&lt;&gt;"",U422-TODAY(),IF(X422="","",X422-TODAY())),IF(X422="","",X422-TODAY())))</t>
        </is>
      </c>
      <c r="AI422" s="54" t="n"/>
      <c r="AJ422" s="54" t="n"/>
      <c r="AK422" s="54" t="n"/>
      <c r="AL422" s="54" t="n"/>
      <c r="AM422" s="54" t="n"/>
      <c r="AN422" s="54" t="n"/>
      <c r="AO422" s="54" t="n"/>
      <c r="AP422" s="54" t="n"/>
      <c r="AQ422" s="54" t="n"/>
      <c r="AR422" s="54" t="n"/>
      <c r="AS422" s="54" t="n"/>
      <c r="AT422" s="50" t="n"/>
      <c r="AU422" s="50" t="n"/>
      <c r="AV422" s="50" t="n"/>
      <c r="AW422" s="49" t="inlineStr">
        <is>
          <t>IF(OR(F422="",AJ422=""),"",IF(COUNT(AI422:AI422)=0,"",AJ422-LOOKUP(2,1/(AI422:AI422&lt;&gt;""),AI422:AI422)))</t>
        </is>
      </c>
      <c r="AX422" s="49" t="inlineStr">
        <is>
          <t>IF(OR(F422="",AK422=""),"",IF(COUNT(AI422:AJ422)=0,"",AK422-LOOKUP(2,1/(AI422:AJ422&lt;&gt;""),AI422:AJ422)))</t>
        </is>
      </c>
      <c r="AY422" s="49" t="inlineStr">
        <is>
          <t>IF(OR(F422="",AL422=""),"",IF(COUNT(AI422:AK422)=0,"",AL422-LOOKUP(2,1/(AI422:AK422&lt;&gt;""),AI422:AK422)))</t>
        </is>
      </c>
      <c r="AZ422" s="49" t="inlineStr">
        <is>
          <t>IF(OR(F422="",AM422=""),"",IF(COUNT(AI422:AL422)=0,"",AM422-LOOKUP(2,1/(AI422:AL422&lt;&gt;""),AI422:AL422)))</t>
        </is>
      </c>
      <c r="BA422" s="49" t="inlineStr">
        <is>
          <t>IF(OR(F422="",AN422=""),"",IF(COUNT(AI422:AM422)=0,"",AN422-LOOKUP(2,1/(AI422:AM422&lt;&gt;""),AI422:AM422)))</t>
        </is>
      </c>
      <c r="BB422" s="49" t="inlineStr">
        <is>
          <t>IF(OR(F422="",AO422=""),"",IF(COUNT(AI422:AN422)=0,"",AO422-LOOKUP(2,1/(AI422:AN422&lt;&gt;""),AI422:AN422)))</t>
        </is>
      </c>
      <c r="BC422" s="49" t="inlineStr">
        <is>
          <t>IF(OR(F422="",AP422=""),"",IF(COUNT(AI422:AO422)=0,"",AP422-LOOKUP(2,1/(AI422:AO422&lt;&gt;""),AI422:AO422)))</t>
        </is>
      </c>
      <c r="BD422" s="49" t="inlineStr">
        <is>
          <t>IF(OR(F422="",AQ422=""),"",IF(COUNT(AI422:AP422)=0,"",AQ422-LOOKUP(2,1/(AI422:AP422&lt;&gt;""),AI422:AP422)))</t>
        </is>
      </c>
      <c r="BE422" s="49" t="inlineStr">
        <is>
          <t>IF(OR(F422="",AR422=""),"",IF(COUNT(AI422:AQ422)=0,"",AR422-LOOKUP(2,1/(AI422:AQ422&lt;&gt;""),AI422:AQ422)))</t>
        </is>
      </c>
      <c r="BF422" s="49" t="inlineStr">
        <is>
          <t>IF(OR(F422="",AS422=""),"",IF(COUNT(AI422:AR422)=0,"",AS422-LOOKUP(2,1/(AI422:AR422&lt;&gt;""),AI422:AR422)))</t>
        </is>
      </c>
      <c r="BG422" s="49" t="inlineStr">
        <is>
          <t>IF(OR(F422="",AT422=""),"",IF(COUNT(AI422:AS422)=0,"",AT422-LOOKUP(2,1/(AI422:AS422&lt;&gt;""),AI422:AS422)))</t>
        </is>
      </c>
      <c r="BH422" s="49" t="inlineStr">
        <is>
          <t>IF(OR(F422="",AU422=""),"",IF(COUNT(AI422:AT422)=0,"",AU422-LOOKUP(2,1/(AI422:AT422&lt;&gt;""),AI422:AT422)))</t>
        </is>
      </c>
      <c r="BI422" s="49" t="inlineStr">
        <is>
          <t>IF(OR(F422="",AV422=""),"",IF(COUNT(AI422:AU422)=0,"",AV422-LOOKUP(2,1/(AI422:AU422&lt;&gt;""),AI422:AU422)))</t>
        </is>
      </c>
      <c r="BJ422" s="51" t="inlineStr">
        <is>
          <t>IF(J422="","All_Provinces",IFERROR(VLOOKUP(J422,'09_Lookups'!$A$4:$B$20,2,FALSE),"All_Provinces"))</t>
        </is>
      </c>
      <c r="BK422" s="51" t="inlineStr">
        <is>
          <t>IF(K422="","All_Districts",IFERROR(VLOOKUP(K422,'09_Lookups'!$E$4:$F$42,2,FALSE),"All_Districts"))</t>
        </is>
      </c>
    </row>
    <row r="423" ht="18" customHeight="1">
      <c r="A423" s="42" t="inlineStr">
        <is>
          <t>IF(F423="","",ROW()-3)</t>
        </is>
      </c>
      <c r="B423" s="44" t="n"/>
      <c r="C423" s="44" t="n"/>
      <c r="D423" s="44" t="n"/>
      <c r="E423" s="44" t="n"/>
      <c r="F423" s="44" t="n"/>
      <c r="G423" s="44" t="n"/>
      <c r="H423" s="44" t="n"/>
      <c r="I423" s="44" t="n"/>
      <c r="J423" s="44" t="n"/>
      <c r="K423" s="44" t="n"/>
      <c r="L423" s="44" t="n"/>
      <c r="M423" s="44" t="n"/>
      <c r="N423" s="44" t="n"/>
      <c r="O423" s="44" t="n"/>
      <c r="P423" s="44" t="n"/>
      <c r="Q423" s="44" t="n"/>
      <c r="R423" s="44" t="n"/>
      <c r="S423" s="45" t="n"/>
      <c r="T423" s="46" t="inlineStr">
        <is>
          <t>IF(AQ423="","",AQ423)</t>
        </is>
      </c>
      <c r="U423" s="47" t="n"/>
      <c r="V423" s="48" t="n"/>
      <c r="W423" s="47" t="n"/>
      <c r="X423" s="46" t="inlineStr">
        <is>
          <t>IF(W423&lt;&gt;"",W423,IF(OR(T423="",V423=""),"",EDATE(T423,V423)))</t>
        </is>
      </c>
      <c r="Y423" s="47" t="n"/>
      <c r="Z423" s="48" t="n"/>
      <c r="AA423" s="44" t="n"/>
      <c r="AB423" s="44" t="n"/>
      <c r="AC423" s="42" t="inlineStr">
        <is>
          <t>IF(F423="","",IF(COUNT(AI423:AV423)=0,IF(AA423="","Not started",AA423),SUBSTITUTE(LOOKUP(2,1/(AI423:AV423&lt;&gt;""),$AI$3:$AV$3),"Date: ","")))</t>
        </is>
      </c>
      <c r="AD423" s="49" t="inlineStr">
        <is>
          <t>IF(OR(F423="",COUNT(AI423:AV423)=0),"",TODAY()-LOOKUP(2,1/(AI423:AV423&lt;&gt;""),AI423:AV423))</t>
        </is>
      </c>
      <c r="AE423" s="49" t="inlineStr">
        <is>
          <t>IF(OR(F423="",COUNT(AI423:AV423)&lt;2),"",LOOKUP(2,1/(AI423:AV423&lt;&gt;""),AI423:AV423)-MIN(AI423:AV423))</t>
        </is>
      </c>
      <c r="AF423" s="49" t="inlineStr">
        <is>
          <t>IF(OR(AD423="",AC423="Not started",AC423=""),"",IFERROR(AD423-IF(VLOOKUP(AC423,'06_Status_Pipeline'!$B$3:$E$20,4,FALSE)="",0,VLOOKUP(AC423,'06_Status_Pipeline'!$B$3:$E$20,4,FALSE)),""))</t>
        </is>
      </c>
      <c r="AG423" s="42" t="inlineStr">
        <is>
          <t>IF(F423="","",IF(OR(AA423="Cancelled",AC423="Cancelled"),"Cancelled",IF(OR(AC423="Completed / Handover",Y423&lt;&gt;"",Z423&gt;=100),"Completed — on track",IF(O423="Not awarded",IF(U423="",IF(X423="","No planned date",IF(TODAY()&gt;X423,"Behind — past planned date",IF(X423-TODAY()&lt;=30,"At risk — close to off track","On track"))),IF(TODAY()&gt;U423,"Behind — award date passed",IF(U423-TODAY()&lt;=30,"At risk — close to off track","On track"))),IF(X423="","No planned date",IF(AND(TODAY()&gt;X423,OR(Z423="",Z423&lt;100)),"Behind — past end date",IF(AND(T423&lt;&gt;"",X423&lt;&gt;"",Z423&lt;&gt;"",(Z423&lt;100),((TODAY()-T423)/MAX(X423-T423,1)*100)-Z423&gt;15),"Behind — progress lag",IF(AND(X423-TODAY()&lt;=30,X423-TODAY()&gt;=0,OR(Z423="",Z423&lt;90)),"At risk — close to off track","On track"))))))))</t>
        </is>
      </c>
      <c r="AH423" s="49" t="inlineStr">
        <is>
          <t>IF(OR(F423="",AC423="Completed / Handover",AC423="Cancelled"),"",IF(O423="Not awarded",IF(U423&lt;&gt;"",U423-TODAY(),IF(X423="","",X423-TODAY())),IF(X423="","",X423-TODAY())))</t>
        </is>
      </c>
      <c r="AI423" s="47" t="n"/>
      <c r="AJ423" s="47" t="n"/>
      <c r="AK423" s="47" t="n"/>
      <c r="AL423" s="47" t="n"/>
      <c r="AM423" s="47" t="n"/>
      <c r="AN423" s="47" t="n"/>
      <c r="AO423" s="47" t="n"/>
      <c r="AP423" s="47" t="n"/>
      <c r="AQ423" s="47" t="n"/>
      <c r="AR423" s="47" t="n"/>
      <c r="AS423" s="47" t="n"/>
      <c r="AT423" s="50" t="n"/>
      <c r="AU423" s="50" t="n"/>
      <c r="AV423" s="50" t="n"/>
      <c r="AW423" s="49" t="inlineStr">
        <is>
          <t>IF(OR(F423="",AJ423=""),"",IF(COUNT(AI423:AI423)=0,"",AJ423-LOOKUP(2,1/(AI423:AI423&lt;&gt;""),AI423:AI423)))</t>
        </is>
      </c>
      <c r="AX423" s="49" t="inlineStr">
        <is>
          <t>IF(OR(F423="",AK423=""),"",IF(COUNT(AI423:AJ423)=0,"",AK423-LOOKUP(2,1/(AI423:AJ423&lt;&gt;""),AI423:AJ423)))</t>
        </is>
      </c>
      <c r="AY423" s="49" t="inlineStr">
        <is>
          <t>IF(OR(F423="",AL423=""),"",IF(COUNT(AI423:AK423)=0,"",AL423-LOOKUP(2,1/(AI423:AK423&lt;&gt;""),AI423:AK423)))</t>
        </is>
      </c>
      <c r="AZ423" s="49" t="inlineStr">
        <is>
          <t>IF(OR(F423="",AM423=""),"",IF(COUNT(AI423:AL423)=0,"",AM423-LOOKUP(2,1/(AI423:AL423&lt;&gt;""),AI423:AL423)))</t>
        </is>
      </c>
      <c r="BA423" s="49" t="inlineStr">
        <is>
          <t>IF(OR(F423="",AN423=""),"",IF(COUNT(AI423:AM423)=0,"",AN423-LOOKUP(2,1/(AI423:AM423&lt;&gt;""),AI423:AM423)))</t>
        </is>
      </c>
      <c r="BB423" s="49" t="inlineStr">
        <is>
          <t>IF(OR(F423="",AO423=""),"",IF(COUNT(AI423:AN423)=0,"",AO423-LOOKUP(2,1/(AI423:AN423&lt;&gt;""),AI423:AN423)))</t>
        </is>
      </c>
      <c r="BC423" s="49" t="inlineStr">
        <is>
          <t>IF(OR(F423="",AP423=""),"",IF(COUNT(AI423:AO423)=0,"",AP423-LOOKUP(2,1/(AI423:AO423&lt;&gt;""),AI423:AO423)))</t>
        </is>
      </c>
      <c r="BD423" s="49" t="inlineStr">
        <is>
          <t>IF(OR(F423="",AQ423=""),"",IF(COUNT(AI423:AP423)=0,"",AQ423-LOOKUP(2,1/(AI423:AP423&lt;&gt;""),AI423:AP423)))</t>
        </is>
      </c>
      <c r="BE423" s="49" t="inlineStr">
        <is>
          <t>IF(OR(F423="",AR423=""),"",IF(COUNT(AI423:AQ423)=0,"",AR423-LOOKUP(2,1/(AI423:AQ423&lt;&gt;""),AI423:AQ423)))</t>
        </is>
      </c>
      <c r="BF423" s="49" t="inlineStr">
        <is>
          <t>IF(OR(F423="",AS423=""),"",IF(COUNT(AI423:AR423)=0,"",AS423-LOOKUP(2,1/(AI423:AR423&lt;&gt;""),AI423:AR423)))</t>
        </is>
      </c>
      <c r="BG423" s="49" t="inlineStr">
        <is>
          <t>IF(OR(F423="",AT423=""),"",IF(COUNT(AI423:AS423)=0,"",AT423-LOOKUP(2,1/(AI423:AS423&lt;&gt;""),AI423:AS423)))</t>
        </is>
      </c>
      <c r="BH423" s="49" t="inlineStr">
        <is>
          <t>IF(OR(F423="",AU423=""),"",IF(COUNT(AI423:AT423)=0,"",AU423-LOOKUP(2,1/(AI423:AT423&lt;&gt;""),AI423:AT423)))</t>
        </is>
      </c>
      <c r="BI423" s="49" t="inlineStr">
        <is>
          <t>IF(OR(F423="",AV423=""),"",IF(COUNT(AI423:AU423)=0,"",AV423-LOOKUP(2,1/(AI423:AU423&lt;&gt;""),AI423:AU423)))</t>
        </is>
      </c>
      <c r="BJ423" s="51" t="inlineStr">
        <is>
          <t>IF(J423="","All_Provinces",IFERROR(VLOOKUP(J423,'09_Lookups'!$A$4:$B$20,2,FALSE),"All_Provinces"))</t>
        </is>
      </c>
      <c r="BK423" s="51" t="inlineStr">
        <is>
          <t>IF(K423="","All_Districts",IFERROR(VLOOKUP(K423,'09_Lookups'!$E$4:$F$42,2,FALSE),"All_Districts"))</t>
        </is>
      </c>
    </row>
    <row r="424" ht="18" customHeight="1">
      <c r="A424" s="42" t="inlineStr">
        <is>
          <t>IF(F424="","",ROW()-3)</t>
        </is>
      </c>
      <c r="B424" s="52" t="n"/>
      <c r="C424" s="52" t="n"/>
      <c r="D424" s="52" t="n"/>
      <c r="E424" s="52" t="n"/>
      <c r="F424" s="52" t="n"/>
      <c r="G424" s="52" t="n"/>
      <c r="H424" s="52" t="n"/>
      <c r="I424" s="52" t="n"/>
      <c r="J424" s="52" t="n"/>
      <c r="K424" s="52" t="n"/>
      <c r="L424" s="52" t="n"/>
      <c r="M424" s="52" t="n"/>
      <c r="N424" s="52" t="n"/>
      <c r="O424" s="52" t="n"/>
      <c r="P424" s="52" t="n"/>
      <c r="Q424" s="52" t="n"/>
      <c r="R424" s="52" t="n"/>
      <c r="S424" s="53" t="n"/>
      <c r="T424" s="46" t="inlineStr">
        <is>
          <t>IF(AQ424="","",AQ424)</t>
        </is>
      </c>
      <c r="U424" s="54" t="n"/>
      <c r="V424" s="55" t="n"/>
      <c r="W424" s="54" t="n"/>
      <c r="X424" s="46" t="inlineStr">
        <is>
          <t>IF(W424&lt;&gt;"",W424,IF(OR(T424="",V424=""),"",EDATE(T424,V424)))</t>
        </is>
      </c>
      <c r="Y424" s="54" t="n"/>
      <c r="Z424" s="55" t="n"/>
      <c r="AA424" s="52" t="n"/>
      <c r="AB424" s="52" t="n"/>
      <c r="AC424" s="42" t="inlineStr">
        <is>
          <t>IF(F424="","",IF(COUNT(AI424:AV424)=0,IF(AA424="","Not started",AA424),SUBSTITUTE(LOOKUP(2,1/(AI424:AV424&lt;&gt;""),$AI$3:$AV$3),"Date: ","")))</t>
        </is>
      </c>
      <c r="AD424" s="49" t="inlineStr">
        <is>
          <t>IF(OR(F424="",COUNT(AI424:AV424)=0),"",TODAY()-LOOKUP(2,1/(AI424:AV424&lt;&gt;""),AI424:AV424))</t>
        </is>
      </c>
      <c r="AE424" s="49" t="inlineStr">
        <is>
          <t>IF(OR(F424="",COUNT(AI424:AV424)&lt;2),"",LOOKUP(2,1/(AI424:AV424&lt;&gt;""),AI424:AV424)-MIN(AI424:AV424))</t>
        </is>
      </c>
      <c r="AF424" s="49" t="inlineStr">
        <is>
          <t>IF(OR(AD424="",AC424="Not started",AC424=""),"",IFERROR(AD424-IF(VLOOKUP(AC424,'06_Status_Pipeline'!$B$3:$E$20,4,FALSE)="",0,VLOOKUP(AC424,'06_Status_Pipeline'!$B$3:$E$20,4,FALSE)),""))</t>
        </is>
      </c>
      <c r="AG424" s="42" t="inlineStr">
        <is>
          <t>IF(F424="","",IF(OR(AA424="Cancelled",AC424="Cancelled"),"Cancelled",IF(OR(AC424="Completed / Handover",Y424&lt;&gt;"",Z424&gt;=100),"Completed — on track",IF(O424="Not awarded",IF(U424="",IF(X424="","No planned date",IF(TODAY()&gt;X424,"Behind — past planned date",IF(X424-TODAY()&lt;=30,"At risk — close to off track","On track"))),IF(TODAY()&gt;U424,"Behind — award date passed",IF(U424-TODAY()&lt;=30,"At risk — close to off track","On track"))),IF(X424="","No planned date",IF(AND(TODAY()&gt;X424,OR(Z424="",Z424&lt;100)),"Behind — past end date",IF(AND(T424&lt;&gt;"",X424&lt;&gt;"",Z424&lt;&gt;"",(Z424&lt;100),((TODAY()-T424)/MAX(X424-T424,1)*100)-Z424&gt;15),"Behind — progress lag",IF(AND(X424-TODAY()&lt;=30,X424-TODAY()&gt;=0,OR(Z424="",Z424&lt;90)),"At risk — close to off track","On track"))))))))</t>
        </is>
      </c>
      <c r="AH424" s="49" t="inlineStr">
        <is>
          <t>IF(OR(F424="",AC424="Completed / Handover",AC424="Cancelled"),"",IF(O424="Not awarded",IF(U424&lt;&gt;"",U424-TODAY(),IF(X424="","",X424-TODAY())),IF(X424="","",X424-TODAY())))</t>
        </is>
      </c>
      <c r="AI424" s="54" t="n"/>
      <c r="AJ424" s="54" t="n"/>
      <c r="AK424" s="54" t="n"/>
      <c r="AL424" s="54" t="n"/>
      <c r="AM424" s="54" t="n"/>
      <c r="AN424" s="54" t="n"/>
      <c r="AO424" s="54" t="n"/>
      <c r="AP424" s="54" t="n"/>
      <c r="AQ424" s="54" t="n"/>
      <c r="AR424" s="54" t="n"/>
      <c r="AS424" s="54" t="n"/>
      <c r="AT424" s="50" t="n"/>
      <c r="AU424" s="50" t="n"/>
      <c r="AV424" s="50" t="n"/>
      <c r="AW424" s="49" t="inlineStr">
        <is>
          <t>IF(OR(F424="",AJ424=""),"",IF(COUNT(AI424:AI424)=0,"",AJ424-LOOKUP(2,1/(AI424:AI424&lt;&gt;""),AI424:AI424)))</t>
        </is>
      </c>
      <c r="AX424" s="49" t="inlineStr">
        <is>
          <t>IF(OR(F424="",AK424=""),"",IF(COUNT(AI424:AJ424)=0,"",AK424-LOOKUP(2,1/(AI424:AJ424&lt;&gt;""),AI424:AJ424)))</t>
        </is>
      </c>
      <c r="AY424" s="49" t="inlineStr">
        <is>
          <t>IF(OR(F424="",AL424=""),"",IF(COUNT(AI424:AK424)=0,"",AL424-LOOKUP(2,1/(AI424:AK424&lt;&gt;""),AI424:AK424)))</t>
        </is>
      </c>
      <c r="AZ424" s="49" t="inlineStr">
        <is>
          <t>IF(OR(F424="",AM424=""),"",IF(COUNT(AI424:AL424)=0,"",AM424-LOOKUP(2,1/(AI424:AL424&lt;&gt;""),AI424:AL424)))</t>
        </is>
      </c>
      <c r="BA424" s="49" t="inlineStr">
        <is>
          <t>IF(OR(F424="",AN424=""),"",IF(COUNT(AI424:AM424)=0,"",AN424-LOOKUP(2,1/(AI424:AM424&lt;&gt;""),AI424:AM424)))</t>
        </is>
      </c>
      <c r="BB424" s="49" t="inlineStr">
        <is>
          <t>IF(OR(F424="",AO424=""),"",IF(COUNT(AI424:AN424)=0,"",AO424-LOOKUP(2,1/(AI424:AN424&lt;&gt;""),AI424:AN424)))</t>
        </is>
      </c>
      <c r="BC424" s="49" t="inlineStr">
        <is>
          <t>IF(OR(F424="",AP424=""),"",IF(COUNT(AI424:AO424)=0,"",AP424-LOOKUP(2,1/(AI424:AO424&lt;&gt;""),AI424:AO424)))</t>
        </is>
      </c>
      <c r="BD424" s="49" t="inlineStr">
        <is>
          <t>IF(OR(F424="",AQ424=""),"",IF(COUNT(AI424:AP424)=0,"",AQ424-LOOKUP(2,1/(AI424:AP424&lt;&gt;""),AI424:AP424)))</t>
        </is>
      </c>
      <c r="BE424" s="49" t="inlineStr">
        <is>
          <t>IF(OR(F424="",AR424=""),"",IF(COUNT(AI424:AQ424)=0,"",AR424-LOOKUP(2,1/(AI424:AQ424&lt;&gt;""),AI424:AQ424)))</t>
        </is>
      </c>
      <c r="BF424" s="49" t="inlineStr">
        <is>
          <t>IF(OR(F424="",AS424=""),"",IF(COUNT(AI424:AR424)=0,"",AS424-LOOKUP(2,1/(AI424:AR424&lt;&gt;""),AI424:AR424)))</t>
        </is>
      </c>
      <c r="BG424" s="49" t="inlineStr">
        <is>
          <t>IF(OR(F424="",AT424=""),"",IF(COUNT(AI424:AS424)=0,"",AT424-LOOKUP(2,1/(AI424:AS424&lt;&gt;""),AI424:AS424)))</t>
        </is>
      </c>
      <c r="BH424" s="49" t="inlineStr">
        <is>
          <t>IF(OR(F424="",AU424=""),"",IF(COUNT(AI424:AT424)=0,"",AU424-LOOKUP(2,1/(AI424:AT424&lt;&gt;""),AI424:AT424)))</t>
        </is>
      </c>
      <c r="BI424" s="49" t="inlineStr">
        <is>
          <t>IF(OR(F424="",AV424=""),"",IF(COUNT(AI424:AU424)=0,"",AV424-LOOKUP(2,1/(AI424:AU424&lt;&gt;""),AI424:AU424)))</t>
        </is>
      </c>
      <c r="BJ424" s="51" t="inlineStr">
        <is>
          <t>IF(J424="","All_Provinces",IFERROR(VLOOKUP(J424,'09_Lookups'!$A$4:$B$20,2,FALSE),"All_Provinces"))</t>
        </is>
      </c>
      <c r="BK424" s="51" t="inlineStr">
        <is>
          <t>IF(K424="","All_Districts",IFERROR(VLOOKUP(K424,'09_Lookups'!$E$4:$F$42,2,FALSE),"All_Districts"))</t>
        </is>
      </c>
    </row>
    <row r="425" ht="18" customHeight="1">
      <c r="A425" s="42" t="inlineStr">
        <is>
          <t>IF(F425="","",ROW()-3)</t>
        </is>
      </c>
      <c r="B425" s="44" t="n"/>
      <c r="C425" s="44" t="n"/>
      <c r="D425" s="44" t="n"/>
      <c r="E425" s="44" t="n"/>
      <c r="F425" s="44" t="n"/>
      <c r="G425" s="44" t="n"/>
      <c r="H425" s="44" t="n"/>
      <c r="I425" s="44" t="n"/>
      <c r="J425" s="44" t="n"/>
      <c r="K425" s="44" t="n"/>
      <c r="L425" s="44" t="n"/>
      <c r="M425" s="44" t="n"/>
      <c r="N425" s="44" t="n"/>
      <c r="O425" s="44" t="n"/>
      <c r="P425" s="44" t="n"/>
      <c r="Q425" s="44" t="n"/>
      <c r="R425" s="44" t="n"/>
      <c r="S425" s="45" t="n"/>
      <c r="T425" s="46" t="inlineStr">
        <is>
          <t>IF(AQ425="","",AQ425)</t>
        </is>
      </c>
      <c r="U425" s="47" t="n"/>
      <c r="V425" s="48" t="n"/>
      <c r="W425" s="47" t="n"/>
      <c r="X425" s="46" t="inlineStr">
        <is>
          <t>IF(W425&lt;&gt;"",W425,IF(OR(T425="",V425=""),"",EDATE(T425,V425)))</t>
        </is>
      </c>
      <c r="Y425" s="47" t="n"/>
      <c r="Z425" s="48" t="n"/>
      <c r="AA425" s="44" t="n"/>
      <c r="AB425" s="44" t="n"/>
      <c r="AC425" s="42" t="inlineStr">
        <is>
          <t>IF(F425="","",IF(COUNT(AI425:AV425)=0,IF(AA425="","Not started",AA425),SUBSTITUTE(LOOKUP(2,1/(AI425:AV425&lt;&gt;""),$AI$3:$AV$3),"Date: ","")))</t>
        </is>
      </c>
      <c r="AD425" s="49" t="inlineStr">
        <is>
          <t>IF(OR(F425="",COUNT(AI425:AV425)=0),"",TODAY()-LOOKUP(2,1/(AI425:AV425&lt;&gt;""),AI425:AV425))</t>
        </is>
      </c>
      <c r="AE425" s="49" t="inlineStr">
        <is>
          <t>IF(OR(F425="",COUNT(AI425:AV425)&lt;2),"",LOOKUP(2,1/(AI425:AV425&lt;&gt;""),AI425:AV425)-MIN(AI425:AV425))</t>
        </is>
      </c>
      <c r="AF425" s="49" t="inlineStr">
        <is>
          <t>IF(OR(AD425="",AC425="Not started",AC425=""),"",IFERROR(AD425-IF(VLOOKUP(AC425,'06_Status_Pipeline'!$B$3:$E$20,4,FALSE)="",0,VLOOKUP(AC425,'06_Status_Pipeline'!$B$3:$E$20,4,FALSE)),""))</t>
        </is>
      </c>
      <c r="AG425" s="42" t="inlineStr">
        <is>
          <t>IF(F425="","",IF(OR(AA425="Cancelled",AC425="Cancelled"),"Cancelled",IF(OR(AC425="Completed / Handover",Y425&lt;&gt;"",Z425&gt;=100),"Completed — on track",IF(O425="Not awarded",IF(U425="",IF(X425="","No planned date",IF(TODAY()&gt;X425,"Behind — past planned date",IF(X425-TODAY()&lt;=30,"At risk — close to off track","On track"))),IF(TODAY()&gt;U425,"Behind — award date passed",IF(U425-TODAY()&lt;=30,"At risk — close to off track","On track"))),IF(X425="","No planned date",IF(AND(TODAY()&gt;X425,OR(Z425="",Z425&lt;100)),"Behind — past end date",IF(AND(T425&lt;&gt;"",X425&lt;&gt;"",Z425&lt;&gt;"",(Z425&lt;100),((TODAY()-T425)/MAX(X425-T425,1)*100)-Z425&gt;15),"Behind — progress lag",IF(AND(X425-TODAY()&lt;=30,X425-TODAY()&gt;=0,OR(Z425="",Z425&lt;90)),"At risk — close to off track","On track"))))))))</t>
        </is>
      </c>
      <c r="AH425" s="49" t="inlineStr">
        <is>
          <t>IF(OR(F425="",AC425="Completed / Handover",AC425="Cancelled"),"",IF(O425="Not awarded",IF(U425&lt;&gt;"",U425-TODAY(),IF(X425="","",X425-TODAY())),IF(X425="","",X425-TODAY())))</t>
        </is>
      </c>
      <c r="AI425" s="47" t="n"/>
      <c r="AJ425" s="47" t="n"/>
      <c r="AK425" s="47" t="n"/>
      <c r="AL425" s="47" t="n"/>
      <c r="AM425" s="47" t="n"/>
      <c r="AN425" s="47" t="n"/>
      <c r="AO425" s="47" t="n"/>
      <c r="AP425" s="47" t="n"/>
      <c r="AQ425" s="47" t="n"/>
      <c r="AR425" s="47" t="n"/>
      <c r="AS425" s="47" t="n"/>
      <c r="AT425" s="50" t="n"/>
      <c r="AU425" s="50" t="n"/>
      <c r="AV425" s="50" t="n"/>
      <c r="AW425" s="49" t="inlineStr">
        <is>
          <t>IF(OR(F425="",AJ425=""),"",IF(COUNT(AI425:AI425)=0,"",AJ425-LOOKUP(2,1/(AI425:AI425&lt;&gt;""),AI425:AI425)))</t>
        </is>
      </c>
      <c r="AX425" s="49" t="inlineStr">
        <is>
          <t>IF(OR(F425="",AK425=""),"",IF(COUNT(AI425:AJ425)=0,"",AK425-LOOKUP(2,1/(AI425:AJ425&lt;&gt;""),AI425:AJ425)))</t>
        </is>
      </c>
      <c r="AY425" s="49" t="inlineStr">
        <is>
          <t>IF(OR(F425="",AL425=""),"",IF(COUNT(AI425:AK425)=0,"",AL425-LOOKUP(2,1/(AI425:AK425&lt;&gt;""),AI425:AK425)))</t>
        </is>
      </c>
      <c r="AZ425" s="49" t="inlineStr">
        <is>
          <t>IF(OR(F425="",AM425=""),"",IF(COUNT(AI425:AL425)=0,"",AM425-LOOKUP(2,1/(AI425:AL425&lt;&gt;""),AI425:AL425)))</t>
        </is>
      </c>
      <c r="BA425" s="49" t="inlineStr">
        <is>
          <t>IF(OR(F425="",AN425=""),"",IF(COUNT(AI425:AM425)=0,"",AN425-LOOKUP(2,1/(AI425:AM425&lt;&gt;""),AI425:AM425)))</t>
        </is>
      </c>
      <c r="BB425" s="49" t="inlineStr">
        <is>
          <t>IF(OR(F425="",AO425=""),"",IF(COUNT(AI425:AN425)=0,"",AO425-LOOKUP(2,1/(AI425:AN425&lt;&gt;""),AI425:AN425)))</t>
        </is>
      </c>
      <c r="BC425" s="49" t="inlineStr">
        <is>
          <t>IF(OR(F425="",AP425=""),"",IF(COUNT(AI425:AO425)=0,"",AP425-LOOKUP(2,1/(AI425:AO425&lt;&gt;""),AI425:AO425)))</t>
        </is>
      </c>
      <c r="BD425" s="49" t="inlineStr">
        <is>
          <t>IF(OR(F425="",AQ425=""),"",IF(COUNT(AI425:AP425)=0,"",AQ425-LOOKUP(2,1/(AI425:AP425&lt;&gt;""),AI425:AP425)))</t>
        </is>
      </c>
      <c r="BE425" s="49" t="inlineStr">
        <is>
          <t>IF(OR(F425="",AR425=""),"",IF(COUNT(AI425:AQ425)=0,"",AR425-LOOKUP(2,1/(AI425:AQ425&lt;&gt;""),AI425:AQ425)))</t>
        </is>
      </c>
      <c r="BF425" s="49" t="inlineStr">
        <is>
          <t>IF(OR(F425="",AS425=""),"",IF(COUNT(AI425:AR425)=0,"",AS425-LOOKUP(2,1/(AI425:AR425&lt;&gt;""),AI425:AR425)))</t>
        </is>
      </c>
      <c r="BG425" s="49" t="inlineStr">
        <is>
          <t>IF(OR(F425="",AT425=""),"",IF(COUNT(AI425:AS425)=0,"",AT425-LOOKUP(2,1/(AI425:AS425&lt;&gt;""),AI425:AS425)))</t>
        </is>
      </c>
      <c r="BH425" s="49" t="inlineStr">
        <is>
          <t>IF(OR(F425="",AU425=""),"",IF(COUNT(AI425:AT425)=0,"",AU425-LOOKUP(2,1/(AI425:AT425&lt;&gt;""),AI425:AT425)))</t>
        </is>
      </c>
      <c r="BI425" s="49" t="inlineStr">
        <is>
          <t>IF(OR(F425="",AV425=""),"",IF(COUNT(AI425:AU425)=0,"",AV425-LOOKUP(2,1/(AI425:AU425&lt;&gt;""),AI425:AU425)))</t>
        </is>
      </c>
      <c r="BJ425" s="51" t="inlineStr">
        <is>
          <t>IF(J425="","All_Provinces",IFERROR(VLOOKUP(J425,'09_Lookups'!$A$4:$B$20,2,FALSE),"All_Provinces"))</t>
        </is>
      </c>
      <c r="BK425" s="51" t="inlineStr">
        <is>
          <t>IF(K425="","All_Districts",IFERROR(VLOOKUP(K425,'09_Lookups'!$E$4:$F$42,2,FALSE),"All_Districts"))</t>
        </is>
      </c>
    </row>
    <row r="426" ht="18" customHeight="1">
      <c r="A426" s="42" t="inlineStr">
        <is>
          <t>IF(F426="","",ROW()-3)</t>
        </is>
      </c>
      <c r="B426" s="52" t="n"/>
      <c r="C426" s="52" t="n"/>
      <c r="D426" s="52" t="n"/>
      <c r="E426" s="52" t="n"/>
      <c r="F426" s="52" t="n"/>
      <c r="G426" s="52" t="n"/>
      <c r="H426" s="52" t="n"/>
      <c r="I426" s="52" t="n"/>
      <c r="J426" s="52" t="n"/>
      <c r="K426" s="52" t="n"/>
      <c r="L426" s="52" t="n"/>
      <c r="M426" s="52" t="n"/>
      <c r="N426" s="52" t="n"/>
      <c r="O426" s="52" t="n"/>
      <c r="P426" s="52" t="n"/>
      <c r="Q426" s="52" t="n"/>
      <c r="R426" s="52" t="n"/>
      <c r="S426" s="53" t="n"/>
      <c r="T426" s="46" t="inlineStr">
        <is>
          <t>IF(AQ426="","",AQ426)</t>
        </is>
      </c>
      <c r="U426" s="54" t="n"/>
      <c r="V426" s="55" t="n"/>
      <c r="W426" s="54" t="n"/>
      <c r="X426" s="46" t="inlineStr">
        <is>
          <t>IF(W426&lt;&gt;"",W426,IF(OR(T426="",V426=""),"",EDATE(T426,V426)))</t>
        </is>
      </c>
      <c r="Y426" s="54" t="n"/>
      <c r="Z426" s="55" t="n"/>
      <c r="AA426" s="52" t="n"/>
      <c r="AB426" s="52" t="n"/>
      <c r="AC426" s="42" t="inlineStr">
        <is>
          <t>IF(F426="","",IF(COUNT(AI426:AV426)=0,IF(AA426="","Not started",AA426),SUBSTITUTE(LOOKUP(2,1/(AI426:AV426&lt;&gt;""),$AI$3:$AV$3),"Date: ","")))</t>
        </is>
      </c>
      <c r="AD426" s="49" t="inlineStr">
        <is>
          <t>IF(OR(F426="",COUNT(AI426:AV426)=0),"",TODAY()-LOOKUP(2,1/(AI426:AV426&lt;&gt;""),AI426:AV426))</t>
        </is>
      </c>
      <c r="AE426" s="49" t="inlineStr">
        <is>
          <t>IF(OR(F426="",COUNT(AI426:AV426)&lt;2),"",LOOKUP(2,1/(AI426:AV426&lt;&gt;""),AI426:AV426)-MIN(AI426:AV426))</t>
        </is>
      </c>
      <c r="AF426" s="49" t="inlineStr">
        <is>
          <t>IF(OR(AD426="",AC426="Not started",AC426=""),"",IFERROR(AD426-IF(VLOOKUP(AC426,'06_Status_Pipeline'!$B$3:$E$20,4,FALSE)="",0,VLOOKUP(AC426,'06_Status_Pipeline'!$B$3:$E$20,4,FALSE)),""))</t>
        </is>
      </c>
      <c r="AG426" s="42" t="inlineStr">
        <is>
          <t>IF(F426="","",IF(OR(AA426="Cancelled",AC426="Cancelled"),"Cancelled",IF(OR(AC426="Completed / Handover",Y426&lt;&gt;"",Z426&gt;=100),"Completed — on track",IF(O426="Not awarded",IF(U426="",IF(X426="","No planned date",IF(TODAY()&gt;X426,"Behind — past planned date",IF(X426-TODAY()&lt;=30,"At risk — close to off track","On track"))),IF(TODAY()&gt;U426,"Behind — award date passed",IF(U426-TODAY()&lt;=30,"At risk — close to off track","On track"))),IF(X426="","No planned date",IF(AND(TODAY()&gt;X426,OR(Z426="",Z426&lt;100)),"Behind — past end date",IF(AND(T426&lt;&gt;"",X426&lt;&gt;"",Z426&lt;&gt;"",(Z426&lt;100),((TODAY()-T426)/MAX(X426-T426,1)*100)-Z426&gt;15),"Behind — progress lag",IF(AND(X426-TODAY()&lt;=30,X426-TODAY()&gt;=0,OR(Z426="",Z426&lt;90)),"At risk — close to off track","On track"))))))))</t>
        </is>
      </c>
      <c r="AH426" s="49" t="inlineStr">
        <is>
          <t>IF(OR(F426="",AC426="Completed / Handover",AC426="Cancelled"),"",IF(O426="Not awarded",IF(U426&lt;&gt;"",U426-TODAY(),IF(X426="","",X426-TODAY())),IF(X426="","",X426-TODAY())))</t>
        </is>
      </c>
      <c r="AI426" s="54" t="n"/>
      <c r="AJ426" s="54" t="n"/>
      <c r="AK426" s="54" t="n"/>
      <c r="AL426" s="54" t="n"/>
      <c r="AM426" s="54" t="n"/>
      <c r="AN426" s="54" t="n"/>
      <c r="AO426" s="54" t="n"/>
      <c r="AP426" s="54" t="n"/>
      <c r="AQ426" s="54" t="n"/>
      <c r="AR426" s="54" t="n"/>
      <c r="AS426" s="54" t="n"/>
      <c r="AT426" s="50" t="n"/>
      <c r="AU426" s="50" t="n"/>
      <c r="AV426" s="50" t="n"/>
      <c r="AW426" s="49" t="inlineStr">
        <is>
          <t>IF(OR(F426="",AJ426=""),"",IF(COUNT(AI426:AI426)=0,"",AJ426-LOOKUP(2,1/(AI426:AI426&lt;&gt;""),AI426:AI426)))</t>
        </is>
      </c>
      <c r="AX426" s="49" t="inlineStr">
        <is>
          <t>IF(OR(F426="",AK426=""),"",IF(COUNT(AI426:AJ426)=0,"",AK426-LOOKUP(2,1/(AI426:AJ426&lt;&gt;""),AI426:AJ426)))</t>
        </is>
      </c>
      <c r="AY426" s="49" t="inlineStr">
        <is>
          <t>IF(OR(F426="",AL426=""),"",IF(COUNT(AI426:AK426)=0,"",AL426-LOOKUP(2,1/(AI426:AK426&lt;&gt;""),AI426:AK426)))</t>
        </is>
      </c>
      <c r="AZ426" s="49" t="inlineStr">
        <is>
          <t>IF(OR(F426="",AM426=""),"",IF(COUNT(AI426:AL426)=0,"",AM426-LOOKUP(2,1/(AI426:AL426&lt;&gt;""),AI426:AL426)))</t>
        </is>
      </c>
      <c r="BA426" s="49" t="inlineStr">
        <is>
          <t>IF(OR(F426="",AN426=""),"",IF(COUNT(AI426:AM426)=0,"",AN426-LOOKUP(2,1/(AI426:AM426&lt;&gt;""),AI426:AM426)))</t>
        </is>
      </c>
      <c r="BB426" s="49" t="inlineStr">
        <is>
          <t>IF(OR(F426="",AO426=""),"",IF(COUNT(AI426:AN426)=0,"",AO426-LOOKUP(2,1/(AI426:AN426&lt;&gt;""),AI426:AN426)))</t>
        </is>
      </c>
      <c r="BC426" s="49" t="inlineStr">
        <is>
          <t>IF(OR(F426="",AP426=""),"",IF(COUNT(AI426:AO426)=0,"",AP426-LOOKUP(2,1/(AI426:AO426&lt;&gt;""),AI426:AO426)))</t>
        </is>
      </c>
      <c r="BD426" s="49" t="inlineStr">
        <is>
          <t>IF(OR(F426="",AQ426=""),"",IF(COUNT(AI426:AP426)=0,"",AQ426-LOOKUP(2,1/(AI426:AP426&lt;&gt;""),AI426:AP426)))</t>
        </is>
      </c>
      <c r="BE426" s="49" t="inlineStr">
        <is>
          <t>IF(OR(F426="",AR426=""),"",IF(COUNT(AI426:AQ426)=0,"",AR426-LOOKUP(2,1/(AI426:AQ426&lt;&gt;""),AI426:AQ426)))</t>
        </is>
      </c>
      <c r="BF426" s="49" t="inlineStr">
        <is>
          <t>IF(OR(F426="",AS426=""),"",IF(COUNT(AI426:AR426)=0,"",AS426-LOOKUP(2,1/(AI426:AR426&lt;&gt;""),AI426:AR426)))</t>
        </is>
      </c>
      <c r="BG426" s="49" t="inlineStr">
        <is>
          <t>IF(OR(F426="",AT426=""),"",IF(COUNT(AI426:AS426)=0,"",AT426-LOOKUP(2,1/(AI426:AS426&lt;&gt;""),AI426:AS426)))</t>
        </is>
      </c>
      <c r="BH426" s="49" t="inlineStr">
        <is>
          <t>IF(OR(F426="",AU426=""),"",IF(COUNT(AI426:AT426)=0,"",AU426-LOOKUP(2,1/(AI426:AT426&lt;&gt;""),AI426:AT426)))</t>
        </is>
      </c>
      <c r="BI426" s="49" t="inlineStr">
        <is>
          <t>IF(OR(F426="",AV426=""),"",IF(COUNT(AI426:AU426)=0,"",AV426-LOOKUP(2,1/(AI426:AU426&lt;&gt;""),AI426:AU426)))</t>
        </is>
      </c>
      <c r="BJ426" s="51" t="inlineStr">
        <is>
          <t>IF(J426="","All_Provinces",IFERROR(VLOOKUP(J426,'09_Lookups'!$A$4:$B$20,2,FALSE),"All_Provinces"))</t>
        </is>
      </c>
      <c r="BK426" s="51" t="inlineStr">
        <is>
          <t>IF(K426="","All_Districts",IFERROR(VLOOKUP(K426,'09_Lookups'!$E$4:$F$42,2,FALSE),"All_Districts"))</t>
        </is>
      </c>
    </row>
    <row r="427" ht="18" customHeight="1">
      <c r="A427" s="42" t="inlineStr">
        <is>
          <t>IF(F427="","",ROW()-3)</t>
        </is>
      </c>
      <c r="B427" s="44" t="n"/>
      <c r="C427" s="44" t="n"/>
      <c r="D427" s="44" t="n"/>
      <c r="E427" s="44" t="n"/>
      <c r="F427" s="44" t="n"/>
      <c r="G427" s="44" t="n"/>
      <c r="H427" s="44" t="n"/>
      <c r="I427" s="44" t="n"/>
      <c r="J427" s="44" t="n"/>
      <c r="K427" s="44" t="n"/>
      <c r="L427" s="44" t="n"/>
      <c r="M427" s="44" t="n"/>
      <c r="N427" s="44" t="n"/>
      <c r="O427" s="44" t="n"/>
      <c r="P427" s="44" t="n"/>
      <c r="Q427" s="44" t="n"/>
      <c r="R427" s="44" t="n"/>
      <c r="S427" s="45" t="n"/>
      <c r="T427" s="46" t="inlineStr">
        <is>
          <t>IF(AQ427="","",AQ427)</t>
        </is>
      </c>
      <c r="U427" s="47" t="n"/>
      <c r="V427" s="48" t="n"/>
      <c r="W427" s="47" t="n"/>
      <c r="X427" s="46" t="inlineStr">
        <is>
          <t>IF(W427&lt;&gt;"",W427,IF(OR(T427="",V427=""),"",EDATE(T427,V427)))</t>
        </is>
      </c>
      <c r="Y427" s="47" t="n"/>
      <c r="Z427" s="48" t="n"/>
      <c r="AA427" s="44" t="n"/>
      <c r="AB427" s="44" t="n"/>
      <c r="AC427" s="42" t="inlineStr">
        <is>
          <t>IF(F427="","",IF(COUNT(AI427:AV427)=0,IF(AA427="","Not started",AA427),SUBSTITUTE(LOOKUP(2,1/(AI427:AV427&lt;&gt;""),$AI$3:$AV$3),"Date: ","")))</t>
        </is>
      </c>
      <c r="AD427" s="49" t="inlineStr">
        <is>
          <t>IF(OR(F427="",COUNT(AI427:AV427)=0),"",TODAY()-LOOKUP(2,1/(AI427:AV427&lt;&gt;""),AI427:AV427))</t>
        </is>
      </c>
      <c r="AE427" s="49" t="inlineStr">
        <is>
          <t>IF(OR(F427="",COUNT(AI427:AV427)&lt;2),"",LOOKUP(2,1/(AI427:AV427&lt;&gt;""),AI427:AV427)-MIN(AI427:AV427))</t>
        </is>
      </c>
      <c r="AF427" s="49" t="inlineStr">
        <is>
          <t>IF(OR(AD427="",AC427="Not started",AC427=""),"",IFERROR(AD427-IF(VLOOKUP(AC427,'06_Status_Pipeline'!$B$3:$E$20,4,FALSE)="",0,VLOOKUP(AC427,'06_Status_Pipeline'!$B$3:$E$20,4,FALSE)),""))</t>
        </is>
      </c>
      <c r="AG427" s="42" t="inlineStr">
        <is>
          <t>IF(F427="","",IF(OR(AA427="Cancelled",AC427="Cancelled"),"Cancelled",IF(OR(AC427="Completed / Handover",Y427&lt;&gt;"",Z427&gt;=100),"Completed — on track",IF(O427="Not awarded",IF(U427="",IF(X427="","No planned date",IF(TODAY()&gt;X427,"Behind — past planned date",IF(X427-TODAY()&lt;=30,"At risk — close to off track","On track"))),IF(TODAY()&gt;U427,"Behind — award date passed",IF(U427-TODAY()&lt;=30,"At risk — close to off track","On track"))),IF(X427="","No planned date",IF(AND(TODAY()&gt;X427,OR(Z427="",Z427&lt;100)),"Behind — past end date",IF(AND(T427&lt;&gt;"",X427&lt;&gt;"",Z427&lt;&gt;"",(Z427&lt;100),((TODAY()-T427)/MAX(X427-T427,1)*100)-Z427&gt;15),"Behind — progress lag",IF(AND(X427-TODAY()&lt;=30,X427-TODAY()&gt;=0,OR(Z427="",Z427&lt;90)),"At risk — close to off track","On track"))))))))</t>
        </is>
      </c>
      <c r="AH427" s="49" t="inlineStr">
        <is>
          <t>IF(OR(F427="",AC427="Completed / Handover",AC427="Cancelled"),"",IF(O427="Not awarded",IF(U427&lt;&gt;"",U427-TODAY(),IF(X427="","",X427-TODAY())),IF(X427="","",X427-TODAY())))</t>
        </is>
      </c>
      <c r="AI427" s="47" t="n"/>
      <c r="AJ427" s="47" t="n"/>
      <c r="AK427" s="47" t="n"/>
      <c r="AL427" s="47" t="n"/>
      <c r="AM427" s="47" t="n"/>
      <c r="AN427" s="47" t="n"/>
      <c r="AO427" s="47" t="n"/>
      <c r="AP427" s="47" t="n"/>
      <c r="AQ427" s="47" t="n"/>
      <c r="AR427" s="47" t="n"/>
      <c r="AS427" s="47" t="n"/>
      <c r="AT427" s="50" t="n"/>
      <c r="AU427" s="50" t="n"/>
      <c r="AV427" s="50" t="n"/>
      <c r="AW427" s="49" t="inlineStr">
        <is>
          <t>IF(OR(F427="",AJ427=""),"",IF(COUNT(AI427:AI427)=0,"",AJ427-LOOKUP(2,1/(AI427:AI427&lt;&gt;""),AI427:AI427)))</t>
        </is>
      </c>
      <c r="AX427" s="49" t="inlineStr">
        <is>
          <t>IF(OR(F427="",AK427=""),"",IF(COUNT(AI427:AJ427)=0,"",AK427-LOOKUP(2,1/(AI427:AJ427&lt;&gt;""),AI427:AJ427)))</t>
        </is>
      </c>
      <c r="AY427" s="49" t="inlineStr">
        <is>
          <t>IF(OR(F427="",AL427=""),"",IF(COUNT(AI427:AK427)=0,"",AL427-LOOKUP(2,1/(AI427:AK427&lt;&gt;""),AI427:AK427)))</t>
        </is>
      </c>
      <c r="AZ427" s="49" t="inlineStr">
        <is>
          <t>IF(OR(F427="",AM427=""),"",IF(COUNT(AI427:AL427)=0,"",AM427-LOOKUP(2,1/(AI427:AL427&lt;&gt;""),AI427:AL427)))</t>
        </is>
      </c>
      <c r="BA427" s="49" t="inlineStr">
        <is>
          <t>IF(OR(F427="",AN427=""),"",IF(COUNT(AI427:AM427)=0,"",AN427-LOOKUP(2,1/(AI427:AM427&lt;&gt;""),AI427:AM427)))</t>
        </is>
      </c>
      <c r="BB427" s="49" t="inlineStr">
        <is>
          <t>IF(OR(F427="",AO427=""),"",IF(COUNT(AI427:AN427)=0,"",AO427-LOOKUP(2,1/(AI427:AN427&lt;&gt;""),AI427:AN427)))</t>
        </is>
      </c>
      <c r="BC427" s="49" t="inlineStr">
        <is>
          <t>IF(OR(F427="",AP427=""),"",IF(COUNT(AI427:AO427)=0,"",AP427-LOOKUP(2,1/(AI427:AO427&lt;&gt;""),AI427:AO427)))</t>
        </is>
      </c>
      <c r="BD427" s="49" t="inlineStr">
        <is>
          <t>IF(OR(F427="",AQ427=""),"",IF(COUNT(AI427:AP427)=0,"",AQ427-LOOKUP(2,1/(AI427:AP427&lt;&gt;""),AI427:AP427)))</t>
        </is>
      </c>
      <c r="BE427" s="49" t="inlineStr">
        <is>
          <t>IF(OR(F427="",AR427=""),"",IF(COUNT(AI427:AQ427)=0,"",AR427-LOOKUP(2,1/(AI427:AQ427&lt;&gt;""),AI427:AQ427)))</t>
        </is>
      </c>
      <c r="BF427" s="49" t="inlineStr">
        <is>
          <t>IF(OR(F427="",AS427=""),"",IF(COUNT(AI427:AR427)=0,"",AS427-LOOKUP(2,1/(AI427:AR427&lt;&gt;""),AI427:AR427)))</t>
        </is>
      </c>
      <c r="BG427" s="49" t="inlineStr">
        <is>
          <t>IF(OR(F427="",AT427=""),"",IF(COUNT(AI427:AS427)=0,"",AT427-LOOKUP(2,1/(AI427:AS427&lt;&gt;""),AI427:AS427)))</t>
        </is>
      </c>
      <c r="BH427" s="49" t="inlineStr">
        <is>
          <t>IF(OR(F427="",AU427=""),"",IF(COUNT(AI427:AT427)=0,"",AU427-LOOKUP(2,1/(AI427:AT427&lt;&gt;""),AI427:AT427)))</t>
        </is>
      </c>
      <c r="BI427" s="49" t="inlineStr">
        <is>
          <t>IF(OR(F427="",AV427=""),"",IF(COUNT(AI427:AU427)=0,"",AV427-LOOKUP(2,1/(AI427:AU427&lt;&gt;""),AI427:AU427)))</t>
        </is>
      </c>
      <c r="BJ427" s="51" t="inlineStr">
        <is>
          <t>IF(J427="","All_Provinces",IFERROR(VLOOKUP(J427,'09_Lookups'!$A$4:$B$20,2,FALSE),"All_Provinces"))</t>
        </is>
      </c>
      <c r="BK427" s="51" t="inlineStr">
        <is>
          <t>IF(K427="","All_Districts",IFERROR(VLOOKUP(K427,'09_Lookups'!$E$4:$F$42,2,FALSE),"All_Districts"))</t>
        </is>
      </c>
    </row>
    <row r="428" ht="18" customHeight="1">
      <c r="A428" s="42" t="inlineStr">
        <is>
          <t>IF(F428="","",ROW()-3)</t>
        </is>
      </c>
      <c r="B428" s="52" t="n"/>
      <c r="C428" s="52" t="n"/>
      <c r="D428" s="52" t="n"/>
      <c r="E428" s="52" t="n"/>
      <c r="F428" s="52" t="n"/>
      <c r="G428" s="52" t="n"/>
      <c r="H428" s="52" t="n"/>
      <c r="I428" s="52" t="n"/>
      <c r="J428" s="52" t="n"/>
      <c r="K428" s="52" t="n"/>
      <c r="L428" s="52" t="n"/>
      <c r="M428" s="52" t="n"/>
      <c r="N428" s="52" t="n"/>
      <c r="O428" s="52" t="n"/>
      <c r="P428" s="52" t="n"/>
      <c r="Q428" s="52" t="n"/>
      <c r="R428" s="52" t="n"/>
      <c r="S428" s="53" t="n"/>
      <c r="T428" s="46" t="inlineStr">
        <is>
          <t>IF(AQ428="","",AQ428)</t>
        </is>
      </c>
      <c r="U428" s="54" t="n"/>
      <c r="V428" s="55" t="n"/>
      <c r="W428" s="54" t="n"/>
      <c r="X428" s="46" t="inlineStr">
        <is>
          <t>IF(W428&lt;&gt;"",W428,IF(OR(T428="",V428=""),"",EDATE(T428,V428)))</t>
        </is>
      </c>
      <c r="Y428" s="54" t="n"/>
      <c r="Z428" s="55" t="n"/>
      <c r="AA428" s="52" t="n"/>
      <c r="AB428" s="52" t="n"/>
      <c r="AC428" s="42" t="inlineStr">
        <is>
          <t>IF(F428="","",IF(COUNT(AI428:AV428)=0,IF(AA428="","Not started",AA428),SUBSTITUTE(LOOKUP(2,1/(AI428:AV428&lt;&gt;""),$AI$3:$AV$3),"Date: ","")))</t>
        </is>
      </c>
      <c r="AD428" s="49" t="inlineStr">
        <is>
          <t>IF(OR(F428="",COUNT(AI428:AV428)=0),"",TODAY()-LOOKUP(2,1/(AI428:AV428&lt;&gt;""),AI428:AV428))</t>
        </is>
      </c>
      <c r="AE428" s="49" t="inlineStr">
        <is>
          <t>IF(OR(F428="",COUNT(AI428:AV428)&lt;2),"",LOOKUP(2,1/(AI428:AV428&lt;&gt;""),AI428:AV428)-MIN(AI428:AV428))</t>
        </is>
      </c>
      <c r="AF428" s="49" t="inlineStr">
        <is>
          <t>IF(OR(AD428="",AC428="Not started",AC428=""),"",IFERROR(AD428-IF(VLOOKUP(AC428,'06_Status_Pipeline'!$B$3:$E$20,4,FALSE)="",0,VLOOKUP(AC428,'06_Status_Pipeline'!$B$3:$E$20,4,FALSE)),""))</t>
        </is>
      </c>
      <c r="AG428" s="42" t="inlineStr">
        <is>
          <t>IF(F428="","",IF(OR(AA428="Cancelled",AC428="Cancelled"),"Cancelled",IF(OR(AC428="Completed / Handover",Y428&lt;&gt;"",Z428&gt;=100),"Completed — on track",IF(O428="Not awarded",IF(U428="",IF(X428="","No planned date",IF(TODAY()&gt;X428,"Behind — past planned date",IF(X428-TODAY()&lt;=30,"At risk — close to off track","On track"))),IF(TODAY()&gt;U428,"Behind — award date passed",IF(U428-TODAY()&lt;=30,"At risk — close to off track","On track"))),IF(X428="","No planned date",IF(AND(TODAY()&gt;X428,OR(Z428="",Z428&lt;100)),"Behind — past end date",IF(AND(T428&lt;&gt;"",X428&lt;&gt;"",Z428&lt;&gt;"",(Z428&lt;100),((TODAY()-T428)/MAX(X428-T428,1)*100)-Z428&gt;15),"Behind — progress lag",IF(AND(X428-TODAY()&lt;=30,X428-TODAY()&gt;=0,OR(Z428="",Z428&lt;90)),"At risk — close to off track","On track"))))))))</t>
        </is>
      </c>
      <c r="AH428" s="49" t="inlineStr">
        <is>
          <t>IF(OR(F428="",AC428="Completed / Handover",AC428="Cancelled"),"",IF(O428="Not awarded",IF(U428&lt;&gt;"",U428-TODAY(),IF(X428="","",X428-TODAY())),IF(X428="","",X428-TODAY())))</t>
        </is>
      </c>
      <c r="AI428" s="54" t="n"/>
      <c r="AJ428" s="54" t="n"/>
      <c r="AK428" s="54" t="n"/>
      <c r="AL428" s="54" t="n"/>
      <c r="AM428" s="54" t="n"/>
      <c r="AN428" s="54" t="n"/>
      <c r="AO428" s="54" t="n"/>
      <c r="AP428" s="54" t="n"/>
      <c r="AQ428" s="54" t="n"/>
      <c r="AR428" s="54" t="n"/>
      <c r="AS428" s="54" t="n"/>
      <c r="AT428" s="50" t="n"/>
      <c r="AU428" s="50" t="n"/>
      <c r="AV428" s="50" t="n"/>
      <c r="AW428" s="49" t="inlineStr">
        <is>
          <t>IF(OR(F428="",AJ428=""),"",IF(COUNT(AI428:AI428)=0,"",AJ428-LOOKUP(2,1/(AI428:AI428&lt;&gt;""),AI428:AI428)))</t>
        </is>
      </c>
      <c r="AX428" s="49" t="inlineStr">
        <is>
          <t>IF(OR(F428="",AK428=""),"",IF(COUNT(AI428:AJ428)=0,"",AK428-LOOKUP(2,1/(AI428:AJ428&lt;&gt;""),AI428:AJ428)))</t>
        </is>
      </c>
      <c r="AY428" s="49" t="inlineStr">
        <is>
          <t>IF(OR(F428="",AL428=""),"",IF(COUNT(AI428:AK428)=0,"",AL428-LOOKUP(2,1/(AI428:AK428&lt;&gt;""),AI428:AK428)))</t>
        </is>
      </c>
      <c r="AZ428" s="49" t="inlineStr">
        <is>
          <t>IF(OR(F428="",AM428=""),"",IF(COUNT(AI428:AL428)=0,"",AM428-LOOKUP(2,1/(AI428:AL428&lt;&gt;""),AI428:AL428)))</t>
        </is>
      </c>
      <c r="BA428" s="49" t="inlineStr">
        <is>
          <t>IF(OR(F428="",AN428=""),"",IF(COUNT(AI428:AM428)=0,"",AN428-LOOKUP(2,1/(AI428:AM428&lt;&gt;""),AI428:AM428)))</t>
        </is>
      </c>
      <c r="BB428" s="49" t="inlineStr">
        <is>
          <t>IF(OR(F428="",AO428=""),"",IF(COUNT(AI428:AN428)=0,"",AO428-LOOKUP(2,1/(AI428:AN428&lt;&gt;""),AI428:AN428)))</t>
        </is>
      </c>
      <c r="BC428" s="49" t="inlineStr">
        <is>
          <t>IF(OR(F428="",AP428=""),"",IF(COUNT(AI428:AO428)=0,"",AP428-LOOKUP(2,1/(AI428:AO428&lt;&gt;""),AI428:AO428)))</t>
        </is>
      </c>
      <c r="BD428" s="49" t="inlineStr">
        <is>
          <t>IF(OR(F428="",AQ428=""),"",IF(COUNT(AI428:AP428)=0,"",AQ428-LOOKUP(2,1/(AI428:AP428&lt;&gt;""),AI428:AP428)))</t>
        </is>
      </c>
      <c r="BE428" s="49" t="inlineStr">
        <is>
          <t>IF(OR(F428="",AR428=""),"",IF(COUNT(AI428:AQ428)=0,"",AR428-LOOKUP(2,1/(AI428:AQ428&lt;&gt;""),AI428:AQ428)))</t>
        </is>
      </c>
      <c r="BF428" s="49" t="inlineStr">
        <is>
          <t>IF(OR(F428="",AS428=""),"",IF(COUNT(AI428:AR428)=0,"",AS428-LOOKUP(2,1/(AI428:AR428&lt;&gt;""),AI428:AR428)))</t>
        </is>
      </c>
      <c r="BG428" s="49" t="inlineStr">
        <is>
          <t>IF(OR(F428="",AT428=""),"",IF(COUNT(AI428:AS428)=0,"",AT428-LOOKUP(2,1/(AI428:AS428&lt;&gt;""),AI428:AS428)))</t>
        </is>
      </c>
      <c r="BH428" s="49" t="inlineStr">
        <is>
          <t>IF(OR(F428="",AU428=""),"",IF(COUNT(AI428:AT428)=0,"",AU428-LOOKUP(2,1/(AI428:AT428&lt;&gt;""),AI428:AT428)))</t>
        </is>
      </c>
      <c r="BI428" s="49" t="inlineStr">
        <is>
          <t>IF(OR(F428="",AV428=""),"",IF(COUNT(AI428:AU428)=0,"",AV428-LOOKUP(2,1/(AI428:AU428&lt;&gt;""),AI428:AU428)))</t>
        </is>
      </c>
      <c r="BJ428" s="51" t="inlineStr">
        <is>
          <t>IF(J428="","All_Provinces",IFERROR(VLOOKUP(J428,'09_Lookups'!$A$4:$B$20,2,FALSE),"All_Provinces"))</t>
        </is>
      </c>
      <c r="BK428" s="51" t="inlineStr">
        <is>
          <t>IF(K428="","All_Districts",IFERROR(VLOOKUP(K428,'09_Lookups'!$E$4:$F$42,2,FALSE),"All_Districts"))</t>
        </is>
      </c>
    </row>
    <row r="429" ht="18" customHeight="1">
      <c r="A429" s="42" t="inlineStr">
        <is>
          <t>IF(F429="","",ROW()-3)</t>
        </is>
      </c>
      <c r="B429" s="44" t="n"/>
      <c r="C429" s="44" t="n"/>
      <c r="D429" s="44" t="n"/>
      <c r="E429" s="44" t="n"/>
      <c r="F429" s="44" t="n"/>
      <c r="G429" s="44" t="n"/>
      <c r="H429" s="44" t="n"/>
      <c r="I429" s="44" t="n"/>
      <c r="J429" s="44" t="n"/>
      <c r="K429" s="44" t="n"/>
      <c r="L429" s="44" t="n"/>
      <c r="M429" s="44" t="n"/>
      <c r="N429" s="44" t="n"/>
      <c r="O429" s="44" t="n"/>
      <c r="P429" s="44" t="n"/>
      <c r="Q429" s="44" t="n"/>
      <c r="R429" s="44" t="n"/>
      <c r="S429" s="45" t="n"/>
      <c r="T429" s="46" t="inlineStr">
        <is>
          <t>IF(AQ429="","",AQ429)</t>
        </is>
      </c>
      <c r="U429" s="47" t="n"/>
      <c r="V429" s="48" t="n"/>
      <c r="W429" s="47" t="n"/>
      <c r="X429" s="46" t="inlineStr">
        <is>
          <t>IF(W429&lt;&gt;"",W429,IF(OR(T429="",V429=""),"",EDATE(T429,V429)))</t>
        </is>
      </c>
      <c r="Y429" s="47" t="n"/>
      <c r="Z429" s="48" t="n"/>
      <c r="AA429" s="44" t="n"/>
      <c r="AB429" s="44" t="n"/>
      <c r="AC429" s="42" t="inlineStr">
        <is>
          <t>IF(F429="","",IF(COUNT(AI429:AV429)=0,IF(AA429="","Not started",AA429),SUBSTITUTE(LOOKUP(2,1/(AI429:AV429&lt;&gt;""),$AI$3:$AV$3),"Date: ","")))</t>
        </is>
      </c>
      <c r="AD429" s="49" t="inlineStr">
        <is>
          <t>IF(OR(F429="",COUNT(AI429:AV429)=0),"",TODAY()-LOOKUP(2,1/(AI429:AV429&lt;&gt;""),AI429:AV429))</t>
        </is>
      </c>
      <c r="AE429" s="49" t="inlineStr">
        <is>
          <t>IF(OR(F429="",COUNT(AI429:AV429)&lt;2),"",LOOKUP(2,1/(AI429:AV429&lt;&gt;""),AI429:AV429)-MIN(AI429:AV429))</t>
        </is>
      </c>
      <c r="AF429" s="49" t="inlineStr">
        <is>
          <t>IF(OR(AD429="",AC429="Not started",AC429=""),"",IFERROR(AD429-IF(VLOOKUP(AC429,'06_Status_Pipeline'!$B$3:$E$20,4,FALSE)="",0,VLOOKUP(AC429,'06_Status_Pipeline'!$B$3:$E$20,4,FALSE)),""))</t>
        </is>
      </c>
      <c r="AG429" s="42" t="inlineStr">
        <is>
          <t>IF(F429="","",IF(OR(AA429="Cancelled",AC429="Cancelled"),"Cancelled",IF(OR(AC429="Completed / Handover",Y429&lt;&gt;"",Z429&gt;=100),"Completed — on track",IF(O429="Not awarded",IF(U429="",IF(X429="","No planned date",IF(TODAY()&gt;X429,"Behind — past planned date",IF(X429-TODAY()&lt;=30,"At risk — close to off track","On track"))),IF(TODAY()&gt;U429,"Behind — award date passed",IF(U429-TODAY()&lt;=30,"At risk — close to off track","On track"))),IF(X429="","No planned date",IF(AND(TODAY()&gt;X429,OR(Z429="",Z429&lt;100)),"Behind — past end date",IF(AND(T429&lt;&gt;"",X429&lt;&gt;"",Z429&lt;&gt;"",(Z429&lt;100),((TODAY()-T429)/MAX(X429-T429,1)*100)-Z429&gt;15),"Behind — progress lag",IF(AND(X429-TODAY()&lt;=30,X429-TODAY()&gt;=0,OR(Z429="",Z429&lt;90)),"At risk — close to off track","On track"))))))))</t>
        </is>
      </c>
      <c r="AH429" s="49" t="inlineStr">
        <is>
          <t>IF(OR(F429="",AC429="Completed / Handover",AC429="Cancelled"),"",IF(O429="Not awarded",IF(U429&lt;&gt;"",U429-TODAY(),IF(X429="","",X429-TODAY())),IF(X429="","",X429-TODAY())))</t>
        </is>
      </c>
      <c r="AI429" s="47" t="n"/>
      <c r="AJ429" s="47" t="n"/>
      <c r="AK429" s="47" t="n"/>
      <c r="AL429" s="47" t="n"/>
      <c r="AM429" s="47" t="n"/>
      <c r="AN429" s="47" t="n"/>
      <c r="AO429" s="47" t="n"/>
      <c r="AP429" s="47" t="n"/>
      <c r="AQ429" s="47" t="n"/>
      <c r="AR429" s="47" t="n"/>
      <c r="AS429" s="47" t="n"/>
      <c r="AT429" s="50" t="n"/>
      <c r="AU429" s="50" t="n"/>
      <c r="AV429" s="50" t="n"/>
      <c r="AW429" s="49" t="inlineStr">
        <is>
          <t>IF(OR(F429="",AJ429=""),"",IF(COUNT(AI429:AI429)=0,"",AJ429-LOOKUP(2,1/(AI429:AI429&lt;&gt;""),AI429:AI429)))</t>
        </is>
      </c>
      <c r="AX429" s="49" t="inlineStr">
        <is>
          <t>IF(OR(F429="",AK429=""),"",IF(COUNT(AI429:AJ429)=0,"",AK429-LOOKUP(2,1/(AI429:AJ429&lt;&gt;""),AI429:AJ429)))</t>
        </is>
      </c>
      <c r="AY429" s="49" t="inlineStr">
        <is>
          <t>IF(OR(F429="",AL429=""),"",IF(COUNT(AI429:AK429)=0,"",AL429-LOOKUP(2,1/(AI429:AK429&lt;&gt;""),AI429:AK429)))</t>
        </is>
      </c>
      <c r="AZ429" s="49" t="inlineStr">
        <is>
          <t>IF(OR(F429="",AM429=""),"",IF(COUNT(AI429:AL429)=0,"",AM429-LOOKUP(2,1/(AI429:AL429&lt;&gt;""),AI429:AL429)))</t>
        </is>
      </c>
      <c r="BA429" s="49" t="inlineStr">
        <is>
          <t>IF(OR(F429="",AN429=""),"",IF(COUNT(AI429:AM429)=0,"",AN429-LOOKUP(2,1/(AI429:AM429&lt;&gt;""),AI429:AM429)))</t>
        </is>
      </c>
      <c r="BB429" s="49" t="inlineStr">
        <is>
          <t>IF(OR(F429="",AO429=""),"",IF(COUNT(AI429:AN429)=0,"",AO429-LOOKUP(2,1/(AI429:AN429&lt;&gt;""),AI429:AN429)))</t>
        </is>
      </c>
      <c r="BC429" s="49" t="inlineStr">
        <is>
          <t>IF(OR(F429="",AP429=""),"",IF(COUNT(AI429:AO429)=0,"",AP429-LOOKUP(2,1/(AI429:AO429&lt;&gt;""),AI429:AO429)))</t>
        </is>
      </c>
      <c r="BD429" s="49" t="inlineStr">
        <is>
          <t>IF(OR(F429="",AQ429=""),"",IF(COUNT(AI429:AP429)=0,"",AQ429-LOOKUP(2,1/(AI429:AP429&lt;&gt;""),AI429:AP429)))</t>
        </is>
      </c>
      <c r="BE429" s="49" t="inlineStr">
        <is>
          <t>IF(OR(F429="",AR429=""),"",IF(COUNT(AI429:AQ429)=0,"",AR429-LOOKUP(2,1/(AI429:AQ429&lt;&gt;""),AI429:AQ429)))</t>
        </is>
      </c>
      <c r="BF429" s="49" t="inlineStr">
        <is>
          <t>IF(OR(F429="",AS429=""),"",IF(COUNT(AI429:AR429)=0,"",AS429-LOOKUP(2,1/(AI429:AR429&lt;&gt;""),AI429:AR429)))</t>
        </is>
      </c>
      <c r="BG429" s="49" t="inlineStr">
        <is>
          <t>IF(OR(F429="",AT429=""),"",IF(COUNT(AI429:AS429)=0,"",AT429-LOOKUP(2,1/(AI429:AS429&lt;&gt;""),AI429:AS429)))</t>
        </is>
      </c>
      <c r="BH429" s="49" t="inlineStr">
        <is>
          <t>IF(OR(F429="",AU429=""),"",IF(COUNT(AI429:AT429)=0,"",AU429-LOOKUP(2,1/(AI429:AT429&lt;&gt;""),AI429:AT429)))</t>
        </is>
      </c>
      <c r="BI429" s="49" t="inlineStr">
        <is>
          <t>IF(OR(F429="",AV429=""),"",IF(COUNT(AI429:AU429)=0,"",AV429-LOOKUP(2,1/(AI429:AU429&lt;&gt;""),AI429:AU429)))</t>
        </is>
      </c>
      <c r="BJ429" s="51" t="inlineStr">
        <is>
          <t>IF(J429="","All_Provinces",IFERROR(VLOOKUP(J429,'09_Lookups'!$A$4:$B$20,2,FALSE),"All_Provinces"))</t>
        </is>
      </c>
      <c r="BK429" s="51" t="inlineStr">
        <is>
          <t>IF(K429="","All_Districts",IFERROR(VLOOKUP(K429,'09_Lookups'!$E$4:$F$42,2,FALSE),"All_Districts"))</t>
        </is>
      </c>
    </row>
    <row r="430" ht="18" customHeight="1">
      <c r="A430" s="42" t="inlineStr">
        <is>
          <t>IF(F430="","",ROW()-3)</t>
        </is>
      </c>
      <c r="B430" s="52" t="n"/>
      <c r="C430" s="52" t="n"/>
      <c r="D430" s="52" t="n"/>
      <c r="E430" s="52" t="n"/>
      <c r="F430" s="52" t="n"/>
      <c r="G430" s="52" t="n"/>
      <c r="H430" s="52" t="n"/>
      <c r="I430" s="52" t="n"/>
      <c r="J430" s="52" t="n"/>
      <c r="K430" s="52" t="n"/>
      <c r="L430" s="52" t="n"/>
      <c r="M430" s="52" t="n"/>
      <c r="N430" s="52" t="n"/>
      <c r="O430" s="52" t="n"/>
      <c r="P430" s="52" t="n"/>
      <c r="Q430" s="52" t="n"/>
      <c r="R430" s="52" t="n"/>
      <c r="S430" s="53" t="n"/>
      <c r="T430" s="46" t="inlineStr">
        <is>
          <t>IF(AQ430="","",AQ430)</t>
        </is>
      </c>
      <c r="U430" s="54" t="n"/>
      <c r="V430" s="55" t="n"/>
      <c r="W430" s="54" t="n"/>
      <c r="X430" s="46" t="inlineStr">
        <is>
          <t>IF(W430&lt;&gt;"",W430,IF(OR(T430="",V430=""),"",EDATE(T430,V430)))</t>
        </is>
      </c>
      <c r="Y430" s="54" t="n"/>
      <c r="Z430" s="55" t="n"/>
      <c r="AA430" s="52" t="n"/>
      <c r="AB430" s="52" t="n"/>
      <c r="AC430" s="42" t="inlineStr">
        <is>
          <t>IF(F430="","",IF(COUNT(AI430:AV430)=0,IF(AA430="","Not started",AA430),SUBSTITUTE(LOOKUP(2,1/(AI430:AV430&lt;&gt;""),$AI$3:$AV$3),"Date: ","")))</t>
        </is>
      </c>
      <c r="AD430" s="49" t="inlineStr">
        <is>
          <t>IF(OR(F430="",COUNT(AI430:AV430)=0),"",TODAY()-LOOKUP(2,1/(AI430:AV430&lt;&gt;""),AI430:AV430))</t>
        </is>
      </c>
      <c r="AE430" s="49" t="inlineStr">
        <is>
          <t>IF(OR(F430="",COUNT(AI430:AV430)&lt;2),"",LOOKUP(2,1/(AI430:AV430&lt;&gt;""),AI430:AV430)-MIN(AI430:AV430))</t>
        </is>
      </c>
      <c r="AF430" s="49" t="inlineStr">
        <is>
          <t>IF(OR(AD430="",AC430="Not started",AC430=""),"",IFERROR(AD430-IF(VLOOKUP(AC430,'06_Status_Pipeline'!$B$3:$E$20,4,FALSE)="",0,VLOOKUP(AC430,'06_Status_Pipeline'!$B$3:$E$20,4,FALSE)),""))</t>
        </is>
      </c>
      <c r="AG430" s="42" t="inlineStr">
        <is>
          <t>IF(F430="","",IF(OR(AA430="Cancelled",AC430="Cancelled"),"Cancelled",IF(OR(AC430="Completed / Handover",Y430&lt;&gt;"",Z430&gt;=100),"Completed — on track",IF(O430="Not awarded",IF(U430="",IF(X430="","No planned date",IF(TODAY()&gt;X430,"Behind — past planned date",IF(X430-TODAY()&lt;=30,"At risk — close to off track","On track"))),IF(TODAY()&gt;U430,"Behind — award date passed",IF(U430-TODAY()&lt;=30,"At risk — close to off track","On track"))),IF(X430="","No planned date",IF(AND(TODAY()&gt;X430,OR(Z430="",Z430&lt;100)),"Behind — past end date",IF(AND(T430&lt;&gt;"",X430&lt;&gt;"",Z430&lt;&gt;"",(Z430&lt;100),((TODAY()-T430)/MAX(X430-T430,1)*100)-Z430&gt;15),"Behind — progress lag",IF(AND(X430-TODAY()&lt;=30,X430-TODAY()&gt;=0,OR(Z430="",Z430&lt;90)),"At risk — close to off track","On track"))))))))</t>
        </is>
      </c>
      <c r="AH430" s="49" t="inlineStr">
        <is>
          <t>IF(OR(F430="",AC430="Completed / Handover",AC430="Cancelled"),"",IF(O430="Not awarded",IF(U430&lt;&gt;"",U430-TODAY(),IF(X430="","",X430-TODAY())),IF(X430="","",X430-TODAY())))</t>
        </is>
      </c>
      <c r="AI430" s="54" t="n"/>
      <c r="AJ430" s="54" t="n"/>
      <c r="AK430" s="54" t="n"/>
      <c r="AL430" s="54" t="n"/>
      <c r="AM430" s="54" t="n"/>
      <c r="AN430" s="54" t="n"/>
      <c r="AO430" s="54" t="n"/>
      <c r="AP430" s="54" t="n"/>
      <c r="AQ430" s="54" t="n"/>
      <c r="AR430" s="54" t="n"/>
      <c r="AS430" s="54" t="n"/>
      <c r="AT430" s="50" t="n"/>
      <c r="AU430" s="50" t="n"/>
      <c r="AV430" s="50" t="n"/>
      <c r="AW430" s="49" t="inlineStr">
        <is>
          <t>IF(OR(F430="",AJ430=""),"",IF(COUNT(AI430:AI430)=0,"",AJ430-LOOKUP(2,1/(AI430:AI430&lt;&gt;""),AI430:AI430)))</t>
        </is>
      </c>
      <c r="AX430" s="49" t="inlineStr">
        <is>
          <t>IF(OR(F430="",AK430=""),"",IF(COUNT(AI430:AJ430)=0,"",AK430-LOOKUP(2,1/(AI430:AJ430&lt;&gt;""),AI430:AJ430)))</t>
        </is>
      </c>
      <c r="AY430" s="49" t="inlineStr">
        <is>
          <t>IF(OR(F430="",AL430=""),"",IF(COUNT(AI430:AK430)=0,"",AL430-LOOKUP(2,1/(AI430:AK430&lt;&gt;""),AI430:AK430)))</t>
        </is>
      </c>
      <c r="AZ430" s="49" t="inlineStr">
        <is>
          <t>IF(OR(F430="",AM430=""),"",IF(COUNT(AI430:AL430)=0,"",AM430-LOOKUP(2,1/(AI430:AL430&lt;&gt;""),AI430:AL430)))</t>
        </is>
      </c>
      <c r="BA430" s="49" t="inlineStr">
        <is>
          <t>IF(OR(F430="",AN430=""),"",IF(COUNT(AI430:AM430)=0,"",AN430-LOOKUP(2,1/(AI430:AM430&lt;&gt;""),AI430:AM430)))</t>
        </is>
      </c>
      <c r="BB430" s="49" t="inlineStr">
        <is>
          <t>IF(OR(F430="",AO430=""),"",IF(COUNT(AI430:AN430)=0,"",AO430-LOOKUP(2,1/(AI430:AN430&lt;&gt;""),AI430:AN430)))</t>
        </is>
      </c>
      <c r="BC430" s="49" t="inlineStr">
        <is>
          <t>IF(OR(F430="",AP430=""),"",IF(COUNT(AI430:AO430)=0,"",AP430-LOOKUP(2,1/(AI430:AO430&lt;&gt;""),AI430:AO430)))</t>
        </is>
      </c>
      <c r="BD430" s="49" t="inlineStr">
        <is>
          <t>IF(OR(F430="",AQ430=""),"",IF(COUNT(AI430:AP430)=0,"",AQ430-LOOKUP(2,1/(AI430:AP430&lt;&gt;""),AI430:AP430)))</t>
        </is>
      </c>
      <c r="BE430" s="49" t="inlineStr">
        <is>
          <t>IF(OR(F430="",AR430=""),"",IF(COUNT(AI430:AQ430)=0,"",AR430-LOOKUP(2,1/(AI430:AQ430&lt;&gt;""),AI430:AQ430)))</t>
        </is>
      </c>
      <c r="BF430" s="49" t="inlineStr">
        <is>
          <t>IF(OR(F430="",AS430=""),"",IF(COUNT(AI430:AR430)=0,"",AS430-LOOKUP(2,1/(AI430:AR430&lt;&gt;""),AI430:AR430)))</t>
        </is>
      </c>
      <c r="BG430" s="49" t="inlineStr">
        <is>
          <t>IF(OR(F430="",AT430=""),"",IF(COUNT(AI430:AS430)=0,"",AT430-LOOKUP(2,1/(AI430:AS430&lt;&gt;""),AI430:AS430)))</t>
        </is>
      </c>
      <c r="BH430" s="49" t="inlineStr">
        <is>
          <t>IF(OR(F430="",AU430=""),"",IF(COUNT(AI430:AT430)=0,"",AU430-LOOKUP(2,1/(AI430:AT430&lt;&gt;""),AI430:AT430)))</t>
        </is>
      </c>
      <c r="BI430" s="49" t="inlineStr">
        <is>
          <t>IF(OR(F430="",AV430=""),"",IF(COUNT(AI430:AU430)=0,"",AV430-LOOKUP(2,1/(AI430:AU430&lt;&gt;""),AI430:AU430)))</t>
        </is>
      </c>
      <c r="BJ430" s="51" t="inlineStr">
        <is>
          <t>IF(J430="","All_Provinces",IFERROR(VLOOKUP(J430,'09_Lookups'!$A$4:$B$20,2,FALSE),"All_Provinces"))</t>
        </is>
      </c>
      <c r="BK430" s="51" t="inlineStr">
        <is>
          <t>IF(K430="","All_Districts",IFERROR(VLOOKUP(K430,'09_Lookups'!$E$4:$F$42,2,FALSE),"All_Districts"))</t>
        </is>
      </c>
    </row>
    <row r="431" ht="18" customHeight="1">
      <c r="A431" s="42" t="inlineStr">
        <is>
          <t>IF(F431="","",ROW()-3)</t>
        </is>
      </c>
      <c r="B431" s="44" t="n"/>
      <c r="C431" s="44" t="n"/>
      <c r="D431" s="44" t="n"/>
      <c r="E431" s="44" t="n"/>
      <c r="F431" s="44" t="n"/>
      <c r="G431" s="44" t="n"/>
      <c r="H431" s="44" t="n"/>
      <c r="I431" s="44" t="n"/>
      <c r="J431" s="44" t="n"/>
      <c r="K431" s="44" t="n"/>
      <c r="L431" s="44" t="n"/>
      <c r="M431" s="44" t="n"/>
      <c r="N431" s="44" t="n"/>
      <c r="O431" s="44" t="n"/>
      <c r="P431" s="44" t="n"/>
      <c r="Q431" s="44" t="n"/>
      <c r="R431" s="44" t="n"/>
      <c r="S431" s="45" t="n"/>
      <c r="T431" s="46" t="inlineStr">
        <is>
          <t>IF(AQ431="","",AQ431)</t>
        </is>
      </c>
      <c r="U431" s="47" t="n"/>
      <c r="V431" s="48" t="n"/>
      <c r="W431" s="47" t="n"/>
      <c r="X431" s="46" t="inlineStr">
        <is>
          <t>IF(W431&lt;&gt;"",W431,IF(OR(T431="",V431=""),"",EDATE(T431,V431)))</t>
        </is>
      </c>
      <c r="Y431" s="47" t="n"/>
      <c r="Z431" s="48" t="n"/>
      <c r="AA431" s="44" t="n"/>
      <c r="AB431" s="44" t="n"/>
      <c r="AC431" s="42" t="inlineStr">
        <is>
          <t>IF(F431="","",IF(COUNT(AI431:AV431)=0,IF(AA431="","Not started",AA431),SUBSTITUTE(LOOKUP(2,1/(AI431:AV431&lt;&gt;""),$AI$3:$AV$3),"Date: ","")))</t>
        </is>
      </c>
      <c r="AD431" s="49" t="inlineStr">
        <is>
          <t>IF(OR(F431="",COUNT(AI431:AV431)=0),"",TODAY()-LOOKUP(2,1/(AI431:AV431&lt;&gt;""),AI431:AV431))</t>
        </is>
      </c>
      <c r="AE431" s="49" t="inlineStr">
        <is>
          <t>IF(OR(F431="",COUNT(AI431:AV431)&lt;2),"",LOOKUP(2,1/(AI431:AV431&lt;&gt;""),AI431:AV431)-MIN(AI431:AV431))</t>
        </is>
      </c>
      <c r="AF431" s="49" t="inlineStr">
        <is>
          <t>IF(OR(AD431="",AC431="Not started",AC431=""),"",IFERROR(AD431-IF(VLOOKUP(AC431,'06_Status_Pipeline'!$B$3:$E$20,4,FALSE)="",0,VLOOKUP(AC431,'06_Status_Pipeline'!$B$3:$E$20,4,FALSE)),""))</t>
        </is>
      </c>
      <c r="AG431" s="42" t="inlineStr">
        <is>
          <t>IF(F431="","",IF(OR(AA431="Cancelled",AC431="Cancelled"),"Cancelled",IF(OR(AC431="Completed / Handover",Y431&lt;&gt;"",Z431&gt;=100),"Completed — on track",IF(O431="Not awarded",IF(U431="",IF(X431="","No planned date",IF(TODAY()&gt;X431,"Behind — past planned date",IF(X431-TODAY()&lt;=30,"At risk — close to off track","On track"))),IF(TODAY()&gt;U431,"Behind — award date passed",IF(U431-TODAY()&lt;=30,"At risk — close to off track","On track"))),IF(X431="","No planned date",IF(AND(TODAY()&gt;X431,OR(Z431="",Z431&lt;100)),"Behind — past end date",IF(AND(T431&lt;&gt;"",X431&lt;&gt;"",Z431&lt;&gt;"",(Z431&lt;100),((TODAY()-T431)/MAX(X431-T431,1)*100)-Z431&gt;15),"Behind — progress lag",IF(AND(X431-TODAY()&lt;=30,X431-TODAY()&gt;=0,OR(Z431="",Z431&lt;90)),"At risk — close to off track","On track"))))))))</t>
        </is>
      </c>
      <c r="AH431" s="49" t="inlineStr">
        <is>
          <t>IF(OR(F431="",AC431="Completed / Handover",AC431="Cancelled"),"",IF(O431="Not awarded",IF(U431&lt;&gt;"",U431-TODAY(),IF(X431="","",X431-TODAY())),IF(X431="","",X431-TODAY())))</t>
        </is>
      </c>
      <c r="AI431" s="47" t="n"/>
      <c r="AJ431" s="47" t="n"/>
      <c r="AK431" s="47" t="n"/>
      <c r="AL431" s="47" t="n"/>
      <c r="AM431" s="47" t="n"/>
      <c r="AN431" s="47" t="n"/>
      <c r="AO431" s="47" t="n"/>
      <c r="AP431" s="47" t="n"/>
      <c r="AQ431" s="47" t="n"/>
      <c r="AR431" s="47" t="n"/>
      <c r="AS431" s="47" t="n"/>
      <c r="AT431" s="50" t="n"/>
      <c r="AU431" s="50" t="n"/>
      <c r="AV431" s="50" t="n"/>
      <c r="AW431" s="49" t="inlineStr">
        <is>
          <t>IF(OR(F431="",AJ431=""),"",IF(COUNT(AI431:AI431)=0,"",AJ431-LOOKUP(2,1/(AI431:AI431&lt;&gt;""),AI431:AI431)))</t>
        </is>
      </c>
      <c r="AX431" s="49" t="inlineStr">
        <is>
          <t>IF(OR(F431="",AK431=""),"",IF(COUNT(AI431:AJ431)=0,"",AK431-LOOKUP(2,1/(AI431:AJ431&lt;&gt;""),AI431:AJ431)))</t>
        </is>
      </c>
      <c r="AY431" s="49" t="inlineStr">
        <is>
          <t>IF(OR(F431="",AL431=""),"",IF(COUNT(AI431:AK431)=0,"",AL431-LOOKUP(2,1/(AI431:AK431&lt;&gt;""),AI431:AK431)))</t>
        </is>
      </c>
      <c r="AZ431" s="49" t="inlineStr">
        <is>
          <t>IF(OR(F431="",AM431=""),"",IF(COUNT(AI431:AL431)=0,"",AM431-LOOKUP(2,1/(AI431:AL431&lt;&gt;""),AI431:AL431)))</t>
        </is>
      </c>
      <c r="BA431" s="49" t="inlineStr">
        <is>
          <t>IF(OR(F431="",AN431=""),"",IF(COUNT(AI431:AM431)=0,"",AN431-LOOKUP(2,1/(AI431:AM431&lt;&gt;""),AI431:AM431)))</t>
        </is>
      </c>
      <c r="BB431" s="49" t="inlineStr">
        <is>
          <t>IF(OR(F431="",AO431=""),"",IF(COUNT(AI431:AN431)=0,"",AO431-LOOKUP(2,1/(AI431:AN431&lt;&gt;""),AI431:AN431)))</t>
        </is>
      </c>
      <c r="BC431" s="49" t="inlineStr">
        <is>
          <t>IF(OR(F431="",AP431=""),"",IF(COUNT(AI431:AO431)=0,"",AP431-LOOKUP(2,1/(AI431:AO431&lt;&gt;""),AI431:AO431)))</t>
        </is>
      </c>
      <c r="BD431" s="49" t="inlineStr">
        <is>
          <t>IF(OR(F431="",AQ431=""),"",IF(COUNT(AI431:AP431)=0,"",AQ431-LOOKUP(2,1/(AI431:AP431&lt;&gt;""),AI431:AP431)))</t>
        </is>
      </c>
      <c r="BE431" s="49" t="inlineStr">
        <is>
          <t>IF(OR(F431="",AR431=""),"",IF(COUNT(AI431:AQ431)=0,"",AR431-LOOKUP(2,1/(AI431:AQ431&lt;&gt;""),AI431:AQ431)))</t>
        </is>
      </c>
      <c r="BF431" s="49" t="inlineStr">
        <is>
          <t>IF(OR(F431="",AS431=""),"",IF(COUNT(AI431:AR431)=0,"",AS431-LOOKUP(2,1/(AI431:AR431&lt;&gt;""),AI431:AR431)))</t>
        </is>
      </c>
      <c r="BG431" s="49" t="inlineStr">
        <is>
          <t>IF(OR(F431="",AT431=""),"",IF(COUNT(AI431:AS431)=0,"",AT431-LOOKUP(2,1/(AI431:AS431&lt;&gt;""),AI431:AS431)))</t>
        </is>
      </c>
      <c r="BH431" s="49" t="inlineStr">
        <is>
          <t>IF(OR(F431="",AU431=""),"",IF(COUNT(AI431:AT431)=0,"",AU431-LOOKUP(2,1/(AI431:AT431&lt;&gt;""),AI431:AT431)))</t>
        </is>
      </c>
      <c r="BI431" s="49" t="inlineStr">
        <is>
          <t>IF(OR(F431="",AV431=""),"",IF(COUNT(AI431:AU431)=0,"",AV431-LOOKUP(2,1/(AI431:AU431&lt;&gt;""),AI431:AU431)))</t>
        </is>
      </c>
      <c r="BJ431" s="51" t="inlineStr">
        <is>
          <t>IF(J431="","All_Provinces",IFERROR(VLOOKUP(J431,'09_Lookups'!$A$4:$B$20,2,FALSE),"All_Provinces"))</t>
        </is>
      </c>
      <c r="BK431" s="51" t="inlineStr">
        <is>
          <t>IF(K431="","All_Districts",IFERROR(VLOOKUP(K431,'09_Lookups'!$E$4:$F$42,2,FALSE),"All_Districts"))</t>
        </is>
      </c>
    </row>
    <row r="432" ht="18" customHeight="1">
      <c r="A432" s="42" t="inlineStr">
        <is>
          <t>IF(F432="","",ROW()-3)</t>
        </is>
      </c>
      <c r="B432" s="52" t="n"/>
      <c r="C432" s="52" t="n"/>
      <c r="D432" s="52" t="n"/>
      <c r="E432" s="52" t="n"/>
      <c r="F432" s="52" t="n"/>
      <c r="G432" s="52" t="n"/>
      <c r="H432" s="52" t="n"/>
      <c r="I432" s="52" t="n"/>
      <c r="J432" s="52" t="n"/>
      <c r="K432" s="52" t="n"/>
      <c r="L432" s="52" t="n"/>
      <c r="M432" s="52" t="n"/>
      <c r="N432" s="52" t="n"/>
      <c r="O432" s="52" t="n"/>
      <c r="P432" s="52" t="n"/>
      <c r="Q432" s="52" t="n"/>
      <c r="R432" s="52" t="n"/>
      <c r="S432" s="53" t="n"/>
      <c r="T432" s="46" t="inlineStr">
        <is>
          <t>IF(AQ432="","",AQ432)</t>
        </is>
      </c>
      <c r="U432" s="54" t="n"/>
      <c r="V432" s="55" t="n"/>
      <c r="W432" s="54" t="n"/>
      <c r="X432" s="46" t="inlineStr">
        <is>
          <t>IF(W432&lt;&gt;"",W432,IF(OR(T432="",V432=""),"",EDATE(T432,V432)))</t>
        </is>
      </c>
      <c r="Y432" s="54" t="n"/>
      <c r="Z432" s="55" t="n"/>
      <c r="AA432" s="52" t="n"/>
      <c r="AB432" s="52" t="n"/>
      <c r="AC432" s="42" t="inlineStr">
        <is>
          <t>IF(F432="","",IF(COUNT(AI432:AV432)=0,IF(AA432="","Not started",AA432),SUBSTITUTE(LOOKUP(2,1/(AI432:AV432&lt;&gt;""),$AI$3:$AV$3),"Date: ","")))</t>
        </is>
      </c>
      <c r="AD432" s="49" t="inlineStr">
        <is>
          <t>IF(OR(F432="",COUNT(AI432:AV432)=0),"",TODAY()-LOOKUP(2,1/(AI432:AV432&lt;&gt;""),AI432:AV432))</t>
        </is>
      </c>
      <c r="AE432" s="49" t="inlineStr">
        <is>
          <t>IF(OR(F432="",COUNT(AI432:AV432)&lt;2),"",LOOKUP(2,1/(AI432:AV432&lt;&gt;""),AI432:AV432)-MIN(AI432:AV432))</t>
        </is>
      </c>
      <c r="AF432" s="49" t="inlineStr">
        <is>
          <t>IF(OR(AD432="",AC432="Not started",AC432=""),"",IFERROR(AD432-IF(VLOOKUP(AC432,'06_Status_Pipeline'!$B$3:$E$20,4,FALSE)="",0,VLOOKUP(AC432,'06_Status_Pipeline'!$B$3:$E$20,4,FALSE)),""))</t>
        </is>
      </c>
      <c r="AG432" s="42" t="inlineStr">
        <is>
          <t>IF(F432="","",IF(OR(AA432="Cancelled",AC432="Cancelled"),"Cancelled",IF(OR(AC432="Completed / Handover",Y432&lt;&gt;"",Z432&gt;=100),"Completed — on track",IF(O432="Not awarded",IF(U432="",IF(X432="","No planned date",IF(TODAY()&gt;X432,"Behind — past planned date",IF(X432-TODAY()&lt;=30,"At risk — close to off track","On track"))),IF(TODAY()&gt;U432,"Behind — award date passed",IF(U432-TODAY()&lt;=30,"At risk — close to off track","On track"))),IF(X432="","No planned date",IF(AND(TODAY()&gt;X432,OR(Z432="",Z432&lt;100)),"Behind — past end date",IF(AND(T432&lt;&gt;"",X432&lt;&gt;"",Z432&lt;&gt;"",(Z432&lt;100),((TODAY()-T432)/MAX(X432-T432,1)*100)-Z432&gt;15),"Behind — progress lag",IF(AND(X432-TODAY()&lt;=30,X432-TODAY()&gt;=0,OR(Z432="",Z432&lt;90)),"At risk — close to off track","On track"))))))))</t>
        </is>
      </c>
      <c r="AH432" s="49" t="inlineStr">
        <is>
          <t>IF(OR(F432="",AC432="Completed / Handover",AC432="Cancelled"),"",IF(O432="Not awarded",IF(U432&lt;&gt;"",U432-TODAY(),IF(X432="","",X432-TODAY())),IF(X432="","",X432-TODAY())))</t>
        </is>
      </c>
      <c r="AI432" s="54" t="n"/>
      <c r="AJ432" s="54" t="n"/>
      <c r="AK432" s="54" t="n"/>
      <c r="AL432" s="54" t="n"/>
      <c r="AM432" s="54" t="n"/>
      <c r="AN432" s="54" t="n"/>
      <c r="AO432" s="54" t="n"/>
      <c r="AP432" s="54" t="n"/>
      <c r="AQ432" s="54" t="n"/>
      <c r="AR432" s="54" t="n"/>
      <c r="AS432" s="54" t="n"/>
      <c r="AT432" s="50" t="n"/>
      <c r="AU432" s="50" t="n"/>
      <c r="AV432" s="50" t="n"/>
      <c r="AW432" s="49" t="inlineStr">
        <is>
          <t>IF(OR(F432="",AJ432=""),"",IF(COUNT(AI432:AI432)=0,"",AJ432-LOOKUP(2,1/(AI432:AI432&lt;&gt;""),AI432:AI432)))</t>
        </is>
      </c>
      <c r="AX432" s="49" t="inlineStr">
        <is>
          <t>IF(OR(F432="",AK432=""),"",IF(COUNT(AI432:AJ432)=0,"",AK432-LOOKUP(2,1/(AI432:AJ432&lt;&gt;""),AI432:AJ432)))</t>
        </is>
      </c>
      <c r="AY432" s="49" t="inlineStr">
        <is>
          <t>IF(OR(F432="",AL432=""),"",IF(COUNT(AI432:AK432)=0,"",AL432-LOOKUP(2,1/(AI432:AK432&lt;&gt;""),AI432:AK432)))</t>
        </is>
      </c>
      <c r="AZ432" s="49" t="inlineStr">
        <is>
          <t>IF(OR(F432="",AM432=""),"",IF(COUNT(AI432:AL432)=0,"",AM432-LOOKUP(2,1/(AI432:AL432&lt;&gt;""),AI432:AL432)))</t>
        </is>
      </c>
      <c r="BA432" s="49" t="inlineStr">
        <is>
          <t>IF(OR(F432="",AN432=""),"",IF(COUNT(AI432:AM432)=0,"",AN432-LOOKUP(2,1/(AI432:AM432&lt;&gt;""),AI432:AM432)))</t>
        </is>
      </c>
      <c r="BB432" s="49" t="inlineStr">
        <is>
          <t>IF(OR(F432="",AO432=""),"",IF(COUNT(AI432:AN432)=0,"",AO432-LOOKUP(2,1/(AI432:AN432&lt;&gt;""),AI432:AN432)))</t>
        </is>
      </c>
      <c r="BC432" s="49" t="inlineStr">
        <is>
          <t>IF(OR(F432="",AP432=""),"",IF(COUNT(AI432:AO432)=0,"",AP432-LOOKUP(2,1/(AI432:AO432&lt;&gt;""),AI432:AO432)))</t>
        </is>
      </c>
      <c r="BD432" s="49" t="inlineStr">
        <is>
          <t>IF(OR(F432="",AQ432=""),"",IF(COUNT(AI432:AP432)=0,"",AQ432-LOOKUP(2,1/(AI432:AP432&lt;&gt;""),AI432:AP432)))</t>
        </is>
      </c>
      <c r="BE432" s="49" t="inlineStr">
        <is>
          <t>IF(OR(F432="",AR432=""),"",IF(COUNT(AI432:AQ432)=0,"",AR432-LOOKUP(2,1/(AI432:AQ432&lt;&gt;""),AI432:AQ432)))</t>
        </is>
      </c>
      <c r="BF432" s="49" t="inlineStr">
        <is>
          <t>IF(OR(F432="",AS432=""),"",IF(COUNT(AI432:AR432)=0,"",AS432-LOOKUP(2,1/(AI432:AR432&lt;&gt;""),AI432:AR432)))</t>
        </is>
      </c>
      <c r="BG432" s="49" t="inlineStr">
        <is>
          <t>IF(OR(F432="",AT432=""),"",IF(COUNT(AI432:AS432)=0,"",AT432-LOOKUP(2,1/(AI432:AS432&lt;&gt;""),AI432:AS432)))</t>
        </is>
      </c>
      <c r="BH432" s="49" t="inlineStr">
        <is>
          <t>IF(OR(F432="",AU432=""),"",IF(COUNT(AI432:AT432)=0,"",AU432-LOOKUP(2,1/(AI432:AT432&lt;&gt;""),AI432:AT432)))</t>
        </is>
      </c>
      <c r="BI432" s="49" t="inlineStr">
        <is>
          <t>IF(OR(F432="",AV432=""),"",IF(COUNT(AI432:AU432)=0,"",AV432-LOOKUP(2,1/(AI432:AU432&lt;&gt;""),AI432:AU432)))</t>
        </is>
      </c>
      <c r="BJ432" s="51" t="inlineStr">
        <is>
          <t>IF(J432="","All_Provinces",IFERROR(VLOOKUP(J432,'09_Lookups'!$A$4:$B$20,2,FALSE),"All_Provinces"))</t>
        </is>
      </c>
      <c r="BK432" s="51" t="inlineStr">
        <is>
          <t>IF(K432="","All_Districts",IFERROR(VLOOKUP(K432,'09_Lookups'!$E$4:$F$42,2,FALSE),"All_Districts"))</t>
        </is>
      </c>
    </row>
    <row r="433" ht="18" customHeight="1">
      <c r="A433" s="42" t="inlineStr">
        <is>
          <t>IF(F433="","",ROW()-3)</t>
        </is>
      </c>
      <c r="B433" s="44" t="n"/>
      <c r="C433" s="44" t="n"/>
      <c r="D433" s="44" t="n"/>
      <c r="E433" s="44" t="n"/>
      <c r="F433" s="44" t="n"/>
      <c r="G433" s="44" t="n"/>
      <c r="H433" s="44" t="n"/>
      <c r="I433" s="44" t="n"/>
      <c r="J433" s="44" t="n"/>
      <c r="K433" s="44" t="n"/>
      <c r="L433" s="44" t="n"/>
      <c r="M433" s="44" t="n"/>
      <c r="N433" s="44" t="n"/>
      <c r="O433" s="44" t="n"/>
      <c r="P433" s="44" t="n"/>
      <c r="Q433" s="44" t="n"/>
      <c r="R433" s="44" t="n"/>
      <c r="S433" s="45" t="n"/>
      <c r="T433" s="46" t="inlineStr">
        <is>
          <t>IF(AQ433="","",AQ433)</t>
        </is>
      </c>
      <c r="U433" s="47" t="n"/>
      <c r="V433" s="48" t="n"/>
      <c r="W433" s="47" t="n"/>
      <c r="X433" s="46" t="inlineStr">
        <is>
          <t>IF(W433&lt;&gt;"",W433,IF(OR(T433="",V433=""),"",EDATE(T433,V433)))</t>
        </is>
      </c>
      <c r="Y433" s="47" t="n"/>
      <c r="Z433" s="48" t="n"/>
      <c r="AA433" s="44" t="n"/>
      <c r="AB433" s="44" t="n"/>
      <c r="AC433" s="42" t="inlineStr">
        <is>
          <t>IF(F433="","",IF(COUNT(AI433:AV433)=0,IF(AA433="","Not started",AA433),SUBSTITUTE(LOOKUP(2,1/(AI433:AV433&lt;&gt;""),$AI$3:$AV$3),"Date: ","")))</t>
        </is>
      </c>
      <c r="AD433" s="49" t="inlineStr">
        <is>
          <t>IF(OR(F433="",COUNT(AI433:AV433)=0),"",TODAY()-LOOKUP(2,1/(AI433:AV433&lt;&gt;""),AI433:AV433))</t>
        </is>
      </c>
      <c r="AE433" s="49" t="inlineStr">
        <is>
          <t>IF(OR(F433="",COUNT(AI433:AV433)&lt;2),"",LOOKUP(2,1/(AI433:AV433&lt;&gt;""),AI433:AV433)-MIN(AI433:AV433))</t>
        </is>
      </c>
      <c r="AF433" s="49" t="inlineStr">
        <is>
          <t>IF(OR(AD433="",AC433="Not started",AC433=""),"",IFERROR(AD433-IF(VLOOKUP(AC433,'06_Status_Pipeline'!$B$3:$E$20,4,FALSE)="",0,VLOOKUP(AC433,'06_Status_Pipeline'!$B$3:$E$20,4,FALSE)),""))</t>
        </is>
      </c>
      <c r="AG433" s="42" t="inlineStr">
        <is>
          <t>IF(F433="","",IF(OR(AA433="Cancelled",AC433="Cancelled"),"Cancelled",IF(OR(AC433="Completed / Handover",Y433&lt;&gt;"",Z433&gt;=100),"Completed — on track",IF(O433="Not awarded",IF(U433="",IF(X433="","No planned date",IF(TODAY()&gt;X433,"Behind — past planned date",IF(X433-TODAY()&lt;=30,"At risk — close to off track","On track"))),IF(TODAY()&gt;U433,"Behind — award date passed",IF(U433-TODAY()&lt;=30,"At risk — close to off track","On track"))),IF(X433="","No planned date",IF(AND(TODAY()&gt;X433,OR(Z433="",Z433&lt;100)),"Behind — past end date",IF(AND(T433&lt;&gt;"",X433&lt;&gt;"",Z433&lt;&gt;"",(Z433&lt;100),((TODAY()-T433)/MAX(X433-T433,1)*100)-Z433&gt;15),"Behind — progress lag",IF(AND(X433-TODAY()&lt;=30,X433-TODAY()&gt;=0,OR(Z433="",Z433&lt;90)),"At risk — close to off track","On track"))))))))</t>
        </is>
      </c>
      <c r="AH433" s="49" t="inlineStr">
        <is>
          <t>IF(OR(F433="",AC433="Completed / Handover",AC433="Cancelled"),"",IF(O433="Not awarded",IF(U433&lt;&gt;"",U433-TODAY(),IF(X433="","",X433-TODAY())),IF(X433="","",X433-TODAY())))</t>
        </is>
      </c>
      <c r="AI433" s="47" t="n"/>
      <c r="AJ433" s="47" t="n"/>
      <c r="AK433" s="47" t="n"/>
      <c r="AL433" s="47" t="n"/>
      <c r="AM433" s="47" t="n"/>
      <c r="AN433" s="47" t="n"/>
      <c r="AO433" s="47" t="n"/>
      <c r="AP433" s="47" t="n"/>
      <c r="AQ433" s="47" t="n"/>
      <c r="AR433" s="47" t="n"/>
      <c r="AS433" s="47" t="n"/>
      <c r="AT433" s="50" t="n"/>
      <c r="AU433" s="50" t="n"/>
      <c r="AV433" s="50" t="n"/>
      <c r="AW433" s="49" t="inlineStr">
        <is>
          <t>IF(OR(F433="",AJ433=""),"",IF(COUNT(AI433:AI433)=0,"",AJ433-LOOKUP(2,1/(AI433:AI433&lt;&gt;""),AI433:AI433)))</t>
        </is>
      </c>
      <c r="AX433" s="49" t="inlineStr">
        <is>
          <t>IF(OR(F433="",AK433=""),"",IF(COUNT(AI433:AJ433)=0,"",AK433-LOOKUP(2,1/(AI433:AJ433&lt;&gt;""),AI433:AJ433)))</t>
        </is>
      </c>
      <c r="AY433" s="49" t="inlineStr">
        <is>
          <t>IF(OR(F433="",AL433=""),"",IF(COUNT(AI433:AK433)=0,"",AL433-LOOKUP(2,1/(AI433:AK433&lt;&gt;""),AI433:AK433)))</t>
        </is>
      </c>
      <c r="AZ433" s="49" t="inlineStr">
        <is>
          <t>IF(OR(F433="",AM433=""),"",IF(COUNT(AI433:AL433)=0,"",AM433-LOOKUP(2,1/(AI433:AL433&lt;&gt;""),AI433:AL433)))</t>
        </is>
      </c>
      <c r="BA433" s="49" t="inlineStr">
        <is>
          <t>IF(OR(F433="",AN433=""),"",IF(COUNT(AI433:AM433)=0,"",AN433-LOOKUP(2,1/(AI433:AM433&lt;&gt;""),AI433:AM433)))</t>
        </is>
      </c>
      <c r="BB433" s="49" t="inlineStr">
        <is>
          <t>IF(OR(F433="",AO433=""),"",IF(COUNT(AI433:AN433)=0,"",AO433-LOOKUP(2,1/(AI433:AN433&lt;&gt;""),AI433:AN433)))</t>
        </is>
      </c>
      <c r="BC433" s="49" t="inlineStr">
        <is>
          <t>IF(OR(F433="",AP433=""),"",IF(COUNT(AI433:AO433)=0,"",AP433-LOOKUP(2,1/(AI433:AO433&lt;&gt;""),AI433:AO433)))</t>
        </is>
      </c>
      <c r="BD433" s="49" t="inlineStr">
        <is>
          <t>IF(OR(F433="",AQ433=""),"",IF(COUNT(AI433:AP433)=0,"",AQ433-LOOKUP(2,1/(AI433:AP433&lt;&gt;""),AI433:AP433)))</t>
        </is>
      </c>
      <c r="BE433" s="49" t="inlineStr">
        <is>
          <t>IF(OR(F433="",AR433=""),"",IF(COUNT(AI433:AQ433)=0,"",AR433-LOOKUP(2,1/(AI433:AQ433&lt;&gt;""),AI433:AQ433)))</t>
        </is>
      </c>
      <c r="BF433" s="49" t="inlineStr">
        <is>
          <t>IF(OR(F433="",AS433=""),"",IF(COUNT(AI433:AR433)=0,"",AS433-LOOKUP(2,1/(AI433:AR433&lt;&gt;""),AI433:AR433)))</t>
        </is>
      </c>
      <c r="BG433" s="49" t="inlineStr">
        <is>
          <t>IF(OR(F433="",AT433=""),"",IF(COUNT(AI433:AS433)=0,"",AT433-LOOKUP(2,1/(AI433:AS433&lt;&gt;""),AI433:AS433)))</t>
        </is>
      </c>
      <c r="BH433" s="49" t="inlineStr">
        <is>
          <t>IF(OR(F433="",AU433=""),"",IF(COUNT(AI433:AT433)=0,"",AU433-LOOKUP(2,1/(AI433:AT433&lt;&gt;""),AI433:AT433)))</t>
        </is>
      </c>
      <c r="BI433" s="49" t="inlineStr">
        <is>
          <t>IF(OR(F433="",AV433=""),"",IF(COUNT(AI433:AU433)=0,"",AV433-LOOKUP(2,1/(AI433:AU433&lt;&gt;""),AI433:AU433)))</t>
        </is>
      </c>
      <c r="BJ433" s="51" t="inlineStr">
        <is>
          <t>IF(J433="","All_Provinces",IFERROR(VLOOKUP(J433,'09_Lookups'!$A$4:$B$20,2,FALSE),"All_Provinces"))</t>
        </is>
      </c>
      <c r="BK433" s="51" t="inlineStr">
        <is>
          <t>IF(K433="","All_Districts",IFERROR(VLOOKUP(K433,'09_Lookups'!$E$4:$F$42,2,FALSE),"All_Districts"))</t>
        </is>
      </c>
    </row>
    <row r="434" ht="18" customHeight="1">
      <c r="A434" s="42" t="inlineStr">
        <is>
          <t>IF(F434="","",ROW()-3)</t>
        </is>
      </c>
      <c r="B434" s="52" t="n"/>
      <c r="C434" s="52" t="n"/>
      <c r="D434" s="52" t="n"/>
      <c r="E434" s="52" t="n"/>
      <c r="F434" s="52" t="n"/>
      <c r="G434" s="52" t="n"/>
      <c r="H434" s="52" t="n"/>
      <c r="I434" s="52" t="n"/>
      <c r="J434" s="52" t="n"/>
      <c r="K434" s="52" t="n"/>
      <c r="L434" s="52" t="n"/>
      <c r="M434" s="52" t="n"/>
      <c r="N434" s="52" t="n"/>
      <c r="O434" s="52" t="n"/>
      <c r="P434" s="52" t="n"/>
      <c r="Q434" s="52" t="n"/>
      <c r="R434" s="52" t="n"/>
      <c r="S434" s="53" t="n"/>
      <c r="T434" s="46" t="inlineStr">
        <is>
          <t>IF(AQ434="","",AQ434)</t>
        </is>
      </c>
      <c r="U434" s="54" t="n"/>
      <c r="V434" s="55" t="n"/>
      <c r="W434" s="54" t="n"/>
      <c r="X434" s="46" t="inlineStr">
        <is>
          <t>IF(W434&lt;&gt;"",W434,IF(OR(T434="",V434=""),"",EDATE(T434,V434)))</t>
        </is>
      </c>
      <c r="Y434" s="54" t="n"/>
      <c r="Z434" s="55" t="n"/>
      <c r="AA434" s="52" t="n"/>
      <c r="AB434" s="52" t="n"/>
      <c r="AC434" s="42" t="inlineStr">
        <is>
          <t>IF(F434="","",IF(COUNT(AI434:AV434)=0,IF(AA434="","Not started",AA434),SUBSTITUTE(LOOKUP(2,1/(AI434:AV434&lt;&gt;""),$AI$3:$AV$3),"Date: ","")))</t>
        </is>
      </c>
      <c r="AD434" s="49" t="inlineStr">
        <is>
          <t>IF(OR(F434="",COUNT(AI434:AV434)=0),"",TODAY()-LOOKUP(2,1/(AI434:AV434&lt;&gt;""),AI434:AV434))</t>
        </is>
      </c>
      <c r="AE434" s="49" t="inlineStr">
        <is>
          <t>IF(OR(F434="",COUNT(AI434:AV434)&lt;2),"",LOOKUP(2,1/(AI434:AV434&lt;&gt;""),AI434:AV434)-MIN(AI434:AV434))</t>
        </is>
      </c>
      <c r="AF434" s="49" t="inlineStr">
        <is>
          <t>IF(OR(AD434="",AC434="Not started",AC434=""),"",IFERROR(AD434-IF(VLOOKUP(AC434,'06_Status_Pipeline'!$B$3:$E$20,4,FALSE)="",0,VLOOKUP(AC434,'06_Status_Pipeline'!$B$3:$E$20,4,FALSE)),""))</t>
        </is>
      </c>
      <c r="AG434" s="42" t="inlineStr">
        <is>
          <t>IF(F434="","",IF(OR(AA434="Cancelled",AC434="Cancelled"),"Cancelled",IF(OR(AC434="Completed / Handover",Y434&lt;&gt;"",Z434&gt;=100),"Completed — on track",IF(O434="Not awarded",IF(U434="",IF(X434="","No planned date",IF(TODAY()&gt;X434,"Behind — past planned date",IF(X434-TODAY()&lt;=30,"At risk — close to off track","On track"))),IF(TODAY()&gt;U434,"Behind — award date passed",IF(U434-TODAY()&lt;=30,"At risk — close to off track","On track"))),IF(X434="","No planned date",IF(AND(TODAY()&gt;X434,OR(Z434="",Z434&lt;100)),"Behind — past end date",IF(AND(T434&lt;&gt;"",X434&lt;&gt;"",Z434&lt;&gt;"",(Z434&lt;100),((TODAY()-T434)/MAX(X434-T434,1)*100)-Z434&gt;15),"Behind — progress lag",IF(AND(X434-TODAY()&lt;=30,X434-TODAY()&gt;=0,OR(Z434="",Z434&lt;90)),"At risk — close to off track","On track"))))))))</t>
        </is>
      </c>
      <c r="AH434" s="49" t="inlineStr">
        <is>
          <t>IF(OR(F434="",AC434="Completed / Handover",AC434="Cancelled"),"",IF(O434="Not awarded",IF(U434&lt;&gt;"",U434-TODAY(),IF(X434="","",X434-TODAY())),IF(X434="","",X434-TODAY())))</t>
        </is>
      </c>
      <c r="AI434" s="54" t="n"/>
      <c r="AJ434" s="54" t="n"/>
      <c r="AK434" s="54" t="n"/>
      <c r="AL434" s="54" t="n"/>
      <c r="AM434" s="54" t="n"/>
      <c r="AN434" s="54" t="n"/>
      <c r="AO434" s="54" t="n"/>
      <c r="AP434" s="54" t="n"/>
      <c r="AQ434" s="54" t="n"/>
      <c r="AR434" s="54" t="n"/>
      <c r="AS434" s="54" t="n"/>
      <c r="AT434" s="50" t="n"/>
      <c r="AU434" s="50" t="n"/>
      <c r="AV434" s="50" t="n"/>
      <c r="AW434" s="49" t="inlineStr">
        <is>
          <t>IF(OR(F434="",AJ434=""),"",IF(COUNT(AI434:AI434)=0,"",AJ434-LOOKUP(2,1/(AI434:AI434&lt;&gt;""),AI434:AI434)))</t>
        </is>
      </c>
      <c r="AX434" s="49" t="inlineStr">
        <is>
          <t>IF(OR(F434="",AK434=""),"",IF(COUNT(AI434:AJ434)=0,"",AK434-LOOKUP(2,1/(AI434:AJ434&lt;&gt;""),AI434:AJ434)))</t>
        </is>
      </c>
      <c r="AY434" s="49" t="inlineStr">
        <is>
          <t>IF(OR(F434="",AL434=""),"",IF(COUNT(AI434:AK434)=0,"",AL434-LOOKUP(2,1/(AI434:AK434&lt;&gt;""),AI434:AK434)))</t>
        </is>
      </c>
      <c r="AZ434" s="49" t="inlineStr">
        <is>
          <t>IF(OR(F434="",AM434=""),"",IF(COUNT(AI434:AL434)=0,"",AM434-LOOKUP(2,1/(AI434:AL434&lt;&gt;""),AI434:AL434)))</t>
        </is>
      </c>
      <c r="BA434" s="49" t="inlineStr">
        <is>
          <t>IF(OR(F434="",AN434=""),"",IF(COUNT(AI434:AM434)=0,"",AN434-LOOKUP(2,1/(AI434:AM434&lt;&gt;""),AI434:AM434)))</t>
        </is>
      </c>
      <c r="BB434" s="49" t="inlineStr">
        <is>
          <t>IF(OR(F434="",AO434=""),"",IF(COUNT(AI434:AN434)=0,"",AO434-LOOKUP(2,1/(AI434:AN434&lt;&gt;""),AI434:AN434)))</t>
        </is>
      </c>
      <c r="BC434" s="49" t="inlineStr">
        <is>
          <t>IF(OR(F434="",AP434=""),"",IF(COUNT(AI434:AO434)=0,"",AP434-LOOKUP(2,1/(AI434:AO434&lt;&gt;""),AI434:AO434)))</t>
        </is>
      </c>
      <c r="BD434" s="49" t="inlineStr">
        <is>
          <t>IF(OR(F434="",AQ434=""),"",IF(COUNT(AI434:AP434)=0,"",AQ434-LOOKUP(2,1/(AI434:AP434&lt;&gt;""),AI434:AP434)))</t>
        </is>
      </c>
      <c r="BE434" s="49" t="inlineStr">
        <is>
          <t>IF(OR(F434="",AR434=""),"",IF(COUNT(AI434:AQ434)=0,"",AR434-LOOKUP(2,1/(AI434:AQ434&lt;&gt;""),AI434:AQ434)))</t>
        </is>
      </c>
      <c r="BF434" s="49" t="inlineStr">
        <is>
          <t>IF(OR(F434="",AS434=""),"",IF(COUNT(AI434:AR434)=0,"",AS434-LOOKUP(2,1/(AI434:AR434&lt;&gt;""),AI434:AR434)))</t>
        </is>
      </c>
      <c r="BG434" s="49" t="inlineStr">
        <is>
          <t>IF(OR(F434="",AT434=""),"",IF(COUNT(AI434:AS434)=0,"",AT434-LOOKUP(2,1/(AI434:AS434&lt;&gt;""),AI434:AS434)))</t>
        </is>
      </c>
      <c r="BH434" s="49" t="inlineStr">
        <is>
          <t>IF(OR(F434="",AU434=""),"",IF(COUNT(AI434:AT434)=0,"",AU434-LOOKUP(2,1/(AI434:AT434&lt;&gt;""),AI434:AT434)))</t>
        </is>
      </c>
      <c r="BI434" s="49" t="inlineStr">
        <is>
          <t>IF(OR(F434="",AV434=""),"",IF(COUNT(AI434:AU434)=0,"",AV434-LOOKUP(2,1/(AI434:AU434&lt;&gt;""),AI434:AU434)))</t>
        </is>
      </c>
      <c r="BJ434" s="51" t="inlineStr">
        <is>
          <t>IF(J434="","All_Provinces",IFERROR(VLOOKUP(J434,'09_Lookups'!$A$4:$B$20,2,FALSE),"All_Provinces"))</t>
        </is>
      </c>
      <c r="BK434" s="51" t="inlineStr">
        <is>
          <t>IF(K434="","All_Districts",IFERROR(VLOOKUP(K434,'09_Lookups'!$E$4:$F$42,2,FALSE),"All_Districts"))</t>
        </is>
      </c>
    </row>
    <row r="435" ht="18" customHeight="1">
      <c r="A435" s="42" t="inlineStr">
        <is>
          <t>IF(F435="","",ROW()-3)</t>
        </is>
      </c>
      <c r="B435" s="44" t="n"/>
      <c r="C435" s="44" t="n"/>
      <c r="D435" s="44" t="n"/>
      <c r="E435" s="44" t="n"/>
      <c r="F435" s="44" t="n"/>
      <c r="G435" s="44" t="n"/>
      <c r="H435" s="44" t="n"/>
      <c r="I435" s="44" t="n"/>
      <c r="J435" s="44" t="n"/>
      <c r="K435" s="44" t="n"/>
      <c r="L435" s="44" t="n"/>
      <c r="M435" s="44" t="n"/>
      <c r="N435" s="44" t="n"/>
      <c r="O435" s="44" t="n"/>
      <c r="P435" s="44" t="n"/>
      <c r="Q435" s="44" t="n"/>
      <c r="R435" s="44" t="n"/>
      <c r="S435" s="45" t="n"/>
      <c r="T435" s="46" t="inlineStr">
        <is>
          <t>IF(AQ435="","",AQ435)</t>
        </is>
      </c>
      <c r="U435" s="47" t="n"/>
      <c r="V435" s="48" t="n"/>
      <c r="W435" s="47" t="n"/>
      <c r="X435" s="46" t="inlineStr">
        <is>
          <t>IF(W435&lt;&gt;"",W435,IF(OR(T435="",V435=""),"",EDATE(T435,V435)))</t>
        </is>
      </c>
      <c r="Y435" s="47" t="n"/>
      <c r="Z435" s="48" t="n"/>
      <c r="AA435" s="44" t="n"/>
      <c r="AB435" s="44" t="n"/>
      <c r="AC435" s="42" t="inlineStr">
        <is>
          <t>IF(F435="","",IF(COUNT(AI435:AV435)=0,IF(AA435="","Not started",AA435),SUBSTITUTE(LOOKUP(2,1/(AI435:AV435&lt;&gt;""),$AI$3:$AV$3),"Date: ","")))</t>
        </is>
      </c>
      <c r="AD435" s="49" t="inlineStr">
        <is>
          <t>IF(OR(F435="",COUNT(AI435:AV435)=0),"",TODAY()-LOOKUP(2,1/(AI435:AV435&lt;&gt;""),AI435:AV435))</t>
        </is>
      </c>
      <c r="AE435" s="49" t="inlineStr">
        <is>
          <t>IF(OR(F435="",COUNT(AI435:AV435)&lt;2),"",LOOKUP(2,1/(AI435:AV435&lt;&gt;""),AI435:AV435)-MIN(AI435:AV435))</t>
        </is>
      </c>
      <c r="AF435" s="49" t="inlineStr">
        <is>
          <t>IF(OR(AD435="",AC435="Not started",AC435=""),"",IFERROR(AD435-IF(VLOOKUP(AC435,'06_Status_Pipeline'!$B$3:$E$20,4,FALSE)="",0,VLOOKUP(AC435,'06_Status_Pipeline'!$B$3:$E$20,4,FALSE)),""))</t>
        </is>
      </c>
      <c r="AG435" s="42" t="inlineStr">
        <is>
          <t>IF(F435="","",IF(OR(AA435="Cancelled",AC435="Cancelled"),"Cancelled",IF(OR(AC435="Completed / Handover",Y435&lt;&gt;"",Z435&gt;=100),"Completed — on track",IF(O435="Not awarded",IF(U435="",IF(X435="","No planned date",IF(TODAY()&gt;X435,"Behind — past planned date",IF(X435-TODAY()&lt;=30,"At risk — close to off track","On track"))),IF(TODAY()&gt;U435,"Behind — award date passed",IF(U435-TODAY()&lt;=30,"At risk — close to off track","On track"))),IF(X435="","No planned date",IF(AND(TODAY()&gt;X435,OR(Z435="",Z435&lt;100)),"Behind — past end date",IF(AND(T435&lt;&gt;"",X435&lt;&gt;"",Z435&lt;&gt;"",(Z435&lt;100),((TODAY()-T435)/MAX(X435-T435,1)*100)-Z435&gt;15),"Behind — progress lag",IF(AND(X435-TODAY()&lt;=30,X435-TODAY()&gt;=0,OR(Z435="",Z435&lt;90)),"At risk — close to off track","On track"))))))))</t>
        </is>
      </c>
      <c r="AH435" s="49" t="inlineStr">
        <is>
          <t>IF(OR(F435="",AC435="Completed / Handover",AC435="Cancelled"),"",IF(O435="Not awarded",IF(U435&lt;&gt;"",U435-TODAY(),IF(X435="","",X435-TODAY())),IF(X435="","",X435-TODAY())))</t>
        </is>
      </c>
      <c r="AI435" s="47" t="n"/>
      <c r="AJ435" s="47" t="n"/>
      <c r="AK435" s="47" t="n"/>
      <c r="AL435" s="47" t="n"/>
      <c r="AM435" s="47" t="n"/>
      <c r="AN435" s="47" t="n"/>
      <c r="AO435" s="47" t="n"/>
      <c r="AP435" s="47" t="n"/>
      <c r="AQ435" s="47" t="n"/>
      <c r="AR435" s="47" t="n"/>
      <c r="AS435" s="47" t="n"/>
      <c r="AT435" s="50" t="n"/>
      <c r="AU435" s="50" t="n"/>
      <c r="AV435" s="50" t="n"/>
      <c r="AW435" s="49" t="inlineStr">
        <is>
          <t>IF(OR(F435="",AJ435=""),"",IF(COUNT(AI435:AI435)=0,"",AJ435-LOOKUP(2,1/(AI435:AI435&lt;&gt;""),AI435:AI435)))</t>
        </is>
      </c>
      <c r="AX435" s="49" t="inlineStr">
        <is>
          <t>IF(OR(F435="",AK435=""),"",IF(COUNT(AI435:AJ435)=0,"",AK435-LOOKUP(2,1/(AI435:AJ435&lt;&gt;""),AI435:AJ435)))</t>
        </is>
      </c>
      <c r="AY435" s="49" t="inlineStr">
        <is>
          <t>IF(OR(F435="",AL435=""),"",IF(COUNT(AI435:AK435)=0,"",AL435-LOOKUP(2,1/(AI435:AK435&lt;&gt;""),AI435:AK435)))</t>
        </is>
      </c>
      <c r="AZ435" s="49" t="inlineStr">
        <is>
          <t>IF(OR(F435="",AM435=""),"",IF(COUNT(AI435:AL435)=0,"",AM435-LOOKUP(2,1/(AI435:AL435&lt;&gt;""),AI435:AL435)))</t>
        </is>
      </c>
      <c r="BA435" s="49" t="inlineStr">
        <is>
          <t>IF(OR(F435="",AN435=""),"",IF(COUNT(AI435:AM435)=0,"",AN435-LOOKUP(2,1/(AI435:AM435&lt;&gt;""),AI435:AM435)))</t>
        </is>
      </c>
      <c r="BB435" s="49" t="inlineStr">
        <is>
          <t>IF(OR(F435="",AO435=""),"",IF(COUNT(AI435:AN435)=0,"",AO435-LOOKUP(2,1/(AI435:AN435&lt;&gt;""),AI435:AN435)))</t>
        </is>
      </c>
      <c r="BC435" s="49" t="inlineStr">
        <is>
          <t>IF(OR(F435="",AP435=""),"",IF(COUNT(AI435:AO435)=0,"",AP435-LOOKUP(2,1/(AI435:AO435&lt;&gt;""),AI435:AO435)))</t>
        </is>
      </c>
      <c r="BD435" s="49" t="inlineStr">
        <is>
          <t>IF(OR(F435="",AQ435=""),"",IF(COUNT(AI435:AP435)=0,"",AQ435-LOOKUP(2,1/(AI435:AP435&lt;&gt;""),AI435:AP435)))</t>
        </is>
      </c>
      <c r="BE435" s="49" t="inlineStr">
        <is>
          <t>IF(OR(F435="",AR435=""),"",IF(COUNT(AI435:AQ435)=0,"",AR435-LOOKUP(2,1/(AI435:AQ435&lt;&gt;""),AI435:AQ435)))</t>
        </is>
      </c>
      <c r="BF435" s="49" t="inlineStr">
        <is>
          <t>IF(OR(F435="",AS435=""),"",IF(COUNT(AI435:AR435)=0,"",AS435-LOOKUP(2,1/(AI435:AR435&lt;&gt;""),AI435:AR435)))</t>
        </is>
      </c>
      <c r="BG435" s="49" t="inlineStr">
        <is>
          <t>IF(OR(F435="",AT435=""),"",IF(COUNT(AI435:AS435)=0,"",AT435-LOOKUP(2,1/(AI435:AS435&lt;&gt;""),AI435:AS435)))</t>
        </is>
      </c>
      <c r="BH435" s="49" t="inlineStr">
        <is>
          <t>IF(OR(F435="",AU435=""),"",IF(COUNT(AI435:AT435)=0,"",AU435-LOOKUP(2,1/(AI435:AT435&lt;&gt;""),AI435:AT435)))</t>
        </is>
      </c>
      <c r="BI435" s="49" t="inlineStr">
        <is>
          <t>IF(OR(F435="",AV435=""),"",IF(COUNT(AI435:AU435)=0,"",AV435-LOOKUP(2,1/(AI435:AU435&lt;&gt;""),AI435:AU435)))</t>
        </is>
      </c>
      <c r="BJ435" s="51" t="inlineStr">
        <is>
          <t>IF(J435="","All_Provinces",IFERROR(VLOOKUP(J435,'09_Lookups'!$A$4:$B$20,2,FALSE),"All_Provinces"))</t>
        </is>
      </c>
      <c r="BK435" s="51" t="inlineStr">
        <is>
          <t>IF(K435="","All_Districts",IFERROR(VLOOKUP(K435,'09_Lookups'!$E$4:$F$42,2,FALSE),"All_Districts"))</t>
        </is>
      </c>
    </row>
    <row r="436" ht="18" customHeight="1">
      <c r="A436" s="42" t="inlineStr">
        <is>
          <t>IF(F436="","",ROW()-3)</t>
        </is>
      </c>
      <c r="B436" s="52" t="n"/>
      <c r="C436" s="52" t="n"/>
      <c r="D436" s="52" t="n"/>
      <c r="E436" s="52" t="n"/>
      <c r="F436" s="52" t="n"/>
      <c r="G436" s="52" t="n"/>
      <c r="H436" s="52" t="n"/>
      <c r="I436" s="52" t="n"/>
      <c r="J436" s="52" t="n"/>
      <c r="K436" s="52" t="n"/>
      <c r="L436" s="52" t="n"/>
      <c r="M436" s="52" t="n"/>
      <c r="N436" s="52" t="n"/>
      <c r="O436" s="52" t="n"/>
      <c r="P436" s="52" t="n"/>
      <c r="Q436" s="52" t="n"/>
      <c r="R436" s="52" t="n"/>
      <c r="S436" s="53" t="n"/>
      <c r="T436" s="46" t="inlineStr">
        <is>
          <t>IF(AQ436="","",AQ436)</t>
        </is>
      </c>
      <c r="U436" s="54" t="n"/>
      <c r="V436" s="55" t="n"/>
      <c r="W436" s="54" t="n"/>
      <c r="X436" s="46" t="inlineStr">
        <is>
          <t>IF(W436&lt;&gt;"",W436,IF(OR(T436="",V436=""),"",EDATE(T436,V436)))</t>
        </is>
      </c>
      <c r="Y436" s="54" t="n"/>
      <c r="Z436" s="55" t="n"/>
      <c r="AA436" s="52" t="n"/>
      <c r="AB436" s="52" t="n"/>
      <c r="AC436" s="42" t="inlineStr">
        <is>
          <t>IF(F436="","",IF(COUNT(AI436:AV436)=0,IF(AA436="","Not started",AA436),SUBSTITUTE(LOOKUP(2,1/(AI436:AV436&lt;&gt;""),$AI$3:$AV$3),"Date: ","")))</t>
        </is>
      </c>
      <c r="AD436" s="49" t="inlineStr">
        <is>
          <t>IF(OR(F436="",COUNT(AI436:AV436)=0),"",TODAY()-LOOKUP(2,1/(AI436:AV436&lt;&gt;""),AI436:AV436))</t>
        </is>
      </c>
      <c r="AE436" s="49" t="inlineStr">
        <is>
          <t>IF(OR(F436="",COUNT(AI436:AV436)&lt;2),"",LOOKUP(2,1/(AI436:AV436&lt;&gt;""),AI436:AV436)-MIN(AI436:AV436))</t>
        </is>
      </c>
      <c r="AF436" s="49" t="inlineStr">
        <is>
          <t>IF(OR(AD436="",AC436="Not started",AC436=""),"",IFERROR(AD436-IF(VLOOKUP(AC436,'06_Status_Pipeline'!$B$3:$E$20,4,FALSE)="",0,VLOOKUP(AC436,'06_Status_Pipeline'!$B$3:$E$20,4,FALSE)),""))</t>
        </is>
      </c>
      <c r="AG436" s="42" t="inlineStr">
        <is>
          <t>IF(F436="","",IF(OR(AA436="Cancelled",AC436="Cancelled"),"Cancelled",IF(OR(AC436="Completed / Handover",Y436&lt;&gt;"",Z436&gt;=100),"Completed — on track",IF(O436="Not awarded",IF(U436="",IF(X436="","No planned date",IF(TODAY()&gt;X436,"Behind — past planned date",IF(X436-TODAY()&lt;=30,"At risk — close to off track","On track"))),IF(TODAY()&gt;U436,"Behind — award date passed",IF(U436-TODAY()&lt;=30,"At risk — close to off track","On track"))),IF(X436="","No planned date",IF(AND(TODAY()&gt;X436,OR(Z436="",Z436&lt;100)),"Behind — past end date",IF(AND(T436&lt;&gt;"",X436&lt;&gt;"",Z436&lt;&gt;"",(Z436&lt;100),((TODAY()-T436)/MAX(X436-T436,1)*100)-Z436&gt;15),"Behind — progress lag",IF(AND(X436-TODAY()&lt;=30,X436-TODAY()&gt;=0,OR(Z436="",Z436&lt;90)),"At risk — close to off track","On track"))))))))</t>
        </is>
      </c>
      <c r="AH436" s="49" t="inlineStr">
        <is>
          <t>IF(OR(F436="",AC436="Completed / Handover",AC436="Cancelled"),"",IF(O436="Not awarded",IF(U436&lt;&gt;"",U436-TODAY(),IF(X436="","",X436-TODAY())),IF(X436="","",X436-TODAY())))</t>
        </is>
      </c>
      <c r="AI436" s="54" t="n"/>
      <c r="AJ436" s="54" t="n"/>
      <c r="AK436" s="54" t="n"/>
      <c r="AL436" s="54" t="n"/>
      <c r="AM436" s="54" t="n"/>
      <c r="AN436" s="54" t="n"/>
      <c r="AO436" s="54" t="n"/>
      <c r="AP436" s="54" t="n"/>
      <c r="AQ436" s="54" t="n"/>
      <c r="AR436" s="54" t="n"/>
      <c r="AS436" s="54" t="n"/>
      <c r="AT436" s="50" t="n"/>
      <c r="AU436" s="50" t="n"/>
      <c r="AV436" s="50" t="n"/>
      <c r="AW436" s="49" t="inlineStr">
        <is>
          <t>IF(OR(F436="",AJ436=""),"",IF(COUNT(AI436:AI436)=0,"",AJ436-LOOKUP(2,1/(AI436:AI436&lt;&gt;""),AI436:AI436)))</t>
        </is>
      </c>
      <c r="AX436" s="49" t="inlineStr">
        <is>
          <t>IF(OR(F436="",AK436=""),"",IF(COUNT(AI436:AJ436)=0,"",AK436-LOOKUP(2,1/(AI436:AJ436&lt;&gt;""),AI436:AJ436)))</t>
        </is>
      </c>
      <c r="AY436" s="49" t="inlineStr">
        <is>
          <t>IF(OR(F436="",AL436=""),"",IF(COUNT(AI436:AK436)=0,"",AL436-LOOKUP(2,1/(AI436:AK436&lt;&gt;""),AI436:AK436)))</t>
        </is>
      </c>
      <c r="AZ436" s="49" t="inlineStr">
        <is>
          <t>IF(OR(F436="",AM436=""),"",IF(COUNT(AI436:AL436)=0,"",AM436-LOOKUP(2,1/(AI436:AL436&lt;&gt;""),AI436:AL436)))</t>
        </is>
      </c>
      <c r="BA436" s="49" t="inlineStr">
        <is>
          <t>IF(OR(F436="",AN436=""),"",IF(COUNT(AI436:AM436)=0,"",AN436-LOOKUP(2,1/(AI436:AM436&lt;&gt;""),AI436:AM436)))</t>
        </is>
      </c>
      <c r="BB436" s="49" t="inlineStr">
        <is>
          <t>IF(OR(F436="",AO436=""),"",IF(COUNT(AI436:AN436)=0,"",AO436-LOOKUP(2,1/(AI436:AN436&lt;&gt;""),AI436:AN436)))</t>
        </is>
      </c>
      <c r="BC436" s="49" t="inlineStr">
        <is>
          <t>IF(OR(F436="",AP436=""),"",IF(COUNT(AI436:AO436)=0,"",AP436-LOOKUP(2,1/(AI436:AO436&lt;&gt;""),AI436:AO436)))</t>
        </is>
      </c>
      <c r="BD436" s="49" t="inlineStr">
        <is>
          <t>IF(OR(F436="",AQ436=""),"",IF(COUNT(AI436:AP436)=0,"",AQ436-LOOKUP(2,1/(AI436:AP436&lt;&gt;""),AI436:AP436)))</t>
        </is>
      </c>
      <c r="BE436" s="49" t="inlineStr">
        <is>
          <t>IF(OR(F436="",AR436=""),"",IF(COUNT(AI436:AQ436)=0,"",AR436-LOOKUP(2,1/(AI436:AQ436&lt;&gt;""),AI436:AQ436)))</t>
        </is>
      </c>
      <c r="BF436" s="49" t="inlineStr">
        <is>
          <t>IF(OR(F436="",AS436=""),"",IF(COUNT(AI436:AR436)=0,"",AS436-LOOKUP(2,1/(AI436:AR436&lt;&gt;""),AI436:AR436)))</t>
        </is>
      </c>
      <c r="BG436" s="49" t="inlineStr">
        <is>
          <t>IF(OR(F436="",AT436=""),"",IF(COUNT(AI436:AS436)=0,"",AT436-LOOKUP(2,1/(AI436:AS436&lt;&gt;""),AI436:AS436)))</t>
        </is>
      </c>
      <c r="BH436" s="49" t="inlineStr">
        <is>
          <t>IF(OR(F436="",AU436=""),"",IF(COUNT(AI436:AT436)=0,"",AU436-LOOKUP(2,1/(AI436:AT436&lt;&gt;""),AI436:AT436)))</t>
        </is>
      </c>
      <c r="BI436" s="49" t="inlineStr">
        <is>
          <t>IF(OR(F436="",AV436=""),"",IF(COUNT(AI436:AU436)=0,"",AV436-LOOKUP(2,1/(AI436:AU436&lt;&gt;""),AI436:AU436)))</t>
        </is>
      </c>
      <c r="BJ436" s="51" t="inlineStr">
        <is>
          <t>IF(J436="","All_Provinces",IFERROR(VLOOKUP(J436,'09_Lookups'!$A$4:$B$20,2,FALSE),"All_Provinces"))</t>
        </is>
      </c>
      <c r="BK436" s="51" t="inlineStr">
        <is>
          <t>IF(K436="","All_Districts",IFERROR(VLOOKUP(K436,'09_Lookups'!$E$4:$F$42,2,FALSE),"All_Districts"))</t>
        </is>
      </c>
    </row>
    <row r="437" ht="18" customHeight="1">
      <c r="A437" s="42" t="inlineStr">
        <is>
          <t>IF(F437="","",ROW()-3)</t>
        </is>
      </c>
      <c r="B437" s="44" t="n"/>
      <c r="C437" s="44" t="n"/>
      <c r="D437" s="44" t="n"/>
      <c r="E437" s="44" t="n"/>
      <c r="F437" s="44" t="n"/>
      <c r="G437" s="44" t="n"/>
      <c r="H437" s="44" t="n"/>
      <c r="I437" s="44" t="n"/>
      <c r="J437" s="44" t="n"/>
      <c r="K437" s="44" t="n"/>
      <c r="L437" s="44" t="n"/>
      <c r="M437" s="44" t="n"/>
      <c r="N437" s="44" t="n"/>
      <c r="O437" s="44" t="n"/>
      <c r="P437" s="44" t="n"/>
      <c r="Q437" s="44" t="n"/>
      <c r="R437" s="44" t="n"/>
      <c r="S437" s="45" t="n"/>
      <c r="T437" s="46" t="inlineStr">
        <is>
          <t>IF(AQ437="","",AQ437)</t>
        </is>
      </c>
      <c r="U437" s="47" t="n"/>
      <c r="V437" s="48" t="n"/>
      <c r="W437" s="47" t="n"/>
      <c r="X437" s="46" t="inlineStr">
        <is>
          <t>IF(W437&lt;&gt;"",W437,IF(OR(T437="",V437=""),"",EDATE(T437,V437)))</t>
        </is>
      </c>
      <c r="Y437" s="47" t="n"/>
      <c r="Z437" s="48" t="n"/>
      <c r="AA437" s="44" t="n"/>
      <c r="AB437" s="44" t="n"/>
      <c r="AC437" s="42" t="inlineStr">
        <is>
          <t>IF(F437="","",IF(COUNT(AI437:AV437)=0,IF(AA437="","Not started",AA437),SUBSTITUTE(LOOKUP(2,1/(AI437:AV437&lt;&gt;""),$AI$3:$AV$3),"Date: ","")))</t>
        </is>
      </c>
      <c r="AD437" s="49" t="inlineStr">
        <is>
          <t>IF(OR(F437="",COUNT(AI437:AV437)=0),"",TODAY()-LOOKUP(2,1/(AI437:AV437&lt;&gt;""),AI437:AV437))</t>
        </is>
      </c>
      <c r="AE437" s="49" t="inlineStr">
        <is>
          <t>IF(OR(F437="",COUNT(AI437:AV437)&lt;2),"",LOOKUP(2,1/(AI437:AV437&lt;&gt;""),AI437:AV437)-MIN(AI437:AV437))</t>
        </is>
      </c>
      <c r="AF437" s="49" t="inlineStr">
        <is>
          <t>IF(OR(AD437="",AC437="Not started",AC437=""),"",IFERROR(AD437-IF(VLOOKUP(AC437,'06_Status_Pipeline'!$B$3:$E$20,4,FALSE)="",0,VLOOKUP(AC437,'06_Status_Pipeline'!$B$3:$E$20,4,FALSE)),""))</t>
        </is>
      </c>
      <c r="AG437" s="42" t="inlineStr">
        <is>
          <t>IF(F437="","",IF(OR(AA437="Cancelled",AC437="Cancelled"),"Cancelled",IF(OR(AC437="Completed / Handover",Y437&lt;&gt;"",Z437&gt;=100),"Completed — on track",IF(O437="Not awarded",IF(U437="",IF(X437="","No planned date",IF(TODAY()&gt;X437,"Behind — past planned date",IF(X437-TODAY()&lt;=30,"At risk — close to off track","On track"))),IF(TODAY()&gt;U437,"Behind — award date passed",IF(U437-TODAY()&lt;=30,"At risk — close to off track","On track"))),IF(X437="","No planned date",IF(AND(TODAY()&gt;X437,OR(Z437="",Z437&lt;100)),"Behind — past end date",IF(AND(T437&lt;&gt;"",X437&lt;&gt;"",Z437&lt;&gt;"",(Z437&lt;100),((TODAY()-T437)/MAX(X437-T437,1)*100)-Z437&gt;15),"Behind — progress lag",IF(AND(X437-TODAY()&lt;=30,X437-TODAY()&gt;=0,OR(Z437="",Z437&lt;90)),"At risk — close to off track","On track"))))))))</t>
        </is>
      </c>
      <c r="AH437" s="49" t="inlineStr">
        <is>
          <t>IF(OR(F437="",AC437="Completed / Handover",AC437="Cancelled"),"",IF(O437="Not awarded",IF(U437&lt;&gt;"",U437-TODAY(),IF(X437="","",X437-TODAY())),IF(X437="","",X437-TODAY())))</t>
        </is>
      </c>
      <c r="AI437" s="47" t="n"/>
      <c r="AJ437" s="47" t="n"/>
      <c r="AK437" s="47" t="n"/>
      <c r="AL437" s="47" t="n"/>
      <c r="AM437" s="47" t="n"/>
      <c r="AN437" s="47" t="n"/>
      <c r="AO437" s="47" t="n"/>
      <c r="AP437" s="47" t="n"/>
      <c r="AQ437" s="47" t="n"/>
      <c r="AR437" s="47" t="n"/>
      <c r="AS437" s="47" t="n"/>
      <c r="AT437" s="50" t="n"/>
      <c r="AU437" s="50" t="n"/>
      <c r="AV437" s="50" t="n"/>
      <c r="AW437" s="49" t="inlineStr">
        <is>
          <t>IF(OR(F437="",AJ437=""),"",IF(COUNT(AI437:AI437)=0,"",AJ437-LOOKUP(2,1/(AI437:AI437&lt;&gt;""),AI437:AI437)))</t>
        </is>
      </c>
      <c r="AX437" s="49" t="inlineStr">
        <is>
          <t>IF(OR(F437="",AK437=""),"",IF(COUNT(AI437:AJ437)=0,"",AK437-LOOKUP(2,1/(AI437:AJ437&lt;&gt;""),AI437:AJ437)))</t>
        </is>
      </c>
      <c r="AY437" s="49" t="inlineStr">
        <is>
          <t>IF(OR(F437="",AL437=""),"",IF(COUNT(AI437:AK437)=0,"",AL437-LOOKUP(2,1/(AI437:AK437&lt;&gt;""),AI437:AK437)))</t>
        </is>
      </c>
      <c r="AZ437" s="49" t="inlineStr">
        <is>
          <t>IF(OR(F437="",AM437=""),"",IF(COUNT(AI437:AL437)=0,"",AM437-LOOKUP(2,1/(AI437:AL437&lt;&gt;""),AI437:AL437)))</t>
        </is>
      </c>
      <c r="BA437" s="49" t="inlineStr">
        <is>
          <t>IF(OR(F437="",AN437=""),"",IF(COUNT(AI437:AM437)=0,"",AN437-LOOKUP(2,1/(AI437:AM437&lt;&gt;""),AI437:AM437)))</t>
        </is>
      </c>
      <c r="BB437" s="49" t="inlineStr">
        <is>
          <t>IF(OR(F437="",AO437=""),"",IF(COUNT(AI437:AN437)=0,"",AO437-LOOKUP(2,1/(AI437:AN437&lt;&gt;""),AI437:AN437)))</t>
        </is>
      </c>
      <c r="BC437" s="49" t="inlineStr">
        <is>
          <t>IF(OR(F437="",AP437=""),"",IF(COUNT(AI437:AO437)=0,"",AP437-LOOKUP(2,1/(AI437:AO437&lt;&gt;""),AI437:AO437)))</t>
        </is>
      </c>
      <c r="BD437" s="49" t="inlineStr">
        <is>
          <t>IF(OR(F437="",AQ437=""),"",IF(COUNT(AI437:AP437)=0,"",AQ437-LOOKUP(2,1/(AI437:AP437&lt;&gt;""),AI437:AP437)))</t>
        </is>
      </c>
      <c r="BE437" s="49" t="inlineStr">
        <is>
          <t>IF(OR(F437="",AR437=""),"",IF(COUNT(AI437:AQ437)=0,"",AR437-LOOKUP(2,1/(AI437:AQ437&lt;&gt;""),AI437:AQ437)))</t>
        </is>
      </c>
      <c r="BF437" s="49" t="inlineStr">
        <is>
          <t>IF(OR(F437="",AS437=""),"",IF(COUNT(AI437:AR437)=0,"",AS437-LOOKUP(2,1/(AI437:AR437&lt;&gt;""),AI437:AR437)))</t>
        </is>
      </c>
      <c r="BG437" s="49" t="inlineStr">
        <is>
          <t>IF(OR(F437="",AT437=""),"",IF(COUNT(AI437:AS437)=0,"",AT437-LOOKUP(2,1/(AI437:AS437&lt;&gt;""),AI437:AS437)))</t>
        </is>
      </c>
      <c r="BH437" s="49" t="inlineStr">
        <is>
          <t>IF(OR(F437="",AU437=""),"",IF(COUNT(AI437:AT437)=0,"",AU437-LOOKUP(2,1/(AI437:AT437&lt;&gt;""),AI437:AT437)))</t>
        </is>
      </c>
      <c r="BI437" s="49" t="inlineStr">
        <is>
          <t>IF(OR(F437="",AV437=""),"",IF(COUNT(AI437:AU437)=0,"",AV437-LOOKUP(2,1/(AI437:AU437&lt;&gt;""),AI437:AU437)))</t>
        </is>
      </c>
      <c r="BJ437" s="51" t="inlineStr">
        <is>
          <t>IF(J437="","All_Provinces",IFERROR(VLOOKUP(J437,'09_Lookups'!$A$4:$B$20,2,FALSE),"All_Provinces"))</t>
        </is>
      </c>
      <c r="BK437" s="51" t="inlineStr">
        <is>
          <t>IF(K437="","All_Districts",IFERROR(VLOOKUP(K437,'09_Lookups'!$E$4:$F$42,2,FALSE),"All_Districts"))</t>
        </is>
      </c>
    </row>
    <row r="438" ht="18" customHeight="1">
      <c r="A438" s="42" t="inlineStr">
        <is>
          <t>IF(F438="","",ROW()-3)</t>
        </is>
      </c>
      <c r="B438" s="52" t="n"/>
      <c r="C438" s="52" t="n"/>
      <c r="D438" s="52" t="n"/>
      <c r="E438" s="52" t="n"/>
      <c r="F438" s="52" t="n"/>
      <c r="G438" s="52" t="n"/>
      <c r="H438" s="52" t="n"/>
      <c r="I438" s="52" t="n"/>
      <c r="J438" s="52" t="n"/>
      <c r="K438" s="52" t="n"/>
      <c r="L438" s="52" t="n"/>
      <c r="M438" s="52" t="n"/>
      <c r="N438" s="52" t="n"/>
      <c r="O438" s="52" t="n"/>
      <c r="P438" s="52" t="n"/>
      <c r="Q438" s="52" t="n"/>
      <c r="R438" s="52" t="n"/>
      <c r="S438" s="53" t="n"/>
      <c r="T438" s="46" t="inlineStr">
        <is>
          <t>IF(AQ438="","",AQ438)</t>
        </is>
      </c>
      <c r="U438" s="54" t="n"/>
      <c r="V438" s="55" t="n"/>
      <c r="W438" s="54" t="n"/>
      <c r="X438" s="46" t="inlineStr">
        <is>
          <t>IF(W438&lt;&gt;"",W438,IF(OR(T438="",V438=""),"",EDATE(T438,V438)))</t>
        </is>
      </c>
      <c r="Y438" s="54" t="n"/>
      <c r="Z438" s="55" t="n"/>
      <c r="AA438" s="52" t="n"/>
      <c r="AB438" s="52" t="n"/>
      <c r="AC438" s="42" t="inlineStr">
        <is>
          <t>IF(F438="","",IF(COUNT(AI438:AV438)=0,IF(AA438="","Not started",AA438),SUBSTITUTE(LOOKUP(2,1/(AI438:AV438&lt;&gt;""),$AI$3:$AV$3),"Date: ","")))</t>
        </is>
      </c>
      <c r="AD438" s="49" t="inlineStr">
        <is>
          <t>IF(OR(F438="",COUNT(AI438:AV438)=0),"",TODAY()-LOOKUP(2,1/(AI438:AV438&lt;&gt;""),AI438:AV438))</t>
        </is>
      </c>
      <c r="AE438" s="49" t="inlineStr">
        <is>
          <t>IF(OR(F438="",COUNT(AI438:AV438)&lt;2),"",LOOKUP(2,1/(AI438:AV438&lt;&gt;""),AI438:AV438)-MIN(AI438:AV438))</t>
        </is>
      </c>
      <c r="AF438" s="49" t="inlineStr">
        <is>
          <t>IF(OR(AD438="",AC438="Not started",AC438=""),"",IFERROR(AD438-IF(VLOOKUP(AC438,'06_Status_Pipeline'!$B$3:$E$20,4,FALSE)="",0,VLOOKUP(AC438,'06_Status_Pipeline'!$B$3:$E$20,4,FALSE)),""))</t>
        </is>
      </c>
      <c r="AG438" s="42" t="inlineStr">
        <is>
          <t>IF(F438="","",IF(OR(AA438="Cancelled",AC438="Cancelled"),"Cancelled",IF(OR(AC438="Completed / Handover",Y438&lt;&gt;"",Z438&gt;=100),"Completed — on track",IF(O438="Not awarded",IF(U438="",IF(X438="","No planned date",IF(TODAY()&gt;X438,"Behind — past planned date",IF(X438-TODAY()&lt;=30,"At risk — close to off track","On track"))),IF(TODAY()&gt;U438,"Behind — award date passed",IF(U438-TODAY()&lt;=30,"At risk — close to off track","On track"))),IF(X438="","No planned date",IF(AND(TODAY()&gt;X438,OR(Z438="",Z438&lt;100)),"Behind — past end date",IF(AND(T438&lt;&gt;"",X438&lt;&gt;"",Z438&lt;&gt;"",(Z438&lt;100),((TODAY()-T438)/MAX(X438-T438,1)*100)-Z438&gt;15),"Behind — progress lag",IF(AND(X438-TODAY()&lt;=30,X438-TODAY()&gt;=0,OR(Z438="",Z438&lt;90)),"At risk — close to off track","On track"))))))))</t>
        </is>
      </c>
      <c r="AH438" s="49" t="inlineStr">
        <is>
          <t>IF(OR(F438="",AC438="Completed / Handover",AC438="Cancelled"),"",IF(O438="Not awarded",IF(U438&lt;&gt;"",U438-TODAY(),IF(X438="","",X438-TODAY())),IF(X438="","",X438-TODAY())))</t>
        </is>
      </c>
      <c r="AI438" s="54" t="n"/>
      <c r="AJ438" s="54" t="n"/>
      <c r="AK438" s="54" t="n"/>
      <c r="AL438" s="54" t="n"/>
      <c r="AM438" s="54" t="n"/>
      <c r="AN438" s="54" t="n"/>
      <c r="AO438" s="54" t="n"/>
      <c r="AP438" s="54" t="n"/>
      <c r="AQ438" s="54" t="n"/>
      <c r="AR438" s="54" t="n"/>
      <c r="AS438" s="54" t="n"/>
      <c r="AT438" s="50" t="n"/>
      <c r="AU438" s="50" t="n"/>
      <c r="AV438" s="50" t="n"/>
      <c r="AW438" s="49" t="inlineStr">
        <is>
          <t>IF(OR(F438="",AJ438=""),"",IF(COUNT(AI438:AI438)=0,"",AJ438-LOOKUP(2,1/(AI438:AI438&lt;&gt;""),AI438:AI438)))</t>
        </is>
      </c>
      <c r="AX438" s="49" t="inlineStr">
        <is>
          <t>IF(OR(F438="",AK438=""),"",IF(COUNT(AI438:AJ438)=0,"",AK438-LOOKUP(2,1/(AI438:AJ438&lt;&gt;""),AI438:AJ438)))</t>
        </is>
      </c>
      <c r="AY438" s="49" t="inlineStr">
        <is>
          <t>IF(OR(F438="",AL438=""),"",IF(COUNT(AI438:AK438)=0,"",AL438-LOOKUP(2,1/(AI438:AK438&lt;&gt;""),AI438:AK438)))</t>
        </is>
      </c>
      <c r="AZ438" s="49" t="inlineStr">
        <is>
          <t>IF(OR(F438="",AM438=""),"",IF(COUNT(AI438:AL438)=0,"",AM438-LOOKUP(2,1/(AI438:AL438&lt;&gt;""),AI438:AL438)))</t>
        </is>
      </c>
      <c r="BA438" s="49" t="inlineStr">
        <is>
          <t>IF(OR(F438="",AN438=""),"",IF(COUNT(AI438:AM438)=0,"",AN438-LOOKUP(2,1/(AI438:AM438&lt;&gt;""),AI438:AM438)))</t>
        </is>
      </c>
      <c r="BB438" s="49" t="inlineStr">
        <is>
          <t>IF(OR(F438="",AO438=""),"",IF(COUNT(AI438:AN438)=0,"",AO438-LOOKUP(2,1/(AI438:AN438&lt;&gt;""),AI438:AN438)))</t>
        </is>
      </c>
      <c r="BC438" s="49" t="inlineStr">
        <is>
          <t>IF(OR(F438="",AP438=""),"",IF(COUNT(AI438:AO438)=0,"",AP438-LOOKUP(2,1/(AI438:AO438&lt;&gt;""),AI438:AO438)))</t>
        </is>
      </c>
      <c r="BD438" s="49" t="inlineStr">
        <is>
          <t>IF(OR(F438="",AQ438=""),"",IF(COUNT(AI438:AP438)=0,"",AQ438-LOOKUP(2,1/(AI438:AP438&lt;&gt;""),AI438:AP438)))</t>
        </is>
      </c>
      <c r="BE438" s="49" t="inlineStr">
        <is>
          <t>IF(OR(F438="",AR438=""),"",IF(COUNT(AI438:AQ438)=0,"",AR438-LOOKUP(2,1/(AI438:AQ438&lt;&gt;""),AI438:AQ438)))</t>
        </is>
      </c>
      <c r="BF438" s="49" t="inlineStr">
        <is>
          <t>IF(OR(F438="",AS438=""),"",IF(COUNT(AI438:AR438)=0,"",AS438-LOOKUP(2,1/(AI438:AR438&lt;&gt;""),AI438:AR438)))</t>
        </is>
      </c>
      <c r="BG438" s="49" t="inlineStr">
        <is>
          <t>IF(OR(F438="",AT438=""),"",IF(COUNT(AI438:AS438)=0,"",AT438-LOOKUP(2,1/(AI438:AS438&lt;&gt;""),AI438:AS438)))</t>
        </is>
      </c>
      <c r="BH438" s="49" t="inlineStr">
        <is>
          <t>IF(OR(F438="",AU438=""),"",IF(COUNT(AI438:AT438)=0,"",AU438-LOOKUP(2,1/(AI438:AT438&lt;&gt;""),AI438:AT438)))</t>
        </is>
      </c>
      <c r="BI438" s="49" t="inlineStr">
        <is>
          <t>IF(OR(F438="",AV438=""),"",IF(COUNT(AI438:AU438)=0,"",AV438-LOOKUP(2,1/(AI438:AU438&lt;&gt;""),AI438:AU438)))</t>
        </is>
      </c>
      <c r="BJ438" s="51" t="inlineStr">
        <is>
          <t>IF(J438="","All_Provinces",IFERROR(VLOOKUP(J438,'09_Lookups'!$A$4:$B$20,2,FALSE),"All_Provinces"))</t>
        </is>
      </c>
      <c r="BK438" s="51" t="inlineStr">
        <is>
          <t>IF(K438="","All_Districts",IFERROR(VLOOKUP(K438,'09_Lookups'!$E$4:$F$42,2,FALSE),"All_Districts"))</t>
        </is>
      </c>
    </row>
    <row r="439" ht="18" customHeight="1">
      <c r="A439" s="42" t="inlineStr">
        <is>
          <t>IF(F439="","",ROW()-3)</t>
        </is>
      </c>
      <c r="B439" s="44" t="n"/>
      <c r="C439" s="44" t="n"/>
      <c r="D439" s="44" t="n"/>
      <c r="E439" s="44" t="n"/>
      <c r="F439" s="44" t="n"/>
      <c r="G439" s="44" t="n"/>
      <c r="H439" s="44" t="n"/>
      <c r="I439" s="44" t="n"/>
      <c r="J439" s="44" t="n"/>
      <c r="K439" s="44" t="n"/>
      <c r="L439" s="44" t="n"/>
      <c r="M439" s="44" t="n"/>
      <c r="N439" s="44" t="n"/>
      <c r="O439" s="44" t="n"/>
      <c r="P439" s="44" t="n"/>
      <c r="Q439" s="44" t="n"/>
      <c r="R439" s="44" t="n"/>
      <c r="S439" s="45" t="n"/>
      <c r="T439" s="46" t="inlineStr">
        <is>
          <t>IF(AQ439="","",AQ439)</t>
        </is>
      </c>
      <c r="U439" s="47" t="n"/>
      <c r="V439" s="48" t="n"/>
      <c r="W439" s="47" t="n"/>
      <c r="X439" s="46" t="inlineStr">
        <is>
          <t>IF(W439&lt;&gt;"",W439,IF(OR(T439="",V439=""),"",EDATE(T439,V439)))</t>
        </is>
      </c>
      <c r="Y439" s="47" t="n"/>
      <c r="Z439" s="48" t="n"/>
      <c r="AA439" s="44" t="n"/>
      <c r="AB439" s="44" t="n"/>
      <c r="AC439" s="42" t="inlineStr">
        <is>
          <t>IF(F439="","",IF(COUNT(AI439:AV439)=0,IF(AA439="","Not started",AA439),SUBSTITUTE(LOOKUP(2,1/(AI439:AV439&lt;&gt;""),$AI$3:$AV$3),"Date: ","")))</t>
        </is>
      </c>
      <c r="AD439" s="49" t="inlineStr">
        <is>
          <t>IF(OR(F439="",COUNT(AI439:AV439)=0),"",TODAY()-LOOKUP(2,1/(AI439:AV439&lt;&gt;""),AI439:AV439))</t>
        </is>
      </c>
      <c r="AE439" s="49" t="inlineStr">
        <is>
          <t>IF(OR(F439="",COUNT(AI439:AV439)&lt;2),"",LOOKUP(2,1/(AI439:AV439&lt;&gt;""),AI439:AV439)-MIN(AI439:AV439))</t>
        </is>
      </c>
      <c r="AF439" s="49" t="inlineStr">
        <is>
          <t>IF(OR(AD439="",AC439="Not started",AC439=""),"",IFERROR(AD439-IF(VLOOKUP(AC439,'06_Status_Pipeline'!$B$3:$E$20,4,FALSE)="",0,VLOOKUP(AC439,'06_Status_Pipeline'!$B$3:$E$20,4,FALSE)),""))</t>
        </is>
      </c>
      <c r="AG439" s="42" t="inlineStr">
        <is>
          <t>IF(F439="","",IF(OR(AA439="Cancelled",AC439="Cancelled"),"Cancelled",IF(OR(AC439="Completed / Handover",Y439&lt;&gt;"",Z439&gt;=100),"Completed — on track",IF(O439="Not awarded",IF(U439="",IF(X439="","No planned date",IF(TODAY()&gt;X439,"Behind — past planned date",IF(X439-TODAY()&lt;=30,"At risk — close to off track","On track"))),IF(TODAY()&gt;U439,"Behind — award date passed",IF(U439-TODAY()&lt;=30,"At risk — close to off track","On track"))),IF(X439="","No planned date",IF(AND(TODAY()&gt;X439,OR(Z439="",Z439&lt;100)),"Behind — past end date",IF(AND(T439&lt;&gt;"",X439&lt;&gt;"",Z439&lt;&gt;"",(Z439&lt;100),((TODAY()-T439)/MAX(X439-T439,1)*100)-Z439&gt;15),"Behind — progress lag",IF(AND(X439-TODAY()&lt;=30,X439-TODAY()&gt;=0,OR(Z439="",Z439&lt;90)),"At risk — close to off track","On track"))))))))</t>
        </is>
      </c>
      <c r="AH439" s="49" t="inlineStr">
        <is>
          <t>IF(OR(F439="",AC439="Completed / Handover",AC439="Cancelled"),"",IF(O439="Not awarded",IF(U439&lt;&gt;"",U439-TODAY(),IF(X439="","",X439-TODAY())),IF(X439="","",X439-TODAY())))</t>
        </is>
      </c>
      <c r="AI439" s="47" t="n"/>
      <c r="AJ439" s="47" t="n"/>
      <c r="AK439" s="47" t="n"/>
      <c r="AL439" s="47" t="n"/>
      <c r="AM439" s="47" t="n"/>
      <c r="AN439" s="47" t="n"/>
      <c r="AO439" s="47" t="n"/>
      <c r="AP439" s="47" t="n"/>
      <c r="AQ439" s="47" t="n"/>
      <c r="AR439" s="47" t="n"/>
      <c r="AS439" s="47" t="n"/>
      <c r="AT439" s="50" t="n"/>
      <c r="AU439" s="50" t="n"/>
      <c r="AV439" s="50" t="n"/>
      <c r="AW439" s="49" t="inlineStr">
        <is>
          <t>IF(OR(F439="",AJ439=""),"",IF(COUNT(AI439:AI439)=0,"",AJ439-LOOKUP(2,1/(AI439:AI439&lt;&gt;""),AI439:AI439)))</t>
        </is>
      </c>
      <c r="AX439" s="49" t="inlineStr">
        <is>
          <t>IF(OR(F439="",AK439=""),"",IF(COUNT(AI439:AJ439)=0,"",AK439-LOOKUP(2,1/(AI439:AJ439&lt;&gt;""),AI439:AJ439)))</t>
        </is>
      </c>
      <c r="AY439" s="49" t="inlineStr">
        <is>
          <t>IF(OR(F439="",AL439=""),"",IF(COUNT(AI439:AK439)=0,"",AL439-LOOKUP(2,1/(AI439:AK439&lt;&gt;""),AI439:AK439)))</t>
        </is>
      </c>
      <c r="AZ439" s="49" t="inlineStr">
        <is>
          <t>IF(OR(F439="",AM439=""),"",IF(COUNT(AI439:AL439)=0,"",AM439-LOOKUP(2,1/(AI439:AL439&lt;&gt;""),AI439:AL439)))</t>
        </is>
      </c>
      <c r="BA439" s="49" t="inlineStr">
        <is>
          <t>IF(OR(F439="",AN439=""),"",IF(COUNT(AI439:AM439)=0,"",AN439-LOOKUP(2,1/(AI439:AM439&lt;&gt;""),AI439:AM439)))</t>
        </is>
      </c>
      <c r="BB439" s="49" t="inlineStr">
        <is>
          <t>IF(OR(F439="",AO439=""),"",IF(COUNT(AI439:AN439)=0,"",AO439-LOOKUP(2,1/(AI439:AN439&lt;&gt;""),AI439:AN439)))</t>
        </is>
      </c>
      <c r="BC439" s="49" t="inlineStr">
        <is>
          <t>IF(OR(F439="",AP439=""),"",IF(COUNT(AI439:AO439)=0,"",AP439-LOOKUP(2,1/(AI439:AO439&lt;&gt;""),AI439:AO439)))</t>
        </is>
      </c>
      <c r="BD439" s="49" t="inlineStr">
        <is>
          <t>IF(OR(F439="",AQ439=""),"",IF(COUNT(AI439:AP439)=0,"",AQ439-LOOKUP(2,1/(AI439:AP439&lt;&gt;""),AI439:AP439)))</t>
        </is>
      </c>
      <c r="BE439" s="49" t="inlineStr">
        <is>
          <t>IF(OR(F439="",AR439=""),"",IF(COUNT(AI439:AQ439)=0,"",AR439-LOOKUP(2,1/(AI439:AQ439&lt;&gt;""),AI439:AQ439)))</t>
        </is>
      </c>
      <c r="BF439" s="49" t="inlineStr">
        <is>
          <t>IF(OR(F439="",AS439=""),"",IF(COUNT(AI439:AR439)=0,"",AS439-LOOKUP(2,1/(AI439:AR439&lt;&gt;""),AI439:AR439)))</t>
        </is>
      </c>
      <c r="BG439" s="49" t="inlineStr">
        <is>
          <t>IF(OR(F439="",AT439=""),"",IF(COUNT(AI439:AS439)=0,"",AT439-LOOKUP(2,1/(AI439:AS439&lt;&gt;""),AI439:AS439)))</t>
        </is>
      </c>
      <c r="BH439" s="49" t="inlineStr">
        <is>
          <t>IF(OR(F439="",AU439=""),"",IF(COUNT(AI439:AT439)=0,"",AU439-LOOKUP(2,1/(AI439:AT439&lt;&gt;""),AI439:AT439)))</t>
        </is>
      </c>
      <c r="BI439" s="49" t="inlineStr">
        <is>
          <t>IF(OR(F439="",AV439=""),"",IF(COUNT(AI439:AU439)=0,"",AV439-LOOKUP(2,1/(AI439:AU439&lt;&gt;""),AI439:AU439)))</t>
        </is>
      </c>
      <c r="BJ439" s="51" t="inlineStr">
        <is>
          <t>IF(J439="","All_Provinces",IFERROR(VLOOKUP(J439,'09_Lookups'!$A$4:$B$20,2,FALSE),"All_Provinces"))</t>
        </is>
      </c>
      <c r="BK439" s="51" t="inlineStr">
        <is>
          <t>IF(K439="","All_Districts",IFERROR(VLOOKUP(K439,'09_Lookups'!$E$4:$F$42,2,FALSE),"All_Districts"))</t>
        </is>
      </c>
    </row>
    <row r="440" ht="18" customHeight="1">
      <c r="A440" s="42" t="inlineStr">
        <is>
          <t>IF(F440="","",ROW()-3)</t>
        </is>
      </c>
      <c r="B440" s="52" t="n"/>
      <c r="C440" s="52" t="n"/>
      <c r="D440" s="52" t="n"/>
      <c r="E440" s="52" t="n"/>
      <c r="F440" s="52" t="n"/>
      <c r="G440" s="52" t="n"/>
      <c r="H440" s="52" t="n"/>
      <c r="I440" s="52" t="n"/>
      <c r="J440" s="52" t="n"/>
      <c r="K440" s="52" t="n"/>
      <c r="L440" s="52" t="n"/>
      <c r="M440" s="52" t="n"/>
      <c r="N440" s="52" t="n"/>
      <c r="O440" s="52" t="n"/>
      <c r="P440" s="52" t="n"/>
      <c r="Q440" s="52" t="n"/>
      <c r="R440" s="52" t="n"/>
      <c r="S440" s="53" t="n"/>
      <c r="T440" s="46" t="inlineStr">
        <is>
          <t>IF(AQ440="","",AQ440)</t>
        </is>
      </c>
      <c r="U440" s="54" t="n"/>
      <c r="V440" s="55" t="n"/>
      <c r="W440" s="54" t="n"/>
      <c r="X440" s="46" t="inlineStr">
        <is>
          <t>IF(W440&lt;&gt;"",W440,IF(OR(T440="",V440=""),"",EDATE(T440,V440)))</t>
        </is>
      </c>
      <c r="Y440" s="54" t="n"/>
      <c r="Z440" s="55" t="n"/>
      <c r="AA440" s="52" t="n"/>
      <c r="AB440" s="52" t="n"/>
      <c r="AC440" s="42" t="inlineStr">
        <is>
          <t>IF(F440="","",IF(COUNT(AI440:AV440)=0,IF(AA440="","Not started",AA440),SUBSTITUTE(LOOKUP(2,1/(AI440:AV440&lt;&gt;""),$AI$3:$AV$3),"Date: ","")))</t>
        </is>
      </c>
      <c r="AD440" s="49" t="inlineStr">
        <is>
          <t>IF(OR(F440="",COUNT(AI440:AV440)=0),"",TODAY()-LOOKUP(2,1/(AI440:AV440&lt;&gt;""),AI440:AV440))</t>
        </is>
      </c>
      <c r="AE440" s="49" t="inlineStr">
        <is>
          <t>IF(OR(F440="",COUNT(AI440:AV440)&lt;2),"",LOOKUP(2,1/(AI440:AV440&lt;&gt;""),AI440:AV440)-MIN(AI440:AV440))</t>
        </is>
      </c>
      <c r="AF440" s="49" t="inlineStr">
        <is>
          <t>IF(OR(AD440="",AC440="Not started",AC440=""),"",IFERROR(AD440-IF(VLOOKUP(AC440,'06_Status_Pipeline'!$B$3:$E$20,4,FALSE)="",0,VLOOKUP(AC440,'06_Status_Pipeline'!$B$3:$E$20,4,FALSE)),""))</t>
        </is>
      </c>
      <c r="AG440" s="42" t="inlineStr">
        <is>
          <t>IF(F440="","",IF(OR(AA440="Cancelled",AC440="Cancelled"),"Cancelled",IF(OR(AC440="Completed / Handover",Y440&lt;&gt;"",Z440&gt;=100),"Completed — on track",IF(O440="Not awarded",IF(U440="",IF(X440="","No planned date",IF(TODAY()&gt;X440,"Behind — past planned date",IF(X440-TODAY()&lt;=30,"At risk — close to off track","On track"))),IF(TODAY()&gt;U440,"Behind — award date passed",IF(U440-TODAY()&lt;=30,"At risk — close to off track","On track"))),IF(X440="","No planned date",IF(AND(TODAY()&gt;X440,OR(Z440="",Z440&lt;100)),"Behind — past end date",IF(AND(T440&lt;&gt;"",X440&lt;&gt;"",Z440&lt;&gt;"",(Z440&lt;100),((TODAY()-T440)/MAX(X440-T440,1)*100)-Z440&gt;15),"Behind — progress lag",IF(AND(X440-TODAY()&lt;=30,X440-TODAY()&gt;=0,OR(Z440="",Z440&lt;90)),"At risk — close to off track","On track"))))))))</t>
        </is>
      </c>
      <c r="AH440" s="49" t="inlineStr">
        <is>
          <t>IF(OR(F440="",AC440="Completed / Handover",AC440="Cancelled"),"",IF(O440="Not awarded",IF(U440&lt;&gt;"",U440-TODAY(),IF(X440="","",X440-TODAY())),IF(X440="","",X440-TODAY())))</t>
        </is>
      </c>
      <c r="AI440" s="54" t="n"/>
      <c r="AJ440" s="54" t="n"/>
      <c r="AK440" s="54" t="n"/>
      <c r="AL440" s="54" t="n"/>
      <c r="AM440" s="54" t="n"/>
      <c r="AN440" s="54" t="n"/>
      <c r="AO440" s="54" t="n"/>
      <c r="AP440" s="54" t="n"/>
      <c r="AQ440" s="54" t="n"/>
      <c r="AR440" s="54" t="n"/>
      <c r="AS440" s="54" t="n"/>
      <c r="AT440" s="50" t="n"/>
      <c r="AU440" s="50" t="n"/>
      <c r="AV440" s="50" t="n"/>
      <c r="AW440" s="49" t="inlineStr">
        <is>
          <t>IF(OR(F440="",AJ440=""),"",IF(COUNT(AI440:AI440)=0,"",AJ440-LOOKUP(2,1/(AI440:AI440&lt;&gt;""),AI440:AI440)))</t>
        </is>
      </c>
      <c r="AX440" s="49" t="inlineStr">
        <is>
          <t>IF(OR(F440="",AK440=""),"",IF(COUNT(AI440:AJ440)=0,"",AK440-LOOKUP(2,1/(AI440:AJ440&lt;&gt;""),AI440:AJ440)))</t>
        </is>
      </c>
      <c r="AY440" s="49" t="inlineStr">
        <is>
          <t>IF(OR(F440="",AL440=""),"",IF(COUNT(AI440:AK440)=0,"",AL440-LOOKUP(2,1/(AI440:AK440&lt;&gt;""),AI440:AK440)))</t>
        </is>
      </c>
      <c r="AZ440" s="49" t="inlineStr">
        <is>
          <t>IF(OR(F440="",AM440=""),"",IF(COUNT(AI440:AL440)=0,"",AM440-LOOKUP(2,1/(AI440:AL440&lt;&gt;""),AI440:AL440)))</t>
        </is>
      </c>
      <c r="BA440" s="49" t="inlineStr">
        <is>
          <t>IF(OR(F440="",AN440=""),"",IF(COUNT(AI440:AM440)=0,"",AN440-LOOKUP(2,1/(AI440:AM440&lt;&gt;""),AI440:AM440)))</t>
        </is>
      </c>
      <c r="BB440" s="49" t="inlineStr">
        <is>
          <t>IF(OR(F440="",AO440=""),"",IF(COUNT(AI440:AN440)=0,"",AO440-LOOKUP(2,1/(AI440:AN440&lt;&gt;""),AI440:AN440)))</t>
        </is>
      </c>
      <c r="BC440" s="49" t="inlineStr">
        <is>
          <t>IF(OR(F440="",AP440=""),"",IF(COUNT(AI440:AO440)=0,"",AP440-LOOKUP(2,1/(AI440:AO440&lt;&gt;""),AI440:AO440)))</t>
        </is>
      </c>
      <c r="BD440" s="49" t="inlineStr">
        <is>
          <t>IF(OR(F440="",AQ440=""),"",IF(COUNT(AI440:AP440)=0,"",AQ440-LOOKUP(2,1/(AI440:AP440&lt;&gt;""),AI440:AP440)))</t>
        </is>
      </c>
      <c r="BE440" s="49" t="inlineStr">
        <is>
          <t>IF(OR(F440="",AR440=""),"",IF(COUNT(AI440:AQ440)=0,"",AR440-LOOKUP(2,1/(AI440:AQ440&lt;&gt;""),AI440:AQ440)))</t>
        </is>
      </c>
      <c r="BF440" s="49" t="inlineStr">
        <is>
          <t>IF(OR(F440="",AS440=""),"",IF(COUNT(AI440:AR440)=0,"",AS440-LOOKUP(2,1/(AI440:AR440&lt;&gt;""),AI440:AR440)))</t>
        </is>
      </c>
      <c r="BG440" s="49" t="inlineStr">
        <is>
          <t>IF(OR(F440="",AT440=""),"",IF(COUNT(AI440:AS440)=0,"",AT440-LOOKUP(2,1/(AI440:AS440&lt;&gt;""),AI440:AS440)))</t>
        </is>
      </c>
      <c r="BH440" s="49" t="inlineStr">
        <is>
          <t>IF(OR(F440="",AU440=""),"",IF(COUNT(AI440:AT440)=0,"",AU440-LOOKUP(2,1/(AI440:AT440&lt;&gt;""),AI440:AT440)))</t>
        </is>
      </c>
      <c r="BI440" s="49" t="inlineStr">
        <is>
          <t>IF(OR(F440="",AV440=""),"",IF(COUNT(AI440:AU440)=0,"",AV440-LOOKUP(2,1/(AI440:AU440&lt;&gt;""),AI440:AU440)))</t>
        </is>
      </c>
      <c r="BJ440" s="51" t="inlineStr">
        <is>
          <t>IF(J440="","All_Provinces",IFERROR(VLOOKUP(J440,'09_Lookups'!$A$4:$B$20,2,FALSE),"All_Provinces"))</t>
        </is>
      </c>
      <c r="BK440" s="51" t="inlineStr">
        <is>
          <t>IF(K440="","All_Districts",IFERROR(VLOOKUP(K440,'09_Lookups'!$E$4:$F$42,2,FALSE),"All_Districts"))</t>
        </is>
      </c>
    </row>
    <row r="441" ht="18" customHeight="1">
      <c r="A441" s="42" t="inlineStr">
        <is>
          <t>IF(F441="","",ROW()-3)</t>
        </is>
      </c>
      <c r="B441" s="44" t="n"/>
      <c r="C441" s="44" t="n"/>
      <c r="D441" s="44" t="n"/>
      <c r="E441" s="44" t="n"/>
      <c r="F441" s="44" t="n"/>
      <c r="G441" s="44" t="n"/>
      <c r="H441" s="44" t="n"/>
      <c r="I441" s="44" t="n"/>
      <c r="J441" s="44" t="n"/>
      <c r="K441" s="44" t="n"/>
      <c r="L441" s="44" t="n"/>
      <c r="M441" s="44" t="n"/>
      <c r="N441" s="44" t="n"/>
      <c r="O441" s="44" t="n"/>
      <c r="P441" s="44" t="n"/>
      <c r="Q441" s="44" t="n"/>
      <c r="R441" s="44" t="n"/>
      <c r="S441" s="45" t="n"/>
      <c r="T441" s="46" t="inlineStr">
        <is>
          <t>IF(AQ441="","",AQ441)</t>
        </is>
      </c>
      <c r="U441" s="47" t="n"/>
      <c r="V441" s="48" t="n"/>
      <c r="W441" s="47" t="n"/>
      <c r="X441" s="46" t="inlineStr">
        <is>
          <t>IF(W441&lt;&gt;"",W441,IF(OR(T441="",V441=""),"",EDATE(T441,V441)))</t>
        </is>
      </c>
      <c r="Y441" s="47" t="n"/>
      <c r="Z441" s="48" t="n"/>
      <c r="AA441" s="44" t="n"/>
      <c r="AB441" s="44" t="n"/>
      <c r="AC441" s="42" t="inlineStr">
        <is>
          <t>IF(F441="","",IF(COUNT(AI441:AV441)=0,IF(AA441="","Not started",AA441),SUBSTITUTE(LOOKUP(2,1/(AI441:AV441&lt;&gt;""),$AI$3:$AV$3),"Date: ","")))</t>
        </is>
      </c>
      <c r="AD441" s="49" t="inlineStr">
        <is>
          <t>IF(OR(F441="",COUNT(AI441:AV441)=0),"",TODAY()-LOOKUP(2,1/(AI441:AV441&lt;&gt;""),AI441:AV441))</t>
        </is>
      </c>
      <c r="AE441" s="49" t="inlineStr">
        <is>
          <t>IF(OR(F441="",COUNT(AI441:AV441)&lt;2),"",LOOKUP(2,1/(AI441:AV441&lt;&gt;""),AI441:AV441)-MIN(AI441:AV441))</t>
        </is>
      </c>
      <c r="AF441" s="49" t="inlineStr">
        <is>
          <t>IF(OR(AD441="",AC441="Not started",AC441=""),"",IFERROR(AD441-IF(VLOOKUP(AC441,'06_Status_Pipeline'!$B$3:$E$20,4,FALSE)="",0,VLOOKUP(AC441,'06_Status_Pipeline'!$B$3:$E$20,4,FALSE)),""))</t>
        </is>
      </c>
      <c r="AG441" s="42" t="inlineStr">
        <is>
          <t>IF(F441="","",IF(OR(AA441="Cancelled",AC441="Cancelled"),"Cancelled",IF(OR(AC441="Completed / Handover",Y441&lt;&gt;"",Z441&gt;=100),"Completed — on track",IF(O441="Not awarded",IF(U441="",IF(X441="","No planned date",IF(TODAY()&gt;X441,"Behind — past planned date",IF(X441-TODAY()&lt;=30,"At risk — close to off track","On track"))),IF(TODAY()&gt;U441,"Behind — award date passed",IF(U441-TODAY()&lt;=30,"At risk — close to off track","On track"))),IF(X441="","No planned date",IF(AND(TODAY()&gt;X441,OR(Z441="",Z441&lt;100)),"Behind — past end date",IF(AND(T441&lt;&gt;"",X441&lt;&gt;"",Z441&lt;&gt;"",(Z441&lt;100),((TODAY()-T441)/MAX(X441-T441,1)*100)-Z441&gt;15),"Behind — progress lag",IF(AND(X441-TODAY()&lt;=30,X441-TODAY()&gt;=0,OR(Z441="",Z441&lt;90)),"At risk — close to off track","On track"))))))))</t>
        </is>
      </c>
      <c r="AH441" s="49" t="inlineStr">
        <is>
          <t>IF(OR(F441="",AC441="Completed / Handover",AC441="Cancelled"),"",IF(O441="Not awarded",IF(U441&lt;&gt;"",U441-TODAY(),IF(X441="","",X441-TODAY())),IF(X441="","",X441-TODAY())))</t>
        </is>
      </c>
      <c r="AI441" s="47" t="n"/>
      <c r="AJ441" s="47" t="n"/>
      <c r="AK441" s="47" t="n"/>
      <c r="AL441" s="47" t="n"/>
      <c r="AM441" s="47" t="n"/>
      <c r="AN441" s="47" t="n"/>
      <c r="AO441" s="47" t="n"/>
      <c r="AP441" s="47" t="n"/>
      <c r="AQ441" s="47" t="n"/>
      <c r="AR441" s="47" t="n"/>
      <c r="AS441" s="47" t="n"/>
      <c r="AT441" s="50" t="n"/>
      <c r="AU441" s="50" t="n"/>
      <c r="AV441" s="50" t="n"/>
      <c r="AW441" s="49" t="inlineStr">
        <is>
          <t>IF(OR(F441="",AJ441=""),"",IF(COUNT(AI441:AI441)=0,"",AJ441-LOOKUP(2,1/(AI441:AI441&lt;&gt;""),AI441:AI441)))</t>
        </is>
      </c>
      <c r="AX441" s="49" t="inlineStr">
        <is>
          <t>IF(OR(F441="",AK441=""),"",IF(COUNT(AI441:AJ441)=0,"",AK441-LOOKUP(2,1/(AI441:AJ441&lt;&gt;""),AI441:AJ441)))</t>
        </is>
      </c>
      <c r="AY441" s="49" t="inlineStr">
        <is>
          <t>IF(OR(F441="",AL441=""),"",IF(COUNT(AI441:AK441)=0,"",AL441-LOOKUP(2,1/(AI441:AK441&lt;&gt;""),AI441:AK441)))</t>
        </is>
      </c>
      <c r="AZ441" s="49" t="inlineStr">
        <is>
          <t>IF(OR(F441="",AM441=""),"",IF(COUNT(AI441:AL441)=0,"",AM441-LOOKUP(2,1/(AI441:AL441&lt;&gt;""),AI441:AL441)))</t>
        </is>
      </c>
      <c r="BA441" s="49" t="inlineStr">
        <is>
          <t>IF(OR(F441="",AN441=""),"",IF(COUNT(AI441:AM441)=0,"",AN441-LOOKUP(2,1/(AI441:AM441&lt;&gt;""),AI441:AM441)))</t>
        </is>
      </c>
      <c r="BB441" s="49" t="inlineStr">
        <is>
          <t>IF(OR(F441="",AO441=""),"",IF(COUNT(AI441:AN441)=0,"",AO441-LOOKUP(2,1/(AI441:AN441&lt;&gt;""),AI441:AN441)))</t>
        </is>
      </c>
      <c r="BC441" s="49" t="inlineStr">
        <is>
          <t>IF(OR(F441="",AP441=""),"",IF(COUNT(AI441:AO441)=0,"",AP441-LOOKUP(2,1/(AI441:AO441&lt;&gt;""),AI441:AO441)))</t>
        </is>
      </c>
      <c r="BD441" s="49" t="inlineStr">
        <is>
          <t>IF(OR(F441="",AQ441=""),"",IF(COUNT(AI441:AP441)=0,"",AQ441-LOOKUP(2,1/(AI441:AP441&lt;&gt;""),AI441:AP441)))</t>
        </is>
      </c>
      <c r="BE441" s="49" t="inlineStr">
        <is>
          <t>IF(OR(F441="",AR441=""),"",IF(COUNT(AI441:AQ441)=0,"",AR441-LOOKUP(2,1/(AI441:AQ441&lt;&gt;""),AI441:AQ441)))</t>
        </is>
      </c>
      <c r="BF441" s="49" t="inlineStr">
        <is>
          <t>IF(OR(F441="",AS441=""),"",IF(COUNT(AI441:AR441)=0,"",AS441-LOOKUP(2,1/(AI441:AR441&lt;&gt;""),AI441:AR441)))</t>
        </is>
      </c>
      <c r="BG441" s="49" t="inlineStr">
        <is>
          <t>IF(OR(F441="",AT441=""),"",IF(COUNT(AI441:AS441)=0,"",AT441-LOOKUP(2,1/(AI441:AS441&lt;&gt;""),AI441:AS441)))</t>
        </is>
      </c>
      <c r="BH441" s="49" t="inlineStr">
        <is>
          <t>IF(OR(F441="",AU441=""),"",IF(COUNT(AI441:AT441)=0,"",AU441-LOOKUP(2,1/(AI441:AT441&lt;&gt;""),AI441:AT441)))</t>
        </is>
      </c>
      <c r="BI441" s="49" t="inlineStr">
        <is>
          <t>IF(OR(F441="",AV441=""),"",IF(COUNT(AI441:AU441)=0,"",AV441-LOOKUP(2,1/(AI441:AU441&lt;&gt;""),AI441:AU441)))</t>
        </is>
      </c>
      <c r="BJ441" s="51" t="inlineStr">
        <is>
          <t>IF(J441="","All_Provinces",IFERROR(VLOOKUP(J441,'09_Lookups'!$A$4:$B$20,2,FALSE),"All_Provinces"))</t>
        </is>
      </c>
      <c r="BK441" s="51" t="inlineStr">
        <is>
          <t>IF(K441="","All_Districts",IFERROR(VLOOKUP(K441,'09_Lookups'!$E$4:$F$42,2,FALSE),"All_Districts"))</t>
        </is>
      </c>
    </row>
    <row r="442" ht="18" customHeight="1">
      <c r="A442" s="42" t="inlineStr">
        <is>
          <t>IF(F442="","",ROW()-3)</t>
        </is>
      </c>
      <c r="B442" s="52" t="n"/>
      <c r="C442" s="52" t="n"/>
      <c r="D442" s="52" t="n"/>
      <c r="E442" s="52" t="n"/>
      <c r="F442" s="52" t="n"/>
      <c r="G442" s="52" t="n"/>
      <c r="H442" s="52" t="n"/>
      <c r="I442" s="52" t="n"/>
      <c r="J442" s="52" t="n"/>
      <c r="K442" s="52" t="n"/>
      <c r="L442" s="52" t="n"/>
      <c r="M442" s="52" t="n"/>
      <c r="N442" s="52" t="n"/>
      <c r="O442" s="52" t="n"/>
      <c r="P442" s="52" t="n"/>
      <c r="Q442" s="52" t="n"/>
      <c r="R442" s="52" t="n"/>
      <c r="S442" s="53" t="n"/>
      <c r="T442" s="46" t="inlineStr">
        <is>
          <t>IF(AQ442="","",AQ442)</t>
        </is>
      </c>
      <c r="U442" s="54" t="n"/>
      <c r="V442" s="55" t="n"/>
      <c r="W442" s="54" t="n"/>
      <c r="X442" s="46" t="inlineStr">
        <is>
          <t>IF(W442&lt;&gt;"",W442,IF(OR(T442="",V442=""),"",EDATE(T442,V442)))</t>
        </is>
      </c>
      <c r="Y442" s="54" t="n"/>
      <c r="Z442" s="55" t="n"/>
      <c r="AA442" s="52" t="n"/>
      <c r="AB442" s="52" t="n"/>
      <c r="AC442" s="42" t="inlineStr">
        <is>
          <t>IF(F442="","",IF(COUNT(AI442:AV442)=0,IF(AA442="","Not started",AA442),SUBSTITUTE(LOOKUP(2,1/(AI442:AV442&lt;&gt;""),$AI$3:$AV$3),"Date: ","")))</t>
        </is>
      </c>
      <c r="AD442" s="49" t="inlineStr">
        <is>
          <t>IF(OR(F442="",COUNT(AI442:AV442)=0),"",TODAY()-LOOKUP(2,1/(AI442:AV442&lt;&gt;""),AI442:AV442))</t>
        </is>
      </c>
      <c r="AE442" s="49" t="inlineStr">
        <is>
          <t>IF(OR(F442="",COUNT(AI442:AV442)&lt;2),"",LOOKUP(2,1/(AI442:AV442&lt;&gt;""),AI442:AV442)-MIN(AI442:AV442))</t>
        </is>
      </c>
      <c r="AF442" s="49" t="inlineStr">
        <is>
          <t>IF(OR(AD442="",AC442="Not started",AC442=""),"",IFERROR(AD442-IF(VLOOKUP(AC442,'06_Status_Pipeline'!$B$3:$E$20,4,FALSE)="",0,VLOOKUP(AC442,'06_Status_Pipeline'!$B$3:$E$20,4,FALSE)),""))</t>
        </is>
      </c>
      <c r="AG442" s="42" t="inlineStr">
        <is>
          <t>IF(F442="","",IF(OR(AA442="Cancelled",AC442="Cancelled"),"Cancelled",IF(OR(AC442="Completed / Handover",Y442&lt;&gt;"",Z442&gt;=100),"Completed — on track",IF(O442="Not awarded",IF(U442="",IF(X442="","No planned date",IF(TODAY()&gt;X442,"Behind — past planned date",IF(X442-TODAY()&lt;=30,"At risk — close to off track","On track"))),IF(TODAY()&gt;U442,"Behind — award date passed",IF(U442-TODAY()&lt;=30,"At risk — close to off track","On track"))),IF(X442="","No planned date",IF(AND(TODAY()&gt;X442,OR(Z442="",Z442&lt;100)),"Behind — past end date",IF(AND(T442&lt;&gt;"",X442&lt;&gt;"",Z442&lt;&gt;"",(Z442&lt;100),((TODAY()-T442)/MAX(X442-T442,1)*100)-Z442&gt;15),"Behind — progress lag",IF(AND(X442-TODAY()&lt;=30,X442-TODAY()&gt;=0,OR(Z442="",Z442&lt;90)),"At risk — close to off track","On track"))))))))</t>
        </is>
      </c>
      <c r="AH442" s="49" t="inlineStr">
        <is>
          <t>IF(OR(F442="",AC442="Completed / Handover",AC442="Cancelled"),"",IF(O442="Not awarded",IF(U442&lt;&gt;"",U442-TODAY(),IF(X442="","",X442-TODAY())),IF(X442="","",X442-TODAY())))</t>
        </is>
      </c>
      <c r="AI442" s="54" t="n"/>
      <c r="AJ442" s="54" t="n"/>
      <c r="AK442" s="54" t="n"/>
      <c r="AL442" s="54" t="n"/>
      <c r="AM442" s="54" t="n"/>
      <c r="AN442" s="54" t="n"/>
      <c r="AO442" s="54" t="n"/>
      <c r="AP442" s="54" t="n"/>
      <c r="AQ442" s="54" t="n"/>
      <c r="AR442" s="54" t="n"/>
      <c r="AS442" s="54" t="n"/>
      <c r="AT442" s="50" t="n"/>
      <c r="AU442" s="50" t="n"/>
      <c r="AV442" s="50" t="n"/>
      <c r="AW442" s="49" t="inlineStr">
        <is>
          <t>IF(OR(F442="",AJ442=""),"",IF(COUNT(AI442:AI442)=0,"",AJ442-LOOKUP(2,1/(AI442:AI442&lt;&gt;""),AI442:AI442)))</t>
        </is>
      </c>
      <c r="AX442" s="49" t="inlineStr">
        <is>
          <t>IF(OR(F442="",AK442=""),"",IF(COUNT(AI442:AJ442)=0,"",AK442-LOOKUP(2,1/(AI442:AJ442&lt;&gt;""),AI442:AJ442)))</t>
        </is>
      </c>
      <c r="AY442" s="49" t="inlineStr">
        <is>
          <t>IF(OR(F442="",AL442=""),"",IF(COUNT(AI442:AK442)=0,"",AL442-LOOKUP(2,1/(AI442:AK442&lt;&gt;""),AI442:AK442)))</t>
        </is>
      </c>
      <c r="AZ442" s="49" t="inlineStr">
        <is>
          <t>IF(OR(F442="",AM442=""),"",IF(COUNT(AI442:AL442)=0,"",AM442-LOOKUP(2,1/(AI442:AL442&lt;&gt;""),AI442:AL442)))</t>
        </is>
      </c>
      <c r="BA442" s="49" t="inlineStr">
        <is>
          <t>IF(OR(F442="",AN442=""),"",IF(COUNT(AI442:AM442)=0,"",AN442-LOOKUP(2,1/(AI442:AM442&lt;&gt;""),AI442:AM442)))</t>
        </is>
      </c>
      <c r="BB442" s="49" t="inlineStr">
        <is>
          <t>IF(OR(F442="",AO442=""),"",IF(COUNT(AI442:AN442)=0,"",AO442-LOOKUP(2,1/(AI442:AN442&lt;&gt;""),AI442:AN442)))</t>
        </is>
      </c>
      <c r="BC442" s="49" t="inlineStr">
        <is>
          <t>IF(OR(F442="",AP442=""),"",IF(COUNT(AI442:AO442)=0,"",AP442-LOOKUP(2,1/(AI442:AO442&lt;&gt;""),AI442:AO442)))</t>
        </is>
      </c>
      <c r="BD442" s="49" t="inlineStr">
        <is>
          <t>IF(OR(F442="",AQ442=""),"",IF(COUNT(AI442:AP442)=0,"",AQ442-LOOKUP(2,1/(AI442:AP442&lt;&gt;""),AI442:AP442)))</t>
        </is>
      </c>
      <c r="BE442" s="49" t="inlineStr">
        <is>
          <t>IF(OR(F442="",AR442=""),"",IF(COUNT(AI442:AQ442)=0,"",AR442-LOOKUP(2,1/(AI442:AQ442&lt;&gt;""),AI442:AQ442)))</t>
        </is>
      </c>
      <c r="BF442" s="49" t="inlineStr">
        <is>
          <t>IF(OR(F442="",AS442=""),"",IF(COUNT(AI442:AR442)=0,"",AS442-LOOKUP(2,1/(AI442:AR442&lt;&gt;""),AI442:AR442)))</t>
        </is>
      </c>
      <c r="BG442" s="49" t="inlineStr">
        <is>
          <t>IF(OR(F442="",AT442=""),"",IF(COUNT(AI442:AS442)=0,"",AT442-LOOKUP(2,1/(AI442:AS442&lt;&gt;""),AI442:AS442)))</t>
        </is>
      </c>
      <c r="BH442" s="49" t="inlineStr">
        <is>
          <t>IF(OR(F442="",AU442=""),"",IF(COUNT(AI442:AT442)=0,"",AU442-LOOKUP(2,1/(AI442:AT442&lt;&gt;""),AI442:AT442)))</t>
        </is>
      </c>
      <c r="BI442" s="49" t="inlineStr">
        <is>
          <t>IF(OR(F442="",AV442=""),"",IF(COUNT(AI442:AU442)=0,"",AV442-LOOKUP(2,1/(AI442:AU442&lt;&gt;""),AI442:AU442)))</t>
        </is>
      </c>
      <c r="BJ442" s="51" t="inlineStr">
        <is>
          <t>IF(J442="","All_Provinces",IFERROR(VLOOKUP(J442,'09_Lookups'!$A$4:$B$20,2,FALSE),"All_Provinces"))</t>
        </is>
      </c>
      <c r="BK442" s="51" t="inlineStr">
        <is>
          <t>IF(K442="","All_Districts",IFERROR(VLOOKUP(K442,'09_Lookups'!$E$4:$F$42,2,FALSE),"All_Districts"))</t>
        </is>
      </c>
    </row>
    <row r="443" ht="18" customHeight="1">
      <c r="A443" s="42" t="inlineStr">
        <is>
          <t>IF(F443="","",ROW()-3)</t>
        </is>
      </c>
      <c r="B443" s="44" t="n"/>
      <c r="C443" s="44" t="n"/>
      <c r="D443" s="44" t="n"/>
      <c r="E443" s="44" t="n"/>
      <c r="F443" s="44" t="n"/>
      <c r="G443" s="44" t="n"/>
      <c r="H443" s="44" t="n"/>
      <c r="I443" s="44" t="n"/>
      <c r="J443" s="44" t="n"/>
      <c r="K443" s="44" t="n"/>
      <c r="L443" s="44" t="n"/>
      <c r="M443" s="44" t="n"/>
      <c r="N443" s="44" t="n"/>
      <c r="O443" s="44" t="n"/>
      <c r="P443" s="44" t="n"/>
      <c r="Q443" s="44" t="n"/>
      <c r="R443" s="44" t="n"/>
      <c r="S443" s="45" t="n"/>
      <c r="T443" s="46" t="inlineStr">
        <is>
          <t>IF(AQ443="","",AQ443)</t>
        </is>
      </c>
      <c r="U443" s="47" t="n"/>
      <c r="V443" s="48" t="n"/>
      <c r="W443" s="47" t="n"/>
      <c r="X443" s="46" t="inlineStr">
        <is>
          <t>IF(W443&lt;&gt;"",W443,IF(OR(T443="",V443=""),"",EDATE(T443,V443)))</t>
        </is>
      </c>
      <c r="Y443" s="47" t="n"/>
      <c r="Z443" s="48" t="n"/>
      <c r="AA443" s="44" t="n"/>
      <c r="AB443" s="44" t="n"/>
      <c r="AC443" s="42" t="inlineStr">
        <is>
          <t>IF(F443="","",IF(COUNT(AI443:AV443)=0,IF(AA443="","Not started",AA443),SUBSTITUTE(LOOKUP(2,1/(AI443:AV443&lt;&gt;""),$AI$3:$AV$3),"Date: ","")))</t>
        </is>
      </c>
      <c r="AD443" s="49" t="inlineStr">
        <is>
          <t>IF(OR(F443="",COUNT(AI443:AV443)=0),"",TODAY()-LOOKUP(2,1/(AI443:AV443&lt;&gt;""),AI443:AV443))</t>
        </is>
      </c>
      <c r="AE443" s="49" t="inlineStr">
        <is>
          <t>IF(OR(F443="",COUNT(AI443:AV443)&lt;2),"",LOOKUP(2,1/(AI443:AV443&lt;&gt;""),AI443:AV443)-MIN(AI443:AV443))</t>
        </is>
      </c>
      <c r="AF443" s="49" t="inlineStr">
        <is>
          <t>IF(OR(AD443="",AC443="Not started",AC443=""),"",IFERROR(AD443-IF(VLOOKUP(AC443,'06_Status_Pipeline'!$B$3:$E$20,4,FALSE)="",0,VLOOKUP(AC443,'06_Status_Pipeline'!$B$3:$E$20,4,FALSE)),""))</t>
        </is>
      </c>
      <c r="AG443" s="42" t="inlineStr">
        <is>
          <t>IF(F443="","",IF(OR(AA443="Cancelled",AC443="Cancelled"),"Cancelled",IF(OR(AC443="Completed / Handover",Y443&lt;&gt;"",Z443&gt;=100),"Completed — on track",IF(O443="Not awarded",IF(U443="",IF(X443="","No planned date",IF(TODAY()&gt;X443,"Behind — past planned date",IF(X443-TODAY()&lt;=30,"At risk — close to off track","On track"))),IF(TODAY()&gt;U443,"Behind — award date passed",IF(U443-TODAY()&lt;=30,"At risk — close to off track","On track"))),IF(X443="","No planned date",IF(AND(TODAY()&gt;X443,OR(Z443="",Z443&lt;100)),"Behind — past end date",IF(AND(T443&lt;&gt;"",X443&lt;&gt;"",Z443&lt;&gt;"",(Z443&lt;100),((TODAY()-T443)/MAX(X443-T443,1)*100)-Z443&gt;15),"Behind — progress lag",IF(AND(X443-TODAY()&lt;=30,X443-TODAY()&gt;=0,OR(Z443="",Z443&lt;90)),"At risk — close to off track","On track"))))))))</t>
        </is>
      </c>
      <c r="AH443" s="49" t="inlineStr">
        <is>
          <t>IF(OR(F443="",AC443="Completed / Handover",AC443="Cancelled"),"",IF(O443="Not awarded",IF(U443&lt;&gt;"",U443-TODAY(),IF(X443="","",X443-TODAY())),IF(X443="","",X443-TODAY())))</t>
        </is>
      </c>
      <c r="AI443" s="47" t="n"/>
      <c r="AJ443" s="47" t="n"/>
      <c r="AK443" s="47" t="n"/>
      <c r="AL443" s="47" t="n"/>
      <c r="AM443" s="47" t="n"/>
      <c r="AN443" s="47" t="n"/>
      <c r="AO443" s="47" t="n"/>
      <c r="AP443" s="47" t="n"/>
      <c r="AQ443" s="47" t="n"/>
      <c r="AR443" s="47" t="n"/>
      <c r="AS443" s="47" t="n"/>
      <c r="AT443" s="50" t="n"/>
      <c r="AU443" s="50" t="n"/>
      <c r="AV443" s="50" t="n"/>
      <c r="AW443" s="49" t="inlineStr">
        <is>
          <t>IF(OR(F443="",AJ443=""),"",IF(COUNT(AI443:AI443)=0,"",AJ443-LOOKUP(2,1/(AI443:AI443&lt;&gt;""),AI443:AI443)))</t>
        </is>
      </c>
      <c r="AX443" s="49" t="inlineStr">
        <is>
          <t>IF(OR(F443="",AK443=""),"",IF(COUNT(AI443:AJ443)=0,"",AK443-LOOKUP(2,1/(AI443:AJ443&lt;&gt;""),AI443:AJ443)))</t>
        </is>
      </c>
      <c r="AY443" s="49" t="inlineStr">
        <is>
          <t>IF(OR(F443="",AL443=""),"",IF(COUNT(AI443:AK443)=0,"",AL443-LOOKUP(2,1/(AI443:AK443&lt;&gt;""),AI443:AK443)))</t>
        </is>
      </c>
      <c r="AZ443" s="49" t="inlineStr">
        <is>
          <t>IF(OR(F443="",AM443=""),"",IF(COUNT(AI443:AL443)=0,"",AM443-LOOKUP(2,1/(AI443:AL443&lt;&gt;""),AI443:AL443)))</t>
        </is>
      </c>
      <c r="BA443" s="49" t="inlineStr">
        <is>
          <t>IF(OR(F443="",AN443=""),"",IF(COUNT(AI443:AM443)=0,"",AN443-LOOKUP(2,1/(AI443:AM443&lt;&gt;""),AI443:AM443)))</t>
        </is>
      </c>
      <c r="BB443" s="49" t="inlineStr">
        <is>
          <t>IF(OR(F443="",AO443=""),"",IF(COUNT(AI443:AN443)=0,"",AO443-LOOKUP(2,1/(AI443:AN443&lt;&gt;""),AI443:AN443)))</t>
        </is>
      </c>
      <c r="BC443" s="49" t="inlineStr">
        <is>
          <t>IF(OR(F443="",AP443=""),"",IF(COUNT(AI443:AO443)=0,"",AP443-LOOKUP(2,1/(AI443:AO443&lt;&gt;""),AI443:AO443)))</t>
        </is>
      </c>
      <c r="BD443" s="49" t="inlineStr">
        <is>
          <t>IF(OR(F443="",AQ443=""),"",IF(COUNT(AI443:AP443)=0,"",AQ443-LOOKUP(2,1/(AI443:AP443&lt;&gt;""),AI443:AP443)))</t>
        </is>
      </c>
      <c r="BE443" s="49" t="inlineStr">
        <is>
          <t>IF(OR(F443="",AR443=""),"",IF(COUNT(AI443:AQ443)=0,"",AR443-LOOKUP(2,1/(AI443:AQ443&lt;&gt;""),AI443:AQ443)))</t>
        </is>
      </c>
      <c r="BF443" s="49" t="inlineStr">
        <is>
          <t>IF(OR(F443="",AS443=""),"",IF(COUNT(AI443:AR443)=0,"",AS443-LOOKUP(2,1/(AI443:AR443&lt;&gt;""),AI443:AR443)))</t>
        </is>
      </c>
      <c r="BG443" s="49" t="inlineStr">
        <is>
          <t>IF(OR(F443="",AT443=""),"",IF(COUNT(AI443:AS443)=0,"",AT443-LOOKUP(2,1/(AI443:AS443&lt;&gt;""),AI443:AS443)))</t>
        </is>
      </c>
      <c r="BH443" s="49" t="inlineStr">
        <is>
          <t>IF(OR(F443="",AU443=""),"",IF(COUNT(AI443:AT443)=0,"",AU443-LOOKUP(2,1/(AI443:AT443&lt;&gt;""),AI443:AT443)))</t>
        </is>
      </c>
      <c r="BI443" s="49" t="inlineStr">
        <is>
          <t>IF(OR(F443="",AV443=""),"",IF(COUNT(AI443:AU443)=0,"",AV443-LOOKUP(2,1/(AI443:AU443&lt;&gt;""),AI443:AU443)))</t>
        </is>
      </c>
      <c r="BJ443" s="51" t="inlineStr">
        <is>
          <t>IF(J443="","All_Provinces",IFERROR(VLOOKUP(J443,'09_Lookups'!$A$4:$B$20,2,FALSE),"All_Provinces"))</t>
        </is>
      </c>
      <c r="BK443" s="51" t="inlineStr">
        <is>
          <t>IF(K443="","All_Districts",IFERROR(VLOOKUP(K443,'09_Lookups'!$E$4:$F$42,2,FALSE),"All_Districts"))</t>
        </is>
      </c>
    </row>
    <row r="444" ht="18" customHeight="1">
      <c r="A444" s="42" t="inlineStr">
        <is>
          <t>IF(F444="","",ROW()-3)</t>
        </is>
      </c>
      <c r="B444" s="52" t="n"/>
      <c r="C444" s="52" t="n"/>
      <c r="D444" s="52" t="n"/>
      <c r="E444" s="52" t="n"/>
      <c r="F444" s="52" t="n"/>
      <c r="G444" s="52" t="n"/>
      <c r="H444" s="52" t="n"/>
      <c r="I444" s="52" t="n"/>
      <c r="J444" s="52" t="n"/>
      <c r="K444" s="52" t="n"/>
      <c r="L444" s="52" t="n"/>
      <c r="M444" s="52" t="n"/>
      <c r="N444" s="52" t="n"/>
      <c r="O444" s="52" t="n"/>
      <c r="P444" s="52" t="n"/>
      <c r="Q444" s="52" t="n"/>
      <c r="R444" s="52" t="n"/>
      <c r="S444" s="53" t="n"/>
      <c r="T444" s="46" t="inlineStr">
        <is>
          <t>IF(AQ444="","",AQ444)</t>
        </is>
      </c>
      <c r="U444" s="54" t="n"/>
      <c r="V444" s="55" t="n"/>
      <c r="W444" s="54" t="n"/>
      <c r="X444" s="46" t="inlineStr">
        <is>
          <t>IF(W444&lt;&gt;"",W444,IF(OR(T444="",V444=""),"",EDATE(T444,V444)))</t>
        </is>
      </c>
      <c r="Y444" s="54" t="n"/>
      <c r="Z444" s="55" t="n"/>
      <c r="AA444" s="52" t="n"/>
      <c r="AB444" s="52" t="n"/>
      <c r="AC444" s="42" t="inlineStr">
        <is>
          <t>IF(F444="","",IF(COUNT(AI444:AV444)=0,IF(AA444="","Not started",AA444),SUBSTITUTE(LOOKUP(2,1/(AI444:AV444&lt;&gt;""),$AI$3:$AV$3),"Date: ","")))</t>
        </is>
      </c>
      <c r="AD444" s="49" t="inlineStr">
        <is>
          <t>IF(OR(F444="",COUNT(AI444:AV444)=0),"",TODAY()-LOOKUP(2,1/(AI444:AV444&lt;&gt;""),AI444:AV444))</t>
        </is>
      </c>
      <c r="AE444" s="49" t="inlineStr">
        <is>
          <t>IF(OR(F444="",COUNT(AI444:AV444)&lt;2),"",LOOKUP(2,1/(AI444:AV444&lt;&gt;""),AI444:AV444)-MIN(AI444:AV444))</t>
        </is>
      </c>
      <c r="AF444" s="49" t="inlineStr">
        <is>
          <t>IF(OR(AD444="",AC444="Not started",AC444=""),"",IFERROR(AD444-IF(VLOOKUP(AC444,'06_Status_Pipeline'!$B$3:$E$20,4,FALSE)="",0,VLOOKUP(AC444,'06_Status_Pipeline'!$B$3:$E$20,4,FALSE)),""))</t>
        </is>
      </c>
      <c r="AG444" s="42" t="inlineStr">
        <is>
          <t>IF(F444="","",IF(OR(AA444="Cancelled",AC444="Cancelled"),"Cancelled",IF(OR(AC444="Completed / Handover",Y444&lt;&gt;"",Z444&gt;=100),"Completed — on track",IF(O444="Not awarded",IF(U444="",IF(X444="","No planned date",IF(TODAY()&gt;X444,"Behind — past planned date",IF(X444-TODAY()&lt;=30,"At risk — close to off track","On track"))),IF(TODAY()&gt;U444,"Behind — award date passed",IF(U444-TODAY()&lt;=30,"At risk — close to off track","On track"))),IF(X444="","No planned date",IF(AND(TODAY()&gt;X444,OR(Z444="",Z444&lt;100)),"Behind — past end date",IF(AND(T444&lt;&gt;"",X444&lt;&gt;"",Z444&lt;&gt;"",(Z444&lt;100),((TODAY()-T444)/MAX(X444-T444,1)*100)-Z444&gt;15),"Behind — progress lag",IF(AND(X444-TODAY()&lt;=30,X444-TODAY()&gt;=0,OR(Z444="",Z444&lt;90)),"At risk — close to off track","On track"))))))))</t>
        </is>
      </c>
      <c r="AH444" s="49" t="inlineStr">
        <is>
          <t>IF(OR(F444="",AC444="Completed / Handover",AC444="Cancelled"),"",IF(O444="Not awarded",IF(U444&lt;&gt;"",U444-TODAY(),IF(X444="","",X444-TODAY())),IF(X444="","",X444-TODAY())))</t>
        </is>
      </c>
      <c r="AI444" s="54" t="n"/>
      <c r="AJ444" s="54" t="n"/>
      <c r="AK444" s="54" t="n"/>
      <c r="AL444" s="54" t="n"/>
      <c r="AM444" s="54" t="n"/>
      <c r="AN444" s="54" t="n"/>
      <c r="AO444" s="54" t="n"/>
      <c r="AP444" s="54" t="n"/>
      <c r="AQ444" s="54" t="n"/>
      <c r="AR444" s="54" t="n"/>
      <c r="AS444" s="54" t="n"/>
      <c r="AT444" s="50" t="n"/>
      <c r="AU444" s="50" t="n"/>
      <c r="AV444" s="50" t="n"/>
      <c r="AW444" s="49" t="inlineStr">
        <is>
          <t>IF(OR(F444="",AJ444=""),"",IF(COUNT(AI444:AI444)=0,"",AJ444-LOOKUP(2,1/(AI444:AI444&lt;&gt;""),AI444:AI444)))</t>
        </is>
      </c>
      <c r="AX444" s="49" t="inlineStr">
        <is>
          <t>IF(OR(F444="",AK444=""),"",IF(COUNT(AI444:AJ444)=0,"",AK444-LOOKUP(2,1/(AI444:AJ444&lt;&gt;""),AI444:AJ444)))</t>
        </is>
      </c>
      <c r="AY444" s="49" t="inlineStr">
        <is>
          <t>IF(OR(F444="",AL444=""),"",IF(COUNT(AI444:AK444)=0,"",AL444-LOOKUP(2,1/(AI444:AK444&lt;&gt;""),AI444:AK444)))</t>
        </is>
      </c>
      <c r="AZ444" s="49" t="inlineStr">
        <is>
          <t>IF(OR(F444="",AM444=""),"",IF(COUNT(AI444:AL444)=0,"",AM444-LOOKUP(2,1/(AI444:AL444&lt;&gt;""),AI444:AL444)))</t>
        </is>
      </c>
      <c r="BA444" s="49" t="inlineStr">
        <is>
          <t>IF(OR(F444="",AN444=""),"",IF(COUNT(AI444:AM444)=0,"",AN444-LOOKUP(2,1/(AI444:AM444&lt;&gt;""),AI444:AM444)))</t>
        </is>
      </c>
      <c r="BB444" s="49" t="inlineStr">
        <is>
          <t>IF(OR(F444="",AO444=""),"",IF(COUNT(AI444:AN444)=0,"",AO444-LOOKUP(2,1/(AI444:AN444&lt;&gt;""),AI444:AN444)))</t>
        </is>
      </c>
      <c r="BC444" s="49" t="inlineStr">
        <is>
          <t>IF(OR(F444="",AP444=""),"",IF(COUNT(AI444:AO444)=0,"",AP444-LOOKUP(2,1/(AI444:AO444&lt;&gt;""),AI444:AO444)))</t>
        </is>
      </c>
      <c r="BD444" s="49" t="inlineStr">
        <is>
          <t>IF(OR(F444="",AQ444=""),"",IF(COUNT(AI444:AP444)=0,"",AQ444-LOOKUP(2,1/(AI444:AP444&lt;&gt;""),AI444:AP444)))</t>
        </is>
      </c>
      <c r="BE444" s="49" t="inlineStr">
        <is>
          <t>IF(OR(F444="",AR444=""),"",IF(COUNT(AI444:AQ444)=0,"",AR444-LOOKUP(2,1/(AI444:AQ444&lt;&gt;""),AI444:AQ444)))</t>
        </is>
      </c>
      <c r="BF444" s="49" t="inlineStr">
        <is>
          <t>IF(OR(F444="",AS444=""),"",IF(COUNT(AI444:AR444)=0,"",AS444-LOOKUP(2,1/(AI444:AR444&lt;&gt;""),AI444:AR444)))</t>
        </is>
      </c>
      <c r="BG444" s="49" t="inlineStr">
        <is>
          <t>IF(OR(F444="",AT444=""),"",IF(COUNT(AI444:AS444)=0,"",AT444-LOOKUP(2,1/(AI444:AS444&lt;&gt;""),AI444:AS444)))</t>
        </is>
      </c>
      <c r="BH444" s="49" t="inlineStr">
        <is>
          <t>IF(OR(F444="",AU444=""),"",IF(COUNT(AI444:AT444)=0,"",AU444-LOOKUP(2,1/(AI444:AT444&lt;&gt;""),AI444:AT444)))</t>
        </is>
      </c>
      <c r="BI444" s="49" t="inlineStr">
        <is>
          <t>IF(OR(F444="",AV444=""),"",IF(COUNT(AI444:AU444)=0,"",AV444-LOOKUP(2,1/(AI444:AU444&lt;&gt;""),AI444:AU444)))</t>
        </is>
      </c>
      <c r="BJ444" s="51" t="inlineStr">
        <is>
          <t>IF(J444="","All_Provinces",IFERROR(VLOOKUP(J444,'09_Lookups'!$A$4:$B$20,2,FALSE),"All_Provinces"))</t>
        </is>
      </c>
      <c r="BK444" s="51" t="inlineStr">
        <is>
          <t>IF(K444="","All_Districts",IFERROR(VLOOKUP(K444,'09_Lookups'!$E$4:$F$42,2,FALSE),"All_Districts"))</t>
        </is>
      </c>
    </row>
    <row r="445" ht="18" customHeight="1">
      <c r="A445" s="42" t="inlineStr">
        <is>
          <t>IF(F445="","",ROW()-3)</t>
        </is>
      </c>
      <c r="B445" s="44" t="n"/>
      <c r="C445" s="44" t="n"/>
      <c r="D445" s="44" t="n"/>
      <c r="E445" s="44" t="n"/>
      <c r="F445" s="44" t="n"/>
      <c r="G445" s="44" t="n"/>
      <c r="H445" s="44" t="n"/>
      <c r="I445" s="44" t="n"/>
      <c r="J445" s="44" t="n"/>
      <c r="K445" s="44" t="n"/>
      <c r="L445" s="44" t="n"/>
      <c r="M445" s="44" t="n"/>
      <c r="N445" s="44" t="n"/>
      <c r="O445" s="44" t="n"/>
      <c r="P445" s="44" t="n"/>
      <c r="Q445" s="44" t="n"/>
      <c r="R445" s="44" t="n"/>
      <c r="S445" s="45" t="n"/>
      <c r="T445" s="46" t="inlineStr">
        <is>
          <t>IF(AQ445="","",AQ445)</t>
        </is>
      </c>
      <c r="U445" s="47" t="n"/>
      <c r="V445" s="48" t="n"/>
      <c r="W445" s="47" t="n"/>
      <c r="X445" s="46" t="inlineStr">
        <is>
          <t>IF(W445&lt;&gt;"",W445,IF(OR(T445="",V445=""),"",EDATE(T445,V445)))</t>
        </is>
      </c>
      <c r="Y445" s="47" t="n"/>
      <c r="Z445" s="48" t="n"/>
      <c r="AA445" s="44" t="n"/>
      <c r="AB445" s="44" t="n"/>
      <c r="AC445" s="42" t="inlineStr">
        <is>
          <t>IF(F445="","",IF(COUNT(AI445:AV445)=0,IF(AA445="","Not started",AA445),SUBSTITUTE(LOOKUP(2,1/(AI445:AV445&lt;&gt;""),$AI$3:$AV$3),"Date: ","")))</t>
        </is>
      </c>
      <c r="AD445" s="49" t="inlineStr">
        <is>
          <t>IF(OR(F445="",COUNT(AI445:AV445)=0),"",TODAY()-LOOKUP(2,1/(AI445:AV445&lt;&gt;""),AI445:AV445))</t>
        </is>
      </c>
      <c r="AE445" s="49" t="inlineStr">
        <is>
          <t>IF(OR(F445="",COUNT(AI445:AV445)&lt;2),"",LOOKUP(2,1/(AI445:AV445&lt;&gt;""),AI445:AV445)-MIN(AI445:AV445))</t>
        </is>
      </c>
      <c r="AF445" s="49" t="inlineStr">
        <is>
          <t>IF(OR(AD445="",AC445="Not started",AC445=""),"",IFERROR(AD445-IF(VLOOKUP(AC445,'06_Status_Pipeline'!$B$3:$E$20,4,FALSE)="",0,VLOOKUP(AC445,'06_Status_Pipeline'!$B$3:$E$20,4,FALSE)),""))</t>
        </is>
      </c>
      <c r="AG445" s="42" t="inlineStr">
        <is>
          <t>IF(F445="","",IF(OR(AA445="Cancelled",AC445="Cancelled"),"Cancelled",IF(OR(AC445="Completed / Handover",Y445&lt;&gt;"",Z445&gt;=100),"Completed — on track",IF(O445="Not awarded",IF(U445="",IF(X445="","No planned date",IF(TODAY()&gt;X445,"Behind — past planned date",IF(X445-TODAY()&lt;=30,"At risk — close to off track","On track"))),IF(TODAY()&gt;U445,"Behind — award date passed",IF(U445-TODAY()&lt;=30,"At risk — close to off track","On track"))),IF(X445="","No planned date",IF(AND(TODAY()&gt;X445,OR(Z445="",Z445&lt;100)),"Behind — past end date",IF(AND(T445&lt;&gt;"",X445&lt;&gt;"",Z445&lt;&gt;"",(Z445&lt;100),((TODAY()-T445)/MAX(X445-T445,1)*100)-Z445&gt;15),"Behind — progress lag",IF(AND(X445-TODAY()&lt;=30,X445-TODAY()&gt;=0,OR(Z445="",Z445&lt;90)),"At risk — close to off track","On track"))))))))</t>
        </is>
      </c>
      <c r="AH445" s="49" t="inlineStr">
        <is>
          <t>IF(OR(F445="",AC445="Completed / Handover",AC445="Cancelled"),"",IF(O445="Not awarded",IF(U445&lt;&gt;"",U445-TODAY(),IF(X445="","",X445-TODAY())),IF(X445="","",X445-TODAY())))</t>
        </is>
      </c>
      <c r="AI445" s="47" t="n"/>
      <c r="AJ445" s="47" t="n"/>
      <c r="AK445" s="47" t="n"/>
      <c r="AL445" s="47" t="n"/>
      <c r="AM445" s="47" t="n"/>
      <c r="AN445" s="47" t="n"/>
      <c r="AO445" s="47" t="n"/>
      <c r="AP445" s="47" t="n"/>
      <c r="AQ445" s="47" t="n"/>
      <c r="AR445" s="47" t="n"/>
      <c r="AS445" s="47" t="n"/>
      <c r="AT445" s="50" t="n"/>
      <c r="AU445" s="50" t="n"/>
      <c r="AV445" s="50" t="n"/>
      <c r="AW445" s="49" t="inlineStr">
        <is>
          <t>IF(OR(F445="",AJ445=""),"",IF(COUNT(AI445:AI445)=0,"",AJ445-LOOKUP(2,1/(AI445:AI445&lt;&gt;""),AI445:AI445)))</t>
        </is>
      </c>
      <c r="AX445" s="49" t="inlineStr">
        <is>
          <t>IF(OR(F445="",AK445=""),"",IF(COUNT(AI445:AJ445)=0,"",AK445-LOOKUP(2,1/(AI445:AJ445&lt;&gt;""),AI445:AJ445)))</t>
        </is>
      </c>
      <c r="AY445" s="49" t="inlineStr">
        <is>
          <t>IF(OR(F445="",AL445=""),"",IF(COUNT(AI445:AK445)=0,"",AL445-LOOKUP(2,1/(AI445:AK445&lt;&gt;""),AI445:AK445)))</t>
        </is>
      </c>
      <c r="AZ445" s="49" t="inlineStr">
        <is>
          <t>IF(OR(F445="",AM445=""),"",IF(COUNT(AI445:AL445)=0,"",AM445-LOOKUP(2,1/(AI445:AL445&lt;&gt;""),AI445:AL445)))</t>
        </is>
      </c>
      <c r="BA445" s="49" t="inlineStr">
        <is>
          <t>IF(OR(F445="",AN445=""),"",IF(COUNT(AI445:AM445)=0,"",AN445-LOOKUP(2,1/(AI445:AM445&lt;&gt;""),AI445:AM445)))</t>
        </is>
      </c>
      <c r="BB445" s="49" t="inlineStr">
        <is>
          <t>IF(OR(F445="",AO445=""),"",IF(COUNT(AI445:AN445)=0,"",AO445-LOOKUP(2,1/(AI445:AN445&lt;&gt;""),AI445:AN445)))</t>
        </is>
      </c>
      <c r="BC445" s="49" t="inlineStr">
        <is>
          <t>IF(OR(F445="",AP445=""),"",IF(COUNT(AI445:AO445)=0,"",AP445-LOOKUP(2,1/(AI445:AO445&lt;&gt;""),AI445:AO445)))</t>
        </is>
      </c>
      <c r="BD445" s="49" t="inlineStr">
        <is>
          <t>IF(OR(F445="",AQ445=""),"",IF(COUNT(AI445:AP445)=0,"",AQ445-LOOKUP(2,1/(AI445:AP445&lt;&gt;""),AI445:AP445)))</t>
        </is>
      </c>
      <c r="BE445" s="49" t="inlineStr">
        <is>
          <t>IF(OR(F445="",AR445=""),"",IF(COUNT(AI445:AQ445)=0,"",AR445-LOOKUP(2,1/(AI445:AQ445&lt;&gt;""),AI445:AQ445)))</t>
        </is>
      </c>
      <c r="BF445" s="49" t="inlineStr">
        <is>
          <t>IF(OR(F445="",AS445=""),"",IF(COUNT(AI445:AR445)=0,"",AS445-LOOKUP(2,1/(AI445:AR445&lt;&gt;""),AI445:AR445)))</t>
        </is>
      </c>
      <c r="BG445" s="49" t="inlineStr">
        <is>
          <t>IF(OR(F445="",AT445=""),"",IF(COUNT(AI445:AS445)=0,"",AT445-LOOKUP(2,1/(AI445:AS445&lt;&gt;""),AI445:AS445)))</t>
        </is>
      </c>
      <c r="BH445" s="49" t="inlineStr">
        <is>
          <t>IF(OR(F445="",AU445=""),"",IF(COUNT(AI445:AT445)=0,"",AU445-LOOKUP(2,1/(AI445:AT445&lt;&gt;""),AI445:AT445)))</t>
        </is>
      </c>
      <c r="BI445" s="49" t="inlineStr">
        <is>
          <t>IF(OR(F445="",AV445=""),"",IF(COUNT(AI445:AU445)=0,"",AV445-LOOKUP(2,1/(AI445:AU445&lt;&gt;""),AI445:AU445)))</t>
        </is>
      </c>
      <c r="BJ445" s="51" t="inlineStr">
        <is>
          <t>IF(J445="","All_Provinces",IFERROR(VLOOKUP(J445,'09_Lookups'!$A$4:$B$20,2,FALSE),"All_Provinces"))</t>
        </is>
      </c>
      <c r="BK445" s="51" t="inlineStr">
        <is>
          <t>IF(K445="","All_Districts",IFERROR(VLOOKUP(K445,'09_Lookups'!$E$4:$F$42,2,FALSE),"All_Districts"))</t>
        </is>
      </c>
    </row>
    <row r="446" ht="18" customHeight="1">
      <c r="A446" s="42" t="inlineStr">
        <is>
          <t>IF(F446="","",ROW()-3)</t>
        </is>
      </c>
      <c r="B446" s="52" t="n"/>
      <c r="C446" s="52" t="n"/>
      <c r="D446" s="52" t="n"/>
      <c r="E446" s="52" t="n"/>
      <c r="F446" s="52" t="n"/>
      <c r="G446" s="52" t="n"/>
      <c r="H446" s="52" t="n"/>
      <c r="I446" s="52" t="n"/>
      <c r="J446" s="52" t="n"/>
      <c r="K446" s="52" t="n"/>
      <c r="L446" s="52" t="n"/>
      <c r="M446" s="52" t="n"/>
      <c r="N446" s="52" t="n"/>
      <c r="O446" s="52" t="n"/>
      <c r="P446" s="52" t="n"/>
      <c r="Q446" s="52" t="n"/>
      <c r="R446" s="52" t="n"/>
      <c r="S446" s="53" t="n"/>
      <c r="T446" s="46" t="inlineStr">
        <is>
          <t>IF(AQ446="","",AQ446)</t>
        </is>
      </c>
      <c r="U446" s="54" t="n"/>
      <c r="V446" s="55" t="n"/>
      <c r="W446" s="54" t="n"/>
      <c r="X446" s="46" t="inlineStr">
        <is>
          <t>IF(W446&lt;&gt;"",W446,IF(OR(T446="",V446=""),"",EDATE(T446,V446)))</t>
        </is>
      </c>
      <c r="Y446" s="54" t="n"/>
      <c r="Z446" s="55" t="n"/>
      <c r="AA446" s="52" t="n"/>
      <c r="AB446" s="52" t="n"/>
      <c r="AC446" s="42" t="inlineStr">
        <is>
          <t>IF(F446="","",IF(COUNT(AI446:AV446)=0,IF(AA446="","Not started",AA446),SUBSTITUTE(LOOKUP(2,1/(AI446:AV446&lt;&gt;""),$AI$3:$AV$3),"Date: ","")))</t>
        </is>
      </c>
      <c r="AD446" s="49" t="inlineStr">
        <is>
          <t>IF(OR(F446="",COUNT(AI446:AV446)=0),"",TODAY()-LOOKUP(2,1/(AI446:AV446&lt;&gt;""),AI446:AV446))</t>
        </is>
      </c>
      <c r="AE446" s="49" t="inlineStr">
        <is>
          <t>IF(OR(F446="",COUNT(AI446:AV446)&lt;2),"",LOOKUP(2,1/(AI446:AV446&lt;&gt;""),AI446:AV446)-MIN(AI446:AV446))</t>
        </is>
      </c>
      <c r="AF446" s="49" t="inlineStr">
        <is>
          <t>IF(OR(AD446="",AC446="Not started",AC446=""),"",IFERROR(AD446-IF(VLOOKUP(AC446,'06_Status_Pipeline'!$B$3:$E$20,4,FALSE)="",0,VLOOKUP(AC446,'06_Status_Pipeline'!$B$3:$E$20,4,FALSE)),""))</t>
        </is>
      </c>
      <c r="AG446" s="42" t="inlineStr">
        <is>
          <t>IF(F446="","",IF(OR(AA446="Cancelled",AC446="Cancelled"),"Cancelled",IF(OR(AC446="Completed / Handover",Y446&lt;&gt;"",Z446&gt;=100),"Completed — on track",IF(O446="Not awarded",IF(U446="",IF(X446="","No planned date",IF(TODAY()&gt;X446,"Behind — past planned date",IF(X446-TODAY()&lt;=30,"At risk — close to off track","On track"))),IF(TODAY()&gt;U446,"Behind — award date passed",IF(U446-TODAY()&lt;=30,"At risk — close to off track","On track"))),IF(X446="","No planned date",IF(AND(TODAY()&gt;X446,OR(Z446="",Z446&lt;100)),"Behind — past end date",IF(AND(T446&lt;&gt;"",X446&lt;&gt;"",Z446&lt;&gt;"",(Z446&lt;100),((TODAY()-T446)/MAX(X446-T446,1)*100)-Z446&gt;15),"Behind — progress lag",IF(AND(X446-TODAY()&lt;=30,X446-TODAY()&gt;=0,OR(Z446="",Z446&lt;90)),"At risk — close to off track","On track"))))))))</t>
        </is>
      </c>
      <c r="AH446" s="49" t="inlineStr">
        <is>
          <t>IF(OR(F446="",AC446="Completed / Handover",AC446="Cancelled"),"",IF(O446="Not awarded",IF(U446&lt;&gt;"",U446-TODAY(),IF(X446="","",X446-TODAY())),IF(X446="","",X446-TODAY())))</t>
        </is>
      </c>
      <c r="AI446" s="54" t="n"/>
      <c r="AJ446" s="54" t="n"/>
      <c r="AK446" s="54" t="n"/>
      <c r="AL446" s="54" t="n"/>
      <c r="AM446" s="54" t="n"/>
      <c r="AN446" s="54" t="n"/>
      <c r="AO446" s="54" t="n"/>
      <c r="AP446" s="54" t="n"/>
      <c r="AQ446" s="54" t="n"/>
      <c r="AR446" s="54" t="n"/>
      <c r="AS446" s="54" t="n"/>
      <c r="AT446" s="50" t="n"/>
      <c r="AU446" s="50" t="n"/>
      <c r="AV446" s="50" t="n"/>
      <c r="AW446" s="49" t="inlineStr">
        <is>
          <t>IF(OR(F446="",AJ446=""),"",IF(COUNT(AI446:AI446)=0,"",AJ446-LOOKUP(2,1/(AI446:AI446&lt;&gt;""),AI446:AI446)))</t>
        </is>
      </c>
      <c r="AX446" s="49" t="inlineStr">
        <is>
          <t>IF(OR(F446="",AK446=""),"",IF(COUNT(AI446:AJ446)=0,"",AK446-LOOKUP(2,1/(AI446:AJ446&lt;&gt;""),AI446:AJ446)))</t>
        </is>
      </c>
      <c r="AY446" s="49" t="inlineStr">
        <is>
          <t>IF(OR(F446="",AL446=""),"",IF(COUNT(AI446:AK446)=0,"",AL446-LOOKUP(2,1/(AI446:AK446&lt;&gt;""),AI446:AK446)))</t>
        </is>
      </c>
      <c r="AZ446" s="49" t="inlineStr">
        <is>
          <t>IF(OR(F446="",AM446=""),"",IF(COUNT(AI446:AL446)=0,"",AM446-LOOKUP(2,1/(AI446:AL446&lt;&gt;""),AI446:AL446)))</t>
        </is>
      </c>
      <c r="BA446" s="49" t="inlineStr">
        <is>
          <t>IF(OR(F446="",AN446=""),"",IF(COUNT(AI446:AM446)=0,"",AN446-LOOKUP(2,1/(AI446:AM446&lt;&gt;""),AI446:AM446)))</t>
        </is>
      </c>
      <c r="BB446" s="49" t="inlineStr">
        <is>
          <t>IF(OR(F446="",AO446=""),"",IF(COUNT(AI446:AN446)=0,"",AO446-LOOKUP(2,1/(AI446:AN446&lt;&gt;""),AI446:AN446)))</t>
        </is>
      </c>
      <c r="BC446" s="49" t="inlineStr">
        <is>
          <t>IF(OR(F446="",AP446=""),"",IF(COUNT(AI446:AO446)=0,"",AP446-LOOKUP(2,1/(AI446:AO446&lt;&gt;""),AI446:AO446)))</t>
        </is>
      </c>
      <c r="BD446" s="49" t="inlineStr">
        <is>
          <t>IF(OR(F446="",AQ446=""),"",IF(COUNT(AI446:AP446)=0,"",AQ446-LOOKUP(2,1/(AI446:AP446&lt;&gt;""),AI446:AP446)))</t>
        </is>
      </c>
      <c r="BE446" s="49" t="inlineStr">
        <is>
          <t>IF(OR(F446="",AR446=""),"",IF(COUNT(AI446:AQ446)=0,"",AR446-LOOKUP(2,1/(AI446:AQ446&lt;&gt;""),AI446:AQ446)))</t>
        </is>
      </c>
      <c r="BF446" s="49" t="inlineStr">
        <is>
          <t>IF(OR(F446="",AS446=""),"",IF(COUNT(AI446:AR446)=0,"",AS446-LOOKUP(2,1/(AI446:AR446&lt;&gt;""),AI446:AR446)))</t>
        </is>
      </c>
      <c r="BG446" s="49" t="inlineStr">
        <is>
          <t>IF(OR(F446="",AT446=""),"",IF(COUNT(AI446:AS446)=0,"",AT446-LOOKUP(2,1/(AI446:AS446&lt;&gt;""),AI446:AS446)))</t>
        </is>
      </c>
      <c r="BH446" s="49" t="inlineStr">
        <is>
          <t>IF(OR(F446="",AU446=""),"",IF(COUNT(AI446:AT446)=0,"",AU446-LOOKUP(2,1/(AI446:AT446&lt;&gt;""),AI446:AT446)))</t>
        </is>
      </c>
      <c r="BI446" s="49" t="inlineStr">
        <is>
          <t>IF(OR(F446="",AV446=""),"",IF(COUNT(AI446:AU446)=0,"",AV446-LOOKUP(2,1/(AI446:AU446&lt;&gt;""),AI446:AU446)))</t>
        </is>
      </c>
      <c r="BJ446" s="51" t="inlineStr">
        <is>
          <t>IF(J446="","All_Provinces",IFERROR(VLOOKUP(J446,'09_Lookups'!$A$4:$B$20,2,FALSE),"All_Provinces"))</t>
        </is>
      </c>
      <c r="BK446" s="51" t="inlineStr">
        <is>
          <t>IF(K446="","All_Districts",IFERROR(VLOOKUP(K446,'09_Lookups'!$E$4:$F$42,2,FALSE),"All_Districts"))</t>
        </is>
      </c>
    </row>
    <row r="447" ht="18" customHeight="1">
      <c r="A447" s="42" t="inlineStr">
        <is>
          <t>IF(F447="","",ROW()-3)</t>
        </is>
      </c>
      <c r="B447" s="44" t="n"/>
      <c r="C447" s="44" t="n"/>
      <c r="D447" s="44" t="n"/>
      <c r="E447" s="44" t="n"/>
      <c r="F447" s="44" t="n"/>
      <c r="G447" s="44" t="n"/>
      <c r="H447" s="44" t="n"/>
      <c r="I447" s="44" t="n"/>
      <c r="J447" s="44" t="n"/>
      <c r="K447" s="44" t="n"/>
      <c r="L447" s="44" t="n"/>
      <c r="M447" s="44" t="n"/>
      <c r="N447" s="44" t="n"/>
      <c r="O447" s="44" t="n"/>
      <c r="P447" s="44" t="n"/>
      <c r="Q447" s="44" t="n"/>
      <c r="R447" s="44" t="n"/>
      <c r="S447" s="45" t="n"/>
      <c r="T447" s="46" t="inlineStr">
        <is>
          <t>IF(AQ447="","",AQ447)</t>
        </is>
      </c>
      <c r="U447" s="47" t="n"/>
      <c r="V447" s="48" t="n"/>
      <c r="W447" s="47" t="n"/>
      <c r="X447" s="46" t="inlineStr">
        <is>
          <t>IF(W447&lt;&gt;"",W447,IF(OR(T447="",V447=""),"",EDATE(T447,V447)))</t>
        </is>
      </c>
      <c r="Y447" s="47" t="n"/>
      <c r="Z447" s="48" t="n"/>
      <c r="AA447" s="44" t="n"/>
      <c r="AB447" s="44" t="n"/>
      <c r="AC447" s="42" t="inlineStr">
        <is>
          <t>IF(F447="","",IF(COUNT(AI447:AV447)=0,IF(AA447="","Not started",AA447),SUBSTITUTE(LOOKUP(2,1/(AI447:AV447&lt;&gt;""),$AI$3:$AV$3),"Date: ","")))</t>
        </is>
      </c>
      <c r="AD447" s="49" t="inlineStr">
        <is>
          <t>IF(OR(F447="",COUNT(AI447:AV447)=0),"",TODAY()-LOOKUP(2,1/(AI447:AV447&lt;&gt;""),AI447:AV447))</t>
        </is>
      </c>
      <c r="AE447" s="49" t="inlineStr">
        <is>
          <t>IF(OR(F447="",COUNT(AI447:AV447)&lt;2),"",LOOKUP(2,1/(AI447:AV447&lt;&gt;""),AI447:AV447)-MIN(AI447:AV447))</t>
        </is>
      </c>
      <c r="AF447" s="49" t="inlineStr">
        <is>
          <t>IF(OR(AD447="",AC447="Not started",AC447=""),"",IFERROR(AD447-IF(VLOOKUP(AC447,'06_Status_Pipeline'!$B$3:$E$20,4,FALSE)="",0,VLOOKUP(AC447,'06_Status_Pipeline'!$B$3:$E$20,4,FALSE)),""))</t>
        </is>
      </c>
      <c r="AG447" s="42" t="inlineStr">
        <is>
          <t>IF(F447="","",IF(OR(AA447="Cancelled",AC447="Cancelled"),"Cancelled",IF(OR(AC447="Completed / Handover",Y447&lt;&gt;"",Z447&gt;=100),"Completed — on track",IF(O447="Not awarded",IF(U447="",IF(X447="","No planned date",IF(TODAY()&gt;X447,"Behind — past planned date",IF(X447-TODAY()&lt;=30,"At risk — close to off track","On track"))),IF(TODAY()&gt;U447,"Behind — award date passed",IF(U447-TODAY()&lt;=30,"At risk — close to off track","On track"))),IF(X447="","No planned date",IF(AND(TODAY()&gt;X447,OR(Z447="",Z447&lt;100)),"Behind — past end date",IF(AND(T447&lt;&gt;"",X447&lt;&gt;"",Z447&lt;&gt;"",(Z447&lt;100),((TODAY()-T447)/MAX(X447-T447,1)*100)-Z447&gt;15),"Behind — progress lag",IF(AND(X447-TODAY()&lt;=30,X447-TODAY()&gt;=0,OR(Z447="",Z447&lt;90)),"At risk — close to off track","On track"))))))))</t>
        </is>
      </c>
      <c r="AH447" s="49" t="inlineStr">
        <is>
          <t>IF(OR(F447="",AC447="Completed / Handover",AC447="Cancelled"),"",IF(O447="Not awarded",IF(U447&lt;&gt;"",U447-TODAY(),IF(X447="","",X447-TODAY())),IF(X447="","",X447-TODAY())))</t>
        </is>
      </c>
      <c r="AI447" s="47" t="n"/>
      <c r="AJ447" s="47" t="n"/>
      <c r="AK447" s="47" t="n"/>
      <c r="AL447" s="47" t="n"/>
      <c r="AM447" s="47" t="n"/>
      <c r="AN447" s="47" t="n"/>
      <c r="AO447" s="47" t="n"/>
      <c r="AP447" s="47" t="n"/>
      <c r="AQ447" s="47" t="n"/>
      <c r="AR447" s="47" t="n"/>
      <c r="AS447" s="47" t="n"/>
      <c r="AT447" s="50" t="n"/>
      <c r="AU447" s="50" t="n"/>
      <c r="AV447" s="50" t="n"/>
      <c r="AW447" s="49" t="inlineStr">
        <is>
          <t>IF(OR(F447="",AJ447=""),"",IF(COUNT(AI447:AI447)=0,"",AJ447-LOOKUP(2,1/(AI447:AI447&lt;&gt;""),AI447:AI447)))</t>
        </is>
      </c>
      <c r="AX447" s="49" t="inlineStr">
        <is>
          <t>IF(OR(F447="",AK447=""),"",IF(COUNT(AI447:AJ447)=0,"",AK447-LOOKUP(2,1/(AI447:AJ447&lt;&gt;""),AI447:AJ447)))</t>
        </is>
      </c>
      <c r="AY447" s="49" t="inlineStr">
        <is>
          <t>IF(OR(F447="",AL447=""),"",IF(COUNT(AI447:AK447)=0,"",AL447-LOOKUP(2,1/(AI447:AK447&lt;&gt;""),AI447:AK447)))</t>
        </is>
      </c>
      <c r="AZ447" s="49" t="inlineStr">
        <is>
          <t>IF(OR(F447="",AM447=""),"",IF(COUNT(AI447:AL447)=0,"",AM447-LOOKUP(2,1/(AI447:AL447&lt;&gt;""),AI447:AL447)))</t>
        </is>
      </c>
      <c r="BA447" s="49" t="inlineStr">
        <is>
          <t>IF(OR(F447="",AN447=""),"",IF(COUNT(AI447:AM447)=0,"",AN447-LOOKUP(2,1/(AI447:AM447&lt;&gt;""),AI447:AM447)))</t>
        </is>
      </c>
      <c r="BB447" s="49" t="inlineStr">
        <is>
          <t>IF(OR(F447="",AO447=""),"",IF(COUNT(AI447:AN447)=0,"",AO447-LOOKUP(2,1/(AI447:AN447&lt;&gt;""),AI447:AN447)))</t>
        </is>
      </c>
      <c r="BC447" s="49" t="inlineStr">
        <is>
          <t>IF(OR(F447="",AP447=""),"",IF(COUNT(AI447:AO447)=0,"",AP447-LOOKUP(2,1/(AI447:AO447&lt;&gt;""),AI447:AO447)))</t>
        </is>
      </c>
      <c r="BD447" s="49" t="inlineStr">
        <is>
          <t>IF(OR(F447="",AQ447=""),"",IF(COUNT(AI447:AP447)=0,"",AQ447-LOOKUP(2,1/(AI447:AP447&lt;&gt;""),AI447:AP447)))</t>
        </is>
      </c>
      <c r="BE447" s="49" t="inlineStr">
        <is>
          <t>IF(OR(F447="",AR447=""),"",IF(COUNT(AI447:AQ447)=0,"",AR447-LOOKUP(2,1/(AI447:AQ447&lt;&gt;""),AI447:AQ447)))</t>
        </is>
      </c>
      <c r="BF447" s="49" t="inlineStr">
        <is>
          <t>IF(OR(F447="",AS447=""),"",IF(COUNT(AI447:AR447)=0,"",AS447-LOOKUP(2,1/(AI447:AR447&lt;&gt;""),AI447:AR447)))</t>
        </is>
      </c>
      <c r="BG447" s="49" t="inlineStr">
        <is>
          <t>IF(OR(F447="",AT447=""),"",IF(COUNT(AI447:AS447)=0,"",AT447-LOOKUP(2,1/(AI447:AS447&lt;&gt;""),AI447:AS447)))</t>
        </is>
      </c>
      <c r="BH447" s="49" t="inlineStr">
        <is>
          <t>IF(OR(F447="",AU447=""),"",IF(COUNT(AI447:AT447)=0,"",AU447-LOOKUP(2,1/(AI447:AT447&lt;&gt;""),AI447:AT447)))</t>
        </is>
      </c>
      <c r="BI447" s="49" t="inlineStr">
        <is>
          <t>IF(OR(F447="",AV447=""),"",IF(COUNT(AI447:AU447)=0,"",AV447-LOOKUP(2,1/(AI447:AU447&lt;&gt;""),AI447:AU447)))</t>
        </is>
      </c>
      <c r="BJ447" s="51" t="inlineStr">
        <is>
          <t>IF(J447="","All_Provinces",IFERROR(VLOOKUP(J447,'09_Lookups'!$A$4:$B$20,2,FALSE),"All_Provinces"))</t>
        </is>
      </c>
      <c r="BK447" s="51" t="inlineStr">
        <is>
          <t>IF(K447="","All_Districts",IFERROR(VLOOKUP(K447,'09_Lookups'!$E$4:$F$42,2,FALSE),"All_Districts"))</t>
        </is>
      </c>
    </row>
    <row r="448" ht="18" customHeight="1">
      <c r="A448" s="42" t="inlineStr">
        <is>
          <t>IF(F448="","",ROW()-3)</t>
        </is>
      </c>
      <c r="B448" s="52" t="n"/>
      <c r="C448" s="52" t="n"/>
      <c r="D448" s="52" t="n"/>
      <c r="E448" s="52" t="n"/>
      <c r="F448" s="52" t="n"/>
      <c r="G448" s="52" t="n"/>
      <c r="H448" s="52" t="n"/>
      <c r="I448" s="52" t="n"/>
      <c r="J448" s="52" t="n"/>
      <c r="K448" s="52" t="n"/>
      <c r="L448" s="52" t="n"/>
      <c r="M448" s="52" t="n"/>
      <c r="N448" s="52" t="n"/>
      <c r="O448" s="52" t="n"/>
      <c r="P448" s="52" t="n"/>
      <c r="Q448" s="52" t="n"/>
      <c r="R448" s="52" t="n"/>
      <c r="S448" s="53" t="n"/>
      <c r="T448" s="46" t="inlineStr">
        <is>
          <t>IF(AQ448="","",AQ448)</t>
        </is>
      </c>
      <c r="U448" s="54" t="n"/>
      <c r="V448" s="55" t="n"/>
      <c r="W448" s="54" t="n"/>
      <c r="X448" s="46" t="inlineStr">
        <is>
          <t>IF(W448&lt;&gt;"",W448,IF(OR(T448="",V448=""),"",EDATE(T448,V448)))</t>
        </is>
      </c>
      <c r="Y448" s="54" t="n"/>
      <c r="Z448" s="55" t="n"/>
      <c r="AA448" s="52" t="n"/>
      <c r="AB448" s="52" t="n"/>
      <c r="AC448" s="42" t="inlineStr">
        <is>
          <t>IF(F448="","",IF(COUNT(AI448:AV448)=0,IF(AA448="","Not started",AA448),SUBSTITUTE(LOOKUP(2,1/(AI448:AV448&lt;&gt;""),$AI$3:$AV$3),"Date: ","")))</t>
        </is>
      </c>
      <c r="AD448" s="49" t="inlineStr">
        <is>
          <t>IF(OR(F448="",COUNT(AI448:AV448)=0),"",TODAY()-LOOKUP(2,1/(AI448:AV448&lt;&gt;""),AI448:AV448))</t>
        </is>
      </c>
      <c r="AE448" s="49" t="inlineStr">
        <is>
          <t>IF(OR(F448="",COUNT(AI448:AV448)&lt;2),"",LOOKUP(2,1/(AI448:AV448&lt;&gt;""),AI448:AV448)-MIN(AI448:AV448))</t>
        </is>
      </c>
      <c r="AF448" s="49" t="inlineStr">
        <is>
          <t>IF(OR(AD448="",AC448="Not started",AC448=""),"",IFERROR(AD448-IF(VLOOKUP(AC448,'06_Status_Pipeline'!$B$3:$E$20,4,FALSE)="",0,VLOOKUP(AC448,'06_Status_Pipeline'!$B$3:$E$20,4,FALSE)),""))</t>
        </is>
      </c>
      <c r="AG448" s="42" t="inlineStr">
        <is>
          <t>IF(F448="","",IF(OR(AA448="Cancelled",AC448="Cancelled"),"Cancelled",IF(OR(AC448="Completed / Handover",Y448&lt;&gt;"",Z448&gt;=100),"Completed — on track",IF(O448="Not awarded",IF(U448="",IF(X448="","No planned date",IF(TODAY()&gt;X448,"Behind — past planned date",IF(X448-TODAY()&lt;=30,"At risk — close to off track","On track"))),IF(TODAY()&gt;U448,"Behind — award date passed",IF(U448-TODAY()&lt;=30,"At risk — close to off track","On track"))),IF(X448="","No planned date",IF(AND(TODAY()&gt;X448,OR(Z448="",Z448&lt;100)),"Behind — past end date",IF(AND(T448&lt;&gt;"",X448&lt;&gt;"",Z448&lt;&gt;"",(Z448&lt;100),((TODAY()-T448)/MAX(X448-T448,1)*100)-Z448&gt;15),"Behind — progress lag",IF(AND(X448-TODAY()&lt;=30,X448-TODAY()&gt;=0,OR(Z448="",Z448&lt;90)),"At risk — close to off track","On track"))))))))</t>
        </is>
      </c>
      <c r="AH448" s="49" t="inlineStr">
        <is>
          <t>IF(OR(F448="",AC448="Completed / Handover",AC448="Cancelled"),"",IF(O448="Not awarded",IF(U448&lt;&gt;"",U448-TODAY(),IF(X448="","",X448-TODAY())),IF(X448="","",X448-TODAY())))</t>
        </is>
      </c>
      <c r="AI448" s="54" t="n"/>
      <c r="AJ448" s="54" t="n"/>
      <c r="AK448" s="54" t="n"/>
      <c r="AL448" s="54" t="n"/>
      <c r="AM448" s="54" t="n"/>
      <c r="AN448" s="54" t="n"/>
      <c r="AO448" s="54" t="n"/>
      <c r="AP448" s="54" t="n"/>
      <c r="AQ448" s="54" t="n"/>
      <c r="AR448" s="54" t="n"/>
      <c r="AS448" s="54" t="n"/>
      <c r="AT448" s="50" t="n"/>
      <c r="AU448" s="50" t="n"/>
      <c r="AV448" s="50" t="n"/>
      <c r="AW448" s="49" t="inlineStr">
        <is>
          <t>IF(OR(F448="",AJ448=""),"",IF(COUNT(AI448:AI448)=0,"",AJ448-LOOKUP(2,1/(AI448:AI448&lt;&gt;""),AI448:AI448)))</t>
        </is>
      </c>
      <c r="AX448" s="49" t="inlineStr">
        <is>
          <t>IF(OR(F448="",AK448=""),"",IF(COUNT(AI448:AJ448)=0,"",AK448-LOOKUP(2,1/(AI448:AJ448&lt;&gt;""),AI448:AJ448)))</t>
        </is>
      </c>
      <c r="AY448" s="49" t="inlineStr">
        <is>
          <t>IF(OR(F448="",AL448=""),"",IF(COUNT(AI448:AK448)=0,"",AL448-LOOKUP(2,1/(AI448:AK448&lt;&gt;""),AI448:AK448)))</t>
        </is>
      </c>
      <c r="AZ448" s="49" t="inlineStr">
        <is>
          <t>IF(OR(F448="",AM448=""),"",IF(COUNT(AI448:AL448)=0,"",AM448-LOOKUP(2,1/(AI448:AL448&lt;&gt;""),AI448:AL448)))</t>
        </is>
      </c>
      <c r="BA448" s="49" t="inlineStr">
        <is>
          <t>IF(OR(F448="",AN448=""),"",IF(COUNT(AI448:AM448)=0,"",AN448-LOOKUP(2,1/(AI448:AM448&lt;&gt;""),AI448:AM448)))</t>
        </is>
      </c>
      <c r="BB448" s="49" t="inlineStr">
        <is>
          <t>IF(OR(F448="",AO448=""),"",IF(COUNT(AI448:AN448)=0,"",AO448-LOOKUP(2,1/(AI448:AN448&lt;&gt;""),AI448:AN448)))</t>
        </is>
      </c>
      <c r="BC448" s="49" t="inlineStr">
        <is>
          <t>IF(OR(F448="",AP448=""),"",IF(COUNT(AI448:AO448)=0,"",AP448-LOOKUP(2,1/(AI448:AO448&lt;&gt;""),AI448:AO448)))</t>
        </is>
      </c>
      <c r="BD448" s="49" t="inlineStr">
        <is>
          <t>IF(OR(F448="",AQ448=""),"",IF(COUNT(AI448:AP448)=0,"",AQ448-LOOKUP(2,1/(AI448:AP448&lt;&gt;""),AI448:AP448)))</t>
        </is>
      </c>
      <c r="BE448" s="49" t="inlineStr">
        <is>
          <t>IF(OR(F448="",AR448=""),"",IF(COUNT(AI448:AQ448)=0,"",AR448-LOOKUP(2,1/(AI448:AQ448&lt;&gt;""),AI448:AQ448)))</t>
        </is>
      </c>
      <c r="BF448" s="49" t="inlineStr">
        <is>
          <t>IF(OR(F448="",AS448=""),"",IF(COUNT(AI448:AR448)=0,"",AS448-LOOKUP(2,1/(AI448:AR448&lt;&gt;""),AI448:AR448)))</t>
        </is>
      </c>
      <c r="BG448" s="49" t="inlineStr">
        <is>
          <t>IF(OR(F448="",AT448=""),"",IF(COUNT(AI448:AS448)=0,"",AT448-LOOKUP(2,1/(AI448:AS448&lt;&gt;""),AI448:AS448)))</t>
        </is>
      </c>
      <c r="BH448" s="49" t="inlineStr">
        <is>
          <t>IF(OR(F448="",AU448=""),"",IF(COUNT(AI448:AT448)=0,"",AU448-LOOKUP(2,1/(AI448:AT448&lt;&gt;""),AI448:AT448)))</t>
        </is>
      </c>
      <c r="BI448" s="49" t="inlineStr">
        <is>
          <t>IF(OR(F448="",AV448=""),"",IF(COUNT(AI448:AU448)=0,"",AV448-LOOKUP(2,1/(AI448:AU448&lt;&gt;""),AI448:AU448)))</t>
        </is>
      </c>
      <c r="BJ448" s="51" t="inlineStr">
        <is>
          <t>IF(J448="","All_Provinces",IFERROR(VLOOKUP(J448,'09_Lookups'!$A$4:$B$20,2,FALSE),"All_Provinces"))</t>
        </is>
      </c>
      <c r="BK448" s="51" t="inlineStr">
        <is>
          <t>IF(K448="","All_Districts",IFERROR(VLOOKUP(K448,'09_Lookups'!$E$4:$F$42,2,FALSE),"All_Districts"))</t>
        </is>
      </c>
    </row>
    <row r="449" ht="18" customHeight="1">
      <c r="A449" s="42" t="inlineStr">
        <is>
          <t>IF(F449="","",ROW()-3)</t>
        </is>
      </c>
      <c r="B449" s="44" t="n"/>
      <c r="C449" s="44" t="n"/>
      <c r="D449" s="44" t="n"/>
      <c r="E449" s="44" t="n"/>
      <c r="F449" s="44" t="n"/>
      <c r="G449" s="44" t="n"/>
      <c r="H449" s="44" t="n"/>
      <c r="I449" s="44" t="n"/>
      <c r="J449" s="44" t="n"/>
      <c r="K449" s="44" t="n"/>
      <c r="L449" s="44" t="n"/>
      <c r="M449" s="44" t="n"/>
      <c r="N449" s="44" t="n"/>
      <c r="O449" s="44" t="n"/>
      <c r="P449" s="44" t="n"/>
      <c r="Q449" s="44" t="n"/>
      <c r="R449" s="44" t="n"/>
      <c r="S449" s="45" t="n"/>
      <c r="T449" s="46" t="inlineStr">
        <is>
          <t>IF(AQ449="","",AQ449)</t>
        </is>
      </c>
      <c r="U449" s="47" t="n"/>
      <c r="V449" s="48" t="n"/>
      <c r="W449" s="47" t="n"/>
      <c r="X449" s="46" t="inlineStr">
        <is>
          <t>IF(W449&lt;&gt;"",W449,IF(OR(T449="",V449=""),"",EDATE(T449,V449)))</t>
        </is>
      </c>
      <c r="Y449" s="47" t="n"/>
      <c r="Z449" s="48" t="n"/>
      <c r="AA449" s="44" t="n"/>
      <c r="AB449" s="44" t="n"/>
      <c r="AC449" s="42" t="inlineStr">
        <is>
          <t>IF(F449="","",IF(COUNT(AI449:AV449)=0,IF(AA449="","Not started",AA449),SUBSTITUTE(LOOKUP(2,1/(AI449:AV449&lt;&gt;""),$AI$3:$AV$3),"Date: ","")))</t>
        </is>
      </c>
      <c r="AD449" s="49" t="inlineStr">
        <is>
          <t>IF(OR(F449="",COUNT(AI449:AV449)=0),"",TODAY()-LOOKUP(2,1/(AI449:AV449&lt;&gt;""),AI449:AV449))</t>
        </is>
      </c>
      <c r="AE449" s="49" t="inlineStr">
        <is>
          <t>IF(OR(F449="",COUNT(AI449:AV449)&lt;2),"",LOOKUP(2,1/(AI449:AV449&lt;&gt;""),AI449:AV449)-MIN(AI449:AV449))</t>
        </is>
      </c>
      <c r="AF449" s="49" t="inlineStr">
        <is>
          <t>IF(OR(AD449="",AC449="Not started",AC449=""),"",IFERROR(AD449-IF(VLOOKUP(AC449,'06_Status_Pipeline'!$B$3:$E$20,4,FALSE)="",0,VLOOKUP(AC449,'06_Status_Pipeline'!$B$3:$E$20,4,FALSE)),""))</t>
        </is>
      </c>
      <c r="AG449" s="42" t="inlineStr">
        <is>
          <t>IF(F449="","",IF(OR(AA449="Cancelled",AC449="Cancelled"),"Cancelled",IF(OR(AC449="Completed / Handover",Y449&lt;&gt;"",Z449&gt;=100),"Completed — on track",IF(O449="Not awarded",IF(U449="",IF(X449="","No planned date",IF(TODAY()&gt;X449,"Behind — past planned date",IF(X449-TODAY()&lt;=30,"At risk — close to off track","On track"))),IF(TODAY()&gt;U449,"Behind — award date passed",IF(U449-TODAY()&lt;=30,"At risk — close to off track","On track"))),IF(X449="","No planned date",IF(AND(TODAY()&gt;X449,OR(Z449="",Z449&lt;100)),"Behind — past end date",IF(AND(T449&lt;&gt;"",X449&lt;&gt;"",Z449&lt;&gt;"",(Z449&lt;100),((TODAY()-T449)/MAX(X449-T449,1)*100)-Z449&gt;15),"Behind — progress lag",IF(AND(X449-TODAY()&lt;=30,X449-TODAY()&gt;=0,OR(Z449="",Z449&lt;90)),"At risk — close to off track","On track"))))))))</t>
        </is>
      </c>
      <c r="AH449" s="49" t="inlineStr">
        <is>
          <t>IF(OR(F449="",AC449="Completed / Handover",AC449="Cancelled"),"",IF(O449="Not awarded",IF(U449&lt;&gt;"",U449-TODAY(),IF(X449="","",X449-TODAY())),IF(X449="","",X449-TODAY())))</t>
        </is>
      </c>
      <c r="AI449" s="47" t="n"/>
      <c r="AJ449" s="47" t="n"/>
      <c r="AK449" s="47" t="n"/>
      <c r="AL449" s="47" t="n"/>
      <c r="AM449" s="47" t="n"/>
      <c r="AN449" s="47" t="n"/>
      <c r="AO449" s="47" t="n"/>
      <c r="AP449" s="47" t="n"/>
      <c r="AQ449" s="47" t="n"/>
      <c r="AR449" s="47" t="n"/>
      <c r="AS449" s="47" t="n"/>
      <c r="AT449" s="50" t="n"/>
      <c r="AU449" s="50" t="n"/>
      <c r="AV449" s="50" t="n"/>
      <c r="AW449" s="49" t="inlineStr">
        <is>
          <t>IF(OR(F449="",AJ449=""),"",IF(COUNT(AI449:AI449)=0,"",AJ449-LOOKUP(2,1/(AI449:AI449&lt;&gt;""),AI449:AI449)))</t>
        </is>
      </c>
      <c r="AX449" s="49" t="inlineStr">
        <is>
          <t>IF(OR(F449="",AK449=""),"",IF(COUNT(AI449:AJ449)=0,"",AK449-LOOKUP(2,1/(AI449:AJ449&lt;&gt;""),AI449:AJ449)))</t>
        </is>
      </c>
      <c r="AY449" s="49" t="inlineStr">
        <is>
          <t>IF(OR(F449="",AL449=""),"",IF(COUNT(AI449:AK449)=0,"",AL449-LOOKUP(2,1/(AI449:AK449&lt;&gt;""),AI449:AK449)))</t>
        </is>
      </c>
      <c r="AZ449" s="49" t="inlineStr">
        <is>
          <t>IF(OR(F449="",AM449=""),"",IF(COUNT(AI449:AL449)=0,"",AM449-LOOKUP(2,1/(AI449:AL449&lt;&gt;""),AI449:AL449)))</t>
        </is>
      </c>
      <c r="BA449" s="49" t="inlineStr">
        <is>
          <t>IF(OR(F449="",AN449=""),"",IF(COUNT(AI449:AM449)=0,"",AN449-LOOKUP(2,1/(AI449:AM449&lt;&gt;""),AI449:AM449)))</t>
        </is>
      </c>
      <c r="BB449" s="49" t="inlineStr">
        <is>
          <t>IF(OR(F449="",AO449=""),"",IF(COUNT(AI449:AN449)=0,"",AO449-LOOKUP(2,1/(AI449:AN449&lt;&gt;""),AI449:AN449)))</t>
        </is>
      </c>
      <c r="BC449" s="49" t="inlineStr">
        <is>
          <t>IF(OR(F449="",AP449=""),"",IF(COUNT(AI449:AO449)=0,"",AP449-LOOKUP(2,1/(AI449:AO449&lt;&gt;""),AI449:AO449)))</t>
        </is>
      </c>
      <c r="BD449" s="49" t="inlineStr">
        <is>
          <t>IF(OR(F449="",AQ449=""),"",IF(COUNT(AI449:AP449)=0,"",AQ449-LOOKUP(2,1/(AI449:AP449&lt;&gt;""),AI449:AP449)))</t>
        </is>
      </c>
      <c r="BE449" s="49" t="inlineStr">
        <is>
          <t>IF(OR(F449="",AR449=""),"",IF(COUNT(AI449:AQ449)=0,"",AR449-LOOKUP(2,1/(AI449:AQ449&lt;&gt;""),AI449:AQ449)))</t>
        </is>
      </c>
      <c r="BF449" s="49" t="inlineStr">
        <is>
          <t>IF(OR(F449="",AS449=""),"",IF(COUNT(AI449:AR449)=0,"",AS449-LOOKUP(2,1/(AI449:AR449&lt;&gt;""),AI449:AR449)))</t>
        </is>
      </c>
      <c r="BG449" s="49" t="inlineStr">
        <is>
          <t>IF(OR(F449="",AT449=""),"",IF(COUNT(AI449:AS449)=0,"",AT449-LOOKUP(2,1/(AI449:AS449&lt;&gt;""),AI449:AS449)))</t>
        </is>
      </c>
      <c r="BH449" s="49" t="inlineStr">
        <is>
          <t>IF(OR(F449="",AU449=""),"",IF(COUNT(AI449:AT449)=0,"",AU449-LOOKUP(2,1/(AI449:AT449&lt;&gt;""),AI449:AT449)))</t>
        </is>
      </c>
      <c r="BI449" s="49" t="inlineStr">
        <is>
          <t>IF(OR(F449="",AV449=""),"",IF(COUNT(AI449:AU449)=0,"",AV449-LOOKUP(2,1/(AI449:AU449&lt;&gt;""),AI449:AU449)))</t>
        </is>
      </c>
      <c r="BJ449" s="51" t="inlineStr">
        <is>
          <t>IF(J449="","All_Provinces",IFERROR(VLOOKUP(J449,'09_Lookups'!$A$4:$B$20,2,FALSE),"All_Provinces"))</t>
        </is>
      </c>
      <c r="BK449" s="51" t="inlineStr">
        <is>
          <t>IF(K449="","All_Districts",IFERROR(VLOOKUP(K449,'09_Lookups'!$E$4:$F$42,2,FALSE),"All_Districts"))</t>
        </is>
      </c>
    </row>
    <row r="450" ht="18" customHeight="1">
      <c r="A450" s="42" t="inlineStr">
        <is>
          <t>IF(F450="","",ROW()-3)</t>
        </is>
      </c>
      <c r="B450" s="52" t="n"/>
      <c r="C450" s="52" t="n"/>
      <c r="D450" s="52" t="n"/>
      <c r="E450" s="52" t="n"/>
      <c r="F450" s="52" t="n"/>
      <c r="G450" s="52" t="n"/>
      <c r="H450" s="52" t="n"/>
      <c r="I450" s="52" t="n"/>
      <c r="J450" s="52" t="n"/>
      <c r="K450" s="52" t="n"/>
      <c r="L450" s="52" t="n"/>
      <c r="M450" s="52" t="n"/>
      <c r="N450" s="52" t="n"/>
      <c r="O450" s="52" t="n"/>
      <c r="P450" s="52" t="n"/>
      <c r="Q450" s="52" t="n"/>
      <c r="R450" s="52" t="n"/>
      <c r="S450" s="53" t="n"/>
      <c r="T450" s="46" t="inlineStr">
        <is>
          <t>IF(AQ450="","",AQ450)</t>
        </is>
      </c>
      <c r="U450" s="54" t="n"/>
      <c r="V450" s="55" t="n"/>
      <c r="W450" s="54" t="n"/>
      <c r="X450" s="46" t="inlineStr">
        <is>
          <t>IF(W450&lt;&gt;"",W450,IF(OR(T450="",V450=""),"",EDATE(T450,V450)))</t>
        </is>
      </c>
      <c r="Y450" s="54" t="n"/>
      <c r="Z450" s="55" t="n"/>
      <c r="AA450" s="52" t="n"/>
      <c r="AB450" s="52" t="n"/>
      <c r="AC450" s="42" t="inlineStr">
        <is>
          <t>IF(F450="","",IF(COUNT(AI450:AV450)=0,IF(AA450="","Not started",AA450),SUBSTITUTE(LOOKUP(2,1/(AI450:AV450&lt;&gt;""),$AI$3:$AV$3),"Date: ","")))</t>
        </is>
      </c>
      <c r="AD450" s="49" t="inlineStr">
        <is>
          <t>IF(OR(F450="",COUNT(AI450:AV450)=0),"",TODAY()-LOOKUP(2,1/(AI450:AV450&lt;&gt;""),AI450:AV450))</t>
        </is>
      </c>
      <c r="AE450" s="49" t="inlineStr">
        <is>
          <t>IF(OR(F450="",COUNT(AI450:AV450)&lt;2),"",LOOKUP(2,1/(AI450:AV450&lt;&gt;""),AI450:AV450)-MIN(AI450:AV450))</t>
        </is>
      </c>
      <c r="AF450" s="49" t="inlineStr">
        <is>
          <t>IF(OR(AD450="",AC450="Not started",AC450=""),"",IFERROR(AD450-IF(VLOOKUP(AC450,'06_Status_Pipeline'!$B$3:$E$20,4,FALSE)="",0,VLOOKUP(AC450,'06_Status_Pipeline'!$B$3:$E$20,4,FALSE)),""))</t>
        </is>
      </c>
      <c r="AG450" s="42" t="inlineStr">
        <is>
          <t>IF(F450="","",IF(OR(AA450="Cancelled",AC450="Cancelled"),"Cancelled",IF(OR(AC450="Completed / Handover",Y450&lt;&gt;"",Z450&gt;=100),"Completed — on track",IF(O450="Not awarded",IF(U450="",IF(X450="","No planned date",IF(TODAY()&gt;X450,"Behind — past planned date",IF(X450-TODAY()&lt;=30,"At risk — close to off track","On track"))),IF(TODAY()&gt;U450,"Behind — award date passed",IF(U450-TODAY()&lt;=30,"At risk — close to off track","On track"))),IF(X450="","No planned date",IF(AND(TODAY()&gt;X450,OR(Z450="",Z450&lt;100)),"Behind — past end date",IF(AND(T450&lt;&gt;"",X450&lt;&gt;"",Z450&lt;&gt;"",(Z450&lt;100),((TODAY()-T450)/MAX(X450-T450,1)*100)-Z450&gt;15),"Behind — progress lag",IF(AND(X450-TODAY()&lt;=30,X450-TODAY()&gt;=0,OR(Z450="",Z450&lt;90)),"At risk — close to off track","On track"))))))))</t>
        </is>
      </c>
      <c r="AH450" s="49" t="inlineStr">
        <is>
          <t>IF(OR(F450="",AC450="Completed / Handover",AC450="Cancelled"),"",IF(O450="Not awarded",IF(U450&lt;&gt;"",U450-TODAY(),IF(X450="","",X450-TODAY())),IF(X450="","",X450-TODAY())))</t>
        </is>
      </c>
      <c r="AI450" s="54" t="n"/>
      <c r="AJ450" s="54" t="n"/>
      <c r="AK450" s="54" t="n"/>
      <c r="AL450" s="54" t="n"/>
      <c r="AM450" s="54" t="n"/>
      <c r="AN450" s="54" t="n"/>
      <c r="AO450" s="54" t="n"/>
      <c r="AP450" s="54" t="n"/>
      <c r="AQ450" s="54" t="n"/>
      <c r="AR450" s="54" t="n"/>
      <c r="AS450" s="54" t="n"/>
      <c r="AT450" s="50" t="n"/>
      <c r="AU450" s="50" t="n"/>
      <c r="AV450" s="50" t="n"/>
      <c r="AW450" s="49" t="inlineStr">
        <is>
          <t>IF(OR(F450="",AJ450=""),"",IF(COUNT(AI450:AI450)=0,"",AJ450-LOOKUP(2,1/(AI450:AI450&lt;&gt;""),AI450:AI450)))</t>
        </is>
      </c>
      <c r="AX450" s="49" t="inlineStr">
        <is>
          <t>IF(OR(F450="",AK450=""),"",IF(COUNT(AI450:AJ450)=0,"",AK450-LOOKUP(2,1/(AI450:AJ450&lt;&gt;""),AI450:AJ450)))</t>
        </is>
      </c>
      <c r="AY450" s="49" t="inlineStr">
        <is>
          <t>IF(OR(F450="",AL450=""),"",IF(COUNT(AI450:AK450)=0,"",AL450-LOOKUP(2,1/(AI450:AK450&lt;&gt;""),AI450:AK450)))</t>
        </is>
      </c>
      <c r="AZ450" s="49" t="inlineStr">
        <is>
          <t>IF(OR(F450="",AM450=""),"",IF(COUNT(AI450:AL450)=0,"",AM450-LOOKUP(2,1/(AI450:AL450&lt;&gt;""),AI450:AL450)))</t>
        </is>
      </c>
      <c r="BA450" s="49" t="inlineStr">
        <is>
          <t>IF(OR(F450="",AN450=""),"",IF(COUNT(AI450:AM450)=0,"",AN450-LOOKUP(2,1/(AI450:AM450&lt;&gt;""),AI450:AM450)))</t>
        </is>
      </c>
      <c r="BB450" s="49" t="inlineStr">
        <is>
          <t>IF(OR(F450="",AO450=""),"",IF(COUNT(AI450:AN450)=0,"",AO450-LOOKUP(2,1/(AI450:AN450&lt;&gt;""),AI450:AN450)))</t>
        </is>
      </c>
      <c r="BC450" s="49" t="inlineStr">
        <is>
          <t>IF(OR(F450="",AP450=""),"",IF(COUNT(AI450:AO450)=0,"",AP450-LOOKUP(2,1/(AI450:AO450&lt;&gt;""),AI450:AO450)))</t>
        </is>
      </c>
      <c r="BD450" s="49" t="inlineStr">
        <is>
          <t>IF(OR(F450="",AQ450=""),"",IF(COUNT(AI450:AP450)=0,"",AQ450-LOOKUP(2,1/(AI450:AP450&lt;&gt;""),AI450:AP450)))</t>
        </is>
      </c>
      <c r="BE450" s="49" t="inlineStr">
        <is>
          <t>IF(OR(F450="",AR450=""),"",IF(COUNT(AI450:AQ450)=0,"",AR450-LOOKUP(2,1/(AI450:AQ450&lt;&gt;""),AI450:AQ450)))</t>
        </is>
      </c>
      <c r="BF450" s="49" t="inlineStr">
        <is>
          <t>IF(OR(F450="",AS450=""),"",IF(COUNT(AI450:AR450)=0,"",AS450-LOOKUP(2,1/(AI450:AR450&lt;&gt;""),AI450:AR450)))</t>
        </is>
      </c>
      <c r="BG450" s="49" t="inlineStr">
        <is>
          <t>IF(OR(F450="",AT450=""),"",IF(COUNT(AI450:AS450)=0,"",AT450-LOOKUP(2,1/(AI450:AS450&lt;&gt;""),AI450:AS450)))</t>
        </is>
      </c>
      <c r="BH450" s="49" t="inlineStr">
        <is>
          <t>IF(OR(F450="",AU450=""),"",IF(COUNT(AI450:AT450)=0,"",AU450-LOOKUP(2,1/(AI450:AT450&lt;&gt;""),AI450:AT450)))</t>
        </is>
      </c>
      <c r="BI450" s="49" t="inlineStr">
        <is>
          <t>IF(OR(F450="",AV450=""),"",IF(COUNT(AI450:AU450)=0,"",AV450-LOOKUP(2,1/(AI450:AU450&lt;&gt;""),AI450:AU450)))</t>
        </is>
      </c>
      <c r="BJ450" s="51" t="inlineStr">
        <is>
          <t>IF(J450="","All_Provinces",IFERROR(VLOOKUP(J450,'09_Lookups'!$A$4:$B$20,2,FALSE),"All_Provinces"))</t>
        </is>
      </c>
      <c r="BK450" s="51" t="inlineStr">
        <is>
          <t>IF(K450="","All_Districts",IFERROR(VLOOKUP(K450,'09_Lookups'!$E$4:$F$42,2,FALSE),"All_Districts"))</t>
        </is>
      </c>
    </row>
    <row r="451" ht="18" customHeight="1">
      <c r="A451" s="42" t="inlineStr">
        <is>
          <t>IF(F451="","",ROW()-3)</t>
        </is>
      </c>
      <c r="B451" s="44" t="n"/>
      <c r="C451" s="44" t="n"/>
      <c r="D451" s="44" t="n"/>
      <c r="E451" s="44" t="n"/>
      <c r="F451" s="44" t="n"/>
      <c r="G451" s="44" t="n"/>
      <c r="H451" s="44" t="n"/>
      <c r="I451" s="44" t="n"/>
      <c r="J451" s="44" t="n"/>
      <c r="K451" s="44" t="n"/>
      <c r="L451" s="44" t="n"/>
      <c r="M451" s="44" t="n"/>
      <c r="N451" s="44" t="n"/>
      <c r="O451" s="44" t="n"/>
      <c r="P451" s="44" t="n"/>
      <c r="Q451" s="44" t="n"/>
      <c r="R451" s="44" t="n"/>
      <c r="S451" s="45" t="n"/>
      <c r="T451" s="46" t="inlineStr">
        <is>
          <t>IF(AQ451="","",AQ451)</t>
        </is>
      </c>
      <c r="U451" s="47" t="n"/>
      <c r="V451" s="48" t="n"/>
      <c r="W451" s="47" t="n"/>
      <c r="X451" s="46" t="inlineStr">
        <is>
          <t>IF(W451&lt;&gt;"",W451,IF(OR(T451="",V451=""),"",EDATE(T451,V451)))</t>
        </is>
      </c>
      <c r="Y451" s="47" t="n"/>
      <c r="Z451" s="48" t="n"/>
      <c r="AA451" s="44" t="n"/>
      <c r="AB451" s="44" t="n"/>
      <c r="AC451" s="42" t="inlineStr">
        <is>
          <t>IF(F451="","",IF(COUNT(AI451:AV451)=0,IF(AA451="","Not started",AA451),SUBSTITUTE(LOOKUP(2,1/(AI451:AV451&lt;&gt;""),$AI$3:$AV$3),"Date: ","")))</t>
        </is>
      </c>
      <c r="AD451" s="49" t="inlineStr">
        <is>
          <t>IF(OR(F451="",COUNT(AI451:AV451)=0),"",TODAY()-LOOKUP(2,1/(AI451:AV451&lt;&gt;""),AI451:AV451))</t>
        </is>
      </c>
      <c r="AE451" s="49" t="inlineStr">
        <is>
          <t>IF(OR(F451="",COUNT(AI451:AV451)&lt;2),"",LOOKUP(2,1/(AI451:AV451&lt;&gt;""),AI451:AV451)-MIN(AI451:AV451))</t>
        </is>
      </c>
      <c r="AF451" s="49" t="inlineStr">
        <is>
          <t>IF(OR(AD451="",AC451="Not started",AC451=""),"",IFERROR(AD451-IF(VLOOKUP(AC451,'06_Status_Pipeline'!$B$3:$E$20,4,FALSE)="",0,VLOOKUP(AC451,'06_Status_Pipeline'!$B$3:$E$20,4,FALSE)),""))</t>
        </is>
      </c>
      <c r="AG451" s="42" t="inlineStr">
        <is>
          <t>IF(F451="","",IF(OR(AA451="Cancelled",AC451="Cancelled"),"Cancelled",IF(OR(AC451="Completed / Handover",Y451&lt;&gt;"",Z451&gt;=100),"Completed — on track",IF(O451="Not awarded",IF(U451="",IF(X451="","No planned date",IF(TODAY()&gt;X451,"Behind — past planned date",IF(X451-TODAY()&lt;=30,"At risk — close to off track","On track"))),IF(TODAY()&gt;U451,"Behind — award date passed",IF(U451-TODAY()&lt;=30,"At risk — close to off track","On track"))),IF(X451="","No planned date",IF(AND(TODAY()&gt;X451,OR(Z451="",Z451&lt;100)),"Behind — past end date",IF(AND(T451&lt;&gt;"",X451&lt;&gt;"",Z451&lt;&gt;"",(Z451&lt;100),((TODAY()-T451)/MAX(X451-T451,1)*100)-Z451&gt;15),"Behind — progress lag",IF(AND(X451-TODAY()&lt;=30,X451-TODAY()&gt;=0,OR(Z451="",Z451&lt;90)),"At risk — close to off track","On track"))))))))</t>
        </is>
      </c>
      <c r="AH451" s="49" t="inlineStr">
        <is>
          <t>IF(OR(F451="",AC451="Completed / Handover",AC451="Cancelled"),"",IF(O451="Not awarded",IF(U451&lt;&gt;"",U451-TODAY(),IF(X451="","",X451-TODAY())),IF(X451="","",X451-TODAY())))</t>
        </is>
      </c>
      <c r="AI451" s="47" t="n"/>
      <c r="AJ451" s="47" t="n"/>
      <c r="AK451" s="47" t="n"/>
      <c r="AL451" s="47" t="n"/>
      <c r="AM451" s="47" t="n"/>
      <c r="AN451" s="47" t="n"/>
      <c r="AO451" s="47" t="n"/>
      <c r="AP451" s="47" t="n"/>
      <c r="AQ451" s="47" t="n"/>
      <c r="AR451" s="47" t="n"/>
      <c r="AS451" s="47" t="n"/>
      <c r="AT451" s="50" t="n"/>
      <c r="AU451" s="50" t="n"/>
      <c r="AV451" s="50" t="n"/>
      <c r="AW451" s="49" t="inlineStr">
        <is>
          <t>IF(OR(F451="",AJ451=""),"",IF(COUNT(AI451:AI451)=0,"",AJ451-LOOKUP(2,1/(AI451:AI451&lt;&gt;""),AI451:AI451)))</t>
        </is>
      </c>
      <c r="AX451" s="49" t="inlineStr">
        <is>
          <t>IF(OR(F451="",AK451=""),"",IF(COUNT(AI451:AJ451)=0,"",AK451-LOOKUP(2,1/(AI451:AJ451&lt;&gt;""),AI451:AJ451)))</t>
        </is>
      </c>
      <c r="AY451" s="49" t="inlineStr">
        <is>
          <t>IF(OR(F451="",AL451=""),"",IF(COUNT(AI451:AK451)=0,"",AL451-LOOKUP(2,1/(AI451:AK451&lt;&gt;""),AI451:AK451)))</t>
        </is>
      </c>
      <c r="AZ451" s="49" t="inlineStr">
        <is>
          <t>IF(OR(F451="",AM451=""),"",IF(COUNT(AI451:AL451)=0,"",AM451-LOOKUP(2,1/(AI451:AL451&lt;&gt;""),AI451:AL451)))</t>
        </is>
      </c>
      <c r="BA451" s="49" t="inlineStr">
        <is>
          <t>IF(OR(F451="",AN451=""),"",IF(COUNT(AI451:AM451)=0,"",AN451-LOOKUP(2,1/(AI451:AM451&lt;&gt;""),AI451:AM451)))</t>
        </is>
      </c>
      <c r="BB451" s="49" t="inlineStr">
        <is>
          <t>IF(OR(F451="",AO451=""),"",IF(COUNT(AI451:AN451)=0,"",AO451-LOOKUP(2,1/(AI451:AN451&lt;&gt;""),AI451:AN451)))</t>
        </is>
      </c>
      <c r="BC451" s="49" t="inlineStr">
        <is>
          <t>IF(OR(F451="",AP451=""),"",IF(COUNT(AI451:AO451)=0,"",AP451-LOOKUP(2,1/(AI451:AO451&lt;&gt;""),AI451:AO451)))</t>
        </is>
      </c>
      <c r="BD451" s="49" t="inlineStr">
        <is>
          <t>IF(OR(F451="",AQ451=""),"",IF(COUNT(AI451:AP451)=0,"",AQ451-LOOKUP(2,1/(AI451:AP451&lt;&gt;""),AI451:AP451)))</t>
        </is>
      </c>
      <c r="BE451" s="49" t="inlineStr">
        <is>
          <t>IF(OR(F451="",AR451=""),"",IF(COUNT(AI451:AQ451)=0,"",AR451-LOOKUP(2,1/(AI451:AQ451&lt;&gt;""),AI451:AQ451)))</t>
        </is>
      </c>
      <c r="BF451" s="49" t="inlineStr">
        <is>
          <t>IF(OR(F451="",AS451=""),"",IF(COUNT(AI451:AR451)=0,"",AS451-LOOKUP(2,1/(AI451:AR451&lt;&gt;""),AI451:AR451)))</t>
        </is>
      </c>
      <c r="BG451" s="49" t="inlineStr">
        <is>
          <t>IF(OR(F451="",AT451=""),"",IF(COUNT(AI451:AS451)=0,"",AT451-LOOKUP(2,1/(AI451:AS451&lt;&gt;""),AI451:AS451)))</t>
        </is>
      </c>
      <c r="BH451" s="49" t="inlineStr">
        <is>
          <t>IF(OR(F451="",AU451=""),"",IF(COUNT(AI451:AT451)=0,"",AU451-LOOKUP(2,1/(AI451:AT451&lt;&gt;""),AI451:AT451)))</t>
        </is>
      </c>
      <c r="BI451" s="49" t="inlineStr">
        <is>
          <t>IF(OR(F451="",AV451=""),"",IF(COUNT(AI451:AU451)=0,"",AV451-LOOKUP(2,1/(AI451:AU451&lt;&gt;""),AI451:AU451)))</t>
        </is>
      </c>
      <c r="BJ451" s="51" t="inlineStr">
        <is>
          <t>IF(J451="","All_Provinces",IFERROR(VLOOKUP(J451,'09_Lookups'!$A$4:$B$20,2,FALSE),"All_Provinces"))</t>
        </is>
      </c>
      <c r="BK451" s="51" t="inlineStr">
        <is>
          <t>IF(K451="","All_Districts",IFERROR(VLOOKUP(K451,'09_Lookups'!$E$4:$F$42,2,FALSE),"All_Districts"))</t>
        </is>
      </c>
    </row>
    <row r="452" ht="18" customHeight="1">
      <c r="A452" s="42" t="inlineStr">
        <is>
          <t>IF(F452="","",ROW()-3)</t>
        </is>
      </c>
      <c r="B452" s="52" t="n"/>
      <c r="C452" s="52" t="n"/>
      <c r="D452" s="52" t="n"/>
      <c r="E452" s="52" t="n"/>
      <c r="F452" s="52" t="n"/>
      <c r="G452" s="52" t="n"/>
      <c r="H452" s="52" t="n"/>
      <c r="I452" s="52" t="n"/>
      <c r="J452" s="52" t="n"/>
      <c r="K452" s="52" t="n"/>
      <c r="L452" s="52" t="n"/>
      <c r="M452" s="52" t="n"/>
      <c r="N452" s="52" t="n"/>
      <c r="O452" s="52" t="n"/>
      <c r="P452" s="52" t="n"/>
      <c r="Q452" s="52" t="n"/>
      <c r="R452" s="52" t="n"/>
      <c r="S452" s="53" t="n"/>
      <c r="T452" s="46" t="inlineStr">
        <is>
          <t>IF(AQ452="","",AQ452)</t>
        </is>
      </c>
      <c r="U452" s="54" t="n"/>
      <c r="V452" s="55" t="n"/>
      <c r="W452" s="54" t="n"/>
      <c r="X452" s="46" t="inlineStr">
        <is>
          <t>IF(W452&lt;&gt;"",W452,IF(OR(T452="",V452=""),"",EDATE(T452,V452)))</t>
        </is>
      </c>
      <c r="Y452" s="54" t="n"/>
      <c r="Z452" s="55" t="n"/>
      <c r="AA452" s="52" t="n"/>
      <c r="AB452" s="52" t="n"/>
      <c r="AC452" s="42" t="inlineStr">
        <is>
          <t>IF(F452="","",IF(COUNT(AI452:AV452)=0,IF(AA452="","Not started",AA452),SUBSTITUTE(LOOKUP(2,1/(AI452:AV452&lt;&gt;""),$AI$3:$AV$3),"Date: ","")))</t>
        </is>
      </c>
      <c r="AD452" s="49" t="inlineStr">
        <is>
          <t>IF(OR(F452="",COUNT(AI452:AV452)=0),"",TODAY()-LOOKUP(2,1/(AI452:AV452&lt;&gt;""),AI452:AV452))</t>
        </is>
      </c>
      <c r="AE452" s="49" t="inlineStr">
        <is>
          <t>IF(OR(F452="",COUNT(AI452:AV452)&lt;2),"",LOOKUP(2,1/(AI452:AV452&lt;&gt;""),AI452:AV452)-MIN(AI452:AV452))</t>
        </is>
      </c>
      <c r="AF452" s="49" t="inlineStr">
        <is>
          <t>IF(OR(AD452="",AC452="Not started",AC452=""),"",IFERROR(AD452-IF(VLOOKUP(AC452,'06_Status_Pipeline'!$B$3:$E$20,4,FALSE)="",0,VLOOKUP(AC452,'06_Status_Pipeline'!$B$3:$E$20,4,FALSE)),""))</t>
        </is>
      </c>
      <c r="AG452" s="42" t="inlineStr">
        <is>
          <t>IF(F452="","",IF(OR(AA452="Cancelled",AC452="Cancelled"),"Cancelled",IF(OR(AC452="Completed / Handover",Y452&lt;&gt;"",Z452&gt;=100),"Completed — on track",IF(O452="Not awarded",IF(U452="",IF(X452="","No planned date",IF(TODAY()&gt;X452,"Behind — past planned date",IF(X452-TODAY()&lt;=30,"At risk — close to off track","On track"))),IF(TODAY()&gt;U452,"Behind — award date passed",IF(U452-TODAY()&lt;=30,"At risk — close to off track","On track"))),IF(X452="","No planned date",IF(AND(TODAY()&gt;X452,OR(Z452="",Z452&lt;100)),"Behind — past end date",IF(AND(T452&lt;&gt;"",X452&lt;&gt;"",Z452&lt;&gt;"",(Z452&lt;100),((TODAY()-T452)/MAX(X452-T452,1)*100)-Z452&gt;15),"Behind — progress lag",IF(AND(X452-TODAY()&lt;=30,X452-TODAY()&gt;=0,OR(Z452="",Z452&lt;90)),"At risk — close to off track","On track"))))))))</t>
        </is>
      </c>
      <c r="AH452" s="49" t="inlineStr">
        <is>
          <t>IF(OR(F452="",AC452="Completed / Handover",AC452="Cancelled"),"",IF(O452="Not awarded",IF(U452&lt;&gt;"",U452-TODAY(),IF(X452="","",X452-TODAY())),IF(X452="","",X452-TODAY())))</t>
        </is>
      </c>
      <c r="AI452" s="54" t="n"/>
      <c r="AJ452" s="54" t="n"/>
      <c r="AK452" s="54" t="n"/>
      <c r="AL452" s="54" t="n"/>
      <c r="AM452" s="54" t="n"/>
      <c r="AN452" s="54" t="n"/>
      <c r="AO452" s="54" t="n"/>
      <c r="AP452" s="54" t="n"/>
      <c r="AQ452" s="54" t="n"/>
      <c r="AR452" s="54" t="n"/>
      <c r="AS452" s="54" t="n"/>
      <c r="AT452" s="50" t="n"/>
      <c r="AU452" s="50" t="n"/>
      <c r="AV452" s="50" t="n"/>
      <c r="AW452" s="49" t="inlineStr">
        <is>
          <t>IF(OR(F452="",AJ452=""),"",IF(COUNT(AI452:AI452)=0,"",AJ452-LOOKUP(2,1/(AI452:AI452&lt;&gt;""),AI452:AI452)))</t>
        </is>
      </c>
      <c r="AX452" s="49" t="inlineStr">
        <is>
          <t>IF(OR(F452="",AK452=""),"",IF(COUNT(AI452:AJ452)=0,"",AK452-LOOKUP(2,1/(AI452:AJ452&lt;&gt;""),AI452:AJ452)))</t>
        </is>
      </c>
      <c r="AY452" s="49" t="inlineStr">
        <is>
          <t>IF(OR(F452="",AL452=""),"",IF(COUNT(AI452:AK452)=0,"",AL452-LOOKUP(2,1/(AI452:AK452&lt;&gt;""),AI452:AK452)))</t>
        </is>
      </c>
      <c r="AZ452" s="49" t="inlineStr">
        <is>
          <t>IF(OR(F452="",AM452=""),"",IF(COUNT(AI452:AL452)=0,"",AM452-LOOKUP(2,1/(AI452:AL452&lt;&gt;""),AI452:AL452)))</t>
        </is>
      </c>
      <c r="BA452" s="49" t="inlineStr">
        <is>
          <t>IF(OR(F452="",AN452=""),"",IF(COUNT(AI452:AM452)=0,"",AN452-LOOKUP(2,1/(AI452:AM452&lt;&gt;""),AI452:AM452)))</t>
        </is>
      </c>
      <c r="BB452" s="49" t="inlineStr">
        <is>
          <t>IF(OR(F452="",AO452=""),"",IF(COUNT(AI452:AN452)=0,"",AO452-LOOKUP(2,1/(AI452:AN452&lt;&gt;""),AI452:AN452)))</t>
        </is>
      </c>
      <c r="BC452" s="49" t="inlineStr">
        <is>
          <t>IF(OR(F452="",AP452=""),"",IF(COUNT(AI452:AO452)=0,"",AP452-LOOKUP(2,1/(AI452:AO452&lt;&gt;""),AI452:AO452)))</t>
        </is>
      </c>
      <c r="BD452" s="49" t="inlineStr">
        <is>
          <t>IF(OR(F452="",AQ452=""),"",IF(COUNT(AI452:AP452)=0,"",AQ452-LOOKUP(2,1/(AI452:AP452&lt;&gt;""),AI452:AP452)))</t>
        </is>
      </c>
      <c r="BE452" s="49" t="inlineStr">
        <is>
          <t>IF(OR(F452="",AR452=""),"",IF(COUNT(AI452:AQ452)=0,"",AR452-LOOKUP(2,1/(AI452:AQ452&lt;&gt;""),AI452:AQ452)))</t>
        </is>
      </c>
      <c r="BF452" s="49" t="inlineStr">
        <is>
          <t>IF(OR(F452="",AS452=""),"",IF(COUNT(AI452:AR452)=0,"",AS452-LOOKUP(2,1/(AI452:AR452&lt;&gt;""),AI452:AR452)))</t>
        </is>
      </c>
      <c r="BG452" s="49" t="inlineStr">
        <is>
          <t>IF(OR(F452="",AT452=""),"",IF(COUNT(AI452:AS452)=0,"",AT452-LOOKUP(2,1/(AI452:AS452&lt;&gt;""),AI452:AS452)))</t>
        </is>
      </c>
      <c r="BH452" s="49" t="inlineStr">
        <is>
          <t>IF(OR(F452="",AU452=""),"",IF(COUNT(AI452:AT452)=0,"",AU452-LOOKUP(2,1/(AI452:AT452&lt;&gt;""),AI452:AT452)))</t>
        </is>
      </c>
      <c r="BI452" s="49" t="inlineStr">
        <is>
          <t>IF(OR(F452="",AV452=""),"",IF(COUNT(AI452:AU452)=0,"",AV452-LOOKUP(2,1/(AI452:AU452&lt;&gt;""),AI452:AU452)))</t>
        </is>
      </c>
      <c r="BJ452" s="51" t="inlineStr">
        <is>
          <t>IF(J452="","All_Provinces",IFERROR(VLOOKUP(J452,'09_Lookups'!$A$4:$B$20,2,FALSE),"All_Provinces"))</t>
        </is>
      </c>
      <c r="BK452" s="51" t="inlineStr">
        <is>
          <t>IF(K452="","All_Districts",IFERROR(VLOOKUP(K452,'09_Lookups'!$E$4:$F$42,2,FALSE),"All_Districts"))</t>
        </is>
      </c>
    </row>
    <row r="453" ht="18" customHeight="1">
      <c r="A453" s="42" t="inlineStr">
        <is>
          <t>IF(F453="","",ROW()-3)</t>
        </is>
      </c>
      <c r="B453" s="44" t="n"/>
      <c r="C453" s="44" t="n"/>
      <c r="D453" s="44" t="n"/>
      <c r="E453" s="44" t="n"/>
      <c r="F453" s="44" t="n"/>
      <c r="G453" s="44" t="n"/>
      <c r="H453" s="44" t="n"/>
      <c r="I453" s="44" t="n"/>
      <c r="J453" s="44" t="n"/>
      <c r="K453" s="44" t="n"/>
      <c r="L453" s="44" t="n"/>
      <c r="M453" s="44" t="n"/>
      <c r="N453" s="44" t="n"/>
      <c r="O453" s="44" t="n"/>
      <c r="P453" s="44" t="n"/>
      <c r="Q453" s="44" t="n"/>
      <c r="R453" s="44" t="n"/>
      <c r="S453" s="45" t="n"/>
      <c r="T453" s="46" t="inlineStr">
        <is>
          <t>IF(AQ453="","",AQ453)</t>
        </is>
      </c>
      <c r="U453" s="47" t="n"/>
      <c r="V453" s="48" t="n"/>
      <c r="W453" s="47" t="n"/>
      <c r="X453" s="46" t="inlineStr">
        <is>
          <t>IF(W453&lt;&gt;"",W453,IF(OR(T453="",V453=""),"",EDATE(T453,V453)))</t>
        </is>
      </c>
      <c r="Y453" s="47" t="n"/>
      <c r="Z453" s="48" t="n"/>
      <c r="AA453" s="44" t="n"/>
      <c r="AB453" s="44" t="n"/>
      <c r="AC453" s="42" t="inlineStr">
        <is>
          <t>IF(F453="","",IF(COUNT(AI453:AV453)=0,IF(AA453="","Not started",AA453),SUBSTITUTE(LOOKUP(2,1/(AI453:AV453&lt;&gt;""),$AI$3:$AV$3),"Date: ","")))</t>
        </is>
      </c>
      <c r="AD453" s="49" t="inlineStr">
        <is>
          <t>IF(OR(F453="",COUNT(AI453:AV453)=0),"",TODAY()-LOOKUP(2,1/(AI453:AV453&lt;&gt;""),AI453:AV453))</t>
        </is>
      </c>
      <c r="AE453" s="49" t="inlineStr">
        <is>
          <t>IF(OR(F453="",COUNT(AI453:AV453)&lt;2),"",LOOKUP(2,1/(AI453:AV453&lt;&gt;""),AI453:AV453)-MIN(AI453:AV453))</t>
        </is>
      </c>
      <c r="AF453" s="49" t="inlineStr">
        <is>
          <t>IF(OR(AD453="",AC453="Not started",AC453=""),"",IFERROR(AD453-IF(VLOOKUP(AC453,'06_Status_Pipeline'!$B$3:$E$20,4,FALSE)="",0,VLOOKUP(AC453,'06_Status_Pipeline'!$B$3:$E$20,4,FALSE)),""))</t>
        </is>
      </c>
      <c r="AG453" s="42" t="inlineStr">
        <is>
          <t>IF(F453="","",IF(OR(AA453="Cancelled",AC453="Cancelled"),"Cancelled",IF(OR(AC453="Completed / Handover",Y453&lt;&gt;"",Z453&gt;=100),"Completed — on track",IF(O453="Not awarded",IF(U453="",IF(X453="","No planned date",IF(TODAY()&gt;X453,"Behind — past planned date",IF(X453-TODAY()&lt;=30,"At risk — close to off track","On track"))),IF(TODAY()&gt;U453,"Behind — award date passed",IF(U453-TODAY()&lt;=30,"At risk — close to off track","On track"))),IF(X453="","No planned date",IF(AND(TODAY()&gt;X453,OR(Z453="",Z453&lt;100)),"Behind — past end date",IF(AND(T453&lt;&gt;"",X453&lt;&gt;"",Z453&lt;&gt;"",(Z453&lt;100),((TODAY()-T453)/MAX(X453-T453,1)*100)-Z453&gt;15),"Behind — progress lag",IF(AND(X453-TODAY()&lt;=30,X453-TODAY()&gt;=0,OR(Z453="",Z453&lt;90)),"At risk — close to off track","On track"))))))))</t>
        </is>
      </c>
      <c r="AH453" s="49" t="inlineStr">
        <is>
          <t>IF(OR(F453="",AC453="Completed / Handover",AC453="Cancelled"),"",IF(O453="Not awarded",IF(U453&lt;&gt;"",U453-TODAY(),IF(X453="","",X453-TODAY())),IF(X453="","",X453-TODAY())))</t>
        </is>
      </c>
      <c r="AI453" s="47" t="n"/>
      <c r="AJ453" s="47" t="n"/>
      <c r="AK453" s="47" t="n"/>
      <c r="AL453" s="47" t="n"/>
      <c r="AM453" s="47" t="n"/>
      <c r="AN453" s="47" t="n"/>
      <c r="AO453" s="47" t="n"/>
      <c r="AP453" s="47" t="n"/>
      <c r="AQ453" s="47" t="n"/>
      <c r="AR453" s="47" t="n"/>
      <c r="AS453" s="47" t="n"/>
      <c r="AT453" s="50" t="n"/>
      <c r="AU453" s="50" t="n"/>
      <c r="AV453" s="50" t="n"/>
      <c r="AW453" s="49" t="inlineStr">
        <is>
          <t>IF(OR(F453="",AJ453=""),"",IF(COUNT(AI453:AI453)=0,"",AJ453-LOOKUP(2,1/(AI453:AI453&lt;&gt;""),AI453:AI453)))</t>
        </is>
      </c>
      <c r="AX453" s="49" t="inlineStr">
        <is>
          <t>IF(OR(F453="",AK453=""),"",IF(COUNT(AI453:AJ453)=0,"",AK453-LOOKUP(2,1/(AI453:AJ453&lt;&gt;""),AI453:AJ453)))</t>
        </is>
      </c>
      <c r="AY453" s="49" t="inlineStr">
        <is>
          <t>IF(OR(F453="",AL453=""),"",IF(COUNT(AI453:AK453)=0,"",AL453-LOOKUP(2,1/(AI453:AK453&lt;&gt;""),AI453:AK453)))</t>
        </is>
      </c>
      <c r="AZ453" s="49" t="inlineStr">
        <is>
          <t>IF(OR(F453="",AM453=""),"",IF(COUNT(AI453:AL453)=0,"",AM453-LOOKUP(2,1/(AI453:AL453&lt;&gt;""),AI453:AL453)))</t>
        </is>
      </c>
      <c r="BA453" s="49" t="inlineStr">
        <is>
          <t>IF(OR(F453="",AN453=""),"",IF(COUNT(AI453:AM453)=0,"",AN453-LOOKUP(2,1/(AI453:AM453&lt;&gt;""),AI453:AM453)))</t>
        </is>
      </c>
      <c r="BB453" s="49" t="inlineStr">
        <is>
          <t>IF(OR(F453="",AO453=""),"",IF(COUNT(AI453:AN453)=0,"",AO453-LOOKUP(2,1/(AI453:AN453&lt;&gt;""),AI453:AN453)))</t>
        </is>
      </c>
      <c r="BC453" s="49" t="inlineStr">
        <is>
          <t>IF(OR(F453="",AP453=""),"",IF(COUNT(AI453:AO453)=0,"",AP453-LOOKUP(2,1/(AI453:AO453&lt;&gt;""),AI453:AO453)))</t>
        </is>
      </c>
      <c r="BD453" s="49" t="inlineStr">
        <is>
          <t>IF(OR(F453="",AQ453=""),"",IF(COUNT(AI453:AP453)=0,"",AQ453-LOOKUP(2,1/(AI453:AP453&lt;&gt;""),AI453:AP453)))</t>
        </is>
      </c>
      <c r="BE453" s="49" t="inlineStr">
        <is>
          <t>IF(OR(F453="",AR453=""),"",IF(COUNT(AI453:AQ453)=0,"",AR453-LOOKUP(2,1/(AI453:AQ453&lt;&gt;""),AI453:AQ453)))</t>
        </is>
      </c>
      <c r="BF453" s="49" t="inlineStr">
        <is>
          <t>IF(OR(F453="",AS453=""),"",IF(COUNT(AI453:AR453)=0,"",AS453-LOOKUP(2,1/(AI453:AR453&lt;&gt;""),AI453:AR453)))</t>
        </is>
      </c>
      <c r="BG453" s="49" t="inlineStr">
        <is>
          <t>IF(OR(F453="",AT453=""),"",IF(COUNT(AI453:AS453)=0,"",AT453-LOOKUP(2,1/(AI453:AS453&lt;&gt;""),AI453:AS453)))</t>
        </is>
      </c>
      <c r="BH453" s="49" t="inlineStr">
        <is>
          <t>IF(OR(F453="",AU453=""),"",IF(COUNT(AI453:AT453)=0,"",AU453-LOOKUP(2,1/(AI453:AT453&lt;&gt;""),AI453:AT453)))</t>
        </is>
      </c>
      <c r="BI453" s="49" t="inlineStr">
        <is>
          <t>IF(OR(F453="",AV453=""),"",IF(COUNT(AI453:AU453)=0,"",AV453-LOOKUP(2,1/(AI453:AU453&lt;&gt;""),AI453:AU453)))</t>
        </is>
      </c>
      <c r="BJ453" s="51" t="inlineStr">
        <is>
          <t>IF(J453="","All_Provinces",IFERROR(VLOOKUP(J453,'09_Lookups'!$A$4:$B$20,2,FALSE),"All_Provinces"))</t>
        </is>
      </c>
      <c r="BK453" s="51" t="inlineStr">
        <is>
          <t>IF(K453="","All_Districts",IFERROR(VLOOKUP(K453,'09_Lookups'!$E$4:$F$42,2,FALSE),"All_Districts"))</t>
        </is>
      </c>
    </row>
  </sheetData>
  <autoFilter ref="A3:BI453"/>
  <mergeCells count="6">
    <mergeCell ref="Q2:AB2"/>
    <mergeCell ref="AC2:AH2"/>
    <mergeCell ref="A1:BK1"/>
    <mergeCell ref="AI2:AV2"/>
    <mergeCell ref="AW2:BI2"/>
    <mergeCell ref="A2:P2"/>
  </mergeCells>
  <conditionalFormatting sqref="AC4:AC453">
    <cfRule type="cellIs" priority="1" operator="equal" dxfId="0">
      <formula>"Under Design"</formula>
    </cfRule>
    <cfRule type="cellIs" priority="2" operator="equal" dxfId="1">
      <formula>"Under Review of WRI"</formula>
    </cfRule>
    <cfRule type="cellIs" priority="3" operator="equal" dxfId="2">
      <formula>"Under LTO Review"</formula>
    </cfRule>
    <cfRule type="cellIs" priority="4" operator="equal" dxfId="3">
      <formula>"PR to be Raised"</formula>
    </cfRule>
    <cfRule type="cellIs" priority="5" operator="equal" dxfId="4">
      <formula>"ITB Launched"</formula>
    </cfRule>
    <cfRule type="cellIs" priority="6" operator="equal" dxfId="4">
      <formula>"Retendered (Re-ITB)"</formula>
    </cfRule>
    <cfRule type="cellIs" priority="7" operator="equal" dxfId="5">
      <formula>"Under Technical Evaluation"</formula>
    </cfRule>
    <cfRule type="cellIs" priority="8" operator="equal" dxfId="6">
      <formula>"Under Awarding"</formula>
    </cfRule>
    <cfRule type="cellIs" priority="9" operator="equal" dxfId="7">
      <formula>"Awarded"</formula>
    </cfRule>
    <cfRule type="cellIs" priority="10" operator="equal" dxfId="8">
      <formula>"Under Construction"</formula>
    </cfRule>
    <cfRule type="cellIs" priority="11" operator="equal" dxfId="9">
      <formula>"Completed / Handover"</formula>
    </cfRule>
    <cfRule type="cellIs" priority="12" operator="equal" dxfId="10">
      <formula>"Cancelled"</formula>
    </cfRule>
    <cfRule type="cellIs" priority="13" operator="equal" dxfId="11">
      <formula>"Not started"</formula>
    </cfRule>
  </conditionalFormatting>
  <conditionalFormatting sqref="AD4:AD453">
    <cfRule type="cellIs" priority="14" operator="greaterThan" dxfId="12">
      <formula>30</formula>
    </cfRule>
  </conditionalFormatting>
  <conditionalFormatting sqref="AF4:AF453">
    <cfRule type="cellIs" priority="15" operator="greaterThan" dxfId="13">
      <formula>0</formula>
    </cfRule>
  </conditionalFormatting>
  <conditionalFormatting sqref="Z4:Z453">
    <cfRule type="dataBar" priority="16">
      <dataBar showValue="1">
        <cfvo type="num" val="0"/>
        <cfvo type="num" val="100"/>
        <color rgb="003D5A3D"/>
      </dataBar>
    </cfRule>
  </conditionalFormatting>
  <conditionalFormatting sqref="AG4:AG453">
    <cfRule type="cellIs" priority="17" operator="equal" dxfId="14">
      <formula>"On track"</formula>
    </cfRule>
    <cfRule type="cellIs" priority="18" operator="equal" dxfId="14">
      <formula>"Completed — on track"</formula>
    </cfRule>
    <cfRule type="cellIs" priority="19" operator="equal" dxfId="15">
      <formula>"At risk — close to off track"</formula>
    </cfRule>
    <cfRule type="cellIs" priority="20" operator="equal" dxfId="16">
      <formula>"Behind — past end date"</formula>
    </cfRule>
    <cfRule type="cellIs" priority="21" operator="equal" dxfId="16">
      <formula>"Behind — past planned date"</formula>
    </cfRule>
    <cfRule type="cellIs" priority="22" operator="equal" dxfId="16">
      <formula>"Behind — award date passed"</formula>
    </cfRule>
    <cfRule type="cellIs" priority="23" operator="equal" dxfId="16">
      <formula>"Behind — progress lag"</formula>
    </cfRule>
    <cfRule type="cellIs" priority="24" operator="equal" dxfId="10">
      <formula>"Cancelled"</formula>
    </cfRule>
  </conditionalFormatting>
  <conditionalFormatting sqref="AH4:AH453">
    <cfRule type="cellIs" priority="25" operator="lessThan" dxfId="16">
      <formula>0</formula>
    </cfRule>
    <cfRule type="cellIs" priority="26" operator="between" dxfId="15">
      <formula>0</formula>
      <formula>30</formula>
    </cfRule>
    <cfRule type="cellIs" priority="27" operator="greaterThan" dxfId="14">
      <formula>30</formula>
    </cfRule>
  </conditionalFormatting>
  <conditionalFormatting sqref="AW4:BI453">
    <cfRule type="cellIs" priority="28" operator="lessThan" dxfId="13">
      <formula>0</formula>
    </cfRule>
  </conditionalFormatting>
  <dataValidations count="13">
    <dataValidation sqref="I4:I453" showDropDown="0" showInputMessage="0" showErrorMessage="1" allowBlank="1" errorTitle="Not in list" error="Choose a value from the list, or add it on the Domains / Geography sheet first." type="list">
      <formula1>=Projects</formula1>
    </dataValidation>
    <dataValidation sqref="H4:H453" showDropDown="0" showInputMessage="0" showErrorMessage="1" allowBlank="1" errorTitle="Not in list" error="Choose a value from the list, or add it on the Domains / Geography sheet first." type="list">
      <formula1>=Interventions</formula1>
    </dataValidation>
    <dataValidation sqref="J4:J453" showDropDown="0" showInputMessage="0" showErrorMessage="1" allowBlank="1" errorTitle="Not in list" error="Choose a value from the list, or add it on the Domains / Geography sheet first." type="list">
      <formula1>=Regions</formula1>
    </dataValidation>
    <dataValidation sqref="N4:N453" showDropDown="0" showInputMessage="0" showErrorMessage="1" allowBlank="1" errorTitle="Not in list" error="Choose a value from the list, or add it on the Domains / Geography sheet first." type="list">
      <formula1>=Donors</formula1>
    </dataValidation>
    <dataValidation sqref="AA4:AA453" showDropDown="0" showInputMessage="0" showErrorMessage="1" allowBlank="1" errorTitle="Not in list" error="Choose a value from the list, or add it on the Domains / Geography sheet first." type="list">
      <formula1>=Statuses</formula1>
    </dataValidation>
    <dataValidation sqref="O4:O453" showDropDown="0" showInputMessage="0" showErrorMessage="1" allowBlank="1" errorTitle="Not in list" error="Choose a value from the list, or add it on the Domains / Geography sheet first." type="list">
      <formula1>=AwardGroups</formula1>
    </dataValidation>
    <dataValidation sqref="G4:G453" showDropDown="0" showInputMessage="0" showErrorMessage="1" allowBlank="1" errorTitle="Not in list" error="Choose a value from the list, or add it on the Domains / Geography sheet first." type="list">
      <formula1>=Families</formula1>
    </dataValidation>
    <dataValidation sqref="Q4:Q453" showDropDown="0" showInputMessage="0" showErrorMessage="1" allowBlank="1" errorTitle="Not in list" error="Choose a value from the list, or add it on the Domains / Geography sheet first." type="list">
      <formula1>=Contractors</formula1>
    </dataValidation>
    <dataValidation sqref="K4:K453" showDropDown="0" showInputMessage="0" showErrorMessage="1" allowBlank="1" errorTitle="Not in list" error="Choose a value from the list, or add it on the Domains / Geography sheet first." type="list">
      <formula1>=All_Provinces</formula1>
    </dataValidation>
    <dataValidation sqref="L4:L453" showDropDown="0" showInputMessage="0" showErrorMessage="1" allowBlank="1" errorTitle="Not in list" error="Choose a value from the list, or add it on the Domains / Geography sheet first." type="list">
      <formula1>=All_Districts</formula1>
    </dataValidation>
    <dataValidation sqref="T4:T453 U4:U453 W4:W453 Y4:Y453 AI4:AV453" showDropDown="0" showInputMessage="0" showErrorMessage="1" allowBlank="1" errorTitle="Date required" error="Enter a calendar date (for example 15-Mar-2026)." type="date" operator="greaterThanOrEqual">
      <formula1>=DATE(2018,1,1)</formula1>
    </dataValidation>
    <dataValidation sqref="Z4:Z453" showDropDown="0" showInputMessage="0" showErrorMessage="1" allowBlank="1" errorTitle="0-100" error="Physical progress must be between 0 and 100." type="decimal" operator="between">
      <formula1>0</formula1>
      <formula2>100</formula2>
    </dataValidation>
    <dataValidation sqref="V4:V453" showDropDown="0" showInputMessage="0" showErrorMessage="1" allowBlank="1" errorTitle="Months" error="Enter contract duration in months (for example 5)." type="decimal" operator="greaterThanOrEqual">
      <formula1>0</formula1>
    </dataValidation>
  </dataValidations>
  <pageMargins left="0.75" right="0.75" top="1" bottom="1" header="0.5" footer="0.5"/>
  <pageSetup orientation="landscape" paperSize="3" fitToHeight="0" fitToWidth="1"/>
  <headerFooter>
    <oddHeader/>
    <oddFooter>&amp;LEXAMPLE ONLY — two worked schemes so you can see day counts. Do not use for reporting.&amp;RPage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E5984"/>
    <outlinePr summaryBelow="1" summaryRight="1"/>
    <pageSetUpPr/>
  </sheetPr>
  <dimension ref="A1:F16"/>
  <sheetViews>
    <sheetView showGridLines="0" workbookViewId="0">
      <pane ySplit="2" topLeftCell="A3" activePane="bottomLeft" state="frozen"/>
      <selection pane="bottomLeft" activeCell="A1" sqref="A1"/>
    </sheetView>
  </sheetViews>
  <sheetFormatPr baseColWidth="8" defaultRowHeight="15"/>
  <cols>
    <col width="10" customWidth="1" min="1" max="1"/>
    <col width="36" customWidth="1" min="2" max="2"/>
    <col width="16" customWidth="1" min="3" max="3"/>
    <col width="72" customWidth="1" min="4" max="4"/>
    <col width="14" customWidth="1" min="5" max="5"/>
    <col width="44" customWidth="1" min="6" max="6"/>
  </cols>
  <sheetData>
    <row r="1" ht="26" customHeight="1">
      <c r="A1" s="21" t="inlineStr">
        <is>
          <t>Status pipeline — add a name in a spare slot to create a new step on the tracker</t>
        </is>
      </c>
      <c r="B1" s="22" t="n"/>
      <c r="C1" s="22" t="n"/>
      <c r="D1" s="22" t="n"/>
      <c r="E1" s="22" t="n"/>
      <c r="F1" s="22" t="n"/>
    </row>
    <row r="2">
      <c r="A2" s="9" t="inlineStr">
        <is>
          <t>Slot</t>
        </is>
      </c>
      <c r="B2" s="9" t="inlineStr">
        <is>
          <t>Status name (edit / add here)</t>
        </is>
      </c>
      <c r="C2" s="9" t="inlineStr">
        <is>
          <t>Short name</t>
        </is>
      </c>
      <c r="D2" s="9" t="inlineStr">
        <is>
          <t>Description</t>
        </is>
      </c>
      <c r="E2" s="9" t="inlineStr">
        <is>
          <t>Target days</t>
        </is>
      </c>
      <c r="F2" s="9" t="inlineStr">
        <is>
          <t>Notes</t>
        </is>
      </c>
    </row>
    <row r="3" ht="22" customHeight="1">
      <c r="A3" s="83" t="n">
        <v>1</v>
      </c>
      <c r="B3" s="11" t="inlineStr">
        <is>
          <t>Under Design</t>
        </is>
      </c>
      <c r="C3" s="52" t="inlineStr">
        <is>
          <t>Design</t>
        </is>
      </c>
      <c r="D3" s="52" t="inlineStr">
        <is>
          <t>Detailed design, surveys, and drawings are being prepared.</t>
        </is>
      </c>
      <c r="E3" s="55" t="n">
        <v>30</v>
      </c>
      <c r="F3" s="86" t="inlineStr">
        <is>
          <t>Used by tracker date headers and duration labels.</t>
        </is>
      </c>
    </row>
    <row r="4" ht="22" customHeight="1">
      <c r="A4" s="83" t="n">
        <v>2</v>
      </c>
      <c r="B4" s="12" t="inlineStr">
        <is>
          <t>Under Review of WRI</t>
        </is>
      </c>
      <c r="C4" s="52" t="inlineStr">
        <is>
          <t>WRI Review</t>
        </is>
      </c>
      <c r="D4" s="52" t="inlineStr">
        <is>
          <t>Water Resources / WRI is reviewing the design package.</t>
        </is>
      </c>
      <c r="E4" s="55" t="n">
        <v>14</v>
      </c>
      <c r="F4" s="86" t="inlineStr">
        <is>
          <t>Used by tracker date headers and duration labels.</t>
        </is>
      </c>
    </row>
    <row r="5" ht="22" customHeight="1">
      <c r="A5" s="83" t="n">
        <v>3</v>
      </c>
      <c r="B5" s="13" t="inlineStr">
        <is>
          <t>Under LTO Review</t>
        </is>
      </c>
      <c r="C5" s="52" t="inlineStr">
        <is>
          <t>LTO Review</t>
        </is>
      </c>
      <c r="D5" s="52" t="inlineStr">
        <is>
          <t>Legal / LTO clearance of the package.</t>
        </is>
      </c>
      <c r="E5" s="55" t="n">
        <v>10</v>
      </c>
      <c r="F5" s="86" t="inlineStr">
        <is>
          <t>Used by tracker date headers and duration labels.</t>
        </is>
      </c>
    </row>
    <row r="6" ht="22" customHeight="1">
      <c r="A6" s="83" t="n">
        <v>4</v>
      </c>
      <c r="B6" s="14" t="inlineStr">
        <is>
          <t>PR to be Raised</t>
        </is>
      </c>
      <c r="C6" s="52" t="inlineStr">
        <is>
          <t>PR</t>
        </is>
      </c>
      <c r="D6" s="52" t="inlineStr">
        <is>
          <t>Purchase request / procurement request still to be raised.</t>
        </is>
      </c>
      <c r="E6" s="55" t="n">
        <v>10</v>
      </c>
      <c r="F6" s="86" t="inlineStr">
        <is>
          <t>Used by tracker date headers and duration labels.</t>
        </is>
      </c>
    </row>
    <row r="7" ht="22" customHeight="1">
      <c r="A7" s="83" t="n">
        <v>5</v>
      </c>
      <c r="B7" s="15" t="inlineStr">
        <is>
          <t>ITB Launched</t>
        </is>
      </c>
      <c r="C7" s="52" t="inlineStr">
        <is>
          <t>ITB</t>
        </is>
      </c>
      <c r="D7" s="52" t="inlineStr">
        <is>
          <t>Invitation to Bid has been issued.</t>
        </is>
      </c>
      <c r="E7" s="55" t="n">
        <v>21</v>
      </c>
      <c r="F7" s="86" t="inlineStr">
        <is>
          <t>Used by tracker date headers and duration labels.</t>
        </is>
      </c>
    </row>
    <row r="8" ht="22" customHeight="1">
      <c r="A8" s="83" t="n">
        <v>6</v>
      </c>
      <c r="B8" s="15" t="inlineStr">
        <is>
          <t>Retendered (Re-ITB)</t>
        </is>
      </c>
      <c r="C8" s="52" t="inlineStr">
        <is>
          <t>Re-ITB</t>
        </is>
      </c>
      <c r="D8" s="52" t="inlineStr">
        <is>
          <t>Previous bid failed or was cancelled; invitation re-issued.</t>
        </is>
      </c>
      <c r="E8" s="55" t="n">
        <v>21</v>
      </c>
      <c r="F8" s="86" t="inlineStr">
        <is>
          <t>Used by tracker date headers and duration labels.</t>
        </is>
      </c>
    </row>
    <row r="9" ht="22" customHeight="1">
      <c r="A9" s="83" t="n">
        <v>7</v>
      </c>
      <c r="B9" s="16" t="inlineStr">
        <is>
          <t>Under Technical Evaluation</t>
        </is>
      </c>
      <c r="C9" s="52" t="inlineStr">
        <is>
          <t>Tech Eval</t>
        </is>
      </c>
      <c r="D9" s="52" t="inlineStr">
        <is>
          <t>Bids are under technical evaluation.</t>
        </is>
      </c>
      <c r="E9" s="55" t="n">
        <v>14</v>
      </c>
      <c r="F9" s="86" t="inlineStr">
        <is>
          <t>Used by tracker date headers and duration labels.</t>
        </is>
      </c>
    </row>
    <row r="10" ht="22" customHeight="1">
      <c r="A10" s="83" t="n">
        <v>8</v>
      </c>
      <c r="B10" s="17" t="inlineStr">
        <is>
          <t>Under Awarding</t>
        </is>
      </c>
      <c r="C10" s="52" t="inlineStr">
        <is>
          <t>Awarding</t>
        </is>
      </c>
      <c r="D10" s="52" t="inlineStr">
        <is>
          <t>Award recommendation, negotiations, and approval.</t>
        </is>
      </c>
      <c r="E10" s="55" t="n">
        <v>14</v>
      </c>
      <c r="F10" s="86" t="inlineStr">
        <is>
          <t>Used by tracker date headers and duration labels.</t>
        </is>
      </c>
    </row>
    <row r="11" ht="22" customHeight="1">
      <c r="A11" s="83" t="n">
        <v>9</v>
      </c>
      <c r="B11" s="18" t="inlineStr">
        <is>
          <t>Awarded</t>
        </is>
      </c>
      <c r="C11" s="52" t="inlineStr">
        <is>
          <t>Awarded</t>
        </is>
      </c>
      <c r="D11" s="52" t="inlineStr">
        <is>
          <t>Contract signed / notice of award issued.</t>
        </is>
      </c>
      <c r="E11" s="55" t="n">
        <v>0</v>
      </c>
      <c r="F11" s="86" t="inlineStr">
        <is>
          <t>Used by tracker date headers and duration labels.</t>
        </is>
      </c>
    </row>
    <row r="12" ht="22" customHeight="1">
      <c r="A12" s="83" t="n">
        <v>10</v>
      </c>
      <c r="B12" s="19" t="inlineStr">
        <is>
          <t>Under Construction</t>
        </is>
      </c>
      <c r="C12" s="52" t="inlineStr">
        <is>
          <t>Construction</t>
        </is>
      </c>
      <c r="D12" s="52" t="inlineStr">
        <is>
          <t>Contractor is mobilised and physical works are ongoing.</t>
        </is>
      </c>
      <c r="E12" s="55" t="n">
        <v>150</v>
      </c>
      <c r="F12" s="86" t="inlineStr">
        <is>
          <t>Used by tracker date headers and duration labels.</t>
        </is>
      </c>
    </row>
    <row r="13" ht="22" customHeight="1">
      <c r="A13" s="83" t="n">
        <v>11</v>
      </c>
      <c r="B13" s="20" t="inlineStr">
        <is>
          <t>Completed / Handover</t>
        </is>
      </c>
      <c r="C13" s="52" t="inlineStr">
        <is>
          <t>Completed</t>
        </is>
      </c>
      <c r="D13" s="52" t="inlineStr">
        <is>
          <t>Works completed and handed over.</t>
        </is>
      </c>
      <c r="E13" s="55" t="n">
        <v>0</v>
      </c>
      <c r="F13" s="86" t="inlineStr">
        <is>
          <t>Used by tracker date headers and duration labels.</t>
        </is>
      </c>
    </row>
    <row r="14" ht="22" customHeight="1">
      <c r="A14" s="115" t="n">
        <v>12</v>
      </c>
      <c r="B14" s="116" t="inlineStr"/>
      <c r="C14" s="116" t="inlineStr"/>
      <c r="D14" s="116" t="inlineStr">
        <is>
          <t>Spare slot — type a status name here to add a step.</t>
        </is>
      </c>
      <c r="E14" s="117" t="n"/>
      <c r="F14" s="51" t="inlineStr">
        <is>
          <t>Type a status name in column B to activate this date column on the tracker.</t>
        </is>
      </c>
    </row>
    <row r="15" ht="22" customHeight="1">
      <c r="A15" s="115" t="n">
        <v>13</v>
      </c>
      <c r="B15" s="116" t="inlineStr"/>
      <c r="C15" s="116" t="inlineStr"/>
      <c r="D15" s="116" t="inlineStr">
        <is>
          <t>Spare slot — type a status name here to add a step.</t>
        </is>
      </c>
      <c r="E15" s="117" t="n"/>
      <c r="F15" s="51" t="inlineStr">
        <is>
          <t>Type a status name in column B to activate this date column on the tracker.</t>
        </is>
      </c>
    </row>
    <row r="16" ht="22" customHeight="1">
      <c r="A16" s="115" t="n">
        <v>14</v>
      </c>
      <c r="B16" s="116" t="inlineStr"/>
      <c r="C16" s="116" t="inlineStr"/>
      <c r="D16" s="116" t="inlineStr">
        <is>
          <t>Spare slot — type a status name here to add a step.</t>
        </is>
      </c>
      <c r="E16" s="117" t="n"/>
      <c r="F16" s="51" t="inlineStr">
        <is>
          <t>Type a status name in column B to activate this date column on the tracker.</t>
        </is>
      </c>
    </row>
  </sheetData>
  <mergeCells count="1">
    <mergeCell ref="A1:F1"/>
  </mergeCells>
  <dataValidations count="1">
    <dataValidation sqref="E3:E20" showDropDown="0" showInputMessage="0" showErrorMessage="0" allowBlank="1" type="whole"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tabColor rgb="008A6D3B"/>
    <outlinePr summaryBelow="1" summaryRight="1"/>
    <pageSetUpPr/>
  </sheetPr>
  <dimension ref="A1:J362"/>
  <sheetViews>
    <sheetView showGridLines="0" workbookViewId="0">
      <pane ySplit="2" topLeftCell="A3" activePane="bottomLeft" state="frozen"/>
      <selection pane="bottomLeft" activeCell="A1" sqref="A1"/>
    </sheetView>
  </sheetViews>
  <sheetFormatPr baseColWidth="8" defaultRowHeight="15"/>
  <cols>
    <col width="28" customWidth="1" min="1" max="1"/>
    <col width="28" customWidth="1" min="2" max="2"/>
    <col width="52" customWidth="1" min="3" max="3"/>
    <col width="28" customWidth="1" min="4" max="4"/>
    <col width="28" customWidth="1" min="5" max="5"/>
    <col width="22" customWidth="1" min="6" max="6"/>
    <col width="28" customWidth="1" min="7" max="7"/>
    <col width="16" customWidth="1" min="8" max="8"/>
    <col width="24" customWidth="1" min="9" max="9"/>
    <col width="42" customWidth="1" min="10" max="10"/>
  </cols>
  <sheetData>
    <row r="1" ht="26" customHeight="1">
      <c r="A1" s="21" t="inlineStr">
        <is>
          <t>Domains — type a new value in the first empty cell of a column to add it to the dropdowns</t>
        </is>
      </c>
      <c r="B1" s="22" t="n"/>
      <c r="C1" s="22" t="n"/>
      <c r="D1" s="22" t="n"/>
      <c r="E1" s="22" t="n"/>
      <c r="F1" s="22" t="n"/>
      <c r="G1" s="22" t="n"/>
      <c r="H1" s="22" t="n"/>
    </row>
    <row r="2">
      <c r="A2" s="9" t="inlineStr">
        <is>
          <t>Interventions</t>
        </is>
      </c>
      <c r="B2" s="9" t="inlineStr">
        <is>
          <t>Donors</t>
        </is>
      </c>
      <c r="C2" s="9" t="inlineStr">
        <is>
          <t>Projects</t>
        </is>
      </c>
      <c r="D2" s="9" t="inlineStr">
        <is>
          <t>Regions</t>
        </is>
      </c>
      <c r="E2" s="9" t="inlineStr">
        <is>
          <t>Statuses</t>
        </is>
      </c>
      <c r="F2" s="9" t="inlineStr">
        <is>
          <t>All_Provinces</t>
        </is>
      </c>
      <c r="G2" s="9" t="inlineStr">
        <is>
          <t>All_Districts</t>
        </is>
      </c>
      <c r="H2" s="9" t="inlineStr">
        <is>
          <t>AwardGroups</t>
        </is>
      </c>
      <c r="I2" s="9" t="inlineStr">
        <is>
          <t>Families</t>
        </is>
      </c>
      <c r="J2" s="9" t="inlineStr">
        <is>
          <t>Contractors</t>
        </is>
      </c>
    </row>
    <row r="3">
      <c r="A3" s="52" t="inlineStr">
        <is>
          <t>Irrigation Canal</t>
        </is>
      </c>
      <c r="B3" s="52" t="inlineStr">
        <is>
          <t>World Bank (WBK/AF-2)</t>
        </is>
      </c>
      <c r="C3" s="52" t="inlineStr">
        <is>
          <t>Emergency Food Security Project (EFSP) – WBK/AF-2</t>
        </is>
      </c>
      <c r="D3" s="52" t="inlineStr">
        <is>
          <t>West / Herat</t>
        </is>
      </c>
      <c r="E3" s="52" t="inlineStr">
        <is>
          <t>Under Design</t>
        </is>
      </c>
      <c r="F3" s="52" t="inlineStr">
        <is>
          <t>Herat</t>
        </is>
      </c>
      <c r="G3" s="52" t="inlineStr">
        <is>
          <t>Herat</t>
        </is>
      </c>
      <c r="H3" s="52" t="inlineStr">
        <is>
          <t>Awarded</t>
        </is>
      </c>
      <c r="I3" s="52" t="inlineStr">
        <is>
          <t>Irrigation Scheme</t>
        </is>
      </c>
      <c r="J3" s="52" t="inlineStr">
        <is>
          <t>Abdul Ghafour</t>
        </is>
      </c>
    </row>
    <row r="4">
      <c r="A4" s="52" t="inlineStr">
        <is>
          <t>Protection Wall</t>
        </is>
      </c>
      <c r="B4" s="52" t="inlineStr">
        <is>
          <t>World Bank (WBK)</t>
        </is>
      </c>
      <c r="C4" s="52" t="inlineStr">
        <is>
          <t>Emergency Food Security Project (EFSP)</t>
        </is>
      </c>
      <c r="D4" s="52" t="inlineStr">
        <is>
          <t>East / Jalalabad</t>
        </is>
      </c>
      <c r="E4" s="52" t="inlineStr">
        <is>
          <t>Under Review of WRI</t>
        </is>
      </c>
      <c r="F4" s="52" t="inlineStr">
        <is>
          <t>Badghis</t>
        </is>
      </c>
      <c r="G4" s="52" t="inlineStr">
        <is>
          <t>Injil</t>
        </is>
      </c>
      <c r="H4" s="52" t="inlineStr">
        <is>
          <t>Not awarded</t>
        </is>
      </c>
      <c r="I4" s="52" t="inlineStr">
        <is>
          <t>Watershed Management</t>
        </is>
      </c>
      <c r="J4" s="52" t="inlineStr">
        <is>
          <t>Abdul Qadeer</t>
        </is>
      </c>
    </row>
    <row r="5">
      <c r="A5" s="52" t="inlineStr">
        <is>
          <t>Karez Rehabilitation</t>
        </is>
      </c>
      <c r="B5" s="52" t="inlineStr">
        <is>
          <t>WFP</t>
        </is>
      </c>
      <c r="C5" s="52" t="inlineStr">
        <is>
          <t>WBK/AF-2 Component 2: Water and Resilience Services</t>
        </is>
      </c>
      <c r="D5" s="52" t="inlineStr">
        <is>
          <t>Central / Kabul</t>
        </is>
      </c>
      <c r="E5" s="52" t="inlineStr">
        <is>
          <t>Under LTO Review</t>
        </is>
      </c>
      <c r="F5" s="52" t="inlineStr">
        <is>
          <t>Farah</t>
        </is>
      </c>
      <c r="G5" s="52" t="inlineStr">
        <is>
          <t>Guzara</t>
        </is>
      </c>
      <c r="H5" s="118" t="n"/>
      <c r="I5" s="52" t="inlineStr">
        <is>
          <t>Drip Irrigation</t>
        </is>
      </c>
      <c r="J5" s="52" t="inlineStr">
        <is>
          <t>Abdul Qayum</t>
        </is>
      </c>
    </row>
    <row r="6">
      <c r="A6" s="52" t="inlineStr">
        <is>
          <t>Intake / Diversion</t>
        </is>
      </c>
      <c r="B6" s="52" t="inlineStr">
        <is>
          <t>FAO</t>
        </is>
      </c>
      <c r="C6" s="118" t="n"/>
      <c r="D6" s="52" t="inlineStr">
        <is>
          <t>Central Highland / Bamyan</t>
        </is>
      </c>
      <c r="E6" s="52" t="inlineStr">
        <is>
          <t>PR to be Raised</t>
        </is>
      </c>
      <c r="F6" s="52" t="inlineStr">
        <is>
          <t>Ghor</t>
        </is>
      </c>
      <c r="G6" s="52" t="inlineStr">
        <is>
          <t>Karukh</t>
        </is>
      </c>
      <c r="H6" s="118" t="n"/>
      <c r="I6" s="52" t="inlineStr">
        <is>
          <t>Laser Land Leveler (LLL)</t>
        </is>
      </c>
      <c r="J6" s="52" t="inlineStr">
        <is>
          <t>Abdul Rahman</t>
        </is>
      </c>
    </row>
    <row r="7">
      <c r="A7" s="52" t="inlineStr">
        <is>
          <t>Check Dam</t>
        </is>
      </c>
      <c r="B7" s="52" t="inlineStr">
        <is>
          <t>UNICEF</t>
        </is>
      </c>
      <c r="C7" s="118" t="n"/>
      <c r="D7" s="52" t="inlineStr">
        <is>
          <t>Southeast / Gardez</t>
        </is>
      </c>
      <c r="E7" s="52" t="inlineStr">
        <is>
          <t>ITB Launched</t>
        </is>
      </c>
      <c r="F7" s="52" t="inlineStr">
        <is>
          <t>Nangarhar</t>
        </is>
      </c>
      <c r="G7" s="52" t="inlineStr">
        <is>
          <t>Pashtun Zarghun</t>
        </is>
      </c>
      <c r="H7" s="118" t="n"/>
      <c r="I7" s="52" t="inlineStr">
        <is>
          <t>Agroforestry saplings / seeds</t>
        </is>
      </c>
      <c r="J7" s="52" t="inlineStr">
        <is>
          <t>Abdullah</t>
        </is>
      </c>
    </row>
    <row r="8">
      <c r="A8" s="52" t="inlineStr">
        <is>
          <t>Boulder Check Dam</t>
        </is>
      </c>
      <c r="B8" s="52" t="inlineStr">
        <is>
          <t>ADB</t>
        </is>
      </c>
      <c r="C8" s="118" t="n"/>
      <c r="D8" s="52" t="inlineStr">
        <is>
          <t>South / Kandahar</t>
        </is>
      </c>
      <c r="E8" s="52" t="inlineStr">
        <is>
          <t>Retendered (Re-ITB)</t>
        </is>
      </c>
      <c r="F8" s="52" t="inlineStr">
        <is>
          <t>Kunar</t>
        </is>
      </c>
      <c r="G8" s="52" t="inlineStr">
        <is>
          <t>Zindajan</t>
        </is>
      </c>
      <c r="H8" s="118" t="n"/>
      <c r="I8" s="118" t="n"/>
      <c r="J8" s="52" t="inlineStr">
        <is>
          <t>Abdur Raqeeb</t>
        </is>
      </c>
    </row>
    <row r="9">
      <c r="A9" s="52" t="inlineStr">
        <is>
          <t>Check Dam and Water Pond</t>
        </is>
      </c>
      <c r="B9" s="52" t="inlineStr">
        <is>
          <t>Government</t>
        </is>
      </c>
      <c r="C9" s="118" t="n"/>
      <c r="D9" s="52" t="inlineStr">
        <is>
          <t>North / Mazar</t>
        </is>
      </c>
      <c r="E9" s="52" t="inlineStr">
        <is>
          <t>Under Technical Evaluation</t>
        </is>
      </c>
      <c r="F9" s="52" t="inlineStr">
        <is>
          <t>Laghman</t>
        </is>
      </c>
      <c r="G9" s="52" t="inlineStr">
        <is>
          <t>Gulran</t>
        </is>
      </c>
      <c r="H9" s="118" t="n"/>
      <c r="I9" s="118" t="n"/>
      <c r="J9" s="52" t="inlineStr">
        <is>
          <t>Afghan Aakam Construction and Road Company C. JV with D-Amini Mashwani Construction Road Juroni and Construction Materials Production Company (AACRC&amp;JV DAMCC)</t>
        </is>
      </c>
    </row>
    <row r="10">
      <c r="A10" s="52" t="inlineStr">
        <is>
          <t>Gabion Structure</t>
        </is>
      </c>
      <c r="B10" s="52" t="inlineStr">
        <is>
          <t>Other</t>
        </is>
      </c>
      <c r="C10" s="118" t="n"/>
      <c r="D10" s="52" t="inlineStr">
        <is>
          <t>Northeast / Kunduz</t>
        </is>
      </c>
      <c r="E10" s="52" t="inlineStr">
        <is>
          <t>Under Awarding</t>
        </is>
      </c>
      <c r="F10" s="52" t="inlineStr">
        <is>
          <t>Nuristan</t>
        </is>
      </c>
      <c r="G10" s="52" t="inlineStr">
        <is>
          <t>Kohsan</t>
        </is>
      </c>
      <c r="H10" s="118" t="n"/>
      <c r="I10" s="118" t="n"/>
      <c r="J10" s="52" t="inlineStr">
        <is>
          <t>Afghan Aakam Construction and Road Company. JV with D- Amini Mashwani Construction Company (AACC)</t>
        </is>
      </c>
    </row>
    <row r="11">
      <c r="A11" s="52" t="inlineStr">
        <is>
          <t>Flood Protection</t>
        </is>
      </c>
      <c r="B11" s="118" t="n"/>
      <c r="C11" s="118" t="n"/>
      <c r="D11" s="118" t="n"/>
      <c r="E11" s="52" t="inlineStr">
        <is>
          <t>Awarded</t>
        </is>
      </c>
      <c r="F11" s="52" t="inlineStr">
        <is>
          <t>Kabul</t>
        </is>
      </c>
      <c r="G11" s="52" t="inlineStr">
        <is>
          <t>Ghoryan</t>
        </is>
      </c>
      <c r="H11" s="118" t="n"/>
      <c r="I11" s="118" t="n"/>
      <c r="J11" s="52" t="inlineStr">
        <is>
          <t>Afghan Eithad construction and Road Building company (AECC)</t>
        </is>
      </c>
    </row>
    <row r="12">
      <c r="A12" s="52" t="inlineStr">
        <is>
          <t>Drip Irrigation Plot</t>
        </is>
      </c>
      <c r="B12" s="118" t="n"/>
      <c r="C12" s="118" t="n"/>
      <c r="D12" s="118" t="n"/>
      <c r="E12" s="52" t="inlineStr">
        <is>
          <t>Under Construction</t>
        </is>
      </c>
      <c r="F12" s="52" t="inlineStr">
        <is>
          <t>Parwan</t>
        </is>
      </c>
      <c r="G12" s="52" t="inlineStr">
        <is>
          <t>Obe</t>
        </is>
      </c>
      <c r="H12" s="118" t="n"/>
      <c r="I12" s="118" t="n"/>
      <c r="J12" s="52" t="inlineStr">
        <is>
          <t>Afghan Laser Engineering and Construction Company (ALCC)</t>
        </is>
      </c>
    </row>
    <row r="13">
      <c r="A13" s="52" t="inlineStr">
        <is>
          <t>LLL unit</t>
        </is>
      </c>
      <c r="B13" s="118" t="n"/>
      <c r="C13" s="118" t="n"/>
      <c r="D13" s="118" t="n"/>
      <c r="E13" s="52" t="inlineStr">
        <is>
          <t>Completed / Handover</t>
        </is>
      </c>
      <c r="F13" s="52" t="inlineStr">
        <is>
          <t>Kapisa</t>
        </is>
      </c>
      <c r="G13" s="52" t="inlineStr">
        <is>
          <t>Chishti Sharif</t>
        </is>
      </c>
      <c r="H13" s="118" t="n"/>
      <c r="I13" s="118" t="n"/>
      <c r="J13" s="52" t="inlineStr">
        <is>
          <t>AFGHAN LUCKY CONSTRUCTION COMPANY (ALCC)</t>
        </is>
      </c>
    </row>
    <row r="14">
      <c r="A14" s="52" t="inlineStr">
        <is>
          <t>Saplings and seeds</t>
        </is>
      </c>
      <c r="B14" s="118" t="n"/>
      <c r="C14" s="118" t="n"/>
      <c r="D14" s="118" t="n"/>
      <c r="E14" s="52" t="inlineStr">
        <is>
          <t>Not started</t>
        </is>
      </c>
      <c r="F14" s="52" t="inlineStr">
        <is>
          <t>Logar</t>
        </is>
      </c>
      <c r="G14" s="52" t="inlineStr">
        <is>
          <t>Shindand</t>
        </is>
      </c>
      <c r="H14" s="118" t="n"/>
      <c r="I14" s="118" t="n"/>
      <c r="J14" s="52" t="inlineStr">
        <is>
          <t>Ahmad</t>
        </is>
      </c>
    </row>
    <row r="15">
      <c r="A15" s="52" t="inlineStr">
        <is>
          <t>Water Supply Scheme</t>
        </is>
      </c>
      <c r="B15" s="118" t="n"/>
      <c r="C15" s="118" t="n"/>
      <c r="D15" s="118" t="n"/>
      <c r="E15" s="52" t="inlineStr">
        <is>
          <t>Cancelled</t>
        </is>
      </c>
      <c r="F15" s="52" t="inlineStr">
        <is>
          <t>Maidan Wardak</t>
        </is>
      </c>
      <c r="G15" s="52" t="inlineStr">
        <is>
          <t>Adraskan</t>
        </is>
      </c>
      <c r="H15" s="118" t="n"/>
      <c r="I15" s="118" t="n"/>
      <c r="J15" s="52" t="inlineStr">
        <is>
          <t>Ahmad Zia</t>
        </is>
      </c>
    </row>
    <row r="16">
      <c r="A16" s="52" t="inlineStr">
        <is>
          <t>Other</t>
        </is>
      </c>
      <c r="B16" s="118" t="n"/>
      <c r="C16" s="118" t="n"/>
      <c r="D16" s="118" t="n"/>
      <c r="E16" s="118" t="n"/>
      <c r="F16" s="52" t="inlineStr">
        <is>
          <t>Panjshir</t>
        </is>
      </c>
      <c r="G16" s="52" t="inlineStr">
        <is>
          <t>Farsi</t>
        </is>
      </c>
      <c r="H16" s="118" t="n"/>
      <c r="I16" s="118" t="n"/>
      <c r="J16" s="52" t="inlineStr">
        <is>
          <t>Akhtar Mohammad</t>
        </is>
      </c>
    </row>
    <row r="17">
      <c r="A17" s="118" t="n"/>
      <c r="B17" s="118" t="n"/>
      <c r="C17" s="118" t="n"/>
      <c r="D17" s="118" t="n"/>
      <c r="E17" s="118" t="n"/>
      <c r="F17" s="52" t="inlineStr">
        <is>
          <t>Bamyan</t>
        </is>
      </c>
      <c r="G17" s="52" t="inlineStr">
        <is>
          <t>Qala-e-Naw</t>
        </is>
      </c>
      <c r="I17" s="118" t="n"/>
      <c r="J17" s="52" t="inlineStr">
        <is>
          <t>Alberoni University</t>
        </is>
      </c>
    </row>
    <row r="18">
      <c r="A18" s="118" t="n"/>
      <c r="B18" s="118" t="n"/>
      <c r="D18" s="118" t="n"/>
      <c r="E18" s="118" t="n"/>
      <c r="F18" s="52" t="inlineStr">
        <is>
          <t>Daykundi</t>
        </is>
      </c>
      <c r="G18" s="52" t="inlineStr">
        <is>
          <t>Qadis</t>
        </is>
      </c>
      <c r="I18" s="118" t="n"/>
      <c r="J18" s="52" t="inlineStr">
        <is>
          <t>Ali Dost</t>
        </is>
      </c>
    </row>
    <row r="19">
      <c r="A19" s="118" t="n"/>
      <c r="B19" s="118" t="n"/>
      <c r="D19" s="118" t="n"/>
      <c r="E19" s="118" t="n"/>
      <c r="F19" s="52" t="inlineStr">
        <is>
          <t>Paktya</t>
        </is>
      </c>
      <c r="G19" s="52" t="inlineStr">
        <is>
          <t>Muqur</t>
        </is>
      </c>
      <c r="I19" s="118" t="n"/>
      <c r="J19" s="52" t="inlineStr">
        <is>
          <t>ALTIN CONSTRUCTION AND ROAD BUILDING COMPANY (ACC)</t>
        </is>
      </c>
    </row>
    <row r="20">
      <c r="A20" s="118" t="n"/>
      <c r="B20" s="118" t="n"/>
      <c r="D20" s="118" t="n"/>
      <c r="E20" s="118" t="n"/>
      <c r="F20" s="52" t="inlineStr">
        <is>
          <t>Paktika</t>
        </is>
      </c>
      <c r="G20" s="52" t="inlineStr">
        <is>
          <t>Bala Murghab</t>
        </is>
      </c>
      <c r="J20" s="52" t="inlineStr">
        <is>
          <t>Arman Millad Construction Company (AMCC)</t>
        </is>
      </c>
    </row>
    <row r="21">
      <c r="A21" s="118" t="n"/>
      <c r="B21" s="118" t="n"/>
      <c r="D21" s="118" t="n"/>
      <c r="E21" s="118" t="n"/>
      <c r="F21" s="52" t="inlineStr">
        <is>
          <t>Khost</t>
        </is>
      </c>
      <c r="G21" s="52" t="inlineStr">
        <is>
          <t>Jawand</t>
        </is>
      </c>
      <c r="J21" s="52" t="inlineStr">
        <is>
          <t>Arman Sharq Construction Company ASCC)</t>
        </is>
      </c>
    </row>
    <row r="22">
      <c r="A22" s="118" t="n"/>
      <c r="B22" s="118" t="n"/>
      <c r="D22" s="118" t="n"/>
      <c r="E22" s="118" t="n"/>
      <c r="F22" s="52" t="inlineStr">
        <is>
          <t>Ghazni</t>
        </is>
      </c>
      <c r="G22" s="52" t="inlineStr">
        <is>
          <t>Ab Kamari</t>
        </is>
      </c>
      <c r="J22" s="52" t="inlineStr">
        <is>
          <t>Awrish builder construction company (ABCC)</t>
        </is>
      </c>
    </row>
    <row r="23">
      <c r="A23" s="118" t="n"/>
      <c r="E23" s="118" t="n"/>
      <c r="F23" s="52" t="inlineStr">
        <is>
          <t>Kandahar</t>
        </is>
      </c>
      <c r="G23" s="52" t="inlineStr">
        <is>
          <t>Ghormach</t>
        </is>
      </c>
      <c r="J23" s="52" t="inlineStr">
        <is>
          <t>Bahartamadun Construction Company (BCC)</t>
        </is>
      </c>
    </row>
    <row r="24">
      <c r="A24" s="118" t="n"/>
      <c r="E24" s="118" t="n"/>
      <c r="F24" s="52" t="inlineStr">
        <is>
          <t>Helmand</t>
        </is>
      </c>
      <c r="G24" s="52" t="inlineStr">
        <is>
          <t>Farah</t>
        </is>
      </c>
      <c r="J24" s="52" t="inlineStr">
        <is>
          <t>Bakhter Pairoz Construction Company (BPCC)</t>
        </is>
      </c>
    </row>
    <row r="25">
      <c r="A25" s="118" t="n"/>
      <c r="E25" s="118" t="n"/>
      <c r="F25" s="52" t="inlineStr">
        <is>
          <t>Zabul</t>
        </is>
      </c>
      <c r="G25" s="52" t="inlineStr">
        <is>
          <t>Pusht Rod</t>
        </is>
      </c>
      <c r="J25" s="52" t="inlineStr">
        <is>
          <t>Da Maidan Zawahnono Construction Company (DMZCC)</t>
        </is>
      </c>
    </row>
    <row r="26">
      <c r="A26" s="118" t="n"/>
      <c r="E26" s="118" t="n"/>
      <c r="F26" s="52" t="inlineStr">
        <is>
          <t>Uruzgan</t>
        </is>
      </c>
      <c r="G26" s="52" t="inlineStr">
        <is>
          <t>Khaki Safed</t>
        </is>
      </c>
      <c r="J26" s="52" t="inlineStr">
        <is>
          <t>Edi Mohammad</t>
        </is>
      </c>
    </row>
    <row r="27">
      <c r="A27" s="118" t="n"/>
      <c r="E27" s="118" t="n"/>
      <c r="F27" s="52" t="inlineStr">
        <is>
          <t>Nimroz</t>
        </is>
      </c>
      <c r="G27" s="52" t="inlineStr">
        <is>
          <t>Qala-e-Kah</t>
        </is>
      </c>
      <c r="J27" s="52" t="inlineStr">
        <is>
          <t>Ehsanullah</t>
        </is>
      </c>
    </row>
    <row r="28">
      <c r="A28" s="118" t="n"/>
      <c r="F28" s="52" t="inlineStr">
        <is>
          <t>Balkh</t>
        </is>
      </c>
      <c r="G28" s="52" t="inlineStr">
        <is>
          <t>Shib Koh</t>
        </is>
      </c>
      <c r="J28" s="52" t="inlineStr">
        <is>
          <t>Estehkam Baba Construction and Road Construction Company (EBCC)</t>
        </is>
      </c>
    </row>
    <row r="29">
      <c r="F29" s="52" t="inlineStr">
        <is>
          <t>Samangan</t>
        </is>
      </c>
      <c r="G29" s="52" t="inlineStr">
        <is>
          <t>Bala Buluk</t>
        </is>
      </c>
      <c r="J29" s="52" t="inlineStr">
        <is>
          <t>Estehkam Baba Construction Company JV Tamadon Bamik Construction Company (EBCC)</t>
        </is>
      </c>
    </row>
    <row r="30">
      <c r="F30" s="52" t="inlineStr">
        <is>
          <t>Jawzjan</t>
        </is>
      </c>
      <c r="G30" s="52" t="inlineStr">
        <is>
          <t>Gulistan</t>
        </is>
      </c>
      <c r="J30" s="52" t="inlineStr">
        <is>
          <t>Faiz Qurbani Construction Company (FQCC)</t>
        </is>
      </c>
    </row>
    <row r="31">
      <c r="F31" s="52" t="inlineStr">
        <is>
          <t>Sar-e-Pul</t>
        </is>
      </c>
      <c r="G31" s="52" t="inlineStr">
        <is>
          <t>Pur Chaman</t>
        </is>
      </c>
      <c r="J31" s="52" t="inlineStr">
        <is>
          <t>Farhad Matoonyar Construction Company (FMCC)</t>
        </is>
      </c>
    </row>
    <row r="32">
      <c r="F32" s="52" t="inlineStr">
        <is>
          <t>Faryab</t>
        </is>
      </c>
      <c r="G32" s="52" t="inlineStr">
        <is>
          <t>Bakwa</t>
        </is>
      </c>
      <c r="J32" s="52" t="inlineStr">
        <is>
          <t>Fazal Din</t>
        </is>
      </c>
    </row>
    <row r="33">
      <c r="F33" s="52" t="inlineStr">
        <is>
          <t>Kunduz</t>
        </is>
      </c>
      <c r="G33" s="52" t="inlineStr">
        <is>
          <t>Lash wa Juwayn</t>
        </is>
      </c>
      <c r="J33" s="52" t="inlineStr">
        <is>
          <t>Fazel Rahman</t>
        </is>
      </c>
    </row>
    <row r="34">
      <c r="F34" s="52" t="inlineStr">
        <is>
          <t>Baghlan</t>
        </is>
      </c>
      <c r="G34" s="52" t="inlineStr">
        <is>
          <t>Anar Dara</t>
        </is>
      </c>
      <c r="J34" s="52" t="inlineStr">
        <is>
          <t>Fazl Ahmad</t>
        </is>
      </c>
    </row>
    <row r="35">
      <c r="F35" s="52" t="inlineStr">
        <is>
          <t>Takhar</t>
        </is>
      </c>
      <c r="G35" s="52" t="inlineStr">
        <is>
          <t>Firozkoh</t>
        </is>
      </c>
      <c r="J35" s="52" t="inlineStr">
        <is>
          <t>Fida Mohammad</t>
        </is>
      </c>
    </row>
    <row r="36">
      <c r="F36" s="52" t="inlineStr">
        <is>
          <t>Badakhshan</t>
        </is>
      </c>
      <c r="G36" s="52" t="inlineStr">
        <is>
          <t>Lal wa Sarjangal</t>
        </is>
      </c>
      <c r="J36" s="52" t="inlineStr">
        <is>
          <t>Gafoor Jan</t>
        </is>
      </c>
    </row>
    <row r="37">
      <c r="F37" s="118" t="n"/>
      <c r="G37" s="52" t="inlineStr">
        <is>
          <t>Tulak</t>
        </is>
      </c>
      <c r="J37" s="52" t="inlineStr">
        <is>
          <t>Ghazi Khan</t>
        </is>
      </c>
    </row>
    <row r="38">
      <c r="F38" s="118" t="n"/>
      <c r="G38" s="52" t="inlineStr">
        <is>
          <t>Shahrak</t>
        </is>
      </c>
      <c r="J38" s="52" t="inlineStr">
        <is>
          <t>Ghulam</t>
        </is>
      </c>
    </row>
    <row r="39">
      <c r="F39" s="118" t="n"/>
      <c r="G39" s="52" t="inlineStr">
        <is>
          <t>Dawlat Yar</t>
        </is>
      </c>
      <c r="J39" s="52" t="inlineStr">
        <is>
          <t>Ghulam Haider Shah</t>
        </is>
      </c>
    </row>
    <row r="40">
      <c r="F40" s="118" t="n"/>
      <c r="G40" s="52" t="inlineStr">
        <is>
          <t>Charsada</t>
        </is>
      </c>
      <c r="J40" s="52" t="inlineStr">
        <is>
          <t>Ghulam Hussain</t>
        </is>
      </c>
    </row>
    <row r="41">
      <c r="F41" s="118" t="n"/>
      <c r="G41" s="52" t="inlineStr">
        <is>
          <t>Pasaband</t>
        </is>
      </c>
      <c r="J41" s="52" t="inlineStr">
        <is>
          <t>Ghulam Mahboob</t>
        </is>
      </c>
    </row>
    <row r="42">
      <c r="F42" s="118" t="n"/>
      <c r="G42" s="52" t="inlineStr">
        <is>
          <t>Saghar</t>
        </is>
      </c>
      <c r="J42" s="52" t="inlineStr">
        <is>
          <t>Green Bentley construction Company (GBCC)</t>
        </is>
      </c>
    </row>
    <row r="43">
      <c r="F43" s="118" t="n"/>
      <c r="G43" s="52" t="inlineStr">
        <is>
          <t>Taywara</t>
        </is>
      </c>
      <c r="J43" s="52" t="inlineStr">
        <is>
          <t>Habibullah</t>
        </is>
      </c>
    </row>
    <row r="44">
      <c r="F44" s="118" t="n"/>
      <c r="G44" s="52" t="inlineStr">
        <is>
          <t>Du Layna</t>
        </is>
      </c>
      <c r="J44" s="52" t="inlineStr">
        <is>
          <t>Habiburahman</t>
        </is>
      </c>
    </row>
    <row r="45">
      <c r="F45" s="118" t="n"/>
      <c r="G45" s="52" t="inlineStr">
        <is>
          <t>Jalalabad</t>
        </is>
      </c>
      <c r="J45" s="52" t="inlineStr">
        <is>
          <t>Haji Abdul Qaiyom</t>
        </is>
      </c>
    </row>
    <row r="46">
      <c r="F46" s="118" t="n"/>
      <c r="G46" s="52" t="inlineStr">
        <is>
          <t>Behsud</t>
        </is>
      </c>
      <c r="J46" s="52" t="inlineStr">
        <is>
          <t>Haji Amir Gul</t>
        </is>
      </c>
    </row>
    <row r="47">
      <c r="F47" s="118" t="n"/>
      <c r="G47" s="52" t="inlineStr">
        <is>
          <t>Surkh Rod</t>
        </is>
      </c>
      <c r="J47" s="52" t="inlineStr">
        <is>
          <t>Haji Hamayoon Salimi</t>
        </is>
      </c>
    </row>
    <row r="48">
      <c r="F48" s="118" t="n"/>
      <c r="G48" s="52" t="inlineStr">
        <is>
          <t>Kama</t>
        </is>
      </c>
      <c r="J48" s="52" t="inlineStr">
        <is>
          <t>Haji Jamal</t>
        </is>
      </c>
    </row>
    <row r="49">
      <c r="G49" s="52" t="inlineStr">
        <is>
          <t>Kuz Kunar</t>
        </is>
      </c>
      <c r="J49" s="52" t="inlineStr">
        <is>
          <t>Haji Nazar Gul</t>
        </is>
      </c>
    </row>
    <row r="50">
      <c r="G50" s="52" t="inlineStr">
        <is>
          <t>Rodat</t>
        </is>
      </c>
      <c r="J50" s="52" t="inlineStr">
        <is>
          <t>Haji Yaqoub</t>
        </is>
      </c>
    </row>
    <row r="51">
      <c r="G51" s="52" t="inlineStr">
        <is>
          <t>Bati Kot</t>
        </is>
      </c>
      <c r="J51" s="52" t="inlineStr">
        <is>
          <t>Hakim Khan</t>
        </is>
      </c>
    </row>
    <row r="52">
      <c r="G52" s="52" t="inlineStr">
        <is>
          <t>Shinwar</t>
        </is>
      </c>
      <c r="J52" s="52" t="inlineStr">
        <is>
          <t>Hasan Khil</t>
        </is>
      </c>
    </row>
    <row r="53">
      <c r="G53" s="52" t="inlineStr">
        <is>
          <t>Achin</t>
        </is>
      </c>
      <c r="J53" s="52" t="inlineStr">
        <is>
          <t>Hayatullah</t>
        </is>
      </c>
    </row>
    <row r="54">
      <c r="G54" s="52" t="inlineStr">
        <is>
          <t>Nazyan</t>
        </is>
      </c>
      <c r="J54" s="52" t="inlineStr">
        <is>
          <t>Hazrat Wali</t>
        </is>
      </c>
    </row>
    <row r="55">
      <c r="G55" s="52" t="inlineStr">
        <is>
          <t>Dur Baba</t>
        </is>
      </c>
      <c r="J55" s="52" t="inlineStr">
        <is>
          <t>Hemat Ghorzang Construction &amp; Logistic Service Company (HGCC)</t>
        </is>
      </c>
    </row>
    <row r="56">
      <c r="G56" s="52" t="inlineStr">
        <is>
          <t>Mohmand Dara</t>
        </is>
      </c>
      <c r="J56" s="52" t="inlineStr">
        <is>
          <t>Hemat safi construction company (HSCC)</t>
        </is>
      </c>
    </row>
    <row r="57">
      <c r="G57" s="52" t="inlineStr">
        <is>
          <t>Lal Pur</t>
        </is>
      </c>
      <c r="J57" s="52" t="inlineStr">
        <is>
          <t>Islam Gul</t>
        </is>
      </c>
    </row>
    <row r="58">
      <c r="G58" s="52" t="inlineStr">
        <is>
          <t>Goshta</t>
        </is>
      </c>
      <c r="J58" s="52" t="inlineStr">
        <is>
          <t>Jalal</t>
        </is>
      </c>
    </row>
    <row r="59">
      <c r="G59" s="52" t="inlineStr">
        <is>
          <t>Chaparhar</t>
        </is>
      </c>
      <c r="J59" s="52" t="inlineStr">
        <is>
          <t>Kapisa Kohna Dah Construction Company (KKCC)</t>
        </is>
      </c>
    </row>
    <row r="60">
      <c r="G60" s="52" t="inlineStr">
        <is>
          <t>Khogyani</t>
        </is>
      </c>
      <c r="J60" s="52" t="inlineStr">
        <is>
          <t>Khairullah Zia</t>
        </is>
      </c>
    </row>
    <row r="61">
      <c r="G61" s="52" t="inlineStr">
        <is>
          <t>Pachir wa Agam</t>
        </is>
      </c>
      <c r="J61" s="52" t="inlineStr">
        <is>
          <t>Khaliqi Building &amp; Road Construction Company (KBRCC)</t>
        </is>
      </c>
    </row>
    <row r="62">
      <c r="G62" s="52" t="inlineStr">
        <is>
          <t>Sherzad</t>
        </is>
      </c>
      <c r="J62" s="52" t="inlineStr">
        <is>
          <t>Kunar University</t>
        </is>
      </c>
    </row>
    <row r="63">
      <c r="G63" s="52" t="inlineStr">
        <is>
          <t>Hesarak</t>
        </is>
      </c>
      <c r="J63" s="52" t="inlineStr">
        <is>
          <t>M. Afzal</t>
        </is>
      </c>
    </row>
    <row r="64">
      <c r="G64" s="52" t="inlineStr">
        <is>
          <t>Darah-i-Nur</t>
        </is>
      </c>
      <c r="J64" s="52" t="inlineStr">
        <is>
          <t>M. Nabi</t>
        </is>
      </c>
    </row>
    <row r="65">
      <c r="G65" s="52" t="inlineStr">
        <is>
          <t>Asadabad</t>
        </is>
      </c>
      <c r="J65" s="52" t="inlineStr">
        <is>
          <t>Mahmood Raqi Nawin Construction &amp; Road Building Company (MRCC)</t>
        </is>
      </c>
    </row>
    <row r="66">
      <c r="G66" s="52" t="inlineStr">
        <is>
          <t>Narang</t>
        </is>
      </c>
      <c r="J66" s="52" t="inlineStr">
        <is>
          <t>Malik Hajdar Construction and Road Company (MHCC)</t>
        </is>
      </c>
    </row>
    <row r="67">
      <c r="G67" s="52" t="inlineStr">
        <is>
          <t>Sawkai</t>
        </is>
      </c>
      <c r="J67" s="52" t="inlineStr">
        <is>
          <t>Malik Rostam</t>
        </is>
      </c>
    </row>
    <row r="68">
      <c r="G68" s="52" t="inlineStr">
        <is>
          <t>Khas Kunar</t>
        </is>
      </c>
      <c r="J68" s="52" t="inlineStr">
        <is>
          <t>Mateeullah</t>
        </is>
      </c>
    </row>
    <row r="69">
      <c r="G69" s="52" t="inlineStr">
        <is>
          <t>Nurgal</t>
        </is>
      </c>
      <c r="J69" s="52" t="inlineStr">
        <is>
          <t>Mohammad Akbar</t>
        </is>
      </c>
    </row>
    <row r="70">
      <c r="G70" s="52" t="inlineStr">
        <is>
          <t>Chawkay</t>
        </is>
      </c>
      <c r="J70" s="52" t="inlineStr">
        <is>
          <t>Mohammad Ali</t>
        </is>
      </c>
    </row>
    <row r="71">
      <c r="G71" s="52" t="inlineStr">
        <is>
          <t>Dangam</t>
        </is>
      </c>
      <c r="J71" s="52" t="inlineStr">
        <is>
          <t>Mohammad Arif</t>
        </is>
      </c>
    </row>
    <row r="72">
      <c r="G72" s="52" t="inlineStr">
        <is>
          <t>Ghaziabad</t>
        </is>
      </c>
      <c r="J72" s="52" t="inlineStr">
        <is>
          <t>Mohammad Hashim</t>
        </is>
      </c>
    </row>
    <row r="73">
      <c r="G73" s="52" t="inlineStr">
        <is>
          <t>Marawara</t>
        </is>
      </c>
      <c r="J73" s="52" t="inlineStr">
        <is>
          <t>Mohammad Ibrahim</t>
        </is>
      </c>
    </row>
    <row r="74">
      <c r="G74" s="52" t="inlineStr">
        <is>
          <t>Shigal</t>
        </is>
      </c>
      <c r="J74" s="52" t="inlineStr">
        <is>
          <t>Mohammad Naim</t>
        </is>
      </c>
    </row>
    <row r="75">
      <c r="G75" s="52" t="inlineStr">
        <is>
          <t>Wata Pur</t>
        </is>
      </c>
      <c r="J75" s="52" t="inlineStr">
        <is>
          <t>Mohammad Qasim</t>
        </is>
      </c>
    </row>
    <row r="76">
      <c r="G76" s="52" t="inlineStr">
        <is>
          <t>Naray</t>
        </is>
      </c>
      <c r="J76" s="52" t="inlineStr">
        <is>
          <t>Mohammad Rasool Gharani</t>
        </is>
      </c>
    </row>
    <row r="77">
      <c r="G77" s="52" t="inlineStr">
        <is>
          <t>Dara-i-Pech</t>
        </is>
      </c>
      <c r="J77" s="52" t="inlineStr">
        <is>
          <t>Mohammad Waseem</t>
        </is>
      </c>
    </row>
    <row r="78">
      <c r="G78" s="52" t="inlineStr">
        <is>
          <t>Mihtarlam</t>
        </is>
      </c>
      <c r="J78" s="52" t="inlineStr">
        <is>
          <t>Mohammad Yousaf</t>
        </is>
      </c>
    </row>
    <row r="79">
      <c r="G79" s="52" t="inlineStr">
        <is>
          <t>Qarghayi</t>
        </is>
      </c>
      <c r="J79" s="52" t="inlineStr">
        <is>
          <t>Mudeser Bigmurad Construction Company (MBCC)</t>
        </is>
      </c>
    </row>
    <row r="80">
      <c r="G80" s="52" t="inlineStr">
        <is>
          <t>Alishing</t>
        </is>
      </c>
      <c r="J80" s="52" t="inlineStr">
        <is>
          <t>Naeemi Safi Construction &amp; Construction Material Company (NSCC)</t>
        </is>
      </c>
    </row>
    <row r="81">
      <c r="G81" s="52" t="inlineStr">
        <is>
          <t>Alingar</t>
        </is>
      </c>
      <c r="J81" s="52" t="inlineStr">
        <is>
          <t>Najeebullah</t>
        </is>
      </c>
    </row>
    <row r="82">
      <c r="G82" s="52" t="inlineStr">
        <is>
          <t>Dawlat Shah</t>
        </is>
      </c>
      <c r="J82" s="52" t="inlineStr">
        <is>
          <t>Naser Khan</t>
        </is>
      </c>
    </row>
    <row r="83">
      <c r="G83" s="52" t="inlineStr">
        <is>
          <t>Parun</t>
        </is>
      </c>
      <c r="J83" s="52" t="inlineStr">
        <is>
          <t>Nasratullah</t>
        </is>
      </c>
    </row>
    <row r="84">
      <c r="G84" s="52" t="inlineStr">
        <is>
          <t>Wama</t>
        </is>
      </c>
      <c r="J84" s="52" t="inlineStr">
        <is>
          <t>Nazar Khan</t>
        </is>
      </c>
    </row>
    <row r="85">
      <c r="G85" s="52" t="inlineStr">
        <is>
          <t>Kamdesh</t>
        </is>
      </c>
      <c r="J85" s="52" t="inlineStr">
        <is>
          <t>Nesar Ahmad, Koklam</t>
        </is>
      </c>
    </row>
    <row r="86">
      <c r="G86" s="52" t="inlineStr">
        <is>
          <t>Barg-i-Matal</t>
        </is>
      </c>
      <c r="J86" s="52" t="inlineStr">
        <is>
          <t>New Safi Zada Construction &amp; Road Building Company JV with Elyas Aryoubi Constructin Road building and Logistic Company (NSZ&amp;EACC)</t>
        </is>
      </c>
    </row>
    <row r="87">
      <c r="G87" s="52" t="inlineStr">
        <is>
          <t>Mandol</t>
        </is>
      </c>
      <c r="J87" s="52" t="inlineStr">
        <is>
          <t>Nomae Shahr Construction Company (NSCC)</t>
        </is>
      </c>
    </row>
    <row r="88">
      <c r="G88" s="52" t="inlineStr">
        <is>
          <t>Du Ab</t>
        </is>
      </c>
      <c r="J88" s="52" t="inlineStr">
        <is>
          <t>Omar Mortaza Construction &amp; Road Building JV Karwan Seraji Construction and Road Building Company (OMCC&amp;KSCC)</t>
        </is>
      </c>
    </row>
    <row r="89">
      <c r="G89" s="52" t="inlineStr">
        <is>
          <t>Nurgaram</t>
        </is>
      </c>
      <c r="J89" s="52" t="inlineStr">
        <is>
          <t>Ramin</t>
        </is>
      </c>
    </row>
    <row r="90">
      <c r="G90" s="52" t="inlineStr">
        <is>
          <t>Waygal</t>
        </is>
      </c>
      <c r="J90" s="52" t="inlineStr">
        <is>
          <t>Reg-e-Rawa park</t>
        </is>
      </c>
    </row>
    <row r="91">
      <c r="G91" s="52" t="inlineStr">
        <is>
          <t>PD#13 Kabul</t>
        </is>
      </c>
      <c r="J91" s="52" t="inlineStr">
        <is>
          <t>Reza</t>
        </is>
      </c>
    </row>
    <row r="92">
      <c r="G92" s="52" t="inlineStr">
        <is>
          <t>Deh Sabz</t>
        </is>
      </c>
      <c r="J92" s="52" t="inlineStr">
        <is>
          <t>Sadullah</t>
        </is>
      </c>
    </row>
    <row r="93">
      <c r="G93" s="52" t="inlineStr">
        <is>
          <t>Bagrami</t>
        </is>
      </c>
      <c r="J93" s="52" t="inlineStr">
        <is>
          <t>Saifuddin</t>
        </is>
      </c>
    </row>
    <row r="94">
      <c r="G94" s="52" t="inlineStr">
        <is>
          <t>Paghman</t>
        </is>
      </c>
      <c r="J94" s="52" t="inlineStr">
        <is>
          <t>Saifullah</t>
        </is>
      </c>
    </row>
    <row r="95">
      <c r="G95" s="52" t="inlineStr">
        <is>
          <t>Char Asiab</t>
        </is>
      </c>
      <c r="J95" s="52" t="inlineStr">
        <is>
          <t>Sakht shamal construction and road building company (SSCC)</t>
        </is>
      </c>
    </row>
    <row r="96">
      <c r="G96" s="52" t="inlineStr">
        <is>
          <t>Shakardara</t>
        </is>
      </c>
      <c r="J96" s="52" t="inlineStr">
        <is>
          <t>Salam Jan</t>
        </is>
      </c>
    </row>
    <row r="97">
      <c r="G97" s="52" t="inlineStr">
        <is>
          <t>Musayi</t>
        </is>
      </c>
      <c r="J97" s="52" t="inlineStr">
        <is>
          <t>Sayed Abad Construction Company (SACC)</t>
        </is>
      </c>
    </row>
    <row r="98">
      <c r="G98" s="52" t="inlineStr">
        <is>
          <t>Kalakan</t>
        </is>
      </c>
      <c r="J98" s="52" t="inlineStr">
        <is>
          <t>Sayed Hassan</t>
        </is>
      </c>
    </row>
    <row r="99">
      <c r="G99" s="52" t="inlineStr">
        <is>
          <t>Qarabagh</t>
        </is>
      </c>
      <c r="J99" s="52" t="inlineStr">
        <is>
          <t>Sayed Mohammad</t>
        </is>
      </c>
    </row>
    <row r="100">
      <c r="G100" s="52" t="inlineStr">
        <is>
          <t>Istalif</t>
        </is>
      </c>
      <c r="J100" s="52" t="inlineStr">
        <is>
          <t>Sayed Shirazi Construction and Road Building Company (SCRC)</t>
        </is>
      </c>
    </row>
    <row r="101">
      <c r="G101" s="52" t="inlineStr">
        <is>
          <t>Farza</t>
        </is>
      </c>
      <c r="J101" s="52" t="inlineStr">
        <is>
          <t>Seddiq Amini Construction and Logistic Services (SACC)</t>
        </is>
      </c>
    </row>
    <row r="102">
      <c r="G102" s="52" t="inlineStr">
        <is>
          <t>Guldara</t>
        </is>
      </c>
      <c r="J102" s="52" t="inlineStr">
        <is>
          <t>Shafiqullah Wahidi Construction Company (SWCC)</t>
        </is>
      </c>
    </row>
    <row r="103">
      <c r="G103" s="52" t="inlineStr">
        <is>
          <t>Khak-e-Jabbar</t>
        </is>
      </c>
      <c r="J103" s="52" t="inlineStr">
        <is>
          <t>SHAMAL KARDAN ROAD CONSTRUCTION AND LOGISTIC SERVICES COMPANY LTD (SKRCC)</t>
        </is>
      </c>
    </row>
    <row r="104">
      <c r="G104" s="52" t="inlineStr">
        <is>
          <t>Surobi</t>
        </is>
      </c>
      <c r="J104" s="52" t="inlineStr">
        <is>
          <t>Shams Afghan Vision Construction and Logistic Services (SAVCC)</t>
        </is>
      </c>
    </row>
    <row r="105">
      <c r="G105" s="52" t="inlineStr">
        <is>
          <t>Charikar</t>
        </is>
      </c>
      <c r="J105" s="52" t="inlineStr">
        <is>
          <t>Shamsurahman</t>
        </is>
      </c>
    </row>
    <row r="106">
      <c r="G106" s="52" t="inlineStr">
        <is>
          <t>Bagram</t>
        </is>
      </c>
      <c r="J106" s="52" t="inlineStr">
        <is>
          <t>Shirali Khan Barakatzai Construction Company (SBCC)</t>
        </is>
      </c>
    </row>
    <row r="107">
      <c r="G107" s="52" t="inlineStr">
        <is>
          <t>Jabal Saraj</t>
        </is>
      </c>
      <c r="J107" s="52" t="inlineStr">
        <is>
          <t>Sobhan</t>
        </is>
      </c>
    </row>
    <row r="108">
      <c r="G108" s="52" t="inlineStr">
        <is>
          <t>Salang</t>
        </is>
      </c>
      <c r="J108" s="52" t="inlineStr">
        <is>
          <t>Trust Grow Construction and Engineering Company (TGCC)</t>
        </is>
      </c>
    </row>
    <row r="109">
      <c r="G109" s="52" t="inlineStr">
        <is>
          <t>Shinwari</t>
        </is>
      </c>
      <c r="J109" s="52" t="inlineStr">
        <is>
          <t>Unique Wahaj Construction Company (UWCC)</t>
        </is>
      </c>
    </row>
    <row r="110">
      <c r="G110" s="52" t="inlineStr">
        <is>
          <t>Sayed Khel</t>
        </is>
      </c>
      <c r="J110" s="52" t="inlineStr">
        <is>
          <t>Waheed Wahaj Construction Company (WWCC)</t>
        </is>
      </c>
    </row>
    <row r="111">
      <c r="G111" s="52" t="inlineStr">
        <is>
          <t>Koh-i-Safi</t>
        </is>
      </c>
      <c r="J111" s="52" t="inlineStr">
        <is>
          <t>Wardak University</t>
        </is>
      </c>
    </row>
    <row r="112">
      <c r="G112" s="52" t="inlineStr">
        <is>
          <t>Surkhi Parsa</t>
        </is>
      </c>
      <c r="J112" s="52" t="inlineStr">
        <is>
          <t>Wasif Construction Company</t>
        </is>
      </c>
    </row>
    <row r="113">
      <c r="G113" s="52" t="inlineStr">
        <is>
          <t>Shekh Ali</t>
        </is>
      </c>
      <c r="J113" s="52" t="inlineStr">
        <is>
          <t>Zabihullah</t>
        </is>
      </c>
    </row>
    <row r="114">
      <c r="G114" s="52" t="inlineStr">
        <is>
          <t>Ghorband</t>
        </is>
      </c>
      <c r="J114" s="52" t="inlineStr">
        <is>
          <t>Zahid Saeed Engineering and Construction Company (ZSCC)</t>
        </is>
      </c>
    </row>
    <row r="115">
      <c r="G115" s="52" t="inlineStr">
        <is>
          <t>Mahmud Raqi</t>
        </is>
      </c>
      <c r="J115" s="52" t="inlineStr">
        <is>
          <t>Ziaurrahman Mohammadi</t>
        </is>
      </c>
    </row>
    <row r="116">
      <c r="G116" s="52" t="inlineStr">
        <is>
          <t>Hisa-i-Awal Kohistan</t>
        </is>
      </c>
      <c r="J116" s="118" t="n"/>
    </row>
    <row r="117">
      <c r="G117" s="52" t="inlineStr">
        <is>
          <t>Hisa-i-Duwum Kohistan</t>
        </is>
      </c>
      <c r="J117" s="118" t="n"/>
    </row>
    <row r="118">
      <c r="G118" s="52" t="inlineStr">
        <is>
          <t>Koh Band</t>
        </is>
      </c>
      <c r="J118" s="118" t="n"/>
    </row>
    <row r="119">
      <c r="G119" s="52" t="inlineStr">
        <is>
          <t>Nijrab</t>
        </is>
      </c>
      <c r="J119" s="118" t="n"/>
    </row>
    <row r="120">
      <c r="G120" s="52" t="inlineStr">
        <is>
          <t>Tagab</t>
        </is>
      </c>
      <c r="J120" s="118" t="n"/>
    </row>
    <row r="121">
      <c r="G121" s="52" t="inlineStr">
        <is>
          <t>Alasay</t>
        </is>
      </c>
      <c r="J121" s="118" t="n"/>
    </row>
    <row r="122">
      <c r="G122" s="52" t="inlineStr">
        <is>
          <t>Puli Alam</t>
        </is>
      </c>
      <c r="J122" s="118" t="n"/>
    </row>
    <row r="123">
      <c r="G123" s="52" t="inlineStr">
        <is>
          <t>Muhammad Agha</t>
        </is>
      </c>
      <c r="J123" s="118" t="n"/>
    </row>
    <row r="124">
      <c r="G124" s="52" t="inlineStr">
        <is>
          <t>Kharwar</t>
        </is>
      </c>
      <c r="J124" s="118" t="n"/>
    </row>
    <row r="125">
      <c r="G125" s="52" t="inlineStr">
        <is>
          <t>Khoshi</t>
        </is>
      </c>
      <c r="J125" s="118" t="n"/>
    </row>
    <row r="126">
      <c r="G126" s="52" t="inlineStr">
        <is>
          <t>Baraki Barak</t>
        </is>
      </c>
      <c r="J126" s="118" t="n"/>
    </row>
    <row r="127">
      <c r="G127" s="52" t="inlineStr">
        <is>
          <t>Azra</t>
        </is>
      </c>
      <c r="J127" s="118" t="n"/>
    </row>
    <row r="128">
      <c r="G128" s="52" t="inlineStr">
        <is>
          <t>Charkh</t>
        </is>
      </c>
    </row>
    <row r="129">
      <c r="G129" s="52" t="inlineStr">
        <is>
          <t>Maidan Shahr</t>
        </is>
      </c>
    </row>
    <row r="130">
      <c r="G130" s="52" t="inlineStr">
        <is>
          <t>Nirkh</t>
        </is>
      </c>
    </row>
    <row r="131">
      <c r="G131" s="52" t="inlineStr">
        <is>
          <t>Jalrez</t>
        </is>
      </c>
    </row>
    <row r="132">
      <c r="G132" s="52" t="inlineStr">
        <is>
          <t>Hisa-i-Awal Behsud</t>
        </is>
      </c>
    </row>
    <row r="133">
      <c r="G133" s="52" t="inlineStr">
        <is>
          <t>Markazi Behsud</t>
        </is>
      </c>
    </row>
    <row r="134">
      <c r="G134" s="52" t="inlineStr">
        <is>
          <t>Day Mirdad</t>
        </is>
      </c>
    </row>
    <row r="135">
      <c r="G135" s="52" t="inlineStr">
        <is>
          <t>Chaki Wardak</t>
        </is>
      </c>
    </row>
    <row r="136">
      <c r="G136" s="52" t="inlineStr">
        <is>
          <t>Saydabad</t>
        </is>
      </c>
    </row>
    <row r="137">
      <c r="G137" s="52" t="inlineStr">
        <is>
          <t>Jaghatu</t>
        </is>
      </c>
    </row>
    <row r="138">
      <c r="G138" s="52" t="inlineStr">
        <is>
          <t>Bazarak</t>
        </is>
      </c>
    </row>
    <row r="139">
      <c r="G139" s="52" t="inlineStr">
        <is>
          <t>Rokha</t>
        </is>
      </c>
    </row>
    <row r="140">
      <c r="G140" s="52" t="inlineStr">
        <is>
          <t>Shotul</t>
        </is>
      </c>
    </row>
    <row r="141">
      <c r="G141" s="52" t="inlineStr">
        <is>
          <t>Darah</t>
        </is>
      </c>
    </row>
    <row r="142">
      <c r="G142" s="52" t="inlineStr">
        <is>
          <t>Hisa-i-Awal</t>
        </is>
      </c>
    </row>
    <row r="143">
      <c r="G143" s="52" t="inlineStr">
        <is>
          <t>Hisa-i-Duwum</t>
        </is>
      </c>
    </row>
    <row r="144">
      <c r="G144" s="52" t="inlineStr">
        <is>
          <t>Paryan</t>
        </is>
      </c>
    </row>
    <row r="145">
      <c r="G145" s="52" t="inlineStr">
        <is>
          <t>Bamyan</t>
        </is>
      </c>
    </row>
    <row r="146">
      <c r="G146" s="52" t="inlineStr">
        <is>
          <t>Shibar</t>
        </is>
      </c>
    </row>
    <row r="147">
      <c r="G147" s="52" t="inlineStr">
        <is>
          <t>Kahmard</t>
        </is>
      </c>
    </row>
    <row r="148">
      <c r="G148" s="52" t="inlineStr">
        <is>
          <t>Yakawlang</t>
        </is>
      </c>
    </row>
    <row r="149">
      <c r="G149" s="52" t="inlineStr">
        <is>
          <t>Panjab</t>
        </is>
      </c>
    </row>
    <row r="150">
      <c r="G150" s="52" t="inlineStr">
        <is>
          <t>Waras</t>
        </is>
      </c>
    </row>
    <row r="151">
      <c r="G151" s="52" t="inlineStr">
        <is>
          <t>Saighan</t>
        </is>
      </c>
    </row>
    <row r="152">
      <c r="G152" s="52" t="inlineStr">
        <is>
          <t>Nili</t>
        </is>
      </c>
    </row>
    <row r="153">
      <c r="G153" s="52" t="inlineStr">
        <is>
          <t>Ashtarlay</t>
        </is>
      </c>
    </row>
    <row r="154">
      <c r="G154" s="52" t="inlineStr">
        <is>
          <t>Sang Takht wa Bandar</t>
        </is>
      </c>
    </row>
    <row r="155">
      <c r="G155" s="52" t="inlineStr">
        <is>
          <t>Khadir</t>
        </is>
      </c>
    </row>
    <row r="156">
      <c r="G156" s="52" t="inlineStr">
        <is>
          <t>Kiti</t>
        </is>
      </c>
    </row>
    <row r="157">
      <c r="G157" s="52" t="inlineStr">
        <is>
          <t>Miramor</t>
        </is>
      </c>
    </row>
    <row r="158">
      <c r="G158" s="52" t="inlineStr">
        <is>
          <t>Shahristan</t>
        </is>
      </c>
    </row>
    <row r="159">
      <c r="G159" s="52" t="inlineStr">
        <is>
          <t>Gizab</t>
        </is>
      </c>
    </row>
    <row r="160">
      <c r="G160" s="52" t="inlineStr">
        <is>
          <t>Gardez</t>
        </is>
      </c>
    </row>
    <row r="161">
      <c r="G161" s="52" t="inlineStr">
        <is>
          <t>Sayed Karam</t>
        </is>
      </c>
    </row>
    <row r="162">
      <c r="G162" s="52" t="inlineStr">
        <is>
          <t>Ahmadabad</t>
        </is>
      </c>
    </row>
    <row r="163">
      <c r="G163" s="52" t="inlineStr">
        <is>
          <t>Jaji</t>
        </is>
      </c>
    </row>
    <row r="164">
      <c r="G164" s="52" t="inlineStr">
        <is>
          <t>Zurmat</t>
        </is>
      </c>
    </row>
    <row r="165">
      <c r="G165" s="52" t="inlineStr">
        <is>
          <t>Dand wa Patan</t>
        </is>
      </c>
    </row>
    <row r="166">
      <c r="G166" s="52" t="inlineStr">
        <is>
          <t>Gerda Serai</t>
        </is>
      </c>
    </row>
    <row r="167">
      <c r="G167" s="52" t="inlineStr">
        <is>
          <t>Laja Ahmad Khel</t>
        </is>
      </c>
    </row>
    <row r="168">
      <c r="G168" s="52" t="inlineStr">
        <is>
          <t>Mirzaka</t>
        </is>
      </c>
    </row>
    <row r="169">
      <c r="G169" s="52" t="inlineStr">
        <is>
          <t>Shwak</t>
        </is>
      </c>
    </row>
    <row r="170">
      <c r="G170" s="52" t="inlineStr">
        <is>
          <t>Sharana</t>
        </is>
      </c>
    </row>
    <row r="171">
      <c r="G171" s="52" t="inlineStr">
        <is>
          <t>Sarubi</t>
        </is>
      </c>
    </row>
    <row r="172">
      <c r="G172" s="52" t="inlineStr">
        <is>
          <t>Urgun</t>
        </is>
      </c>
    </row>
    <row r="173">
      <c r="G173" s="52" t="inlineStr">
        <is>
          <t>Barmal</t>
        </is>
      </c>
    </row>
    <row r="174">
      <c r="G174" s="52" t="inlineStr">
        <is>
          <t>Gomal</t>
        </is>
      </c>
    </row>
    <row r="175">
      <c r="G175" s="52" t="inlineStr">
        <is>
          <t>Mata Khan</t>
        </is>
      </c>
    </row>
    <row r="176">
      <c r="G176" s="52" t="inlineStr">
        <is>
          <t>Omna</t>
        </is>
      </c>
    </row>
    <row r="177">
      <c r="G177" s="52" t="inlineStr">
        <is>
          <t>Sar Hawza</t>
        </is>
      </c>
    </row>
    <row r="178">
      <c r="G178" s="52" t="inlineStr">
        <is>
          <t>Terwa</t>
        </is>
      </c>
    </row>
    <row r="179">
      <c r="G179" s="52" t="inlineStr">
        <is>
          <t>Waza Khwa</t>
        </is>
      </c>
    </row>
    <row r="180">
      <c r="G180" s="52" t="inlineStr">
        <is>
          <t>Yosuf Khel</t>
        </is>
      </c>
    </row>
    <row r="181">
      <c r="G181" s="52" t="inlineStr">
        <is>
          <t>Ziruk</t>
        </is>
      </c>
    </row>
    <row r="182">
      <c r="G182" s="52" t="inlineStr">
        <is>
          <t>Gayan</t>
        </is>
      </c>
    </row>
    <row r="183">
      <c r="G183" s="52" t="inlineStr">
        <is>
          <t>Dila</t>
        </is>
      </c>
    </row>
    <row r="184">
      <c r="G184" s="52" t="inlineStr">
        <is>
          <t>Nika</t>
        </is>
      </c>
    </row>
    <row r="185">
      <c r="G185" s="52" t="inlineStr">
        <is>
          <t>Khost</t>
        </is>
      </c>
    </row>
    <row r="186">
      <c r="G186" s="52" t="inlineStr">
        <is>
          <t>Zazai Maidan</t>
        </is>
      </c>
    </row>
    <row r="187">
      <c r="G187" s="52" t="inlineStr">
        <is>
          <t>Mandozai</t>
        </is>
      </c>
    </row>
    <row r="188">
      <c r="G188" s="52" t="inlineStr">
        <is>
          <t>Tani</t>
        </is>
      </c>
    </row>
    <row r="189">
      <c r="G189" s="52" t="inlineStr">
        <is>
          <t>Spera</t>
        </is>
      </c>
    </row>
    <row r="190">
      <c r="G190" s="52" t="inlineStr">
        <is>
          <t>Nadir Shah Kot</t>
        </is>
      </c>
    </row>
    <row r="191">
      <c r="G191" s="52" t="inlineStr">
        <is>
          <t>Musa Khel</t>
        </is>
      </c>
    </row>
    <row r="192">
      <c r="G192" s="52" t="inlineStr">
        <is>
          <t>Qalandar</t>
        </is>
      </c>
    </row>
    <row r="193">
      <c r="G193" s="52" t="inlineStr">
        <is>
          <t>Sabari</t>
        </is>
      </c>
    </row>
    <row r="194">
      <c r="G194" s="52" t="inlineStr">
        <is>
          <t>Bak</t>
        </is>
      </c>
    </row>
    <row r="195">
      <c r="G195" s="52" t="inlineStr">
        <is>
          <t>Jaji Maidan</t>
        </is>
      </c>
    </row>
    <row r="196">
      <c r="G196" s="52" t="inlineStr">
        <is>
          <t>Gurbuz</t>
        </is>
      </c>
    </row>
    <row r="197">
      <c r="G197" s="52" t="inlineStr">
        <is>
          <t>Shamul</t>
        </is>
      </c>
    </row>
    <row r="198">
      <c r="G198" s="52" t="inlineStr">
        <is>
          <t>Ghazni</t>
        </is>
      </c>
    </row>
    <row r="199">
      <c r="G199" s="52" t="inlineStr">
        <is>
          <t>Andar</t>
        </is>
      </c>
    </row>
    <row r="200">
      <c r="G200" s="52" t="inlineStr">
        <is>
          <t>Deh Yak</t>
        </is>
      </c>
    </row>
    <row r="201">
      <c r="G201" s="52" t="inlineStr">
        <is>
          <t>Gelan</t>
        </is>
      </c>
    </row>
    <row r="202">
      <c r="G202" s="52" t="inlineStr">
        <is>
          <t>Giro</t>
        </is>
      </c>
    </row>
    <row r="203">
      <c r="G203" s="52" t="inlineStr">
        <is>
          <t>Jaghori</t>
        </is>
      </c>
    </row>
    <row r="204">
      <c r="G204" s="52" t="inlineStr">
        <is>
          <t>Malistan</t>
        </is>
      </c>
    </row>
    <row r="205">
      <c r="G205" s="52" t="inlineStr">
        <is>
          <t>Nawa</t>
        </is>
      </c>
    </row>
    <row r="206">
      <c r="G206" s="52" t="inlineStr">
        <is>
          <t>Nawur</t>
        </is>
      </c>
    </row>
    <row r="207">
      <c r="G207" s="52" t="inlineStr">
        <is>
          <t>Rashidan</t>
        </is>
      </c>
    </row>
    <row r="208">
      <c r="G208" s="52" t="inlineStr">
        <is>
          <t>Waghaz</t>
        </is>
      </c>
    </row>
    <row r="209">
      <c r="G209" s="52" t="inlineStr">
        <is>
          <t>Zana Khan</t>
        </is>
      </c>
    </row>
    <row r="210">
      <c r="G210" s="52" t="inlineStr">
        <is>
          <t>Kandahar</t>
        </is>
      </c>
    </row>
    <row r="211">
      <c r="G211" s="52" t="inlineStr">
        <is>
          <t>Ghorak</t>
        </is>
      </c>
    </row>
    <row r="212">
      <c r="G212" s="52" t="inlineStr">
        <is>
          <t>Nesh</t>
        </is>
      </c>
    </row>
    <row r="213">
      <c r="G213" s="52" t="inlineStr">
        <is>
          <t>Arghandab</t>
        </is>
      </c>
    </row>
    <row r="214">
      <c r="G214" s="52" t="inlineStr">
        <is>
          <t>Daman</t>
        </is>
      </c>
    </row>
    <row r="215">
      <c r="G215" s="52" t="inlineStr">
        <is>
          <t>Panjwayi</t>
        </is>
      </c>
    </row>
    <row r="216">
      <c r="G216" s="52" t="inlineStr">
        <is>
          <t>Spin Boldak</t>
        </is>
      </c>
    </row>
    <row r="217">
      <c r="G217" s="52" t="inlineStr">
        <is>
          <t>Khakrez</t>
        </is>
      </c>
    </row>
    <row r="218">
      <c r="G218" s="52" t="inlineStr">
        <is>
          <t>Shah Wali Kot</t>
        </is>
      </c>
    </row>
    <row r="219">
      <c r="G219" s="52" t="inlineStr">
        <is>
          <t>Maiwand</t>
        </is>
      </c>
    </row>
    <row r="220">
      <c r="G220" s="52" t="inlineStr">
        <is>
          <t>Zhari</t>
        </is>
      </c>
    </row>
    <row r="221">
      <c r="G221" s="52" t="inlineStr">
        <is>
          <t>Arghistan</t>
        </is>
      </c>
    </row>
    <row r="222">
      <c r="G222" s="52" t="inlineStr">
        <is>
          <t>Maruf</t>
        </is>
      </c>
    </row>
    <row r="223">
      <c r="G223" s="52" t="inlineStr">
        <is>
          <t>Reg</t>
        </is>
      </c>
    </row>
    <row r="224">
      <c r="G224" s="52" t="inlineStr">
        <is>
          <t>Shorabak</t>
        </is>
      </c>
    </row>
    <row r="225">
      <c r="G225" s="52" t="inlineStr">
        <is>
          <t>Lashkar Gah</t>
        </is>
      </c>
    </row>
    <row r="226">
      <c r="G226" s="52" t="inlineStr">
        <is>
          <t>Nawzad</t>
        </is>
      </c>
    </row>
    <row r="227">
      <c r="G227" s="52" t="inlineStr">
        <is>
          <t>Washer</t>
        </is>
      </c>
    </row>
    <row r="228">
      <c r="G228" s="52" t="inlineStr">
        <is>
          <t>Nad Ali</t>
        </is>
      </c>
    </row>
    <row r="229">
      <c r="G229" s="52" t="inlineStr">
        <is>
          <t>Nahr-e-Saraj</t>
        </is>
      </c>
    </row>
    <row r="230">
      <c r="G230" s="52" t="inlineStr">
        <is>
          <t>Sangin</t>
        </is>
      </c>
    </row>
    <row r="231">
      <c r="G231" s="52" t="inlineStr">
        <is>
          <t>Musa Qala</t>
        </is>
      </c>
    </row>
    <row r="232">
      <c r="G232" s="52" t="inlineStr">
        <is>
          <t>Kajaki</t>
        </is>
      </c>
    </row>
    <row r="233">
      <c r="G233" s="52" t="inlineStr">
        <is>
          <t>Garmser</t>
        </is>
      </c>
    </row>
    <row r="234">
      <c r="G234" s="52" t="inlineStr">
        <is>
          <t>Dishu</t>
        </is>
      </c>
    </row>
    <row r="235">
      <c r="G235" s="52" t="inlineStr">
        <is>
          <t>Khanashin</t>
        </is>
      </c>
    </row>
    <row r="236">
      <c r="G236" s="52" t="inlineStr">
        <is>
          <t>Baghran</t>
        </is>
      </c>
    </row>
    <row r="237">
      <c r="G237" s="52" t="inlineStr">
        <is>
          <t>Nawa-i-Barakzayi</t>
        </is>
      </c>
    </row>
    <row r="238">
      <c r="G238" s="52" t="inlineStr">
        <is>
          <t>Qalat</t>
        </is>
      </c>
    </row>
    <row r="239">
      <c r="G239" s="52" t="inlineStr">
        <is>
          <t>Mizana</t>
        </is>
      </c>
    </row>
    <row r="240">
      <c r="G240" s="52" t="inlineStr">
        <is>
          <t>Shahjoy</t>
        </is>
      </c>
    </row>
    <row r="241">
      <c r="G241" s="52" t="inlineStr">
        <is>
          <t>Shamulzayi</t>
        </is>
      </c>
    </row>
    <row r="242">
      <c r="G242" s="52" t="inlineStr">
        <is>
          <t>Atghar</t>
        </is>
      </c>
    </row>
    <row r="243">
      <c r="G243" s="52" t="inlineStr">
        <is>
          <t>Daychopan</t>
        </is>
      </c>
    </row>
    <row r="244">
      <c r="G244" s="52" t="inlineStr">
        <is>
          <t>Kakar</t>
        </is>
      </c>
    </row>
    <row r="245">
      <c r="G245" s="52" t="inlineStr">
        <is>
          <t>Naw Bahar</t>
        </is>
      </c>
    </row>
    <row r="246">
      <c r="G246" s="52" t="inlineStr">
        <is>
          <t>Shinkay</t>
        </is>
      </c>
    </row>
    <row r="247">
      <c r="G247" s="52" t="inlineStr">
        <is>
          <t>Tarnak wa Jaldak</t>
        </is>
      </c>
    </row>
    <row r="248">
      <c r="G248" s="52" t="inlineStr">
        <is>
          <t>Tarin Kot</t>
        </is>
      </c>
    </row>
    <row r="249">
      <c r="G249" s="52" t="inlineStr">
        <is>
          <t>Deh Rawud</t>
        </is>
      </c>
    </row>
    <row r="250">
      <c r="G250" s="52" t="inlineStr">
        <is>
          <t>Chora</t>
        </is>
      </c>
    </row>
    <row r="251">
      <c r="G251" s="52" t="inlineStr">
        <is>
          <t>Shahidi Hassas</t>
        </is>
      </c>
    </row>
    <row r="252">
      <c r="G252" s="52" t="inlineStr">
        <is>
          <t>Khas Uruzgan</t>
        </is>
      </c>
    </row>
    <row r="253">
      <c r="G253" s="52" t="inlineStr">
        <is>
          <t>Zaranj</t>
        </is>
      </c>
    </row>
    <row r="254">
      <c r="G254" s="52" t="inlineStr">
        <is>
          <t>Kang</t>
        </is>
      </c>
    </row>
    <row r="255">
      <c r="G255" s="52" t="inlineStr">
        <is>
          <t>Chakhansur</t>
        </is>
      </c>
    </row>
    <row r="256">
      <c r="G256" s="52" t="inlineStr">
        <is>
          <t>Chahar Burjak</t>
        </is>
      </c>
    </row>
    <row r="257">
      <c r="G257" s="52" t="inlineStr">
        <is>
          <t>Khash Rod</t>
        </is>
      </c>
    </row>
    <row r="258">
      <c r="G258" s="52" t="inlineStr">
        <is>
          <t>Mazar-e-Sharif</t>
        </is>
      </c>
    </row>
    <row r="259">
      <c r="G259" s="52" t="inlineStr">
        <is>
          <t>Alburz</t>
        </is>
      </c>
    </row>
    <row r="260">
      <c r="G260" s="52" t="inlineStr">
        <is>
          <t>Dehdadi</t>
        </is>
      </c>
    </row>
    <row r="261">
      <c r="G261" s="52" t="inlineStr">
        <is>
          <t>Nahr-e-Shahi</t>
        </is>
      </c>
    </row>
    <row r="262">
      <c r="G262" s="52" t="inlineStr">
        <is>
          <t>Chimtal</t>
        </is>
      </c>
    </row>
    <row r="263">
      <c r="G263" s="52" t="inlineStr">
        <is>
          <t>Dawlatabad</t>
        </is>
      </c>
    </row>
    <row r="264">
      <c r="G264" s="52" t="inlineStr">
        <is>
          <t>Sholgara</t>
        </is>
      </c>
    </row>
    <row r="265">
      <c r="G265" s="52" t="inlineStr">
        <is>
          <t>Kishindih</t>
        </is>
      </c>
    </row>
    <row r="266">
      <c r="G266" s="52" t="inlineStr">
        <is>
          <t>Zari</t>
        </is>
      </c>
    </row>
    <row r="267">
      <c r="G267" s="52" t="inlineStr">
        <is>
          <t>Shortepa</t>
        </is>
      </c>
    </row>
    <row r="268">
      <c r="G268" s="52" t="inlineStr">
        <is>
          <t>Kaldar</t>
        </is>
      </c>
    </row>
    <row r="269">
      <c r="G269" s="52" t="inlineStr">
        <is>
          <t>Khulm</t>
        </is>
      </c>
    </row>
    <row r="270">
      <c r="G270" s="52" t="inlineStr">
        <is>
          <t>Marmul</t>
        </is>
      </c>
    </row>
    <row r="271">
      <c r="G271" s="52" t="inlineStr">
        <is>
          <t>Aybak</t>
        </is>
      </c>
    </row>
    <row r="272">
      <c r="G272" s="52" t="inlineStr">
        <is>
          <t>Hazrati Sultan</t>
        </is>
      </c>
    </row>
    <row r="273">
      <c r="G273" s="52" t="inlineStr">
        <is>
          <t>Khuram wa Sarbagh</t>
        </is>
      </c>
    </row>
    <row r="274">
      <c r="G274" s="52" t="inlineStr">
        <is>
          <t>Ruyi Du Ab</t>
        </is>
      </c>
    </row>
    <row r="275">
      <c r="G275" s="52" t="inlineStr">
        <is>
          <t>Dara-i-Sufi Payin</t>
        </is>
      </c>
    </row>
    <row r="276">
      <c r="G276" s="52" t="inlineStr">
        <is>
          <t>Dara-i-Sufi Bala</t>
        </is>
      </c>
    </row>
    <row r="277">
      <c r="G277" s="52" t="inlineStr">
        <is>
          <t>Feroz Nakhchir</t>
        </is>
      </c>
    </row>
    <row r="278">
      <c r="G278" s="52" t="inlineStr">
        <is>
          <t>Sheberghan</t>
        </is>
      </c>
    </row>
    <row r="279">
      <c r="G279" s="52" t="inlineStr">
        <is>
          <t>Aqcha</t>
        </is>
      </c>
    </row>
    <row r="280">
      <c r="G280" s="52" t="inlineStr">
        <is>
          <t>Faizabad</t>
        </is>
      </c>
    </row>
    <row r="281">
      <c r="G281" s="52" t="inlineStr">
        <is>
          <t>Khamyab</t>
        </is>
      </c>
    </row>
    <row r="282">
      <c r="G282" s="52" t="inlineStr">
        <is>
          <t>Khwaja Du Koh</t>
        </is>
      </c>
    </row>
    <row r="283">
      <c r="G283" s="52" t="inlineStr">
        <is>
          <t>Mardyan</t>
        </is>
      </c>
    </row>
    <row r="284">
      <c r="G284" s="52" t="inlineStr">
        <is>
          <t>Mingajik</t>
        </is>
      </c>
    </row>
    <row r="285">
      <c r="G285" s="52" t="inlineStr">
        <is>
          <t>Qarqin</t>
        </is>
      </c>
    </row>
    <row r="286">
      <c r="G286" s="52" t="inlineStr">
        <is>
          <t>Qush Tepa</t>
        </is>
      </c>
    </row>
    <row r="287">
      <c r="G287" s="52" t="inlineStr">
        <is>
          <t>Darzab</t>
        </is>
      </c>
    </row>
    <row r="288">
      <c r="G288" s="52" t="inlineStr">
        <is>
          <t>Shibirghan</t>
        </is>
      </c>
    </row>
    <row r="289">
      <c r="G289" s="52" t="inlineStr">
        <is>
          <t>Sar-e-Pul</t>
        </is>
      </c>
    </row>
    <row r="290">
      <c r="G290" s="52" t="inlineStr">
        <is>
          <t>Balkhab</t>
        </is>
      </c>
    </row>
    <row r="291">
      <c r="G291" s="52" t="inlineStr">
        <is>
          <t>Gosfandi</t>
        </is>
      </c>
    </row>
    <row r="292">
      <c r="G292" s="52" t="inlineStr">
        <is>
          <t>Kohistanat</t>
        </is>
      </c>
    </row>
    <row r="293">
      <c r="G293" s="52" t="inlineStr">
        <is>
          <t>Sangcharak</t>
        </is>
      </c>
    </row>
    <row r="294">
      <c r="G294" s="52" t="inlineStr">
        <is>
          <t>Sayyad</t>
        </is>
      </c>
    </row>
    <row r="295">
      <c r="G295" s="52" t="inlineStr">
        <is>
          <t>Sozma Qala</t>
        </is>
      </c>
    </row>
    <row r="296">
      <c r="G296" s="52" t="inlineStr">
        <is>
          <t>Maymana</t>
        </is>
      </c>
    </row>
    <row r="297">
      <c r="G297" s="52" t="inlineStr">
        <is>
          <t>Andkhoy</t>
        </is>
      </c>
    </row>
    <row r="298">
      <c r="G298" s="52" t="inlineStr">
        <is>
          <t>Almar</t>
        </is>
      </c>
    </row>
    <row r="299">
      <c r="G299" s="52" t="inlineStr">
        <is>
          <t>Bilchiragh</t>
        </is>
      </c>
    </row>
    <row r="300">
      <c r="G300" s="52" t="inlineStr">
        <is>
          <t>Gurziwan</t>
        </is>
      </c>
    </row>
    <row r="301">
      <c r="G301" s="52" t="inlineStr">
        <is>
          <t>Khwaja Sabz Posh</t>
        </is>
      </c>
    </row>
    <row r="302">
      <c r="G302" s="52" t="inlineStr">
        <is>
          <t>Kohistan</t>
        </is>
      </c>
    </row>
    <row r="303">
      <c r="G303" s="52" t="inlineStr">
        <is>
          <t>Pashtun Kot</t>
        </is>
      </c>
    </row>
    <row r="304">
      <c r="G304" s="52" t="inlineStr">
        <is>
          <t>Qaramqol</t>
        </is>
      </c>
    </row>
    <row r="305">
      <c r="G305" s="52" t="inlineStr">
        <is>
          <t>Qaysar</t>
        </is>
      </c>
    </row>
    <row r="306">
      <c r="G306" s="52" t="inlineStr">
        <is>
          <t>Shirin Tagab</t>
        </is>
      </c>
    </row>
    <row r="307">
      <c r="G307" s="52" t="inlineStr">
        <is>
          <t>Kunduz</t>
        </is>
      </c>
    </row>
    <row r="308">
      <c r="G308" s="52" t="inlineStr">
        <is>
          <t>Ali Abad</t>
        </is>
      </c>
    </row>
    <row r="309">
      <c r="G309" s="52" t="inlineStr">
        <is>
          <t>Kalbad</t>
        </is>
      </c>
    </row>
    <row r="310">
      <c r="G310" s="52" t="inlineStr">
        <is>
          <t>Qala-e-Zal</t>
        </is>
      </c>
    </row>
    <row r="311">
      <c r="G311" s="52" t="inlineStr">
        <is>
          <t>Imam Sahib</t>
        </is>
      </c>
    </row>
    <row r="312">
      <c r="G312" s="52" t="inlineStr">
        <is>
          <t>Khanabad</t>
        </is>
      </c>
    </row>
    <row r="313">
      <c r="G313" s="52" t="inlineStr">
        <is>
          <t>Chahar Dara</t>
        </is>
      </c>
    </row>
    <row r="314">
      <c r="G314" s="52" t="inlineStr">
        <is>
          <t>Dasht-e-Archi</t>
        </is>
      </c>
    </row>
    <row r="315">
      <c r="G315" s="52" t="inlineStr">
        <is>
          <t>Puli Khumri</t>
        </is>
      </c>
    </row>
    <row r="316">
      <c r="G316" s="52" t="inlineStr">
        <is>
          <t>Baghlan</t>
        </is>
      </c>
    </row>
    <row r="317">
      <c r="G317" s="52" t="inlineStr">
        <is>
          <t>Dahana-i-Ghori</t>
        </is>
      </c>
    </row>
    <row r="318">
      <c r="G318" s="52" t="inlineStr">
        <is>
          <t>Dushi</t>
        </is>
      </c>
    </row>
    <row r="319">
      <c r="G319" s="52" t="inlineStr">
        <is>
          <t>Khinjan</t>
        </is>
      </c>
    </row>
    <row r="320">
      <c r="G320" s="52" t="inlineStr">
        <is>
          <t>Khost wa Firing</t>
        </is>
      </c>
    </row>
    <row r="321">
      <c r="G321" s="52" t="inlineStr">
        <is>
          <t>Nahrin</t>
        </is>
      </c>
    </row>
    <row r="322">
      <c r="G322" s="52" t="inlineStr">
        <is>
          <t>Andarab</t>
        </is>
      </c>
    </row>
    <row r="323">
      <c r="G323" s="52" t="inlineStr">
        <is>
          <t>Tala wa Barfak</t>
        </is>
      </c>
    </row>
    <row r="324">
      <c r="G324" s="52" t="inlineStr">
        <is>
          <t>Burka</t>
        </is>
      </c>
    </row>
    <row r="325">
      <c r="G325" s="52" t="inlineStr">
        <is>
          <t>Taloqan</t>
        </is>
      </c>
    </row>
    <row r="326">
      <c r="G326" s="52" t="inlineStr">
        <is>
          <t>Baharak</t>
        </is>
      </c>
    </row>
    <row r="327">
      <c r="G327" s="52" t="inlineStr">
        <is>
          <t>Bangi</t>
        </is>
      </c>
    </row>
    <row r="328">
      <c r="G328" s="52" t="inlineStr">
        <is>
          <t>Chah Ab</t>
        </is>
      </c>
    </row>
    <row r="329">
      <c r="G329" s="52" t="inlineStr">
        <is>
          <t>Chal</t>
        </is>
      </c>
    </row>
    <row r="330">
      <c r="G330" s="52" t="inlineStr">
        <is>
          <t>Darqad</t>
        </is>
      </c>
    </row>
    <row r="331">
      <c r="G331" s="52" t="inlineStr">
        <is>
          <t>Dashti Qala</t>
        </is>
      </c>
    </row>
    <row r="332">
      <c r="G332" s="52" t="inlineStr">
        <is>
          <t>Farkhar</t>
        </is>
      </c>
    </row>
    <row r="333">
      <c r="G333" s="52" t="inlineStr">
        <is>
          <t>Ishkamish</t>
        </is>
      </c>
    </row>
    <row r="334">
      <c r="G334" s="52" t="inlineStr">
        <is>
          <t>Kalafgan</t>
        </is>
      </c>
    </row>
    <row r="335">
      <c r="G335" s="52" t="inlineStr">
        <is>
          <t>Khwaja Ghar</t>
        </is>
      </c>
    </row>
    <row r="336">
      <c r="G336" s="52" t="inlineStr">
        <is>
          <t>Rustaq</t>
        </is>
      </c>
    </row>
    <row r="337">
      <c r="G337" s="52" t="inlineStr">
        <is>
          <t>Warsaj</t>
        </is>
      </c>
    </row>
    <row r="338">
      <c r="G338" s="52" t="inlineStr">
        <is>
          <t>Yangi Qala</t>
        </is>
      </c>
    </row>
    <row r="339">
      <c r="G339" s="52" t="inlineStr">
        <is>
          <t>Fayzabad</t>
        </is>
      </c>
    </row>
    <row r="340">
      <c r="G340" s="52" t="inlineStr">
        <is>
          <t>Jurm</t>
        </is>
      </c>
    </row>
    <row r="341">
      <c r="G341" s="52" t="inlineStr">
        <is>
          <t>Kishim</t>
        </is>
      </c>
    </row>
    <row r="342">
      <c r="G342" s="52" t="inlineStr">
        <is>
          <t>Yaftal</t>
        </is>
      </c>
    </row>
    <row r="343">
      <c r="G343" s="52" t="inlineStr">
        <is>
          <t>Arghanj Khwa</t>
        </is>
      </c>
    </row>
    <row r="344">
      <c r="G344" s="52" t="inlineStr">
        <is>
          <t>Darwaz</t>
        </is>
      </c>
    </row>
    <row r="345">
      <c r="G345" s="52" t="inlineStr">
        <is>
          <t>Ishkashim</t>
        </is>
      </c>
    </row>
    <row r="346">
      <c r="G346" s="52" t="inlineStr">
        <is>
          <t>Kuf Ab</t>
        </is>
      </c>
    </row>
    <row r="347">
      <c r="G347" s="52" t="inlineStr">
        <is>
          <t>Raghistan</t>
        </is>
      </c>
    </row>
    <row r="348">
      <c r="G348" s="52" t="inlineStr">
        <is>
          <t>Shighnan</t>
        </is>
      </c>
    </row>
    <row r="349">
      <c r="G349" s="52" t="inlineStr">
        <is>
          <t>Wakhan</t>
        </is>
      </c>
    </row>
    <row r="350">
      <c r="G350" s="52" t="inlineStr">
        <is>
          <t>Zebak</t>
        </is>
      </c>
    </row>
    <row r="351">
      <c r="G351" s="118" t="n"/>
    </row>
    <row r="352">
      <c r="G352" s="118" t="n"/>
    </row>
    <row r="353">
      <c r="G353" s="118" t="n"/>
    </row>
    <row r="354">
      <c r="G354" s="118" t="n"/>
    </row>
    <row r="355">
      <c r="G355" s="118" t="n"/>
    </row>
    <row r="356">
      <c r="G356" s="118" t="n"/>
    </row>
    <row r="357">
      <c r="G357" s="118" t="n"/>
    </row>
    <row r="358">
      <c r="G358" s="118" t="n"/>
    </row>
    <row r="359">
      <c r="G359" s="118" t="n"/>
    </row>
    <row r="360">
      <c r="G360" s="118" t="n"/>
    </row>
    <row r="361">
      <c r="G361" s="118" t="n"/>
    </row>
    <row r="362">
      <c r="G362" s="118" t="n"/>
    </row>
  </sheetData>
  <autoFilter ref="A2:J2"/>
  <mergeCells count="1">
    <mergeCell ref="A1:H1"/>
  </mergeCells>
  <pageMargins left="0.75" right="0.75" top="1" bottom="1" header="0.5" footer="0.5"/>
</worksheet>
</file>

<file path=xl/worksheets/sheet11.xml><?xml version="1.0" encoding="utf-8"?>
<worksheet xmlns="http://schemas.openxmlformats.org/spreadsheetml/2006/main">
  <sheetPr>
    <tabColor rgb="003D5A3D"/>
    <outlinePr summaryBelow="1" summaryRight="1"/>
    <pageSetUpPr/>
  </sheetPr>
  <dimension ref="A1:AH50"/>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ht="28" customHeight="1">
      <c r="A1" s="21" t="inlineStr">
        <is>
          <t>Geography lists — add a province under its region code, or a district under its province column. Do not leave blank cells in the middle of a list.</t>
        </is>
      </c>
      <c r="B1" s="22" t="n"/>
      <c r="C1" s="22" t="n"/>
      <c r="D1" s="22" t="n"/>
      <c r="E1" s="22" t="n"/>
      <c r="F1" s="22" t="n"/>
      <c r="G1" s="22" t="n"/>
      <c r="H1" s="22" t="n"/>
      <c r="I1" s="22" t="n"/>
      <c r="J1" s="22" t="n"/>
      <c r="K1" s="22" t="n"/>
      <c r="L1" s="22" t="n"/>
      <c r="M1" s="22" t="n"/>
      <c r="N1" s="22" t="n"/>
      <c r="O1" s="22" t="n"/>
      <c r="P1" s="22" t="n"/>
    </row>
    <row r="3">
      <c r="A3" s="119" t="inlineStr">
        <is>
          <t>PROVINCES BY REGION (column header is the region code used in named ranges)</t>
        </is>
      </c>
    </row>
    <row r="4">
      <c r="A4" s="24" t="inlineStr">
        <is>
          <t>West_Herat</t>
        </is>
      </c>
      <c r="B4" s="24" t="inlineStr">
        <is>
          <t>East_Jalalabad</t>
        </is>
      </c>
      <c r="C4" s="24" t="inlineStr">
        <is>
          <t>Central_Kabul</t>
        </is>
      </c>
      <c r="D4" s="24" t="inlineStr">
        <is>
          <t>Central_Highland_Bamyan</t>
        </is>
      </c>
      <c r="E4" s="24" t="inlineStr">
        <is>
          <t>Southeast_Gardez</t>
        </is>
      </c>
      <c r="F4" s="24" t="inlineStr">
        <is>
          <t>South_Kandahar</t>
        </is>
      </c>
      <c r="G4" s="24" t="inlineStr">
        <is>
          <t>North_Mazar</t>
        </is>
      </c>
      <c r="H4" s="24" t="inlineStr">
        <is>
          <t>Northeast_Kunduz</t>
        </is>
      </c>
    </row>
    <row r="5">
      <c r="A5" s="5" t="inlineStr">
        <is>
          <t>Herat</t>
        </is>
      </c>
      <c r="B5" s="5" t="inlineStr">
        <is>
          <t>Nangarhar</t>
        </is>
      </c>
      <c r="C5" s="5" t="inlineStr">
        <is>
          <t>Kabul</t>
        </is>
      </c>
      <c r="D5" s="5" t="inlineStr">
        <is>
          <t>Bamyan</t>
        </is>
      </c>
      <c r="E5" s="5" t="inlineStr">
        <is>
          <t>Paktya</t>
        </is>
      </c>
      <c r="F5" s="5" t="inlineStr">
        <is>
          <t>Kandahar</t>
        </is>
      </c>
      <c r="G5" s="5" t="inlineStr">
        <is>
          <t>Balkh</t>
        </is>
      </c>
      <c r="H5" s="5" t="inlineStr">
        <is>
          <t>Kunduz</t>
        </is>
      </c>
    </row>
    <row r="6">
      <c r="A6" s="5" t="inlineStr">
        <is>
          <t>Badghis</t>
        </is>
      </c>
      <c r="B6" s="5" t="inlineStr">
        <is>
          <t>Kunar</t>
        </is>
      </c>
      <c r="C6" s="5" t="inlineStr">
        <is>
          <t>Parwan</t>
        </is>
      </c>
      <c r="D6" s="5" t="inlineStr">
        <is>
          <t>Daykundi</t>
        </is>
      </c>
      <c r="E6" s="5" t="inlineStr">
        <is>
          <t>Paktika</t>
        </is>
      </c>
      <c r="F6" s="5" t="inlineStr">
        <is>
          <t>Helmand</t>
        </is>
      </c>
      <c r="G6" s="5" t="inlineStr">
        <is>
          <t>Samangan</t>
        </is>
      </c>
      <c r="H6" s="5" t="inlineStr">
        <is>
          <t>Baghlan</t>
        </is>
      </c>
    </row>
    <row r="7">
      <c r="A7" s="5" t="inlineStr">
        <is>
          <t>Farah</t>
        </is>
      </c>
      <c r="B7" s="5" t="inlineStr">
        <is>
          <t>Laghman</t>
        </is>
      </c>
      <c r="C7" s="5" t="inlineStr">
        <is>
          <t>Kapisa</t>
        </is>
      </c>
      <c r="D7" s="118" t="n"/>
      <c r="E7" s="5" t="inlineStr">
        <is>
          <t>Khost</t>
        </is>
      </c>
      <c r="F7" s="5" t="inlineStr">
        <is>
          <t>Zabul</t>
        </is>
      </c>
      <c r="G7" s="5" t="inlineStr">
        <is>
          <t>Jawzjan</t>
        </is>
      </c>
      <c r="H7" s="5" t="inlineStr">
        <is>
          <t>Takhar</t>
        </is>
      </c>
    </row>
    <row r="8">
      <c r="A8" s="5" t="inlineStr">
        <is>
          <t>Ghor</t>
        </is>
      </c>
      <c r="B8" s="5" t="inlineStr">
        <is>
          <t>Nuristan</t>
        </is>
      </c>
      <c r="C8" s="5" t="inlineStr">
        <is>
          <t>Logar</t>
        </is>
      </c>
      <c r="D8" s="118" t="n"/>
      <c r="E8" s="5" t="inlineStr">
        <is>
          <t>Ghazni</t>
        </is>
      </c>
      <c r="F8" s="5" t="inlineStr">
        <is>
          <t>Uruzgan</t>
        </is>
      </c>
      <c r="G8" s="5" t="inlineStr">
        <is>
          <t>Sar-e-Pul</t>
        </is>
      </c>
      <c r="H8" s="5" t="inlineStr">
        <is>
          <t>Badakhshan</t>
        </is>
      </c>
    </row>
    <row r="9">
      <c r="A9" s="118" t="n"/>
      <c r="B9" s="118" t="n"/>
      <c r="C9" s="5" t="inlineStr">
        <is>
          <t>Maidan Wardak</t>
        </is>
      </c>
      <c r="D9" s="118" t="n"/>
      <c r="E9" s="118" t="n"/>
      <c r="F9" s="5" t="inlineStr">
        <is>
          <t>Nimroz</t>
        </is>
      </c>
      <c r="G9" s="5" t="inlineStr">
        <is>
          <t>Faryab</t>
        </is>
      </c>
      <c r="H9" s="118" t="n"/>
    </row>
    <row r="10">
      <c r="A10" s="118" t="n"/>
      <c r="B10" s="118" t="n"/>
      <c r="C10" s="5" t="inlineStr">
        <is>
          <t>Panjshir</t>
        </is>
      </c>
      <c r="D10" s="118" t="n"/>
      <c r="E10" s="118" t="n"/>
      <c r="F10" s="118" t="n"/>
      <c r="G10" s="118" t="n"/>
      <c r="H10" s="118" t="n"/>
    </row>
    <row r="11">
      <c r="A11" s="118" t="n"/>
      <c r="B11" s="118" t="n"/>
      <c r="C11" s="118" t="n"/>
      <c r="D11" s="118" t="n"/>
      <c r="E11" s="118" t="n"/>
      <c r="F11" s="118" t="n"/>
      <c r="G11" s="118" t="n"/>
      <c r="H11" s="118" t="n"/>
    </row>
    <row r="12">
      <c r="A12" s="118" t="n"/>
      <c r="B12" s="118" t="n"/>
      <c r="C12" s="118" t="n"/>
      <c r="D12" s="118" t="n"/>
      <c r="E12" s="118" t="n"/>
      <c r="F12" s="118" t="n"/>
      <c r="G12" s="118" t="n"/>
      <c r="H12" s="118" t="n"/>
    </row>
    <row r="13">
      <c r="A13" s="118" t="n"/>
      <c r="B13" s="118" t="n"/>
      <c r="C13" s="118" t="n"/>
      <c r="D13" s="118" t="n"/>
      <c r="E13" s="118" t="n"/>
      <c r="F13" s="118" t="n"/>
      <c r="G13" s="118" t="n"/>
      <c r="H13" s="118" t="n"/>
    </row>
    <row r="14">
      <c r="A14" s="118" t="n"/>
      <c r="B14" s="118" t="n"/>
      <c r="C14" s="118" t="n"/>
      <c r="D14" s="118" t="n"/>
      <c r="E14" s="118" t="n"/>
      <c r="F14" s="118" t="n"/>
      <c r="G14" s="118" t="n"/>
      <c r="H14" s="118" t="n"/>
    </row>
    <row r="15">
      <c r="A15" s="118" t="n"/>
      <c r="B15" s="118" t="n"/>
      <c r="C15" s="118" t="n"/>
      <c r="E15" s="118" t="n"/>
      <c r="F15" s="118" t="n"/>
      <c r="G15" s="118" t="n"/>
      <c r="H15" s="118" t="n"/>
    </row>
    <row r="16">
      <c r="A16" s="118" t="n"/>
      <c r="B16" s="118" t="n"/>
      <c r="C16" s="118" t="n"/>
      <c r="E16" s="118" t="n"/>
      <c r="F16" s="118" t="n"/>
      <c r="G16" s="118" t="n"/>
      <c r="H16" s="118" t="n"/>
    </row>
    <row r="17">
      <c r="C17" s="118" t="n"/>
      <c r="F17" s="118" t="n"/>
      <c r="G17" s="118" t="n"/>
    </row>
    <row r="18">
      <c r="C18" s="118" t="n"/>
    </row>
    <row r="21">
      <c r="A21" s="120" t="inlineStr">
        <is>
          <t>DISTRICTS BY PROVINCE (column header is the province; add districts below)</t>
        </is>
      </c>
    </row>
    <row r="22">
      <c r="A22" s="26" t="inlineStr">
        <is>
          <t>Herat</t>
        </is>
      </c>
      <c r="B22" s="26" t="inlineStr">
        <is>
          <t>Badghis</t>
        </is>
      </c>
      <c r="C22" s="26" t="inlineStr">
        <is>
          <t>Farah</t>
        </is>
      </c>
      <c r="D22" s="26" t="inlineStr">
        <is>
          <t>Ghor</t>
        </is>
      </c>
      <c r="E22" s="26" t="inlineStr">
        <is>
          <t>Nangarhar</t>
        </is>
      </c>
      <c r="F22" s="26" t="inlineStr">
        <is>
          <t>Kunar</t>
        </is>
      </c>
      <c r="G22" s="26" t="inlineStr">
        <is>
          <t>Laghman</t>
        </is>
      </c>
      <c r="H22" s="26" t="inlineStr">
        <is>
          <t>Nuristan</t>
        </is>
      </c>
      <c r="I22" s="26" t="inlineStr">
        <is>
          <t>Kabul</t>
        </is>
      </c>
      <c r="J22" s="26" t="inlineStr">
        <is>
          <t>Parwan</t>
        </is>
      </c>
      <c r="K22" s="26" t="inlineStr">
        <is>
          <t>Kapisa</t>
        </is>
      </c>
      <c r="L22" s="26" t="inlineStr">
        <is>
          <t>Logar</t>
        </is>
      </c>
      <c r="M22" s="26" t="inlineStr">
        <is>
          <t>Maidan Wardak</t>
        </is>
      </c>
      <c r="N22" s="26" t="inlineStr">
        <is>
          <t>Panjshir</t>
        </is>
      </c>
      <c r="O22" s="26" t="inlineStr">
        <is>
          <t>Bamyan</t>
        </is>
      </c>
      <c r="P22" s="26" t="inlineStr">
        <is>
          <t>Daykundi</t>
        </is>
      </c>
      <c r="Q22" s="26" t="inlineStr">
        <is>
          <t>Paktya</t>
        </is>
      </c>
      <c r="R22" s="26" t="inlineStr">
        <is>
          <t>Paktika</t>
        </is>
      </c>
      <c r="S22" s="26" t="inlineStr">
        <is>
          <t>Khost</t>
        </is>
      </c>
      <c r="T22" s="26" t="inlineStr">
        <is>
          <t>Ghazni</t>
        </is>
      </c>
      <c r="U22" s="26" t="inlineStr">
        <is>
          <t>Kandahar</t>
        </is>
      </c>
      <c r="V22" s="26" t="inlineStr">
        <is>
          <t>Helmand</t>
        </is>
      </c>
      <c r="W22" s="26" t="inlineStr">
        <is>
          <t>Zabul</t>
        </is>
      </c>
      <c r="X22" s="26" t="inlineStr">
        <is>
          <t>Uruzgan</t>
        </is>
      </c>
      <c r="Y22" s="26" t="inlineStr">
        <is>
          <t>Nimroz</t>
        </is>
      </c>
      <c r="Z22" s="26" t="inlineStr">
        <is>
          <t>Balkh</t>
        </is>
      </c>
      <c r="AA22" s="26" t="inlineStr">
        <is>
          <t>Samangan</t>
        </is>
      </c>
      <c r="AB22" s="26" t="inlineStr">
        <is>
          <t>Jawzjan</t>
        </is>
      </c>
      <c r="AC22" s="26" t="inlineStr">
        <is>
          <t>Sar-e-Pul</t>
        </is>
      </c>
      <c r="AD22" s="26" t="inlineStr">
        <is>
          <t>Faryab</t>
        </is>
      </c>
      <c r="AE22" s="26" t="inlineStr">
        <is>
          <t>Kunduz</t>
        </is>
      </c>
      <c r="AF22" s="26" t="inlineStr">
        <is>
          <t>Baghlan</t>
        </is>
      </c>
      <c r="AG22" s="26" t="inlineStr">
        <is>
          <t>Takhar</t>
        </is>
      </c>
      <c r="AH22" s="26" t="inlineStr">
        <is>
          <t>Badakhshan</t>
        </is>
      </c>
    </row>
    <row r="23">
      <c r="A23" s="5" t="inlineStr">
        <is>
          <t>Herat</t>
        </is>
      </c>
      <c r="B23" s="5" t="inlineStr">
        <is>
          <t>Qala-e-Naw</t>
        </is>
      </c>
      <c r="C23" s="5" t="inlineStr">
        <is>
          <t>Farah</t>
        </is>
      </c>
      <c r="D23" s="5" t="inlineStr">
        <is>
          <t>Firozkoh</t>
        </is>
      </c>
      <c r="E23" s="5" t="inlineStr">
        <is>
          <t>Jalalabad</t>
        </is>
      </c>
      <c r="F23" s="5" t="inlineStr">
        <is>
          <t>Asadabad</t>
        </is>
      </c>
      <c r="G23" s="5" t="inlineStr">
        <is>
          <t>Mihtarlam</t>
        </is>
      </c>
      <c r="H23" s="5" t="inlineStr">
        <is>
          <t>Parun</t>
        </is>
      </c>
      <c r="I23" s="5" t="inlineStr">
        <is>
          <t>PD#13 Kabul</t>
        </is>
      </c>
      <c r="J23" s="5" t="inlineStr">
        <is>
          <t>Charikar</t>
        </is>
      </c>
      <c r="K23" s="5" t="inlineStr">
        <is>
          <t>Mahmud Raqi</t>
        </is>
      </c>
      <c r="L23" s="5" t="inlineStr">
        <is>
          <t>Puli Alam</t>
        </is>
      </c>
      <c r="M23" s="5" t="inlineStr">
        <is>
          <t>Maidan Shahr</t>
        </is>
      </c>
      <c r="N23" s="5" t="inlineStr">
        <is>
          <t>Bazarak</t>
        </is>
      </c>
      <c r="O23" s="5" t="inlineStr">
        <is>
          <t>Bamyan</t>
        </is>
      </c>
      <c r="P23" s="5" t="inlineStr">
        <is>
          <t>Nili</t>
        </is>
      </c>
      <c r="Q23" s="5" t="inlineStr">
        <is>
          <t>Gardez</t>
        </is>
      </c>
      <c r="R23" s="5" t="inlineStr">
        <is>
          <t>Sharana</t>
        </is>
      </c>
      <c r="S23" s="5" t="inlineStr">
        <is>
          <t>Khost</t>
        </is>
      </c>
      <c r="T23" s="5" t="inlineStr">
        <is>
          <t>Ghazni</t>
        </is>
      </c>
      <c r="U23" s="5" t="inlineStr">
        <is>
          <t>Kandahar</t>
        </is>
      </c>
      <c r="V23" s="5" t="inlineStr">
        <is>
          <t>Lashkar Gah</t>
        </is>
      </c>
      <c r="W23" s="5" t="inlineStr">
        <is>
          <t>Qalat</t>
        </is>
      </c>
      <c r="X23" s="5" t="inlineStr">
        <is>
          <t>Tarin Kot</t>
        </is>
      </c>
      <c r="Y23" s="5" t="inlineStr">
        <is>
          <t>Zaranj</t>
        </is>
      </c>
      <c r="Z23" s="5" t="inlineStr">
        <is>
          <t>Mazar-e-Sharif</t>
        </is>
      </c>
      <c r="AA23" s="5" t="inlineStr">
        <is>
          <t>Aybak</t>
        </is>
      </c>
      <c r="AB23" s="5" t="inlineStr">
        <is>
          <t>Sheberghan</t>
        </is>
      </c>
      <c r="AC23" s="5" t="inlineStr">
        <is>
          <t>Sar-e-Pul</t>
        </is>
      </c>
      <c r="AD23" s="5" t="inlineStr">
        <is>
          <t>Maymana</t>
        </is>
      </c>
      <c r="AE23" s="5" t="inlineStr">
        <is>
          <t>Kunduz</t>
        </is>
      </c>
      <c r="AF23" s="5" t="inlineStr">
        <is>
          <t>Puli Khumri</t>
        </is>
      </c>
      <c r="AG23" s="5" t="inlineStr">
        <is>
          <t>Taloqan</t>
        </is>
      </c>
      <c r="AH23" s="5" t="inlineStr">
        <is>
          <t>Fayzabad</t>
        </is>
      </c>
    </row>
    <row r="24">
      <c r="A24" s="5" t="inlineStr">
        <is>
          <t>Injil</t>
        </is>
      </c>
      <c r="B24" s="5" t="inlineStr">
        <is>
          <t>Qadis</t>
        </is>
      </c>
      <c r="C24" s="5" t="inlineStr">
        <is>
          <t>Pusht Rod</t>
        </is>
      </c>
      <c r="D24" s="5" t="inlineStr">
        <is>
          <t>Lal wa Sarjangal</t>
        </is>
      </c>
      <c r="E24" s="5" t="inlineStr">
        <is>
          <t>Behsud</t>
        </is>
      </c>
      <c r="F24" s="5" t="inlineStr">
        <is>
          <t>Narang</t>
        </is>
      </c>
      <c r="G24" s="5" t="inlineStr">
        <is>
          <t>Qarghayi</t>
        </is>
      </c>
      <c r="H24" s="5" t="inlineStr">
        <is>
          <t>Wama</t>
        </is>
      </c>
      <c r="I24" s="5" t="inlineStr">
        <is>
          <t>Deh Sabz</t>
        </is>
      </c>
      <c r="J24" s="5" t="inlineStr">
        <is>
          <t>Bagram</t>
        </is>
      </c>
      <c r="K24" s="5" t="inlineStr">
        <is>
          <t>Hisa-i-Awal Kohistan</t>
        </is>
      </c>
      <c r="L24" s="5" t="inlineStr">
        <is>
          <t>Muhammad Agha</t>
        </is>
      </c>
      <c r="M24" s="5" t="inlineStr">
        <is>
          <t>Nirkh</t>
        </is>
      </c>
      <c r="N24" s="5" t="inlineStr">
        <is>
          <t>Rokha</t>
        </is>
      </c>
      <c r="O24" s="5" t="inlineStr">
        <is>
          <t>Shibar</t>
        </is>
      </c>
      <c r="P24" s="5" t="inlineStr">
        <is>
          <t>Ashtarlay</t>
        </is>
      </c>
      <c r="Q24" s="5" t="inlineStr">
        <is>
          <t>Sayed Karam</t>
        </is>
      </c>
      <c r="R24" s="5" t="inlineStr">
        <is>
          <t>Sarubi</t>
        </is>
      </c>
      <c r="S24" s="5" t="inlineStr">
        <is>
          <t>Zazai Maidan</t>
        </is>
      </c>
      <c r="T24" s="5" t="inlineStr">
        <is>
          <t>Andar</t>
        </is>
      </c>
      <c r="U24" s="5" t="inlineStr">
        <is>
          <t>Ghorak</t>
        </is>
      </c>
      <c r="V24" s="5" t="inlineStr">
        <is>
          <t>Nawzad</t>
        </is>
      </c>
      <c r="W24" s="5" t="inlineStr">
        <is>
          <t>Mizana</t>
        </is>
      </c>
      <c r="X24" s="5" t="inlineStr">
        <is>
          <t>Deh Rawud</t>
        </is>
      </c>
      <c r="Y24" s="5" t="inlineStr">
        <is>
          <t>Kang</t>
        </is>
      </c>
      <c r="Z24" s="5" t="inlineStr">
        <is>
          <t>Alburz</t>
        </is>
      </c>
      <c r="AA24" s="5" t="inlineStr">
        <is>
          <t>Hazrati Sultan</t>
        </is>
      </c>
      <c r="AB24" s="5" t="inlineStr">
        <is>
          <t>Aqcha</t>
        </is>
      </c>
      <c r="AC24" s="5" t="inlineStr">
        <is>
          <t>Balkhab</t>
        </is>
      </c>
      <c r="AD24" s="5" t="inlineStr">
        <is>
          <t>Andkhoy</t>
        </is>
      </c>
      <c r="AE24" s="5" t="inlineStr">
        <is>
          <t>Ali Abad</t>
        </is>
      </c>
      <c r="AF24" s="5" t="inlineStr">
        <is>
          <t>Baghlan</t>
        </is>
      </c>
      <c r="AG24" s="5" t="inlineStr">
        <is>
          <t>Baharak</t>
        </is>
      </c>
      <c r="AH24" s="5" t="inlineStr">
        <is>
          <t>Jurm</t>
        </is>
      </c>
    </row>
    <row r="25">
      <c r="A25" s="5" t="inlineStr">
        <is>
          <t>Guzara</t>
        </is>
      </c>
      <c r="B25" s="5" t="inlineStr">
        <is>
          <t>Muqur</t>
        </is>
      </c>
      <c r="C25" s="5" t="inlineStr">
        <is>
          <t>Khaki Safed</t>
        </is>
      </c>
      <c r="D25" s="5" t="inlineStr">
        <is>
          <t>Tulak</t>
        </is>
      </c>
      <c r="E25" s="5" t="inlineStr">
        <is>
          <t>Surkh Rod</t>
        </is>
      </c>
      <c r="F25" s="5" t="inlineStr">
        <is>
          <t>Sawkai</t>
        </is>
      </c>
      <c r="G25" s="5" t="inlineStr">
        <is>
          <t>Alishing</t>
        </is>
      </c>
      <c r="H25" s="5" t="inlineStr">
        <is>
          <t>Kamdesh</t>
        </is>
      </c>
      <c r="I25" s="5" t="inlineStr">
        <is>
          <t>Bagrami</t>
        </is>
      </c>
      <c r="J25" s="5" t="inlineStr">
        <is>
          <t>Jabal Saraj</t>
        </is>
      </c>
      <c r="K25" s="5" t="inlineStr">
        <is>
          <t>Hisa-i-Duwum Kohistan</t>
        </is>
      </c>
      <c r="L25" s="5" t="inlineStr">
        <is>
          <t>Kharwar</t>
        </is>
      </c>
      <c r="M25" s="5" t="inlineStr">
        <is>
          <t>Jalrez</t>
        </is>
      </c>
      <c r="N25" s="5" t="inlineStr">
        <is>
          <t>Shotul</t>
        </is>
      </c>
      <c r="O25" s="5" t="inlineStr">
        <is>
          <t>Kahmard</t>
        </is>
      </c>
      <c r="P25" s="5" t="inlineStr">
        <is>
          <t>Sang Takht wa Bandar</t>
        </is>
      </c>
      <c r="Q25" s="5" t="inlineStr">
        <is>
          <t>Ahmadabad</t>
        </is>
      </c>
      <c r="R25" s="5" t="inlineStr">
        <is>
          <t>Urgun</t>
        </is>
      </c>
      <c r="S25" s="5" t="inlineStr">
        <is>
          <t>Mandozai</t>
        </is>
      </c>
      <c r="T25" s="5" t="inlineStr">
        <is>
          <t>Deh Yak</t>
        </is>
      </c>
      <c r="U25" s="5" t="inlineStr">
        <is>
          <t>Nesh</t>
        </is>
      </c>
      <c r="V25" s="5" t="inlineStr">
        <is>
          <t>Washer</t>
        </is>
      </c>
      <c r="W25" s="5" t="inlineStr">
        <is>
          <t>Shahjoy</t>
        </is>
      </c>
      <c r="X25" s="5" t="inlineStr">
        <is>
          <t>Chora</t>
        </is>
      </c>
      <c r="Y25" s="5" t="inlineStr">
        <is>
          <t>Chakhansur</t>
        </is>
      </c>
      <c r="Z25" s="5" t="inlineStr">
        <is>
          <t>Dehdadi</t>
        </is>
      </c>
      <c r="AA25" s="5" t="inlineStr">
        <is>
          <t>Khuram wa Sarbagh</t>
        </is>
      </c>
      <c r="AB25" s="5" t="inlineStr">
        <is>
          <t>Faizabad</t>
        </is>
      </c>
      <c r="AC25" s="5" t="inlineStr">
        <is>
          <t>Gosfandi</t>
        </is>
      </c>
      <c r="AD25" s="5" t="inlineStr">
        <is>
          <t>Almar</t>
        </is>
      </c>
      <c r="AE25" s="5" t="inlineStr">
        <is>
          <t>Kalbad</t>
        </is>
      </c>
      <c r="AF25" s="5" t="inlineStr">
        <is>
          <t>Dahana-i-Ghori</t>
        </is>
      </c>
      <c r="AG25" s="5" t="inlineStr">
        <is>
          <t>Bangi</t>
        </is>
      </c>
      <c r="AH25" s="5" t="inlineStr">
        <is>
          <t>Baharak</t>
        </is>
      </c>
    </row>
    <row r="26">
      <c r="A26" s="5" t="inlineStr">
        <is>
          <t>Karukh</t>
        </is>
      </c>
      <c r="B26" s="5" t="inlineStr">
        <is>
          <t>Bala Murghab</t>
        </is>
      </c>
      <c r="C26" s="5" t="inlineStr">
        <is>
          <t>Qala-e-Kah</t>
        </is>
      </c>
      <c r="D26" s="5" t="inlineStr">
        <is>
          <t>Shahrak</t>
        </is>
      </c>
      <c r="E26" s="5" t="inlineStr">
        <is>
          <t>Kama</t>
        </is>
      </c>
      <c r="F26" s="5" t="inlineStr">
        <is>
          <t>Khas Kunar</t>
        </is>
      </c>
      <c r="G26" s="5" t="inlineStr">
        <is>
          <t>Alingar</t>
        </is>
      </c>
      <c r="H26" s="5" t="inlineStr">
        <is>
          <t>Barg-i-Matal</t>
        </is>
      </c>
      <c r="I26" s="5" t="inlineStr">
        <is>
          <t>Paghman</t>
        </is>
      </c>
      <c r="J26" s="5" t="inlineStr">
        <is>
          <t>Salang</t>
        </is>
      </c>
      <c r="K26" s="5" t="inlineStr">
        <is>
          <t>Koh Band</t>
        </is>
      </c>
      <c r="L26" s="5" t="inlineStr">
        <is>
          <t>Khoshi</t>
        </is>
      </c>
      <c r="M26" s="5" t="inlineStr">
        <is>
          <t>Hisa-i-Awal Behsud</t>
        </is>
      </c>
      <c r="N26" s="5" t="inlineStr">
        <is>
          <t>Darah</t>
        </is>
      </c>
      <c r="O26" s="5" t="inlineStr">
        <is>
          <t>Yakawlang</t>
        </is>
      </c>
      <c r="P26" s="5" t="inlineStr">
        <is>
          <t>Khadir</t>
        </is>
      </c>
      <c r="Q26" s="5" t="inlineStr">
        <is>
          <t>Jaji</t>
        </is>
      </c>
      <c r="R26" s="5" t="inlineStr">
        <is>
          <t>Barmal</t>
        </is>
      </c>
      <c r="S26" s="5" t="inlineStr">
        <is>
          <t>Tani</t>
        </is>
      </c>
      <c r="T26" s="5" t="inlineStr">
        <is>
          <t>Gelan</t>
        </is>
      </c>
      <c r="U26" s="5" t="inlineStr">
        <is>
          <t>Arghandab</t>
        </is>
      </c>
      <c r="V26" s="5" t="inlineStr">
        <is>
          <t>Nad Ali</t>
        </is>
      </c>
      <c r="W26" s="5" t="inlineStr">
        <is>
          <t>Shamulzayi</t>
        </is>
      </c>
      <c r="X26" s="5" t="inlineStr">
        <is>
          <t>Shahidi Hassas</t>
        </is>
      </c>
      <c r="Y26" s="5" t="inlineStr">
        <is>
          <t>Chahar Burjak</t>
        </is>
      </c>
      <c r="Z26" s="5" t="inlineStr">
        <is>
          <t>Nahr-e-Shahi</t>
        </is>
      </c>
      <c r="AA26" s="5" t="inlineStr">
        <is>
          <t>Ruyi Du Ab</t>
        </is>
      </c>
      <c r="AB26" s="5" t="inlineStr">
        <is>
          <t>Khamyab</t>
        </is>
      </c>
      <c r="AC26" s="5" t="inlineStr">
        <is>
          <t>Kohistanat</t>
        </is>
      </c>
      <c r="AD26" s="5" t="inlineStr">
        <is>
          <t>Bilchiragh</t>
        </is>
      </c>
      <c r="AE26" s="5" t="inlineStr">
        <is>
          <t>Qala-e-Zal</t>
        </is>
      </c>
      <c r="AF26" s="5" t="inlineStr">
        <is>
          <t>Dushi</t>
        </is>
      </c>
      <c r="AG26" s="5" t="inlineStr">
        <is>
          <t>Chah Ab</t>
        </is>
      </c>
      <c r="AH26" s="5" t="inlineStr">
        <is>
          <t>Kishim</t>
        </is>
      </c>
    </row>
    <row r="27">
      <c r="A27" s="5" t="inlineStr">
        <is>
          <t>Pashtun Zarghun</t>
        </is>
      </c>
      <c r="B27" s="5" t="inlineStr">
        <is>
          <t>Jawand</t>
        </is>
      </c>
      <c r="C27" s="5" t="inlineStr">
        <is>
          <t>Shib Koh</t>
        </is>
      </c>
      <c r="D27" s="5" t="inlineStr">
        <is>
          <t>Dawlat Yar</t>
        </is>
      </c>
      <c r="E27" s="5" t="inlineStr">
        <is>
          <t>Kuz Kunar</t>
        </is>
      </c>
      <c r="F27" s="5" t="inlineStr">
        <is>
          <t>Nurgal</t>
        </is>
      </c>
      <c r="G27" s="5" t="inlineStr">
        <is>
          <t>Dawlat Shah</t>
        </is>
      </c>
      <c r="H27" s="5" t="inlineStr">
        <is>
          <t>Mandol</t>
        </is>
      </c>
      <c r="I27" s="5" t="inlineStr">
        <is>
          <t>Char Asiab</t>
        </is>
      </c>
      <c r="J27" s="5" t="inlineStr">
        <is>
          <t>Shinwari</t>
        </is>
      </c>
      <c r="K27" s="5" t="inlineStr">
        <is>
          <t>Nijrab</t>
        </is>
      </c>
      <c r="L27" s="5" t="inlineStr">
        <is>
          <t>Baraki Barak</t>
        </is>
      </c>
      <c r="M27" s="5" t="inlineStr">
        <is>
          <t>Markazi Behsud</t>
        </is>
      </c>
      <c r="N27" s="5" t="inlineStr">
        <is>
          <t>Hisa-i-Awal</t>
        </is>
      </c>
      <c r="O27" s="5" t="inlineStr">
        <is>
          <t>Panjab</t>
        </is>
      </c>
      <c r="P27" s="5" t="inlineStr">
        <is>
          <t>Kiti</t>
        </is>
      </c>
      <c r="Q27" s="5" t="inlineStr">
        <is>
          <t>Zurmat</t>
        </is>
      </c>
      <c r="R27" s="5" t="inlineStr">
        <is>
          <t>Gomal</t>
        </is>
      </c>
      <c r="S27" s="5" t="inlineStr">
        <is>
          <t>Spera</t>
        </is>
      </c>
      <c r="T27" s="5" t="inlineStr">
        <is>
          <t>Giro</t>
        </is>
      </c>
      <c r="U27" s="5" t="inlineStr">
        <is>
          <t>Daman</t>
        </is>
      </c>
      <c r="V27" s="5" t="inlineStr">
        <is>
          <t>Nahr-e-Saraj</t>
        </is>
      </c>
      <c r="W27" s="5" t="inlineStr">
        <is>
          <t>Arghandab</t>
        </is>
      </c>
      <c r="X27" s="5" t="inlineStr">
        <is>
          <t>Khas Uruzgan</t>
        </is>
      </c>
      <c r="Y27" s="5" t="inlineStr">
        <is>
          <t>Khash Rod</t>
        </is>
      </c>
      <c r="Z27" s="5" t="inlineStr">
        <is>
          <t>Chimtal</t>
        </is>
      </c>
      <c r="AA27" s="5" t="inlineStr">
        <is>
          <t>Dara-i-Sufi Payin</t>
        </is>
      </c>
      <c r="AB27" s="5" t="inlineStr">
        <is>
          <t>Khwaja Du Koh</t>
        </is>
      </c>
      <c r="AC27" s="5" t="inlineStr">
        <is>
          <t>Sangcharak</t>
        </is>
      </c>
      <c r="AD27" s="5" t="inlineStr">
        <is>
          <t>Dawlatabad</t>
        </is>
      </c>
      <c r="AE27" s="5" t="inlineStr">
        <is>
          <t>Imam Sahib</t>
        </is>
      </c>
      <c r="AF27" s="5" t="inlineStr">
        <is>
          <t>Khinjan</t>
        </is>
      </c>
      <c r="AG27" s="5" t="inlineStr">
        <is>
          <t>Chal</t>
        </is>
      </c>
      <c r="AH27" s="5" t="inlineStr">
        <is>
          <t>Yaftal</t>
        </is>
      </c>
    </row>
    <row r="28">
      <c r="A28" s="5" t="inlineStr">
        <is>
          <t>Zindajan</t>
        </is>
      </c>
      <c r="B28" s="5" t="inlineStr">
        <is>
          <t>Ab Kamari</t>
        </is>
      </c>
      <c r="C28" s="5" t="inlineStr">
        <is>
          <t>Bala Buluk</t>
        </is>
      </c>
      <c r="D28" s="5" t="inlineStr">
        <is>
          <t>Charsada</t>
        </is>
      </c>
      <c r="E28" s="5" t="inlineStr">
        <is>
          <t>Rodat</t>
        </is>
      </c>
      <c r="F28" s="5" t="inlineStr">
        <is>
          <t>Chawkay</t>
        </is>
      </c>
      <c r="G28" s="118" t="n"/>
      <c r="H28" s="5" t="inlineStr">
        <is>
          <t>Du Ab</t>
        </is>
      </c>
      <c r="I28" s="5" t="inlineStr">
        <is>
          <t>Shakardara</t>
        </is>
      </c>
      <c r="J28" s="5" t="inlineStr">
        <is>
          <t>Sayed Khel</t>
        </is>
      </c>
      <c r="K28" s="5" t="inlineStr">
        <is>
          <t>Tagab</t>
        </is>
      </c>
      <c r="L28" s="5" t="inlineStr">
        <is>
          <t>Azra</t>
        </is>
      </c>
      <c r="M28" s="5" t="inlineStr">
        <is>
          <t>Day Mirdad</t>
        </is>
      </c>
      <c r="N28" s="5" t="inlineStr">
        <is>
          <t>Hisa-i-Duwum</t>
        </is>
      </c>
      <c r="O28" s="5" t="inlineStr">
        <is>
          <t>Waras</t>
        </is>
      </c>
      <c r="P28" s="5" t="inlineStr">
        <is>
          <t>Miramor</t>
        </is>
      </c>
      <c r="Q28" s="5" t="inlineStr">
        <is>
          <t>Dand wa Patan</t>
        </is>
      </c>
      <c r="R28" s="5" t="inlineStr">
        <is>
          <t>Mata Khan</t>
        </is>
      </c>
      <c r="S28" s="5" t="inlineStr">
        <is>
          <t>Nadir Shah Kot</t>
        </is>
      </c>
      <c r="T28" s="5" t="inlineStr">
        <is>
          <t>Jaghatu</t>
        </is>
      </c>
      <c r="U28" s="5" t="inlineStr">
        <is>
          <t>Panjwayi</t>
        </is>
      </c>
      <c r="V28" s="5" t="inlineStr">
        <is>
          <t>Sangin</t>
        </is>
      </c>
      <c r="W28" s="5" t="inlineStr">
        <is>
          <t>Atghar</t>
        </is>
      </c>
      <c r="X28" s="5" t="inlineStr">
        <is>
          <t>Gizab</t>
        </is>
      </c>
      <c r="Y28" s="118" t="n"/>
      <c r="Z28" s="5" t="inlineStr">
        <is>
          <t>Dawlatabad</t>
        </is>
      </c>
      <c r="AA28" s="5" t="inlineStr">
        <is>
          <t>Dara-i-Sufi Bala</t>
        </is>
      </c>
      <c r="AB28" s="5" t="inlineStr">
        <is>
          <t>Mardyan</t>
        </is>
      </c>
      <c r="AC28" s="5" t="inlineStr">
        <is>
          <t>Sayyad</t>
        </is>
      </c>
      <c r="AD28" s="5" t="inlineStr">
        <is>
          <t>Gurziwan</t>
        </is>
      </c>
      <c r="AE28" s="5" t="inlineStr">
        <is>
          <t>Khanabad</t>
        </is>
      </c>
      <c r="AF28" s="5" t="inlineStr">
        <is>
          <t>Khost wa Firing</t>
        </is>
      </c>
      <c r="AG28" s="5" t="inlineStr">
        <is>
          <t>Darqad</t>
        </is>
      </c>
      <c r="AH28" s="5" t="inlineStr">
        <is>
          <t>Arghanj Khwa</t>
        </is>
      </c>
    </row>
    <row r="29">
      <c r="A29" s="5" t="inlineStr">
        <is>
          <t>Gulran</t>
        </is>
      </c>
      <c r="B29" s="5" t="inlineStr">
        <is>
          <t>Ghormach</t>
        </is>
      </c>
      <c r="C29" s="5" t="inlineStr">
        <is>
          <t>Gulistan</t>
        </is>
      </c>
      <c r="D29" s="5" t="inlineStr">
        <is>
          <t>Pasaband</t>
        </is>
      </c>
      <c r="E29" s="5" t="inlineStr">
        <is>
          <t>Bati Kot</t>
        </is>
      </c>
      <c r="F29" s="5" t="inlineStr">
        <is>
          <t>Dangam</t>
        </is>
      </c>
      <c r="G29" s="118" t="n"/>
      <c r="H29" s="5" t="inlineStr">
        <is>
          <t>Nurgaram</t>
        </is>
      </c>
      <c r="I29" s="5" t="inlineStr">
        <is>
          <t>Musayi</t>
        </is>
      </c>
      <c r="J29" s="5" t="inlineStr">
        <is>
          <t>Koh-i-Safi</t>
        </is>
      </c>
      <c r="K29" s="5" t="inlineStr">
        <is>
          <t>Alasay</t>
        </is>
      </c>
      <c r="L29" s="5" t="inlineStr">
        <is>
          <t>Charkh</t>
        </is>
      </c>
      <c r="M29" s="5" t="inlineStr">
        <is>
          <t>Chaki Wardak</t>
        </is>
      </c>
      <c r="N29" s="5" t="inlineStr">
        <is>
          <t>Paryan</t>
        </is>
      </c>
      <c r="O29" s="5" t="inlineStr">
        <is>
          <t>Saighan</t>
        </is>
      </c>
      <c r="P29" s="5" t="inlineStr">
        <is>
          <t>Shahristan</t>
        </is>
      </c>
      <c r="Q29" s="5" t="inlineStr">
        <is>
          <t>Gerda Serai</t>
        </is>
      </c>
      <c r="R29" s="5" t="inlineStr">
        <is>
          <t>Omna</t>
        </is>
      </c>
      <c r="S29" s="5" t="inlineStr">
        <is>
          <t>Musa Khel</t>
        </is>
      </c>
      <c r="T29" s="5" t="inlineStr">
        <is>
          <t>Jaghori</t>
        </is>
      </c>
      <c r="U29" s="5" t="inlineStr">
        <is>
          <t>Spin Boldak</t>
        </is>
      </c>
      <c r="V29" s="5" t="inlineStr">
        <is>
          <t>Musa Qala</t>
        </is>
      </c>
      <c r="W29" s="5" t="inlineStr">
        <is>
          <t>Daychopan</t>
        </is>
      </c>
      <c r="X29" s="118" t="n"/>
      <c r="Y29" s="118" t="n"/>
      <c r="Z29" s="5" t="inlineStr">
        <is>
          <t>Sholgara</t>
        </is>
      </c>
      <c r="AA29" s="5" t="inlineStr">
        <is>
          <t>Feroz Nakhchir</t>
        </is>
      </c>
      <c r="AB29" s="5" t="inlineStr">
        <is>
          <t>Mingajik</t>
        </is>
      </c>
      <c r="AC29" s="5" t="inlineStr">
        <is>
          <t>Sozma Qala</t>
        </is>
      </c>
      <c r="AD29" s="5" t="inlineStr">
        <is>
          <t>Khwaja Sabz Posh</t>
        </is>
      </c>
      <c r="AE29" s="5" t="inlineStr">
        <is>
          <t>Chahar Dara</t>
        </is>
      </c>
      <c r="AF29" s="5" t="inlineStr">
        <is>
          <t>Nahrin</t>
        </is>
      </c>
      <c r="AG29" s="5" t="inlineStr">
        <is>
          <t>Dashti Qala</t>
        </is>
      </c>
      <c r="AH29" s="5" t="inlineStr">
        <is>
          <t>Darwaz</t>
        </is>
      </c>
    </row>
    <row r="30">
      <c r="A30" s="5" t="inlineStr">
        <is>
          <t>Kohsan</t>
        </is>
      </c>
      <c r="B30" s="118" t="n"/>
      <c r="C30" s="5" t="inlineStr">
        <is>
          <t>Pur Chaman</t>
        </is>
      </c>
      <c r="D30" s="5" t="inlineStr">
        <is>
          <t>Saghar</t>
        </is>
      </c>
      <c r="E30" s="5" t="inlineStr">
        <is>
          <t>Shinwar</t>
        </is>
      </c>
      <c r="F30" s="5" t="inlineStr">
        <is>
          <t>Ghaziabad</t>
        </is>
      </c>
      <c r="G30" s="118" t="n"/>
      <c r="H30" s="5" t="inlineStr">
        <is>
          <t>Waygal</t>
        </is>
      </c>
      <c r="I30" s="5" t="inlineStr">
        <is>
          <t>Kalakan</t>
        </is>
      </c>
      <c r="J30" s="5" t="inlineStr">
        <is>
          <t>Surkhi Parsa</t>
        </is>
      </c>
      <c r="K30" s="118" t="n"/>
      <c r="L30" s="118" t="n"/>
      <c r="M30" s="5" t="inlineStr">
        <is>
          <t>Saydabad</t>
        </is>
      </c>
      <c r="N30" s="118" t="n"/>
      <c r="O30" s="118" t="n"/>
      <c r="P30" s="5" t="inlineStr">
        <is>
          <t>Gizab</t>
        </is>
      </c>
      <c r="Q30" s="5" t="inlineStr">
        <is>
          <t>Laja Ahmad Khel</t>
        </is>
      </c>
      <c r="R30" s="5" t="inlineStr">
        <is>
          <t>Sar Hawza</t>
        </is>
      </c>
      <c r="S30" s="5" t="inlineStr">
        <is>
          <t>Qalandar</t>
        </is>
      </c>
      <c r="T30" s="5" t="inlineStr">
        <is>
          <t>Malistan</t>
        </is>
      </c>
      <c r="U30" s="5" t="inlineStr">
        <is>
          <t>Khakrez</t>
        </is>
      </c>
      <c r="V30" s="5" t="inlineStr">
        <is>
          <t>Kajaki</t>
        </is>
      </c>
      <c r="W30" s="5" t="inlineStr">
        <is>
          <t>Kakar</t>
        </is>
      </c>
      <c r="X30" s="118" t="n"/>
      <c r="Y30" s="118" t="n"/>
      <c r="Z30" s="5" t="inlineStr">
        <is>
          <t>Kishindih</t>
        </is>
      </c>
      <c r="AA30" s="118" t="n"/>
      <c r="AB30" s="5" t="inlineStr">
        <is>
          <t>Qarqin</t>
        </is>
      </c>
      <c r="AC30" s="118" t="n"/>
      <c r="AD30" s="5" t="inlineStr">
        <is>
          <t>Kohistan</t>
        </is>
      </c>
      <c r="AE30" s="5" t="inlineStr">
        <is>
          <t>Dasht-e-Archi</t>
        </is>
      </c>
      <c r="AF30" s="5" t="inlineStr">
        <is>
          <t>Andarab</t>
        </is>
      </c>
      <c r="AG30" s="5" t="inlineStr">
        <is>
          <t>Farkhar</t>
        </is>
      </c>
      <c r="AH30" s="5" t="inlineStr">
        <is>
          <t>Ishkashim</t>
        </is>
      </c>
    </row>
    <row r="31">
      <c r="A31" s="5" t="inlineStr">
        <is>
          <t>Ghoryan</t>
        </is>
      </c>
      <c r="B31" s="118" t="n"/>
      <c r="C31" s="5" t="inlineStr">
        <is>
          <t>Bakwa</t>
        </is>
      </c>
      <c r="D31" s="5" t="inlineStr">
        <is>
          <t>Taywara</t>
        </is>
      </c>
      <c r="E31" s="5" t="inlineStr">
        <is>
          <t>Achin</t>
        </is>
      </c>
      <c r="F31" s="5" t="inlineStr">
        <is>
          <t>Marawara</t>
        </is>
      </c>
      <c r="G31" s="118" t="n"/>
      <c r="H31" s="118" t="n"/>
      <c r="I31" s="5" t="inlineStr">
        <is>
          <t>Qarabagh</t>
        </is>
      </c>
      <c r="J31" s="5" t="inlineStr">
        <is>
          <t>Shekh Ali</t>
        </is>
      </c>
      <c r="K31" s="118" t="n"/>
      <c r="L31" s="118" t="n"/>
      <c r="M31" s="5" t="inlineStr">
        <is>
          <t>Jaghatu</t>
        </is>
      </c>
      <c r="N31" s="118" t="n"/>
      <c r="O31" s="118" t="n"/>
      <c r="P31" s="118" t="n"/>
      <c r="Q31" s="5" t="inlineStr">
        <is>
          <t>Mirzaka</t>
        </is>
      </c>
      <c r="R31" s="5" t="inlineStr">
        <is>
          <t>Terwa</t>
        </is>
      </c>
      <c r="S31" s="5" t="inlineStr">
        <is>
          <t>Sabari</t>
        </is>
      </c>
      <c r="T31" s="5" t="inlineStr">
        <is>
          <t>Muqur</t>
        </is>
      </c>
      <c r="U31" s="5" t="inlineStr">
        <is>
          <t>Shah Wali Kot</t>
        </is>
      </c>
      <c r="V31" s="5" t="inlineStr">
        <is>
          <t>Garmser</t>
        </is>
      </c>
      <c r="W31" s="5" t="inlineStr">
        <is>
          <t>Naw Bahar</t>
        </is>
      </c>
      <c r="X31" s="118" t="n"/>
      <c r="Y31" s="118" t="n"/>
      <c r="Z31" s="5" t="inlineStr">
        <is>
          <t>Zari</t>
        </is>
      </c>
      <c r="AA31" s="118" t="n"/>
      <c r="AB31" s="5" t="inlineStr">
        <is>
          <t>Qush Tepa</t>
        </is>
      </c>
      <c r="AC31" s="118" t="n"/>
      <c r="AD31" s="5" t="inlineStr">
        <is>
          <t>Pashtun Kot</t>
        </is>
      </c>
      <c r="AE31" s="118" t="n"/>
      <c r="AF31" s="5" t="inlineStr">
        <is>
          <t>Tala wa Barfak</t>
        </is>
      </c>
      <c r="AG31" s="5" t="inlineStr">
        <is>
          <t>Ishkamish</t>
        </is>
      </c>
      <c r="AH31" s="5" t="inlineStr">
        <is>
          <t>Kuf Ab</t>
        </is>
      </c>
    </row>
    <row r="32">
      <c r="A32" s="5" t="inlineStr">
        <is>
          <t>Obe</t>
        </is>
      </c>
      <c r="B32" s="118" t="n"/>
      <c r="C32" s="5" t="inlineStr">
        <is>
          <t>Lash wa Juwayn</t>
        </is>
      </c>
      <c r="D32" s="5" t="inlineStr">
        <is>
          <t>Du Layna</t>
        </is>
      </c>
      <c r="E32" s="5" t="inlineStr">
        <is>
          <t>Nazyan</t>
        </is>
      </c>
      <c r="F32" s="5" t="inlineStr">
        <is>
          <t>Shigal</t>
        </is>
      </c>
      <c r="G32" s="118" t="n"/>
      <c r="H32" s="118" t="n"/>
      <c r="I32" s="5" t="inlineStr">
        <is>
          <t>Istalif</t>
        </is>
      </c>
      <c r="J32" s="5" t="inlineStr">
        <is>
          <t>Ghorband</t>
        </is>
      </c>
      <c r="K32" s="118" t="n"/>
      <c r="L32" s="118" t="n"/>
      <c r="M32" s="118" t="n"/>
      <c r="N32" s="118" t="n"/>
      <c r="O32" s="118" t="n"/>
      <c r="P32" s="118" t="n"/>
      <c r="Q32" s="5" t="inlineStr">
        <is>
          <t>Shwak</t>
        </is>
      </c>
      <c r="R32" s="5" t="inlineStr">
        <is>
          <t>Waza Khwa</t>
        </is>
      </c>
      <c r="S32" s="5" t="inlineStr">
        <is>
          <t>Bak</t>
        </is>
      </c>
      <c r="T32" s="5" t="inlineStr">
        <is>
          <t>Nawa</t>
        </is>
      </c>
      <c r="U32" s="5" t="inlineStr">
        <is>
          <t>Maiwand</t>
        </is>
      </c>
      <c r="V32" s="5" t="inlineStr">
        <is>
          <t>Dishu</t>
        </is>
      </c>
      <c r="W32" s="5" t="inlineStr">
        <is>
          <t>Shinkay</t>
        </is>
      </c>
      <c r="X32" s="118" t="n"/>
      <c r="Y32" s="118" t="n"/>
      <c r="Z32" s="5" t="inlineStr">
        <is>
          <t>Shortepa</t>
        </is>
      </c>
      <c r="AA32" s="118" t="n"/>
      <c r="AB32" s="5" t="inlineStr">
        <is>
          <t>Darzab</t>
        </is>
      </c>
      <c r="AC32" s="118" t="n"/>
      <c r="AD32" s="5" t="inlineStr">
        <is>
          <t>Qaramqol</t>
        </is>
      </c>
      <c r="AE32" s="118" t="n"/>
      <c r="AF32" s="5" t="inlineStr">
        <is>
          <t>Burka</t>
        </is>
      </c>
      <c r="AG32" s="5" t="inlineStr">
        <is>
          <t>Kalafgan</t>
        </is>
      </c>
      <c r="AH32" s="5" t="inlineStr">
        <is>
          <t>Raghistan</t>
        </is>
      </c>
    </row>
    <row r="33">
      <c r="A33" s="5" t="inlineStr">
        <is>
          <t>Chishti Sharif</t>
        </is>
      </c>
      <c r="B33" s="118" t="n"/>
      <c r="C33" s="5" t="inlineStr">
        <is>
          <t>Anar Dara</t>
        </is>
      </c>
      <c r="D33" s="118" t="n"/>
      <c r="E33" s="5" t="inlineStr">
        <is>
          <t>Dur Baba</t>
        </is>
      </c>
      <c r="F33" s="5" t="inlineStr">
        <is>
          <t>Wata Pur</t>
        </is>
      </c>
      <c r="G33" s="118" t="n"/>
      <c r="H33" s="118" t="n"/>
      <c r="I33" s="5" t="inlineStr">
        <is>
          <t>Farza</t>
        </is>
      </c>
      <c r="J33" s="118" t="n"/>
      <c r="K33" s="118" t="n"/>
      <c r="L33" s="118" t="n"/>
      <c r="M33" s="118" t="n"/>
      <c r="N33" s="118" t="n"/>
      <c r="O33" s="118" t="n"/>
      <c r="P33" s="118" t="n"/>
      <c r="Q33" s="118" t="n"/>
      <c r="R33" s="5" t="inlineStr">
        <is>
          <t>Yosuf Khel</t>
        </is>
      </c>
      <c r="S33" s="5" t="inlineStr">
        <is>
          <t>Jaji Maidan</t>
        </is>
      </c>
      <c r="T33" s="5" t="inlineStr">
        <is>
          <t>Nawur</t>
        </is>
      </c>
      <c r="U33" s="5" t="inlineStr">
        <is>
          <t>Zhari</t>
        </is>
      </c>
      <c r="V33" s="5" t="inlineStr">
        <is>
          <t>Khanashin</t>
        </is>
      </c>
      <c r="W33" s="5" t="inlineStr">
        <is>
          <t>Tarnak wa Jaldak</t>
        </is>
      </c>
      <c r="X33" s="118" t="n"/>
      <c r="Y33" s="118" t="n"/>
      <c r="Z33" s="5" t="inlineStr">
        <is>
          <t>Kaldar</t>
        </is>
      </c>
      <c r="AA33" s="118" t="n"/>
      <c r="AB33" s="5" t="inlineStr">
        <is>
          <t>Shibirghan</t>
        </is>
      </c>
      <c r="AC33" s="118" t="n"/>
      <c r="AD33" s="5" t="inlineStr">
        <is>
          <t>Qaysar</t>
        </is>
      </c>
      <c r="AE33" s="118" t="n"/>
      <c r="AF33" s="118" t="n"/>
      <c r="AG33" s="5" t="inlineStr">
        <is>
          <t>Khwaja Ghar</t>
        </is>
      </c>
      <c r="AH33" s="5" t="inlineStr">
        <is>
          <t>Shighnan</t>
        </is>
      </c>
    </row>
    <row r="34">
      <c r="A34" s="5" t="inlineStr">
        <is>
          <t>Shindand</t>
        </is>
      </c>
      <c r="B34" s="118" t="n"/>
      <c r="C34" s="118" t="n"/>
      <c r="D34" s="118" t="n"/>
      <c r="E34" s="5" t="inlineStr">
        <is>
          <t>Mohmand Dara</t>
        </is>
      </c>
      <c r="F34" s="5" t="inlineStr">
        <is>
          <t>Naray</t>
        </is>
      </c>
      <c r="G34" s="118" t="n"/>
      <c r="H34" s="118" t="n"/>
      <c r="I34" s="5" t="inlineStr">
        <is>
          <t>Guldara</t>
        </is>
      </c>
      <c r="J34" s="118" t="n"/>
      <c r="K34" s="118" t="n"/>
      <c r="L34" s="118" t="n"/>
      <c r="M34" s="118" t="n"/>
      <c r="N34" s="118" t="n"/>
      <c r="O34" s="118" t="n"/>
      <c r="P34" s="118" t="n"/>
      <c r="Q34" s="118" t="n"/>
      <c r="R34" s="5" t="inlineStr">
        <is>
          <t>Ziruk</t>
        </is>
      </c>
      <c r="S34" s="5" t="inlineStr">
        <is>
          <t>Gurbuz</t>
        </is>
      </c>
      <c r="T34" s="5" t="inlineStr">
        <is>
          <t>Qarabagh</t>
        </is>
      </c>
      <c r="U34" s="5" t="inlineStr">
        <is>
          <t>Arghistan</t>
        </is>
      </c>
      <c r="V34" s="5" t="inlineStr">
        <is>
          <t>Baghran</t>
        </is>
      </c>
      <c r="W34" s="118" t="n"/>
      <c r="X34" s="118" t="n"/>
      <c r="Y34" s="118" t="n"/>
      <c r="Z34" s="5" t="inlineStr">
        <is>
          <t>Khulm</t>
        </is>
      </c>
      <c r="AA34" s="118" t="n"/>
      <c r="AB34" s="118" t="n"/>
      <c r="AC34" s="118" t="n"/>
      <c r="AD34" s="5" t="inlineStr">
        <is>
          <t>Shirin Tagab</t>
        </is>
      </c>
      <c r="AE34" s="118" t="n"/>
      <c r="AF34" s="118" t="n"/>
      <c r="AG34" s="5" t="inlineStr">
        <is>
          <t>Rustaq</t>
        </is>
      </c>
      <c r="AH34" s="5" t="inlineStr">
        <is>
          <t>Wakhan</t>
        </is>
      </c>
    </row>
    <row r="35">
      <c r="A35" s="5" t="inlineStr">
        <is>
          <t>Adraskan</t>
        </is>
      </c>
      <c r="B35" s="118" t="n"/>
      <c r="C35" s="118" t="n"/>
      <c r="D35" s="118" t="n"/>
      <c r="E35" s="5" t="inlineStr">
        <is>
          <t>Lal Pur</t>
        </is>
      </c>
      <c r="F35" s="5" t="inlineStr">
        <is>
          <t>Dara-i-Pech</t>
        </is>
      </c>
      <c r="G35" s="118" t="n"/>
      <c r="H35" s="118" t="n"/>
      <c r="I35" s="5" t="inlineStr">
        <is>
          <t>Khak-e-Jabbar</t>
        </is>
      </c>
      <c r="J35" s="118" t="n"/>
      <c r="K35" s="118" t="n"/>
      <c r="L35" s="118" t="n"/>
      <c r="M35" s="118" t="n"/>
      <c r="N35" s="118" t="n"/>
      <c r="O35" s="118" t="n"/>
      <c r="P35" s="118" t="n"/>
      <c r="Q35" s="118" t="n"/>
      <c r="R35" s="5" t="inlineStr">
        <is>
          <t>Gayan</t>
        </is>
      </c>
      <c r="S35" s="5" t="inlineStr">
        <is>
          <t>Shamul</t>
        </is>
      </c>
      <c r="T35" s="5" t="inlineStr">
        <is>
          <t>Rashidan</t>
        </is>
      </c>
      <c r="U35" s="5" t="inlineStr">
        <is>
          <t>Maruf</t>
        </is>
      </c>
      <c r="V35" s="5" t="inlineStr">
        <is>
          <t>Nawa-i-Barakzayi</t>
        </is>
      </c>
      <c r="W35" s="118" t="n"/>
      <c r="X35" s="118" t="n"/>
      <c r="Y35" s="118" t="n"/>
      <c r="Z35" s="5" t="inlineStr">
        <is>
          <t>Marmul</t>
        </is>
      </c>
      <c r="AA35" s="118" t="n"/>
      <c r="AB35" s="118" t="n"/>
      <c r="AC35" s="118" t="n"/>
      <c r="AD35" s="118" t="n"/>
      <c r="AE35" s="118" t="n"/>
      <c r="AF35" s="118" t="n"/>
      <c r="AG35" s="5" t="inlineStr">
        <is>
          <t>Warsaj</t>
        </is>
      </c>
      <c r="AH35" s="5" t="inlineStr">
        <is>
          <t>Zebak</t>
        </is>
      </c>
    </row>
    <row r="36">
      <c r="A36" s="5" t="inlineStr">
        <is>
          <t>Farsi</t>
        </is>
      </c>
      <c r="B36" s="118" t="n"/>
      <c r="C36" s="118" t="n"/>
      <c r="D36" s="118" t="n"/>
      <c r="E36" s="5" t="inlineStr">
        <is>
          <t>Goshta</t>
        </is>
      </c>
      <c r="F36" s="118" t="n"/>
      <c r="H36" s="118" t="n"/>
      <c r="I36" s="5" t="inlineStr">
        <is>
          <t>Surobi</t>
        </is>
      </c>
      <c r="J36" s="118" t="n"/>
      <c r="K36" s="118" t="n"/>
      <c r="L36" s="118" t="n"/>
      <c r="M36" s="118" t="n"/>
      <c r="N36" s="118" t="n"/>
      <c r="O36" s="118" t="n"/>
      <c r="P36" s="118" t="n"/>
      <c r="Q36" s="118" t="n"/>
      <c r="R36" s="5" t="inlineStr">
        <is>
          <t>Dila</t>
        </is>
      </c>
      <c r="S36" s="118" t="n"/>
      <c r="T36" s="5" t="inlineStr">
        <is>
          <t>Waghaz</t>
        </is>
      </c>
      <c r="U36" s="5" t="inlineStr">
        <is>
          <t>Reg</t>
        </is>
      </c>
      <c r="V36" s="118" t="n"/>
      <c r="W36" s="118" t="n"/>
      <c r="X36" s="118" t="n"/>
      <c r="Z36" s="118" t="n"/>
      <c r="AA36" s="118" t="n"/>
      <c r="AB36" s="118" t="n"/>
      <c r="AC36" s="118" t="n"/>
      <c r="AD36" s="118" t="n"/>
      <c r="AE36" s="118" t="n"/>
      <c r="AF36" s="118" t="n"/>
      <c r="AG36" s="5" t="inlineStr">
        <is>
          <t>Yangi Qala</t>
        </is>
      </c>
      <c r="AH36" s="118" t="n"/>
    </row>
    <row r="37">
      <c r="A37" s="118" t="n"/>
      <c r="B37" s="118" t="n"/>
      <c r="C37" s="118" t="n"/>
      <c r="D37" s="118" t="n"/>
      <c r="E37" s="5" t="inlineStr">
        <is>
          <t>Chaparhar</t>
        </is>
      </c>
      <c r="F37" s="118" t="n"/>
      <c r="H37" s="118" t="n"/>
      <c r="I37" s="118" t="n"/>
      <c r="J37" s="118" t="n"/>
      <c r="K37" s="118" t="n"/>
      <c r="L37" s="118" t="n"/>
      <c r="M37" s="118" t="n"/>
      <c r="N37" s="118" t="n"/>
      <c r="O37" s="118" t="n"/>
      <c r="P37" s="118" t="n"/>
      <c r="Q37" s="118" t="n"/>
      <c r="R37" s="5" t="inlineStr">
        <is>
          <t>Nika</t>
        </is>
      </c>
      <c r="S37" s="118" t="n"/>
      <c r="T37" s="5" t="inlineStr">
        <is>
          <t>Zana Khan</t>
        </is>
      </c>
      <c r="U37" s="5" t="inlineStr">
        <is>
          <t>Shorabak</t>
        </is>
      </c>
      <c r="V37" s="118" t="n"/>
      <c r="W37" s="118" t="n"/>
      <c r="Z37" s="118" t="n"/>
      <c r="AA37" s="118" t="n"/>
      <c r="AB37" s="118" t="n"/>
      <c r="AC37" s="118" t="n"/>
      <c r="AD37" s="118" t="n"/>
      <c r="AE37" s="118" t="n"/>
      <c r="AF37" s="118" t="n"/>
      <c r="AG37" s="118" t="n"/>
      <c r="AH37" s="118" t="n"/>
    </row>
    <row r="38">
      <c r="A38" s="118" t="n"/>
      <c r="C38" s="118" t="n"/>
      <c r="D38" s="118" t="n"/>
      <c r="E38" s="5" t="inlineStr">
        <is>
          <t>Khogyani</t>
        </is>
      </c>
      <c r="F38" s="118" t="n"/>
      <c r="H38" s="118" t="n"/>
      <c r="I38" s="118" t="n"/>
      <c r="J38" s="118" t="n"/>
      <c r="M38" s="118" t="n"/>
      <c r="P38" s="118" t="n"/>
      <c r="Q38" s="118" t="n"/>
      <c r="R38" s="118" t="n"/>
      <c r="S38" s="118" t="n"/>
      <c r="T38" s="118" t="n"/>
      <c r="U38" s="118" t="n"/>
      <c r="V38" s="118" t="n"/>
      <c r="W38" s="118" t="n"/>
      <c r="Z38" s="118" t="n"/>
      <c r="AB38" s="118" t="n"/>
      <c r="AD38" s="118" t="n"/>
      <c r="AE38" s="118" t="n"/>
      <c r="AF38" s="118" t="n"/>
      <c r="AG38" s="118" t="n"/>
      <c r="AH38" s="118" t="n"/>
    </row>
    <row r="39">
      <c r="A39" s="118" t="n"/>
      <c r="C39" s="118" t="n"/>
      <c r="D39" s="118" t="n"/>
      <c r="E39" s="5" t="inlineStr">
        <is>
          <t>Pachir wa Agam</t>
        </is>
      </c>
      <c r="F39" s="118" t="n"/>
      <c r="I39" s="118" t="n"/>
      <c r="J39" s="118" t="n"/>
      <c r="M39" s="118" t="n"/>
      <c r="Q39" s="118" t="n"/>
      <c r="R39" s="118" t="n"/>
      <c r="S39" s="118" t="n"/>
      <c r="T39" s="118" t="n"/>
      <c r="U39" s="118" t="n"/>
      <c r="V39" s="118" t="n"/>
      <c r="W39" s="118" t="n"/>
      <c r="Z39" s="118" t="n"/>
      <c r="AB39" s="118" t="n"/>
      <c r="AD39" s="118" t="n"/>
      <c r="AF39" s="118" t="n"/>
      <c r="AG39" s="118" t="n"/>
      <c r="AH39" s="118" t="n"/>
    </row>
    <row r="40">
      <c r="A40" s="118" t="n"/>
      <c r="C40" s="118" t="n"/>
      <c r="D40" s="118" t="n"/>
      <c r="E40" s="5" t="inlineStr">
        <is>
          <t>Sherzad</t>
        </is>
      </c>
      <c r="F40" s="118" t="n"/>
      <c r="I40" s="118" t="n"/>
      <c r="J40" s="118" t="n"/>
      <c r="Q40" s="118" t="n"/>
      <c r="R40" s="118" t="n"/>
      <c r="S40" s="118" t="n"/>
      <c r="T40" s="118" t="n"/>
      <c r="U40" s="118" t="n"/>
      <c r="V40" s="118" t="n"/>
      <c r="W40" s="118" t="n"/>
      <c r="Z40" s="118" t="n"/>
      <c r="AB40" s="118" t="n"/>
      <c r="AD40" s="118" t="n"/>
      <c r="AF40" s="118" t="n"/>
      <c r="AG40" s="118" t="n"/>
      <c r="AH40" s="118" t="n"/>
    </row>
    <row r="41">
      <c r="A41" s="118" t="n"/>
      <c r="C41" s="118" t="n"/>
      <c r="E41" s="5" t="inlineStr">
        <is>
          <t>Hesarak</t>
        </is>
      </c>
      <c r="F41" s="118" t="n"/>
      <c r="I41" s="118" t="n"/>
      <c r="R41" s="118" t="n"/>
      <c r="S41" s="118" t="n"/>
      <c r="T41" s="118" t="n"/>
      <c r="U41" s="118" t="n"/>
      <c r="V41" s="118" t="n"/>
      <c r="W41" s="118" t="n"/>
      <c r="Z41" s="118" t="n"/>
      <c r="AB41" s="118" t="n"/>
      <c r="AD41" s="118" t="n"/>
      <c r="AG41" s="118" t="n"/>
      <c r="AH41" s="118" t="n"/>
    </row>
    <row r="42">
      <c r="A42" s="118" t="n"/>
      <c r="E42" s="5" t="inlineStr">
        <is>
          <t>Darah-i-Nur</t>
        </is>
      </c>
      <c r="F42" s="118" t="n"/>
      <c r="I42" s="118" t="n"/>
      <c r="R42" s="118" t="n"/>
      <c r="S42" s="118" t="n"/>
      <c r="T42" s="118" t="n"/>
      <c r="U42" s="118" t="n"/>
      <c r="V42" s="118" t="n"/>
      <c r="Z42" s="118" t="n"/>
      <c r="AD42" s="118" t="n"/>
      <c r="AG42" s="118" t="n"/>
      <c r="AH42" s="118" t="n"/>
    </row>
    <row r="43">
      <c r="A43" s="118" t="n"/>
      <c r="E43" s="118" t="n"/>
      <c r="F43" s="118" t="n"/>
      <c r="I43" s="118" t="n"/>
      <c r="R43" s="118" t="n"/>
      <c r="S43" s="118" t="n"/>
      <c r="T43" s="118" t="n"/>
      <c r="U43" s="118" t="n"/>
      <c r="V43" s="118" t="n"/>
      <c r="Z43" s="118" t="n"/>
      <c r="AG43" s="118" t="n"/>
      <c r="AH43" s="118" t="n"/>
    </row>
    <row r="44">
      <c r="A44" s="118" t="n"/>
      <c r="E44" s="118" t="n"/>
      <c r="I44" s="118" t="n"/>
      <c r="R44" s="118" t="n"/>
      <c r="T44" s="118" t="n"/>
      <c r="U44" s="118" t="n"/>
      <c r="AG44" s="118" t="n"/>
    </row>
    <row r="45">
      <c r="E45" s="118" t="n"/>
      <c r="R45" s="118" t="n"/>
      <c r="T45" s="118" t="n"/>
      <c r="U45" s="118" t="n"/>
    </row>
    <row r="46">
      <c r="E46" s="118" t="n"/>
    </row>
    <row r="47">
      <c r="E47" s="118" t="n"/>
    </row>
    <row r="48">
      <c r="E48" s="118" t="n"/>
    </row>
    <row r="49">
      <c r="E49" s="118" t="n"/>
    </row>
    <row r="50">
      <c r="E50" s="118" t="n"/>
    </row>
  </sheetData>
  <mergeCells count="3">
    <mergeCell ref="A1:P1"/>
    <mergeCell ref="A3:H3"/>
    <mergeCell ref="A21:H21"/>
  </mergeCells>
  <pageMargins left="0.75" right="0.75" top="1" bottom="1" header="0.5" footer="0.5"/>
</worksheet>
</file>

<file path=xl/worksheets/sheet12.xml><?xml version="1.0" encoding="utf-8"?>
<worksheet xmlns="http://schemas.openxmlformats.org/spreadsheetml/2006/main">
  <sheetPr>
    <tabColor rgb="004A5560"/>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32" customWidth="1" min="1" max="1"/>
    <col width="28" customWidth="1" min="2" max="2"/>
    <col width="28" customWidth="1" min="3" max="3"/>
    <col width="4" customWidth="1" min="4" max="4"/>
    <col width="22" customWidth="1" min="5" max="5"/>
    <col width="28" customWidth="1" min="6" max="6"/>
  </cols>
  <sheetData>
    <row r="1" ht="26" customHeight="1">
      <c r="A1" s="21" t="inlineStr">
        <is>
          <t>Lookups used by cascading dropdowns — add a row when you add a region or province</t>
        </is>
      </c>
      <c r="B1" s="22" t="n"/>
      <c r="C1" s="22" t="n"/>
      <c r="D1" s="22" t="n"/>
    </row>
    <row r="3">
      <c r="A3" s="9" t="inlineStr">
        <is>
          <t>Region display name</t>
        </is>
      </c>
      <c r="B3" s="9" t="inlineStr">
        <is>
          <t>Province named range</t>
        </is>
      </c>
      <c r="C3" s="9" t="inlineStr">
        <is>
          <t>Region code</t>
        </is>
      </c>
      <c r="E3" s="24" t="inlineStr">
        <is>
          <t>Province</t>
        </is>
      </c>
      <c r="F3" s="24" t="inlineStr">
        <is>
          <t>District named range</t>
        </is>
      </c>
    </row>
    <row r="4">
      <c r="A4" s="5" t="inlineStr">
        <is>
          <t>West / Herat</t>
        </is>
      </c>
      <c r="B4" s="5" t="inlineStr">
        <is>
          <t>Prov_West_Herat</t>
        </is>
      </c>
      <c r="C4" s="5" t="inlineStr">
        <is>
          <t>West_Herat</t>
        </is>
      </c>
      <c r="E4" s="5" t="inlineStr">
        <is>
          <t>Herat</t>
        </is>
      </c>
      <c r="F4" s="5" t="inlineStr">
        <is>
          <t>Dist_Herat</t>
        </is>
      </c>
    </row>
    <row r="5">
      <c r="A5" s="5" t="inlineStr">
        <is>
          <t>East / Jalalabad</t>
        </is>
      </c>
      <c r="B5" s="5" t="inlineStr">
        <is>
          <t>Prov_East_Jalalabad</t>
        </is>
      </c>
      <c r="C5" s="5" t="inlineStr">
        <is>
          <t>East_Jalalabad</t>
        </is>
      </c>
      <c r="E5" s="5" t="inlineStr">
        <is>
          <t>Badghis</t>
        </is>
      </c>
      <c r="F5" s="5" t="inlineStr">
        <is>
          <t>Dist_Badghis</t>
        </is>
      </c>
    </row>
    <row r="6">
      <c r="A6" s="5" t="inlineStr">
        <is>
          <t>Central / Kabul</t>
        </is>
      </c>
      <c r="B6" s="5" t="inlineStr">
        <is>
          <t>Prov_Central_Kabul</t>
        </is>
      </c>
      <c r="C6" s="5" t="inlineStr">
        <is>
          <t>Central_Kabul</t>
        </is>
      </c>
      <c r="E6" s="5" t="inlineStr">
        <is>
          <t>Farah</t>
        </is>
      </c>
      <c r="F6" s="5" t="inlineStr">
        <is>
          <t>Dist_Farah</t>
        </is>
      </c>
    </row>
    <row r="7">
      <c r="A7" s="5" t="inlineStr">
        <is>
          <t>Central Highland / Bamyan</t>
        </is>
      </c>
      <c r="B7" s="5" t="inlineStr">
        <is>
          <t>Prov_Central_Highland_Bamyan</t>
        </is>
      </c>
      <c r="C7" s="5" t="inlineStr">
        <is>
          <t>Central_Highland_Bamyan</t>
        </is>
      </c>
      <c r="E7" s="5" t="inlineStr">
        <is>
          <t>Ghor</t>
        </is>
      </c>
      <c r="F7" s="5" t="inlineStr">
        <is>
          <t>Dist_Ghor</t>
        </is>
      </c>
    </row>
    <row r="8">
      <c r="A8" s="5" t="inlineStr">
        <is>
          <t>Southeast / Gardez</t>
        </is>
      </c>
      <c r="B8" s="5" t="inlineStr">
        <is>
          <t>Prov_Southeast_Gardez</t>
        </is>
      </c>
      <c r="C8" s="5" t="inlineStr">
        <is>
          <t>Southeast_Gardez</t>
        </is>
      </c>
      <c r="E8" s="5" t="inlineStr">
        <is>
          <t>Nangarhar</t>
        </is>
      </c>
      <c r="F8" s="5" t="inlineStr">
        <is>
          <t>Dist_Nangarhar</t>
        </is>
      </c>
    </row>
    <row r="9">
      <c r="A9" s="5" t="inlineStr">
        <is>
          <t>South / Kandahar</t>
        </is>
      </c>
      <c r="B9" s="5" t="inlineStr">
        <is>
          <t>Prov_South_Kandahar</t>
        </is>
      </c>
      <c r="C9" s="5" t="inlineStr">
        <is>
          <t>South_Kandahar</t>
        </is>
      </c>
      <c r="E9" s="5" t="inlineStr">
        <is>
          <t>Kunar</t>
        </is>
      </c>
      <c r="F9" s="5" t="inlineStr">
        <is>
          <t>Dist_Kunar</t>
        </is>
      </c>
    </row>
    <row r="10">
      <c r="A10" s="5" t="inlineStr">
        <is>
          <t>North / Mazar</t>
        </is>
      </c>
      <c r="B10" s="5" t="inlineStr">
        <is>
          <t>Prov_North_Mazar</t>
        </is>
      </c>
      <c r="C10" s="5" t="inlineStr">
        <is>
          <t>North_Mazar</t>
        </is>
      </c>
      <c r="E10" s="5" t="inlineStr">
        <is>
          <t>Laghman</t>
        </is>
      </c>
      <c r="F10" s="5" t="inlineStr">
        <is>
          <t>Dist_Laghman</t>
        </is>
      </c>
    </row>
    <row r="11">
      <c r="A11" s="5" t="inlineStr">
        <is>
          <t>Northeast / Kunduz</t>
        </is>
      </c>
      <c r="B11" s="5" t="inlineStr">
        <is>
          <t>Prov_Northeast_Kunduz</t>
        </is>
      </c>
      <c r="C11" s="5" t="inlineStr">
        <is>
          <t>Northeast_Kunduz</t>
        </is>
      </c>
      <c r="E11" s="5" t="inlineStr">
        <is>
          <t>Nuristan</t>
        </is>
      </c>
      <c r="F11" s="5" t="inlineStr">
        <is>
          <t>Dist_Nuristan</t>
        </is>
      </c>
    </row>
    <row r="12">
      <c r="E12" s="5" t="inlineStr">
        <is>
          <t>Kabul</t>
        </is>
      </c>
      <c r="F12" s="5" t="inlineStr">
        <is>
          <t>Dist_Kabul</t>
        </is>
      </c>
    </row>
    <row r="13">
      <c r="E13" s="5" t="inlineStr">
        <is>
          <t>Parwan</t>
        </is>
      </c>
      <c r="F13" s="5" t="inlineStr">
        <is>
          <t>Dist_Parwan</t>
        </is>
      </c>
    </row>
    <row r="14">
      <c r="E14" s="5" t="inlineStr">
        <is>
          <t>Kapisa</t>
        </is>
      </c>
      <c r="F14" s="5" t="inlineStr">
        <is>
          <t>Dist_Kapisa</t>
        </is>
      </c>
    </row>
    <row r="15">
      <c r="E15" s="5" t="inlineStr">
        <is>
          <t>Logar</t>
        </is>
      </c>
      <c r="F15" s="5" t="inlineStr">
        <is>
          <t>Dist_Logar</t>
        </is>
      </c>
    </row>
    <row r="16">
      <c r="E16" s="5" t="inlineStr">
        <is>
          <t>Maidan Wardak</t>
        </is>
      </c>
      <c r="F16" s="5" t="inlineStr">
        <is>
          <t>Dist_Maidan_Wardak</t>
        </is>
      </c>
    </row>
    <row r="17">
      <c r="E17" s="5" t="inlineStr">
        <is>
          <t>Panjshir</t>
        </is>
      </c>
      <c r="F17" s="5" t="inlineStr">
        <is>
          <t>Dist_Panjshir</t>
        </is>
      </c>
    </row>
    <row r="18">
      <c r="E18" s="5" t="inlineStr">
        <is>
          <t>Bamyan</t>
        </is>
      </c>
      <c r="F18" s="5" t="inlineStr">
        <is>
          <t>Dist_Bamyan</t>
        </is>
      </c>
    </row>
    <row r="19">
      <c r="E19" s="5" t="inlineStr">
        <is>
          <t>Daykundi</t>
        </is>
      </c>
      <c r="F19" s="5" t="inlineStr">
        <is>
          <t>Dist_Daykundi</t>
        </is>
      </c>
    </row>
    <row r="20">
      <c r="E20" s="5" t="inlineStr">
        <is>
          <t>Paktya</t>
        </is>
      </c>
      <c r="F20" s="5" t="inlineStr">
        <is>
          <t>Dist_Paktya</t>
        </is>
      </c>
    </row>
    <row r="21">
      <c r="E21" s="5" t="inlineStr">
        <is>
          <t>Paktika</t>
        </is>
      </c>
      <c r="F21" s="5" t="inlineStr">
        <is>
          <t>Dist_Paktika</t>
        </is>
      </c>
    </row>
    <row r="22">
      <c r="E22" s="5" t="inlineStr">
        <is>
          <t>Khost</t>
        </is>
      </c>
      <c r="F22" s="5" t="inlineStr">
        <is>
          <t>Dist_Khost</t>
        </is>
      </c>
    </row>
    <row r="23">
      <c r="E23" s="5" t="inlineStr">
        <is>
          <t>Ghazni</t>
        </is>
      </c>
      <c r="F23" s="5" t="inlineStr">
        <is>
          <t>Dist_Ghazni</t>
        </is>
      </c>
    </row>
    <row r="24">
      <c r="E24" s="5" t="inlineStr">
        <is>
          <t>Kandahar</t>
        </is>
      </c>
      <c r="F24" s="5" t="inlineStr">
        <is>
          <t>Dist_Kandahar</t>
        </is>
      </c>
    </row>
    <row r="25">
      <c r="E25" s="5" t="inlineStr">
        <is>
          <t>Helmand</t>
        </is>
      </c>
      <c r="F25" s="5" t="inlineStr">
        <is>
          <t>Dist_Helmand</t>
        </is>
      </c>
    </row>
    <row r="26">
      <c r="E26" s="5" t="inlineStr">
        <is>
          <t>Zabul</t>
        </is>
      </c>
      <c r="F26" s="5" t="inlineStr">
        <is>
          <t>Dist_Zabul</t>
        </is>
      </c>
    </row>
    <row r="27">
      <c r="E27" s="5" t="inlineStr">
        <is>
          <t>Uruzgan</t>
        </is>
      </c>
      <c r="F27" s="5" t="inlineStr">
        <is>
          <t>Dist_Uruzgan</t>
        </is>
      </c>
    </row>
    <row r="28">
      <c r="E28" s="5" t="inlineStr">
        <is>
          <t>Nimroz</t>
        </is>
      </c>
      <c r="F28" s="5" t="inlineStr">
        <is>
          <t>Dist_Nimroz</t>
        </is>
      </c>
    </row>
    <row r="29">
      <c r="E29" s="5" t="inlineStr">
        <is>
          <t>Balkh</t>
        </is>
      </c>
      <c r="F29" s="5" t="inlineStr">
        <is>
          <t>Dist_Balkh</t>
        </is>
      </c>
    </row>
    <row r="30">
      <c r="E30" s="5" t="inlineStr">
        <is>
          <t>Samangan</t>
        </is>
      </c>
      <c r="F30" s="5" t="inlineStr">
        <is>
          <t>Dist_Samangan</t>
        </is>
      </c>
    </row>
    <row r="31">
      <c r="E31" s="5" t="inlineStr">
        <is>
          <t>Jawzjan</t>
        </is>
      </c>
      <c r="F31" s="5" t="inlineStr">
        <is>
          <t>Dist_Jawzjan</t>
        </is>
      </c>
    </row>
    <row r="32">
      <c r="E32" s="5" t="inlineStr">
        <is>
          <t>Sar-e-Pul</t>
        </is>
      </c>
      <c r="F32" s="5" t="inlineStr">
        <is>
          <t>Dist_Sar_e_Pul</t>
        </is>
      </c>
    </row>
    <row r="33">
      <c r="E33" s="5" t="inlineStr">
        <is>
          <t>Faryab</t>
        </is>
      </c>
      <c r="F33" s="5" t="inlineStr">
        <is>
          <t>Dist_Faryab</t>
        </is>
      </c>
    </row>
    <row r="34">
      <c r="E34" s="5" t="inlineStr">
        <is>
          <t>Kunduz</t>
        </is>
      </c>
      <c r="F34" s="5" t="inlineStr">
        <is>
          <t>Dist_Kunduz</t>
        </is>
      </c>
    </row>
    <row r="35">
      <c r="E35" s="5" t="inlineStr">
        <is>
          <t>Baghlan</t>
        </is>
      </c>
      <c r="F35" s="5" t="inlineStr">
        <is>
          <t>Dist_Baghlan</t>
        </is>
      </c>
    </row>
    <row r="36">
      <c r="E36" s="5" t="inlineStr">
        <is>
          <t>Takhar</t>
        </is>
      </c>
      <c r="F36" s="5" t="inlineStr">
        <is>
          <t>Dist_Takhar</t>
        </is>
      </c>
    </row>
    <row r="37">
      <c r="E37" s="5" t="inlineStr">
        <is>
          <t>Badakhshan</t>
        </is>
      </c>
      <c r="F37" s="5" t="inlineStr">
        <is>
          <t>Dist_Badakhshan</t>
        </is>
      </c>
    </row>
  </sheetData>
  <mergeCells count="1">
    <mergeCell ref="A1:D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Construction Works Tracker</dc:creator>
  <dc:title>Construction Works Scheme Tracker</dc:title>
  <dc:description>Scheme-level construction tracker with package grouping, major/sub-type interventions, status dates, duration between steps, and editable domains.</dc:description>
  <dc:subject>Emergency Food Security Project (EFSP) · Component 2: Water and Resilience Services · WBK/AF-2</dc:subject>
  <dcterms:created xsi:type="dcterms:W3CDTF">2026-10-18T07:27:43Z</dcterms:created>
  <dcterms:modified xsi:type="dcterms:W3CDTF">2026-10-18T07:27:46Z</dcterms:modified>
</cp:coreProperties>
</file>