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ite" sheetId="2" state="visible" r:id="rId2"/>
    <sheet name="StageAreaVolume" sheetId="3" state="visible" r:id="rId3"/>
    <sheet name="Evaporation" sheetId="4" state="visible" r:id="rId4"/>
    <sheet name="DailyPond" sheetId="5" state="visible" r:id="rId5"/>
    <sheet name="DailyCalc" sheetId="6" state="visible" r:id="rId6"/>
    <sheet name="Wells" sheetId="7" state="visible" r:id="rId7"/>
    <sheet name="Karez" sheetId="8" state="visible" r:id="rId8"/>
    <sheet name="Summary" sheetId="9" state="visible" r:id="rId9"/>
    <sheet name="Scorecard" sheetId="10" state="visible" r:id="rId10"/>
  </sheets>
  <definedNames>
    <definedName name="MeanMDWIR">DailyCalc!$S$1</definedName>
    <definedName name="_xlnm._FilterDatabase" localSheetId="4" hidden="1">'DailyPond'!$A$4:$H$204</definedName>
    <definedName name="_xlnm.Print_Titles" localSheetId="4">'DailyPond'!$1:$4</definedName>
    <definedName name="_xlnm.Print_Titles" localSheetId="5">'DailyCalc'!$1:$4</definedName>
    <definedName name="_xlnm.Print_Titles" localSheetId="6">'Wells'!$1:$4</definedName>
    <definedName name="_xlnm.Print_Titles" localSheetId="7">'Karez'!$1:$4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"/>
    <numFmt numFmtId="166" formatCode="YYYY-MM-DD"/>
    <numFmt numFmtId="167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1D5673"/>
      <sz val="16"/>
    </font>
    <font>
      <name val="Calibri"/>
      <b val="1"/>
      <color rgb="001D5673"/>
      <sz val="12"/>
    </font>
    <font>
      <name val="Calibri"/>
      <b val="1"/>
      <color rgb="00FFFFFF"/>
      <sz val="11"/>
    </font>
    <font>
      <name val="Calibri"/>
      <sz val="10"/>
    </font>
    <font>
      <i val="1"/>
      <color rgb="00666666"/>
      <sz val="9"/>
    </font>
    <font>
      <name val="Calibri"/>
      <b val="1"/>
    </font>
    <font>
      <i val="1"/>
      <color rgb="00666666"/>
      <sz val="10"/>
    </font>
  </fonts>
  <fills count="7">
    <fill>
      <patternFill/>
    </fill>
    <fill>
      <patternFill patternType="gray125"/>
    </fill>
    <fill>
      <patternFill patternType="solid">
        <fgColor rgb="001D5673"/>
      </patternFill>
    </fill>
    <fill>
      <patternFill patternType="solid">
        <fgColor rgb="00FFF8E7"/>
      </patternFill>
    </fill>
    <fill>
      <patternFill patternType="solid">
        <fgColor rgb="00EAF4FB"/>
      </patternFill>
    </fill>
    <fill>
      <patternFill patternType="solid">
        <fgColor rgb="00FFF3BF"/>
      </patternFill>
    </fill>
    <fill>
      <patternFill patternType="solid">
        <fgColor rgb="00F4F4F4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wrapText="1"/>
    </xf>
    <xf numFmtId="0" fontId="0" fillId="3" borderId="0" pivotButton="0" quotePrefix="0" xfId="0"/>
    <xf numFmtId="0" fontId="0" fillId="4" borderId="0" pivotButton="0" quotePrefix="0" xfId="0"/>
    <xf numFmtId="0" fontId="3" fillId="2" borderId="0" pivotButton="0" quotePrefix="0" xfId="0"/>
    <xf numFmtId="0" fontId="4" fillId="0" borderId="0" applyAlignment="1" pivotButton="0" quotePrefix="0" xfId="0">
      <alignment vertical="center"/>
    </xf>
    <xf numFmtId="0" fontId="4" fillId="3" borderId="1" pivotButton="0" quotePrefix="0" xfId="0"/>
    <xf numFmtId="0" fontId="0" fillId="0" borderId="0" applyAlignment="1" pivotButton="0" quotePrefix="0" xfId="0">
      <alignment vertical="top" wrapText="1"/>
    </xf>
    <xf numFmtId="1" fontId="4" fillId="3" borderId="1" pivotButton="0" quotePrefix="0" xfId="0"/>
    <xf numFmtId="2" fontId="4" fillId="3" borderId="1" pivotButton="0" quotePrefix="0" xfId="0"/>
    <xf numFmtId="164" fontId="4" fillId="3" borderId="1" pivotButton="0" quotePrefix="0" xfId="0"/>
    <xf numFmtId="165" fontId="4" fillId="3" borderId="1" pivotButton="0" quotePrefix="0" xfId="0"/>
    <xf numFmtId="0" fontId="5" fillId="0" borderId="0" pivotButton="0" quotePrefix="0" xfId="0"/>
    <xf numFmtId="165" fontId="4" fillId="4" borderId="1" pivotButton="0" quotePrefix="0" xfId="0"/>
    <xf numFmtId="1" fontId="4" fillId="4" borderId="1" pivotButton="0" quotePrefix="0" xfId="0"/>
    <xf numFmtId="166" fontId="4" fillId="3" borderId="1" pivotButton="0" quotePrefix="0" xfId="0"/>
    <xf numFmtId="0" fontId="0" fillId="3" borderId="1" pivotButton="0" quotePrefix="0" xfId="0"/>
    <xf numFmtId="166" fontId="0" fillId="3" borderId="1" pivotButton="0" quotePrefix="0" xfId="0"/>
    <xf numFmtId="165" fontId="0" fillId="3" borderId="1" pivotButton="0" quotePrefix="0" xfId="0"/>
    <xf numFmtId="2" fontId="0" fillId="3" borderId="1" pivotButton="0" quotePrefix="0" xfId="0"/>
    <xf numFmtId="2" fontId="4" fillId="4" borderId="1" pivotButton="0" quotePrefix="0" xfId="0"/>
    <xf numFmtId="166" fontId="4" fillId="4" borderId="1" pivotButton="0" quotePrefix="0" xfId="0"/>
    <xf numFmtId="0" fontId="4" fillId="4" borderId="1" pivotButton="0" quotePrefix="0" xfId="0"/>
    <xf numFmtId="2" fontId="0" fillId="0" borderId="0" pivotButton="0" quotePrefix="0" xfId="0"/>
    <xf numFmtId="165" fontId="0" fillId="0" borderId="0" pivotButton="0" quotePrefix="0" xfId="0"/>
    <xf numFmtId="167" fontId="4" fillId="4" borderId="1" pivotButton="0" quotePrefix="0" xfId="0"/>
    <xf numFmtId="0" fontId="3" fillId="2" borderId="1" pivotButton="0" quotePrefix="0" xfId="0"/>
    <xf numFmtId="164" fontId="0" fillId="0" borderId="0" pivotButton="0" quotePrefix="0" xfId="0"/>
    <xf numFmtId="0" fontId="6" fillId="5" borderId="1" pivotButton="0" quotePrefix="0" xfId="0"/>
    <xf numFmtId="0" fontId="6" fillId="0" borderId="1" pivotButton="0" quotePrefix="0" xfId="0"/>
    <xf numFmtId="49" fontId="4" fillId="4" borderId="1" pivotButton="0" quotePrefix="0" xfId="0"/>
    <xf numFmtId="164" fontId="4" fillId="4" borderId="1" pivotButton="0" quotePrefix="0" xfId="0"/>
    <xf numFmtId="0" fontId="3" fillId="2" borderId="1" applyAlignment="1" pivotButton="0" quotePrefix="0" xfId="0">
      <alignment wrapText="1"/>
    </xf>
    <xf numFmtId="0" fontId="0" fillId="0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  <xf numFmtId="2" fontId="4" fillId="4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7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D8F3D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Area and volume versus stage</a:t>
            </a:r>
          </a:p>
        </rich>
      </tx>
    </title>
    <plotArea>
      <lineChart>
        <grouping val="standard"/>
        <ser>
          <idx val="0"/>
          <order val="0"/>
          <tx>
            <strRef>
              <f>'StageAreaVolume'!B5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'StageAreaVolume'!$A$6:$A$11</f>
            </numRef>
          </cat>
          <val>
            <numRef>
              <f>'StageAreaVolume'!$B$6:$B$11</f>
            </numRef>
          </val>
        </ser>
        <ser>
          <idx val="1"/>
          <order val="1"/>
          <tx>
            <strRef>
              <f>'StageAreaVolume'!C5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'StageAreaVolume'!$A$6:$A$11</f>
            </numRef>
          </cat>
          <val>
            <numRef>
              <f>'StageAreaVolume'!$C$6:$C$11</f>
            </numRef>
          </val>
        </ser>
        <ser>
          <idx val="2"/>
          <order val="2"/>
          <tx>
            <strRef>
              <f>'StageAreaVolume'!D5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'StageAreaVolume'!$A$6:$A$11</f>
            </numRef>
          </cat>
          <val>
            <numRef>
              <f>'StageAreaVolume'!$D$6:$D$11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Stage (m)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 (m²) or V (m³)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4</row>
      <rowOff>0</rowOff>
    </from>
    <ext cx="540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1D5673"/>
    <outlinePr summaryBelow="1" summaryRight="1"/>
    <pageSetUpPr fitToPage="1"/>
  </sheetPr>
  <dimension ref="A1:G3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8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Check-dam groundwater recharge calculator</t>
        </is>
      </c>
    </row>
    <row r="2" ht="48" customHeight="1">
      <c r="A2" s="2" t="inlineStr">
        <is>
          <t>Field workbook for small check dams on Kandahar / Zabul alluvial fans. Yellow cells are inputs. Blue cells are formulas — do not type over them. An example spring filling is pre-loaded so you can see a complete result; replace it with your Form B and Form C data.</t>
        </is>
      </c>
    </row>
    <row r="3"/>
    <row r="4"/>
    <row r="6">
      <c r="A6" s="3" t="inlineStr">
        <is>
          <t>Sheet order</t>
        </is>
      </c>
    </row>
    <row r="7" ht="28" customHeight="1">
      <c r="A7" s="4" t="inlineStr">
        <is>
          <t>Sheet</t>
        </is>
      </c>
      <c r="B7" s="4" t="inlineStr">
        <is>
          <t>Purpose</t>
        </is>
      </c>
    </row>
    <row r="8">
      <c r="A8" s="5" t="inlineStr">
        <is>
          <t>1. Site</t>
        </is>
      </c>
      <c r="B8" s="6" t="inlineStr">
        <is>
          <t>Names, crest, Sy, default evaporation. Matches Form A.</t>
        </is>
      </c>
    </row>
    <row r="9">
      <c r="A9" s="5" t="inlineStr">
        <is>
          <t>2. StageAreaVolume</t>
        </is>
      </c>
      <c r="B9" s="6" t="inlineStr">
        <is>
          <t>h–A–V table from the empty-pond survey. Do not skip.</t>
        </is>
      </c>
    </row>
    <row r="10">
      <c r="A10" s="5" t="inlineStr">
        <is>
          <t>3. Evaporation</t>
        </is>
      </c>
      <c r="B10" s="6" t="inlineStr">
        <is>
          <t>Monthly open-water E (mm/day). Override if you have a pan (use 0.7 × pan).</t>
        </is>
      </c>
    </row>
    <row r="11">
      <c r="A11" s="5" t="inlineStr">
        <is>
          <t>4. DailyPond</t>
        </is>
      </c>
      <c r="B11" s="6" t="inlineStr">
        <is>
          <t>Paste Form B: date, rain, stage, overflow, pumped.</t>
        </is>
      </c>
    </row>
    <row r="12">
      <c r="A12" s="5" t="inlineStr">
        <is>
          <t>5. DailyCalc</t>
        </is>
      </c>
      <c r="B12" s="6" t="inlineStr">
        <is>
          <t>Interpolates A and V, flags dry days, computes MDWIR and daily infiltration.</t>
        </is>
      </c>
    </row>
    <row r="13">
      <c r="A13" s="5" t="inlineStr">
        <is>
          <t>6. Wells</t>
        </is>
      </c>
      <c r="B13" s="6" t="inlineStr">
        <is>
          <t>Form C water levels. Converts DTW to elevation and seasonal Δh.</t>
        </is>
      </c>
    </row>
    <row r="14">
      <c r="A14" s="5" t="inlineStr">
        <is>
          <t>7. Karez</t>
        </is>
      </c>
      <c r="B14" s="6" t="inlineStr">
        <is>
          <t>Weekly KO discharge and flow-day count.</t>
        </is>
      </c>
    </row>
    <row r="15">
      <c r="A15" s="5" t="inlineStr">
        <is>
          <t>8. Summary</t>
        </is>
      </c>
      <c r="B15" s="6" t="inlineStr">
        <is>
          <t>I1–I5 for the year.</t>
        </is>
      </c>
    </row>
    <row r="16">
      <c r="A16" s="5" t="inlineStr">
        <is>
          <t>9. Scorecard</t>
        </is>
      </c>
      <c r="B16" s="6" t="inlineStr">
        <is>
          <t>Interpretation and desilting decision.</t>
        </is>
      </c>
    </row>
    <row r="18">
      <c r="A18" s="3" t="inlineStr">
        <is>
          <t>Colour key</t>
        </is>
      </c>
    </row>
    <row r="19">
      <c r="A19" s="7" t="inlineStr">
        <is>
          <t>Input</t>
        </is>
      </c>
      <c r="B19" t="inlineStr">
        <is>
          <t>Type here (field data)</t>
        </is>
      </c>
    </row>
    <row r="20">
      <c r="A20" s="8" t="inlineStr">
        <is>
          <t>Calculated</t>
        </is>
      </c>
      <c r="B20" t="inlineStr">
        <is>
          <t>Formula — leave it</t>
        </is>
      </c>
    </row>
    <row r="22">
      <c r="A22" s="3" t="inlineStr">
        <is>
          <t>Dry-day rule (Dashora / MARVI)</t>
        </is>
      </c>
    </row>
    <row r="23">
      <c r="A23" s="2" t="inlineStr">
        <is>
          <t>A day is DRY if rain = 0, overflow = N, pumped = N, and stage fell. Infiltration volume = drop in storage − evaporation × mean area. MDWIR = that volume / mean area. On wet or spilling days, infiltration = mean dry-day MDWIR × mean area. I1 is the sum of daily infiltration over all days with water in the pond.</t>
        </is>
      </c>
    </row>
    <row r="24"/>
    <row r="25"/>
    <row r="27">
      <c r="A27" s="3" t="inlineStr">
        <is>
          <t>Example currently loaded</t>
        </is>
      </c>
    </row>
    <row r="28">
      <c r="A28" s="2" t="inlineStr">
        <is>
          <t>Example spring filling (Mar–Apr), crest volume 6,275 m³. Independent Python check: I1 = 6,365 m³, I2 = 1.01 fillings, mean MDWIR = 48.2 mm/day. After you build this file, open Summary and confirm it matches within 1%.</t>
        </is>
      </c>
    </row>
    <row r="29"/>
    <row r="30"/>
  </sheetData>
  <mergeCells count="4">
    <mergeCell ref="A2:G4"/>
    <mergeCell ref="A23:G25"/>
    <mergeCell ref="A28:G30"/>
    <mergeCell ref="A1:G1"/>
  </mergeCells>
  <pageMargins left="0.75" right="0.75" top="1" bottom="1" header="0.5" footer="0.5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tabColor rgb="00B0894A"/>
    <outlinePr summaryBelow="1" summaryRight="1"/>
    <pageSetUpPr fitToPage="1"/>
  </sheetPr>
  <dimension ref="A1:F21"/>
  <sheetViews>
    <sheetView workbookViewId="0">
      <selection activeCell="A1" sqref="A1"/>
    </sheetView>
  </sheetViews>
  <sheetFormatPr baseColWidth="8" defaultRowHeight="15"/>
  <cols>
    <col width="36" customWidth="1" min="1" max="1"/>
    <col width="34" customWidth="1" min="2" max="2"/>
  </cols>
  <sheetData>
    <row r="1">
      <c r="A1" s="1" t="inlineStr">
        <is>
          <t>Site (Form A)</t>
        </is>
      </c>
    </row>
    <row r="3">
      <c r="A3" s="9" t="inlineStr">
        <is>
          <t>Item</t>
        </is>
      </c>
      <c r="B3" s="9" t="inlineStr">
        <is>
          <t>Value</t>
        </is>
      </c>
      <c r="D3" s="3" t="inlineStr">
        <is>
          <t>Notes</t>
        </is>
      </c>
    </row>
    <row r="4">
      <c r="A4" s="10" t="inlineStr">
        <is>
          <t>Check dam ID</t>
        </is>
      </c>
      <c r="B4" s="11" t="inlineStr">
        <is>
          <t>CD-EX-01</t>
        </is>
      </c>
      <c r="D4" s="12" t="inlineStr">
        <is>
          <t>Replace the example ID before a real campaign. Sy = 0.10 is the Afghan karez-model default for fan gravels. Always report I4 as a range using Sy low and Sy high.</t>
        </is>
      </c>
    </row>
    <row r="5">
      <c r="A5" s="10" t="inlineStr">
        <is>
          <t>Province / district</t>
        </is>
      </c>
      <c r="B5" s="11" t="inlineStr">
        <is>
          <t>Kandahar / Arghandab example</t>
        </is>
      </c>
    </row>
    <row r="6">
      <c r="A6" s="10" t="inlineStr">
        <is>
          <t>Wadi / fan name</t>
        </is>
      </c>
      <c r="B6" s="11" t="inlineStr">
        <is>
          <t>Example fan apex wadi</t>
        </is>
      </c>
    </row>
    <row r="7">
      <c r="A7" s="10" t="inlineStr">
        <is>
          <t>Treated or control</t>
        </is>
      </c>
      <c r="B7" s="11" t="inlineStr">
        <is>
          <t>Treated</t>
        </is>
      </c>
    </row>
    <row r="8">
      <c r="A8" s="10" t="inlineStr">
        <is>
          <t>Year built</t>
        </is>
      </c>
      <c r="B8" s="13" t="n">
        <v>2024</v>
      </c>
    </row>
    <row r="9">
      <c r="A9" s="10" t="inlineStr">
        <is>
          <t>Cascade position (1 = upstream)</t>
        </is>
      </c>
      <c r="B9" s="13" t="n">
        <v>1</v>
      </c>
    </row>
    <row r="10">
      <c r="A10" s="10" t="inlineStr">
        <is>
          <t>Crest stage on gauge (m)</t>
        </is>
      </c>
      <c r="B10" s="14" t="n">
        <v>2.5</v>
      </c>
    </row>
    <row r="11">
      <c r="A11" s="10" t="inlineStr">
        <is>
          <t>Gauge zero</t>
        </is>
      </c>
      <c r="B11" s="11" t="inlineStr">
        <is>
          <t>Pond bed</t>
        </is>
      </c>
    </row>
    <row r="12">
      <c r="A12" s="10" t="inlineStr">
        <is>
          <t>Latitude</t>
        </is>
      </c>
      <c r="B12" s="15" t="n">
        <v>31.62</v>
      </c>
    </row>
    <row r="13">
      <c r="A13" s="10" t="inlineStr">
        <is>
          <t>Longitude</t>
        </is>
      </c>
      <c r="B13" s="15" t="n">
        <v>65.73999999999999</v>
      </c>
    </row>
    <row r="14">
      <c r="A14" s="10" t="inlineStr">
        <is>
          <t>Catchment area (ha)</t>
        </is>
      </c>
      <c r="B14" s="16" t="n">
        <v>450</v>
      </c>
    </row>
    <row r="15">
      <c r="A15" s="10" t="inlineStr">
        <is>
          <t>Sy default (fan gravel)</t>
        </is>
      </c>
      <c r="B15" s="14" t="n">
        <v>0.1</v>
      </c>
    </row>
    <row r="16">
      <c r="A16" s="10" t="inlineStr">
        <is>
          <t>Sy low</t>
        </is>
      </c>
      <c r="B16" s="14" t="n">
        <v>0.08</v>
      </c>
    </row>
    <row r="17">
      <c r="A17" s="10" t="inlineStr">
        <is>
          <t>Sy high</t>
        </is>
      </c>
      <c r="B17" s="14" t="n">
        <v>0.15</v>
      </c>
    </row>
    <row r="18">
      <c r="A18" s="10" t="inlineStr">
        <is>
          <t>Observer name</t>
        </is>
      </c>
      <c r="B18" s="11" t="inlineStr">
        <is>
          <t>Example observer</t>
        </is>
      </c>
    </row>
    <row r="19">
      <c r="A19" s="10" t="inlineStr">
        <is>
          <t>Technician name</t>
        </is>
      </c>
      <c r="B19" s="11" t="inlineStr">
        <is>
          <t>Example technician</t>
        </is>
      </c>
    </row>
    <row r="21">
      <c r="A21" s="17" t="inlineStr">
        <is>
          <t>Other sheets read B10 = crest stage (m), B14 = catchment (ha), B15 = Sy default.</t>
        </is>
      </c>
    </row>
  </sheetData>
  <mergeCells count="2">
    <mergeCell ref="D4:F8"/>
    <mergeCell ref="A1:D1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tabColor rgb="003A7CA5"/>
    <outlinePr summaryBelow="1" summaryRight="1"/>
    <pageSetUpPr fitToPage="1"/>
  </sheetPr>
  <dimension ref="A1:E2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28" customWidth="1" min="5" max="5"/>
  </cols>
  <sheetData>
    <row r="1">
      <c r="A1" s="1" t="inlineStr">
        <is>
          <t>Stage–area–volume (Form A4)</t>
        </is>
      </c>
    </row>
    <row r="2">
      <c r="A2" s="2" t="inlineStr">
        <is>
          <t>Enter surveyed stage (m above gauge zero), surface area (m²), then volume is computed by the trapezoid rule. Keep stages in increasing order. Crest must appear in the table.</t>
        </is>
      </c>
    </row>
    <row r="3"/>
    <row r="5" ht="28" customHeight="1">
      <c r="A5" s="4" t="inlineStr">
        <is>
          <t>Stage h (m)</t>
        </is>
      </c>
      <c r="B5" s="4" t="inlineStr">
        <is>
          <t>Area A (m²)</t>
        </is>
      </c>
      <c r="C5" s="4" t="inlineStr">
        <is>
          <t>ΔV (m³)</t>
        </is>
      </c>
      <c r="D5" s="4" t="inlineStr">
        <is>
          <t>Cumulative V (m³)</t>
        </is>
      </c>
      <c r="E5" s="4" t="inlineStr">
        <is>
          <t>Notes</t>
        </is>
      </c>
    </row>
    <row r="6">
      <c r="A6" s="14" t="n">
        <v>0</v>
      </c>
      <c r="B6" s="13" t="n">
        <v>0</v>
      </c>
      <c r="C6" s="18" t="n">
        <v>0</v>
      </c>
      <c r="D6" s="18" t="n">
        <v>0</v>
      </c>
      <c r="E6" s="5" t="n"/>
    </row>
    <row r="7">
      <c r="A7" s="14" t="n">
        <v>0.5</v>
      </c>
      <c r="B7" s="13" t="n">
        <v>800</v>
      </c>
      <c r="C7" s="18">
        <f>IF(A7="","",(A7-A6)/2*(B7+B6))</f>
        <v/>
      </c>
      <c r="D7" s="18">
        <f>IF(A7="","",D6+C7)</f>
        <v/>
      </c>
      <c r="E7" s="5" t="n"/>
    </row>
    <row r="8">
      <c r="A8" s="14" t="n">
        <v>1</v>
      </c>
      <c r="B8" s="13" t="n">
        <v>1800</v>
      </c>
      <c r="C8" s="18">
        <f>IF(A8="","",(A8-A7)/2*(B8+B7))</f>
        <v/>
      </c>
      <c r="D8" s="18">
        <f>IF(A8="","",D7+C8)</f>
        <v/>
      </c>
      <c r="E8" s="5" t="n"/>
    </row>
    <row r="9">
      <c r="A9" s="14" t="n">
        <v>1.5</v>
      </c>
      <c r="B9" s="13" t="n">
        <v>3000</v>
      </c>
      <c r="C9" s="18">
        <f>IF(A9="","",(A9-A8)/2*(B9+B8))</f>
        <v/>
      </c>
      <c r="D9" s="18">
        <f>IF(A9="","",D8+C9)</f>
        <v/>
      </c>
      <c r="E9" s="5" t="n"/>
    </row>
    <row r="10">
      <c r="A10" s="14" t="n">
        <v>2</v>
      </c>
      <c r="B10" s="13" t="n">
        <v>4200</v>
      </c>
      <c r="C10" s="18">
        <f>IF(A10="","",(A10-A9)/2*(B10+B9))</f>
        <v/>
      </c>
      <c r="D10" s="18">
        <f>IF(A10="","",D9+C10)</f>
        <v/>
      </c>
      <c r="E10" s="5" t="n"/>
    </row>
    <row r="11">
      <c r="A11" s="14" t="n">
        <v>2.5</v>
      </c>
      <c r="B11" s="13" t="n">
        <v>5500</v>
      </c>
      <c r="C11" s="18">
        <f>IF(A11="","",(A11-A10)/2*(B11+B10))</f>
        <v/>
      </c>
      <c r="D11" s="18">
        <f>IF(A11="","",D10+C11)</f>
        <v/>
      </c>
      <c r="E11" s="5" t="inlineStr">
        <is>
          <t>CREST</t>
        </is>
      </c>
    </row>
    <row r="12">
      <c r="A12" s="14" t="n"/>
      <c r="B12" s="13" t="n"/>
      <c r="C12" s="18">
        <f>IF(OR(A12="",A11=""),"",(A12-A11)/2*(B12+B11))</f>
        <v/>
      </c>
      <c r="D12" s="18">
        <f>IF(A12="","",IF(D11="",C12,D11+C12))</f>
        <v/>
      </c>
      <c r="E12" s="5" t="n"/>
    </row>
    <row r="13">
      <c r="A13" s="14" t="n"/>
      <c r="B13" s="13" t="n"/>
      <c r="C13" s="18">
        <f>IF(OR(A13="",A12=""),"",(A13-A12)/2*(B13+B12))</f>
        <v/>
      </c>
      <c r="D13" s="18">
        <f>IF(A13="","",IF(D12="",C13,D12+C13))</f>
        <v/>
      </c>
      <c r="E13" s="5" t="n"/>
    </row>
    <row r="14">
      <c r="A14" s="14" t="n"/>
      <c r="B14" s="13" t="n"/>
      <c r="C14" s="18">
        <f>IF(OR(A14="",A13=""),"",(A14-A13)/2*(B14+B13))</f>
        <v/>
      </c>
      <c r="D14" s="18">
        <f>IF(A14="","",IF(D13="",C14,D13+C14))</f>
        <v/>
      </c>
      <c r="E14" s="5" t="n"/>
    </row>
    <row r="15">
      <c r="A15" s="14" t="n"/>
      <c r="B15" s="13" t="n"/>
      <c r="C15" s="18">
        <f>IF(OR(A15="",A14=""),"",(A15-A14)/2*(B15+B14))</f>
        <v/>
      </c>
      <c r="D15" s="18">
        <f>IF(A15="","",IF(D14="",C15,D14+C15))</f>
        <v/>
      </c>
      <c r="E15" s="5" t="n"/>
    </row>
    <row r="16">
      <c r="A16" s="14" t="n"/>
      <c r="B16" s="13" t="n"/>
      <c r="C16" s="18">
        <f>IF(OR(A16="",A15=""),"",(A16-A15)/2*(B16+B15))</f>
        <v/>
      </c>
      <c r="D16" s="18">
        <f>IF(A16="","",IF(D15="",C16,D15+C16))</f>
        <v/>
      </c>
      <c r="E16" s="5" t="n"/>
    </row>
    <row r="17">
      <c r="A17" s="14" t="n"/>
      <c r="B17" s="13" t="n"/>
      <c r="C17" s="18">
        <f>IF(OR(A17="",A16=""),"",(A17-A16)/2*(B17+B16))</f>
        <v/>
      </c>
      <c r="D17" s="18">
        <f>IF(A17="","",IF(D16="",C17,D16+C17))</f>
        <v/>
      </c>
      <c r="E17" s="5" t="n"/>
    </row>
    <row r="20">
      <c r="A20" t="inlineStr">
        <is>
          <t>Crest volume (m³)</t>
        </is>
      </c>
      <c r="B20" s="18">
        <f>INDEX(D6:D17,MATCH(Site!B10,A6:A17,0))</f>
        <v/>
      </c>
      <c r="C20" t="inlineStr">
        <is>
          <t>Looks up V at Site crest stage. If #N/A, put an exact crest row in the table.</t>
        </is>
      </c>
    </row>
    <row r="21">
      <c r="A21" t="inlineStr">
        <is>
          <t>Crest area (m²)</t>
        </is>
      </c>
      <c r="B21" s="19">
        <f>INDEX(B6:B17,MATCH(Site!B10,A6:A17,0))</f>
        <v/>
      </c>
    </row>
  </sheetData>
  <mergeCells count="1">
    <mergeCell ref="A2:E3"/>
  </mergeCells>
  <pageMargins left="0.75" right="0.75" top="1" bottom="1" header="0.5" footer="0.5"/>
  <pageSetup orientation="landscape" paperSize="9" fitToHeight="1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E07A3D"/>
    <outlinePr summaryBelow="1" summaryRight="1"/>
    <pageSetUpPr fitToPage="1"/>
  </sheetPr>
  <dimension ref="A1:D20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32" customWidth="1" min="4" max="4"/>
  </cols>
  <sheetData>
    <row r="1">
      <c r="A1" s="1" t="inlineStr">
        <is>
          <t>Open-water evaporation (mm/day)</t>
        </is>
      </c>
    </row>
    <row r="2">
      <c r="A2" s="2" t="inlineStr">
        <is>
          <t>Defaults are for Kandahar open water when no pan is available. If you have a Class A pan, enter 0.70 × monthly mean pan in column B.</t>
        </is>
      </c>
    </row>
    <row r="3"/>
    <row r="5" ht="28" customHeight="1">
      <c r="A5" s="4" t="inlineStr">
        <is>
          <t>Month number</t>
        </is>
      </c>
      <c r="B5" s="4" t="inlineStr">
        <is>
          <t>E (mm/day)</t>
        </is>
      </c>
      <c r="C5" s="4" t="inlineStr">
        <is>
          <t>Month name</t>
        </is>
      </c>
      <c r="D5" s="4" t="inlineStr">
        <is>
          <t>Source</t>
        </is>
      </c>
    </row>
    <row r="6">
      <c r="A6" s="13" t="n">
        <v>1</v>
      </c>
      <c r="B6" s="16" t="n">
        <v>2.5</v>
      </c>
      <c r="C6" s="5" t="inlineStr">
        <is>
          <t>Jan</t>
        </is>
      </c>
      <c r="D6" s="5" t="inlineStr">
        <is>
          <t>Default Kandahar open water</t>
        </is>
      </c>
    </row>
    <row r="7">
      <c r="A7" s="13" t="n">
        <v>2</v>
      </c>
      <c r="B7" s="16" t="n">
        <v>3.5</v>
      </c>
      <c r="C7" s="5" t="inlineStr">
        <is>
          <t>Feb</t>
        </is>
      </c>
      <c r="D7" s="5" t="inlineStr">
        <is>
          <t>Default Kandahar open water</t>
        </is>
      </c>
    </row>
    <row r="8">
      <c r="A8" s="13" t="n">
        <v>3</v>
      </c>
      <c r="B8" s="16" t="n">
        <v>5</v>
      </c>
      <c r="C8" s="5" t="inlineStr">
        <is>
          <t>Mar</t>
        </is>
      </c>
      <c r="D8" s="5" t="inlineStr">
        <is>
          <t>Default Kandahar open water</t>
        </is>
      </c>
    </row>
    <row r="9">
      <c r="A9" s="13" t="n">
        <v>4</v>
      </c>
      <c r="B9" s="16" t="n">
        <v>6.5</v>
      </c>
      <c r="C9" s="5" t="inlineStr">
        <is>
          <t>Apr</t>
        </is>
      </c>
      <c r="D9" s="5" t="inlineStr">
        <is>
          <t>Default Kandahar open water</t>
        </is>
      </c>
    </row>
    <row r="10">
      <c r="A10" s="13" t="n">
        <v>5</v>
      </c>
      <c r="B10" s="16" t="n">
        <v>8</v>
      </c>
      <c r="C10" s="5" t="inlineStr">
        <is>
          <t>May</t>
        </is>
      </c>
      <c r="D10" s="5" t="inlineStr">
        <is>
          <t>Default Kandahar open water</t>
        </is>
      </c>
    </row>
    <row r="11">
      <c r="A11" s="13" t="n">
        <v>6</v>
      </c>
      <c r="B11" s="16" t="n">
        <v>9</v>
      </c>
      <c r="C11" s="5" t="inlineStr">
        <is>
          <t>Jun</t>
        </is>
      </c>
      <c r="D11" s="5" t="inlineStr">
        <is>
          <t>Default Kandahar open water</t>
        </is>
      </c>
    </row>
    <row r="12">
      <c r="A12" s="13" t="n">
        <v>7</v>
      </c>
      <c r="B12" s="16" t="n">
        <v>9.5</v>
      </c>
      <c r="C12" s="5" t="inlineStr">
        <is>
          <t>Jul</t>
        </is>
      </c>
      <c r="D12" s="5" t="inlineStr">
        <is>
          <t>Default Kandahar open water</t>
        </is>
      </c>
    </row>
    <row r="13">
      <c r="A13" s="13" t="n">
        <v>8</v>
      </c>
      <c r="B13" s="16" t="n">
        <v>9</v>
      </c>
      <c r="C13" s="5" t="inlineStr">
        <is>
          <t>Aug</t>
        </is>
      </c>
      <c r="D13" s="5" t="inlineStr">
        <is>
          <t>Default Kandahar open water</t>
        </is>
      </c>
    </row>
    <row r="14">
      <c r="A14" s="13" t="n">
        <v>9</v>
      </c>
      <c r="B14" s="16" t="n">
        <v>7</v>
      </c>
      <c r="C14" s="5" t="inlineStr">
        <is>
          <t>Sep</t>
        </is>
      </c>
      <c r="D14" s="5" t="inlineStr">
        <is>
          <t>Default Kandahar open water</t>
        </is>
      </c>
    </row>
    <row r="15">
      <c r="A15" s="13" t="n">
        <v>10</v>
      </c>
      <c r="B15" s="16" t="n">
        <v>5</v>
      </c>
      <c r="C15" s="5" t="inlineStr">
        <is>
          <t>Oct</t>
        </is>
      </c>
      <c r="D15" s="5" t="inlineStr">
        <is>
          <t>Default Kandahar open water</t>
        </is>
      </c>
    </row>
    <row r="16">
      <c r="A16" s="13" t="n">
        <v>11</v>
      </c>
      <c r="B16" s="16" t="n">
        <v>3.5</v>
      </c>
      <c r="C16" s="5" t="inlineStr">
        <is>
          <t>Nov</t>
        </is>
      </c>
      <c r="D16" s="5" t="inlineStr">
        <is>
          <t>Default Kandahar open water</t>
        </is>
      </c>
    </row>
    <row r="17">
      <c r="A17" s="13" t="n">
        <v>12</v>
      </c>
      <c r="B17" s="16" t="n">
        <v>2.5</v>
      </c>
      <c r="C17" s="5" t="inlineStr">
        <is>
          <t>Dec</t>
        </is>
      </c>
      <c r="D17" s="5" t="inlineStr">
        <is>
          <t>Default Kandahar open water</t>
        </is>
      </c>
    </row>
    <row r="20">
      <c r="A20" t="inlineStr">
        <is>
          <t>Lookup: DailyCalc uses =VLOOKUP(month, Evaporation!A6:B17, 2, FALSE)</t>
        </is>
      </c>
    </row>
  </sheetData>
  <mergeCells count="1">
    <mergeCell ref="A2:D3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tabColor rgb="002D6A4F"/>
    <outlinePr summaryBelow="1" summaryRight="1"/>
    <pageSetUpPr fitToPage="1"/>
  </sheetPr>
  <dimension ref="A1:H2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14" customWidth="1" min="5" max="5"/>
    <col width="14" customWidth="1" min="6" max="6"/>
    <col width="28" customWidth="1" min="7" max="7"/>
    <col width="14" customWidth="1" min="8" max="8"/>
  </cols>
  <sheetData>
    <row r="1">
      <c r="A1" s="1" t="inlineStr">
        <is>
          <t>Daily pond log (Form B) — INPUT</t>
        </is>
      </c>
    </row>
    <row r="2">
      <c r="A2" s="2" t="inlineStr">
        <is>
          <t>One row per day. Leave stage blank if not visited. Write 0 for a dry pond (empty). Overflow and Pumped must be Y or N. Example filling is rows 5–34; overwrite these.</t>
        </is>
      </c>
    </row>
    <row r="3"/>
    <row r="4" ht="28" customHeight="1">
      <c r="A4" s="4" t="inlineStr">
        <is>
          <t>Date</t>
        </is>
      </c>
      <c r="B4" s="4" t="inlineStr">
        <is>
          <t>Rain P (mm)</t>
        </is>
      </c>
      <c r="C4" s="4" t="inlineStr">
        <is>
          <t>Stage h (m)</t>
        </is>
      </c>
      <c r="D4" s="4" t="inlineStr">
        <is>
          <t>Overflow (Y/N)</t>
        </is>
      </c>
      <c r="E4" s="4" t="inlineStr">
        <is>
          <t>Pumped (Y/N)</t>
        </is>
      </c>
      <c r="F4" s="4" t="inlineStr">
        <is>
          <t>Photo ID</t>
        </is>
      </c>
      <c r="G4" s="4" t="inlineStr">
        <is>
          <t>Notes</t>
        </is>
      </c>
      <c r="H4" s="4" t="inlineStr">
        <is>
          <t>Observer</t>
        </is>
      </c>
    </row>
    <row r="5">
      <c r="A5" s="20" t="inlineStr">
        <is>
          <t>2025-03-08</t>
        </is>
      </c>
      <c r="B5" s="16" t="n">
        <v>22</v>
      </c>
      <c r="C5" s="14" t="n">
        <v>1.7</v>
      </c>
      <c r="D5" s="11" t="inlineStr">
        <is>
          <t>N</t>
        </is>
      </c>
      <c r="E5" s="11" t="inlineStr">
        <is>
          <t>N</t>
        </is>
      </c>
      <c r="F5" s="11" t="inlineStr">
        <is>
          <t>IMG-001</t>
        </is>
      </c>
      <c r="G5" s="21" t="n"/>
      <c r="H5" s="11" t="inlineStr">
        <is>
          <t>Example</t>
        </is>
      </c>
    </row>
    <row r="6">
      <c r="A6" s="20" t="inlineStr">
        <is>
          <t>2025-03-09</t>
        </is>
      </c>
      <c r="B6" s="16" t="n">
        <v>14</v>
      </c>
      <c r="C6" s="14" t="n">
        <v>2.35</v>
      </c>
      <c r="D6" s="11" t="inlineStr">
        <is>
          <t>N</t>
        </is>
      </c>
      <c r="E6" s="11" t="inlineStr">
        <is>
          <t>N</t>
        </is>
      </c>
      <c r="F6" s="11" t="inlineStr">
        <is>
          <t>IMG-002</t>
        </is>
      </c>
      <c r="G6" s="21" t="n"/>
      <c r="H6" s="11" t="inlineStr">
        <is>
          <t>Example</t>
        </is>
      </c>
    </row>
    <row r="7">
      <c r="A7" s="20" t="inlineStr">
        <is>
          <t>2025-03-10</t>
        </is>
      </c>
      <c r="B7" s="16" t="n">
        <v>0</v>
      </c>
      <c r="C7" s="14" t="n">
        <v>2.52</v>
      </c>
      <c r="D7" s="11" t="inlineStr">
        <is>
          <t>Y</t>
        </is>
      </c>
      <c r="E7" s="11" t="inlineStr">
        <is>
          <t>N</t>
        </is>
      </c>
      <c r="F7" s="11" t="inlineStr">
        <is>
          <t>IMG-003</t>
        </is>
      </c>
      <c r="G7" s="21" t="n"/>
      <c r="H7" s="11" t="inlineStr">
        <is>
          <t>Example</t>
        </is>
      </c>
    </row>
    <row r="8">
      <c r="A8" s="20" t="inlineStr">
        <is>
          <t>2025-03-11</t>
        </is>
      </c>
      <c r="B8" s="16" t="n">
        <v>0</v>
      </c>
      <c r="C8" s="14" t="n">
        <v>2.46</v>
      </c>
      <c r="D8" s="11" t="inlineStr">
        <is>
          <t>N</t>
        </is>
      </c>
      <c r="E8" s="11" t="inlineStr">
        <is>
          <t>N</t>
        </is>
      </c>
      <c r="F8" s="11" t="inlineStr">
        <is>
          <t>IMG-004</t>
        </is>
      </c>
      <c r="G8" s="21" t="n"/>
      <c r="H8" s="11" t="inlineStr">
        <is>
          <t>Example</t>
        </is>
      </c>
    </row>
    <row r="9">
      <c r="A9" s="20" t="inlineStr">
        <is>
          <t>2025-03-12</t>
        </is>
      </c>
      <c r="B9" s="16" t="n">
        <v>0</v>
      </c>
      <c r="C9" s="14" t="n">
        <v>2.4</v>
      </c>
      <c r="D9" s="11" t="inlineStr">
        <is>
          <t>N</t>
        </is>
      </c>
      <c r="E9" s="11" t="inlineStr">
        <is>
          <t>N</t>
        </is>
      </c>
      <c r="F9" s="11" t="inlineStr">
        <is>
          <t>IMG-005</t>
        </is>
      </c>
      <c r="G9" s="21" t="n"/>
      <c r="H9" s="11" t="inlineStr">
        <is>
          <t>Example</t>
        </is>
      </c>
    </row>
    <row r="10">
      <c r="A10" s="20" t="inlineStr">
        <is>
          <t>2025-03-13</t>
        </is>
      </c>
      <c r="B10" s="16" t="n">
        <v>0</v>
      </c>
      <c r="C10" s="14" t="n">
        <v>2.35</v>
      </c>
      <c r="D10" s="11" t="inlineStr">
        <is>
          <t>N</t>
        </is>
      </c>
      <c r="E10" s="11" t="inlineStr">
        <is>
          <t>N</t>
        </is>
      </c>
      <c r="F10" s="11" t="inlineStr">
        <is>
          <t>IMG-006</t>
        </is>
      </c>
      <c r="G10" s="21" t="n"/>
      <c r="H10" s="11" t="inlineStr">
        <is>
          <t>Example</t>
        </is>
      </c>
    </row>
    <row r="11">
      <c r="A11" s="20" t="inlineStr">
        <is>
          <t>2025-03-14</t>
        </is>
      </c>
      <c r="B11" s="16" t="n">
        <v>0</v>
      </c>
      <c r="C11" s="14" t="n">
        <v>2.29</v>
      </c>
      <c r="D11" s="11" t="inlineStr">
        <is>
          <t>N</t>
        </is>
      </c>
      <c r="E11" s="11" t="inlineStr">
        <is>
          <t>N</t>
        </is>
      </c>
      <c r="F11" s="11" t="inlineStr">
        <is>
          <t>IMG-007</t>
        </is>
      </c>
      <c r="G11" s="21" t="n"/>
      <c r="H11" s="11" t="inlineStr">
        <is>
          <t>Example</t>
        </is>
      </c>
    </row>
    <row r="12">
      <c r="A12" s="20" t="inlineStr">
        <is>
          <t>2025-03-15</t>
        </is>
      </c>
      <c r="B12" s="16" t="n">
        <v>0</v>
      </c>
      <c r="C12" s="14" t="n">
        <v>2.24</v>
      </c>
      <c r="D12" s="11" t="inlineStr">
        <is>
          <t>N</t>
        </is>
      </c>
      <c r="E12" s="11" t="inlineStr">
        <is>
          <t>N</t>
        </is>
      </c>
      <c r="F12" s="11" t="inlineStr">
        <is>
          <t>IMG-008</t>
        </is>
      </c>
      <c r="G12" s="21" t="n"/>
      <c r="H12" s="11" t="inlineStr">
        <is>
          <t>Example</t>
        </is>
      </c>
    </row>
    <row r="13">
      <c r="A13" s="20" t="inlineStr">
        <is>
          <t>2025-03-16</t>
        </is>
      </c>
      <c r="B13" s="16" t="n">
        <v>0</v>
      </c>
      <c r="C13" s="14" t="n">
        <v>2.18</v>
      </c>
      <c r="D13" s="11" t="inlineStr">
        <is>
          <t>N</t>
        </is>
      </c>
      <c r="E13" s="11" t="inlineStr">
        <is>
          <t>N</t>
        </is>
      </c>
      <c r="F13" s="11" t="inlineStr">
        <is>
          <t>IMG-009</t>
        </is>
      </c>
      <c r="G13" s="21" t="n"/>
      <c r="H13" s="11" t="inlineStr">
        <is>
          <t>Example</t>
        </is>
      </c>
    </row>
    <row r="14">
      <c r="A14" s="20" t="inlineStr">
        <is>
          <t>2025-03-17</t>
        </is>
      </c>
      <c r="B14" s="16" t="n">
        <v>0</v>
      </c>
      <c r="C14" s="14" t="n">
        <v>2.13</v>
      </c>
      <c r="D14" s="11" t="inlineStr">
        <is>
          <t>N</t>
        </is>
      </c>
      <c r="E14" s="11" t="inlineStr">
        <is>
          <t>N</t>
        </is>
      </c>
      <c r="F14" s="11" t="inlineStr">
        <is>
          <t>IMG-010</t>
        </is>
      </c>
      <c r="G14" s="21" t="n"/>
      <c r="H14" s="11" t="inlineStr">
        <is>
          <t>Example</t>
        </is>
      </c>
    </row>
    <row r="15">
      <c r="A15" s="20" t="inlineStr">
        <is>
          <t>2025-03-18</t>
        </is>
      </c>
      <c r="B15" s="16" t="n">
        <v>0</v>
      </c>
      <c r="C15" s="14" t="n">
        <v>2.07</v>
      </c>
      <c r="D15" s="11" t="inlineStr">
        <is>
          <t>N</t>
        </is>
      </c>
      <c r="E15" s="11" t="inlineStr">
        <is>
          <t>N</t>
        </is>
      </c>
      <c r="F15" s="11" t="inlineStr">
        <is>
          <t>IMG-011</t>
        </is>
      </c>
      <c r="G15" s="21" t="n"/>
      <c r="H15" s="11" t="inlineStr">
        <is>
          <t>Example</t>
        </is>
      </c>
    </row>
    <row r="16">
      <c r="A16" s="20" t="inlineStr">
        <is>
          <t>2025-03-19</t>
        </is>
      </c>
      <c r="B16" s="16" t="n">
        <v>0</v>
      </c>
      <c r="C16" s="14" t="n">
        <v>2.02</v>
      </c>
      <c r="D16" s="11" t="inlineStr">
        <is>
          <t>N</t>
        </is>
      </c>
      <c r="E16" s="11" t="inlineStr">
        <is>
          <t>N</t>
        </is>
      </c>
      <c r="F16" s="11" t="inlineStr">
        <is>
          <t>IMG-012</t>
        </is>
      </c>
      <c r="G16" s="21" t="n"/>
      <c r="H16" s="11" t="inlineStr">
        <is>
          <t>Example</t>
        </is>
      </c>
    </row>
    <row r="17">
      <c r="A17" s="20" t="inlineStr">
        <is>
          <t>2025-03-20</t>
        </is>
      </c>
      <c r="B17" s="16" t="n">
        <v>0</v>
      </c>
      <c r="C17" s="14" t="n">
        <v>1.96</v>
      </c>
      <c r="D17" s="11" t="inlineStr">
        <is>
          <t>N</t>
        </is>
      </c>
      <c r="E17" s="11" t="inlineStr">
        <is>
          <t>N</t>
        </is>
      </c>
      <c r="F17" s="11" t="inlineStr">
        <is>
          <t>IMG-013</t>
        </is>
      </c>
      <c r="G17" s="21" t="n"/>
      <c r="H17" s="11" t="inlineStr">
        <is>
          <t>Example</t>
        </is>
      </c>
    </row>
    <row r="18">
      <c r="A18" s="20" t="inlineStr">
        <is>
          <t>2025-03-21</t>
        </is>
      </c>
      <c r="B18" s="16" t="n">
        <v>0</v>
      </c>
      <c r="C18" s="14" t="n">
        <v>1.91</v>
      </c>
      <c r="D18" s="11" t="inlineStr">
        <is>
          <t>N</t>
        </is>
      </c>
      <c r="E18" s="11" t="inlineStr">
        <is>
          <t>N</t>
        </is>
      </c>
      <c r="F18" s="11" t="inlineStr">
        <is>
          <t>IMG-014</t>
        </is>
      </c>
      <c r="G18" s="21" t="n"/>
      <c r="H18" s="11" t="inlineStr">
        <is>
          <t>Example</t>
        </is>
      </c>
    </row>
    <row r="19">
      <c r="A19" s="20" t="inlineStr">
        <is>
          <t>2025-03-22</t>
        </is>
      </c>
      <c r="B19" s="16" t="n">
        <v>8</v>
      </c>
      <c r="C19" s="14" t="n">
        <v>1.95</v>
      </c>
      <c r="D19" s="11" t="inlineStr">
        <is>
          <t>N</t>
        </is>
      </c>
      <c r="E19" s="11" t="inlineStr">
        <is>
          <t>N</t>
        </is>
      </c>
      <c r="F19" s="11" t="inlineStr">
        <is>
          <t>IMG-015</t>
        </is>
      </c>
      <c r="G19" s="21" t="n"/>
      <c r="H19" s="11" t="inlineStr">
        <is>
          <t>Example</t>
        </is>
      </c>
    </row>
    <row r="20">
      <c r="A20" s="20" t="inlineStr">
        <is>
          <t>2025-03-23</t>
        </is>
      </c>
      <c r="B20" s="16" t="n">
        <v>0</v>
      </c>
      <c r="C20" s="14" t="n">
        <v>1.9</v>
      </c>
      <c r="D20" s="11" t="inlineStr">
        <is>
          <t>N</t>
        </is>
      </c>
      <c r="E20" s="11" t="inlineStr">
        <is>
          <t>N</t>
        </is>
      </c>
      <c r="F20" s="11" t="inlineStr">
        <is>
          <t>IMG-016</t>
        </is>
      </c>
      <c r="G20" s="21" t="n"/>
      <c r="H20" s="11" t="inlineStr">
        <is>
          <t>Example</t>
        </is>
      </c>
    </row>
    <row r="21">
      <c r="A21" s="20" t="inlineStr">
        <is>
          <t>2025-03-24</t>
        </is>
      </c>
      <c r="B21" s="16" t="n">
        <v>0</v>
      </c>
      <c r="C21" s="14" t="n">
        <v>1.84</v>
      </c>
      <c r="D21" s="11" t="inlineStr">
        <is>
          <t>N</t>
        </is>
      </c>
      <c r="E21" s="11" t="inlineStr">
        <is>
          <t>N</t>
        </is>
      </c>
      <c r="F21" s="11" t="inlineStr">
        <is>
          <t>IMG-017</t>
        </is>
      </c>
      <c r="G21" s="21" t="n"/>
      <c r="H21" s="11" t="inlineStr">
        <is>
          <t>Example</t>
        </is>
      </c>
    </row>
    <row r="22">
      <c r="A22" s="20" t="inlineStr">
        <is>
          <t>2025-03-25</t>
        </is>
      </c>
      <c r="B22" s="16" t="n">
        <v>0</v>
      </c>
      <c r="C22" s="14" t="n">
        <v>1.79</v>
      </c>
      <c r="D22" s="11" t="inlineStr">
        <is>
          <t>N</t>
        </is>
      </c>
      <c r="E22" s="11" t="inlineStr">
        <is>
          <t>N</t>
        </is>
      </c>
      <c r="F22" s="11" t="inlineStr">
        <is>
          <t>IMG-018</t>
        </is>
      </c>
      <c r="G22" s="21" t="n"/>
      <c r="H22" s="11" t="inlineStr">
        <is>
          <t>Example</t>
        </is>
      </c>
    </row>
    <row r="23">
      <c r="A23" s="20" t="inlineStr">
        <is>
          <t>2025-03-26</t>
        </is>
      </c>
      <c r="B23" s="16" t="n">
        <v>0</v>
      </c>
      <c r="C23" s="14" t="n">
        <v>1.73</v>
      </c>
      <c r="D23" s="11" t="inlineStr">
        <is>
          <t>N</t>
        </is>
      </c>
      <c r="E23" s="11" t="inlineStr">
        <is>
          <t>N</t>
        </is>
      </c>
      <c r="F23" s="11" t="inlineStr">
        <is>
          <t>IMG-019</t>
        </is>
      </c>
      <c r="G23" s="21" t="n"/>
      <c r="H23" s="11" t="inlineStr">
        <is>
          <t>Example</t>
        </is>
      </c>
    </row>
    <row r="24">
      <c r="A24" s="20" t="inlineStr">
        <is>
          <t>2025-03-27</t>
        </is>
      </c>
      <c r="B24" s="16" t="n">
        <v>0</v>
      </c>
      <c r="C24" s="14" t="n">
        <v>1.68</v>
      </c>
      <c r="D24" s="11" t="inlineStr">
        <is>
          <t>N</t>
        </is>
      </c>
      <c r="E24" s="11" t="inlineStr">
        <is>
          <t>N</t>
        </is>
      </c>
      <c r="F24" s="11" t="inlineStr">
        <is>
          <t>IMG-020</t>
        </is>
      </c>
      <c r="G24" s="21" t="n"/>
      <c r="H24" s="11" t="inlineStr">
        <is>
          <t>Example</t>
        </is>
      </c>
    </row>
    <row r="25">
      <c r="A25" s="20" t="inlineStr">
        <is>
          <t>2025-03-28</t>
        </is>
      </c>
      <c r="B25" s="16" t="n">
        <v>0</v>
      </c>
      <c r="C25" s="14" t="n">
        <v>1.62</v>
      </c>
      <c r="D25" s="11" t="inlineStr">
        <is>
          <t>N</t>
        </is>
      </c>
      <c r="E25" s="11" t="inlineStr">
        <is>
          <t>N</t>
        </is>
      </c>
      <c r="F25" s="11" t="inlineStr">
        <is>
          <t>IMG-021</t>
        </is>
      </c>
      <c r="G25" s="21" t="n"/>
      <c r="H25" s="11" t="inlineStr">
        <is>
          <t>Example</t>
        </is>
      </c>
    </row>
    <row r="26">
      <c r="A26" s="20" t="inlineStr">
        <is>
          <t>2025-03-29</t>
        </is>
      </c>
      <c r="B26" s="16" t="n">
        <v>0</v>
      </c>
      <c r="C26" s="14" t="n">
        <v>1.57</v>
      </c>
      <c r="D26" s="11" t="inlineStr">
        <is>
          <t>N</t>
        </is>
      </c>
      <c r="E26" s="11" t="inlineStr">
        <is>
          <t>N</t>
        </is>
      </c>
      <c r="F26" s="11" t="inlineStr">
        <is>
          <t>IMG-022</t>
        </is>
      </c>
      <c r="G26" s="21" t="n"/>
      <c r="H26" s="11" t="inlineStr">
        <is>
          <t>Example</t>
        </is>
      </c>
    </row>
    <row r="27">
      <c r="A27" s="20" t="inlineStr">
        <is>
          <t>2025-03-30</t>
        </is>
      </c>
      <c r="B27" s="16" t="n">
        <v>0</v>
      </c>
      <c r="C27" s="14" t="n">
        <v>1.51</v>
      </c>
      <c r="D27" s="11" t="inlineStr">
        <is>
          <t>N</t>
        </is>
      </c>
      <c r="E27" s="11" t="inlineStr">
        <is>
          <t>N</t>
        </is>
      </c>
      <c r="F27" s="11" t="inlineStr">
        <is>
          <t>IMG-023</t>
        </is>
      </c>
      <c r="G27" s="21" t="n"/>
      <c r="H27" s="11" t="inlineStr">
        <is>
          <t>Example</t>
        </is>
      </c>
    </row>
    <row r="28">
      <c r="A28" s="20" t="inlineStr">
        <is>
          <t>2025-03-31</t>
        </is>
      </c>
      <c r="B28" s="16" t="n">
        <v>0</v>
      </c>
      <c r="C28" s="14" t="n">
        <v>1.46</v>
      </c>
      <c r="D28" s="11" t="inlineStr">
        <is>
          <t>N</t>
        </is>
      </c>
      <c r="E28" s="11" t="inlineStr">
        <is>
          <t>N</t>
        </is>
      </c>
      <c r="F28" s="11" t="inlineStr">
        <is>
          <t>IMG-024</t>
        </is>
      </c>
      <c r="G28" s="21" t="n"/>
      <c r="H28" s="11" t="inlineStr">
        <is>
          <t>Example</t>
        </is>
      </c>
    </row>
    <row r="29">
      <c r="A29" s="20" t="inlineStr">
        <is>
          <t>2025-04-01</t>
        </is>
      </c>
      <c r="B29" s="16" t="n">
        <v>0</v>
      </c>
      <c r="C29" s="14" t="n">
        <v>1.4</v>
      </c>
      <c r="D29" s="11" t="inlineStr">
        <is>
          <t>N</t>
        </is>
      </c>
      <c r="E29" s="11" t="inlineStr">
        <is>
          <t>N</t>
        </is>
      </c>
      <c r="F29" s="11" t="inlineStr">
        <is>
          <t>IMG-025</t>
        </is>
      </c>
      <c r="G29" s="21" t="n"/>
      <c r="H29" s="11" t="inlineStr">
        <is>
          <t>Example</t>
        </is>
      </c>
    </row>
    <row r="30">
      <c r="A30" s="20" t="inlineStr">
        <is>
          <t>2025-04-02</t>
        </is>
      </c>
      <c r="B30" s="16" t="n">
        <v>0</v>
      </c>
      <c r="C30" s="14" t="n">
        <v>1.35</v>
      </c>
      <c r="D30" s="11" t="inlineStr">
        <is>
          <t>N</t>
        </is>
      </c>
      <c r="E30" s="11" t="inlineStr">
        <is>
          <t>N</t>
        </is>
      </c>
      <c r="F30" s="11" t="inlineStr">
        <is>
          <t>IMG-026</t>
        </is>
      </c>
      <c r="G30" s="21" t="n"/>
      <c r="H30" s="11" t="inlineStr">
        <is>
          <t>Example</t>
        </is>
      </c>
    </row>
    <row r="31">
      <c r="A31" s="20" t="inlineStr">
        <is>
          <t>2025-04-03</t>
        </is>
      </c>
      <c r="B31" s="16" t="n">
        <v>0</v>
      </c>
      <c r="C31" s="14" t="n">
        <v>1.29</v>
      </c>
      <c r="D31" s="11" t="inlineStr">
        <is>
          <t>N</t>
        </is>
      </c>
      <c r="E31" s="11" t="inlineStr">
        <is>
          <t>N</t>
        </is>
      </c>
      <c r="F31" s="11" t="inlineStr">
        <is>
          <t>IMG-027</t>
        </is>
      </c>
      <c r="G31" s="21" t="n"/>
      <c r="H31" s="11" t="inlineStr">
        <is>
          <t>Example</t>
        </is>
      </c>
    </row>
    <row r="32">
      <c r="A32" s="20" t="inlineStr">
        <is>
          <t>2025-04-04</t>
        </is>
      </c>
      <c r="B32" s="16" t="n">
        <v>0</v>
      </c>
      <c r="C32" s="14" t="n">
        <v>1.24</v>
      </c>
      <c r="D32" s="11" t="inlineStr">
        <is>
          <t>N</t>
        </is>
      </c>
      <c r="E32" s="11" t="inlineStr">
        <is>
          <t>N</t>
        </is>
      </c>
      <c r="F32" s="11" t="inlineStr">
        <is>
          <t>IMG-028</t>
        </is>
      </c>
      <c r="G32" s="21" t="n"/>
      <c r="H32" s="11" t="inlineStr">
        <is>
          <t>Example</t>
        </is>
      </c>
    </row>
    <row r="33">
      <c r="A33" s="20" t="inlineStr">
        <is>
          <t>2025-04-05</t>
        </is>
      </c>
      <c r="B33" s="16" t="n">
        <v>0</v>
      </c>
      <c r="C33" s="14" t="n">
        <v>1.18</v>
      </c>
      <c r="D33" s="11" t="inlineStr">
        <is>
          <t>N</t>
        </is>
      </c>
      <c r="E33" s="11" t="inlineStr">
        <is>
          <t>N</t>
        </is>
      </c>
      <c r="F33" s="11" t="inlineStr">
        <is>
          <t>IMG-029</t>
        </is>
      </c>
      <c r="G33" s="21" t="n"/>
      <c r="H33" s="11" t="inlineStr">
        <is>
          <t>Example</t>
        </is>
      </c>
    </row>
    <row r="34">
      <c r="A34" s="20" t="inlineStr">
        <is>
          <t>2025-04-06</t>
        </is>
      </c>
      <c r="B34" s="16" t="n">
        <v>0</v>
      </c>
      <c r="C34" s="14" t="n">
        <v>1.13</v>
      </c>
      <c r="D34" s="11" t="inlineStr">
        <is>
          <t>N</t>
        </is>
      </c>
      <c r="E34" s="11" t="inlineStr">
        <is>
          <t>N</t>
        </is>
      </c>
      <c r="F34" s="11" t="inlineStr">
        <is>
          <t>IMG-030</t>
        </is>
      </c>
      <c r="G34" s="21" t="n"/>
      <c r="H34" s="11" t="inlineStr">
        <is>
          <t>Example</t>
        </is>
      </c>
    </row>
    <row r="35">
      <c r="A35" s="20" t="inlineStr">
        <is>
          <t>2025-04-07</t>
        </is>
      </c>
      <c r="B35" s="16" t="n">
        <v>0</v>
      </c>
      <c r="C35" s="14" t="n">
        <v>1.07</v>
      </c>
      <c r="D35" s="11" t="inlineStr">
        <is>
          <t>N</t>
        </is>
      </c>
      <c r="E35" s="11" t="inlineStr">
        <is>
          <t>N</t>
        </is>
      </c>
      <c r="F35" s="11" t="inlineStr">
        <is>
          <t>IMG-031</t>
        </is>
      </c>
      <c r="G35" s="21" t="n"/>
      <c r="H35" s="11" t="inlineStr">
        <is>
          <t>Example</t>
        </is>
      </c>
    </row>
    <row r="36">
      <c r="A36" s="20" t="inlineStr">
        <is>
          <t>2025-04-08</t>
        </is>
      </c>
      <c r="B36" s="16" t="n">
        <v>0</v>
      </c>
      <c r="C36" s="14" t="n">
        <v>1.02</v>
      </c>
      <c r="D36" s="11" t="inlineStr">
        <is>
          <t>N</t>
        </is>
      </c>
      <c r="E36" s="11" t="inlineStr">
        <is>
          <t>N</t>
        </is>
      </c>
      <c r="F36" s="11" t="inlineStr">
        <is>
          <t>IMG-032</t>
        </is>
      </c>
      <c r="G36" s="21" t="n"/>
      <c r="H36" s="11" t="inlineStr">
        <is>
          <t>Example</t>
        </is>
      </c>
    </row>
    <row r="37">
      <c r="A37" s="20" t="inlineStr">
        <is>
          <t>2025-04-09</t>
        </is>
      </c>
      <c r="B37" s="16" t="n">
        <v>0</v>
      </c>
      <c r="C37" s="14" t="n">
        <v>0.96</v>
      </c>
      <c r="D37" s="11" t="inlineStr">
        <is>
          <t>N</t>
        </is>
      </c>
      <c r="E37" s="11" t="inlineStr">
        <is>
          <t>N</t>
        </is>
      </c>
      <c r="F37" s="11" t="inlineStr">
        <is>
          <t>IMG-033</t>
        </is>
      </c>
      <c r="G37" s="21" t="n"/>
      <c r="H37" s="11" t="inlineStr">
        <is>
          <t>Example</t>
        </is>
      </c>
    </row>
    <row r="38">
      <c r="A38" s="20" t="inlineStr">
        <is>
          <t>2025-04-10</t>
        </is>
      </c>
      <c r="B38" s="16" t="n">
        <v>0</v>
      </c>
      <c r="C38" s="14" t="n">
        <v>0.91</v>
      </c>
      <c r="D38" s="11" t="inlineStr">
        <is>
          <t>N</t>
        </is>
      </c>
      <c r="E38" s="11" t="inlineStr">
        <is>
          <t>N</t>
        </is>
      </c>
      <c r="F38" s="11" t="inlineStr">
        <is>
          <t>IMG-034</t>
        </is>
      </c>
      <c r="G38" s="21" t="n"/>
      <c r="H38" s="11" t="inlineStr">
        <is>
          <t>Example</t>
        </is>
      </c>
    </row>
    <row r="39">
      <c r="A39" s="20" t="inlineStr">
        <is>
          <t>2025-04-11</t>
        </is>
      </c>
      <c r="B39" s="16" t="n">
        <v>0</v>
      </c>
      <c r="C39" s="14" t="n">
        <v>0.85</v>
      </c>
      <c r="D39" s="11" t="inlineStr">
        <is>
          <t>N</t>
        </is>
      </c>
      <c r="E39" s="11" t="inlineStr">
        <is>
          <t>N</t>
        </is>
      </c>
      <c r="F39" s="11" t="inlineStr">
        <is>
          <t>IMG-035</t>
        </is>
      </c>
      <c r="G39" s="21" t="n"/>
      <c r="H39" s="11" t="inlineStr">
        <is>
          <t>Example</t>
        </is>
      </c>
    </row>
    <row r="40">
      <c r="A40" s="20" t="inlineStr">
        <is>
          <t>2025-04-12</t>
        </is>
      </c>
      <c r="B40" s="16" t="n">
        <v>0</v>
      </c>
      <c r="C40" s="14" t="n">
        <v>0.8</v>
      </c>
      <c r="D40" s="11" t="inlineStr">
        <is>
          <t>N</t>
        </is>
      </c>
      <c r="E40" s="11" t="inlineStr">
        <is>
          <t>N</t>
        </is>
      </c>
      <c r="F40" s="11" t="inlineStr">
        <is>
          <t>IMG-036</t>
        </is>
      </c>
      <c r="G40" s="21" t="n"/>
      <c r="H40" s="11" t="inlineStr">
        <is>
          <t>Example</t>
        </is>
      </c>
    </row>
    <row r="41">
      <c r="A41" s="20" t="inlineStr">
        <is>
          <t>2025-04-13</t>
        </is>
      </c>
      <c r="B41" s="16" t="n">
        <v>0</v>
      </c>
      <c r="C41" s="14" t="n">
        <v>0.74</v>
      </c>
      <c r="D41" s="11" t="inlineStr">
        <is>
          <t>N</t>
        </is>
      </c>
      <c r="E41" s="11" t="inlineStr">
        <is>
          <t>N</t>
        </is>
      </c>
      <c r="F41" s="11" t="inlineStr">
        <is>
          <t>IMG-037</t>
        </is>
      </c>
      <c r="G41" s="21" t="n"/>
      <c r="H41" s="11" t="inlineStr">
        <is>
          <t>Example</t>
        </is>
      </c>
    </row>
    <row r="42">
      <c r="A42" s="20" t="inlineStr">
        <is>
          <t>2025-04-14</t>
        </is>
      </c>
      <c r="B42" s="16" t="n">
        <v>0</v>
      </c>
      <c r="C42" s="14" t="n">
        <v>0.6899999999999999</v>
      </c>
      <c r="D42" s="11" t="inlineStr">
        <is>
          <t>N</t>
        </is>
      </c>
      <c r="E42" s="11" t="inlineStr">
        <is>
          <t>N</t>
        </is>
      </c>
      <c r="F42" s="11" t="inlineStr">
        <is>
          <t>IMG-038</t>
        </is>
      </c>
      <c r="G42" s="21" t="n"/>
      <c r="H42" s="11" t="inlineStr">
        <is>
          <t>Example</t>
        </is>
      </c>
    </row>
    <row r="43">
      <c r="A43" s="20" t="inlineStr">
        <is>
          <t>2025-04-15</t>
        </is>
      </c>
      <c r="B43" s="16" t="n">
        <v>0</v>
      </c>
      <c r="C43" s="14" t="n">
        <v>0.63</v>
      </c>
      <c r="D43" s="11" t="inlineStr">
        <is>
          <t>N</t>
        </is>
      </c>
      <c r="E43" s="11" t="inlineStr">
        <is>
          <t>N</t>
        </is>
      </c>
      <c r="F43" s="11" t="inlineStr">
        <is>
          <t>IMG-039</t>
        </is>
      </c>
      <c r="G43" s="21" t="n"/>
      <c r="H43" s="11" t="inlineStr">
        <is>
          <t>Example</t>
        </is>
      </c>
    </row>
    <row r="44">
      <c r="A44" s="20" t="inlineStr">
        <is>
          <t>2025-04-16</t>
        </is>
      </c>
      <c r="B44" s="16" t="n">
        <v>0</v>
      </c>
      <c r="C44" s="14" t="n">
        <v>0.58</v>
      </c>
      <c r="D44" s="11" t="inlineStr">
        <is>
          <t>N</t>
        </is>
      </c>
      <c r="E44" s="11" t="inlineStr">
        <is>
          <t>N</t>
        </is>
      </c>
      <c r="F44" s="11" t="inlineStr">
        <is>
          <t>IMG-040</t>
        </is>
      </c>
      <c r="G44" s="21" t="n"/>
      <c r="H44" s="11" t="inlineStr">
        <is>
          <t>Example</t>
        </is>
      </c>
    </row>
    <row r="45">
      <c r="A45" s="20" t="inlineStr">
        <is>
          <t>2025-04-17</t>
        </is>
      </c>
      <c r="B45" s="16" t="n">
        <v>0</v>
      </c>
      <c r="C45" s="14" t="n">
        <v>0.52</v>
      </c>
      <c r="D45" s="11" t="inlineStr">
        <is>
          <t>N</t>
        </is>
      </c>
      <c r="E45" s="11" t="inlineStr">
        <is>
          <t>N</t>
        </is>
      </c>
      <c r="F45" s="11" t="inlineStr">
        <is>
          <t>IMG-041</t>
        </is>
      </c>
      <c r="G45" s="21" t="n"/>
      <c r="H45" s="11" t="inlineStr">
        <is>
          <t>Example</t>
        </is>
      </c>
    </row>
    <row r="46">
      <c r="A46" s="20" t="inlineStr">
        <is>
          <t>2025-04-18</t>
        </is>
      </c>
      <c r="B46" s="16" t="n">
        <v>0</v>
      </c>
      <c r="C46" s="14" t="n">
        <v>0.47</v>
      </c>
      <c r="D46" s="11" t="inlineStr">
        <is>
          <t>N</t>
        </is>
      </c>
      <c r="E46" s="11" t="inlineStr">
        <is>
          <t>N</t>
        </is>
      </c>
      <c r="F46" s="11" t="inlineStr">
        <is>
          <t>IMG-042</t>
        </is>
      </c>
      <c r="G46" s="21" t="n"/>
      <c r="H46" s="11" t="inlineStr">
        <is>
          <t>Example</t>
        </is>
      </c>
    </row>
    <row r="47">
      <c r="A47" s="20" t="inlineStr">
        <is>
          <t>2025-04-19</t>
        </is>
      </c>
      <c r="B47" s="16" t="n">
        <v>0</v>
      </c>
      <c r="C47" s="14" t="n">
        <v>0.41</v>
      </c>
      <c r="D47" s="11" t="inlineStr">
        <is>
          <t>N</t>
        </is>
      </c>
      <c r="E47" s="11" t="inlineStr">
        <is>
          <t>N</t>
        </is>
      </c>
      <c r="F47" s="11" t="inlineStr">
        <is>
          <t>IMG-043</t>
        </is>
      </c>
      <c r="G47" s="21" t="n"/>
      <c r="H47" s="11" t="inlineStr">
        <is>
          <t>Example</t>
        </is>
      </c>
    </row>
    <row r="48">
      <c r="A48" s="20" t="inlineStr">
        <is>
          <t>2025-04-20</t>
        </is>
      </c>
      <c r="B48" s="16" t="n">
        <v>0</v>
      </c>
      <c r="C48" s="14" t="n">
        <v>0.36</v>
      </c>
      <c r="D48" s="11" t="inlineStr">
        <is>
          <t>N</t>
        </is>
      </c>
      <c r="E48" s="11" t="inlineStr">
        <is>
          <t>N</t>
        </is>
      </c>
      <c r="F48" s="11" t="inlineStr">
        <is>
          <t>IMG-044</t>
        </is>
      </c>
      <c r="G48" s="21" t="n"/>
      <c r="H48" s="11" t="inlineStr">
        <is>
          <t>Example</t>
        </is>
      </c>
    </row>
    <row r="49">
      <c r="A49" s="20" t="inlineStr">
        <is>
          <t>2025-04-21</t>
        </is>
      </c>
      <c r="B49" s="16" t="n">
        <v>0</v>
      </c>
      <c r="C49" s="14" t="n">
        <v>0.3</v>
      </c>
      <c r="D49" s="11" t="inlineStr">
        <is>
          <t>N</t>
        </is>
      </c>
      <c r="E49" s="11" t="inlineStr">
        <is>
          <t>N</t>
        </is>
      </c>
      <c r="F49" s="11" t="inlineStr">
        <is>
          <t>IMG-045</t>
        </is>
      </c>
      <c r="G49" s="21" t="n"/>
      <c r="H49" s="11" t="inlineStr">
        <is>
          <t>Example</t>
        </is>
      </c>
    </row>
    <row r="50">
      <c r="A50" s="20" t="inlineStr">
        <is>
          <t>2025-04-22</t>
        </is>
      </c>
      <c r="B50" s="16" t="n">
        <v>0</v>
      </c>
      <c r="C50" s="14" t="n">
        <v>0.25</v>
      </c>
      <c r="D50" s="11" t="inlineStr">
        <is>
          <t>N</t>
        </is>
      </c>
      <c r="E50" s="11" t="inlineStr">
        <is>
          <t>N</t>
        </is>
      </c>
      <c r="F50" s="11" t="inlineStr">
        <is>
          <t>IMG-046</t>
        </is>
      </c>
      <c r="G50" s="21" t="n"/>
      <c r="H50" s="11" t="inlineStr">
        <is>
          <t>Example</t>
        </is>
      </c>
    </row>
    <row r="51">
      <c r="A51" s="20" t="inlineStr">
        <is>
          <t>2025-04-23</t>
        </is>
      </c>
      <c r="B51" s="16" t="n">
        <v>0</v>
      </c>
      <c r="C51" s="14" t="n">
        <v>0.19</v>
      </c>
      <c r="D51" s="11" t="inlineStr">
        <is>
          <t>N</t>
        </is>
      </c>
      <c r="E51" s="11" t="inlineStr">
        <is>
          <t>N</t>
        </is>
      </c>
      <c r="F51" s="11" t="inlineStr">
        <is>
          <t>IMG-047</t>
        </is>
      </c>
      <c r="G51" s="21" t="n"/>
      <c r="H51" s="11" t="inlineStr">
        <is>
          <t>Example</t>
        </is>
      </c>
    </row>
    <row r="52">
      <c r="A52" s="20" t="inlineStr">
        <is>
          <t>2025-04-24</t>
        </is>
      </c>
      <c r="B52" s="16" t="n">
        <v>0</v>
      </c>
      <c r="C52" s="14" t="n">
        <v>0</v>
      </c>
      <c r="D52" s="11" t="inlineStr">
        <is>
          <t>N</t>
        </is>
      </c>
      <c r="E52" s="11" t="inlineStr">
        <is>
          <t>N</t>
        </is>
      </c>
      <c r="F52" s="11" t="inlineStr">
        <is>
          <t>IMG-048</t>
        </is>
      </c>
      <c r="G52" s="21" t="n"/>
      <c r="H52" s="11" t="inlineStr">
        <is>
          <t>Example</t>
        </is>
      </c>
    </row>
    <row r="53">
      <c r="A53" s="22" t="n"/>
      <c r="B53" s="23" t="n"/>
      <c r="C53" s="24" t="n"/>
      <c r="D53" s="21" t="n"/>
      <c r="E53" s="21" t="n"/>
      <c r="F53" s="21" t="n"/>
      <c r="G53" s="21" t="n"/>
      <c r="H53" s="21" t="n"/>
    </row>
    <row r="54">
      <c r="A54" s="22" t="n"/>
      <c r="B54" s="23" t="n"/>
      <c r="C54" s="24" t="n"/>
      <c r="D54" s="21" t="n"/>
      <c r="E54" s="21" t="n"/>
      <c r="F54" s="21" t="n"/>
      <c r="G54" s="21" t="n"/>
      <c r="H54" s="21" t="n"/>
    </row>
    <row r="55">
      <c r="A55" s="22" t="n"/>
      <c r="B55" s="23" t="n"/>
      <c r="C55" s="24" t="n"/>
      <c r="D55" s="21" t="n"/>
      <c r="E55" s="21" t="n"/>
      <c r="F55" s="21" t="n"/>
      <c r="G55" s="21" t="n"/>
      <c r="H55" s="21" t="n"/>
    </row>
    <row r="56">
      <c r="A56" s="22" t="n"/>
      <c r="B56" s="23" t="n"/>
      <c r="C56" s="24" t="n"/>
      <c r="D56" s="21" t="n"/>
      <c r="E56" s="21" t="n"/>
      <c r="F56" s="21" t="n"/>
      <c r="G56" s="21" t="n"/>
      <c r="H56" s="21" t="n"/>
    </row>
    <row r="57">
      <c r="A57" s="22" t="n"/>
      <c r="B57" s="23" t="n"/>
      <c r="C57" s="24" t="n"/>
      <c r="D57" s="21" t="n"/>
      <c r="E57" s="21" t="n"/>
      <c r="F57" s="21" t="n"/>
      <c r="G57" s="21" t="n"/>
      <c r="H57" s="21" t="n"/>
    </row>
    <row r="58">
      <c r="A58" s="22" t="n"/>
      <c r="B58" s="23" t="n"/>
      <c r="C58" s="24" t="n"/>
      <c r="D58" s="21" t="n"/>
      <c r="E58" s="21" t="n"/>
      <c r="F58" s="21" t="n"/>
      <c r="G58" s="21" t="n"/>
      <c r="H58" s="21" t="n"/>
    </row>
    <row r="59">
      <c r="A59" s="22" t="n"/>
      <c r="B59" s="23" t="n"/>
      <c r="C59" s="24" t="n"/>
      <c r="D59" s="21" t="n"/>
      <c r="E59" s="21" t="n"/>
      <c r="F59" s="21" t="n"/>
      <c r="G59" s="21" t="n"/>
      <c r="H59" s="21" t="n"/>
    </row>
    <row r="60">
      <c r="A60" s="22" t="n"/>
      <c r="B60" s="23" t="n"/>
      <c r="C60" s="24" t="n"/>
      <c r="D60" s="21" t="n"/>
      <c r="E60" s="21" t="n"/>
      <c r="F60" s="21" t="n"/>
      <c r="G60" s="21" t="n"/>
      <c r="H60" s="21" t="n"/>
    </row>
    <row r="61">
      <c r="A61" s="22" t="n"/>
      <c r="B61" s="23" t="n"/>
      <c r="C61" s="24" t="n"/>
      <c r="D61" s="21" t="n"/>
      <c r="E61" s="21" t="n"/>
      <c r="F61" s="21" t="n"/>
      <c r="G61" s="21" t="n"/>
      <c r="H61" s="21" t="n"/>
    </row>
    <row r="62">
      <c r="A62" s="22" t="n"/>
      <c r="B62" s="23" t="n"/>
      <c r="C62" s="24" t="n"/>
      <c r="D62" s="21" t="n"/>
      <c r="E62" s="21" t="n"/>
      <c r="F62" s="21" t="n"/>
      <c r="G62" s="21" t="n"/>
      <c r="H62" s="21" t="n"/>
    </row>
    <row r="63">
      <c r="A63" s="22" t="n"/>
      <c r="B63" s="23" t="n"/>
      <c r="C63" s="24" t="n"/>
      <c r="D63" s="21" t="n"/>
      <c r="E63" s="21" t="n"/>
      <c r="F63" s="21" t="n"/>
      <c r="G63" s="21" t="n"/>
      <c r="H63" s="21" t="n"/>
    </row>
    <row r="64">
      <c r="A64" s="22" t="n"/>
      <c r="B64" s="23" t="n"/>
      <c r="C64" s="24" t="n"/>
      <c r="D64" s="21" t="n"/>
      <c r="E64" s="21" t="n"/>
      <c r="F64" s="21" t="n"/>
      <c r="G64" s="21" t="n"/>
      <c r="H64" s="21" t="n"/>
    </row>
    <row r="65">
      <c r="A65" s="22" t="n"/>
      <c r="B65" s="23" t="n"/>
      <c r="C65" s="24" t="n"/>
      <c r="D65" s="21" t="n"/>
      <c r="E65" s="21" t="n"/>
      <c r="F65" s="21" t="n"/>
      <c r="G65" s="21" t="n"/>
      <c r="H65" s="21" t="n"/>
    </row>
    <row r="66">
      <c r="A66" s="22" t="n"/>
      <c r="B66" s="23" t="n"/>
      <c r="C66" s="24" t="n"/>
      <c r="D66" s="21" t="n"/>
      <c r="E66" s="21" t="n"/>
      <c r="F66" s="21" t="n"/>
      <c r="G66" s="21" t="n"/>
      <c r="H66" s="21" t="n"/>
    </row>
    <row r="67">
      <c r="A67" s="22" t="n"/>
      <c r="B67" s="23" t="n"/>
      <c r="C67" s="24" t="n"/>
      <c r="D67" s="21" t="n"/>
      <c r="E67" s="21" t="n"/>
      <c r="F67" s="21" t="n"/>
      <c r="G67" s="21" t="n"/>
      <c r="H67" s="21" t="n"/>
    </row>
    <row r="68">
      <c r="A68" s="22" t="n"/>
      <c r="B68" s="23" t="n"/>
      <c r="C68" s="24" t="n"/>
      <c r="D68" s="21" t="n"/>
      <c r="E68" s="21" t="n"/>
      <c r="F68" s="21" t="n"/>
      <c r="G68" s="21" t="n"/>
      <c r="H68" s="21" t="n"/>
    </row>
    <row r="69">
      <c r="A69" s="22" t="n"/>
      <c r="B69" s="23" t="n"/>
      <c r="C69" s="24" t="n"/>
      <c r="D69" s="21" t="n"/>
      <c r="E69" s="21" t="n"/>
      <c r="F69" s="21" t="n"/>
      <c r="G69" s="21" t="n"/>
      <c r="H69" s="21" t="n"/>
    </row>
    <row r="70">
      <c r="A70" s="22" t="n"/>
      <c r="B70" s="23" t="n"/>
      <c r="C70" s="24" t="n"/>
      <c r="D70" s="21" t="n"/>
      <c r="E70" s="21" t="n"/>
      <c r="F70" s="21" t="n"/>
      <c r="G70" s="21" t="n"/>
      <c r="H70" s="21" t="n"/>
    </row>
    <row r="71">
      <c r="A71" s="22" t="n"/>
      <c r="B71" s="23" t="n"/>
      <c r="C71" s="24" t="n"/>
      <c r="D71" s="21" t="n"/>
      <c r="E71" s="21" t="n"/>
      <c r="F71" s="21" t="n"/>
      <c r="G71" s="21" t="n"/>
      <c r="H71" s="21" t="n"/>
    </row>
    <row r="72">
      <c r="A72" s="22" t="n"/>
      <c r="B72" s="23" t="n"/>
      <c r="C72" s="24" t="n"/>
      <c r="D72" s="21" t="n"/>
      <c r="E72" s="21" t="n"/>
      <c r="F72" s="21" t="n"/>
      <c r="G72" s="21" t="n"/>
      <c r="H72" s="21" t="n"/>
    </row>
    <row r="73">
      <c r="A73" s="22" t="n"/>
      <c r="B73" s="23" t="n"/>
      <c r="C73" s="24" t="n"/>
      <c r="D73" s="21" t="n"/>
      <c r="E73" s="21" t="n"/>
      <c r="F73" s="21" t="n"/>
      <c r="G73" s="21" t="n"/>
      <c r="H73" s="21" t="n"/>
    </row>
    <row r="74">
      <c r="A74" s="22" t="n"/>
      <c r="B74" s="23" t="n"/>
      <c r="C74" s="24" t="n"/>
      <c r="D74" s="21" t="n"/>
      <c r="E74" s="21" t="n"/>
      <c r="F74" s="21" t="n"/>
      <c r="G74" s="21" t="n"/>
      <c r="H74" s="21" t="n"/>
    </row>
    <row r="75">
      <c r="A75" s="22" t="n"/>
      <c r="B75" s="23" t="n"/>
      <c r="C75" s="24" t="n"/>
      <c r="D75" s="21" t="n"/>
      <c r="E75" s="21" t="n"/>
      <c r="F75" s="21" t="n"/>
      <c r="G75" s="21" t="n"/>
      <c r="H75" s="21" t="n"/>
    </row>
    <row r="76">
      <c r="A76" s="22" t="n"/>
      <c r="B76" s="23" t="n"/>
      <c r="C76" s="24" t="n"/>
      <c r="D76" s="21" t="n"/>
      <c r="E76" s="21" t="n"/>
      <c r="F76" s="21" t="n"/>
      <c r="G76" s="21" t="n"/>
      <c r="H76" s="21" t="n"/>
    </row>
    <row r="77">
      <c r="A77" s="22" t="n"/>
      <c r="B77" s="23" t="n"/>
      <c r="C77" s="24" t="n"/>
      <c r="D77" s="21" t="n"/>
      <c r="E77" s="21" t="n"/>
      <c r="F77" s="21" t="n"/>
      <c r="G77" s="21" t="n"/>
      <c r="H77" s="21" t="n"/>
    </row>
    <row r="78">
      <c r="A78" s="22" t="n"/>
      <c r="B78" s="23" t="n"/>
      <c r="C78" s="24" t="n"/>
      <c r="D78" s="21" t="n"/>
      <c r="E78" s="21" t="n"/>
      <c r="F78" s="21" t="n"/>
      <c r="G78" s="21" t="n"/>
      <c r="H78" s="21" t="n"/>
    </row>
    <row r="79">
      <c r="A79" s="22" t="n"/>
      <c r="B79" s="23" t="n"/>
      <c r="C79" s="24" t="n"/>
      <c r="D79" s="21" t="n"/>
      <c r="E79" s="21" t="n"/>
      <c r="F79" s="21" t="n"/>
      <c r="G79" s="21" t="n"/>
      <c r="H79" s="21" t="n"/>
    </row>
    <row r="80">
      <c r="A80" s="22" t="n"/>
      <c r="B80" s="23" t="n"/>
      <c r="C80" s="24" t="n"/>
      <c r="D80" s="21" t="n"/>
      <c r="E80" s="21" t="n"/>
      <c r="F80" s="21" t="n"/>
      <c r="G80" s="21" t="n"/>
      <c r="H80" s="21" t="n"/>
    </row>
    <row r="81">
      <c r="A81" s="22" t="n"/>
      <c r="B81" s="23" t="n"/>
      <c r="C81" s="24" t="n"/>
      <c r="D81" s="21" t="n"/>
      <c r="E81" s="21" t="n"/>
      <c r="F81" s="21" t="n"/>
      <c r="G81" s="21" t="n"/>
      <c r="H81" s="21" t="n"/>
    </row>
    <row r="82">
      <c r="A82" s="22" t="n"/>
      <c r="B82" s="23" t="n"/>
      <c r="C82" s="24" t="n"/>
      <c r="D82" s="21" t="n"/>
      <c r="E82" s="21" t="n"/>
      <c r="F82" s="21" t="n"/>
      <c r="G82" s="21" t="n"/>
      <c r="H82" s="21" t="n"/>
    </row>
    <row r="83">
      <c r="A83" s="22" t="n"/>
      <c r="B83" s="23" t="n"/>
      <c r="C83" s="24" t="n"/>
      <c r="D83" s="21" t="n"/>
      <c r="E83" s="21" t="n"/>
      <c r="F83" s="21" t="n"/>
      <c r="G83" s="21" t="n"/>
      <c r="H83" s="21" t="n"/>
    </row>
    <row r="84">
      <c r="A84" s="22" t="n"/>
      <c r="B84" s="23" t="n"/>
      <c r="C84" s="24" t="n"/>
      <c r="D84" s="21" t="n"/>
      <c r="E84" s="21" t="n"/>
      <c r="F84" s="21" t="n"/>
      <c r="G84" s="21" t="n"/>
      <c r="H84" s="21" t="n"/>
    </row>
    <row r="85">
      <c r="A85" s="22" t="n"/>
      <c r="B85" s="23" t="n"/>
      <c r="C85" s="24" t="n"/>
      <c r="D85" s="21" t="n"/>
      <c r="E85" s="21" t="n"/>
      <c r="F85" s="21" t="n"/>
      <c r="G85" s="21" t="n"/>
      <c r="H85" s="21" t="n"/>
    </row>
    <row r="86">
      <c r="A86" s="22" t="n"/>
      <c r="B86" s="23" t="n"/>
      <c r="C86" s="24" t="n"/>
      <c r="D86" s="21" t="n"/>
      <c r="E86" s="21" t="n"/>
      <c r="F86" s="21" t="n"/>
      <c r="G86" s="21" t="n"/>
      <c r="H86" s="21" t="n"/>
    </row>
    <row r="87">
      <c r="A87" s="22" t="n"/>
      <c r="B87" s="23" t="n"/>
      <c r="C87" s="24" t="n"/>
      <c r="D87" s="21" t="n"/>
      <c r="E87" s="21" t="n"/>
      <c r="F87" s="21" t="n"/>
      <c r="G87" s="21" t="n"/>
      <c r="H87" s="21" t="n"/>
    </row>
    <row r="88">
      <c r="A88" s="22" t="n"/>
      <c r="B88" s="23" t="n"/>
      <c r="C88" s="24" t="n"/>
      <c r="D88" s="21" t="n"/>
      <c r="E88" s="21" t="n"/>
      <c r="F88" s="21" t="n"/>
      <c r="G88" s="21" t="n"/>
      <c r="H88" s="21" t="n"/>
    </row>
    <row r="89">
      <c r="A89" s="22" t="n"/>
      <c r="B89" s="23" t="n"/>
      <c r="C89" s="24" t="n"/>
      <c r="D89" s="21" t="n"/>
      <c r="E89" s="21" t="n"/>
      <c r="F89" s="21" t="n"/>
      <c r="G89" s="21" t="n"/>
      <c r="H89" s="21" t="n"/>
    </row>
    <row r="90">
      <c r="A90" s="22" t="n"/>
      <c r="B90" s="23" t="n"/>
      <c r="C90" s="24" t="n"/>
      <c r="D90" s="21" t="n"/>
      <c r="E90" s="21" t="n"/>
      <c r="F90" s="21" t="n"/>
      <c r="G90" s="21" t="n"/>
      <c r="H90" s="21" t="n"/>
    </row>
    <row r="91">
      <c r="A91" s="22" t="n"/>
      <c r="B91" s="23" t="n"/>
      <c r="C91" s="24" t="n"/>
      <c r="D91" s="21" t="n"/>
      <c r="E91" s="21" t="n"/>
      <c r="F91" s="21" t="n"/>
      <c r="G91" s="21" t="n"/>
      <c r="H91" s="21" t="n"/>
    </row>
    <row r="92">
      <c r="A92" s="22" t="n"/>
      <c r="B92" s="23" t="n"/>
      <c r="C92" s="24" t="n"/>
      <c r="D92" s="21" t="n"/>
      <c r="E92" s="21" t="n"/>
      <c r="F92" s="21" t="n"/>
      <c r="G92" s="21" t="n"/>
      <c r="H92" s="21" t="n"/>
    </row>
    <row r="93">
      <c r="A93" s="22" t="n"/>
      <c r="B93" s="23" t="n"/>
      <c r="C93" s="24" t="n"/>
      <c r="D93" s="21" t="n"/>
      <c r="E93" s="21" t="n"/>
      <c r="F93" s="21" t="n"/>
      <c r="G93" s="21" t="n"/>
      <c r="H93" s="21" t="n"/>
    </row>
    <row r="94">
      <c r="A94" s="22" t="n"/>
      <c r="B94" s="23" t="n"/>
      <c r="C94" s="24" t="n"/>
      <c r="D94" s="21" t="n"/>
      <c r="E94" s="21" t="n"/>
      <c r="F94" s="21" t="n"/>
      <c r="G94" s="21" t="n"/>
      <c r="H94" s="21" t="n"/>
    </row>
    <row r="95">
      <c r="A95" s="22" t="n"/>
      <c r="B95" s="23" t="n"/>
      <c r="C95" s="24" t="n"/>
      <c r="D95" s="21" t="n"/>
      <c r="E95" s="21" t="n"/>
      <c r="F95" s="21" t="n"/>
      <c r="G95" s="21" t="n"/>
      <c r="H95" s="21" t="n"/>
    </row>
    <row r="96">
      <c r="A96" s="22" t="n"/>
      <c r="B96" s="23" t="n"/>
      <c r="C96" s="24" t="n"/>
      <c r="D96" s="21" t="n"/>
      <c r="E96" s="21" t="n"/>
      <c r="F96" s="21" t="n"/>
      <c r="G96" s="21" t="n"/>
      <c r="H96" s="21" t="n"/>
    </row>
    <row r="97">
      <c r="A97" s="22" t="n"/>
      <c r="B97" s="23" t="n"/>
      <c r="C97" s="24" t="n"/>
      <c r="D97" s="21" t="n"/>
      <c r="E97" s="21" t="n"/>
      <c r="F97" s="21" t="n"/>
      <c r="G97" s="21" t="n"/>
      <c r="H97" s="21" t="n"/>
    </row>
    <row r="98">
      <c r="A98" s="22" t="n"/>
      <c r="B98" s="23" t="n"/>
      <c r="C98" s="24" t="n"/>
      <c r="D98" s="21" t="n"/>
      <c r="E98" s="21" t="n"/>
      <c r="F98" s="21" t="n"/>
      <c r="G98" s="21" t="n"/>
      <c r="H98" s="21" t="n"/>
    </row>
    <row r="99">
      <c r="A99" s="22" t="n"/>
      <c r="B99" s="23" t="n"/>
      <c r="C99" s="24" t="n"/>
      <c r="D99" s="21" t="n"/>
      <c r="E99" s="21" t="n"/>
      <c r="F99" s="21" t="n"/>
      <c r="G99" s="21" t="n"/>
      <c r="H99" s="21" t="n"/>
    </row>
    <row r="100">
      <c r="A100" s="22" t="n"/>
      <c r="B100" s="23" t="n"/>
      <c r="C100" s="24" t="n"/>
      <c r="D100" s="21" t="n"/>
      <c r="E100" s="21" t="n"/>
      <c r="F100" s="21" t="n"/>
      <c r="G100" s="21" t="n"/>
      <c r="H100" s="21" t="n"/>
    </row>
    <row r="101">
      <c r="A101" s="22" t="n"/>
      <c r="B101" s="23" t="n"/>
      <c r="C101" s="24" t="n"/>
      <c r="D101" s="21" t="n"/>
      <c r="E101" s="21" t="n"/>
      <c r="F101" s="21" t="n"/>
      <c r="G101" s="21" t="n"/>
      <c r="H101" s="21" t="n"/>
    </row>
    <row r="102">
      <c r="A102" s="22" t="n"/>
      <c r="B102" s="23" t="n"/>
      <c r="C102" s="24" t="n"/>
      <c r="D102" s="21" t="n"/>
      <c r="E102" s="21" t="n"/>
      <c r="F102" s="21" t="n"/>
      <c r="G102" s="21" t="n"/>
      <c r="H102" s="21" t="n"/>
    </row>
    <row r="103">
      <c r="A103" s="22" t="n"/>
      <c r="B103" s="23" t="n"/>
      <c r="C103" s="24" t="n"/>
      <c r="D103" s="21" t="n"/>
      <c r="E103" s="21" t="n"/>
      <c r="F103" s="21" t="n"/>
      <c r="G103" s="21" t="n"/>
      <c r="H103" s="21" t="n"/>
    </row>
    <row r="104">
      <c r="A104" s="22" t="n"/>
      <c r="B104" s="23" t="n"/>
      <c r="C104" s="24" t="n"/>
      <c r="D104" s="21" t="n"/>
      <c r="E104" s="21" t="n"/>
      <c r="F104" s="21" t="n"/>
      <c r="G104" s="21" t="n"/>
      <c r="H104" s="21" t="n"/>
    </row>
    <row r="105">
      <c r="A105" s="22" t="n"/>
      <c r="B105" s="23" t="n"/>
      <c r="C105" s="24" t="n"/>
      <c r="D105" s="21" t="n"/>
      <c r="E105" s="21" t="n"/>
      <c r="F105" s="21" t="n"/>
      <c r="G105" s="21" t="n"/>
      <c r="H105" s="21" t="n"/>
    </row>
    <row r="106">
      <c r="A106" s="22" t="n"/>
      <c r="B106" s="23" t="n"/>
      <c r="C106" s="24" t="n"/>
      <c r="D106" s="21" t="n"/>
      <c r="E106" s="21" t="n"/>
      <c r="F106" s="21" t="n"/>
      <c r="G106" s="21" t="n"/>
      <c r="H106" s="21" t="n"/>
    </row>
    <row r="107">
      <c r="A107" s="22" t="n"/>
      <c r="B107" s="23" t="n"/>
      <c r="C107" s="24" t="n"/>
      <c r="D107" s="21" t="n"/>
      <c r="E107" s="21" t="n"/>
      <c r="F107" s="21" t="n"/>
      <c r="G107" s="21" t="n"/>
      <c r="H107" s="21" t="n"/>
    </row>
    <row r="108">
      <c r="A108" s="22" t="n"/>
      <c r="B108" s="23" t="n"/>
      <c r="C108" s="24" t="n"/>
      <c r="D108" s="21" t="n"/>
      <c r="E108" s="21" t="n"/>
      <c r="F108" s="21" t="n"/>
      <c r="G108" s="21" t="n"/>
      <c r="H108" s="21" t="n"/>
    </row>
    <row r="109">
      <c r="A109" s="22" t="n"/>
      <c r="B109" s="23" t="n"/>
      <c r="C109" s="24" t="n"/>
      <c r="D109" s="21" t="n"/>
      <c r="E109" s="21" t="n"/>
      <c r="F109" s="21" t="n"/>
      <c r="G109" s="21" t="n"/>
      <c r="H109" s="21" t="n"/>
    </row>
    <row r="110">
      <c r="A110" s="22" t="n"/>
      <c r="B110" s="23" t="n"/>
      <c r="C110" s="24" t="n"/>
      <c r="D110" s="21" t="n"/>
      <c r="E110" s="21" t="n"/>
      <c r="F110" s="21" t="n"/>
      <c r="G110" s="21" t="n"/>
      <c r="H110" s="21" t="n"/>
    </row>
    <row r="111">
      <c r="A111" s="22" t="n"/>
      <c r="B111" s="23" t="n"/>
      <c r="C111" s="24" t="n"/>
      <c r="D111" s="21" t="n"/>
      <c r="E111" s="21" t="n"/>
      <c r="F111" s="21" t="n"/>
      <c r="G111" s="21" t="n"/>
      <c r="H111" s="21" t="n"/>
    </row>
    <row r="112">
      <c r="A112" s="22" t="n"/>
      <c r="B112" s="23" t="n"/>
      <c r="C112" s="24" t="n"/>
      <c r="D112" s="21" t="n"/>
      <c r="E112" s="21" t="n"/>
      <c r="F112" s="21" t="n"/>
      <c r="G112" s="21" t="n"/>
      <c r="H112" s="21" t="n"/>
    </row>
    <row r="113">
      <c r="A113" s="22" t="n"/>
      <c r="B113" s="23" t="n"/>
      <c r="C113" s="24" t="n"/>
      <c r="D113" s="21" t="n"/>
      <c r="E113" s="21" t="n"/>
      <c r="F113" s="21" t="n"/>
      <c r="G113" s="21" t="n"/>
      <c r="H113" s="21" t="n"/>
    </row>
    <row r="114">
      <c r="A114" s="22" t="n"/>
      <c r="B114" s="23" t="n"/>
      <c r="C114" s="24" t="n"/>
      <c r="D114" s="21" t="n"/>
      <c r="E114" s="21" t="n"/>
      <c r="F114" s="21" t="n"/>
      <c r="G114" s="21" t="n"/>
      <c r="H114" s="21" t="n"/>
    </row>
    <row r="115">
      <c r="A115" s="22" t="n"/>
      <c r="B115" s="23" t="n"/>
      <c r="C115" s="24" t="n"/>
      <c r="D115" s="21" t="n"/>
      <c r="E115" s="21" t="n"/>
      <c r="F115" s="21" t="n"/>
      <c r="G115" s="21" t="n"/>
      <c r="H115" s="21" t="n"/>
    </row>
    <row r="116">
      <c r="A116" s="22" t="n"/>
      <c r="B116" s="23" t="n"/>
      <c r="C116" s="24" t="n"/>
      <c r="D116" s="21" t="n"/>
      <c r="E116" s="21" t="n"/>
      <c r="F116" s="21" t="n"/>
      <c r="G116" s="21" t="n"/>
      <c r="H116" s="21" t="n"/>
    </row>
    <row r="117">
      <c r="A117" s="22" t="n"/>
      <c r="B117" s="23" t="n"/>
      <c r="C117" s="24" t="n"/>
      <c r="D117" s="21" t="n"/>
      <c r="E117" s="21" t="n"/>
      <c r="F117" s="21" t="n"/>
      <c r="G117" s="21" t="n"/>
      <c r="H117" s="21" t="n"/>
    </row>
    <row r="118">
      <c r="A118" s="22" t="n"/>
      <c r="B118" s="23" t="n"/>
      <c r="C118" s="24" t="n"/>
      <c r="D118" s="21" t="n"/>
      <c r="E118" s="21" t="n"/>
      <c r="F118" s="21" t="n"/>
      <c r="G118" s="21" t="n"/>
      <c r="H118" s="21" t="n"/>
    </row>
    <row r="119">
      <c r="A119" s="22" t="n"/>
      <c r="B119" s="23" t="n"/>
      <c r="C119" s="24" t="n"/>
      <c r="D119" s="21" t="n"/>
      <c r="E119" s="21" t="n"/>
      <c r="F119" s="21" t="n"/>
      <c r="G119" s="21" t="n"/>
      <c r="H119" s="21" t="n"/>
    </row>
    <row r="120">
      <c r="A120" s="22" t="n"/>
      <c r="B120" s="23" t="n"/>
      <c r="C120" s="24" t="n"/>
      <c r="D120" s="21" t="n"/>
      <c r="E120" s="21" t="n"/>
      <c r="F120" s="21" t="n"/>
      <c r="G120" s="21" t="n"/>
      <c r="H120" s="21" t="n"/>
    </row>
    <row r="121">
      <c r="A121" s="22" t="n"/>
      <c r="B121" s="23" t="n"/>
      <c r="C121" s="24" t="n"/>
      <c r="D121" s="21" t="n"/>
      <c r="E121" s="21" t="n"/>
      <c r="F121" s="21" t="n"/>
      <c r="G121" s="21" t="n"/>
      <c r="H121" s="21" t="n"/>
    </row>
    <row r="122">
      <c r="A122" s="22" t="n"/>
      <c r="B122" s="23" t="n"/>
      <c r="C122" s="24" t="n"/>
      <c r="D122" s="21" t="n"/>
      <c r="E122" s="21" t="n"/>
      <c r="F122" s="21" t="n"/>
      <c r="G122" s="21" t="n"/>
      <c r="H122" s="21" t="n"/>
    </row>
    <row r="123">
      <c r="A123" s="22" t="n"/>
      <c r="B123" s="23" t="n"/>
      <c r="C123" s="24" t="n"/>
      <c r="D123" s="21" t="n"/>
      <c r="E123" s="21" t="n"/>
      <c r="F123" s="21" t="n"/>
      <c r="G123" s="21" t="n"/>
      <c r="H123" s="21" t="n"/>
    </row>
    <row r="124">
      <c r="A124" s="22" t="n"/>
      <c r="B124" s="23" t="n"/>
      <c r="C124" s="24" t="n"/>
      <c r="D124" s="21" t="n"/>
      <c r="E124" s="21" t="n"/>
      <c r="F124" s="21" t="n"/>
      <c r="G124" s="21" t="n"/>
      <c r="H124" s="21" t="n"/>
    </row>
    <row r="125">
      <c r="A125" s="22" t="n"/>
      <c r="B125" s="23" t="n"/>
      <c r="C125" s="24" t="n"/>
      <c r="D125" s="21" t="n"/>
      <c r="E125" s="21" t="n"/>
      <c r="F125" s="21" t="n"/>
      <c r="G125" s="21" t="n"/>
      <c r="H125" s="21" t="n"/>
    </row>
    <row r="126">
      <c r="A126" s="22" t="n"/>
      <c r="B126" s="23" t="n"/>
      <c r="C126" s="24" t="n"/>
      <c r="D126" s="21" t="n"/>
      <c r="E126" s="21" t="n"/>
      <c r="F126" s="21" t="n"/>
      <c r="G126" s="21" t="n"/>
      <c r="H126" s="21" t="n"/>
    </row>
    <row r="127">
      <c r="A127" s="22" t="n"/>
      <c r="B127" s="23" t="n"/>
      <c r="C127" s="24" t="n"/>
      <c r="D127" s="21" t="n"/>
      <c r="E127" s="21" t="n"/>
      <c r="F127" s="21" t="n"/>
      <c r="G127" s="21" t="n"/>
      <c r="H127" s="21" t="n"/>
    </row>
    <row r="128">
      <c r="A128" s="22" t="n"/>
      <c r="B128" s="23" t="n"/>
      <c r="C128" s="24" t="n"/>
      <c r="D128" s="21" t="n"/>
      <c r="E128" s="21" t="n"/>
      <c r="F128" s="21" t="n"/>
      <c r="G128" s="21" t="n"/>
      <c r="H128" s="21" t="n"/>
    </row>
    <row r="129">
      <c r="A129" s="22" t="n"/>
      <c r="B129" s="23" t="n"/>
      <c r="C129" s="24" t="n"/>
      <c r="D129" s="21" t="n"/>
      <c r="E129" s="21" t="n"/>
      <c r="F129" s="21" t="n"/>
      <c r="G129" s="21" t="n"/>
      <c r="H129" s="21" t="n"/>
    </row>
    <row r="130">
      <c r="A130" s="22" t="n"/>
      <c r="B130" s="23" t="n"/>
      <c r="C130" s="24" t="n"/>
      <c r="D130" s="21" t="n"/>
      <c r="E130" s="21" t="n"/>
      <c r="F130" s="21" t="n"/>
      <c r="G130" s="21" t="n"/>
      <c r="H130" s="21" t="n"/>
    </row>
    <row r="131">
      <c r="A131" s="22" t="n"/>
      <c r="B131" s="23" t="n"/>
      <c r="C131" s="24" t="n"/>
      <c r="D131" s="21" t="n"/>
      <c r="E131" s="21" t="n"/>
      <c r="F131" s="21" t="n"/>
      <c r="G131" s="21" t="n"/>
      <c r="H131" s="21" t="n"/>
    </row>
    <row r="132">
      <c r="A132" s="22" t="n"/>
      <c r="B132" s="23" t="n"/>
      <c r="C132" s="24" t="n"/>
      <c r="D132" s="21" t="n"/>
      <c r="E132" s="21" t="n"/>
      <c r="F132" s="21" t="n"/>
      <c r="G132" s="21" t="n"/>
      <c r="H132" s="21" t="n"/>
    </row>
    <row r="133">
      <c r="A133" s="22" t="n"/>
      <c r="B133" s="23" t="n"/>
      <c r="C133" s="24" t="n"/>
      <c r="D133" s="21" t="n"/>
      <c r="E133" s="21" t="n"/>
      <c r="F133" s="21" t="n"/>
      <c r="G133" s="21" t="n"/>
      <c r="H133" s="21" t="n"/>
    </row>
    <row r="134">
      <c r="A134" s="22" t="n"/>
      <c r="B134" s="23" t="n"/>
      <c r="C134" s="24" t="n"/>
      <c r="D134" s="21" t="n"/>
      <c r="E134" s="21" t="n"/>
      <c r="F134" s="21" t="n"/>
      <c r="G134" s="21" t="n"/>
      <c r="H134" s="21" t="n"/>
    </row>
    <row r="135">
      <c r="A135" s="22" t="n"/>
      <c r="B135" s="23" t="n"/>
      <c r="C135" s="24" t="n"/>
      <c r="D135" s="21" t="n"/>
      <c r="E135" s="21" t="n"/>
      <c r="F135" s="21" t="n"/>
      <c r="G135" s="21" t="n"/>
      <c r="H135" s="21" t="n"/>
    </row>
    <row r="136">
      <c r="A136" s="22" t="n"/>
      <c r="B136" s="23" t="n"/>
      <c r="C136" s="24" t="n"/>
      <c r="D136" s="21" t="n"/>
      <c r="E136" s="21" t="n"/>
      <c r="F136" s="21" t="n"/>
      <c r="G136" s="21" t="n"/>
      <c r="H136" s="21" t="n"/>
    </row>
    <row r="137">
      <c r="A137" s="22" t="n"/>
      <c r="B137" s="23" t="n"/>
      <c r="C137" s="24" t="n"/>
      <c r="D137" s="21" t="n"/>
      <c r="E137" s="21" t="n"/>
      <c r="F137" s="21" t="n"/>
      <c r="G137" s="21" t="n"/>
      <c r="H137" s="21" t="n"/>
    </row>
    <row r="138">
      <c r="A138" s="22" t="n"/>
      <c r="B138" s="23" t="n"/>
      <c r="C138" s="24" t="n"/>
      <c r="D138" s="21" t="n"/>
      <c r="E138" s="21" t="n"/>
      <c r="F138" s="21" t="n"/>
      <c r="G138" s="21" t="n"/>
      <c r="H138" s="21" t="n"/>
    </row>
    <row r="139">
      <c r="A139" s="22" t="n"/>
      <c r="B139" s="23" t="n"/>
      <c r="C139" s="24" t="n"/>
      <c r="D139" s="21" t="n"/>
      <c r="E139" s="21" t="n"/>
      <c r="F139" s="21" t="n"/>
      <c r="G139" s="21" t="n"/>
      <c r="H139" s="21" t="n"/>
    </row>
    <row r="140">
      <c r="A140" s="22" t="n"/>
      <c r="B140" s="23" t="n"/>
      <c r="C140" s="24" t="n"/>
      <c r="D140" s="21" t="n"/>
      <c r="E140" s="21" t="n"/>
      <c r="F140" s="21" t="n"/>
      <c r="G140" s="21" t="n"/>
      <c r="H140" s="21" t="n"/>
    </row>
    <row r="141">
      <c r="A141" s="22" t="n"/>
      <c r="B141" s="23" t="n"/>
      <c r="C141" s="24" t="n"/>
      <c r="D141" s="21" t="n"/>
      <c r="E141" s="21" t="n"/>
      <c r="F141" s="21" t="n"/>
      <c r="G141" s="21" t="n"/>
      <c r="H141" s="21" t="n"/>
    </row>
    <row r="142">
      <c r="A142" s="22" t="n"/>
      <c r="B142" s="23" t="n"/>
      <c r="C142" s="24" t="n"/>
      <c r="D142" s="21" t="n"/>
      <c r="E142" s="21" t="n"/>
      <c r="F142" s="21" t="n"/>
      <c r="G142" s="21" t="n"/>
      <c r="H142" s="21" t="n"/>
    </row>
    <row r="143">
      <c r="A143" s="22" t="n"/>
      <c r="B143" s="23" t="n"/>
      <c r="C143" s="24" t="n"/>
      <c r="D143" s="21" t="n"/>
      <c r="E143" s="21" t="n"/>
      <c r="F143" s="21" t="n"/>
      <c r="G143" s="21" t="n"/>
      <c r="H143" s="21" t="n"/>
    </row>
    <row r="144">
      <c r="A144" s="22" t="n"/>
      <c r="B144" s="23" t="n"/>
      <c r="C144" s="24" t="n"/>
      <c r="D144" s="21" t="n"/>
      <c r="E144" s="21" t="n"/>
      <c r="F144" s="21" t="n"/>
      <c r="G144" s="21" t="n"/>
      <c r="H144" s="21" t="n"/>
    </row>
    <row r="145">
      <c r="A145" s="22" t="n"/>
      <c r="B145" s="23" t="n"/>
      <c r="C145" s="24" t="n"/>
      <c r="D145" s="21" t="n"/>
      <c r="E145" s="21" t="n"/>
      <c r="F145" s="21" t="n"/>
      <c r="G145" s="21" t="n"/>
      <c r="H145" s="21" t="n"/>
    </row>
    <row r="146">
      <c r="A146" s="22" t="n"/>
      <c r="B146" s="23" t="n"/>
      <c r="C146" s="24" t="n"/>
      <c r="D146" s="21" t="n"/>
      <c r="E146" s="21" t="n"/>
      <c r="F146" s="21" t="n"/>
      <c r="G146" s="21" t="n"/>
      <c r="H146" s="21" t="n"/>
    </row>
    <row r="147">
      <c r="A147" s="22" t="n"/>
      <c r="B147" s="23" t="n"/>
      <c r="C147" s="24" t="n"/>
      <c r="D147" s="21" t="n"/>
      <c r="E147" s="21" t="n"/>
      <c r="F147" s="21" t="n"/>
      <c r="G147" s="21" t="n"/>
      <c r="H147" s="21" t="n"/>
    </row>
    <row r="148">
      <c r="A148" s="22" t="n"/>
      <c r="B148" s="23" t="n"/>
      <c r="C148" s="24" t="n"/>
      <c r="D148" s="21" t="n"/>
      <c r="E148" s="21" t="n"/>
      <c r="F148" s="21" t="n"/>
      <c r="G148" s="21" t="n"/>
      <c r="H148" s="21" t="n"/>
    </row>
    <row r="149">
      <c r="A149" s="22" t="n"/>
      <c r="B149" s="23" t="n"/>
      <c r="C149" s="24" t="n"/>
      <c r="D149" s="21" t="n"/>
      <c r="E149" s="21" t="n"/>
      <c r="F149" s="21" t="n"/>
      <c r="G149" s="21" t="n"/>
      <c r="H149" s="21" t="n"/>
    </row>
    <row r="150">
      <c r="A150" s="22" t="n"/>
      <c r="B150" s="23" t="n"/>
      <c r="C150" s="24" t="n"/>
      <c r="D150" s="21" t="n"/>
      <c r="E150" s="21" t="n"/>
      <c r="F150" s="21" t="n"/>
      <c r="G150" s="21" t="n"/>
      <c r="H150" s="21" t="n"/>
    </row>
    <row r="151">
      <c r="A151" s="22" t="n"/>
      <c r="B151" s="23" t="n"/>
      <c r="C151" s="24" t="n"/>
      <c r="D151" s="21" t="n"/>
      <c r="E151" s="21" t="n"/>
      <c r="F151" s="21" t="n"/>
      <c r="G151" s="21" t="n"/>
      <c r="H151" s="21" t="n"/>
    </row>
    <row r="152">
      <c r="A152" s="22" t="n"/>
      <c r="B152" s="23" t="n"/>
      <c r="C152" s="24" t="n"/>
      <c r="D152" s="21" t="n"/>
      <c r="E152" s="21" t="n"/>
      <c r="F152" s="21" t="n"/>
      <c r="G152" s="21" t="n"/>
      <c r="H152" s="21" t="n"/>
    </row>
    <row r="153">
      <c r="A153" s="22" t="n"/>
      <c r="B153" s="23" t="n"/>
      <c r="C153" s="24" t="n"/>
      <c r="D153" s="21" t="n"/>
      <c r="E153" s="21" t="n"/>
      <c r="F153" s="21" t="n"/>
      <c r="G153" s="21" t="n"/>
      <c r="H153" s="21" t="n"/>
    </row>
    <row r="154">
      <c r="A154" s="22" t="n"/>
      <c r="B154" s="23" t="n"/>
      <c r="C154" s="24" t="n"/>
      <c r="D154" s="21" t="n"/>
      <c r="E154" s="21" t="n"/>
      <c r="F154" s="21" t="n"/>
      <c r="G154" s="21" t="n"/>
      <c r="H154" s="21" t="n"/>
    </row>
    <row r="155">
      <c r="A155" s="22" t="n"/>
      <c r="B155" s="23" t="n"/>
      <c r="C155" s="24" t="n"/>
      <c r="D155" s="21" t="n"/>
      <c r="E155" s="21" t="n"/>
      <c r="F155" s="21" t="n"/>
      <c r="G155" s="21" t="n"/>
      <c r="H155" s="21" t="n"/>
    </row>
    <row r="156">
      <c r="A156" s="22" t="n"/>
      <c r="B156" s="23" t="n"/>
      <c r="C156" s="24" t="n"/>
      <c r="D156" s="21" t="n"/>
      <c r="E156" s="21" t="n"/>
      <c r="F156" s="21" t="n"/>
      <c r="G156" s="21" t="n"/>
      <c r="H156" s="21" t="n"/>
    </row>
    <row r="157">
      <c r="A157" s="22" t="n"/>
      <c r="B157" s="23" t="n"/>
      <c r="C157" s="24" t="n"/>
      <c r="D157" s="21" t="n"/>
      <c r="E157" s="21" t="n"/>
      <c r="F157" s="21" t="n"/>
      <c r="G157" s="21" t="n"/>
      <c r="H157" s="21" t="n"/>
    </row>
    <row r="158">
      <c r="A158" s="22" t="n"/>
      <c r="B158" s="23" t="n"/>
      <c r="C158" s="24" t="n"/>
      <c r="D158" s="21" t="n"/>
      <c r="E158" s="21" t="n"/>
      <c r="F158" s="21" t="n"/>
      <c r="G158" s="21" t="n"/>
      <c r="H158" s="21" t="n"/>
    </row>
    <row r="159">
      <c r="A159" s="22" t="n"/>
      <c r="B159" s="23" t="n"/>
      <c r="C159" s="24" t="n"/>
      <c r="D159" s="21" t="n"/>
      <c r="E159" s="21" t="n"/>
      <c r="F159" s="21" t="n"/>
      <c r="G159" s="21" t="n"/>
      <c r="H159" s="21" t="n"/>
    </row>
    <row r="160">
      <c r="A160" s="22" t="n"/>
      <c r="B160" s="23" t="n"/>
      <c r="C160" s="24" t="n"/>
      <c r="D160" s="21" t="n"/>
      <c r="E160" s="21" t="n"/>
      <c r="F160" s="21" t="n"/>
      <c r="G160" s="21" t="n"/>
      <c r="H160" s="21" t="n"/>
    </row>
    <row r="161">
      <c r="A161" s="22" t="n"/>
      <c r="B161" s="23" t="n"/>
      <c r="C161" s="24" t="n"/>
      <c r="D161" s="21" t="n"/>
      <c r="E161" s="21" t="n"/>
      <c r="F161" s="21" t="n"/>
      <c r="G161" s="21" t="n"/>
      <c r="H161" s="21" t="n"/>
    </row>
    <row r="162">
      <c r="A162" s="22" t="n"/>
      <c r="B162" s="23" t="n"/>
      <c r="C162" s="24" t="n"/>
      <c r="D162" s="21" t="n"/>
      <c r="E162" s="21" t="n"/>
      <c r="F162" s="21" t="n"/>
      <c r="G162" s="21" t="n"/>
      <c r="H162" s="21" t="n"/>
    </row>
    <row r="163">
      <c r="A163" s="22" t="n"/>
      <c r="B163" s="23" t="n"/>
      <c r="C163" s="24" t="n"/>
      <c r="D163" s="21" t="n"/>
      <c r="E163" s="21" t="n"/>
      <c r="F163" s="21" t="n"/>
      <c r="G163" s="21" t="n"/>
      <c r="H163" s="21" t="n"/>
    </row>
    <row r="164">
      <c r="A164" s="22" t="n"/>
      <c r="B164" s="23" t="n"/>
      <c r="C164" s="24" t="n"/>
      <c r="D164" s="21" t="n"/>
      <c r="E164" s="21" t="n"/>
      <c r="F164" s="21" t="n"/>
      <c r="G164" s="21" t="n"/>
      <c r="H164" s="21" t="n"/>
    </row>
    <row r="165">
      <c r="A165" s="22" t="n"/>
      <c r="B165" s="23" t="n"/>
      <c r="C165" s="24" t="n"/>
      <c r="D165" s="21" t="n"/>
      <c r="E165" s="21" t="n"/>
      <c r="F165" s="21" t="n"/>
      <c r="G165" s="21" t="n"/>
      <c r="H165" s="21" t="n"/>
    </row>
    <row r="166">
      <c r="A166" s="22" t="n"/>
      <c r="B166" s="23" t="n"/>
      <c r="C166" s="24" t="n"/>
      <c r="D166" s="21" t="n"/>
      <c r="E166" s="21" t="n"/>
      <c r="F166" s="21" t="n"/>
      <c r="G166" s="21" t="n"/>
      <c r="H166" s="21" t="n"/>
    </row>
    <row r="167">
      <c r="A167" s="22" t="n"/>
      <c r="B167" s="23" t="n"/>
      <c r="C167" s="24" t="n"/>
      <c r="D167" s="21" t="n"/>
      <c r="E167" s="21" t="n"/>
      <c r="F167" s="21" t="n"/>
      <c r="G167" s="21" t="n"/>
      <c r="H167" s="21" t="n"/>
    </row>
    <row r="168">
      <c r="A168" s="22" t="n"/>
      <c r="B168" s="23" t="n"/>
      <c r="C168" s="24" t="n"/>
      <c r="D168" s="21" t="n"/>
      <c r="E168" s="21" t="n"/>
      <c r="F168" s="21" t="n"/>
      <c r="G168" s="21" t="n"/>
      <c r="H168" s="21" t="n"/>
    </row>
    <row r="169">
      <c r="A169" s="22" t="n"/>
      <c r="B169" s="23" t="n"/>
      <c r="C169" s="24" t="n"/>
      <c r="D169" s="21" t="n"/>
      <c r="E169" s="21" t="n"/>
      <c r="F169" s="21" t="n"/>
      <c r="G169" s="21" t="n"/>
      <c r="H169" s="21" t="n"/>
    </row>
    <row r="170">
      <c r="A170" s="22" t="n"/>
      <c r="B170" s="23" t="n"/>
      <c r="C170" s="24" t="n"/>
      <c r="D170" s="21" t="n"/>
      <c r="E170" s="21" t="n"/>
      <c r="F170" s="21" t="n"/>
      <c r="G170" s="21" t="n"/>
      <c r="H170" s="21" t="n"/>
    </row>
    <row r="171">
      <c r="A171" s="22" t="n"/>
      <c r="B171" s="23" t="n"/>
      <c r="C171" s="24" t="n"/>
      <c r="D171" s="21" t="n"/>
      <c r="E171" s="21" t="n"/>
      <c r="F171" s="21" t="n"/>
      <c r="G171" s="21" t="n"/>
      <c r="H171" s="21" t="n"/>
    </row>
    <row r="172">
      <c r="A172" s="22" t="n"/>
      <c r="B172" s="23" t="n"/>
      <c r="C172" s="24" t="n"/>
      <c r="D172" s="21" t="n"/>
      <c r="E172" s="21" t="n"/>
      <c r="F172" s="21" t="n"/>
      <c r="G172" s="21" t="n"/>
      <c r="H172" s="21" t="n"/>
    </row>
    <row r="173">
      <c r="A173" s="22" t="n"/>
      <c r="B173" s="23" t="n"/>
      <c r="C173" s="24" t="n"/>
      <c r="D173" s="21" t="n"/>
      <c r="E173" s="21" t="n"/>
      <c r="F173" s="21" t="n"/>
      <c r="G173" s="21" t="n"/>
      <c r="H173" s="21" t="n"/>
    </row>
    <row r="174">
      <c r="A174" s="22" t="n"/>
      <c r="B174" s="23" t="n"/>
      <c r="C174" s="24" t="n"/>
      <c r="D174" s="21" t="n"/>
      <c r="E174" s="21" t="n"/>
      <c r="F174" s="21" t="n"/>
      <c r="G174" s="21" t="n"/>
      <c r="H174" s="21" t="n"/>
    </row>
    <row r="175">
      <c r="A175" s="22" t="n"/>
      <c r="B175" s="23" t="n"/>
      <c r="C175" s="24" t="n"/>
      <c r="D175" s="21" t="n"/>
      <c r="E175" s="21" t="n"/>
      <c r="F175" s="21" t="n"/>
      <c r="G175" s="21" t="n"/>
      <c r="H175" s="21" t="n"/>
    </row>
    <row r="176">
      <c r="A176" s="22" t="n"/>
      <c r="B176" s="23" t="n"/>
      <c r="C176" s="24" t="n"/>
      <c r="D176" s="21" t="n"/>
      <c r="E176" s="21" t="n"/>
      <c r="F176" s="21" t="n"/>
      <c r="G176" s="21" t="n"/>
      <c r="H176" s="21" t="n"/>
    </row>
    <row r="177">
      <c r="A177" s="22" t="n"/>
      <c r="B177" s="23" t="n"/>
      <c r="C177" s="24" t="n"/>
      <c r="D177" s="21" t="n"/>
      <c r="E177" s="21" t="n"/>
      <c r="F177" s="21" t="n"/>
      <c r="G177" s="21" t="n"/>
      <c r="H177" s="21" t="n"/>
    </row>
    <row r="178">
      <c r="A178" s="22" t="n"/>
      <c r="B178" s="23" t="n"/>
      <c r="C178" s="24" t="n"/>
      <c r="D178" s="21" t="n"/>
      <c r="E178" s="21" t="n"/>
      <c r="F178" s="21" t="n"/>
      <c r="G178" s="21" t="n"/>
      <c r="H178" s="21" t="n"/>
    </row>
    <row r="179">
      <c r="A179" s="22" t="n"/>
      <c r="B179" s="23" t="n"/>
      <c r="C179" s="24" t="n"/>
      <c r="D179" s="21" t="n"/>
      <c r="E179" s="21" t="n"/>
      <c r="F179" s="21" t="n"/>
      <c r="G179" s="21" t="n"/>
      <c r="H179" s="21" t="n"/>
    </row>
    <row r="180">
      <c r="A180" s="22" t="n"/>
      <c r="B180" s="23" t="n"/>
      <c r="C180" s="24" t="n"/>
      <c r="D180" s="21" t="n"/>
      <c r="E180" s="21" t="n"/>
      <c r="F180" s="21" t="n"/>
      <c r="G180" s="21" t="n"/>
      <c r="H180" s="21" t="n"/>
    </row>
    <row r="181">
      <c r="A181" s="22" t="n"/>
      <c r="B181" s="23" t="n"/>
      <c r="C181" s="24" t="n"/>
      <c r="D181" s="21" t="n"/>
      <c r="E181" s="21" t="n"/>
      <c r="F181" s="21" t="n"/>
      <c r="G181" s="21" t="n"/>
      <c r="H181" s="21" t="n"/>
    </row>
    <row r="182">
      <c r="A182" s="22" t="n"/>
      <c r="B182" s="23" t="n"/>
      <c r="C182" s="24" t="n"/>
      <c r="D182" s="21" t="n"/>
      <c r="E182" s="21" t="n"/>
      <c r="F182" s="21" t="n"/>
      <c r="G182" s="21" t="n"/>
      <c r="H182" s="21" t="n"/>
    </row>
    <row r="183">
      <c r="A183" s="22" t="n"/>
      <c r="B183" s="23" t="n"/>
      <c r="C183" s="24" t="n"/>
      <c r="D183" s="21" t="n"/>
      <c r="E183" s="21" t="n"/>
      <c r="F183" s="21" t="n"/>
      <c r="G183" s="21" t="n"/>
      <c r="H183" s="21" t="n"/>
    </row>
    <row r="184">
      <c r="A184" s="22" t="n"/>
      <c r="B184" s="23" t="n"/>
      <c r="C184" s="24" t="n"/>
      <c r="D184" s="21" t="n"/>
      <c r="E184" s="21" t="n"/>
      <c r="F184" s="21" t="n"/>
      <c r="G184" s="21" t="n"/>
      <c r="H184" s="21" t="n"/>
    </row>
    <row r="185">
      <c r="A185" s="22" t="n"/>
      <c r="B185" s="23" t="n"/>
      <c r="C185" s="24" t="n"/>
      <c r="D185" s="21" t="n"/>
      <c r="E185" s="21" t="n"/>
      <c r="F185" s="21" t="n"/>
      <c r="G185" s="21" t="n"/>
      <c r="H185" s="21" t="n"/>
    </row>
    <row r="186">
      <c r="A186" s="22" t="n"/>
      <c r="B186" s="23" t="n"/>
      <c r="C186" s="24" t="n"/>
      <c r="D186" s="21" t="n"/>
      <c r="E186" s="21" t="n"/>
      <c r="F186" s="21" t="n"/>
      <c r="G186" s="21" t="n"/>
      <c r="H186" s="21" t="n"/>
    </row>
    <row r="187">
      <c r="A187" s="22" t="n"/>
      <c r="B187" s="23" t="n"/>
      <c r="C187" s="24" t="n"/>
      <c r="D187" s="21" t="n"/>
      <c r="E187" s="21" t="n"/>
      <c r="F187" s="21" t="n"/>
      <c r="G187" s="21" t="n"/>
      <c r="H187" s="21" t="n"/>
    </row>
    <row r="188">
      <c r="A188" s="22" t="n"/>
      <c r="B188" s="23" t="n"/>
      <c r="C188" s="24" t="n"/>
      <c r="D188" s="21" t="n"/>
      <c r="E188" s="21" t="n"/>
      <c r="F188" s="21" t="n"/>
      <c r="G188" s="21" t="n"/>
      <c r="H188" s="21" t="n"/>
    </row>
    <row r="189">
      <c r="A189" s="22" t="n"/>
      <c r="B189" s="23" t="n"/>
      <c r="C189" s="24" t="n"/>
      <c r="D189" s="21" t="n"/>
      <c r="E189" s="21" t="n"/>
      <c r="F189" s="21" t="n"/>
      <c r="G189" s="21" t="n"/>
      <c r="H189" s="21" t="n"/>
    </row>
    <row r="190">
      <c r="A190" s="22" t="n"/>
      <c r="B190" s="23" t="n"/>
      <c r="C190" s="24" t="n"/>
      <c r="D190" s="21" t="n"/>
      <c r="E190" s="21" t="n"/>
      <c r="F190" s="21" t="n"/>
      <c r="G190" s="21" t="n"/>
      <c r="H190" s="21" t="n"/>
    </row>
    <row r="191">
      <c r="A191" s="22" t="n"/>
      <c r="B191" s="23" t="n"/>
      <c r="C191" s="24" t="n"/>
      <c r="D191" s="21" t="n"/>
      <c r="E191" s="21" t="n"/>
      <c r="F191" s="21" t="n"/>
      <c r="G191" s="21" t="n"/>
      <c r="H191" s="21" t="n"/>
    </row>
    <row r="192">
      <c r="A192" s="22" t="n"/>
      <c r="B192" s="23" t="n"/>
      <c r="C192" s="24" t="n"/>
      <c r="D192" s="21" t="n"/>
      <c r="E192" s="21" t="n"/>
      <c r="F192" s="21" t="n"/>
      <c r="G192" s="21" t="n"/>
      <c r="H192" s="21" t="n"/>
    </row>
    <row r="193">
      <c r="A193" s="22" t="n"/>
      <c r="B193" s="23" t="n"/>
      <c r="C193" s="24" t="n"/>
      <c r="D193" s="21" t="n"/>
      <c r="E193" s="21" t="n"/>
      <c r="F193" s="21" t="n"/>
      <c r="G193" s="21" t="n"/>
      <c r="H193" s="21" t="n"/>
    </row>
    <row r="194">
      <c r="A194" s="22" t="n"/>
      <c r="B194" s="23" t="n"/>
      <c r="C194" s="24" t="n"/>
      <c r="D194" s="21" t="n"/>
      <c r="E194" s="21" t="n"/>
      <c r="F194" s="21" t="n"/>
      <c r="G194" s="21" t="n"/>
      <c r="H194" s="21" t="n"/>
    </row>
    <row r="195">
      <c r="A195" s="22" t="n"/>
      <c r="B195" s="23" t="n"/>
      <c r="C195" s="24" t="n"/>
      <c r="D195" s="21" t="n"/>
      <c r="E195" s="21" t="n"/>
      <c r="F195" s="21" t="n"/>
      <c r="G195" s="21" t="n"/>
      <c r="H195" s="21" t="n"/>
    </row>
    <row r="196">
      <c r="A196" s="22" t="n"/>
      <c r="B196" s="23" t="n"/>
      <c r="C196" s="24" t="n"/>
      <c r="D196" s="21" t="n"/>
      <c r="E196" s="21" t="n"/>
      <c r="F196" s="21" t="n"/>
      <c r="G196" s="21" t="n"/>
      <c r="H196" s="21" t="n"/>
    </row>
    <row r="197">
      <c r="A197" s="22" t="n"/>
      <c r="B197" s="23" t="n"/>
      <c r="C197" s="24" t="n"/>
      <c r="D197" s="21" t="n"/>
      <c r="E197" s="21" t="n"/>
      <c r="F197" s="21" t="n"/>
      <c r="G197" s="21" t="n"/>
      <c r="H197" s="21" t="n"/>
    </row>
    <row r="198">
      <c r="A198" s="22" t="n"/>
      <c r="B198" s="23" t="n"/>
      <c r="C198" s="24" t="n"/>
      <c r="D198" s="21" t="n"/>
      <c r="E198" s="21" t="n"/>
      <c r="F198" s="21" t="n"/>
      <c r="G198" s="21" t="n"/>
      <c r="H198" s="21" t="n"/>
    </row>
    <row r="199">
      <c r="A199" s="22" t="n"/>
      <c r="B199" s="23" t="n"/>
      <c r="C199" s="24" t="n"/>
      <c r="D199" s="21" t="n"/>
      <c r="E199" s="21" t="n"/>
      <c r="F199" s="21" t="n"/>
      <c r="G199" s="21" t="n"/>
      <c r="H199" s="21" t="n"/>
    </row>
    <row r="200">
      <c r="A200" s="22" t="n"/>
      <c r="B200" s="23" t="n"/>
      <c r="C200" s="24" t="n"/>
      <c r="D200" s="21" t="n"/>
      <c r="E200" s="21" t="n"/>
      <c r="F200" s="21" t="n"/>
      <c r="G200" s="21" t="n"/>
      <c r="H200" s="21" t="n"/>
    </row>
    <row r="201">
      <c r="A201" s="22" t="n"/>
      <c r="B201" s="23" t="n"/>
      <c r="C201" s="24" t="n"/>
      <c r="D201" s="21" t="n"/>
      <c r="E201" s="21" t="n"/>
      <c r="F201" s="21" t="n"/>
      <c r="G201" s="21" t="n"/>
      <c r="H201" s="21" t="n"/>
    </row>
    <row r="202">
      <c r="A202" s="22" t="n"/>
      <c r="B202" s="23" t="n"/>
      <c r="C202" s="24" t="n"/>
      <c r="D202" s="21" t="n"/>
      <c r="E202" s="21" t="n"/>
      <c r="F202" s="21" t="n"/>
      <c r="G202" s="21" t="n"/>
      <c r="H202" s="21" t="n"/>
    </row>
    <row r="203">
      <c r="A203" s="22" t="n"/>
      <c r="B203" s="23" t="n"/>
      <c r="C203" s="24" t="n"/>
      <c r="D203" s="21" t="n"/>
      <c r="E203" s="21" t="n"/>
      <c r="F203" s="21" t="n"/>
      <c r="G203" s="21" t="n"/>
      <c r="H203" s="21" t="n"/>
    </row>
    <row r="204">
      <c r="A204" s="22" t="n"/>
      <c r="B204" s="23" t="n"/>
      <c r="C204" s="24" t="n"/>
      <c r="D204" s="21" t="n"/>
      <c r="E204" s="21" t="n"/>
      <c r="F204" s="21" t="n"/>
      <c r="G204" s="21" t="n"/>
      <c r="H204" s="21" t="n"/>
    </row>
  </sheetData>
  <autoFilter ref="A4:H204"/>
  <mergeCells count="1">
    <mergeCell ref="A2:H3"/>
  </mergeCells>
  <dataValidations count="1">
    <dataValidation sqref="D5:E204" showDropDown="0" showInputMessage="0" showErrorMessage="0" allowBlank="1" errorTitle="Overflow / Pumped" error="Enter Y or N" type="list">
      <formula1>"Y,N"</formula1>
    </dataValidation>
  </dataValidation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tabColor rgb="001D5673"/>
    <outlinePr summaryBelow="1" summaryRight="1"/>
    <pageSetUpPr fitToPage="1"/>
  </sheetPr>
  <dimension ref="A1:T2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1" customWidth="1" min="4" max="4"/>
    <col width="10" customWidth="1" min="5" max="5"/>
    <col width="9" customWidth="1" min="6" max="6"/>
    <col width="9" customWidth="1" min="7" max="7"/>
    <col width="11" customWidth="1" min="8" max="8"/>
    <col width="11" customWidth="1" min="9" max="9"/>
    <col width="10" customWidth="1" min="10" max="10"/>
    <col width="11" customWidth="1" min="11" max="11"/>
    <col width="10" customWidth="1" min="12" max="12"/>
    <col width="13" customWidth="1" min="13" max="13"/>
    <col width="18" customWidth="1" min="14" max="14"/>
    <col width="11" customWidth="1" min="15" max="15"/>
    <col width="12" customWidth="1" min="16" max="16"/>
    <col width="24" customWidth="1" min="18" max="18"/>
    <col width="14" customWidth="1" min="19" max="19"/>
    <col width="26" customWidth="1" min="20" max="20"/>
  </cols>
  <sheetData>
    <row r="1">
      <c r="A1" s="1" t="inlineStr">
        <is>
          <t>Daily water balance — CALCULATED (do not type here)</t>
        </is>
      </c>
      <c r="R1" t="inlineStr">
        <is>
          <t>MeanMDWIR_mm_d</t>
        </is>
      </c>
      <c r="S1" s="25">
        <f>IFERROR(AVERAGEIF(L5:L204,1,M5:M204),0)</f>
        <v/>
      </c>
    </row>
    <row r="2">
      <c r="A2" s="2" t="inlineStr">
        <is>
          <t>h_prev is previous row stage. DryDay = 1 only if rain=0, overflow=N, pumped=N, and stage fell. MDWIR_mm_d is computed on dry days. InfiltrationUsed_m3 uses the dry-day value on dry days and MeanMDWIR × Aavg on other ponded days (Dashora shortcut).</t>
        </is>
      </c>
      <c r="R2" t="inlineStr">
        <is>
          <t>I1 sum infiltration m3</t>
        </is>
      </c>
      <c r="S2" s="18">
        <f>SUM(N5:N204)</f>
        <v/>
      </c>
    </row>
    <row r="3">
      <c r="R3" t="inlineStr">
        <is>
          <t>Days ponded</t>
        </is>
      </c>
      <c r="S3" s="19">
        <f>COUNTIF(C5:C204,"&gt;0")</f>
        <v/>
      </c>
    </row>
    <row r="4" ht="28" customHeight="1">
      <c r="A4" s="4" t="inlineStr">
        <is>
          <t>Date</t>
        </is>
      </c>
      <c r="B4" s="4" t="inlineStr">
        <is>
          <t>Rain_mm</t>
        </is>
      </c>
      <c r="C4" s="4" t="inlineStr">
        <is>
          <t>h_m</t>
        </is>
      </c>
      <c r="D4" s="4" t="inlineStr">
        <is>
          <t>Overflow</t>
        </is>
      </c>
      <c r="E4" s="4" t="inlineStr">
        <is>
          <t>Pumped</t>
        </is>
      </c>
      <c r="F4" s="4" t="inlineStr">
        <is>
          <t>Month</t>
        </is>
      </c>
      <c r="G4" s="4" t="inlineStr">
        <is>
          <t>E_mm</t>
        </is>
      </c>
      <c r="H4" s="4" t="inlineStr">
        <is>
          <t>A_m2</t>
        </is>
      </c>
      <c r="I4" s="4" t="inlineStr">
        <is>
          <t>V_m3</t>
        </is>
      </c>
      <c r="J4" s="4" t="inlineStr">
        <is>
          <t>h_prev</t>
        </is>
      </c>
      <c r="K4" s="4" t="inlineStr">
        <is>
          <t>Aavg_m2</t>
        </is>
      </c>
      <c r="L4" s="4" t="inlineStr">
        <is>
          <t>DryDay</t>
        </is>
      </c>
      <c r="M4" s="4" t="inlineStr">
        <is>
          <t>MDWIR_mm_d</t>
        </is>
      </c>
      <c r="N4" s="4" t="inlineStr">
        <is>
          <t>InfiltrationUsed_m3</t>
        </is>
      </c>
      <c r="O4" s="4" t="inlineStr">
        <is>
          <t>Evap_m3</t>
        </is>
      </c>
      <c r="P4" s="4" t="inlineStr">
        <is>
          <t>Flag</t>
        </is>
      </c>
      <c r="R4" t="inlineStr">
        <is>
          <t>Dry days used</t>
        </is>
      </c>
      <c r="S4" s="19">
        <f>SUM(L5:L204)</f>
        <v/>
      </c>
    </row>
    <row r="5">
      <c r="A5" s="26">
        <f>IF(DailyPond!A5="","",DailyPond!A5)</f>
        <v/>
      </c>
      <c r="B5" s="18">
        <f>IF(A5="","",DailyPond!B5)</f>
        <v/>
      </c>
      <c r="C5" s="25">
        <f>IF(A5="","",DailyPond!C5)</f>
        <v/>
      </c>
      <c r="D5" s="27">
        <f>IF(A5="","",DailyPond!D5)</f>
        <v/>
      </c>
      <c r="E5" s="27">
        <f>IF(A5="","",DailyPond!E5)</f>
        <v/>
      </c>
      <c r="F5" s="19">
        <f>IF(A5="","",MONTH(A5))</f>
        <v/>
      </c>
      <c r="G5" s="18">
        <f>IF(A5="","",VLOOKUP(F5,Evaporation!$A$6:$B$17,2,FALSE))</f>
        <v/>
      </c>
      <c r="H5" s="19">
        <f>IF(A5="","",IF(C5="","",IF(C5&lt;=INDEX(StageAreaVolume!$A$6:$A$17,1),INDEX(StageAreaVolume!$B$6:$B$17,1),IF(C5&gt;=INDEX(StageAreaVolume!$A$6:$A$17,COUNTA(StageAreaVolume!$A$6:$A$17)),INDEX(StageAreaVolume!$B$6:$B$17,COUNTA(StageAreaVolume!$A$6:$A$17)),(INDEX(StageAreaVolume!$B$6:$B$17,MATCH(C5,StageAreaVolume!$A$6:$A$17,1))+(C5-INDEX(StageAreaVolume!$A$6:$A$17,MATCH(C5,StageAreaVolume!$A$6:$A$17,1)))/(INDEX(StageAreaVolume!$A$6:$A$17,MATCH(C5,StageAreaVolume!$A$6:$A$17,1)+1)-INDEX(StageAreaVolume!$A$6:$A$17,MATCH(C5,StageAreaVolume!$A$6:$A$17,1)))*(INDEX(StageAreaVolume!$B$6:$B$17,MATCH(C5,StageAreaVolume!$A$6:$A$17,1)+1)-INDEX(StageAreaVolume!$B$6:$B$17,MATCH(C5,StageAreaVolume!$A$6:$A$17,1)))))))))</f>
        <v/>
      </c>
      <c r="I5" s="18">
        <f>IF(A5="","",IF(C5="","",IF(C5&lt;=INDEX(StageAreaVolume!$A$6:$A$17,1),INDEX(StageAreaVolume!$D$6:$D$17,1),IF(C5&gt;=INDEX(StageAreaVolume!$A$6:$A$17,COUNTA(StageAreaVolume!$A$6:$A$17)),INDEX(StageAreaVolume!$D$6:$D$17,COUNTA(StageAreaVolume!$A$6:$A$17)),(INDEX(StageAreaVolume!$D$6:$D$17,MATCH(C5,StageAreaVolume!$A$6:$A$17,1))+(C5-INDEX(StageAreaVolume!$A$6:$A$17,MATCH(C5,StageAreaVolume!$A$6:$A$17,1)))/(INDEX(StageAreaVolume!$A$6:$A$17,MATCH(C5,StageAreaVolume!$A$6:$A$17,1)+1)-INDEX(StageAreaVolume!$A$6:$A$17,MATCH(C5,StageAreaVolume!$A$6:$A$17,1)))*(INDEX(StageAreaVolume!$D$6:$D$17,MATCH(C5,StageAreaVolume!$A$6:$A$17,1)+1)-INDEX(StageAreaVolume!$D$6:$D$17,MATCH(C5,StageAreaVolume!$A$6:$A$17,1)))))))))</f>
        <v/>
      </c>
      <c r="J5" s="27">
        <f>IF(A5="","",NA())</f>
        <v/>
      </c>
      <c r="K5" s="19">
        <f>IF(A5="","",H5)</f>
        <v/>
      </c>
      <c r="L5" s="19" t="n">
        <v>0</v>
      </c>
      <c r="M5" s="27">
        <f>""</f>
        <v/>
      </c>
      <c r="N5" s="18" t="n">
        <v>0</v>
      </c>
      <c r="O5" s="18" t="n">
        <v>0</v>
      </c>
      <c r="P5" s="27">
        <f>"first"</f>
        <v/>
      </c>
    </row>
    <row r="6">
      <c r="A6" s="26">
        <f>IF(DailyPond!A6="","",DailyPond!A6)</f>
        <v/>
      </c>
      <c r="B6" s="18">
        <f>IF(A6="","",DailyPond!B6)</f>
        <v/>
      </c>
      <c r="C6" s="25">
        <f>IF(A6="","",DailyPond!C6)</f>
        <v/>
      </c>
      <c r="D6" s="27">
        <f>IF(A6="","",DailyPond!D6)</f>
        <v/>
      </c>
      <c r="E6" s="27">
        <f>IF(A6="","",DailyPond!E6)</f>
        <v/>
      </c>
      <c r="F6" s="19">
        <f>IF(A6="","",MONTH(A6))</f>
        <v/>
      </c>
      <c r="G6" s="18">
        <f>IF(A6="","",VLOOKUP(F6,Evaporation!$A$6:$B$17,2,FALSE))</f>
        <v/>
      </c>
      <c r="H6" s="19">
        <f>IF(A6="","",IF(C6="","",IF(C6&lt;=INDEX(StageAreaVolume!$A$6:$A$17,1),INDEX(StageAreaVolume!$B$6:$B$17,1),IF(C6&gt;=INDEX(StageAreaVolume!$A$6:$A$17,COUNTA(StageAreaVolume!$A$6:$A$17)),INDEX(StageAreaVolume!$B$6:$B$17,COUNTA(StageAreaVolume!$A$6:$A$17)),(INDEX(StageAreaVolume!$B$6:$B$17,MATCH(C6,StageAreaVolume!$A$6:$A$17,1))+(C6-INDEX(StageAreaVolume!$A$6:$A$17,MATCH(C6,StageAreaVolume!$A$6:$A$17,1)))/(INDEX(StageAreaVolume!$A$6:$A$17,MATCH(C6,StageAreaVolume!$A$6:$A$17,1)+1)-INDEX(StageAreaVolume!$A$6:$A$17,MATCH(C6,StageAreaVolume!$A$6:$A$17,1)))*(INDEX(StageAreaVolume!$B$6:$B$17,MATCH(C6,StageAreaVolume!$A$6:$A$17,1)+1)-INDEX(StageAreaVolume!$B$6:$B$17,MATCH(C6,StageAreaVolume!$A$6:$A$17,1)))))))))</f>
        <v/>
      </c>
      <c r="I6" s="18">
        <f>IF(A6="","",IF(C6="","",IF(C6&lt;=INDEX(StageAreaVolume!$A$6:$A$17,1),INDEX(StageAreaVolume!$D$6:$D$17,1),IF(C6&gt;=INDEX(StageAreaVolume!$A$6:$A$17,COUNTA(StageAreaVolume!$A$6:$A$17)),INDEX(StageAreaVolume!$D$6:$D$17,COUNTA(StageAreaVolume!$A$6:$A$17)),(INDEX(StageAreaVolume!$D$6:$D$17,MATCH(C6,StageAreaVolume!$A$6:$A$17,1))+(C6-INDEX(StageAreaVolume!$A$6:$A$17,MATCH(C6,StageAreaVolume!$A$6:$A$17,1)))/(INDEX(StageAreaVolume!$A$6:$A$17,MATCH(C6,StageAreaVolume!$A$6:$A$17,1)+1)-INDEX(StageAreaVolume!$A$6:$A$17,MATCH(C6,StageAreaVolume!$A$6:$A$17,1)))*(INDEX(StageAreaVolume!$D$6:$D$17,MATCH(C6,StageAreaVolume!$A$6:$A$17,1)+1)-INDEX(StageAreaVolume!$D$6:$D$17,MATCH(C6,StageAreaVolume!$A$6:$A$17,1)))))))))</f>
        <v/>
      </c>
      <c r="J6" s="25">
        <f>IF(A6="","",IF(A5="",NA(),C5))</f>
        <v/>
      </c>
      <c r="K6" s="19">
        <f>IF(OR(A6="",ISNA(J6)),IF(A6="","",H6),(H5+H6)/2)</f>
        <v/>
      </c>
      <c r="L6" s="19">
        <f>IF(OR(A6="",ISNA(J6)),0,IF(AND(B6=0,D6="N",E6="N",C6&lt;J6,C6&gt;0),1,0))</f>
        <v/>
      </c>
      <c r="M6" s="25">
        <f>IF(L6&lt;&gt;1,"",IF(K6&lt;=0,"",(I5-I6-G6/1000*K6)/K6*1000))</f>
        <v/>
      </c>
      <c r="N6" s="18">
        <f>IF(A6="","",IF(L6=1,I5-I6-O6,IF(OR(C6&gt;0,N(J6)&gt;0),MeanMDWIR/1000*K6,0)))</f>
        <v/>
      </c>
      <c r="O6" s="18">
        <f>IF(A6="","",G6/1000*K6)</f>
        <v/>
      </c>
      <c r="P6" s="27">
        <f>IF(A6="","",IF(L6=1,"dry",IF(D6="Y","spill",IF(B6&gt;0,"wet",IF(E6="Y","pumped","other")))))</f>
        <v/>
      </c>
      <c r="R6" t="inlineStr">
        <is>
          <t>Python check (example)</t>
        </is>
      </c>
      <c r="S6" s="28" t="n">
        <v>48.21522767955886</v>
      </c>
      <c r="T6" t="inlineStr">
        <is>
          <t>Expected mean MDWIR mm/d</t>
        </is>
      </c>
    </row>
    <row r="7">
      <c r="A7" s="26">
        <f>IF(DailyPond!A7="","",DailyPond!A7)</f>
        <v/>
      </c>
      <c r="B7" s="18">
        <f>IF(A7="","",DailyPond!B7)</f>
        <v/>
      </c>
      <c r="C7" s="25">
        <f>IF(A7="","",DailyPond!C7)</f>
        <v/>
      </c>
      <c r="D7" s="27">
        <f>IF(A7="","",DailyPond!D7)</f>
        <v/>
      </c>
      <c r="E7" s="27">
        <f>IF(A7="","",DailyPond!E7)</f>
        <v/>
      </c>
      <c r="F7" s="19">
        <f>IF(A7="","",MONTH(A7))</f>
        <v/>
      </c>
      <c r="G7" s="18">
        <f>IF(A7="","",VLOOKUP(F7,Evaporation!$A$6:$B$17,2,FALSE))</f>
        <v/>
      </c>
      <c r="H7" s="19">
        <f>IF(A7="","",IF(C7="","",IF(C7&lt;=INDEX(StageAreaVolume!$A$6:$A$17,1),INDEX(StageAreaVolume!$B$6:$B$17,1),IF(C7&gt;=INDEX(StageAreaVolume!$A$6:$A$17,COUNTA(StageAreaVolume!$A$6:$A$17)),INDEX(StageAreaVolume!$B$6:$B$17,COUNTA(StageAreaVolume!$A$6:$A$17)),(INDEX(StageAreaVolume!$B$6:$B$17,MATCH(C7,StageAreaVolume!$A$6:$A$17,1))+(C7-INDEX(StageAreaVolume!$A$6:$A$17,MATCH(C7,StageAreaVolume!$A$6:$A$17,1)))/(INDEX(StageAreaVolume!$A$6:$A$17,MATCH(C7,StageAreaVolume!$A$6:$A$17,1)+1)-INDEX(StageAreaVolume!$A$6:$A$17,MATCH(C7,StageAreaVolume!$A$6:$A$17,1)))*(INDEX(StageAreaVolume!$B$6:$B$17,MATCH(C7,StageAreaVolume!$A$6:$A$17,1)+1)-INDEX(StageAreaVolume!$B$6:$B$17,MATCH(C7,StageAreaVolume!$A$6:$A$17,1)))))))))</f>
        <v/>
      </c>
      <c r="I7" s="18">
        <f>IF(A7="","",IF(C7="","",IF(C7&lt;=INDEX(StageAreaVolume!$A$6:$A$17,1),INDEX(StageAreaVolume!$D$6:$D$17,1),IF(C7&gt;=INDEX(StageAreaVolume!$A$6:$A$17,COUNTA(StageAreaVolume!$A$6:$A$17)),INDEX(StageAreaVolume!$D$6:$D$17,COUNTA(StageAreaVolume!$A$6:$A$17)),(INDEX(StageAreaVolume!$D$6:$D$17,MATCH(C7,StageAreaVolume!$A$6:$A$17,1))+(C7-INDEX(StageAreaVolume!$A$6:$A$17,MATCH(C7,StageAreaVolume!$A$6:$A$17,1)))/(INDEX(StageAreaVolume!$A$6:$A$17,MATCH(C7,StageAreaVolume!$A$6:$A$17,1)+1)-INDEX(StageAreaVolume!$A$6:$A$17,MATCH(C7,StageAreaVolume!$A$6:$A$17,1)))*(INDEX(StageAreaVolume!$D$6:$D$17,MATCH(C7,StageAreaVolume!$A$6:$A$17,1)+1)-INDEX(StageAreaVolume!$D$6:$D$17,MATCH(C7,StageAreaVolume!$A$6:$A$17,1)))))))))</f>
        <v/>
      </c>
      <c r="J7" s="25">
        <f>IF(A7="","",IF(A6="",NA(),C6))</f>
        <v/>
      </c>
      <c r="K7" s="19">
        <f>IF(OR(A7="",ISNA(J7)),IF(A7="","",H7),(H6+H7)/2)</f>
        <v/>
      </c>
      <c r="L7" s="19">
        <f>IF(OR(A7="",ISNA(J7)),0,IF(AND(B7=0,D7="N",E7="N",C7&lt;J7,C7&gt;0),1,0))</f>
        <v/>
      </c>
      <c r="M7" s="25">
        <f>IF(L7&lt;&gt;1,"",IF(K7&lt;=0,"",(I6-I7-G7/1000*K7)/K7*1000))</f>
        <v/>
      </c>
      <c r="N7" s="18">
        <f>IF(A7="","",IF(L7=1,I6-I7-O7,IF(OR(C7&gt;0,N(J7)&gt;0),MeanMDWIR/1000*K7,0)))</f>
        <v/>
      </c>
      <c r="O7" s="18">
        <f>IF(A7="","",G7/1000*K7)</f>
        <v/>
      </c>
      <c r="P7" s="27">
        <f>IF(A7="","",IF(L7=1,"dry",IF(D7="Y","spill",IF(B7&gt;0,"wet",IF(E7="Y","pumped","other")))))</f>
        <v/>
      </c>
      <c r="R7" t="inlineStr">
        <is>
          <t>Python I1 m3</t>
        </is>
      </c>
      <c r="S7" s="29" t="n">
        <v>6365.418698335041</v>
      </c>
    </row>
    <row r="8">
      <c r="A8" s="26">
        <f>IF(DailyPond!A8="","",DailyPond!A8)</f>
        <v/>
      </c>
      <c r="B8" s="18">
        <f>IF(A8="","",DailyPond!B8)</f>
        <v/>
      </c>
      <c r="C8" s="25">
        <f>IF(A8="","",DailyPond!C8)</f>
        <v/>
      </c>
      <c r="D8" s="27">
        <f>IF(A8="","",DailyPond!D8)</f>
        <v/>
      </c>
      <c r="E8" s="27">
        <f>IF(A8="","",DailyPond!E8)</f>
        <v/>
      </c>
      <c r="F8" s="19">
        <f>IF(A8="","",MONTH(A8))</f>
        <v/>
      </c>
      <c r="G8" s="18">
        <f>IF(A8="","",VLOOKUP(F8,Evaporation!$A$6:$B$17,2,FALSE))</f>
        <v/>
      </c>
      <c r="H8" s="19">
        <f>IF(A8="","",IF(C8="","",IF(C8&lt;=INDEX(StageAreaVolume!$A$6:$A$17,1),INDEX(StageAreaVolume!$B$6:$B$17,1),IF(C8&gt;=INDEX(StageAreaVolume!$A$6:$A$17,COUNTA(StageAreaVolume!$A$6:$A$17)),INDEX(StageAreaVolume!$B$6:$B$17,COUNTA(StageAreaVolume!$A$6:$A$17)),(INDEX(StageAreaVolume!$B$6:$B$17,MATCH(C8,StageAreaVolume!$A$6:$A$17,1))+(C8-INDEX(StageAreaVolume!$A$6:$A$17,MATCH(C8,StageAreaVolume!$A$6:$A$17,1)))/(INDEX(StageAreaVolume!$A$6:$A$17,MATCH(C8,StageAreaVolume!$A$6:$A$17,1)+1)-INDEX(StageAreaVolume!$A$6:$A$17,MATCH(C8,StageAreaVolume!$A$6:$A$17,1)))*(INDEX(StageAreaVolume!$B$6:$B$17,MATCH(C8,StageAreaVolume!$A$6:$A$17,1)+1)-INDEX(StageAreaVolume!$B$6:$B$17,MATCH(C8,StageAreaVolume!$A$6:$A$17,1)))))))))</f>
        <v/>
      </c>
      <c r="I8" s="18">
        <f>IF(A8="","",IF(C8="","",IF(C8&lt;=INDEX(StageAreaVolume!$A$6:$A$17,1),INDEX(StageAreaVolume!$D$6:$D$17,1),IF(C8&gt;=INDEX(StageAreaVolume!$A$6:$A$17,COUNTA(StageAreaVolume!$A$6:$A$17)),INDEX(StageAreaVolume!$D$6:$D$17,COUNTA(StageAreaVolume!$A$6:$A$17)),(INDEX(StageAreaVolume!$D$6:$D$17,MATCH(C8,StageAreaVolume!$A$6:$A$17,1))+(C8-INDEX(StageAreaVolume!$A$6:$A$17,MATCH(C8,StageAreaVolume!$A$6:$A$17,1)))/(INDEX(StageAreaVolume!$A$6:$A$17,MATCH(C8,StageAreaVolume!$A$6:$A$17,1)+1)-INDEX(StageAreaVolume!$A$6:$A$17,MATCH(C8,StageAreaVolume!$A$6:$A$17,1)))*(INDEX(StageAreaVolume!$D$6:$D$17,MATCH(C8,StageAreaVolume!$A$6:$A$17,1)+1)-INDEX(StageAreaVolume!$D$6:$D$17,MATCH(C8,StageAreaVolume!$A$6:$A$17,1)))))))))</f>
        <v/>
      </c>
      <c r="J8" s="25">
        <f>IF(A8="","",IF(A7="",NA(),C7))</f>
        <v/>
      </c>
      <c r="K8" s="19">
        <f>IF(OR(A8="",ISNA(J8)),IF(A8="","",H8),(H7+H8)/2)</f>
        <v/>
      </c>
      <c r="L8" s="19">
        <f>IF(OR(A8="",ISNA(J8)),0,IF(AND(B8=0,D8="N",E8="N",C8&lt;J8,C8&gt;0),1,0))</f>
        <v/>
      </c>
      <c r="M8" s="25">
        <f>IF(L8&lt;&gt;1,"",IF(K8&lt;=0,"",(I7-I8-G8/1000*K8)/K8*1000))</f>
        <v/>
      </c>
      <c r="N8" s="18">
        <f>IF(A8="","",IF(L8=1,I7-I8-O8,IF(OR(C8&gt;0,N(J8)&gt;0),MeanMDWIR/1000*K8,0)))</f>
        <v/>
      </c>
      <c r="O8" s="18">
        <f>IF(A8="","",G8/1000*K8)</f>
        <v/>
      </c>
      <c r="P8" s="27">
        <f>IF(A8="","",IF(L8=1,"dry",IF(D8="Y","spill",IF(B8&gt;0,"wet",IF(E8="Y","pumped","other")))))</f>
        <v/>
      </c>
      <c r="R8" t="inlineStr">
        <is>
          <t xml:space="preserve">Difference I1 % </t>
        </is>
      </c>
      <c r="S8" s="30">
        <f>IF(S7=0,"", (S2-S7)/S7)</f>
        <v/>
      </c>
    </row>
    <row r="9">
      <c r="A9" s="26">
        <f>IF(DailyPond!A9="","",DailyPond!A9)</f>
        <v/>
      </c>
      <c r="B9" s="18">
        <f>IF(A9="","",DailyPond!B9)</f>
        <v/>
      </c>
      <c r="C9" s="25">
        <f>IF(A9="","",DailyPond!C9)</f>
        <v/>
      </c>
      <c r="D9" s="27">
        <f>IF(A9="","",DailyPond!D9)</f>
        <v/>
      </c>
      <c r="E9" s="27">
        <f>IF(A9="","",DailyPond!E9)</f>
        <v/>
      </c>
      <c r="F9" s="19">
        <f>IF(A9="","",MONTH(A9))</f>
        <v/>
      </c>
      <c r="G9" s="18">
        <f>IF(A9="","",VLOOKUP(F9,Evaporation!$A$6:$B$17,2,FALSE))</f>
        <v/>
      </c>
      <c r="H9" s="19">
        <f>IF(A9="","",IF(C9="","",IF(C9&lt;=INDEX(StageAreaVolume!$A$6:$A$17,1),INDEX(StageAreaVolume!$B$6:$B$17,1),IF(C9&gt;=INDEX(StageAreaVolume!$A$6:$A$17,COUNTA(StageAreaVolume!$A$6:$A$17)),INDEX(StageAreaVolume!$B$6:$B$17,COUNTA(StageAreaVolume!$A$6:$A$17)),(INDEX(StageAreaVolume!$B$6:$B$17,MATCH(C9,StageAreaVolume!$A$6:$A$17,1))+(C9-INDEX(StageAreaVolume!$A$6:$A$17,MATCH(C9,StageAreaVolume!$A$6:$A$17,1)))/(INDEX(StageAreaVolume!$A$6:$A$17,MATCH(C9,StageAreaVolume!$A$6:$A$17,1)+1)-INDEX(StageAreaVolume!$A$6:$A$17,MATCH(C9,StageAreaVolume!$A$6:$A$17,1)))*(INDEX(StageAreaVolume!$B$6:$B$17,MATCH(C9,StageAreaVolume!$A$6:$A$17,1)+1)-INDEX(StageAreaVolume!$B$6:$B$17,MATCH(C9,StageAreaVolume!$A$6:$A$17,1)))))))))</f>
        <v/>
      </c>
      <c r="I9" s="18">
        <f>IF(A9="","",IF(C9="","",IF(C9&lt;=INDEX(StageAreaVolume!$A$6:$A$17,1),INDEX(StageAreaVolume!$D$6:$D$17,1),IF(C9&gt;=INDEX(StageAreaVolume!$A$6:$A$17,COUNTA(StageAreaVolume!$A$6:$A$17)),INDEX(StageAreaVolume!$D$6:$D$17,COUNTA(StageAreaVolume!$A$6:$A$17)),(INDEX(StageAreaVolume!$D$6:$D$17,MATCH(C9,StageAreaVolume!$A$6:$A$17,1))+(C9-INDEX(StageAreaVolume!$A$6:$A$17,MATCH(C9,StageAreaVolume!$A$6:$A$17,1)))/(INDEX(StageAreaVolume!$A$6:$A$17,MATCH(C9,StageAreaVolume!$A$6:$A$17,1)+1)-INDEX(StageAreaVolume!$A$6:$A$17,MATCH(C9,StageAreaVolume!$A$6:$A$17,1)))*(INDEX(StageAreaVolume!$D$6:$D$17,MATCH(C9,StageAreaVolume!$A$6:$A$17,1)+1)-INDEX(StageAreaVolume!$D$6:$D$17,MATCH(C9,StageAreaVolume!$A$6:$A$17,1)))))))))</f>
        <v/>
      </c>
      <c r="J9" s="25">
        <f>IF(A9="","",IF(A8="",NA(),C8))</f>
        <v/>
      </c>
      <c r="K9" s="19">
        <f>IF(OR(A9="",ISNA(J9)),IF(A9="","",H9),(H8+H9)/2)</f>
        <v/>
      </c>
      <c r="L9" s="19">
        <f>IF(OR(A9="",ISNA(J9)),0,IF(AND(B9=0,D9="N",E9="N",C9&lt;J9,C9&gt;0),1,0))</f>
        <v/>
      </c>
      <c r="M9" s="25">
        <f>IF(L9&lt;&gt;1,"",IF(K9&lt;=0,"",(I8-I9-G9/1000*K9)/K9*1000))</f>
        <v/>
      </c>
      <c r="N9" s="18">
        <f>IF(A9="","",IF(L9=1,I8-I9-O9,IF(OR(C9&gt;0,N(J9)&gt;0),MeanMDWIR/1000*K9,0)))</f>
        <v/>
      </c>
      <c r="O9" s="18">
        <f>IF(A9="","",G9/1000*K9)</f>
        <v/>
      </c>
      <c r="P9" s="27">
        <f>IF(A9="","",IF(L9=1,"dry",IF(D9="Y","spill",IF(B9&gt;0,"wet",IF(E9="Y","pumped","other")))))</f>
        <v/>
      </c>
    </row>
    <row r="10">
      <c r="A10" s="26">
        <f>IF(DailyPond!A10="","",DailyPond!A10)</f>
        <v/>
      </c>
      <c r="B10" s="18">
        <f>IF(A10="","",DailyPond!B10)</f>
        <v/>
      </c>
      <c r="C10" s="25">
        <f>IF(A10="","",DailyPond!C10)</f>
        <v/>
      </c>
      <c r="D10" s="27">
        <f>IF(A10="","",DailyPond!D10)</f>
        <v/>
      </c>
      <c r="E10" s="27">
        <f>IF(A10="","",DailyPond!E10)</f>
        <v/>
      </c>
      <c r="F10" s="19">
        <f>IF(A10="","",MONTH(A10))</f>
        <v/>
      </c>
      <c r="G10" s="18">
        <f>IF(A10="","",VLOOKUP(F10,Evaporation!$A$6:$B$17,2,FALSE))</f>
        <v/>
      </c>
      <c r="H10" s="19">
        <f>IF(A10="","",IF(C10="","",IF(C10&lt;=INDEX(StageAreaVolume!$A$6:$A$17,1),INDEX(StageAreaVolume!$B$6:$B$17,1),IF(C10&gt;=INDEX(StageAreaVolume!$A$6:$A$17,COUNTA(StageAreaVolume!$A$6:$A$17)),INDEX(StageAreaVolume!$B$6:$B$17,COUNTA(StageAreaVolume!$A$6:$A$17)),(INDEX(StageAreaVolume!$B$6:$B$17,MATCH(C10,StageAreaVolume!$A$6:$A$17,1))+(C10-INDEX(StageAreaVolume!$A$6:$A$17,MATCH(C10,StageAreaVolume!$A$6:$A$17,1)))/(INDEX(StageAreaVolume!$A$6:$A$17,MATCH(C10,StageAreaVolume!$A$6:$A$17,1)+1)-INDEX(StageAreaVolume!$A$6:$A$17,MATCH(C10,StageAreaVolume!$A$6:$A$17,1)))*(INDEX(StageAreaVolume!$B$6:$B$17,MATCH(C10,StageAreaVolume!$A$6:$A$17,1)+1)-INDEX(StageAreaVolume!$B$6:$B$17,MATCH(C10,StageAreaVolume!$A$6:$A$17,1)))))))))</f>
        <v/>
      </c>
      <c r="I10" s="18">
        <f>IF(A10="","",IF(C10="","",IF(C10&lt;=INDEX(StageAreaVolume!$A$6:$A$17,1),INDEX(StageAreaVolume!$D$6:$D$17,1),IF(C10&gt;=INDEX(StageAreaVolume!$A$6:$A$17,COUNTA(StageAreaVolume!$A$6:$A$17)),INDEX(StageAreaVolume!$D$6:$D$17,COUNTA(StageAreaVolume!$A$6:$A$17)),(INDEX(StageAreaVolume!$D$6:$D$17,MATCH(C10,StageAreaVolume!$A$6:$A$17,1))+(C10-INDEX(StageAreaVolume!$A$6:$A$17,MATCH(C10,StageAreaVolume!$A$6:$A$17,1)))/(INDEX(StageAreaVolume!$A$6:$A$17,MATCH(C10,StageAreaVolume!$A$6:$A$17,1)+1)-INDEX(StageAreaVolume!$A$6:$A$17,MATCH(C10,StageAreaVolume!$A$6:$A$17,1)))*(INDEX(StageAreaVolume!$D$6:$D$17,MATCH(C10,StageAreaVolume!$A$6:$A$17,1)+1)-INDEX(StageAreaVolume!$D$6:$D$17,MATCH(C10,StageAreaVolume!$A$6:$A$17,1)))))))))</f>
        <v/>
      </c>
      <c r="J10" s="25">
        <f>IF(A10="","",IF(A9="",NA(),C9))</f>
        <v/>
      </c>
      <c r="K10" s="19">
        <f>IF(OR(A10="",ISNA(J10)),IF(A10="","",H10),(H9+H10)/2)</f>
        <v/>
      </c>
      <c r="L10" s="19">
        <f>IF(OR(A10="",ISNA(J10)),0,IF(AND(B10=0,D10="N",E10="N",C10&lt;J10,C10&gt;0),1,0))</f>
        <v/>
      </c>
      <c r="M10" s="25">
        <f>IF(L10&lt;&gt;1,"",IF(K10&lt;=0,"",(I9-I10-G10/1000*K10)/K10*1000))</f>
        <v/>
      </c>
      <c r="N10" s="18">
        <f>IF(A10="","",IF(L10=1,I9-I10-O10,IF(OR(C10&gt;0,N(J10)&gt;0),MeanMDWIR/1000*K10,0)))</f>
        <v/>
      </c>
      <c r="O10" s="18">
        <f>IF(A10="","",G10/1000*K10)</f>
        <v/>
      </c>
      <c r="P10" s="27">
        <f>IF(A10="","",IF(L10=1,"dry",IF(D10="Y","spill",IF(B10&gt;0,"wet",IF(E10="Y","pumped","other")))))</f>
        <v/>
      </c>
    </row>
    <row r="11">
      <c r="A11" s="26">
        <f>IF(DailyPond!A11="","",DailyPond!A11)</f>
        <v/>
      </c>
      <c r="B11" s="18">
        <f>IF(A11="","",DailyPond!B11)</f>
        <v/>
      </c>
      <c r="C11" s="25">
        <f>IF(A11="","",DailyPond!C11)</f>
        <v/>
      </c>
      <c r="D11" s="27">
        <f>IF(A11="","",DailyPond!D11)</f>
        <v/>
      </c>
      <c r="E11" s="27">
        <f>IF(A11="","",DailyPond!E11)</f>
        <v/>
      </c>
      <c r="F11" s="19">
        <f>IF(A11="","",MONTH(A11))</f>
        <v/>
      </c>
      <c r="G11" s="18">
        <f>IF(A11="","",VLOOKUP(F11,Evaporation!$A$6:$B$17,2,FALSE))</f>
        <v/>
      </c>
      <c r="H11" s="19">
        <f>IF(A11="","",IF(C11="","",IF(C11&lt;=INDEX(StageAreaVolume!$A$6:$A$17,1),INDEX(StageAreaVolume!$B$6:$B$17,1),IF(C11&gt;=INDEX(StageAreaVolume!$A$6:$A$17,COUNTA(StageAreaVolume!$A$6:$A$17)),INDEX(StageAreaVolume!$B$6:$B$17,COUNTA(StageAreaVolume!$A$6:$A$17)),(INDEX(StageAreaVolume!$B$6:$B$17,MATCH(C11,StageAreaVolume!$A$6:$A$17,1))+(C11-INDEX(StageAreaVolume!$A$6:$A$17,MATCH(C11,StageAreaVolume!$A$6:$A$17,1)))/(INDEX(StageAreaVolume!$A$6:$A$17,MATCH(C11,StageAreaVolume!$A$6:$A$17,1)+1)-INDEX(StageAreaVolume!$A$6:$A$17,MATCH(C11,StageAreaVolume!$A$6:$A$17,1)))*(INDEX(StageAreaVolume!$B$6:$B$17,MATCH(C11,StageAreaVolume!$A$6:$A$17,1)+1)-INDEX(StageAreaVolume!$B$6:$B$17,MATCH(C11,StageAreaVolume!$A$6:$A$17,1)))))))))</f>
        <v/>
      </c>
      <c r="I11" s="18">
        <f>IF(A11="","",IF(C11="","",IF(C11&lt;=INDEX(StageAreaVolume!$A$6:$A$17,1),INDEX(StageAreaVolume!$D$6:$D$17,1),IF(C11&gt;=INDEX(StageAreaVolume!$A$6:$A$17,COUNTA(StageAreaVolume!$A$6:$A$17)),INDEX(StageAreaVolume!$D$6:$D$17,COUNTA(StageAreaVolume!$A$6:$A$17)),(INDEX(StageAreaVolume!$D$6:$D$17,MATCH(C11,StageAreaVolume!$A$6:$A$17,1))+(C11-INDEX(StageAreaVolume!$A$6:$A$17,MATCH(C11,StageAreaVolume!$A$6:$A$17,1)))/(INDEX(StageAreaVolume!$A$6:$A$17,MATCH(C11,StageAreaVolume!$A$6:$A$17,1)+1)-INDEX(StageAreaVolume!$A$6:$A$17,MATCH(C11,StageAreaVolume!$A$6:$A$17,1)))*(INDEX(StageAreaVolume!$D$6:$D$17,MATCH(C11,StageAreaVolume!$A$6:$A$17,1)+1)-INDEX(StageAreaVolume!$D$6:$D$17,MATCH(C11,StageAreaVolume!$A$6:$A$17,1)))))))))</f>
        <v/>
      </c>
      <c r="J11" s="25">
        <f>IF(A11="","",IF(A10="",NA(),C10))</f>
        <v/>
      </c>
      <c r="K11" s="19">
        <f>IF(OR(A11="",ISNA(J11)),IF(A11="","",H11),(H10+H11)/2)</f>
        <v/>
      </c>
      <c r="L11" s="19">
        <f>IF(OR(A11="",ISNA(J11)),0,IF(AND(B11=0,D11="N",E11="N",C11&lt;J11,C11&gt;0),1,0))</f>
        <v/>
      </c>
      <c r="M11" s="25">
        <f>IF(L11&lt;&gt;1,"",IF(K11&lt;=0,"",(I10-I11-G11/1000*K11)/K11*1000))</f>
        <v/>
      </c>
      <c r="N11" s="18">
        <f>IF(A11="","",IF(L11=1,I10-I11-O11,IF(OR(C11&gt;0,N(J11)&gt;0),MeanMDWIR/1000*K11,0)))</f>
        <v/>
      </c>
      <c r="O11" s="18">
        <f>IF(A11="","",G11/1000*K11)</f>
        <v/>
      </c>
      <c r="P11" s="27">
        <f>IF(A11="","",IF(L11=1,"dry",IF(D11="Y","spill",IF(B11&gt;0,"wet",IF(E11="Y","pumped","other")))))</f>
        <v/>
      </c>
    </row>
    <row r="12">
      <c r="A12" s="26">
        <f>IF(DailyPond!A12="","",DailyPond!A12)</f>
        <v/>
      </c>
      <c r="B12" s="18">
        <f>IF(A12="","",DailyPond!B12)</f>
        <v/>
      </c>
      <c r="C12" s="25">
        <f>IF(A12="","",DailyPond!C12)</f>
        <v/>
      </c>
      <c r="D12" s="27">
        <f>IF(A12="","",DailyPond!D12)</f>
        <v/>
      </c>
      <c r="E12" s="27">
        <f>IF(A12="","",DailyPond!E12)</f>
        <v/>
      </c>
      <c r="F12" s="19">
        <f>IF(A12="","",MONTH(A12))</f>
        <v/>
      </c>
      <c r="G12" s="18">
        <f>IF(A12="","",VLOOKUP(F12,Evaporation!$A$6:$B$17,2,FALSE))</f>
        <v/>
      </c>
      <c r="H12" s="19">
        <f>IF(A12="","",IF(C12="","",IF(C12&lt;=INDEX(StageAreaVolume!$A$6:$A$17,1),INDEX(StageAreaVolume!$B$6:$B$17,1),IF(C12&gt;=INDEX(StageAreaVolume!$A$6:$A$17,COUNTA(StageAreaVolume!$A$6:$A$17)),INDEX(StageAreaVolume!$B$6:$B$17,COUNTA(StageAreaVolume!$A$6:$A$17)),(INDEX(StageAreaVolume!$B$6:$B$17,MATCH(C12,StageAreaVolume!$A$6:$A$17,1))+(C12-INDEX(StageAreaVolume!$A$6:$A$17,MATCH(C12,StageAreaVolume!$A$6:$A$17,1)))/(INDEX(StageAreaVolume!$A$6:$A$17,MATCH(C12,StageAreaVolume!$A$6:$A$17,1)+1)-INDEX(StageAreaVolume!$A$6:$A$17,MATCH(C12,StageAreaVolume!$A$6:$A$17,1)))*(INDEX(StageAreaVolume!$B$6:$B$17,MATCH(C12,StageAreaVolume!$A$6:$A$17,1)+1)-INDEX(StageAreaVolume!$B$6:$B$17,MATCH(C12,StageAreaVolume!$A$6:$A$17,1)))))))))</f>
        <v/>
      </c>
      <c r="I12" s="18">
        <f>IF(A12="","",IF(C12="","",IF(C12&lt;=INDEX(StageAreaVolume!$A$6:$A$17,1),INDEX(StageAreaVolume!$D$6:$D$17,1),IF(C12&gt;=INDEX(StageAreaVolume!$A$6:$A$17,COUNTA(StageAreaVolume!$A$6:$A$17)),INDEX(StageAreaVolume!$D$6:$D$17,COUNTA(StageAreaVolume!$A$6:$A$17)),(INDEX(StageAreaVolume!$D$6:$D$17,MATCH(C12,StageAreaVolume!$A$6:$A$17,1))+(C12-INDEX(StageAreaVolume!$A$6:$A$17,MATCH(C12,StageAreaVolume!$A$6:$A$17,1)))/(INDEX(StageAreaVolume!$A$6:$A$17,MATCH(C12,StageAreaVolume!$A$6:$A$17,1)+1)-INDEX(StageAreaVolume!$A$6:$A$17,MATCH(C12,StageAreaVolume!$A$6:$A$17,1)))*(INDEX(StageAreaVolume!$D$6:$D$17,MATCH(C12,StageAreaVolume!$A$6:$A$17,1)+1)-INDEX(StageAreaVolume!$D$6:$D$17,MATCH(C12,StageAreaVolume!$A$6:$A$17,1)))))))))</f>
        <v/>
      </c>
      <c r="J12" s="25">
        <f>IF(A12="","",IF(A11="",NA(),C11))</f>
        <v/>
      </c>
      <c r="K12" s="19">
        <f>IF(OR(A12="",ISNA(J12)),IF(A12="","",H12),(H11+H12)/2)</f>
        <v/>
      </c>
      <c r="L12" s="19">
        <f>IF(OR(A12="",ISNA(J12)),0,IF(AND(B12=0,D12="N",E12="N",C12&lt;J12,C12&gt;0),1,0))</f>
        <v/>
      </c>
      <c r="M12" s="25">
        <f>IF(L12&lt;&gt;1,"",IF(K12&lt;=0,"",(I11-I12-G12/1000*K12)/K12*1000))</f>
        <v/>
      </c>
      <c r="N12" s="18">
        <f>IF(A12="","",IF(L12=1,I11-I12-O12,IF(OR(C12&gt;0,N(J12)&gt;0),MeanMDWIR/1000*K12,0)))</f>
        <v/>
      </c>
      <c r="O12" s="18">
        <f>IF(A12="","",G12/1000*K12)</f>
        <v/>
      </c>
      <c r="P12" s="27">
        <f>IF(A12="","",IF(L12=1,"dry",IF(D12="Y","spill",IF(B12&gt;0,"wet",IF(E12="Y","pumped","other")))))</f>
        <v/>
      </c>
    </row>
    <row r="13">
      <c r="A13" s="26">
        <f>IF(DailyPond!A13="","",DailyPond!A13)</f>
        <v/>
      </c>
      <c r="B13" s="18">
        <f>IF(A13="","",DailyPond!B13)</f>
        <v/>
      </c>
      <c r="C13" s="25">
        <f>IF(A13="","",DailyPond!C13)</f>
        <v/>
      </c>
      <c r="D13" s="27">
        <f>IF(A13="","",DailyPond!D13)</f>
        <v/>
      </c>
      <c r="E13" s="27">
        <f>IF(A13="","",DailyPond!E13)</f>
        <v/>
      </c>
      <c r="F13" s="19">
        <f>IF(A13="","",MONTH(A13))</f>
        <v/>
      </c>
      <c r="G13" s="18">
        <f>IF(A13="","",VLOOKUP(F13,Evaporation!$A$6:$B$17,2,FALSE))</f>
        <v/>
      </c>
      <c r="H13" s="19">
        <f>IF(A13="","",IF(C13="","",IF(C13&lt;=INDEX(StageAreaVolume!$A$6:$A$17,1),INDEX(StageAreaVolume!$B$6:$B$17,1),IF(C13&gt;=INDEX(StageAreaVolume!$A$6:$A$17,COUNTA(StageAreaVolume!$A$6:$A$17)),INDEX(StageAreaVolume!$B$6:$B$17,COUNTA(StageAreaVolume!$A$6:$A$17)),(INDEX(StageAreaVolume!$B$6:$B$17,MATCH(C13,StageAreaVolume!$A$6:$A$17,1))+(C13-INDEX(StageAreaVolume!$A$6:$A$17,MATCH(C13,StageAreaVolume!$A$6:$A$17,1)))/(INDEX(StageAreaVolume!$A$6:$A$17,MATCH(C13,StageAreaVolume!$A$6:$A$17,1)+1)-INDEX(StageAreaVolume!$A$6:$A$17,MATCH(C13,StageAreaVolume!$A$6:$A$17,1)))*(INDEX(StageAreaVolume!$B$6:$B$17,MATCH(C13,StageAreaVolume!$A$6:$A$17,1)+1)-INDEX(StageAreaVolume!$B$6:$B$17,MATCH(C13,StageAreaVolume!$A$6:$A$17,1)))))))))</f>
        <v/>
      </c>
      <c r="I13" s="18">
        <f>IF(A13="","",IF(C13="","",IF(C13&lt;=INDEX(StageAreaVolume!$A$6:$A$17,1),INDEX(StageAreaVolume!$D$6:$D$17,1),IF(C13&gt;=INDEX(StageAreaVolume!$A$6:$A$17,COUNTA(StageAreaVolume!$A$6:$A$17)),INDEX(StageAreaVolume!$D$6:$D$17,COUNTA(StageAreaVolume!$A$6:$A$17)),(INDEX(StageAreaVolume!$D$6:$D$17,MATCH(C13,StageAreaVolume!$A$6:$A$17,1))+(C13-INDEX(StageAreaVolume!$A$6:$A$17,MATCH(C13,StageAreaVolume!$A$6:$A$17,1)))/(INDEX(StageAreaVolume!$A$6:$A$17,MATCH(C13,StageAreaVolume!$A$6:$A$17,1)+1)-INDEX(StageAreaVolume!$A$6:$A$17,MATCH(C13,StageAreaVolume!$A$6:$A$17,1)))*(INDEX(StageAreaVolume!$D$6:$D$17,MATCH(C13,StageAreaVolume!$A$6:$A$17,1)+1)-INDEX(StageAreaVolume!$D$6:$D$17,MATCH(C13,StageAreaVolume!$A$6:$A$17,1)))))))))</f>
        <v/>
      </c>
      <c r="J13" s="25">
        <f>IF(A13="","",IF(A12="",NA(),C12))</f>
        <v/>
      </c>
      <c r="K13" s="19">
        <f>IF(OR(A13="",ISNA(J13)),IF(A13="","",H13),(H12+H13)/2)</f>
        <v/>
      </c>
      <c r="L13" s="19">
        <f>IF(OR(A13="",ISNA(J13)),0,IF(AND(B13=0,D13="N",E13="N",C13&lt;J13,C13&gt;0),1,0))</f>
        <v/>
      </c>
      <c r="M13" s="25">
        <f>IF(L13&lt;&gt;1,"",IF(K13&lt;=0,"",(I12-I13-G13/1000*K13)/K13*1000))</f>
        <v/>
      </c>
      <c r="N13" s="18">
        <f>IF(A13="","",IF(L13=1,I12-I13-O13,IF(OR(C13&gt;0,N(J13)&gt;0),MeanMDWIR/1000*K13,0)))</f>
        <v/>
      </c>
      <c r="O13" s="18">
        <f>IF(A13="","",G13/1000*K13)</f>
        <v/>
      </c>
      <c r="P13" s="27">
        <f>IF(A13="","",IF(L13=1,"dry",IF(D13="Y","spill",IF(B13&gt;0,"wet",IF(E13="Y","pumped","other")))))</f>
        <v/>
      </c>
    </row>
    <row r="14">
      <c r="A14" s="26">
        <f>IF(DailyPond!A14="","",DailyPond!A14)</f>
        <v/>
      </c>
      <c r="B14" s="18">
        <f>IF(A14="","",DailyPond!B14)</f>
        <v/>
      </c>
      <c r="C14" s="25">
        <f>IF(A14="","",DailyPond!C14)</f>
        <v/>
      </c>
      <c r="D14" s="27">
        <f>IF(A14="","",DailyPond!D14)</f>
        <v/>
      </c>
      <c r="E14" s="27">
        <f>IF(A14="","",DailyPond!E14)</f>
        <v/>
      </c>
      <c r="F14" s="19">
        <f>IF(A14="","",MONTH(A14))</f>
        <v/>
      </c>
      <c r="G14" s="18">
        <f>IF(A14="","",VLOOKUP(F14,Evaporation!$A$6:$B$17,2,FALSE))</f>
        <v/>
      </c>
      <c r="H14" s="19">
        <f>IF(A14="","",IF(C14="","",IF(C14&lt;=INDEX(StageAreaVolume!$A$6:$A$17,1),INDEX(StageAreaVolume!$B$6:$B$17,1),IF(C14&gt;=INDEX(StageAreaVolume!$A$6:$A$17,COUNTA(StageAreaVolume!$A$6:$A$17)),INDEX(StageAreaVolume!$B$6:$B$17,COUNTA(StageAreaVolume!$A$6:$A$17)),(INDEX(StageAreaVolume!$B$6:$B$17,MATCH(C14,StageAreaVolume!$A$6:$A$17,1))+(C14-INDEX(StageAreaVolume!$A$6:$A$17,MATCH(C14,StageAreaVolume!$A$6:$A$17,1)))/(INDEX(StageAreaVolume!$A$6:$A$17,MATCH(C14,StageAreaVolume!$A$6:$A$17,1)+1)-INDEX(StageAreaVolume!$A$6:$A$17,MATCH(C14,StageAreaVolume!$A$6:$A$17,1)))*(INDEX(StageAreaVolume!$B$6:$B$17,MATCH(C14,StageAreaVolume!$A$6:$A$17,1)+1)-INDEX(StageAreaVolume!$B$6:$B$17,MATCH(C14,StageAreaVolume!$A$6:$A$17,1)))))))))</f>
        <v/>
      </c>
      <c r="I14" s="18">
        <f>IF(A14="","",IF(C14="","",IF(C14&lt;=INDEX(StageAreaVolume!$A$6:$A$17,1),INDEX(StageAreaVolume!$D$6:$D$17,1),IF(C14&gt;=INDEX(StageAreaVolume!$A$6:$A$17,COUNTA(StageAreaVolume!$A$6:$A$17)),INDEX(StageAreaVolume!$D$6:$D$17,COUNTA(StageAreaVolume!$A$6:$A$17)),(INDEX(StageAreaVolume!$D$6:$D$17,MATCH(C14,StageAreaVolume!$A$6:$A$17,1))+(C14-INDEX(StageAreaVolume!$A$6:$A$17,MATCH(C14,StageAreaVolume!$A$6:$A$17,1)))/(INDEX(StageAreaVolume!$A$6:$A$17,MATCH(C14,StageAreaVolume!$A$6:$A$17,1)+1)-INDEX(StageAreaVolume!$A$6:$A$17,MATCH(C14,StageAreaVolume!$A$6:$A$17,1)))*(INDEX(StageAreaVolume!$D$6:$D$17,MATCH(C14,StageAreaVolume!$A$6:$A$17,1)+1)-INDEX(StageAreaVolume!$D$6:$D$17,MATCH(C14,StageAreaVolume!$A$6:$A$17,1)))))))))</f>
        <v/>
      </c>
      <c r="J14" s="25">
        <f>IF(A14="","",IF(A13="",NA(),C13))</f>
        <v/>
      </c>
      <c r="K14" s="19">
        <f>IF(OR(A14="",ISNA(J14)),IF(A14="","",H14),(H13+H14)/2)</f>
        <v/>
      </c>
      <c r="L14" s="19">
        <f>IF(OR(A14="",ISNA(J14)),0,IF(AND(B14=0,D14="N",E14="N",C14&lt;J14,C14&gt;0),1,0))</f>
        <v/>
      </c>
      <c r="M14" s="25">
        <f>IF(L14&lt;&gt;1,"",IF(K14&lt;=0,"",(I13-I14-G14/1000*K14)/K14*1000))</f>
        <v/>
      </c>
      <c r="N14" s="18">
        <f>IF(A14="","",IF(L14=1,I13-I14-O14,IF(OR(C14&gt;0,N(J14)&gt;0),MeanMDWIR/1000*K14,0)))</f>
        <v/>
      </c>
      <c r="O14" s="18">
        <f>IF(A14="","",G14/1000*K14)</f>
        <v/>
      </c>
      <c r="P14" s="27">
        <f>IF(A14="","",IF(L14=1,"dry",IF(D14="Y","spill",IF(B14&gt;0,"wet",IF(E14="Y","pumped","other")))))</f>
        <v/>
      </c>
    </row>
    <row r="15">
      <c r="A15" s="26">
        <f>IF(DailyPond!A15="","",DailyPond!A15)</f>
        <v/>
      </c>
      <c r="B15" s="18">
        <f>IF(A15="","",DailyPond!B15)</f>
        <v/>
      </c>
      <c r="C15" s="25">
        <f>IF(A15="","",DailyPond!C15)</f>
        <v/>
      </c>
      <c r="D15" s="27">
        <f>IF(A15="","",DailyPond!D15)</f>
        <v/>
      </c>
      <c r="E15" s="27">
        <f>IF(A15="","",DailyPond!E15)</f>
        <v/>
      </c>
      <c r="F15" s="19">
        <f>IF(A15="","",MONTH(A15))</f>
        <v/>
      </c>
      <c r="G15" s="18">
        <f>IF(A15="","",VLOOKUP(F15,Evaporation!$A$6:$B$17,2,FALSE))</f>
        <v/>
      </c>
      <c r="H15" s="19">
        <f>IF(A15="","",IF(C15="","",IF(C15&lt;=INDEX(StageAreaVolume!$A$6:$A$17,1),INDEX(StageAreaVolume!$B$6:$B$17,1),IF(C15&gt;=INDEX(StageAreaVolume!$A$6:$A$17,COUNTA(StageAreaVolume!$A$6:$A$17)),INDEX(StageAreaVolume!$B$6:$B$17,COUNTA(StageAreaVolume!$A$6:$A$17)),(INDEX(StageAreaVolume!$B$6:$B$17,MATCH(C15,StageAreaVolume!$A$6:$A$17,1))+(C15-INDEX(StageAreaVolume!$A$6:$A$17,MATCH(C15,StageAreaVolume!$A$6:$A$17,1)))/(INDEX(StageAreaVolume!$A$6:$A$17,MATCH(C15,StageAreaVolume!$A$6:$A$17,1)+1)-INDEX(StageAreaVolume!$A$6:$A$17,MATCH(C15,StageAreaVolume!$A$6:$A$17,1)))*(INDEX(StageAreaVolume!$B$6:$B$17,MATCH(C15,StageAreaVolume!$A$6:$A$17,1)+1)-INDEX(StageAreaVolume!$B$6:$B$17,MATCH(C15,StageAreaVolume!$A$6:$A$17,1)))))))))</f>
        <v/>
      </c>
      <c r="I15" s="18">
        <f>IF(A15="","",IF(C15="","",IF(C15&lt;=INDEX(StageAreaVolume!$A$6:$A$17,1),INDEX(StageAreaVolume!$D$6:$D$17,1),IF(C15&gt;=INDEX(StageAreaVolume!$A$6:$A$17,COUNTA(StageAreaVolume!$A$6:$A$17)),INDEX(StageAreaVolume!$D$6:$D$17,COUNTA(StageAreaVolume!$A$6:$A$17)),(INDEX(StageAreaVolume!$D$6:$D$17,MATCH(C15,StageAreaVolume!$A$6:$A$17,1))+(C15-INDEX(StageAreaVolume!$A$6:$A$17,MATCH(C15,StageAreaVolume!$A$6:$A$17,1)))/(INDEX(StageAreaVolume!$A$6:$A$17,MATCH(C15,StageAreaVolume!$A$6:$A$17,1)+1)-INDEX(StageAreaVolume!$A$6:$A$17,MATCH(C15,StageAreaVolume!$A$6:$A$17,1)))*(INDEX(StageAreaVolume!$D$6:$D$17,MATCH(C15,StageAreaVolume!$A$6:$A$17,1)+1)-INDEX(StageAreaVolume!$D$6:$D$17,MATCH(C15,StageAreaVolume!$A$6:$A$17,1)))))))))</f>
        <v/>
      </c>
      <c r="J15" s="25">
        <f>IF(A15="","",IF(A14="",NA(),C14))</f>
        <v/>
      </c>
      <c r="K15" s="19">
        <f>IF(OR(A15="",ISNA(J15)),IF(A15="","",H15),(H14+H15)/2)</f>
        <v/>
      </c>
      <c r="L15" s="19">
        <f>IF(OR(A15="",ISNA(J15)),0,IF(AND(B15=0,D15="N",E15="N",C15&lt;J15,C15&gt;0),1,0))</f>
        <v/>
      </c>
      <c r="M15" s="25">
        <f>IF(L15&lt;&gt;1,"",IF(K15&lt;=0,"",(I14-I15-G15/1000*K15)/K15*1000))</f>
        <v/>
      </c>
      <c r="N15" s="18">
        <f>IF(A15="","",IF(L15=1,I14-I15-O15,IF(OR(C15&gt;0,N(J15)&gt;0),MeanMDWIR/1000*K15,0)))</f>
        <v/>
      </c>
      <c r="O15" s="18">
        <f>IF(A15="","",G15/1000*K15)</f>
        <v/>
      </c>
      <c r="P15" s="27">
        <f>IF(A15="","",IF(L15=1,"dry",IF(D15="Y","spill",IF(B15&gt;0,"wet",IF(E15="Y","pumped","other")))))</f>
        <v/>
      </c>
    </row>
    <row r="16">
      <c r="A16" s="26">
        <f>IF(DailyPond!A16="","",DailyPond!A16)</f>
        <v/>
      </c>
      <c r="B16" s="18">
        <f>IF(A16="","",DailyPond!B16)</f>
        <v/>
      </c>
      <c r="C16" s="25">
        <f>IF(A16="","",DailyPond!C16)</f>
        <v/>
      </c>
      <c r="D16" s="27">
        <f>IF(A16="","",DailyPond!D16)</f>
        <v/>
      </c>
      <c r="E16" s="27">
        <f>IF(A16="","",DailyPond!E16)</f>
        <v/>
      </c>
      <c r="F16" s="19">
        <f>IF(A16="","",MONTH(A16))</f>
        <v/>
      </c>
      <c r="G16" s="18">
        <f>IF(A16="","",VLOOKUP(F16,Evaporation!$A$6:$B$17,2,FALSE))</f>
        <v/>
      </c>
      <c r="H16" s="19">
        <f>IF(A16="","",IF(C16="","",IF(C16&lt;=INDEX(StageAreaVolume!$A$6:$A$17,1),INDEX(StageAreaVolume!$B$6:$B$17,1),IF(C16&gt;=INDEX(StageAreaVolume!$A$6:$A$17,COUNTA(StageAreaVolume!$A$6:$A$17)),INDEX(StageAreaVolume!$B$6:$B$17,COUNTA(StageAreaVolume!$A$6:$A$17)),(INDEX(StageAreaVolume!$B$6:$B$17,MATCH(C16,StageAreaVolume!$A$6:$A$17,1))+(C16-INDEX(StageAreaVolume!$A$6:$A$17,MATCH(C16,StageAreaVolume!$A$6:$A$17,1)))/(INDEX(StageAreaVolume!$A$6:$A$17,MATCH(C16,StageAreaVolume!$A$6:$A$17,1)+1)-INDEX(StageAreaVolume!$A$6:$A$17,MATCH(C16,StageAreaVolume!$A$6:$A$17,1)))*(INDEX(StageAreaVolume!$B$6:$B$17,MATCH(C16,StageAreaVolume!$A$6:$A$17,1)+1)-INDEX(StageAreaVolume!$B$6:$B$17,MATCH(C16,StageAreaVolume!$A$6:$A$17,1)))))))))</f>
        <v/>
      </c>
      <c r="I16" s="18">
        <f>IF(A16="","",IF(C16="","",IF(C16&lt;=INDEX(StageAreaVolume!$A$6:$A$17,1),INDEX(StageAreaVolume!$D$6:$D$17,1),IF(C16&gt;=INDEX(StageAreaVolume!$A$6:$A$17,COUNTA(StageAreaVolume!$A$6:$A$17)),INDEX(StageAreaVolume!$D$6:$D$17,COUNTA(StageAreaVolume!$A$6:$A$17)),(INDEX(StageAreaVolume!$D$6:$D$17,MATCH(C16,StageAreaVolume!$A$6:$A$17,1))+(C16-INDEX(StageAreaVolume!$A$6:$A$17,MATCH(C16,StageAreaVolume!$A$6:$A$17,1)))/(INDEX(StageAreaVolume!$A$6:$A$17,MATCH(C16,StageAreaVolume!$A$6:$A$17,1)+1)-INDEX(StageAreaVolume!$A$6:$A$17,MATCH(C16,StageAreaVolume!$A$6:$A$17,1)))*(INDEX(StageAreaVolume!$D$6:$D$17,MATCH(C16,StageAreaVolume!$A$6:$A$17,1)+1)-INDEX(StageAreaVolume!$D$6:$D$17,MATCH(C16,StageAreaVolume!$A$6:$A$17,1)))))))))</f>
        <v/>
      </c>
      <c r="J16" s="25">
        <f>IF(A16="","",IF(A15="",NA(),C15))</f>
        <v/>
      </c>
      <c r="K16" s="19">
        <f>IF(OR(A16="",ISNA(J16)),IF(A16="","",H16),(H15+H16)/2)</f>
        <v/>
      </c>
      <c r="L16" s="19">
        <f>IF(OR(A16="",ISNA(J16)),0,IF(AND(B16=0,D16="N",E16="N",C16&lt;J16,C16&gt;0),1,0))</f>
        <v/>
      </c>
      <c r="M16" s="25">
        <f>IF(L16&lt;&gt;1,"",IF(K16&lt;=0,"",(I15-I16-G16/1000*K16)/K16*1000))</f>
        <v/>
      </c>
      <c r="N16" s="18">
        <f>IF(A16="","",IF(L16=1,I15-I16-O16,IF(OR(C16&gt;0,N(J16)&gt;0),MeanMDWIR/1000*K16,0)))</f>
        <v/>
      </c>
      <c r="O16" s="18">
        <f>IF(A16="","",G16/1000*K16)</f>
        <v/>
      </c>
      <c r="P16" s="27">
        <f>IF(A16="","",IF(L16=1,"dry",IF(D16="Y","spill",IF(B16&gt;0,"wet",IF(E16="Y","pumped","other")))))</f>
        <v/>
      </c>
    </row>
    <row r="17">
      <c r="A17" s="26">
        <f>IF(DailyPond!A17="","",DailyPond!A17)</f>
        <v/>
      </c>
      <c r="B17" s="18">
        <f>IF(A17="","",DailyPond!B17)</f>
        <v/>
      </c>
      <c r="C17" s="25">
        <f>IF(A17="","",DailyPond!C17)</f>
        <v/>
      </c>
      <c r="D17" s="27">
        <f>IF(A17="","",DailyPond!D17)</f>
        <v/>
      </c>
      <c r="E17" s="27">
        <f>IF(A17="","",DailyPond!E17)</f>
        <v/>
      </c>
      <c r="F17" s="19">
        <f>IF(A17="","",MONTH(A17))</f>
        <v/>
      </c>
      <c r="G17" s="18">
        <f>IF(A17="","",VLOOKUP(F17,Evaporation!$A$6:$B$17,2,FALSE))</f>
        <v/>
      </c>
      <c r="H17" s="19">
        <f>IF(A17="","",IF(C17="","",IF(C17&lt;=INDEX(StageAreaVolume!$A$6:$A$17,1),INDEX(StageAreaVolume!$B$6:$B$17,1),IF(C17&gt;=INDEX(StageAreaVolume!$A$6:$A$17,COUNTA(StageAreaVolume!$A$6:$A$17)),INDEX(StageAreaVolume!$B$6:$B$17,COUNTA(StageAreaVolume!$A$6:$A$17)),(INDEX(StageAreaVolume!$B$6:$B$17,MATCH(C17,StageAreaVolume!$A$6:$A$17,1))+(C17-INDEX(StageAreaVolume!$A$6:$A$17,MATCH(C17,StageAreaVolume!$A$6:$A$17,1)))/(INDEX(StageAreaVolume!$A$6:$A$17,MATCH(C17,StageAreaVolume!$A$6:$A$17,1)+1)-INDEX(StageAreaVolume!$A$6:$A$17,MATCH(C17,StageAreaVolume!$A$6:$A$17,1)))*(INDEX(StageAreaVolume!$B$6:$B$17,MATCH(C17,StageAreaVolume!$A$6:$A$17,1)+1)-INDEX(StageAreaVolume!$B$6:$B$17,MATCH(C17,StageAreaVolume!$A$6:$A$17,1)))))))))</f>
        <v/>
      </c>
      <c r="I17" s="18">
        <f>IF(A17="","",IF(C17="","",IF(C17&lt;=INDEX(StageAreaVolume!$A$6:$A$17,1),INDEX(StageAreaVolume!$D$6:$D$17,1),IF(C17&gt;=INDEX(StageAreaVolume!$A$6:$A$17,COUNTA(StageAreaVolume!$A$6:$A$17)),INDEX(StageAreaVolume!$D$6:$D$17,COUNTA(StageAreaVolume!$A$6:$A$17)),(INDEX(StageAreaVolume!$D$6:$D$17,MATCH(C17,StageAreaVolume!$A$6:$A$17,1))+(C17-INDEX(StageAreaVolume!$A$6:$A$17,MATCH(C17,StageAreaVolume!$A$6:$A$17,1)))/(INDEX(StageAreaVolume!$A$6:$A$17,MATCH(C17,StageAreaVolume!$A$6:$A$17,1)+1)-INDEX(StageAreaVolume!$A$6:$A$17,MATCH(C17,StageAreaVolume!$A$6:$A$17,1)))*(INDEX(StageAreaVolume!$D$6:$D$17,MATCH(C17,StageAreaVolume!$A$6:$A$17,1)+1)-INDEX(StageAreaVolume!$D$6:$D$17,MATCH(C17,StageAreaVolume!$A$6:$A$17,1)))))))))</f>
        <v/>
      </c>
      <c r="J17" s="25">
        <f>IF(A17="","",IF(A16="",NA(),C16))</f>
        <v/>
      </c>
      <c r="K17" s="19">
        <f>IF(OR(A17="",ISNA(J17)),IF(A17="","",H17),(H16+H17)/2)</f>
        <v/>
      </c>
      <c r="L17" s="19">
        <f>IF(OR(A17="",ISNA(J17)),0,IF(AND(B17=0,D17="N",E17="N",C17&lt;J17,C17&gt;0),1,0))</f>
        <v/>
      </c>
      <c r="M17" s="25">
        <f>IF(L17&lt;&gt;1,"",IF(K17&lt;=0,"",(I16-I17-G17/1000*K17)/K17*1000))</f>
        <v/>
      </c>
      <c r="N17" s="18">
        <f>IF(A17="","",IF(L17=1,I16-I17-O17,IF(OR(C17&gt;0,N(J17)&gt;0),MeanMDWIR/1000*K17,0)))</f>
        <v/>
      </c>
      <c r="O17" s="18">
        <f>IF(A17="","",G17/1000*K17)</f>
        <v/>
      </c>
      <c r="P17" s="27">
        <f>IF(A17="","",IF(L17=1,"dry",IF(D17="Y","spill",IF(B17&gt;0,"wet",IF(E17="Y","pumped","other")))))</f>
        <v/>
      </c>
    </row>
    <row r="18">
      <c r="A18" s="26">
        <f>IF(DailyPond!A18="","",DailyPond!A18)</f>
        <v/>
      </c>
      <c r="B18" s="18">
        <f>IF(A18="","",DailyPond!B18)</f>
        <v/>
      </c>
      <c r="C18" s="25">
        <f>IF(A18="","",DailyPond!C18)</f>
        <v/>
      </c>
      <c r="D18" s="27">
        <f>IF(A18="","",DailyPond!D18)</f>
        <v/>
      </c>
      <c r="E18" s="27">
        <f>IF(A18="","",DailyPond!E18)</f>
        <v/>
      </c>
      <c r="F18" s="19">
        <f>IF(A18="","",MONTH(A18))</f>
        <v/>
      </c>
      <c r="G18" s="18">
        <f>IF(A18="","",VLOOKUP(F18,Evaporation!$A$6:$B$17,2,FALSE))</f>
        <v/>
      </c>
      <c r="H18" s="19">
        <f>IF(A18="","",IF(C18="","",IF(C18&lt;=INDEX(StageAreaVolume!$A$6:$A$17,1),INDEX(StageAreaVolume!$B$6:$B$17,1),IF(C18&gt;=INDEX(StageAreaVolume!$A$6:$A$17,COUNTA(StageAreaVolume!$A$6:$A$17)),INDEX(StageAreaVolume!$B$6:$B$17,COUNTA(StageAreaVolume!$A$6:$A$17)),(INDEX(StageAreaVolume!$B$6:$B$17,MATCH(C18,StageAreaVolume!$A$6:$A$17,1))+(C18-INDEX(StageAreaVolume!$A$6:$A$17,MATCH(C18,StageAreaVolume!$A$6:$A$17,1)))/(INDEX(StageAreaVolume!$A$6:$A$17,MATCH(C18,StageAreaVolume!$A$6:$A$17,1)+1)-INDEX(StageAreaVolume!$A$6:$A$17,MATCH(C18,StageAreaVolume!$A$6:$A$17,1)))*(INDEX(StageAreaVolume!$B$6:$B$17,MATCH(C18,StageAreaVolume!$A$6:$A$17,1)+1)-INDEX(StageAreaVolume!$B$6:$B$17,MATCH(C18,StageAreaVolume!$A$6:$A$17,1)))))))))</f>
        <v/>
      </c>
      <c r="I18" s="18">
        <f>IF(A18="","",IF(C18="","",IF(C18&lt;=INDEX(StageAreaVolume!$A$6:$A$17,1),INDEX(StageAreaVolume!$D$6:$D$17,1),IF(C18&gt;=INDEX(StageAreaVolume!$A$6:$A$17,COUNTA(StageAreaVolume!$A$6:$A$17)),INDEX(StageAreaVolume!$D$6:$D$17,COUNTA(StageAreaVolume!$A$6:$A$17)),(INDEX(StageAreaVolume!$D$6:$D$17,MATCH(C18,StageAreaVolume!$A$6:$A$17,1))+(C18-INDEX(StageAreaVolume!$A$6:$A$17,MATCH(C18,StageAreaVolume!$A$6:$A$17,1)))/(INDEX(StageAreaVolume!$A$6:$A$17,MATCH(C18,StageAreaVolume!$A$6:$A$17,1)+1)-INDEX(StageAreaVolume!$A$6:$A$17,MATCH(C18,StageAreaVolume!$A$6:$A$17,1)))*(INDEX(StageAreaVolume!$D$6:$D$17,MATCH(C18,StageAreaVolume!$A$6:$A$17,1)+1)-INDEX(StageAreaVolume!$D$6:$D$17,MATCH(C18,StageAreaVolume!$A$6:$A$17,1)))))))))</f>
        <v/>
      </c>
      <c r="J18" s="25">
        <f>IF(A18="","",IF(A17="",NA(),C17))</f>
        <v/>
      </c>
      <c r="K18" s="19">
        <f>IF(OR(A18="",ISNA(J18)),IF(A18="","",H18),(H17+H18)/2)</f>
        <v/>
      </c>
      <c r="L18" s="19">
        <f>IF(OR(A18="",ISNA(J18)),0,IF(AND(B18=0,D18="N",E18="N",C18&lt;J18,C18&gt;0),1,0))</f>
        <v/>
      </c>
      <c r="M18" s="25">
        <f>IF(L18&lt;&gt;1,"",IF(K18&lt;=0,"",(I17-I18-G18/1000*K18)/K18*1000))</f>
        <v/>
      </c>
      <c r="N18" s="18">
        <f>IF(A18="","",IF(L18=1,I17-I18-O18,IF(OR(C18&gt;0,N(J18)&gt;0),MeanMDWIR/1000*K18,0)))</f>
        <v/>
      </c>
      <c r="O18" s="18">
        <f>IF(A18="","",G18/1000*K18)</f>
        <v/>
      </c>
      <c r="P18" s="27">
        <f>IF(A18="","",IF(L18=1,"dry",IF(D18="Y","spill",IF(B18&gt;0,"wet",IF(E18="Y","pumped","other")))))</f>
        <v/>
      </c>
    </row>
    <row r="19">
      <c r="A19" s="26">
        <f>IF(DailyPond!A19="","",DailyPond!A19)</f>
        <v/>
      </c>
      <c r="B19" s="18">
        <f>IF(A19="","",DailyPond!B19)</f>
        <v/>
      </c>
      <c r="C19" s="25">
        <f>IF(A19="","",DailyPond!C19)</f>
        <v/>
      </c>
      <c r="D19" s="27">
        <f>IF(A19="","",DailyPond!D19)</f>
        <v/>
      </c>
      <c r="E19" s="27">
        <f>IF(A19="","",DailyPond!E19)</f>
        <v/>
      </c>
      <c r="F19" s="19">
        <f>IF(A19="","",MONTH(A19))</f>
        <v/>
      </c>
      <c r="G19" s="18">
        <f>IF(A19="","",VLOOKUP(F19,Evaporation!$A$6:$B$17,2,FALSE))</f>
        <v/>
      </c>
      <c r="H19" s="19">
        <f>IF(A19="","",IF(C19="","",IF(C19&lt;=INDEX(StageAreaVolume!$A$6:$A$17,1),INDEX(StageAreaVolume!$B$6:$B$17,1),IF(C19&gt;=INDEX(StageAreaVolume!$A$6:$A$17,COUNTA(StageAreaVolume!$A$6:$A$17)),INDEX(StageAreaVolume!$B$6:$B$17,COUNTA(StageAreaVolume!$A$6:$A$17)),(INDEX(StageAreaVolume!$B$6:$B$17,MATCH(C19,StageAreaVolume!$A$6:$A$17,1))+(C19-INDEX(StageAreaVolume!$A$6:$A$17,MATCH(C19,StageAreaVolume!$A$6:$A$17,1)))/(INDEX(StageAreaVolume!$A$6:$A$17,MATCH(C19,StageAreaVolume!$A$6:$A$17,1)+1)-INDEX(StageAreaVolume!$A$6:$A$17,MATCH(C19,StageAreaVolume!$A$6:$A$17,1)))*(INDEX(StageAreaVolume!$B$6:$B$17,MATCH(C19,StageAreaVolume!$A$6:$A$17,1)+1)-INDEX(StageAreaVolume!$B$6:$B$17,MATCH(C19,StageAreaVolume!$A$6:$A$17,1)))))))))</f>
        <v/>
      </c>
      <c r="I19" s="18">
        <f>IF(A19="","",IF(C19="","",IF(C19&lt;=INDEX(StageAreaVolume!$A$6:$A$17,1),INDEX(StageAreaVolume!$D$6:$D$17,1),IF(C19&gt;=INDEX(StageAreaVolume!$A$6:$A$17,COUNTA(StageAreaVolume!$A$6:$A$17)),INDEX(StageAreaVolume!$D$6:$D$17,COUNTA(StageAreaVolume!$A$6:$A$17)),(INDEX(StageAreaVolume!$D$6:$D$17,MATCH(C19,StageAreaVolume!$A$6:$A$17,1))+(C19-INDEX(StageAreaVolume!$A$6:$A$17,MATCH(C19,StageAreaVolume!$A$6:$A$17,1)))/(INDEX(StageAreaVolume!$A$6:$A$17,MATCH(C19,StageAreaVolume!$A$6:$A$17,1)+1)-INDEX(StageAreaVolume!$A$6:$A$17,MATCH(C19,StageAreaVolume!$A$6:$A$17,1)))*(INDEX(StageAreaVolume!$D$6:$D$17,MATCH(C19,StageAreaVolume!$A$6:$A$17,1)+1)-INDEX(StageAreaVolume!$D$6:$D$17,MATCH(C19,StageAreaVolume!$A$6:$A$17,1)))))))))</f>
        <v/>
      </c>
      <c r="J19" s="25">
        <f>IF(A19="","",IF(A18="",NA(),C18))</f>
        <v/>
      </c>
      <c r="K19" s="19">
        <f>IF(OR(A19="",ISNA(J19)),IF(A19="","",H19),(H18+H19)/2)</f>
        <v/>
      </c>
      <c r="L19" s="19">
        <f>IF(OR(A19="",ISNA(J19)),0,IF(AND(B19=0,D19="N",E19="N",C19&lt;J19,C19&gt;0),1,0))</f>
        <v/>
      </c>
      <c r="M19" s="25">
        <f>IF(L19&lt;&gt;1,"",IF(K19&lt;=0,"",(I18-I19-G19/1000*K19)/K19*1000))</f>
        <v/>
      </c>
      <c r="N19" s="18">
        <f>IF(A19="","",IF(L19=1,I18-I19-O19,IF(OR(C19&gt;0,N(J19)&gt;0),MeanMDWIR/1000*K19,0)))</f>
        <v/>
      </c>
      <c r="O19" s="18">
        <f>IF(A19="","",G19/1000*K19)</f>
        <v/>
      </c>
      <c r="P19" s="27">
        <f>IF(A19="","",IF(L19=1,"dry",IF(D19="Y","spill",IF(B19&gt;0,"wet",IF(E19="Y","pumped","other")))))</f>
        <v/>
      </c>
    </row>
    <row r="20">
      <c r="A20" s="26">
        <f>IF(DailyPond!A20="","",DailyPond!A20)</f>
        <v/>
      </c>
      <c r="B20" s="18">
        <f>IF(A20="","",DailyPond!B20)</f>
        <v/>
      </c>
      <c r="C20" s="25">
        <f>IF(A20="","",DailyPond!C20)</f>
        <v/>
      </c>
      <c r="D20" s="27">
        <f>IF(A20="","",DailyPond!D20)</f>
        <v/>
      </c>
      <c r="E20" s="27">
        <f>IF(A20="","",DailyPond!E20)</f>
        <v/>
      </c>
      <c r="F20" s="19">
        <f>IF(A20="","",MONTH(A20))</f>
        <v/>
      </c>
      <c r="G20" s="18">
        <f>IF(A20="","",VLOOKUP(F20,Evaporation!$A$6:$B$17,2,FALSE))</f>
        <v/>
      </c>
      <c r="H20" s="19">
        <f>IF(A20="","",IF(C20="","",IF(C20&lt;=INDEX(StageAreaVolume!$A$6:$A$17,1),INDEX(StageAreaVolume!$B$6:$B$17,1),IF(C20&gt;=INDEX(StageAreaVolume!$A$6:$A$17,COUNTA(StageAreaVolume!$A$6:$A$17)),INDEX(StageAreaVolume!$B$6:$B$17,COUNTA(StageAreaVolume!$A$6:$A$17)),(INDEX(StageAreaVolume!$B$6:$B$17,MATCH(C20,StageAreaVolume!$A$6:$A$17,1))+(C20-INDEX(StageAreaVolume!$A$6:$A$17,MATCH(C20,StageAreaVolume!$A$6:$A$17,1)))/(INDEX(StageAreaVolume!$A$6:$A$17,MATCH(C20,StageAreaVolume!$A$6:$A$17,1)+1)-INDEX(StageAreaVolume!$A$6:$A$17,MATCH(C20,StageAreaVolume!$A$6:$A$17,1)))*(INDEX(StageAreaVolume!$B$6:$B$17,MATCH(C20,StageAreaVolume!$A$6:$A$17,1)+1)-INDEX(StageAreaVolume!$B$6:$B$17,MATCH(C20,StageAreaVolume!$A$6:$A$17,1)))))))))</f>
        <v/>
      </c>
      <c r="I20" s="18">
        <f>IF(A20="","",IF(C20="","",IF(C20&lt;=INDEX(StageAreaVolume!$A$6:$A$17,1),INDEX(StageAreaVolume!$D$6:$D$17,1),IF(C20&gt;=INDEX(StageAreaVolume!$A$6:$A$17,COUNTA(StageAreaVolume!$A$6:$A$17)),INDEX(StageAreaVolume!$D$6:$D$17,COUNTA(StageAreaVolume!$A$6:$A$17)),(INDEX(StageAreaVolume!$D$6:$D$17,MATCH(C20,StageAreaVolume!$A$6:$A$17,1))+(C20-INDEX(StageAreaVolume!$A$6:$A$17,MATCH(C20,StageAreaVolume!$A$6:$A$17,1)))/(INDEX(StageAreaVolume!$A$6:$A$17,MATCH(C20,StageAreaVolume!$A$6:$A$17,1)+1)-INDEX(StageAreaVolume!$A$6:$A$17,MATCH(C20,StageAreaVolume!$A$6:$A$17,1)))*(INDEX(StageAreaVolume!$D$6:$D$17,MATCH(C20,StageAreaVolume!$A$6:$A$17,1)+1)-INDEX(StageAreaVolume!$D$6:$D$17,MATCH(C20,StageAreaVolume!$A$6:$A$17,1)))))))))</f>
        <v/>
      </c>
      <c r="J20" s="25">
        <f>IF(A20="","",IF(A19="",NA(),C19))</f>
        <v/>
      </c>
      <c r="K20" s="19">
        <f>IF(OR(A20="",ISNA(J20)),IF(A20="","",H20),(H19+H20)/2)</f>
        <v/>
      </c>
      <c r="L20" s="19">
        <f>IF(OR(A20="",ISNA(J20)),0,IF(AND(B20=0,D20="N",E20="N",C20&lt;J20,C20&gt;0),1,0))</f>
        <v/>
      </c>
      <c r="M20" s="25">
        <f>IF(L20&lt;&gt;1,"",IF(K20&lt;=0,"",(I19-I20-G20/1000*K20)/K20*1000))</f>
        <v/>
      </c>
      <c r="N20" s="18">
        <f>IF(A20="","",IF(L20=1,I19-I20-O20,IF(OR(C20&gt;0,N(J20)&gt;0),MeanMDWIR/1000*K20,0)))</f>
        <v/>
      </c>
      <c r="O20" s="18">
        <f>IF(A20="","",G20/1000*K20)</f>
        <v/>
      </c>
      <c r="P20" s="27">
        <f>IF(A20="","",IF(L20=1,"dry",IF(D20="Y","spill",IF(B20&gt;0,"wet",IF(E20="Y","pumped","other")))))</f>
        <v/>
      </c>
    </row>
    <row r="21">
      <c r="A21" s="26">
        <f>IF(DailyPond!A21="","",DailyPond!A21)</f>
        <v/>
      </c>
      <c r="B21" s="18">
        <f>IF(A21="","",DailyPond!B21)</f>
        <v/>
      </c>
      <c r="C21" s="25">
        <f>IF(A21="","",DailyPond!C21)</f>
        <v/>
      </c>
      <c r="D21" s="27">
        <f>IF(A21="","",DailyPond!D21)</f>
        <v/>
      </c>
      <c r="E21" s="27">
        <f>IF(A21="","",DailyPond!E21)</f>
        <v/>
      </c>
      <c r="F21" s="19">
        <f>IF(A21="","",MONTH(A21))</f>
        <v/>
      </c>
      <c r="G21" s="18">
        <f>IF(A21="","",VLOOKUP(F21,Evaporation!$A$6:$B$17,2,FALSE))</f>
        <v/>
      </c>
      <c r="H21" s="19">
        <f>IF(A21="","",IF(C21="","",IF(C21&lt;=INDEX(StageAreaVolume!$A$6:$A$17,1),INDEX(StageAreaVolume!$B$6:$B$17,1),IF(C21&gt;=INDEX(StageAreaVolume!$A$6:$A$17,COUNTA(StageAreaVolume!$A$6:$A$17)),INDEX(StageAreaVolume!$B$6:$B$17,COUNTA(StageAreaVolume!$A$6:$A$17)),(INDEX(StageAreaVolume!$B$6:$B$17,MATCH(C21,StageAreaVolume!$A$6:$A$17,1))+(C21-INDEX(StageAreaVolume!$A$6:$A$17,MATCH(C21,StageAreaVolume!$A$6:$A$17,1)))/(INDEX(StageAreaVolume!$A$6:$A$17,MATCH(C21,StageAreaVolume!$A$6:$A$17,1)+1)-INDEX(StageAreaVolume!$A$6:$A$17,MATCH(C21,StageAreaVolume!$A$6:$A$17,1)))*(INDEX(StageAreaVolume!$B$6:$B$17,MATCH(C21,StageAreaVolume!$A$6:$A$17,1)+1)-INDEX(StageAreaVolume!$B$6:$B$17,MATCH(C21,StageAreaVolume!$A$6:$A$17,1)))))))))</f>
        <v/>
      </c>
      <c r="I21" s="18">
        <f>IF(A21="","",IF(C21="","",IF(C21&lt;=INDEX(StageAreaVolume!$A$6:$A$17,1),INDEX(StageAreaVolume!$D$6:$D$17,1),IF(C21&gt;=INDEX(StageAreaVolume!$A$6:$A$17,COUNTA(StageAreaVolume!$A$6:$A$17)),INDEX(StageAreaVolume!$D$6:$D$17,COUNTA(StageAreaVolume!$A$6:$A$17)),(INDEX(StageAreaVolume!$D$6:$D$17,MATCH(C21,StageAreaVolume!$A$6:$A$17,1))+(C21-INDEX(StageAreaVolume!$A$6:$A$17,MATCH(C21,StageAreaVolume!$A$6:$A$17,1)))/(INDEX(StageAreaVolume!$A$6:$A$17,MATCH(C21,StageAreaVolume!$A$6:$A$17,1)+1)-INDEX(StageAreaVolume!$A$6:$A$17,MATCH(C21,StageAreaVolume!$A$6:$A$17,1)))*(INDEX(StageAreaVolume!$D$6:$D$17,MATCH(C21,StageAreaVolume!$A$6:$A$17,1)+1)-INDEX(StageAreaVolume!$D$6:$D$17,MATCH(C21,StageAreaVolume!$A$6:$A$17,1)))))))))</f>
        <v/>
      </c>
      <c r="J21" s="25">
        <f>IF(A21="","",IF(A20="",NA(),C20))</f>
        <v/>
      </c>
      <c r="K21" s="19">
        <f>IF(OR(A21="",ISNA(J21)),IF(A21="","",H21),(H20+H21)/2)</f>
        <v/>
      </c>
      <c r="L21" s="19">
        <f>IF(OR(A21="",ISNA(J21)),0,IF(AND(B21=0,D21="N",E21="N",C21&lt;J21,C21&gt;0),1,0))</f>
        <v/>
      </c>
      <c r="M21" s="25">
        <f>IF(L21&lt;&gt;1,"",IF(K21&lt;=0,"",(I20-I21-G21/1000*K21)/K21*1000))</f>
        <v/>
      </c>
      <c r="N21" s="18">
        <f>IF(A21="","",IF(L21=1,I20-I21-O21,IF(OR(C21&gt;0,N(J21)&gt;0),MeanMDWIR/1000*K21,0)))</f>
        <v/>
      </c>
      <c r="O21" s="18">
        <f>IF(A21="","",G21/1000*K21)</f>
        <v/>
      </c>
      <c r="P21" s="27">
        <f>IF(A21="","",IF(L21=1,"dry",IF(D21="Y","spill",IF(B21&gt;0,"wet",IF(E21="Y","pumped","other")))))</f>
        <v/>
      </c>
    </row>
    <row r="22">
      <c r="A22" s="26">
        <f>IF(DailyPond!A22="","",DailyPond!A22)</f>
        <v/>
      </c>
      <c r="B22" s="18">
        <f>IF(A22="","",DailyPond!B22)</f>
        <v/>
      </c>
      <c r="C22" s="25">
        <f>IF(A22="","",DailyPond!C22)</f>
        <v/>
      </c>
      <c r="D22" s="27">
        <f>IF(A22="","",DailyPond!D22)</f>
        <v/>
      </c>
      <c r="E22" s="27">
        <f>IF(A22="","",DailyPond!E22)</f>
        <v/>
      </c>
      <c r="F22" s="19">
        <f>IF(A22="","",MONTH(A22))</f>
        <v/>
      </c>
      <c r="G22" s="18">
        <f>IF(A22="","",VLOOKUP(F22,Evaporation!$A$6:$B$17,2,FALSE))</f>
        <v/>
      </c>
      <c r="H22" s="19">
        <f>IF(A22="","",IF(C22="","",IF(C22&lt;=INDEX(StageAreaVolume!$A$6:$A$17,1),INDEX(StageAreaVolume!$B$6:$B$17,1),IF(C22&gt;=INDEX(StageAreaVolume!$A$6:$A$17,COUNTA(StageAreaVolume!$A$6:$A$17)),INDEX(StageAreaVolume!$B$6:$B$17,COUNTA(StageAreaVolume!$A$6:$A$17)),(INDEX(StageAreaVolume!$B$6:$B$17,MATCH(C22,StageAreaVolume!$A$6:$A$17,1))+(C22-INDEX(StageAreaVolume!$A$6:$A$17,MATCH(C22,StageAreaVolume!$A$6:$A$17,1)))/(INDEX(StageAreaVolume!$A$6:$A$17,MATCH(C22,StageAreaVolume!$A$6:$A$17,1)+1)-INDEX(StageAreaVolume!$A$6:$A$17,MATCH(C22,StageAreaVolume!$A$6:$A$17,1)))*(INDEX(StageAreaVolume!$B$6:$B$17,MATCH(C22,StageAreaVolume!$A$6:$A$17,1)+1)-INDEX(StageAreaVolume!$B$6:$B$17,MATCH(C22,StageAreaVolume!$A$6:$A$17,1)))))))))</f>
        <v/>
      </c>
      <c r="I22" s="18">
        <f>IF(A22="","",IF(C22="","",IF(C22&lt;=INDEX(StageAreaVolume!$A$6:$A$17,1),INDEX(StageAreaVolume!$D$6:$D$17,1),IF(C22&gt;=INDEX(StageAreaVolume!$A$6:$A$17,COUNTA(StageAreaVolume!$A$6:$A$17)),INDEX(StageAreaVolume!$D$6:$D$17,COUNTA(StageAreaVolume!$A$6:$A$17)),(INDEX(StageAreaVolume!$D$6:$D$17,MATCH(C22,StageAreaVolume!$A$6:$A$17,1))+(C22-INDEX(StageAreaVolume!$A$6:$A$17,MATCH(C22,StageAreaVolume!$A$6:$A$17,1)))/(INDEX(StageAreaVolume!$A$6:$A$17,MATCH(C22,StageAreaVolume!$A$6:$A$17,1)+1)-INDEX(StageAreaVolume!$A$6:$A$17,MATCH(C22,StageAreaVolume!$A$6:$A$17,1)))*(INDEX(StageAreaVolume!$D$6:$D$17,MATCH(C22,StageAreaVolume!$A$6:$A$17,1)+1)-INDEX(StageAreaVolume!$D$6:$D$17,MATCH(C22,StageAreaVolume!$A$6:$A$17,1)))))))))</f>
        <v/>
      </c>
      <c r="J22" s="25">
        <f>IF(A22="","",IF(A21="",NA(),C21))</f>
        <v/>
      </c>
      <c r="K22" s="19">
        <f>IF(OR(A22="",ISNA(J22)),IF(A22="","",H22),(H21+H22)/2)</f>
        <v/>
      </c>
      <c r="L22" s="19">
        <f>IF(OR(A22="",ISNA(J22)),0,IF(AND(B22=0,D22="N",E22="N",C22&lt;J22,C22&gt;0),1,0))</f>
        <v/>
      </c>
      <c r="M22" s="25">
        <f>IF(L22&lt;&gt;1,"",IF(K22&lt;=0,"",(I21-I22-G22/1000*K22)/K22*1000))</f>
        <v/>
      </c>
      <c r="N22" s="18">
        <f>IF(A22="","",IF(L22=1,I21-I22-O22,IF(OR(C22&gt;0,N(J22)&gt;0),MeanMDWIR/1000*K22,0)))</f>
        <v/>
      </c>
      <c r="O22" s="18">
        <f>IF(A22="","",G22/1000*K22)</f>
        <v/>
      </c>
      <c r="P22" s="27">
        <f>IF(A22="","",IF(L22=1,"dry",IF(D22="Y","spill",IF(B22&gt;0,"wet",IF(E22="Y","pumped","other")))))</f>
        <v/>
      </c>
    </row>
    <row r="23">
      <c r="A23" s="26">
        <f>IF(DailyPond!A23="","",DailyPond!A23)</f>
        <v/>
      </c>
      <c r="B23" s="18">
        <f>IF(A23="","",DailyPond!B23)</f>
        <v/>
      </c>
      <c r="C23" s="25">
        <f>IF(A23="","",DailyPond!C23)</f>
        <v/>
      </c>
      <c r="D23" s="27">
        <f>IF(A23="","",DailyPond!D23)</f>
        <v/>
      </c>
      <c r="E23" s="27">
        <f>IF(A23="","",DailyPond!E23)</f>
        <v/>
      </c>
      <c r="F23" s="19">
        <f>IF(A23="","",MONTH(A23))</f>
        <v/>
      </c>
      <c r="G23" s="18">
        <f>IF(A23="","",VLOOKUP(F23,Evaporation!$A$6:$B$17,2,FALSE))</f>
        <v/>
      </c>
      <c r="H23" s="19">
        <f>IF(A23="","",IF(C23="","",IF(C23&lt;=INDEX(StageAreaVolume!$A$6:$A$17,1),INDEX(StageAreaVolume!$B$6:$B$17,1),IF(C23&gt;=INDEX(StageAreaVolume!$A$6:$A$17,COUNTA(StageAreaVolume!$A$6:$A$17)),INDEX(StageAreaVolume!$B$6:$B$17,COUNTA(StageAreaVolume!$A$6:$A$17)),(INDEX(StageAreaVolume!$B$6:$B$17,MATCH(C23,StageAreaVolume!$A$6:$A$17,1))+(C23-INDEX(StageAreaVolume!$A$6:$A$17,MATCH(C23,StageAreaVolume!$A$6:$A$17,1)))/(INDEX(StageAreaVolume!$A$6:$A$17,MATCH(C23,StageAreaVolume!$A$6:$A$17,1)+1)-INDEX(StageAreaVolume!$A$6:$A$17,MATCH(C23,StageAreaVolume!$A$6:$A$17,1)))*(INDEX(StageAreaVolume!$B$6:$B$17,MATCH(C23,StageAreaVolume!$A$6:$A$17,1)+1)-INDEX(StageAreaVolume!$B$6:$B$17,MATCH(C23,StageAreaVolume!$A$6:$A$17,1)))))))))</f>
        <v/>
      </c>
      <c r="I23" s="18">
        <f>IF(A23="","",IF(C23="","",IF(C23&lt;=INDEX(StageAreaVolume!$A$6:$A$17,1),INDEX(StageAreaVolume!$D$6:$D$17,1),IF(C23&gt;=INDEX(StageAreaVolume!$A$6:$A$17,COUNTA(StageAreaVolume!$A$6:$A$17)),INDEX(StageAreaVolume!$D$6:$D$17,COUNTA(StageAreaVolume!$A$6:$A$17)),(INDEX(StageAreaVolume!$D$6:$D$17,MATCH(C23,StageAreaVolume!$A$6:$A$17,1))+(C23-INDEX(StageAreaVolume!$A$6:$A$17,MATCH(C23,StageAreaVolume!$A$6:$A$17,1)))/(INDEX(StageAreaVolume!$A$6:$A$17,MATCH(C23,StageAreaVolume!$A$6:$A$17,1)+1)-INDEX(StageAreaVolume!$A$6:$A$17,MATCH(C23,StageAreaVolume!$A$6:$A$17,1)))*(INDEX(StageAreaVolume!$D$6:$D$17,MATCH(C23,StageAreaVolume!$A$6:$A$17,1)+1)-INDEX(StageAreaVolume!$D$6:$D$17,MATCH(C23,StageAreaVolume!$A$6:$A$17,1)))))))))</f>
        <v/>
      </c>
      <c r="J23" s="25">
        <f>IF(A23="","",IF(A22="",NA(),C22))</f>
        <v/>
      </c>
      <c r="K23" s="19">
        <f>IF(OR(A23="",ISNA(J23)),IF(A23="","",H23),(H22+H23)/2)</f>
        <v/>
      </c>
      <c r="L23" s="19">
        <f>IF(OR(A23="",ISNA(J23)),0,IF(AND(B23=0,D23="N",E23="N",C23&lt;J23,C23&gt;0),1,0))</f>
        <v/>
      </c>
      <c r="M23" s="25">
        <f>IF(L23&lt;&gt;1,"",IF(K23&lt;=0,"",(I22-I23-G23/1000*K23)/K23*1000))</f>
        <v/>
      </c>
      <c r="N23" s="18">
        <f>IF(A23="","",IF(L23=1,I22-I23-O23,IF(OR(C23&gt;0,N(J23)&gt;0),MeanMDWIR/1000*K23,0)))</f>
        <v/>
      </c>
      <c r="O23" s="18">
        <f>IF(A23="","",G23/1000*K23)</f>
        <v/>
      </c>
      <c r="P23" s="27">
        <f>IF(A23="","",IF(L23=1,"dry",IF(D23="Y","spill",IF(B23&gt;0,"wet",IF(E23="Y","pumped","other")))))</f>
        <v/>
      </c>
    </row>
    <row r="24">
      <c r="A24" s="26">
        <f>IF(DailyPond!A24="","",DailyPond!A24)</f>
        <v/>
      </c>
      <c r="B24" s="18">
        <f>IF(A24="","",DailyPond!B24)</f>
        <v/>
      </c>
      <c r="C24" s="25">
        <f>IF(A24="","",DailyPond!C24)</f>
        <v/>
      </c>
      <c r="D24" s="27">
        <f>IF(A24="","",DailyPond!D24)</f>
        <v/>
      </c>
      <c r="E24" s="27">
        <f>IF(A24="","",DailyPond!E24)</f>
        <v/>
      </c>
      <c r="F24" s="19">
        <f>IF(A24="","",MONTH(A24))</f>
        <v/>
      </c>
      <c r="G24" s="18">
        <f>IF(A24="","",VLOOKUP(F24,Evaporation!$A$6:$B$17,2,FALSE))</f>
        <v/>
      </c>
      <c r="H24" s="19">
        <f>IF(A24="","",IF(C24="","",IF(C24&lt;=INDEX(StageAreaVolume!$A$6:$A$17,1),INDEX(StageAreaVolume!$B$6:$B$17,1),IF(C24&gt;=INDEX(StageAreaVolume!$A$6:$A$17,COUNTA(StageAreaVolume!$A$6:$A$17)),INDEX(StageAreaVolume!$B$6:$B$17,COUNTA(StageAreaVolume!$A$6:$A$17)),(INDEX(StageAreaVolume!$B$6:$B$17,MATCH(C24,StageAreaVolume!$A$6:$A$17,1))+(C24-INDEX(StageAreaVolume!$A$6:$A$17,MATCH(C24,StageAreaVolume!$A$6:$A$17,1)))/(INDEX(StageAreaVolume!$A$6:$A$17,MATCH(C24,StageAreaVolume!$A$6:$A$17,1)+1)-INDEX(StageAreaVolume!$A$6:$A$17,MATCH(C24,StageAreaVolume!$A$6:$A$17,1)))*(INDEX(StageAreaVolume!$B$6:$B$17,MATCH(C24,StageAreaVolume!$A$6:$A$17,1)+1)-INDEX(StageAreaVolume!$B$6:$B$17,MATCH(C24,StageAreaVolume!$A$6:$A$17,1)))))))))</f>
        <v/>
      </c>
      <c r="I24" s="18">
        <f>IF(A24="","",IF(C24="","",IF(C24&lt;=INDEX(StageAreaVolume!$A$6:$A$17,1),INDEX(StageAreaVolume!$D$6:$D$17,1),IF(C24&gt;=INDEX(StageAreaVolume!$A$6:$A$17,COUNTA(StageAreaVolume!$A$6:$A$17)),INDEX(StageAreaVolume!$D$6:$D$17,COUNTA(StageAreaVolume!$A$6:$A$17)),(INDEX(StageAreaVolume!$D$6:$D$17,MATCH(C24,StageAreaVolume!$A$6:$A$17,1))+(C24-INDEX(StageAreaVolume!$A$6:$A$17,MATCH(C24,StageAreaVolume!$A$6:$A$17,1)))/(INDEX(StageAreaVolume!$A$6:$A$17,MATCH(C24,StageAreaVolume!$A$6:$A$17,1)+1)-INDEX(StageAreaVolume!$A$6:$A$17,MATCH(C24,StageAreaVolume!$A$6:$A$17,1)))*(INDEX(StageAreaVolume!$D$6:$D$17,MATCH(C24,StageAreaVolume!$A$6:$A$17,1)+1)-INDEX(StageAreaVolume!$D$6:$D$17,MATCH(C24,StageAreaVolume!$A$6:$A$17,1)))))))))</f>
        <v/>
      </c>
      <c r="J24" s="25">
        <f>IF(A24="","",IF(A23="",NA(),C23))</f>
        <v/>
      </c>
      <c r="K24" s="19">
        <f>IF(OR(A24="",ISNA(J24)),IF(A24="","",H24),(H23+H24)/2)</f>
        <v/>
      </c>
      <c r="L24" s="19">
        <f>IF(OR(A24="",ISNA(J24)),0,IF(AND(B24=0,D24="N",E24="N",C24&lt;J24,C24&gt;0),1,0))</f>
        <v/>
      </c>
      <c r="M24" s="25">
        <f>IF(L24&lt;&gt;1,"",IF(K24&lt;=0,"",(I23-I24-G24/1000*K24)/K24*1000))</f>
        <v/>
      </c>
      <c r="N24" s="18">
        <f>IF(A24="","",IF(L24=1,I23-I24-O24,IF(OR(C24&gt;0,N(J24)&gt;0),MeanMDWIR/1000*K24,0)))</f>
        <v/>
      </c>
      <c r="O24" s="18">
        <f>IF(A24="","",G24/1000*K24)</f>
        <v/>
      </c>
      <c r="P24" s="27">
        <f>IF(A24="","",IF(L24=1,"dry",IF(D24="Y","spill",IF(B24&gt;0,"wet",IF(E24="Y","pumped","other")))))</f>
        <v/>
      </c>
    </row>
    <row r="25">
      <c r="A25" s="26">
        <f>IF(DailyPond!A25="","",DailyPond!A25)</f>
        <v/>
      </c>
      <c r="B25" s="18">
        <f>IF(A25="","",DailyPond!B25)</f>
        <v/>
      </c>
      <c r="C25" s="25">
        <f>IF(A25="","",DailyPond!C25)</f>
        <v/>
      </c>
      <c r="D25" s="27">
        <f>IF(A25="","",DailyPond!D25)</f>
        <v/>
      </c>
      <c r="E25" s="27">
        <f>IF(A25="","",DailyPond!E25)</f>
        <v/>
      </c>
      <c r="F25" s="19">
        <f>IF(A25="","",MONTH(A25))</f>
        <v/>
      </c>
      <c r="G25" s="18">
        <f>IF(A25="","",VLOOKUP(F25,Evaporation!$A$6:$B$17,2,FALSE))</f>
        <v/>
      </c>
      <c r="H25" s="19">
        <f>IF(A25="","",IF(C25="","",IF(C25&lt;=INDEX(StageAreaVolume!$A$6:$A$17,1),INDEX(StageAreaVolume!$B$6:$B$17,1),IF(C25&gt;=INDEX(StageAreaVolume!$A$6:$A$17,COUNTA(StageAreaVolume!$A$6:$A$17)),INDEX(StageAreaVolume!$B$6:$B$17,COUNTA(StageAreaVolume!$A$6:$A$17)),(INDEX(StageAreaVolume!$B$6:$B$17,MATCH(C25,StageAreaVolume!$A$6:$A$17,1))+(C25-INDEX(StageAreaVolume!$A$6:$A$17,MATCH(C25,StageAreaVolume!$A$6:$A$17,1)))/(INDEX(StageAreaVolume!$A$6:$A$17,MATCH(C25,StageAreaVolume!$A$6:$A$17,1)+1)-INDEX(StageAreaVolume!$A$6:$A$17,MATCH(C25,StageAreaVolume!$A$6:$A$17,1)))*(INDEX(StageAreaVolume!$B$6:$B$17,MATCH(C25,StageAreaVolume!$A$6:$A$17,1)+1)-INDEX(StageAreaVolume!$B$6:$B$17,MATCH(C25,StageAreaVolume!$A$6:$A$17,1)))))))))</f>
        <v/>
      </c>
      <c r="I25" s="18">
        <f>IF(A25="","",IF(C25="","",IF(C25&lt;=INDEX(StageAreaVolume!$A$6:$A$17,1),INDEX(StageAreaVolume!$D$6:$D$17,1),IF(C25&gt;=INDEX(StageAreaVolume!$A$6:$A$17,COUNTA(StageAreaVolume!$A$6:$A$17)),INDEX(StageAreaVolume!$D$6:$D$17,COUNTA(StageAreaVolume!$A$6:$A$17)),(INDEX(StageAreaVolume!$D$6:$D$17,MATCH(C25,StageAreaVolume!$A$6:$A$17,1))+(C25-INDEX(StageAreaVolume!$A$6:$A$17,MATCH(C25,StageAreaVolume!$A$6:$A$17,1)))/(INDEX(StageAreaVolume!$A$6:$A$17,MATCH(C25,StageAreaVolume!$A$6:$A$17,1)+1)-INDEX(StageAreaVolume!$A$6:$A$17,MATCH(C25,StageAreaVolume!$A$6:$A$17,1)))*(INDEX(StageAreaVolume!$D$6:$D$17,MATCH(C25,StageAreaVolume!$A$6:$A$17,1)+1)-INDEX(StageAreaVolume!$D$6:$D$17,MATCH(C25,StageAreaVolume!$A$6:$A$17,1)))))))))</f>
        <v/>
      </c>
      <c r="J25" s="25">
        <f>IF(A25="","",IF(A24="",NA(),C24))</f>
        <v/>
      </c>
      <c r="K25" s="19">
        <f>IF(OR(A25="",ISNA(J25)),IF(A25="","",H25),(H24+H25)/2)</f>
        <v/>
      </c>
      <c r="L25" s="19">
        <f>IF(OR(A25="",ISNA(J25)),0,IF(AND(B25=0,D25="N",E25="N",C25&lt;J25,C25&gt;0),1,0))</f>
        <v/>
      </c>
      <c r="M25" s="25">
        <f>IF(L25&lt;&gt;1,"",IF(K25&lt;=0,"",(I24-I25-G25/1000*K25)/K25*1000))</f>
        <v/>
      </c>
      <c r="N25" s="18">
        <f>IF(A25="","",IF(L25=1,I24-I25-O25,IF(OR(C25&gt;0,N(J25)&gt;0),MeanMDWIR/1000*K25,0)))</f>
        <v/>
      </c>
      <c r="O25" s="18">
        <f>IF(A25="","",G25/1000*K25)</f>
        <v/>
      </c>
      <c r="P25" s="27">
        <f>IF(A25="","",IF(L25=1,"dry",IF(D25="Y","spill",IF(B25&gt;0,"wet",IF(E25="Y","pumped","other")))))</f>
        <v/>
      </c>
    </row>
    <row r="26">
      <c r="A26" s="26">
        <f>IF(DailyPond!A26="","",DailyPond!A26)</f>
        <v/>
      </c>
      <c r="B26" s="18">
        <f>IF(A26="","",DailyPond!B26)</f>
        <v/>
      </c>
      <c r="C26" s="25">
        <f>IF(A26="","",DailyPond!C26)</f>
        <v/>
      </c>
      <c r="D26" s="27">
        <f>IF(A26="","",DailyPond!D26)</f>
        <v/>
      </c>
      <c r="E26" s="27">
        <f>IF(A26="","",DailyPond!E26)</f>
        <v/>
      </c>
      <c r="F26" s="19">
        <f>IF(A26="","",MONTH(A26))</f>
        <v/>
      </c>
      <c r="G26" s="18">
        <f>IF(A26="","",VLOOKUP(F26,Evaporation!$A$6:$B$17,2,FALSE))</f>
        <v/>
      </c>
      <c r="H26" s="19">
        <f>IF(A26="","",IF(C26="","",IF(C26&lt;=INDEX(StageAreaVolume!$A$6:$A$17,1),INDEX(StageAreaVolume!$B$6:$B$17,1),IF(C26&gt;=INDEX(StageAreaVolume!$A$6:$A$17,COUNTA(StageAreaVolume!$A$6:$A$17)),INDEX(StageAreaVolume!$B$6:$B$17,COUNTA(StageAreaVolume!$A$6:$A$17)),(INDEX(StageAreaVolume!$B$6:$B$17,MATCH(C26,StageAreaVolume!$A$6:$A$17,1))+(C26-INDEX(StageAreaVolume!$A$6:$A$17,MATCH(C26,StageAreaVolume!$A$6:$A$17,1)))/(INDEX(StageAreaVolume!$A$6:$A$17,MATCH(C26,StageAreaVolume!$A$6:$A$17,1)+1)-INDEX(StageAreaVolume!$A$6:$A$17,MATCH(C26,StageAreaVolume!$A$6:$A$17,1)))*(INDEX(StageAreaVolume!$B$6:$B$17,MATCH(C26,StageAreaVolume!$A$6:$A$17,1)+1)-INDEX(StageAreaVolume!$B$6:$B$17,MATCH(C26,StageAreaVolume!$A$6:$A$17,1)))))))))</f>
        <v/>
      </c>
      <c r="I26" s="18">
        <f>IF(A26="","",IF(C26="","",IF(C26&lt;=INDEX(StageAreaVolume!$A$6:$A$17,1),INDEX(StageAreaVolume!$D$6:$D$17,1),IF(C26&gt;=INDEX(StageAreaVolume!$A$6:$A$17,COUNTA(StageAreaVolume!$A$6:$A$17)),INDEX(StageAreaVolume!$D$6:$D$17,COUNTA(StageAreaVolume!$A$6:$A$17)),(INDEX(StageAreaVolume!$D$6:$D$17,MATCH(C26,StageAreaVolume!$A$6:$A$17,1))+(C26-INDEX(StageAreaVolume!$A$6:$A$17,MATCH(C26,StageAreaVolume!$A$6:$A$17,1)))/(INDEX(StageAreaVolume!$A$6:$A$17,MATCH(C26,StageAreaVolume!$A$6:$A$17,1)+1)-INDEX(StageAreaVolume!$A$6:$A$17,MATCH(C26,StageAreaVolume!$A$6:$A$17,1)))*(INDEX(StageAreaVolume!$D$6:$D$17,MATCH(C26,StageAreaVolume!$A$6:$A$17,1)+1)-INDEX(StageAreaVolume!$D$6:$D$17,MATCH(C26,StageAreaVolume!$A$6:$A$17,1)))))))))</f>
        <v/>
      </c>
      <c r="J26" s="25">
        <f>IF(A26="","",IF(A25="",NA(),C25))</f>
        <v/>
      </c>
      <c r="K26" s="19">
        <f>IF(OR(A26="",ISNA(J26)),IF(A26="","",H26),(H25+H26)/2)</f>
        <v/>
      </c>
      <c r="L26" s="19">
        <f>IF(OR(A26="",ISNA(J26)),0,IF(AND(B26=0,D26="N",E26="N",C26&lt;J26,C26&gt;0),1,0))</f>
        <v/>
      </c>
      <c r="M26" s="25">
        <f>IF(L26&lt;&gt;1,"",IF(K26&lt;=0,"",(I25-I26-G26/1000*K26)/K26*1000))</f>
        <v/>
      </c>
      <c r="N26" s="18">
        <f>IF(A26="","",IF(L26=1,I25-I26-O26,IF(OR(C26&gt;0,N(J26)&gt;0),MeanMDWIR/1000*K26,0)))</f>
        <v/>
      </c>
      <c r="O26" s="18">
        <f>IF(A26="","",G26/1000*K26)</f>
        <v/>
      </c>
      <c r="P26" s="27">
        <f>IF(A26="","",IF(L26=1,"dry",IF(D26="Y","spill",IF(B26&gt;0,"wet",IF(E26="Y","pumped","other")))))</f>
        <v/>
      </c>
    </row>
    <row r="27">
      <c r="A27" s="26">
        <f>IF(DailyPond!A27="","",DailyPond!A27)</f>
        <v/>
      </c>
      <c r="B27" s="18">
        <f>IF(A27="","",DailyPond!B27)</f>
        <v/>
      </c>
      <c r="C27" s="25">
        <f>IF(A27="","",DailyPond!C27)</f>
        <v/>
      </c>
      <c r="D27" s="27">
        <f>IF(A27="","",DailyPond!D27)</f>
        <v/>
      </c>
      <c r="E27" s="27">
        <f>IF(A27="","",DailyPond!E27)</f>
        <v/>
      </c>
      <c r="F27" s="19">
        <f>IF(A27="","",MONTH(A27))</f>
        <v/>
      </c>
      <c r="G27" s="18">
        <f>IF(A27="","",VLOOKUP(F27,Evaporation!$A$6:$B$17,2,FALSE))</f>
        <v/>
      </c>
      <c r="H27" s="19">
        <f>IF(A27="","",IF(C27="","",IF(C27&lt;=INDEX(StageAreaVolume!$A$6:$A$17,1),INDEX(StageAreaVolume!$B$6:$B$17,1),IF(C27&gt;=INDEX(StageAreaVolume!$A$6:$A$17,COUNTA(StageAreaVolume!$A$6:$A$17)),INDEX(StageAreaVolume!$B$6:$B$17,COUNTA(StageAreaVolume!$A$6:$A$17)),(INDEX(StageAreaVolume!$B$6:$B$17,MATCH(C27,StageAreaVolume!$A$6:$A$17,1))+(C27-INDEX(StageAreaVolume!$A$6:$A$17,MATCH(C27,StageAreaVolume!$A$6:$A$17,1)))/(INDEX(StageAreaVolume!$A$6:$A$17,MATCH(C27,StageAreaVolume!$A$6:$A$17,1)+1)-INDEX(StageAreaVolume!$A$6:$A$17,MATCH(C27,StageAreaVolume!$A$6:$A$17,1)))*(INDEX(StageAreaVolume!$B$6:$B$17,MATCH(C27,StageAreaVolume!$A$6:$A$17,1)+1)-INDEX(StageAreaVolume!$B$6:$B$17,MATCH(C27,StageAreaVolume!$A$6:$A$17,1)))))))))</f>
        <v/>
      </c>
      <c r="I27" s="18">
        <f>IF(A27="","",IF(C27="","",IF(C27&lt;=INDEX(StageAreaVolume!$A$6:$A$17,1),INDEX(StageAreaVolume!$D$6:$D$17,1),IF(C27&gt;=INDEX(StageAreaVolume!$A$6:$A$17,COUNTA(StageAreaVolume!$A$6:$A$17)),INDEX(StageAreaVolume!$D$6:$D$17,COUNTA(StageAreaVolume!$A$6:$A$17)),(INDEX(StageAreaVolume!$D$6:$D$17,MATCH(C27,StageAreaVolume!$A$6:$A$17,1))+(C27-INDEX(StageAreaVolume!$A$6:$A$17,MATCH(C27,StageAreaVolume!$A$6:$A$17,1)))/(INDEX(StageAreaVolume!$A$6:$A$17,MATCH(C27,StageAreaVolume!$A$6:$A$17,1)+1)-INDEX(StageAreaVolume!$A$6:$A$17,MATCH(C27,StageAreaVolume!$A$6:$A$17,1)))*(INDEX(StageAreaVolume!$D$6:$D$17,MATCH(C27,StageAreaVolume!$A$6:$A$17,1)+1)-INDEX(StageAreaVolume!$D$6:$D$17,MATCH(C27,StageAreaVolume!$A$6:$A$17,1)))))))))</f>
        <v/>
      </c>
      <c r="J27" s="25">
        <f>IF(A27="","",IF(A26="",NA(),C26))</f>
        <v/>
      </c>
      <c r="K27" s="19">
        <f>IF(OR(A27="",ISNA(J27)),IF(A27="","",H27),(H26+H27)/2)</f>
        <v/>
      </c>
      <c r="L27" s="19">
        <f>IF(OR(A27="",ISNA(J27)),0,IF(AND(B27=0,D27="N",E27="N",C27&lt;J27,C27&gt;0),1,0))</f>
        <v/>
      </c>
      <c r="M27" s="25">
        <f>IF(L27&lt;&gt;1,"",IF(K27&lt;=0,"",(I26-I27-G27/1000*K27)/K27*1000))</f>
        <v/>
      </c>
      <c r="N27" s="18">
        <f>IF(A27="","",IF(L27=1,I26-I27-O27,IF(OR(C27&gt;0,N(J27)&gt;0),MeanMDWIR/1000*K27,0)))</f>
        <v/>
      </c>
      <c r="O27" s="18">
        <f>IF(A27="","",G27/1000*K27)</f>
        <v/>
      </c>
      <c r="P27" s="27">
        <f>IF(A27="","",IF(L27=1,"dry",IF(D27="Y","spill",IF(B27&gt;0,"wet",IF(E27="Y","pumped","other")))))</f>
        <v/>
      </c>
    </row>
    <row r="28">
      <c r="A28" s="26">
        <f>IF(DailyPond!A28="","",DailyPond!A28)</f>
        <v/>
      </c>
      <c r="B28" s="18">
        <f>IF(A28="","",DailyPond!B28)</f>
        <v/>
      </c>
      <c r="C28" s="25">
        <f>IF(A28="","",DailyPond!C28)</f>
        <v/>
      </c>
      <c r="D28" s="27">
        <f>IF(A28="","",DailyPond!D28)</f>
        <v/>
      </c>
      <c r="E28" s="27">
        <f>IF(A28="","",DailyPond!E28)</f>
        <v/>
      </c>
      <c r="F28" s="19">
        <f>IF(A28="","",MONTH(A28))</f>
        <v/>
      </c>
      <c r="G28" s="18">
        <f>IF(A28="","",VLOOKUP(F28,Evaporation!$A$6:$B$17,2,FALSE))</f>
        <v/>
      </c>
      <c r="H28" s="19">
        <f>IF(A28="","",IF(C28="","",IF(C28&lt;=INDEX(StageAreaVolume!$A$6:$A$17,1),INDEX(StageAreaVolume!$B$6:$B$17,1),IF(C28&gt;=INDEX(StageAreaVolume!$A$6:$A$17,COUNTA(StageAreaVolume!$A$6:$A$17)),INDEX(StageAreaVolume!$B$6:$B$17,COUNTA(StageAreaVolume!$A$6:$A$17)),(INDEX(StageAreaVolume!$B$6:$B$17,MATCH(C28,StageAreaVolume!$A$6:$A$17,1))+(C28-INDEX(StageAreaVolume!$A$6:$A$17,MATCH(C28,StageAreaVolume!$A$6:$A$17,1)))/(INDEX(StageAreaVolume!$A$6:$A$17,MATCH(C28,StageAreaVolume!$A$6:$A$17,1)+1)-INDEX(StageAreaVolume!$A$6:$A$17,MATCH(C28,StageAreaVolume!$A$6:$A$17,1)))*(INDEX(StageAreaVolume!$B$6:$B$17,MATCH(C28,StageAreaVolume!$A$6:$A$17,1)+1)-INDEX(StageAreaVolume!$B$6:$B$17,MATCH(C28,StageAreaVolume!$A$6:$A$17,1)))))))))</f>
        <v/>
      </c>
      <c r="I28" s="18">
        <f>IF(A28="","",IF(C28="","",IF(C28&lt;=INDEX(StageAreaVolume!$A$6:$A$17,1),INDEX(StageAreaVolume!$D$6:$D$17,1),IF(C28&gt;=INDEX(StageAreaVolume!$A$6:$A$17,COUNTA(StageAreaVolume!$A$6:$A$17)),INDEX(StageAreaVolume!$D$6:$D$17,COUNTA(StageAreaVolume!$A$6:$A$17)),(INDEX(StageAreaVolume!$D$6:$D$17,MATCH(C28,StageAreaVolume!$A$6:$A$17,1))+(C28-INDEX(StageAreaVolume!$A$6:$A$17,MATCH(C28,StageAreaVolume!$A$6:$A$17,1)))/(INDEX(StageAreaVolume!$A$6:$A$17,MATCH(C28,StageAreaVolume!$A$6:$A$17,1)+1)-INDEX(StageAreaVolume!$A$6:$A$17,MATCH(C28,StageAreaVolume!$A$6:$A$17,1)))*(INDEX(StageAreaVolume!$D$6:$D$17,MATCH(C28,StageAreaVolume!$A$6:$A$17,1)+1)-INDEX(StageAreaVolume!$D$6:$D$17,MATCH(C28,StageAreaVolume!$A$6:$A$17,1)))))))))</f>
        <v/>
      </c>
      <c r="J28" s="25">
        <f>IF(A28="","",IF(A27="",NA(),C27))</f>
        <v/>
      </c>
      <c r="K28" s="19">
        <f>IF(OR(A28="",ISNA(J28)),IF(A28="","",H28),(H27+H28)/2)</f>
        <v/>
      </c>
      <c r="L28" s="19">
        <f>IF(OR(A28="",ISNA(J28)),0,IF(AND(B28=0,D28="N",E28="N",C28&lt;J28,C28&gt;0),1,0))</f>
        <v/>
      </c>
      <c r="M28" s="25">
        <f>IF(L28&lt;&gt;1,"",IF(K28&lt;=0,"",(I27-I28-G28/1000*K28)/K28*1000))</f>
        <v/>
      </c>
      <c r="N28" s="18">
        <f>IF(A28="","",IF(L28=1,I27-I28-O28,IF(OR(C28&gt;0,N(J28)&gt;0),MeanMDWIR/1000*K28,0)))</f>
        <v/>
      </c>
      <c r="O28" s="18">
        <f>IF(A28="","",G28/1000*K28)</f>
        <v/>
      </c>
      <c r="P28" s="27">
        <f>IF(A28="","",IF(L28=1,"dry",IF(D28="Y","spill",IF(B28&gt;0,"wet",IF(E28="Y","pumped","other")))))</f>
        <v/>
      </c>
    </row>
    <row r="29">
      <c r="A29" s="26">
        <f>IF(DailyPond!A29="","",DailyPond!A29)</f>
        <v/>
      </c>
      <c r="B29" s="18">
        <f>IF(A29="","",DailyPond!B29)</f>
        <v/>
      </c>
      <c r="C29" s="25">
        <f>IF(A29="","",DailyPond!C29)</f>
        <v/>
      </c>
      <c r="D29" s="27">
        <f>IF(A29="","",DailyPond!D29)</f>
        <v/>
      </c>
      <c r="E29" s="27">
        <f>IF(A29="","",DailyPond!E29)</f>
        <v/>
      </c>
      <c r="F29" s="19">
        <f>IF(A29="","",MONTH(A29))</f>
        <v/>
      </c>
      <c r="G29" s="18">
        <f>IF(A29="","",VLOOKUP(F29,Evaporation!$A$6:$B$17,2,FALSE))</f>
        <v/>
      </c>
      <c r="H29" s="19">
        <f>IF(A29="","",IF(C29="","",IF(C29&lt;=INDEX(StageAreaVolume!$A$6:$A$17,1),INDEX(StageAreaVolume!$B$6:$B$17,1),IF(C29&gt;=INDEX(StageAreaVolume!$A$6:$A$17,COUNTA(StageAreaVolume!$A$6:$A$17)),INDEX(StageAreaVolume!$B$6:$B$17,COUNTA(StageAreaVolume!$A$6:$A$17)),(INDEX(StageAreaVolume!$B$6:$B$17,MATCH(C29,StageAreaVolume!$A$6:$A$17,1))+(C29-INDEX(StageAreaVolume!$A$6:$A$17,MATCH(C29,StageAreaVolume!$A$6:$A$17,1)))/(INDEX(StageAreaVolume!$A$6:$A$17,MATCH(C29,StageAreaVolume!$A$6:$A$17,1)+1)-INDEX(StageAreaVolume!$A$6:$A$17,MATCH(C29,StageAreaVolume!$A$6:$A$17,1)))*(INDEX(StageAreaVolume!$B$6:$B$17,MATCH(C29,StageAreaVolume!$A$6:$A$17,1)+1)-INDEX(StageAreaVolume!$B$6:$B$17,MATCH(C29,StageAreaVolume!$A$6:$A$17,1)))))))))</f>
        <v/>
      </c>
      <c r="I29" s="18">
        <f>IF(A29="","",IF(C29="","",IF(C29&lt;=INDEX(StageAreaVolume!$A$6:$A$17,1),INDEX(StageAreaVolume!$D$6:$D$17,1),IF(C29&gt;=INDEX(StageAreaVolume!$A$6:$A$17,COUNTA(StageAreaVolume!$A$6:$A$17)),INDEX(StageAreaVolume!$D$6:$D$17,COUNTA(StageAreaVolume!$A$6:$A$17)),(INDEX(StageAreaVolume!$D$6:$D$17,MATCH(C29,StageAreaVolume!$A$6:$A$17,1))+(C29-INDEX(StageAreaVolume!$A$6:$A$17,MATCH(C29,StageAreaVolume!$A$6:$A$17,1)))/(INDEX(StageAreaVolume!$A$6:$A$17,MATCH(C29,StageAreaVolume!$A$6:$A$17,1)+1)-INDEX(StageAreaVolume!$A$6:$A$17,MATCH(C29,StageAreaVolume!$A$6:$A$17,1)))*(INDEX(StageAreaVolume!$D$6:$D$17,MATCH(C29,StageAreaVolume!$A$6:$A$17,1)+1)-INDEX(StageAreaVolume!$D$6:$D$17,MATCH(C29,StageAreaVolume!$A$6:$A$17,1)))))))))</f>
        <v/>
      </c>
      <c r="J29" s="25">
        <f>IF(A29="","",IF(A28="",NA(),C28))</f>
        <v/>
      </c>
      <c r="K29" s="19">
        <f>IF(OR(A29="",ISNA(J29)),IF(A29="","",H29),(H28+H29)/2)</f>
        <v/>
      </c>
      <c r="L29" s="19">
        <f>IF(OR(A29="",ISNA(J29)),0,IF(AND(B29=0,D29="N",E29="N",C29&lt;J29,C29&gt;0),1,0))</f>
        <v/>
      </c>
      <c r="M29" s="25">
        <f>IF(L29&lt;&gt;1,"",IF(K29&lt;=0,"",(I28-I29-G29/1000*K29)/K29*1000))</f>
        <v/>
      </c>
      <c r="N29" s="18">
        <f>IF(A29="","",IF(L29=1,I28-I29-O29,IF(OR(C29&gt;0,N(J29)&gt;0),MeanMDWIR/1000*K29,0)))</f>
        <v/>
      </c>
      <c r="O29" s="18">
        <f>IF(A29="","",G29/1000*K29)</f>
        <v/>
      </c>
      <c r="P29" s="27">
        <f>IF(A29="","",IF(L29=1,"dry",IF(D29="Y","spill",IF(B29&gt;0,"wet",IF(E29="Y","pumped","other")))))</f>
        <v/>
      </c>
    </row>
    <row r="30">
      <c r="A30" s="26">
        <f>IF(DailyPond!A30="","",DailyPond!A30)</f>
        <v/>
      </c>
      <c r="B30" s="18">
        <f>IF(A30="","",DailyPond!B30)</f>
        <v/>
      </c>
      <c r="C30" s="25">
        <f>IF(A30="","",DailyPond!C30)</f>
        <v/>
      </c>
      <c r="D30" s="27">
        <f>IF(A30="","",DailyPond!D30)</f>
        <v/>
      </c>
      <c r="E30" s="27">
        <f>IF(A30="","",DailyPond!E30)</f>
        <v/>
      </c>
      <c r="F30" s="19">
        <f>IF(A30="","",MONTH(A30))</f>
        <v/>
      </c>
      <c r="G30" s="18">
        <f>IF(A30="","",VLOOKUP(F30,Evaporation!$A$6:$B$17,2,FALSE))</f>
        <v/>
      </c>
      <c r="H30" s="19">
        <f>IF(A30="","",IF(C30="","",IF(C30&lt;=INDEX(StageAreaVolume!$A$6:$A$17,1),INDEX(StageAreaVolume!$B$6:$B$17,1),IF(C30&gt;=INDEX(StageAreaVolume!$A$6:$A$17,COUNTA(StageAreaVolume!$A$6:$A$17)),INDEX(StageAreaVolume!$B$6:$B$17,COUNTA(StageAreaVolume!$A$6:$A$17)),(INDEX(StageAreaVolume!$B$6:$B$17,MATCH(C30,StageAreaVolume!$A$6:$A$17,1))+(C30-INDEX(StageAreaVolume!$A$6:$A$17,MATCH(C30,StageAreaVolume!$A$6:$A$17,1)))/(INDEX(StageAreaVolume!$A$6:$A$17,MATCH(C30,StageAreaVolume!$A$6:$A$17,1)+1)-INDEX(StageAreaVolume!$A$6:$A$17,MATCH(C30,StageAreaVolume!$A$6:$A$17,1)))*(INDEX(StageAreaVolume!$B$6:$B$17,MATCH(C30,StageAreaVolume!$A$6:$A$17,1)+1)-INDEX(StageAreaVolume!$B$6:$B$17,MATCH(C30,StageAreaVolume!$A$6:$A$17,1)))))))))</f>
        <v/>
      </c>
      <c r="I30" s="18">
        <f>IF(A30="","",IF(C30="","",IF(C30&lt;=INDEX(StageAreaVolume!$A$6:$A$17,1),INDEX(StageAreaVolume!$D$6:$D$17,1),IF(C30&gt;=INDEX(StageAreaVolume!$A$6:$A$17,COUNTA(StageAreaVolume!$A$6:$A$17)),INDEX(StageAreaVolume!$D$6:$D$17,COUNTA(StageAreaVolume!$A$6:$A$17)),(INDEX(StageAreaVolume!$D$6:$D$17,MATCH(C30,StageAreaVolume!$A$6:$A$17,1))+(C30-INDEX(StageAreaVolume!$A$6:$A$17,MATCH(C30,StageAreaVolume!$A$6:$A$17,1)))/(INDEX(StageAreaVolume!$A$6:$A$17,MATCH(C30,StageAreaVolume!$A$6:$A$17,1)+1)-INDEX(StageAreaVolume!$A$6:$A$17,MATCH(C30,StageAreaVolume!$A$6:$A$17,1)))*(INDEX(StageAreaVolume!$D$6:$D$17,MATCH(C30,StageAreaVolume!$A$6:$A$17,1)+1)-INDEX(StageAreaVolume!$D$6:$D$17,MATCH(C30,StageAreaVolume!$A$6:$A$17,1)))))))))</f>
        <v/>
      </c>
      <c r="J30" s="25">
        <f>IF(A30="","",IF(A29="",NA(),C29))</f>
        <v/>
      </c>
      <c r="K30" s="19">
        <f>IF(OR(A30="",ISNA(J30)),IF(A30="","",H30),(H29+H30)/2)</f>
        <v/>
      </c>
      <c r="L30" s="19">
        <f>IF(OR(A30="",ISNA(J30)),0,IF(AND(B30=0,D30="N",E30="N",C30&lt;J30,C30&gt;0),1,0))</f>
        <v/>
      </c>
      <c r="M30" s="25">
        <f>IF(L30&lt;&gt;1,"",IF(K30&lt;=0,"",(I29-I30-G30/1000*K30)/K30*1000))</f>
        <v/>
      </c>
      <c r="N30" s="18">
        <f>IF(A30="","",IF(L30=1,I29-I30-O30,IF(OR(C30&gt;0,N(J30)&gt;0),MeanMDWIR/1000*K30,0)))</f>
        <v/>
      </c>
      <c r="O30" s="18">
        <f>IF(A30="","",G30/1000*K30)</f>
        <v/>
      </c>
      <c r="P30" s="27">
        <f>IF(A30="","",IF(L30=1,"dry",IF(D30="Y","spill",IF(B30&gt;0,"wet",IF(E30="Y","pumped","other")))))</f>
        <v/>
      </c>
    </row>
    <row r="31">
      <c r="A31" s="26">
        <f>IF(DailyPond!A31="","",DailyPond!A31)</f>
        <v/>
      </c>
      <c r="B31" s="18">
        <f>IF(A31="","",DailyPond!B31)</f>
        <v/>
      </c>
      <c r="C31" s="25">
        <f>IF(A31="","",DailyPond!C31)</f>
        <v/>
      </c>
      <c r="D31" s="27">
        <f>IF(A31="","",DailyPond!D31)</f>
        <v/>
      </c>
      <c r="E31" s="27">
        <f>IF(A31="","",DailyPond!E31)</f>
        <v/>
      </c>
      <c r="F31" s="19">
        <f>IF(A31="","",MONTH(A31))</f>
        <v/>
      </c>
      <c r="G31" s="18">
        <f>IF(A31="","",VLOOKUP(F31,Evaporation!$A$6:$B$17,2,FALSE))</f>
        <v/>
      </c>
      <c r="H31" s="19">
        <f>IF(A31="","",IF(C31="","",IF(C31&lt;=INDEX(StageAreaVolume!$A$6:$A$17,1),INDEX(StageAreaVolume!$B$6:$B$17,1),IF(C31&gt;=INDEX(StageAreaVolume!$A$6:$A$17,COUNTA(StageAreaVolume!$A$6:$A$17)),INDEX(StageAreaVolume!$B$6:$B$17,COUNTA(StageAreaVolume!$A$6:$A$17)),(INDEX(StageAreaVolume!$B$6:$B$17,MATCH(C31,StageAreaVolume!$A$6:$A$17,1))+(C31-INDEX(StageAreaVolume!$A$6:$A$17,MATCH(C31,StageAreaVolume!$A$6:$A$17,1)))/(INDEX(StageAreaVolume!$A$6:$A$17,MATCH(C31,StageAreaVolume!$A$6:$A$17,1)+1)-INDEX(StageAreaVolume!$A$6:$A$17,MATCH(C31,StageAreaVolume!$A$6:$A$17,1)))*(INDEX(StageAreaVolume!$B$6:$B$17,MATCH(C31,StageAreaVolume!$A$6:$A$17,1)+1)-INDEX(StageAreaVolume!$B$6:$B$17,MATCH(C31,StageAreaVolume!$A$6:$A$17,1)))))))))</f>
        <v/>
      </c>
      <c r="I31" s="18">
        <f>IF(A31="","",IF(C31="","",IF(C31&lt;=INDEX(StageAreaVolume!$A$6:$A$17,1),INDEX(StageAreaVolume!$D$6:$D$17,1),IF(C31&gt;=INDEX(StageAreaVolume!$A$6:$A$17,COUNTA(StageAreaVolume!$A$6:$A$17)),INDEX(StageAreaVolume!$D$6:$D$17,COUNTA(StageAreaVolume!$A$6:$A$17)),(INDEX(StageAreaVolume!$D$6:$D$17,MATCH(C31,StageAreaVolume!$A$6:$A$17,1))+(C31-INDEX(StageAreaVolume!$A$6:$A$17,MATCH(C31,StageAreaVolume!$A$6:$A$17,1)))/(INDEX(StageAreaVolume!$A$6:$A$17,MATCH(C31,StageAreaVolume!$A$6:$A$17,1)+1)-INDEX(StageAreaVolume!$A$6:$A$17,MATCH(C31,StageAreaVolume!$A$6:$A$17,1)))*(INDEX(StageAreaVolume!$D$6:$D$17,MATCH(C31,StageAreaVolume!$A$6:$A$17,1)+1)-INDEX(StageAreaVolume!$D$6:$D$17,MATCH(C31,StageAreaVolume!$A$6:$A$17,1)))))))))</f>
        <v/>
      </c>
      <c r="J31" s="25">
        <f>IF(A31="","",IF(A30="",NA(),C30))</f>
        <v/>
      </c>
      <c r="K31" s="19">
        <f>IF(OR(A31="",ISNA(J31)),IF(A31="","",H31),(H30+H31)/2)</f>
        <v/>
      </c>
      <c r="L31" s="19">
        <f>IF(OR(A31="",ISNA(J31)),0,IF(AND(B31=0,D31="N",E31="N",C31&lt;J31,C31&gt;0),1,0))</f>
        <v/>
      </c>
      <c r="M31" s="25">
        <f>IF(L31&lt;&gt;1,"",IF(K31&lt;=0,"",(I30-I31-G31/1000*K31)/K31*1000))</f>
        <v/>
      </c>
      <c r="N31" s="18">
        <f>IF(A31="","",IF(L31=1,I30-I31-O31,IF(OR(C31&gt;0,N(J31)&gt;0),MeanMDWIR/1000*K31,0)))</f>
        <v/>
      </c>
      <c r="O31" s="18">
        <f>IF(A31="","",G31/1000*K31)</f>
        <v/>
      </c>
      <c r="P31" s="27">
        <f>IF(A31="","",IF(L31=1,"dry",IF(D31="Y","spill",IF(B31&gt;0,"wet",IF(E31="Y","pumped","other")))))</f>
        <v/>
      </c>
    </row>
    <row r="32">
      <c r="A32" s="26">
        <f>IF(DailyPond!A32="","",DailyPond!A32)</f>
        <v/>
      </c>
      <c r="B32" s="18">
        <f>IF(A32="","",DailyPond!B32)</f>
        <v/>
      </c>
      <c r="C32" s="25">
        <f>IF(A32="","",DailyPond!C32)</f>
        <v/>
      </c>
      <c r="D32" s="27">
        <f>IF(A32="","",DailyPond!D32)</f>
        <v/>
      </c>
      <c r="E32" s="27">
        <f>IF(A32="","",DailyPond!E32)</f>
        <v/>
      </c>
      <c r="F32" s="19">
        <f>IF(A32="","",MONTH(A32))</f>
        <v/>
      </c>
      <c r="G32" s="18">
        <f>IF(A32="","",VLOOKUP(F32,Evaporation!$A$6:$B$17,2,FALSE))</f>
        <v/>
      </c>
      <c r="H32" s="19">
        <f>IF(A32="","",IF(C32="","",IF(C32&lt;=INDEX(StageAreaVolume!$A$6:$A$17,1),INDEX(StageAreaVolume!$B$6:$B$17,1),IF(C32&gt;=INDEX(StageAreaVolume!$A$6:$A$17,COUNTA(StageAreaVolume!$A$6:$A$17)),INDEX(StageAreaVolume!$B$6:$B$17,COUNTA(StageAreaVolume!$A$6:$A$17)),(INDEX(StageAreaVolume!$B$6:$B$17,MATCH(C32,StageAreaVolume!$A$6:$A$17,1))+(C32-INDEX(StageAreaVolume!$A$6:$A$17,MATCH(C32,StageAreaVolume!$A$6:$A$17,1)))/(INDEX(StageAreaVolume!$A$6:$A$17,MATCH(C32,StageAreaVolume!$A$6:$A$17,1)+1)-INDEX(StageAreaVolume!$A$6:$A$17,MATCH(C32,StageAreaVolume!$A$6:$A$17,1)))*(INDEX(StageAreaVolume!$B$6:$B$17,MATCH(C32,StageAreaVolume!$A$6:$A$17,1)+1)-INDEX(StageAreaVolume!$B$6:$B$17,MATCH(C32,StageAreaVolume!$A$6:$A$17,1)))))))))</f>
        <v/>
      </c>
      <c r="I32" s="18">
        <f>IF(A32="","",IF(C32="","",IF(C32&lt;=INDEX(StageAreaVolume!$A$6:$A$17,1),INDEX(StageAreaVolume!$D$6:$D$17,1),IF(C32&gt;=INDEX(StageAreaVolume!$A$6:$A$17,COUNTA(StageAreaVolume!$A$6:$A$17)),INDEX(StageAreaVolume!$D$6:$D$17,COUNTA(StageAreaVolume!$A$6:$A$17)),(INDEX(StageAreaVolume!$D$6:$D$17,MATCH(C32,StageAreaVolume!$A$6:$A$17,1))+(C32-INDEX(StageAreaVolume!$A$6:$A$17,MATCH(C32,StageAreaVolume!$A$6:$A$17,1)))/(INDEX(StageAreaVolume!$A$6:$A$17,MATCH(C32,StageAreaVolume!$A$6:$A$17,1)+1)-INDEX(StageAreaVolume!$A$6:$A$17,MATCH(C32,StageAreaVolume!$A$6:$A$17,1)))*(INDEX(StageAreaVolume!$D$6:$D$17,MATCH(C32,StageAreaVolume!$A$6:$A$17,1)+1)-INDEX(StageAreaVolume!$D$6:$D$17,MATCH(C32,StageAreaVolume!$A$6:$A$17,1)))))))))</f>
        <v/>
      </c>
      <c r="J32" s="25">
        <f>IF(A32="","",IF(A31="",NA(),C31))</f>
        <v/>
      </c>
      <c r="K32" s="19">
        <f>IF(OR(A32="",ISNA(J32)),IF(A32="","",H32),(H31+H32)/2)</f>
        <v/>
      </c>
      <c r="L32" s="19">
        <f>IF(OR(A32="",ISNA(J32)),0,IF(AND(B32=0,D32="N",E32="N",C32&lt;J32,C32&gt;0),1,0))</f>
        <v/>
      </c>
      <c r="M32" s="25">
        <f>IF(L32&lt;&gt;1,"",IF(K32&lt;=0,"",(I31-I32-G32/1000*K32)/K32*1000))</f>
        <v/>
      </c>
      <c r="N32" s="18">
        <f>IF(A32="","",IF(L32=1,I31-I32-O32,IF(OR(C32&gt;0,N(J32)&gt;0),MeanMDWIR/1000*K32,0)))</f>
        <v/>
      </c>
      <c r="O32" s="18">
        <f>IF(A32="","",G32/1000*K32)</f>
        <v/>
      </c>
      <c r="P32" s="27">
        <f>IF(A32="","",IF(L32=1,"dry",IF(D32="Y","spill",IF(B32&gt;0,"wet",IF(E32="Y","pumped","other")))))</f>
        <v/>
      </c>
    </row>
    <row r="33">
      <c r="A33" s="26">
        <f>IF(DailyPond!A33="","",DailyPond!A33)</f>
        <v/>
      </c>
      <c r="B33" s="18">
        <f>IF(A33="","",DailyPond!B33)</f>
        <v/>
      </c>
      <c r="C33" s="25">
        <f>IF(A33="","",DailyPond!C33)</f>
        <v/>
      </c>
      <c r="D33" s="27">
        <f>IF(A33="","",DailyPond!D33)</f>
        <v/>
      </c>
      <c r="E33" s="27">
        <f>IF(A33="","",DailyPond!E33)</f>
        <v/>
      </c>
      <c r="F33" s="19">
        <f>IF(A33="","",MONTH(A33))</f>
        <v/>
      </c>
      <c r="G33" s="18">
        <f>IF(A33="","",VLOOKUP(F33,Evaporation!$A$6:$B$17,2,FALSE))</f>
        <v/>
      </c>
      <c r="H33" s="19">
        <f>IF(A33="","",IF(C33="","",IF(C33&lt;=INDEX(StageAreaVolume!$A$6:$A$17,1),INDEX(StageAreaVolume!$B$6:$B$17,1),IF(C33&gt;=INDEX(StageAreaVolume!$A$6:$A$17,COUNTA(StageAreaVolume!$A$6:$A$17)),INDEX(StageAreaVolume!$B$6:$B$17,COUNTA(StageAreaVolume!$A$6:$A$17)),(INDEX(StageAreaVolume!$B$6:$B$17,MATCH(C33,StageAreaVolume!$A$6:$A$17,1))+(C33-INDEX(StageAreaVolume!$A$6:$A$17,MATCH(C33,StageAreaVolume!$A$6:$A$17,1)))/(INDEX(StageAreaVolume!$A$6:$A$17,MATCH(C33,StageAreaVolume!$A$6:$A$17,1)+1)-INDEX(StageAreaVolume!$A$6:$A$17,MATCH(C33,StageAreaVolume!$A$6:$A$17,1)))*(INDEX(StageAreaVolume!$B$6:$B$17,MATCH(C33,StageAreaVolume!$A$6:$A$17,1)+1)-INDEX(StageAreaVolume!$B$6:$B$17,MATCH(C33,StageAreaVolume!$A$6:$A$17,1)))))))))</f>
        <v/>
      </c>
      <c r="I33" s="18">
        <f>IF(A33="","",IF(C33="","",IF(C33&lt;=INDEX(StageAreaVolume!$A$6:$A$17,1),INDEX(StageAreaVolume!$D$6:$D$17,1),IF(C33&gt;=INDEX(StageAreaVolume!$A$6:$A$17,COUNTA(StageAreaVolume!$A$6:$A$17)),INDEX(StageAreaVolume!$D$6:$D$17,COUNTA(StageAreaVolume!$A$6:$A$17)),(INDEX(StageAreaVolume!$D$6:$D$17,MATCH(C33,StageAreaVolume!$A$6:$A$17,1))+(C33-INDEX(StageAreaVolume!$A$6:$A$17,MATCH(C33,StageAreaVolume!$A$6:$A$17,1)))/(INDEX(StageAreaVolume!$A$6:$A$17,MATCH(C33,StageAreaVolume!$A$6:$A$17,1)+1)-INDEX(StageAreaVolume!$A$6:$A$17,MATCH(C33,StageAreaVolume!$A$6:$A$17,1)))*(INDEX(StageAreaVolume!$D$6:$D$17,MATCH(C33,StageAreaVolume!$A$6:$A$17,1)+1)-INDEX(StageAreaVolume!$D$6:$D$17,MATCH(C33,StageAreaVolume!$A$6:$A$17,1)))))))))</f>
        <v/>
      </c>
      <c r="J33" s="25">
        <f>IF(A33="","",IF(A32="",NA(),C32))</f>
        <v/>
      </c>
      <c r="K33" s="19">
        <f>IF(OR(A33="",ISNA(J33)),IF(A33="","",H33),(H32+H33)/2)</f>
        <v/>
      </c>
      <c r="L33" s="19">
        <f>IF(OR(A33="",ISNA(J33)),0,IF(AND(B33=0,D33="N",E33="N",C33&lt;J33,C33&gt;0),1,0))</f>
        <v/>
      </c>
      <c r="M33" s="25">
        <f>IF(L33&lt;&gt;1,"",IF(K33&lt;=0,"",(I32-I33-G33/1000*K33)/K33*1000))</f>
        <v/>
      </c>
      <c r="N33" s="18">
        <f>IF(A33="","",IF(L33=1,I32-I33-O33,IF(OR(C33&gt;0,N(J33)&gt;0),MeanMDWIR/1000*K33,0)))</f>
        <v/>
      </c>
      <c r="O33" s="18">
        <f>IF(A33="","",G33/1000*K33)</f>
        <v/>
      </c>
      <c r="P33" s="27">
        <f>IF(A33="","",IF(L33=1,"dry",IF(D33="Y","spill",IF(B33&gt;0,"wet",IF(E33="Y","pumped","other")))))</f>
        <v/>
      </c>
    </row>
    <row r="34">
      <c r="A34" s="26">
        <f>IF(DailyPond!A34="","",DailyPond!A34)</f>
        <v/>
      </c>
      <c r="B34" s="18">
        <f>IF(A34="","",DailyPond!B34)</f>
        <v/>
      </c>
      <c r="C34" s="25">
        <f>IF(A34="","",DailyPond!C34)</f>
        <v/>
      </c>
      <c r="D34" s="27">
        <f>IF(A34="","",DailyPond!D34)</f>
        <v/>
      </c>
      <c r="E34" s="27">
        <f>IF(A34="","",DailyPond!E34)</f>
        <v/>
      </c>
      <c r="F34" s="19">
        <f>IF(A34="","",MONTH(A34))</f>
        <v/>
      </c>
      <c r="G34" s="18">
        <f>IF(A34="","",VLOOKUP(F34,Evaporation!$A$6:$B$17,2,FALSE))</f>
        <v/>
      </c>
      <c r="H34" s="19">
        <f>IF(A34="","",IF(C34="","",IF(C34&lt;=INDEX(StageAreaVolume!$A$6:$A$17,1),INDEX(StageAreaVolume!$B$6:$B$17,1),IF(C34&gt;=INDEX(StageAreaVolume!$A$6:$A$17,COUNTA(StageAreaVolume!$A$6:$A$17)),INDEX(StageAreaVolume!$B$6:$B$17,COUNTA(StageAreaVolume!$A$6:$A$17)),(INDEX(StageAreaVolume!$B$6:$B$17,MATCH(C34,StageAreaVolume!$A$6:$A$17,1))+(C34-INDEX(StageAreaVolume!$A$6:$A$17,MATCH(C34,StageAreaVolume!$A$6:$A$17,1)))/(INDEX(StageAreaVolume!$A$6:$A$17,MATCH(C34,StageAreaVolume!$A$6:$A$17,1)+1)-INDEX(StageAreaVolume!$A$6:$A$17,MATCH(C34,StageAreaVolume!$A$6:$A$17,1)))*(INDEX(StageAreaVolume!$B$6:$B$17,MATCH(C34,StageAreaVolume!$A$6:$A$17,1)+1)-INDEX(StageAreaVolume!$B$6:$B$17,MATCH(C34,StageAreaVolume!$A$6:$A$17,1)))))))))</f>
        <v/>
      </c>
      <c r="I34" s="18">
        <f>IF(A34="","",IF(C34="","",IF(C34&lt;=INDEX(StageAreaVolume!$A$6:$A$17,1),INDEX(StageAreaVolume!$D$6:$D$17,1),IF(C34&gt;=INDEX(StageAreaVolume!$A$6:$A$17,COUNTA(StageAreaVolume!$A$6:$A$17)),INDEX(StageAreaVolume!$D$6:$D$17,COUNTA(StageAreaVolume!$A$6:$A$17)),(INDEX(StageAreaVolume!$D$6:$D$17,MATCH(C34,StageAreaVolume!$A$6:$A$17,1))+(C34-INDEX(StageAreaVolume!$A$6:$A$17,MATCH(C34,StageAreaVolume!$A$6:$A$17,1)))/(INDEX(StageAreaVolume!$A$6:$A$17,MATCH(C34,StageAreaVolume!$A$6:$A$17,1)+1)-INDEX(StageAreaVolume!$A$6:$A$17,MATCH(C34,StageAreaVolume!$A$6:$A$17,1)))*(INDEX(StageAreaVolume!$D$6:$D$17,MATCH(C34,StageAreaVolume!$A$6:$A$17,1)+1)-INDEX(StageAreaVolume!$D$6:$D$17,MATCH(C34,StageAreaVolume!$A$6:$A$17,1)))))))))</f>
        <v/>
      </c>
      <c r="J34" s="25">
        <f>IF(A34="","",IF(A33="",NA(),C33))</f>
        <v/>
      </c>
      <c r="K34" s="19">
        <f>IF(OR(A34="",ISNA(J34)),IF(A34="","",H34),(H33+H34)/2)</f>
        <v/>
      </c>
      <c r="L34" s="19">
        <f>IF(OR(A34="",ISNA(J34)),0,IF(AND(B34=0,D34="N",E34="N",C34&lt;J34,C34&gt;0),1,0))</f>
        <v/>
      </c>
      <c r="M34" s="25">
        <f>IF(L34&lt;&gt;1,"",IF(K34&lt;=0,"",(I33-I34-G34/1000*K34)/K34*1000))</f>
        <v/>
      </c>
      <c r="N34" s="18">
        <f>IF(A34="","",IF(L34=1,I33-I34-O34,IF(OR(C34&gt;0,N(J34)&gt;0),MeanMDWIR/1000*K34,0)))</f>
        <v/>
      </c>
      <c r="O34" s="18">
        <f>IF(A34="","",G34/1000*K34)</f>
        <v/>
      </c>
      <c r="P34" s="27">
        <f>IF(A34="","",IF(L34=1,"dry",IF(D34="Y","spill",IF(B34&gt;0,"wet",IF(E34="Y","pumped","other")))))</f>
        <v/>
      </c>
    </row>
    <row r="35">
      <c r="A35" s="26">
        <f>IF(DailyPond!A35="","",DailyPond!A35)</f>
        <v/>
      </c>
      <c r="B35" s="18">
        <f>IF(A35="","",DailyPond!B35)</f>
        <v/>
      </c>
      <c r="C35" s="25">
        <f>IF(A35="","",DailyPond!C35)</f>
        <v/>
      </c>
      <c r="D35" s="27">
        <f>IF(A35="","",DailyPond!D35)</f>
        <v/>
      </c>
      <c r="E35" s="27">
        <f>IF(A35="","",DailyPond!E35)</f>
        <v/>
      </c>
      <c r="F35" s="19">
        <f>IF(A35="","",MONTH(A35))</f>
        <v/>
      </c>
      <c r="G35" s="18">
        <f>IF(A35="","",VLOOKUP(F35,Evaporation!$A$6:$B$17,2,FALSE))</f>
        <v/>
      </c>
      <c r="H35" s="19">
        <f>IF(A35="","",IF(C35="","",IF(C35&lt;=INDEX(StageAreaVolume!$A$6:$A$17,1),INDEX(StageAreaVolume!$B$6:$B$17,1),IF(C35&gt;=INDEX(StageAreaVolume!$A$6:$A$17,COUNTA(StageAreaVolume!$A$6:$A$17)),INDEX(StageAreaVolume!$B$6:$B$17,COUNTA(StageAreaVolume!$A$6:$A$17)),(INDEX(StageAreaVolume!$B$6:$B$17,MATCH(C35,StageAreaVolume!$A$6:$A$17,1))+(C35-INDEX(StageAreaVolume!$A$6:$A$17,MATCH(C35,StageAreaVolume!$A$6:$A$17,1)))/(INDEX(StageAreaVolume!$A$6:$A$17,MATCH(C35,StageAreaVolume!$A$6:$A$17,1)+1)-INDEX(StageAreaVolume!$A$6:$A$17,MATCH(C35,StageAreaVolume!$A$6:$A$17,1)))*(INDEX(StageAreaVolume!$B$6:$B$17,MATCH(C35,StageAreaVolume!$A$6:$A$17,1)+1)-INDEX(StageAreaVolume!$B$6:$B$17,MATCH(C35,StageAreaVolume!$A$6:$A$17,1)))))))))</f>
        <v/>
      </c>
      <c r="I35" s="18">
        <f>IF(A35="","",IF(C35="","",IF(C35&lt;=INDEX(StageAreaVolume!$A$6:$A$17,1),INDEX(StageAreaVolume!$D$6:$D$17,1),IF(C35&gt;=INDEX(StageAreaVolume!$A$6:$A$17,COUNTA(StageAreaVolume!$A$6:$A$17)),INDEX(StageAreaVolume!$D$6:$D$17,COUNTA(StageAreaVolume!$A$6:$A$17)),(INDEX(StageAreaVolume!$D$6:$D$17,MATCH(C35,StageAreaVolume!$A$6:$A$17,1))+(C35-INDEX(StageAreaVolume!$A$6:$A$17,MATCH(C35,StageAreaVolume!$A$6:$A$17,1)))/(INDEX(StageAreaVolume!$A$6:$A$17,MATCH(C35,StageAreaVolume!$A$6:$A$17,1)+1)-INDEX(StageAreaVolume!$A$6:$A$17,MATCH(C35,StageAreaVolume!$A$6:$A$17,1)))*(INDEX(StageAreaVolume!$D$6:$D$17,MATCH(C35,StageAreaVolume!$A$6:$A$17,1)+1)-INDEX(StageAreaVolume!$D$6:$D$17,MATCH(C35,StageAreaVolume!$A$6:$A$17,1)))))))))</f>
        <v/>
      </c>
      <c r="J35" s="25">
        <f>IF(A35="","",IF(A34="",NA(),C34))</f>
        <v/>
      </c>
      <c r="K35" s="19">
        <f>IF(OR(A35="",ISNA(J35)),IF(A35="","",H35),(H34+H35)/2)</f>
        <v/>
      </c>
      <c r="L35" s="19">
        <f>IF(OR(A35="",ISNA(J35)),0,IF(AND(B35=0,D35="N",E35="N",C35&lt;J35,C35&gt;0),1,0))</f>
        <v/>
      </c>
      <c r="M35" s="25">
        <f>IF(L35&lt;&gt;1,"",IF(K35&lt;=0,"",(I34-I35-G35/1000*K35)/K35*1000))</f>
        <v/>
      </c>
      <c r="N35" s="18">
        <f>IF(A35="","",IF(L35=1,I34-I35-O35,IF(OR(C35&gt;0,N(J35)&gt;0),MeanMDWIR/1000*K35,0)))</f>
        <v/>
      </c>
      <c r="O35" s="18">
        <f>IF(A35="","",G35/1000*K35)</f>
        <v/>
      </c>
      <c r="P35" s="27">
        <f>IF(A35="","",IF(L35=1,"dry",IF(D35="Y","spill",IF(B35&gt;0,"wet",IF(E35="Y","pumped","other")))))</f>
        <v/>
      </c>
    </row>
    <row r="36">
      <c r="A36" s="26">
        <f>IF(DailyPond!A36="","",DailyPond!A36)</f>
        <v/>
      </c>
      <c r="B36" s="18">
        <f>IF(A36="","",DailyPond!B36)</f>
        <v/>
      </c>
      <c r="C36" s="25">
        <f>IF(A36="","",DailyPond!C36)</f>
        <v/>
      </c>
      <c r="D36" s="27">
        <f>IF(A36="","",DailyPond!D36)</f>
        <v/>
      </c>
      <c r="E36" s="27">
        <f>IF(A36="","",DailyPond!E36)</f>
        <v/>
      </c>
      <c r="F36" s="19">
        <f>IF(A36="","",MONTH(A36))</f>
        <v/>
      </c>
      <c r="G36" s="18">
        <f>IF(A36="","",VLOOKUP(F36,Evaporation!$A$6:$B$17,2,FALSE))</f>
        <v/>
      </c>
      <c r="H36" s="19">
        <f>IF(A36="","",IF(C36="","",IF(C36&lt;=INDEX(StageAreaVolume!$A$6:$A$17,1),INDEX(StageAreaVolume!$B$6:$B$17,1),IF(C36&gt;=INDEX(StageAreaVolume!$A$6:$A$17,COUNTA(StageAreaVolume!$A$6:$A$17)),INDEX(StageAreaVolume!$B$6:$B$17,COUNTA(StageAreaVolume!$A$6:$A$17)),(INDEX(StageAreaVolume!$B$6:$B$17,MATCH(C36,StageAreaVolume!$A$6:$A$17,1))+(C36-INDEX(StageAreaVolume!$A$6:$A$17,MATCH(C36,StageAreaVolume!$A$6:$A$17,1)))/(INDEX(StageAreaVolume!$A$6:$A$17,MATCH(C36,StageAreaVolume!$A$6:$A$17,1)+1)-INDEX(StageAreaVolume!$A$6:$A$17,MATCH(C36,StageAreaVolume!$A$6:$A$17,1)))*(INDEX(StageAreaVolume!$B$6:$B$17,MATCH(C36,StageAreaVolume!$A$6:$A$17,1)+1)-INDEX(StageAreaVolume!$B$6:$B$17,MATCH(C36,StageAreaVolume!$A$6:$A$17,1)))))))))</f>
        <v/>
      </c>
      <c r="I36" s="18">
        <f>IF(A36="","",IF(C36="","",IF(C36&lt;=INDEX(StageAreaVolume!$A$6:$A$17,1),INDEX(StageAreaVolume!$D$6:$D$17,1),IF(C36&gt;=INDEX(StageAreaVolume!$A$6:$A$17,COUNTA(StageAreaVolume!$A$6:$A$17)),INDEX(StageAreaVolume!$D$6:$D$17,COUNTA(StageAreaVolume!$A$6:$A$17)),(INDEX(StageAreaVolume!$D$6:$D$17,MATCH(C36,StageAreaVolume!$A$6:$A$17,1))+(C36-INDEX(StageAreaVolume!$A$6:$A$17,MATCH(C36,StageAreaVolume!$A$6:$A$17,1)))/(INDEX(StageAreaVolume!$A$6:$A$17,MATCH(C36,StageAreaVolume!$A$6:$A$17,1)+1)-INDEX(StageAreaVolume!$A$6:$A$17,MATCH(C36,StageAreaVolume!$A$6:$A$17,1)))*(INDEX(StageAreaVolume!$D$6:$D$17,MATCH(C36,StageAreaVolume!$A$6:$A$17,1)+1)-INDEX(StageAreaVolume!$D$6:$D$17,MATCH(C36,StageAreaVolume!$A$6:$A$17,1)))))))))</f>
        <v/>
      </c>
      <c r="J36" s="25">
        <f>IF(A36="","",IF(A35="",NA(),C35))</f>
        <v/>
      </c>
      <c r="K36" s="19">
        <f>IF(OR(A36="",ISNA(J36)),IF(A36="","",H36),(H35+H36)/2)</f>
        <v/>
      </c>
      <c r="L36" s="19">
        <f>IF(OR(A36="",ISNA(J36)),0,IF(AND(B36=0,D36="N",E36="N",C36&lt;J36,C36&gt;0),1,0))</f>
        <v/>
      </c>
      <c r="M36" s="25">
        <f>IF(L36&lt;&gt;1,"",IF(K36&lt;=0,"",(I35-I36-G36/1000*K36)/K36*1000))</f>
        <v/>
      </c>
      <c r="N36" s="18">
        <f>IF(A36="","",IF(L36=1,I35-I36-O36,IF(OR(C36&gt;0,N(J36)&gt;0),MeanMDWIR/1000*K36,0)))</f>
        <v/>
      </c>
      <c r="O36" s="18">
        <f>IF(A36="","",G36/1000*K36)</f>
        <v/>
      </c>
      <c r="P36" s="27">
        <f>IF(A36="","",IF(L36=1,"dry",IF(D36="Y","spill",IF(B36&gt;0,"wet",IF(E36="Y","pumped","other")))))</f>
        <v/>
      </c>
    </row>
    <row r="37">
      <c r="A37" s="26">
        <f>IF(DailyPond!A37="","",DailyPond!A37)</f>
        <v/>
      </c>
      <c r="B37" s="18">
        <f>IF(A37="","",DailyPond!B37)</f>
        <v/>
      </c>
      <c r="C37" s="25">
        <f>IF(A37="","",DailyPond!C37)</f>
        <v/>
      </c>
      <c r="D37" s="27">
        <f>IF(A37="","",DailyPond!D37)</f>
        <v/>
      </c>
      <c r="E37" s="27">
        <f>IF(A37="","",DailyPond!E37)</f>
        <v/>
      </c>
      <c r="F37" s="19">
        <f>IF(A37="","",MONTH(A37))</f>
        <v/>
      </c>
      <c r="G37" s="18">
        <f>IF(A37="","",VLOOKUP(F37,Evaporation!$A$6:$B$17,2,FALSE))</f>
        <v/>
      </c>
      <c r="H37" s="19">
        <f>IF(A37="","",IF(C37="","",IF(C37&lt;=INDEX(StageAreaVolume!$A$6:$A$17,1),INDEX(StageAreaVolume!$B$6:$B$17,1),IF(C37&gt;=INDEX(StageAreaVolume!$A$6:$A$17,COUNTA(StageAreaVolume!$A$6:$A$17)),INDEX(StageAreaVolume!$B$6:$B$17,COUNTA(StageAreaVolume!$A$6:$A$17)),(INDEX(StageAreaVolume!$B$6:$B$17,MATCH(C37,StageAreaVolume!$A$6:$A$17,1))+(C37-INDEX(StageAreaVolume!$A$6:$A$17,MATCH(C37,StageAreaVolume!$A$6:$A$17,1)))/(INDEX(StageAreaVolume!$A$6:$A$17,MATCH(C37,StageAreaVolume!$A$6:$A$17,1)+1)-INDEX(StageAreaVolume!$A$6:$A$17,MATCH(C37,StageAreaVolume!$A$6:$A$17,1)))*(INDEX(StageAreaVolume!$B$6:$B$17,MATCH(C37,StageAreaVolume!$A$6:$A$17,1)+1)-INDEX(StageAreaVolume!$B$6:$B$17,MATCH(C37,StageAreaVolume!$A$6:$A$17,1)))))))))</f>
        <v/>
      </c>
      <c r="I37" s="18">
        <f>IF(A37="","",IF(C37="","",IF(C37&lt;=INDEX(StageAreaVolume!$A$6:$A$17,1),INDEX(StageAreaVolume!$D$6:$D$17,1),IF(C37&gt;=INDEX(StageAreaVolume!$A$6:$A$17,COUNTA(StageAreaVolume!$A$6:$A$17)),INDEX(StageAreaVolume!$D$6:$D$17,COUNTA(StageAreaVolume!$A$6:$A$17)),(INDEX(StageAreaVolume!$D$6:$D$17,MATCH(C37,StageAreaVolume!$A$6:$A$17,1))+(C37-INDEX(StageAreaVolume!$A$6:$A$17,MATCH(C37,StageAreaVolume!$A$6:$A$17,1)))/(INDEX(StageAreaVolume!$A$6:$A$17,MATCH(C37,StageAreaVolume!$A$6:$A$17,1)+1)-INDEX(StageAreaVolume!$A$6:$A$17,MATCH(C37,StageAreaVolume!$A$6:$A$17,1)))*(INDEX(StageAreaVolume!$D$6:$D$17,MATCH(C37,StageAreaVolume!$A$6:$A$17,1)+1)-INDEX(StageAreaVolume!$D$6:$D$17,MATCH(C37,StageAreaVolume!$A$6:$A$17,1)))))))))</f>
        <v/>
      </c>
      <c r="J37" s="25">
        <f>IF(A37="","",IF(A36="",NA(),C36))</f>
        <v/>
      </c>
      <c r="K37" s="19">
        <f>IF(OR(A37="",ISNA(J37)),IF(A37="","",H37),(H36+H37)/2)</f>
        <v/>
      </c>
      <c r="L37" s="19">
        <f>IF(OR(A37="",ISNA(J37)),0,IF(AND(B37=0,D37="N",E37="N",C37&lt;J37,C37&gt;0),1,0))</f>
        <v/>
      </c>
      <c r="M37" s="25">
        <f>IF(L37&lt;&gt;1,"",IF(K37&lt;=0,"",(I36-I37-G37/1000*K37)/K37*1000))</f>
        <v/>
      </c>
      <c r="N37" s="18">
        <f>IF(A37="","",IF(L37=1,I36-I37-O37,IF(OR(C37&gt;0,N(J37)&gt;0),MeanMDWIR/1000*K37,0)))</f>
        <v/>
      </c>
      <c r="O37" s="18">
        <f>IF(A37="","",G37/1000*K37)</f>
        <v/>
      </c>
      <c r="P37" s="27">
        <f>IF(A37="","",IF(L37=1,"dry",IF(D37="Y","spill",IF(B37&gt;0,"wet",IF(E37="Y","pumped","other")))))</f>
        <v/>
      </c>
    </row>
    <row r="38">
      <c r="A38" s="26">
        <f>IF(DailyPond!A38="","",DailyPond!A38)</f>
        <v/>
      </c>
      <c r="B38" s="18">
        <f>IF(A38="","",DailyPond!B38)</f>
        <v/>
      </c>
      <c r="C38" s="25">
        <f>IF(A38="","",DailyPond!C38)</f>
        <v/>
      </c>
      <c r="D38" s="27">
        <f>IF(A38="","",DailyPond!D38)</f>
        <v/>
      </c>
      <c r="E38" s="27">
        <f>IF(A38="","",DailyPond!E38)</f>
        <v/>
      </c>
      <c r="F38" s="19">
        <f>IF(A38="","",MONTH(A38))</f>
        <v/>
      </c>
      <c r="G38" s="18">
        <f>IF(A38="","",VLOOKUP(F38,Evaporation!$A$6:$B$17,2,FALSE))</f>
        <v/>
      </c>
      <c r="H38" s="19">
        <f>IF(A38="","",IF(C38="","",IF(C38&lt;=INDEX(StageAreaVolume!$A$6:$A$17,1),INDEX(StageAreaVolume!$B$6:$B$17,1),IF(C38&gt;=INDEX(StageAreaVolume!$A$6:$A$17,COUNTA(StageAreaVolume!$A$6:$A$17)),INDEX(StageAreaVolume!$B$6:$B$17,COUNTA(StageAreaVolume!$A$6:$A$17)),(INDEX(StageAreaVolume!$B$6:$B$17,MATCH(C38,StageAreaVolume!$A$6:$A$17,1))+(C38-INDEX(StageAreaVolume!$A$6:$A$17,MATCH(C38,StageAreaVolume!$A$6:$A$17,1)))/(INDEX(StageAreaVolume!$A$6:$A$17,MATCH(C38,StageAreaVolume!$A$6:$A$17,1)+1)-INDEX(StageAreaVolume!$A$6:$A$17,MATCH(C38,StageAreaVolume!$A$6:$A$17,1)))*(INDEX(StageAreaVolume!$B$6:$B$17,MATCH(C38,StageAreaVolume!$A$6:$A$17,1)+1)-INDEX(StageAreaVolume!$B$6:$B$17,MATCH(C38,StageAreaVolume!$A$6:$A$17,1)))))))))</f>
        <v/>
      </c>
      <c r="I38" s="18">
        <f>IF(A38="","",IF(C38="","",IF(C38&lt;=INDEX(StageAreaVolume!$A$6:$A$17,1),INDEX(StageAreaVolume!$D$6:$D$17,1),IF(C38&gt;=INDEX(StageAreaVolume!$A$6:$A$17,COUNTA(StageAreaVolume!$A$6:$A$17)),INDEX(StageAreaVolume!$D$6:$D$17,COUNTA(StageAreaVolume!$A$6:$A$17)),(INDEX(StageAreaVolume!$D$6:$D$17,MATCH(C38,StageAreaVolume!$A$6:$A$17,1))+(C38-INDEX(StageAreaVolume!$A$6:$A$17,MATCH(C38,StageAreaVolume!$A$6:$A$17,1)))/(INDEX(StageAreaVolume!$A$6:$A$17,MATCH(C38,StageAreaVolume!$A$6:$A$17,1)+1)-INDEX(StageAreaVolume!$A$6:$A$17,MATCH(C38,StageAreaVolume!$A$6:$A$17,1)))*(INDEX(StageAreaVolume!$D$6:$D$17,MATCH(C38,StageAreaVolume!$A$6:$A$17,1)+1)-INDEX(StageAreaVolume!$D$6:$D$17,MATCH(C38,StageAreaVolume!$A$6:$A$17,1)))))))))</f>
        <v/>
      </c>
      <c r="J38" s="25">
        <f>IF(A38="","",IF(A37="",NA(),C37))</f>
        <v/>
      </c>
      <c r="K38" s="19">
        <f>IF(OR(A38="",ISNA(J38)),IF(A38="","",H38),(H37+H38)/2)</f>
        <v/>
      </c>
      <c r="L38" s="19">
        <f>IF(OR(A38="",ISNA(J38)),0,IF(AND(B38=0,D38="N",E38="N",C38&lt;J38,C38&gt;0),1,0))</f>
        <v/>
      </c>
      <c r="M38" s="25">
        <f>IF(L38&lt;&gt;1,"",IF(K38&lt;=0,"",(I37-I38-G38/1000*K38)/K38*1000))</f>
        <v/>
      </c>
      <c r="N38" s="18">
        <f>IF(A38="","",IF(L38=1,I37-I38-O38,IF(OR(C38&gt;0,N(J38)&gt;0),MeanMDWIR/1000*K38,0)))</f>
        <v/>
      </c>
      <c r="O38" s="18">
        <f>IF(A38="","",G38/1000*K38)</f>
        <v/>
      </c>
      <c r="P38" s="27">
        <f>IF(A38="","",IF(L38=1,"dry",IF(D38="Y","spill",IF(B38&gt;0,"wet",IF(E38="Y","pumped","other")))))</f>
        <v/>
      </c>
    </row>
    <row r="39">
      <c r="A39" s="26">
        <f>IF(DailyPond!A39="","",DailyPond!A39)</f>
        <v/>
      </c>
      <c r="B39" s="18">
        <f>IF(A39="","",DailyPond!B39)</f>
        <v/>
      </c>
      <c r="C39" s="25">
        <f>IF(A39="","",DailyPond!C39)</f>
        <v/>
      </c>
      <c r="D39" s="27">
        <f>IF(A39="","",DailyPond!D39)</f>
        <v/>
      </c>
      <c r="E39" s="27">
        <f>IF(A39="","",DailyPond!E39)</f>
        <v/>
      </c>
      <c r="F39" s="19">
        <f>IF(A39="","",MONTH(A39))</f>
        <v/>
      </c>
      <c r="G39" s="18">
        <f>IF(A39="","",VLOOKUP(F39,Evaporation!$A$6:$B$17,2,FALSE))</f>
        <v/>
      </c>
      <c r="H39" s="19">
        <f>IF(A39="","",IF(C39="","",IF(C39&lt;=INDEX(StageAreaVolume!$A$6:$A$17,1),INDEX(StageAreaVolume!$B$6:$B$17,1),IF(C39&gt;=INDEX(StageAreaVolume!$A$6:$A$17,COUNTA(StageAreaVolume!$A$6:$A$17)),INDEX(StageAreaVolume!$B$6:$B$17,COUNTA(StageAreaVolume!$A$6:$A$17)),(INDEX(StageAreaVolume!$B$6:$B$17,MATCH(C39,StageAreaVolume!$A$6:$A$17,1))+(C39-INDEX(StageAreaVolume!$A$6:$A$17,MATCH(C39,StageAreaVolume!$A$6:$A$17,1)))/(INDEX(StageAreaVolume!$A$6:$A$17,MATCH(C39,StageAreaVolume!$A$6:$A$17,1)+1)-INDEX(StageAreaVolume!$A$6:$A$17,MATCH(C39,StageAreaVolume!$A$6:$A$17,1)))*(INDEX(StageAreaVolume!$B$6:$B$17,MATCH(C39,StageAreaVolume!$A$6:$A$17,1)+1)-INDEX(StageAreaVolume!$B$6:$B$17,MATCH(C39,StageAreaVolume!$A$6:$A$17,1)))))))))</f>
        <v/>
      </c>
      <c r="I39" s="18">
        <f>IF(A39="","",IF(C39="","",IF(C39&lt;=INDEX(StageAreaVolume!$A$6:$A$17,1),INDEX(StageAreaVolume!$D$6:$D$17,1),IF(C39&gt;=INDEX(StageAreaVolume!$A$6:$A$17,COUNTA(StageAreaVolume!$A$6:$A$17)),INDEX(StageAreaVolume!$D$6:$D$17,COUNTA(StageAreaVolume!$A$6:$A$17)),(INDEX(StageAreaVolume!$D$6:$D$17,MATCH(C39,StageAreaVolume!$A$6:$A$17,1))+(C39-INDEX(StageAreaVolume!$A$6:$A$17,MATCH(C39,StageAreaVolume!$A$6:$A$17,1)))/(INDEX(StageAreaVolume!$A$6:$A$17,MATCH(C39,StageAreaVolume!$A$6:$A$17,1)+1)-INDEX(StageAreaVolume!$A$6:$A$17,MATCH(C39,StageAreaVolume!$A$6:$A$17,1)))*(INDEX(StageAreaVolume!$D$6:$D$17,MATCH(C39,StageAreaVolume!$A$6:$A$17,1)+1)-INDEX(StageAreaVolume!$D$6:$D$17,MATCH(C39,StageAreaVolume!$A$6:$A$17,1)))))))))</f>
        <v/>
      </c>
      <c r="J39" s="25">
        <f>IF(A39="","",IF(A38="",NA(),C38))</f>
        <v/>
      </c>
      <c r="K39" s="19">
        <f>IF(OR(A39="",ISNA(J39)),IF(A39="","",H39),(H38+H39)/2)</f>
        <v/>
      </c>
      <c r="L39" s="19">
        <f>IF(OR(A39="",ISNA(J39)),0,IF(AND(B39=0,D39="N",E39="N",C39&lt;J39,C39&gt;0),1,0))</f>
        <v/>
      </c>
      <c r="M39" s="25">
        <f>IF(L39&lt;&gt;1,"",IF(K39&lt;=0,"",(I38-I39-G39/1000*K39)/K39*1000))</f>
        <v/>
      </c>
      <c r="N39" s="18">
        <f>IF(A39="","",IF(L39=1,I38-I39-O39,IF(OR(C39&gt;0,N(J39)&gt;0),MeanMDWIR/1000*K39,0)))</f>
        <v/>
      </c>
      <c r="O39" s="18">
        <f>IF(A39="","",G39/1000*K39)</f>
        <v/>
      </c>
      <c r="P39" s="27">
        <f>IF(A39="","",IF(L39=1,"dry",IF(D39="Y","spill",IF(B39&gt;0,"wet",IF(E39="Y","pumped","other")))))</f>
        <v/>
      </c>
    </row>
    <row r="40">
      <c r="A40" s="26">
        <f>IF(DailyPond!A40="","",DailyPond!A40)</f>
        <v/>
      </c>
      <c r="B40" s="18">
        <f>IF(A40="","",DailyPond!B40)</f>
        <v/>
      </c>
      <c r="C40" s="25">
        <f>IF(A40="","",DailyPond!C40)</f>
        <v/>
      </c>
      <c r="D40" s="27">
        <f>IF(A40="","",DailyPond!D40)</f>
        <v/>
      </c>
      <c r="E40" s="27">
        <f>IF(A40="","",DailyPond!E40)</f>
        <v/>
      </c>
      <c r="F40" s="19">
        <f>IF(A40="","",MONTH(A40))</f>
        <v/>
      </c>
      <c r="G40" s="18">
        <f>IF(A40="","",VLOOKUP(F40,Evaporation!$A$6:$B$17,2,FALSE))</f>
        <v/>
      </c>
      <c r="H40" s="19">
        <f>IF(A40="","",IF(C40="","",IF(C40&lt;=INDEX(StageAreaVolume!$A$6:$A$17,1),INDEX(StageAreaVolume!$B$6:$B$17,1),IF(C40&gt;=INDEX(StageAreaVolume!$A$6:$A$17,COUNTA(StageAreaVolume!$A$6:$A$17)),INDEX(StageAreaVolume!$B$6:$B$17,COUNTA(StageAreaVolume!$A$6:$A$17)),(INDEX(StageAreaVolume!$B$6:$B$17,MATCH(C40,StageAreaVolume!$A$6:$A$17,1))+(C40-INDEX(StageAreaVolume!$A$6:$A$17,MATCH(C40,StageAreaVolume!$A$6:$A$17,1)))/(INDEX(StageAreaVolume!$A$6:$A$17,MATCH(C40,StageAreaVolume!$A$6:$A$17,1)+1)-INDEX(StageAreaVolume!$A$6:$A$17,MATCH(C40,StageAreaVolume!$A$6:$A$17,1)))*(INDEX(StageAreaVolume!$B$6:$B$17,MATCH(C40,StageAreaVolume!$A$6:$A$17,1)+1)-INDEX(StageAreaVolume!$B$6:$B$17,MATCH(C40,StageAreaVolume!$A$6:$A$17,1)))))))))</f>
        <v/>
      </c>
      <c r="I40" s="18">
        <f>IF(A40="","",IF(C40="","",IF(C40&lt;=INDEX(StageAreaVolume!$A$6:$A$17,1),INDEX(StageAreaVolume!$D$6:$D$17,1),IF(C40&gt;=INDEX(StageAreaVolume!$A$6:$A$17,COUNTA(StageAreaVolume!$A$6:$A$17)),INDEX(StageAreaVolume!$D$6:$D$17,COUNTA(StageAreaVolume!$A$6:$A$17)),(INDEX(StageAreaVolume!$D$6:$D$17,MATCH(C40,StageAreaVolume!$A$6:$A$17,1))+(C40-INDEX(StageAreaVolume!$A$6:$A$17,MATCH(C40,StageAreaVolume!$A$6:$A$17,1)))/(INDEX(StageAreaVolume!$A$6:$A$17,MATCH(C40,StageAreaVolume!$A$6:$A$17,1)+1)-INDEX(StageAreaVolume!$A$6:$A$17,MATCH(C40,StageAreaVolume!$A$6:$A$17,1)))*(INDEX(StageAreaVolume!$D$6:$D$17,MATCH(C40,StageAreaVolume!$A$6:$A$17,1)+1)-INDEX(StageAreaVolume!$D$6:$D$17,MATCH(C40,StageAreaVolume!$A$6:$A$17,1)))))))))</f>
        <v/>
      </c>
      <c r="J40" s="25">
        <f>IF(A40="","",IF(A39="",NA(),C39))</f>
        <v/>
      </c>
      <c r="K40" s="19">
        <f>IF(OR(A40="",ISNA(J40)),IF(A40="","",H40),(H39+H40)/2)</f>
        <v/>
      </c>
      <c r="L40" s="19">
        <f>IF(OR(A40="",ISNA(J40)),0,IF(AND(B40=0,D40="N",E40="N",C40&lt;J40,C40&gt;0),1,0))</f>
        <v/>
      </c>
      <c r="M40" s="25">
        <f>IF(L40&lt;&gt;1,"",IF(K40&lt;=0,"",(I39-I40-G40/1000*K40)/K40*1000))</f>
        <v/>
      </c>
      <c r="N40" s="18">
        <f>IF(A40="","",IF(L40=1,I39-I40-O40,IF(OR(C40&gt;0,N(J40)&gt;0),MeanMDWIR/1000*K40,0)))</f>
        <v/>
      </c>
      <c r="O40" s="18">
        <f>IF(A40="","",G40/1000*K40)</f>
        <v/>
      </c>
      <c r="P40" s="27">
        <f>IF(A40="","",IF(L40=1,"dry",IF(D40="Y","spill",IF(B40&gt;0,"wet",IF(E40="Y","pumped","other")))))</f>
        <v/>
      </c>
    </row>
    <row r="41">
      <c r="A41" s="26">
        <f>IF(DailyPond!A41="","",DailyPond!A41)</f>
        <v/>
      </c>
      <c r="B41" s="18">
        <f>IF(A41="","",DailyPond!B41)</f>
        <v/>
      </c>
      <c r="C41" s="25">
        <f>IF(A41="","",DailyPond!C41)</f>
        <v/>
      </c>
      <c r="D41" s="27">
        <f>IF(A41="","",DailyPond!D41)</f>
        <v/>
      </c>
      <c r="E41" s="27">
        <f>IF(A41="","",DailyPond!E41)</f>
        <v/>
      </c>
      <c r="F41" s="19">
        <f>IF(A41="","",MONTH(A41))</f>
        <v/>
      </c>
      <c r="G41" s="18">
        <f>IF(A41="","",VLOOKUP(F41,Evaporation!$A$6:$B$17,2,FALSE))</f>
        <v/>
      </c>
      <c r="H41" s="19">
        <f>IF(A41="","",IF(C41="","",IF(C41&lt;=INDEX(StageAreaVolume!$A$6:$A$17,1),INDEX(StageAreaVolume!$B$6:$B$17,1),IF(C41&gt;=INDEX(StageAreaVolume!$A$6:$A$17,COUNTA(StageAreaVolume!$A$6:$A$17)),INDEX(StageAreaVolume!$B$6:$B$17,COUNTA(StageAreaVolume!$A$6:$A$17)),(INDEX(StageAreaVolume!$B$6:$B$17,MATCH(C41,StageAreaVolume!$A$6:$A$17,1))+(C41-INDEX(StageAreaVolume!$A$6:$A$17,MATCH(C41,StageAreaVolume!$A$6:$A$17,1)))/(INDEX(StageAreaVolume!$A$6:$A$17,MATCH(C41,StageAreaVolume!$A$6:$A$17,1)+1)-INDEX(StageAreaVolume!$A$6:$A$17,MATCH(C41,StageAreaVolume!$A$6:$A$17,1)))*(INDEX(StageAreaVolume!$B$6:$B$17,MATCH(C41,StageAreaVolume!$A$6:$A$17,1)+1)-INDEX(StageAreaVolume!$B$6:$B$17,MATCH(C41,StageAreaVolume!$A$6:$A$17,1)))))))))</f>
        <v/>
      </c>
      <c r="I41" s="18">
        <f>IF(A41="","",IF(C41="","",IF(C41&lt;=INDEX(StageAreaVolume!$A$6:$A$17,1),INDEX(StageAreaVolume!$D$6:$D$17,1),IF(C41&gt;=INDEX(StageAreaVolume!$A$6:$A$17,COUNTA(StageAreaVolume!$A$6:$A$17)),INDEX(StageAreaVolume!$D$6:$D$17,COUNTA(StageAreaVolume!$A$6:$A$17)),(INDEX(StageAreaVolume!$D$6:$D$17,MATCH(C41,StageAreaVolume!$A$6:$A$17,1))+(C41-INDEX(StageAreaVolume!$A$6:$A$17,MATCH(C41,StageAreaVolume!$A$6:$A$17,1)))/(INDEX(StageAreaVolume!$A$6:$A$17,MATCH(C41,StageAreaVolume!$A$6:$A$17,1)+1)-INDEX(StageAreaVolume!$A$6:$A$17,MATCH(C41,StageAreaVolume!$A$6:$A$17,1)))*(INDEX(StageAreaVolume!$D$6:$D$17,MATCH(C41,StageAreaVolume!$A$6:$A$17,1)+1)-INDEX(StageAreaVolume!$D$6:$D$17,MATCH(C41,StageAreaVolume!$A$6:$A$17,1)))))))))</f>
        <v/>
      </c>
      <c r="J41" s="25">
        <f>IF(A41="","",IF(A40="",NA(),C40))</f>
        <v/>
      </c>
      <c r="K41" s="19">
        <f>IF(OR(A41="",ISNA(J41)),IF(A41="","",H41),(H40+H41)/2)</f>
        <v/>
      </c>
      <c r="L41" s="19">
        <f>IF(OR(A41="",ISNA(J41)),0,IF(AND(B41=0,D41="N",E41="N",C41&lt;J41,C41&gt;0),1,0))</f>
        <v/>
      </c>
      <c r="M41" s="25">
        <f>IF(L41&lt;&gt;1,"",IF(K41&lt;=0,"",(I40-I41-G41/1000*K41)/K41*1000))</f>
        <v/>
      </c>
      <c r="N41" s="18">
        <f>IF(A41="","",IF(L41=1,I40-I41-O41,IF(OR(C41&gt;0,N(J41)&gt;0),MeanMDWIR/1000*K41,0)))</f>
        <v/>
      </c>
      <c r="O41" s="18">
        <f>IF(A41="","",G41/1000*K41)</f>
        <v/>
      </c>
      <c r="P41" s="27">
        <f>IF(A41="","",IF(L41=1,"dry",IF(D41="Y","spill",IF(B41&gt;0,"wet",IF(E41="Y","pumped","other")))))</f>
        <v/>
      </c>
    </row>
    <row r="42">
      <c r="A42" s="26">
        <f>IF(DailyPond!A42="","",DailyPond!A42)</f>
        <v/>
      </c>
      <c r="B42" s="18">
        <f>IF(A42="","",DailyPond!B42)</f>
        <v/>
      </c>
      <c r="C42" s="25">
        <f>IF(A42="","",DailyPond!C42)</f>
        <v/>
      </c>
      <c r="D42" s="27">
        <f>IF(A42="","",DailyPond!D42)</f>
        <v/>
      </c>
      <c r="E42" s="27">
        <f>IF(A42="","",DailyPond!E42)</f>
        <v/>
      </c>
      <c r="F42" s="19">
        <f>IF(A42="","",MONTH(A42))</f>
        <v/>
      </c>
      <c r="G42" s="18">
        <f>IF(A42="","",VLOOKUP(F42,Evaporation!$A$6:$B$17,2,FALSE))</f>
        <v/>
      </c>
      <c r="H42" s="19">
        <f>IF(A42="","",IF(C42="","",IF(C42&lt;=INDEX(StageAreaVolume!$A$6:$A$17,1),INDEX(StageAreaVolume!$B$6:$B$17,1),IF(C42&gt;=INDEX(StageAreaVolume!$A$6:$A$17,COUNTA(StageAreaVolume!$A$6:$A$17)),INDEX(StageAreaVolume!$B$6:$B$17,COUNTA(StageAreaVolume!$A$6:$A$17)),(INDEX(StageAreaVolume!$B$6:$B$17,MATCH(C42,StageAreaVolume!$A$6:$A$17,1))+(C42-INDEX(StageAreaVolume!$A$6:$A$17,MATCH(C42,StageAreaVolume!$A$6:$A$17,1)))/(INDEX(StageAreaVolume!$A$6:$A$17,MATCH(C42,StageAreaVolume!$A$6:$A$17,1)+1)-INDEX(StageAreaVolume!$A$6:$A$17,MATCH(C42,StageAreaVolume!$A$6:$A$17,1)))*(INDEX(StageAreaVolume!$B$6:$B$17,MATCH(C42,StageAreaVolume!$A$6:$A$17,1)+1)-INDEX(StageAreaVolume!$B$6:$B$17,MATCH(C42,StageAreaVolume!$A$6:$A$17,1)))))))))</f>
        <v/>
      </c>
      <c r="I42" s="18">
        <f>IF(A42="","",IF(C42="","",IF(C42&lt;=INDEX(StageAreaVolume!$A$6:$A$17,1),INDEX(StageAreaVolume!$D$6:$D$17,1),IF(C42&gt;=INDEX(StageAreaVolume!$A$6:$A$17,COUNTA(StageAreaVolume!$A$6:$A$17)),INDEX(StageAreaVolume!$D$6:$D$17,COUNTA(StageAreaVolume!$A$6:$A$17)),(INDEX(StageAreaVolume!$D$6:$D$17,MATCH(C42,StageAreaVolume!$A$6:$A$17,1))+(C42-INDEX(StageAreaVolume!$A$6:$A$17,MATCH(C42,StageAreaVolume!$A$6:$A$17,1)))/(INDEX(StageAreaVolume!$A$6:$A$17,MATCH(C42,StageAreaVolume!$A$6:$A$17,1)+1)-INDEX(StageAreaVolume!$A$6:$A$17,MATCH(C42,StageAreaVolume!$A$6:$A$17,1)))*(INDEX(StageAreaVolume!$D$6:$D$17,MATCH(C42,StageAreaVolume!$A$6:$A$17,1)+1)-INDEX(StageAreaVolume!$D$6:$D$17,MATCH(C42,StageAreaVolume!$A$6:$A$17,1)))))))))</f>
        <v/>
      </c>
      <c r="J42" s="25">
        <f>IF(A42="","",IF(A41="",NA(),C41))</f>
        <v/>
      </c>
      <c r="K42" s="19">
        <f>IF(OR(A42="",ISNA(J42)),IF(A42="","",H42),(H41+H42)/2)</f>
        <v/>
      </c>
      <c r="L42" s="19">
        <f>IF(OR(A42="",ISNA(J42)),0,IF(AND(B42=0,D42="N",E42="N",C42&lt;J42,C42&gt;0),1,0))</f>
        <v/>
      </c>
      <c r="M42" s="25">
        <f>IF(L42&lt;&gt;1,"",IF(K42&lt;=0,"",(I41-I42-G42/1000*K42)/K42*1000))</f>
        <v/>
      </c>
      <c r="N42" s="18">
        <f>IF(A42="","",IF(L42=1,I41-I42-O42,IF(OR(C42&gt;0,N(J42)&gt;0),MeanMDWIR/1000*K42,0)))</f>
        <v/>
      </c>
      <c r="O42" s="18">
        <f>IF(A42="","",G42/1000*K42)</f>
        <v/>
      </c>
      <c r="P42" s="27">
        <f>IF(A42="","",IF(L42=1,"dry",IF(D42="Y","spill",IF(B42&gt;0,"wet",IF(E42="Y","pumped","other")))))</f>
        <v/>
      </c>
    </row>
    <row r="43">
      <c r="A43" s="26">
        <f>IF(DailyPond!A43="","",DailyPond!A43)</f>
        <v/>
      </c>
      <c r="B43" s="18">
        <f>IF(A43="","",DailyPond!B43)</f>
        <v/>
      </c>
      <c r="C43" s="25">
        <f>IF(A43="","",DailyPond!C43)</f>
        <v/>
      </c>
      <c r="D43" s="27">
        <f>IF(A43="","",DailyPond!D43)</f>
        <v/>
      </c>
      <c r="E43" s="27">
        <f>IF(A43="","",DailyPond!E43)</f>
        <v/>
      </c>
      <c r="F43" s="19">
        <f>IF(A43="","",MONTH(A43))</f>
        <v/>
      </c>
      <c r="G43" s="18">
        <f>IF(A43="","",VLOOKUP(F43,Evaporation!$A$6:$B$17,2,FALSE))</f>
        <v/>
      </c>
      <c r="H43" s="19">
        <f>IF(A43="","",IF(C43="","",IF(C43&lt;=INDEX(StageAreaVolume!$A$6:$A$17,1),INDEX(StageAreaVolume!$B$6:$B$17,1),IF(C43&gt;=INDEX(StageAreaVolume!$A$6:$A$17,COUNTA(StageAreaVolume!$A$6:$A$17)),INDEX(StageAreaVolume!$B$6:$B$17,COUNTA(StageAreaVolume!$A$6:$A$17)),(INDEX(StageAreaVolume!$B$6:$B$17,MATCH(C43,StageAreaVolume!$A$6:$A$17,1))+(C43-INDEX(StageAreaVolume!$A$6:$A$17,MATCH(C43,StageAreaVolume!$A$6:$A$17,1)))/(INDEX(StageAreaVolume!$A$6:$A$17,MATCH(C43,StageAreaVolume!$A$6:$A$17,1)+1)-INDEX(StageAreaVolume!$A$6:$A$17,MATCH(C43,StageAreaVolume!$A$6:$A$17,1)))*(INDEX(StageAreaVolume!$B$6:$B$17,MATCH(C43,StageAreaVolume!$A$6:$A$17,1)+1)-INDEX(StageAreaVolume!$B$6:$B$17,MATCH(C43,StageAreaVolume!$A$6:$A$17,1)))))))))</f>
        <v/>
      </c>
      <c r="I43" s="18">
        <f>IF(A43="","",IF(C43="","",IF(C43&lt;=INDEX(StageAreaVolume!$A$6:$A$17,1),INDEX(StageAreaVolume!$D$6:$D$17,1),IF(C43&gt;=INDEX(StageAreaVolume!$A$6:$A$17,COUNTA(StageAreaVolume!$A$6:$A$17)),INDEX(StageAreaVolume!$D$6:$D$17,COUNTA(StageAreaVolume!$A$6:$A$17)),(INDEX(StageAreaVolume!$D$6:$D$17,MATCH(C43,StageAreaVolume!$A$6:$A$17,1))+(C43-INDEX(StageAreaVolume!$A$6:$A$17,MATCH(C43,StageAreaVolume!$A$6:$A$17,1)))/(INDEX(StageAreaVolume!$A$6:$A$17,MATCH(C43,StageAreaVolume!$A$6:$A$17,1)+1)-INDEX(StageAreaVolume!$A$6:$A$17,MATCH(C43,StageAreaVolume!$A$6:$A$17,1)))*(INDEX(StageAreaVolume!$D$6:$D$17,MATCH(C43,StageAreaVolume!$A$6:$A$17,1)+1)-INDEX(StageAreaVolume!$D$6:$D$17,MATCH(C43,StageAreaVolume!$A$6:$A$17,1)))))))))</f>
        <v/>
      </c>
      <c r="J43" s="25">
        <f>IF(A43="","",IF(A42="",NA(),C42))</f>
        <v/>
      </c>
      <c r="K43" s="19">
        <f>IF(OR(A43="",ISNA(J43)),IF(A43="","",H43),(H42+H43)/2)</f>
        <v/>
      </c>
      <c r="L43" s="19">
        <f>IF(OR(A43="",ISNA(J43)),0,IF(AND(B43=0,D43="N",E43="N",C43&lt;J43,C43&gt;0),1,0))</f>
        <v/>
      </c>
      <c r="M43" s="25">
        <f>IF(L43&lt;&gt;1,"",IF(K43&lt;=0,"",(I42-I43-G43/1000*K43)/K43*1000))</f>
        <v/>
      </c>
      <c r="N43" s="18">
        <f>IF(A43="","",IF(L43=1,I42-I43-O43,IF(OR(C43&gt;0,N(J43)&gt;0),MeanMDWIR/1000*K43,0)))</f>
        <v/>
      </c>
      <c r="O43" s="18">
        <f>IF(A43="","",G43/1000*K43)</f>
        <v/>
      </c>
      <c r="P43" s="27">
        <f>IF(A43="","",IF(L43=1,"dry",IF(D43="Y","spill",IF(B43&gt;0,"wet",IF(E43="Y","pumped","other")))))</f>
        <v/>
      </c>
    </row>
    <row r="44">
      <c r="A44" s="26">
        <f>IF(DailyPond!A44="","",DailyPond!A44)</f>
        <v/>
      </c>
      <c r="B44" s="18">
        <f>IF(A44="","",DailyPond!B44)</f>
        <v/>
      </c>
      <c r="C44" s="25">
        <f>IF(A44="","",DailyPond!C44)</f>
        <v/>
      </c>
      <c r="D44" s="27">
        <f>IF(A44="","",DailyPond!D44)</f>
        <v/>
      </c>
      <c r="E44" s="27">
        <f>IF(A44="","",DailyPond!E44)</f>
        <v/>
      </c>
      <c r="F44" s="19">
        <f>IF(A44="","",MONTH(A44))</f>
        <v/>
      </c>
      <c r="G44" s="18">
        <f>IF(A44="","",VLOOKUP(F44,Evaporation!$A$6:$B$17,2,FALSE))</f>
        <v/>
      </c>
      <c r="H44" s="19">
        <f>IF(A44="","",IF(C44="","",IF(C44&lt;=INDEX(StageAreaVolume!$A$6:$A$17,1),INDEX(StageAreaVolume!$B$6:$B$17,1),IF(C44&gt;=INDEX(StageAreaVolume!$A$6:$A$17,COUNTA(StageAreaVolume!$A$6:$A$17)),INDEX(StageAreaVolume!$B$6:$B$17,COUNTA(StageAreaVolume!$A$6:$A$17)),(INDEX(StageAreaVolume!$B$6:$B$17,MATCH(C44,StageAreaVolume!$A$6:$A$17,1))+(C44-INDEX(StageAreaVolume!$A$6:$A$17,MATCH(C44,StageAreaVolume!$A$6:$A$17,1)))/(INDEX(StageAreaVolume!$A$6:$A$17,MATCH(C44,StageAreaVolume!$A$6:$A$17,1)+1)-INDEX(StageAreaVolume!$A$6:$A$17,MATCH(C44,StageAreaVolume!$A$6:$A$17,1)))*(INDEX(StageAreaVolume!$B$6:$B$17,MATCH(C44,StageAreaVolume!$A$6:$A$17,1)+1)-INDEX(StageAreaVolume!$B$6:$B$17,MATCH(C44,StageAreaVolume!$A$6:$A$17,1)))))))))</f>
        <v/>
      </c>
      <c r="I44" s="18">
        <f>IF(A44="","",IF(C44="","",IF(C44&lt;=INDEX(StageAreaVolume!$A$6:$A$17,1),INDEX(StageAreaVolume!$D$6:$D$17,1),IF(C44&gt;=INDEX(StageAreaVolume!$A$6:$A$17,COUNTA(StageAreaVolume!$A$6:$A$17)),INDEX(StageAreaVolume!$D$6:$D$17,COUNTA(StageAreaVolume!$A$6:$A$17)),(INDEX(StageAreaVolume!$D$6:$D$17,MATCH(C44,StageAreaVolume!$A$6:$A$17,1))+(C44-INDEX(StageAreaVolume!$A$6:$A$17,MATCH(C44,StageAreaVolume!$A$6:$A$17,1)))/(INDEX(StageAreaVolume!$A$6:$A$17,MATCH(C44,StageAreaVolume!$A$6:$A$17,1)+1)-INDEX(StageAreaVolume!$A$6:$A$17,MATCH(C44,StageAreaVolume!$A$6:$A$17,1)))*(INDEX(StageAreaVolume!$D$6:$D$17,MATCH(C44,StageAreaVolume!$A$6:$A$17,1)+1)-INDEX(StageAreaVolume!$D$6:$D$17,MATCH(C44,StageAreaVolume!$A$6:$A$17,1)))))))))</f>
        <v/>
      </c>
      <c r="J44" s="25">
        <f>IF(A44="","",IF(A43="",NA(),C43))</f>
        <v/>
      </c>
      <c r="K44" s="19">
        <f>IF(OR(A44="",ISNA(J44)),IF(A44="","",H44),(H43+H44)/2)</f>
        <v/>
      </c>
      <c r="L44" s="19">
        <f>IF(OR(A44="",ISNA(J44)),0,IF(AND(B44=0,D44="N",E44="N",C44&lt;J44,C44&gt;0),1,0))</f>
        <v/>
      </c>
      <c r="M44" s="25">
        <f>IF(L44&lt;&gt;1,"",IF(K44&lt;=0,"",(I43-I44-G44/1000*K44)/K44*1000))</f>
        <v/>
      </c>
      <c r="N44" s="18">
        <f>IF(A44="","",IF(L44=1,I43-I44-O44,IF(OR(C44&gt;0,N(J44)&gt;0),MeanMDWIR/1000*K44,0)))</f>
        <v/>
      </c>
      <c r="O44" s="18">
        <f>IF(A44="","",G44/1000*K44)</f>
        <v/>
      </c>
      <c r="P44" s="27">
        <f>IF(A44="","",IF(L44=1,"dry",IF(D44="Y","spill",IF(B44&gt;0,"wet",IF(E44="Y","pumped","other")))))</f>
        <v/>
      </c>
    </row>
    <row r="45">
      <c r="A45" s="26">
        <f>IF(DailyPond!A45="","",DailyPond!A45)</f>
        <v/>
      </c>
      <c r="B45" s="18">
        <f>IF(A45="","",DailyPond!B45)</f>
        <v/>
      </c>
      <c r="C45" s="25">
        <f>IF(A45="","",DailyPond!C45)</f>
        <v/>
      </c>
      <c r="D45" s="27">
        <f>IF(A45="","",DailyPond!D45)</f>
        <v/>
      </c>
      <c r="E45" s="27">
        <f>IF(A45="","",DailyPond!E45)</f>
        <v/>
      </c>
      <c r="F45" s="19">
        <f>IF(A45="","",MONTH(A45))</f>
        <v/>
      </c>
      <c r="G45" s="18">
        <f>IF(A45="","",VLOOKUP(F45,Evaporation!$A$6:$B$17,2,FALSE))</f>
        <v/>
      </c>
      <c r="H45" s="19">
        <f>IF(A45="","",IF(C45="","",IF(C45&lt;=INDEX(StageAreaVolume!$A$6:$A$17,1),INDEX(StageAreaVolume!$B$6:$B$17,1),IF(C45&gt;=INDEX(StageAreaVolume!$A$6:$A$17,COUNTA(StageAreaVolume!$A$6:$A$17)),INDEX(StageAreaVolume!$B$6:$B$17,COUNTA(StageAreaVolume!$A$6:$A$17)),(INDEX(StageAreaVolume!$B$6:$B$17,MATCH(C45,StageAreaVolume!$A$6:$A$17,1))+(C45-INDEX(StageAreaVolume!$A$6:$A$17,MATCH(C45,StageAreaVolume!$A$6:$A$17,1)))/(INDEX(StageAreaVolume!$A$6:$A$17,MATCH(C45,StageAreaVolume!$A$6:$A$17,1)+1)-INDEX(StageAreaVolume!$A$6:$A$17,MATCH(C45,StageAreaVolume!$A$6:$A$17,1)))*(INDEX(StageAreaVolume!$B$6:$B$17,MATCH(C45,StageAreaVolume!$A$6:$A$17,1)+1)-INDEX(StageAreaVolume!$B$6:$B$17,MATCH(C45,StageAreaVolume!$A$6:$A$17,1)))))))))</f>
        <v/>
      </c>
      <c r="I45" s="18">
        <f>IF(A45="","",IF(C45="","",IF(C45&lt;=INDEX(StageAreaVolume!$A$6:$A$17,1),INDEX(StageAreaVolume!$D$6:$D$17,1),IF(C45&gt;=INDEX(StageAreaVolume!$A$6:$A$17,COUNTA(StageAreaVolume!$A$6:$A$17)),INDEX(StageAreaVolume!$D$6:$D$17,COUNTA(StageAreaVolume!$A$6:$A$17)),(INDEX(StageAreaVolume!$D$6:$D$17,MATCH(C45,StageAreaVolume!$A$6:$A$17,1))+(C45-INDEX(StageAreaVolume!$A$6:$A$17,MATCH(C45,StageAreaVolume!$A$6:$A$17,1)))/(INDEX(StageAreaVolume!$A$6:$A$17,MATCH(C45,StageAreaVolume!$A$6:$A$17,1)+1)-INDEX(StageAreaVolume!$A$6:$A$17,MATCH(C45,StageAreaVolume!$A$6:$A$17,1)))*(INDEX(StageAreaVolume!$D$6:$D$17,MATCH(C45,StageAreaVolume!$A$6:$A$17,1)+1)-INDEX(StageAreaVolume!$D$6:$D$17,MATCH(C45,StageAreaVolume!$A$6:$A$17,1)))))))))</f>
        <v/>
      </c>
      <c r="J45" s="25">
        <f>IF(A45="","",IF(A44="",NA(),C44))</f>
        <v/>
      </c>
      <c r="K45" s="19">
        <f>IF(OR(A45="",ISNA(J45)),IF(A45="","",H45),(H44+H45)/2)</f>
        <v/>
      </c>
      <c r="L45" s="19">
        <f>IF(OR(A45="",ISNA(J45)),0,IF(AND(B45=0,D45="N",E45="N",C45&lt;J45,C45&gt;0),1,0))</f>
        <v/>
      </c>
      <c r="M45" s="25">
        <f>IF(L45&lt;&gt;1,"",IF(K45&lt;=0,"",(I44-I45-G45/1000*K45)/K45*1000))</f>
        <v/>
      </c>
      <c r="N45" s="18">
        <f>IF(A45="","",IF(L45=1,I44-I45-O45,IF(OR(C45&gt;0,N(J45)&gt;0),MeanMDWIR/1000*K45,0)))</f>
        <v/>
      </c>
      <c r="O45" s="18">
        <f>IF(A45="","",G45/1000*K45)</f>
        <v/>
      </c>
      <c r="P45" s="27">
        <f>IF(A45="","",IF(L45=1,"dry",IF(D45="Y","spill",IF(B45&gt;0,"wet",IF(E45="Y","pumped","other")))))</f>
        <v/>
      </c>
    </row>
    <row r="46">
      <c r="A46" s="26">
        <f>IF(DailyPond!A46="","",DailyPond!A46)</f>
        <v/>
      </c>
      <c r="B46" s="18">
        <f>IF(A46="","",DailyPond!B46)</f>
        <v/>
      </c>
      <c r="C46" s="25">
        <f>IF(A46="","",DailyPond!C46)</f>
        <v/>
      </c>
      <c r="D46" s="27">
        <f>IF(A46="","",DailyPond!D46)</f>
        <v/>
      </c>
      <c r="E46" s="27">
        <f>IF(A46="","",DailyPond!E46)</f>
        <v/>
      </c>
      <c r="F46" s="19">
        <f>IF(A46="","",MONTH(A46))</f>
        <v/>
      </c>
      <c r="G46" s="18">
        <f>IF(A46="","",VLOOKUP(F46,Evaporation!$A$6:$B$17,2,FALSE))</f>
        <v/>
      </c>
      <c r="H46" s="19">
        <f>IF(A46="","",IF(C46="","",IF(C46&lt;=INDEX(StageAreaVolume!$A$6:$A$17,1),INDEX(StageAreaVolume!$B$6:$B$17,1),IF(C46&gt;=INDEX(StageAreaVolume!$A$6:$A$17,COUNTA(StageAreaVolume!$A$6:$A$17)),INDEX(StageAreaVolume!$B$6:$B$17,COUNTA(StageAreaVolume!$A$6:$A$17)),(INDEX(StageAreaVolume!$B$6:$B$17,MATCH(C46,StageAreaVolume!$A$6:$A$17,1))+(C46-INDEX(StageAreaVolume!$A$6:$A$17,MATCH(C46,StageAreaVolume!$A$6:$A$17,1)))/(INDEX(StageAreaVolume!$A$6:$A$17,MATCH(C46,StageAreaVolume!$A$6:$A$17,1)+1)-INDEX(StageAreaVolume!$A$6:$A$17,MATCH(C46,StageAreaVolume!$A$6:$A$17,1)))*(INDEX(StageAreaVolume!$B$6:$B$17,MATCH(C46,StageAreaVolume!$A$6:$A$17,1)+1)-INDEX(StageAreaVolume!$B$6:$B$17,MATCH(C46,StageAreaVolume!$A$6:$A$17,1)))))))))</f>
        <v/>
      </c>
      <c r="I46" s="18">
        <f>IF(A46="","",IF(C46="","",IF(C46&lt;=INDEX(StageAreaVolume!$A$6:$A$17,1),INDEX(StageAreaVolume!$D$6:$D$17,1),IF(C46&gt;=INDEX(StageAreaVolume!$A$6:$A$17,COUNTA(StageAreaVolume!$A$6:$A$17)),INDEX(StageAreaVolume!$D$6:$D$17,COUNTA(StageAreaVolume!$A$6:$A$17)),(INDEX(StageAreaVolume!$D$6:$D$17,MATCH(C46,StageAreaVolume!$A$6:$A$17,1))+(C46-INDEX(StageAreaVolume!$A$6:$A$17,MATCH(C46,StageAreaVolume!$A$6:$A$17,1)))/(INDEX(StageAreaVolume!$A$6:$A$17,MATCH(C46,StageAreaVolume!$A$6:$A$17,1)+1)-INDEX(StageAreaVolume!$A$6:$A$17,MATCH(C46,StageAreaVolume!$A$6:$A$17,1)))*(INDEX(StageAreaVolume!$D$6:$D$17,MATCH(C46,StageAreaVolume!$A$6:$A$17,1)+1)-INDEX(StageAreaVolume!$D$6:$D$17,MATCH(C46,StageAreaVolume!$A$6:$A$17,1)))))))))</f>
        <v/>
      </c>
      <c r="J46" s="25">
        <f>IF(A46="","",IF(A45="",NA(),C45))</f>
        <v/>
      </c>
      <c r="K46" s="19">
        <f>IF(OR(A46="",ISNA(J46)),IF(A46="","",H46),(H45+H46)/2)</f>
        <v/>
      </c>
      <c r="L46" s="19">
        <f>IF(OR(A46="",ISNA(J46)),0,IF(AND(B46=0,D46="N",E46="N",C46&lt;J46,C46&gt;0),1,0))</f>
        <v/>
      </c>
      <c r="M46" s="25">
        <f>IF(L46&lt;&gt;1,"",IF(K46&lt;=0,"",(I45-I46-G46/1000*K46)/K46*1000))</f>
        <v/>
      </c>
      <c r="N46" s="18">
        <f>IF(A46="","",IF(L46=1,I45-I46-O46,IF(OR(C46&gt;0,N(J46)&gt;0),MeanMDWIR/1000*K46,0)))</f>
        <v/>
      </c>
      <c r="O46" s="18">
        <f>IF(A46="","",G46/1000*K46)</f>
        <v/>
      </c>
      <c r="P46" s="27">
        <f>IF(A46="","",IF(L46=1,"dry",IF(D46="Y","spill",IF(B46&gt;0,"wet",IF(E46="Y","pumped","other")))))</f>
        <v/>
      </c>
    </row>
    <row r="47">
      <c r="A47" s="26">
        <f>IF(DailyPond!A47="","",DailyPond!A47)</f>
        <v/>
      </c>
      <c r="B47" s="18">
        <f>IF(A47="","",DailyPond!B47)</f>
        <v/>
      </c>
      <c r="C47" s="25">
        <f>IF(A47="","",DailyPond!C47)</f>
        <v/>
      </c>
      <c r="D47" s="27">
        <f>IF(A47="","",DailyPond!D47)</f>
        <v/>
      </c>
      <c r="E47" s="27">
        <f>IF(A47="","",DailyPond!E47)</f>
        <v/>
      </c>
      <c r="F47" s="19">
        <f>IF(A47="","",MONTH(A47))</f>
        <v/>
      </c>
      <c r="G47" s="18">
        <f>IF(A47="","",VLOOKUP(F47,Evaporation!$A$6:$B$17,2,FALSE))</f>
        <v/>
      </c>
      <c r="H47" s="19">
        <f>IF(A47="","",IF(C47="","",IF(C47&lt;=INDEX(StageAreaVolume!$A$6:$A$17,1),INDEX(StageAreaVolume!$B$6:$B$17,1),IF(C47&gt;=INDEX(StageAreaVolume!$A$6:$A$17,COUNTA(StageAreaVolume!$A$6:$A$17)),INDEX(StageAreaVolume!$B$6:$B$17,COUNTA(StageAreaVolume!$A$6:$A$17)),(INDEX(StageAreaVolume!$B$6:$B$17,MATCH(C47,StageAreaVolume!$A$6:$A$17,1))+(C47-INDEX(StageAreaVolume!$A$6:$A$17,MATCH(C47,StageAreaVolume!$A$6:$A$17,1)))/(INDEX(StageAreaVolume!$A$6:$A$17,MATCH(C47,StageAreaVolume!$A$6:$A$17,1)+1)-INDEX(StageAreaVolume!$A$6:$A$17,MATCH(C47,StageAreaVolume!$A$6:$A$17,1)))*(INDEX(StageAreaVolume!$B$6:$B$17,MATCH(C47,StageAreaVolume!$A$6:$A$17,1)+1)-INDEX(StageAreaVolume!$B$6:$B$17,MATCH(C47,StageAreaVolume!$A$6:$A$17,1)))))))))</f>
        <v/>
      </c>
      <c r="I47" s="18">
        <f>IF(A47="","",IF(C47="","",IF(C47&lt;=INDEX(StageAreaVolume!$A$6:$A$17,1),INDEX(StageAreaVolume!$D$6:$D$17,1),IF(C47&gt;=INDEX(StageAreaVolume!$A$6:$A$17,COUNTA(StageAreaVolume!$A$6:$A$17)),INDEX(StageAreaVolume!$D$6:$D$17,COUNTA(StageAreaVolume!$A$6:$A$17)),(INDEX(StageAreaVolume!$D$6:$D$17,MATCH(C47,StageAreaVolume!$A$6:$A$17,1))+(C47-INDEX(StageAreaVolume!$A$6:$A$17,MATCH(C47,StageAreaVolume!$A$6:$A$17,1)))/(INDEX(StageAreaVolume!$A$6:$A$17,MATCH(C47,StageAreaVolume!$A$6:$A$17,1)+1)-INDEX(StageAreaVolume!$A$6:$A$17,MATCH(C47,StageAreaVolume!$A$6:$A$17,1)))*(INDEX(StageAreaVolume!$D$6:$D$17,MATCH(C47,StageAreaVolume!$A$6:$A$17,1)+1)-INDEX(StageAreaVolume!$D$6:$D$17,MATCH(C47,StageAreaVolume!$A$6:$A$17,1)))))))))</f>
        <v/>
      </c>
      <c r="J47" s="25">
        <f>IF(A47="","",IF(A46="",NA(),C46))</f>
        <v/>
      </c>
      <c r="K47" s="19">
        <f>IF(OR(A47="",ISNA(J47)),IF(A47="","",H47),(H46+H47)/2)</f>
        <v/>
      </c>
      <c r="L47" s="19">
        <f>IF(OR(A47="",ISNA(J47)),0,IF(AND(B47=0,D47="N",E47="N",C47&lt;J47,C47&gt;0),1,0))</f>
        <v/>
      </c>
      <c r="M47" s="25">
        <f>IF(L47&lt;&gt;1,"",IF(K47&lt;=0,"",(I46-I47-G47/1000*K47)/K47*1000))</f>
        <v/>
      </c>
      <c r="N47" s="18">
        <f>IF(A47="","",IF(L47=1,I46-I47-O47,IF(OR(C47&gt;0,N(J47)&gt;0),MeanMDWIR/1000*K47,0)))</f>
        <v/>
      </c>
      <c r="O47" s="18">
        <f>IF(A47="","",G47/1000*K47)</f>
        <v/>
      </c>
      <c r="P47" s="27">
        <f>IF(A47="","",IF(L47=1,"dry",IF(D47="Y","spill",IF(B47&gt;0,"wet",IF(E47="Y","pumped","other")))))</f>
        <v/>
      </c>
    </row>
    <row r="48">
      <c r="A48" s="26">
        <f>IF(DailyPond!A48="","",DailyPond!A48)</f>
        <v/>
      </c>
      <c r="B48" s="18">
        <f>IF(A48="","",DailyPond!B48)</f>
        <v/>
      </c>
      <c r="C48" s="25">
        <f>IF(A48="","",DailyPond!C48)</f>
        <v/>
      </c>
      <c r="D48" s="27">
        <f>IF(A48="","",DailyPond!D48)</f>
        <v/>
      </c>
      <c r="E48" s="27">
        <f>IF(A48="","",DailyPond!E48)</f>
        <v/>
      </c>
      <c r="F48" s="19">
        <f>IF(A48="","",MONTH(A48))</f>
        <v/>
      </c>
      <c r="G48" s="18">
        <f>IF(A48="","",VLOOKUP(F48,Evaporation!$A$6:$B$17,2,FALSE))</f>
        <v/>
      </c>
      <c r="H48" s="19">
        <f>IF(A48="","",IF(C48="","",IF(C48&lt;=INDEX(StageAreaVolume!$A$6:$A$17,1),INDEX(StageAreaVolume!$B$6:$B$17,1),IF(C48&gt;=INDEX(StageAreaVolume!$A$6:$A$17,COUNTA(StageAreaVolume!$A$6:$A$17)),INDEX(StageAreaVolume!$B$6:$B$17,COUNTA(StageAreaVolume!$A$6:$A$17)),(INDEX(StageAreaVolume!$B$6:$B$17,MATCH(C48,StageAreaVolume!$A$6:$A$17,1))+(C48-INDEX(StageAreaVolume!$A$6:$A$17,MATCH(C48,StageAreaVolume!$A$6:$A$17,1)))/(INDEX(StageAreaVolume!$A$6:$A$17,MATCH(C48,StageAreaVolume!$A$6:$A$17,1)+1)-INDEX(StageAreaVolume!$A$6:$A$17,MATCH(C48,StageAreaVolume!$A$6:$A$17,1)))*(INDEX(StageAreaVolume!$B$6:$B$17,MATCH(C48,StageAreaVolume!$A$6:$A$17,1)+1)-INDEX(StageAreaVolume!$B$6:$B$17,MATCH(C48,StageAreaVolume!$A$6:$A$17,1)))))))))</f>
        <v/>
      </c>
      <c r="I48" s="18">
        <f>IF(A48="","",IF(C48="","",IF(C48&lt;=INDEX(StageAreaVolume!$A$6:$A$17,1),INDEX(StageAreaVolume!$D$6:$D$17,1),IF(C48&gt;=INDEX(StageAreaVolume!$A$6:$A$17,COUNTA(StageAreaVolume!$A$6:$A$17)),INDEX(StageAreaVolume!$D$6:$D$17,COUNTA(StageAreaVolume!$A$6:$A$17)),(INDEX(StageAreaVolume!$D$6:$D$17,MATCH(C48,StageAreaVolume!$A$6:$A$17,1))+(C48-INDEX(StageAreaVolume!$A$6:$A$17,MATCH(C48,StageAreaVolume!$A$6:$A$17,1)))/(INDEX(StageAreaVolume!$A$6:$A$17,MATCH(C48,StageAreaVolume!$A$6:$A$17,1)+1)-INDEX(StageAreaVolume!$A$6:$A$17,MATCH(C48,StageAreaVolume!$A$6:$A$17,1)))*(INDEX(StageAreaVolume!$D$6:$D$17,MATCH(C48,StageAreaVolume!$A$6:$A$17,1)+1)-INDEX(StageAreaVolume!$D$6:$D$17,MATCH(C48,StageAreaVolume!$A$6:$A$17,1)))))))))</f>
        <v/>
      </c>
      <c r="J48" s="25">
        <f>IF(A48="","",IF(A47="",NA(),C47))</f>
        <v/>
      </c>
      <c r="K48" s="19">
        <f>IF(OR(A48="",ISNA(J48)),IF(A48="","",H48),(H47+H48)/2)</f>
        <v/>
      </c>
      <c r="L48" s="19">
        <f>IF(OR(A48="",ISNA(J48)),0,IF(AND(B48=0,D48="N",E48="N",C48&lt;J48,C48&gt;0),1,0))</f>
        <v/>
      </c>
      <c r="M48" s="25">
        <f>IF(L48&lt;&gt;1,"",IF(K48&lt;=0,"",(I47-I48-G48/1000*K48)/K48*1000))</f>
        <v/>
      </c>
      <c r="N48" s="18">
        <f>IF(A48="","",IF(L48=1,I47-I48-O48,IF(OR(C48&gt;0,N(J48)&gt;0),MeanMDWIR/1000*K48,0)))</f>
        <v/>
      </c>
      <c r="O48" s="18">
        <f>IF(A48="","",G48/1000*K48)</f>
        <v/>
      </c>
      <c r="P48" s="27">
        <f>IF(A48="","",IF(L48=1,"dry",IF(D48="Y","spill",IF(B48&gt;0,"wet",IF(E48="Y","pumped","other")))))</f>
        <v/>
      </c>
    </row>
    <row r="49">
      <c r="A49" s="26">
        <f>IF(DailyPond!A49="","",DailyPond!A49)</f>
        <v/>
      </c>
      <c r="B49" s="18">
        <f>IF(A49="","",DailyPond!B49)</f>
        <v/>
      </c>
      <c r="C49" s="25">
        <f>IF(A49="","",DailyPond!C49)</f>
        <v/>
      </c>
      <c r="D49" s="27">
        <f>IF(A49="","",DailyPond!D49)</f>
        <v/>
      </c>
      <c r="E49" s="27">
        <f>IF(A49="","",DailyPond!E49)</f>
        <v/>
      </c>
      <c r="F49" s="19">
        <f>IF(A49="","",MONTH(A49))</f>
        <v/>
      </c>
      <c r="G49" s="18">
        <f>IF(A49="","",VLOOKUP(F49,Evaporation!$A$6:$B$17,2,FALSE))</f>
        <v/>
      </c>
      <c r="H49" s="19">
        <f>IF(A49="","",IF(C49="","",IF(C49&lt;=INDEX(StageAreaVolume!$A$6:$A$17,1),INDEX(StageAreaVolume!$B$6:$B$17,1),IF(C49&gt;=INDEX(StageAreaVolume!$A$6:$A$17,COUNTA(StageAreaVolume!$A$6:$A$17)),INDEX(StageAreaVolume!$B$6:$B$17,COUNTA(StageAreaVolume!$A$6:$A$17)),(INDEX(StageAreaVolume!$B$6:$B$17,MATCH(C49,StageAreaVolume!$A$6:$A$17,1))+(C49-INDEX(StageAreaVolume!$A$6:$A$17,MATCH(C49,StageAreaVolume!$A$6:$A$17,1)))/(INDEX(StageAreaVolume!$A$6:$A$17,MATCH(C49,StageAreaVolume!$A$6:$A$17,1)+1)-INDEX(StageAreaVolume!$A$6:$A$17,MATCH(C49,StageAreaVolume!$A$6:$A$17,1)))*(INDEX(StageAreaVolume!$B$6:$B$17,MATCH(C49,StageAreaVolume!$A$6:$A$17,1)+1)-INDEX(StageAreaVolume!$B$6:$B$17,MATCH(C49,StageAreaVolume!$A$6:$A$17,1)))))))))</f>
        <v/>
      </c>
      <c r="I49" s="18">
        <f>IF(A49="","",IF(C49="","",IF(C49&lt;=INDEX(StageAreaVolume!$A$6:$A$17,1),INDEX(StageAreaVolume!$D$6:$D$17,1),IF(C49&gt;=INDEX(StageAreaVolume!$A$6:$A$17,COUNTA(StageAreaVolume!$A$6:$A$17)),INDEX(StageAreaVolume!$D$6:$D$17,COUNTA(StageAreaVolume!$A$6:$A$17)),(INDEX(StageAreaVolume!$D$6:$D$17,MATCH(C49,StageAreaVolume!$A$6:$A$17,1))+(C49-INDEX(StageAreaVolume!$A$6:$A$17,MATCH(C49,StageAreaVolume!$A$6:$A$17,1)))/(INDEX(StageAreaVolume!$A$6:$A$17,MATCH(C49,StageAreaVolume!$A$6:$A$17,1)+1)-INDEX(StageAreaVolume!$A$6:$A$17,MATCH(C49,StageAreaVolume!$A$6:$A$17,1)))*(INDEX(StageAreaVolume!$D$6:$D$17,MATCH(C49,StageAreaVolume!$A$6:$A$17,1)+1)-INDEX(StageAreaVolume!$D$6:$D$17,MATCH(C49,StageAreaVolume!$A$6:$A$17,1)))))))))</f>
        <v/>
      </c>
      <c r="J49" s="25">
        <f>IF(A49="","",IF(A48="",NA(),C48))</f>
        <v/>
      </c>
      <c r="K49" s="19">
        <f>IF(OR(A49="",ISNA(J49)),IF(A49="","",H49),(H48+H49)/2)</f>
        <v/>
      </c>
      <c r="L49" s="19">
        <f>IF(OR(A49="",ISNA(J49)),0,IF(AND(B49=0,D49="N",E49="N",C49&lt;J49,C49&gt;0),1,0))</f>
        <v/>
      </c>
      <c r="M49" s="25">
        <f>IF(L49&lt;&gt;1,"",IF(K49&lt;=0,"",(I48-I49-G49/1000*K49)/K49*1000))</f>
        <v/>
      </c>
      <c r="N49" s="18">
        <f>IF(A49="","",IF(L49=1,I48-I49-O49,IF(OR(C49&gt;0,N(J49)&gt;0),MeanMDWIR/1000*K49,0)))</f>
        <v/>
      </c>
      <c r="O49" s="18">
        <f>IF(A49="","",G49/1000*K49)</f>
        <v/>
      </c>
      <c r="P49" s="27">
        <f>IF(A49="","",IF(L49=1,"dry",IF(D49="Y","spill",IF(B49&gt;0,"wet",IF(E49="Y","pumped","other")))))</f>
        <v/>
      </c>
    </row>
    <row r="50">
      <c r="A50" s="26">
        <f>IF(DailyPond!A50="","",DailyPond!A50)</f>
        <v/>
      </c>
      <c r="B50" s="18">
        <f>IF(A50="","",DailyPond!B50)</f>
        <v/>
      </c>
      <c r="C50" s="25">
        <f>IF(A50="","",DailyPond!C50)</f>
        <v/>
      </c>
      <c r="D50" s="27">
        <f>IF(A50="","",DailyPond!D50)</f>
        <v/>
      </c>
      <c r="E50" s="27">
        <f>IF(A50="","",DailyPond!E50)</f>
        <v/>
      </c>
      <c r="F50" s="19">
        <f>IF(A50="","",MONTH(A50))</f>
        <v/>
      </c>
      <c r="G50" s="18">
        <f>IF(A50="","",VLOOKUP(F50,Evaporation!$A$6:$B$17,2,FALSE))</f>
        <v/>
      </c>
      <c r="H50" s="19">
        <f>IF(A50="","",IF(C50="","",IF(C50&lt;=INDEX(StageAreaVolume!$A$6:$A$17,1),INDEX(StageAreaVolume!$B$6:$B$17,1),IF(C50&gt;=INDEX(StageAreaVolume!$A$6:$A$17,COUNTA(StageAreaVolume!$A$6:$A$17)),INDEX(StageAreaVolume!$B$6:$B$17,COUNTA(StageAreaVolume!$A$6:$A$17)),(INDEX(StageAreaVolume!$B$6:$B$17,MATCH(C50,StageAreaVolume!$A$6:$A$17,1))+(C50-INDEX(StageAreaVolume!$A$6:$A$17,MATCH(C50,StageAreaVolume!$A$6:$A$17,1)))/(INDEX(StageAreaVolume!$A$6:$A$17,MATCH(C50,StageAreaVolume!$A$6:$A$17,1)+1)-INDEX(StageAreaVolume!$A$6:$A$17,MATCH(C50,StageAreaVolume!$A$6:$A$17,1)))*(INDEX(StageAreaVolume!$B$6:$B$17,MATCH(C50,StageAreaVolume!$A$6:$A$17,1)+1)-INDEX(StageAreaVolume!$B$6:$B$17,MATCH(C50,StageAreaVolume!$A$6:$A$17,1)))))))))</f>
        <v/>
      </c>
      <c r="I50" s="18">
        <f>IF(A50="","",IF(C50="","",IF(C50&lt;=INDEX(StageAreaVolume!$A$6:$A$17,1),INDEX(StageAreaVolume!$D$6:$D$17,1),IF(C50&gt;=INDEX(StageAreaVolume!$A$6:$A$17,COUNTA(StageAreaVolume!$A$6:$A$17)),INDEX(StageAreaVolume!$D$6:$D$17,COUNTA(StageAreaVolume!$A$6:$A$17)),(INDEX(StageAreaVolume!$D$6:$D$17,MATCH(C50,StageAreaVolume!$A$6:$A$17,1))+(C50-INDEX(StageAreaVolume!$A$6:$A$17,MATCH(C50,StageAreaVolume!$A$6:$A$17,1)))/(INDEX(StageAreaVolume!$A$6:$A$17,MATCH(C50,StageAreaVolume!$A$6:$A$17,1)+1)-INDEX(StageAreaVolume!$A$6:$A$17,MATCH(C50,StageAreaVolume!$A$6:$A$17,1)))*(INDEX(StageAreaVolume!$D$6:$D$17,MATCH(C50,StageAreaVolume!$A$6:$A$17,1)+1)-INDEX(StageAreaVolume!$D$6:$D$17,MATCH(C50,StageAreaVolume!$A$6:$A$17,1)))))))))</f>
        <v/>
      </c>
      <c r="J50" s="25">
        <f>IF(A50="","",IF(A49="",NA(),C49))</f>
        <v/>
      </c>
      <c r="K50" s="19">
        <f>IF(OR(A50="",ISNA(J50)),IF(A50="","",H50),(H49+H50)/2)</f>
        <v/>
      </c>
      <c r="L50" s="19">
        <f>IF(OR(A50="",ISNA(J50)),0,IF(AND(B50=0,D50="N",E50="N",C50&lt;J50,C50&gt;0),1,0))</f>
        <v/>
      </c>
      <c r="M50" s="25">
        <f>IF(L50&lt;&gt;1,"",IF(K50&lt;=0,"",(I49-I50-G50/1000*K50)/K50*1000))</f>
        <v/>
      </c>
      <c r="N50" s="18">
        <f>IF(A50="","",IF(L50=1,I49-I50-O50,IF(OR(C50&gt;0,N(J50)&gt;0),MeanMDWIR/1000*K50,0)))</f>
        <v/>
      </c>
      <c r="O50" s="18">
        <f>IF(A50="","",G50/1000*K50)</f>
        <v/>
      </c>
      <c r="P50" s="27">
        <f>IF(A50="","",IF(L50=1,"dry",IF(D50="Y","spill",IF(B50&gt;0,"wet",IF(E50="Y","pumped","other")))))</f>
        <v/>
      </c>
    </row>
    <row r="51">
      <c r="A51" s="26">
        <f>IF(DailyPond!A51="","",DailyPond!A51)</f>
        <v/>
      </c>
      <c r="B51" s="18">
        <f>IF(A51="","",DailyPond!B51)</f>
        <v/>
      </c>
      <c r="C51" s="25">
        <f>IF(A51="","",DailyPond!C51)</f>
        <v/>
      </c>
      <c r="D51" s="27">
        <f>IF(A51="","",DailyPond!D51)</f>
        <v/>
      </c>
      <c r="E51" s="27">
        <f>IF(A51="","",DailyPond!E51)</f>
        <v/>
      </c>
      <c r="F51" s="19">
        <f>IF(A51="","",MONTH(A51))</f>
        <v/>
      </c>
      <c r="G51" s="18">
        <f>IF(A51="","",VLOOKUP(F51,Evaporation!$A$6:$B$17,2,FALSE))</f>
        <v/>
      </c>
      <c r="H51" s="19">
        <f>IF(A51="","",IF(C51="","",IF(C51&lt;=INDEX(StageAreaVolume!$A$6:$A$17,1),INDEX(StageAreaVolume!$B$6:$B$17,1),IF(C51&gt;=INDEX(StageAreaVolume!$A$6:$A$17,COUNTA(StageAreaVolume!$A$6:$A$17)),INDEX(StageAreaVolume!$B$6:$B$17,COUNTA(StageAreaVolume!$A$6:$A$17)),(INDEX(StageAreaVolume!$B$6:$B$17,MATCH(C51,StageAreaVolume!$A$6:$A$17,1))+(C51-INDEX(StageAreaVolume!$A$6:$A$17,MATCH(C51,StageAreaVolume!$A$6:$A$17,1)))/(INDEX(StageAreaVolume!$A$6:$A$17,MATCH(C51,StageAreaVolume!$A$6:$A$17,1)+1)-INDEX(StageAreaVolume!$A$6:$A$17,MATCH(C51,StageAreaVolume!$A$6:$A$17,1)))*(INDEX(StageAreaVolume!$B$6:$B$17,MATCH(C51,StageAreaVolume!$A$6:$A$17,1)+1)-INDEX(StageAreaVolume!$B$6:$B$17,MATCH(C51,StageAreaVolume!$A$6:$A$17,1)))))))))</f>
        <v/>
      </c>
      <c r="I51" s="18">
        <f>IF(A51="","",IF(C51="","",IF(C51&lt;=INDEX(StageAreaVolume!$A$6:$A$17,1),INDEX(StageAreaVolume!$D$6:$D$17,1),IF(C51&gt;=INDEX(StageAreaVolume!$A$6:$A$17,COUNTA(StageAreaVolume!$A$6:$A$17)),INDEX(StageAreaVolume!$D$6:$D$17,COUNTA(StageAreaVolume!$A$6:$A$17)),(INDEX(StageAreaVolume!$D$6:$D$17,MATCH(C51,StageAreaVolume!$A$6:$A$17,1))+(C51-INDEX(StageAreaVolume!$A$6:$A$17,MATCH(C51,StageAreaVolume!$A$6:$A$17,1)))/(INDEX(StageAreaVolume!$A$6:$A$17,MATCH(C51,StageAreaVolume!$A$6:$A$17,1)+1)-INDEX(StageAreaVolume!$A$6:$A$17,MATCH(C51,StageAreaVolume!$A$6:$A$17,1)))*(INDEX(StageAreaVolume!$D$6:$D$17,MATCH(C51,StageAreaVolume!$A$6:$A$17,1)+1)-INDEX(StageAreaVolume!$D$6:$D$17,MATCH(C51,StageAreaVolume!$A$6:$A$17,1)))))))))</f>
        <v/>
      </c>
      <c r="J51" s="25">
        <f>IF(A51="","",IF(A50="",NA(),C50))</f>
        <v/>
      </c>
      <c r="K51" s="19">
        <f>IF(OR(A51="",ISNA(J51)),IF(A51="","",H51),(H50+H51)/2)</f>
        <v/>
      </c>
      <c r="L51" s="19">
        <f>IF(OR(A51="",ISNA(J51)),0,IF(AND(B51=0,D51="N",E51="N",C51&lt;J51,C51&gt;0),1,0))</f>
        <v/>
      </c>
      <c r="M51" s="25">
        <f>IF(L51&lt;&gt;1,"",IF(K51&lt;=0,"",(I50-I51-G51/1000*K51)/K51*1000))</f>
        <v/>
      </c>
      <c r="N51" s="18">
        <f>IF(A51="","",IF(L51=1,I50-I51-O51,IF(OR(C51&gt;0,N(J51)&gt;0),MeanMDWIR/1000*K51,0)))</f>
        <v/>
      </c>
      <c r="O51" s="18">
        <f>IF(A51="","",G51/1000*K51)</f>
        <v/>
      </c>
      <c r="P51" s="27">
        <f>IF(A51="","",IF(L51=1,"dry",IF(D51="Y","spill",IF(B51&gt;0,"wet",IF(E51="Y","pumped","other")))))</f>
        <v/>
      </c>
    </row>
    <row r="52">
      <c r="A52" s="26">
        <f>IF(DailyPond!A52="","",DailyPond!A52)</f>
        <v/>
      </c>
      <c r="B52" s="18">
        <f>IF(A52="","",DailyPond!B52)</f>
        <v/>
      </c>
      <c r="C52" s="25">
        <f>IF(A52="","",DailyPond!C52)</f>
        <v/>
      </c>
      <c r="D52" s="27">
        <f>IF(A52="","",DailyPond!D52)</f>
        <v/>
      </c>
      <c r="E52" s="27">
        <f>IF(A52="","",DailyPond!E52)</f>
        <v/>
      </c>
      <c r="F52" s="19">
        <f>IF(A52="","",MONTH(A52))</f>
        <v/>
      </c>
      <c r="G52" s="18">
        <f>IF(A52="","",VLOOKUP(F52,Evaporation!$A$6:$B$17,2,FALSE))</f>
        <v/>
      </c>
      <c r="H52" s="19">
        <f>IF(A52="","",IF(C52="","",IF(C52&lt;=INDEX(StageAreaVolume!$A$6:$A$17,1),INDEX(StageAreaVolume!$B$6:$B$17,1),IF(C52&gt;=INDEX(StageAreaVolume!$A$6:$A$17,COUNTA(StageAreaVolume!$A$6:$A$17)),INDEX(StageAreaVolume!$B$6:$B$17,COUNTA(StageAreaVolume!$A$6:$A$17)),(INDEX(StageAreaVolume!$B$6:$B$17,MATCH(C52,StageAreaVolume!$A$6:$A$17,1))+(C52-INDEX(StageAreaVolume!$A$6:$A$17,MATCH(C52,StageAreaVolume!$A$6:$A$17,1)))/(INDEX(StageAreaVolume!$A$6:$A$17,MATCH(C52,StageAreaVolume!$A$6:$A$17,1)+1)-INDEX(StageAreaVolume!$A$6:$A$17,MATCH(C52,StageAreaVolume!$A$6:$A$17,1)))*(INDEX(StageAreaVolume!$B$6:$B$17,MATCH(C52,StageAreaVolume!$A$6:$A$17,1)+1)-INDEX(StageAreaVolume!$B$6:$B$17,MATCH(C52,StageAreaVolume!$A$6:$A$17,1)))))))))</f>
        <v/>
      </c>
      <c r="I52" s="18">
        <f>IF(A52="","",IF(C52="","",IF(C52&lt;=INDEX(StageAreaVolume!$A$6:$A$17,1),INDEX(StageAreaVolume!$D$6:$D$17,1),IF(C52&gt;=INDEX(StageAreaVolume!$A$6:$A$17,COUNTA(StageAreaVolume!$A$6:$A$17)),INDEX(StageAreaVolume!$D$6:$D$17,COUNTA(StageAreaVolume!$A$6:$A$17)),(INDEX(StageAreaVolume!$D$6:$D$17,MATCH(C52,StageAreaVolume!$A$6:$A$17,1))+(C52-INDEX(StageAreaVolume!$A$6:$A$17,MATCH(C52,StageAreaVolume!$A$6:$A$17,1)))/(INDEX(StageAreaVolume!$A$6:$A$17,MATCH(C52,StageAreaVolume!$A$6:$A$17,1)+1)-INDEX(StageAreaVolume!$A$6:$A$17,MATCH(C52,StageAreaVolume!$A$6:$A$17,1)))*(INDEX(StageAreaVolume!$D$6:$D$17,MATCH(C52,StageAreaVolume!$A$6:$A$17,1)+1)-INDEX(StageAreaVolume!$D$6:$D$17,MATCH(C52,StageAreaVolume!$A$6:$A$17,1)))))))))</f>
        <v/>
      </c>
      <c r="J52" s="25">
        <f>IF(A52="","",IF(A51="",NA(),C51))</f>
        <v/>
      </c>
      <c r="K52" s="19">
        <f>IF(OR(A52="",ISNA(J52)),IF(A52="","",H52),(H51+H52)/2)</f>
        <v/>
      </c>
      <c r="L52" s="19">
        <f>IF(OR(A52="",ISNA(J52)),0,IF(AND(B52=0,D52="N",E52="N",C52&lt;J52,C52&gt;0),1,0))</f>
        <v/>
      </c>
      <c r="M52" s="25">
        <f>IF(L52&lt;&gt;1,"",IF(K52&lt;=0,"",(I51-I52-G52/1000*K52)/K52*1000))</f>
        <v/>
      </c>
      <c r="N52" s="18">
        <f>IF(A52="","",IF(L52=1,I51-I52-O52,IF(OR(C52&gt;0,N(J52)&gt;0),MeanMDWIR/1000*K52,0)))</f>
        <v/>
      </c>
      <c r="O52" s="18">
        <f>IF(A52="","",G52/1000*K52)</f>
        <v/>
      </c>
      <c r="P52" s="27">
        <f>IF(A52="","",IF(L52=1,"dry",IF(D52="Y","spill",IF(B52&gt;0,"wet",IF(E52="Y","pumped","other")))))</f>
        <v/>
      </c>
    </row>
    <row r="53">
      <c r="A53" s="26">
        <f>IF(DailyPond!A53="","",DailyPond!A53)</f>
        <v/>
      </c>
      <c r="B53" s="18">
        <f>IF(A53="","",DailyPond!B53)</f>
        <v/>
      </c>
      <c r="C53" s="25">
        <f>IF(A53="","",DailyPond!C53)</f>
        <v/>
      </c>
      <c r="D53" s="27">
        <f>IF(A53="","",DailyPond!D53)</f>
        <v/>
      </c>
      <c r="E53" s="27">
        <f>IF(A53="","",DailyPond!E53)</f>
        <v/>
      </c>
      <c r="F53" s="19">
        <f>IF(A53="","",MONTH(A53))</f>
        <v/>
      </c>
      <c r="G53" s="18">
        <f>IF(A53="","",VLOOKUP(F53,Evaporation!$A$6:$B$17,2,FALSE))</f>
        <v/>
      </c>
      <c r="H53" s="19">
        <f>IF(A53="","",IF(C53="","",IF(C53&lt;=INDEX(StageAreaVolume!$A$6:$A$17,1),INDEX(StageAreaVolume!$B$6:$B$17,1),IF(C53&gt;=INDEX(StageAreaVolume!$A$6:$A$17,COUNTA(StageAreaVolume!$A$6:$A$17)),INDEX(StageAreaVolume!$B$6:$B$17,COUNTA(StageAreaVolume!$A$6:$A$17)),(INDEX(StageAreaVolume!$B$6:$B$17,MATCH(C53,StageAreaVolume!$A$6:$A$17,1))+(C53-INDEX(StageAreaVolume!$A$6:$A$17,MATCH(C53,StageAreaVolume!$A$6:$A$17,1)))/(INDEX(StageAreaVolume!$A$6:$A$17,MATCH(C53,StageAreaVolume!$A$6:$A$17,1)+1)-INDEX(StageAreaVolume!$A$6:$A$17,MATCH(C53,StageAreaVolume!$A$6:$A$17,1)))*(INDEX(StageAreaVolume!$B$6:$B$17,MATCH(C53,StageAreaVolume!$A$6:$A$17,1)+1)-INDEX(StageAreaVolume!$B$6:$B$17,MATCH(C53,StageAreaVolume!$A$6:$A$17,1)))))))))</f>
        <v/>
      </c>
      <c r="I53" s="18">
        <f>IF(A53="","",IF(C53="","",IF(C53&lt;=INDEX(StageAreaVolume!$A$6:$A$17,1),INDEX(StageAreaVolume!$D$6:$D$17,1),IF(C53&gt;=INDEX(StageAreaVolume!$A$6:$A$17,COUNTA(StageAreaVolume!$A$6:$A$17)),INDEX(StageAreaVolume!$D$6:$D$17,COUNTA(StageAreaVolume!$A$6:$A$17)),(INDEX(StageAreaVolume!$D$6:$D$17,MATCH(C53,StageAreaVolume!$A$6:$A$17,1))+(C53-INDEX(StageAreaVolume!$A$6:$A$17,MATCH(C53,StageAreaVolume!$A$6:$A$17,1)))/(INDEX(StageAreaVolume!$A$6:$A$17,MATCH(C53,StageAreaVolume!$A$6:$A$17,1)+1)-INDEX(StageAreaVolume!$A$6:$A$17,MATCH(C53,StageAreaVolume!$A$6:$A$17,1)))*(INDEX(StageAreaVolume!$D$6:$D$17,MATCH(C53,StageAreaVolume!$A$6:$A$17,1)+1)-INDEX(StageAreaVolume!$D$6:$D$17,MATCH(C53,StageAreaVolume!$A$6:$A$17,1)))))))))</f>
        <v/>
      </c>
      <c r="J53" s="25">
        <f>IF(A53="","",IF(A52="",NA(),C52))</f>
        <v/>
      </c>
      <c r="K53" s="19">
        <f>IF(OR(A53="",ISNA(J53)),IF(A53="","",H53),(H52+H53)/2)</f>
        <v/>
      </c>
      <c r="L53" s="19">
        <f>IF(OR(A53="",ISNA(J53)),0,IF(AND(B53=0,D53="N",E53="N",C53&lt;J53,C53&gt;0),1,0))</f>
        <v/>
      </c>
      <c r="M53" s="25">
        <f>IF(L53&lt;&gt;1,"",IF(K53&lt;=0,"",(I52-I53-G53/1000*K53)/K53*1000))</f>
        <v/>
      </c>
      <c r="N53" s="18">
        <f>IF(A53="","",IF(L53=1,I52-I53-O53,IF(OR(C53&gt;0,N(J53)&gt;0),MeanMDWIR/1000*K53,0)))</f>
        <v/>
      </c>
      <c r="O53" s="18">
        <f>IF(A53="","",G53/1000*K53)</f>
        <v/>
      </c>
      <c r="P53" s="27">
        <f>IF(A53="","",IF(L53=1,"dry",IF(D53="Y","spill",IF(B53&gt;0,"wet",IF(E53="Y","pumped","other")))))</f>
        <v/>
      </c>
    </row>
    <row r="54">
      <c r="A54" s="26">
        <f>IF(DailyPond!A54="","",DailyPond!A54)</f>
        <v/>
      </c>
      <c r="B54" s="18">
        <f>IF(A54="","",DailyPond!B54)</f>
        <v/>
      </c>
      <c r="C54" s="25">
        <f>IF(A54="","",DailyPond!C54)</f>
        <v/>
      </c>
      <c r="D54" s="27">
        <f>IF(A54="","",DailyPond!D54)</f>
        <v/>
      </c>
      <c r="E54" s="27">
        <f>IF(A54="","",DailyPond!E54)</f>
        <v/>
      </c>
      <c r="F54" s="19">
        <f>IF(A54="","",MONTH(A54))</f>
        <v/>
      </c>
      <c r="G54" s="18">
        <f>IF(A54="","",VLOOKUP(F54,Evaporation!$A$6:$B$17,2,FALSE))</f>
        <v/>
      </c>
      <c r="H54" s="19">
        <f>IF(A54="","",IF(C54="","",IF(C54&lt;=INDEX(StageAreaVolume!$A$6:$A$17,1),INDEX(StageAreaVolume!$B$6:$B$17,1),IF(C54&gt;=INDEX(StageAreaVolume!$A$6:$A$17,COUNTA(StageAreaVolume!$A$6:$A$17)),INDEX(StageAreaVolume!$B$6:$B$17,COUNTA(StageAreaVolume!$A$6:$A$17)),(INDEX(StageAreaVolume!$B$6:$B$17,MATCH(C54,StageAreaVolume!$A$6:$A$17,1))+(C54-INDEX(StageAreaVolume!$A$6:$A$17,MATCH(C54,StageAreaVolume!$A$6:$A$17,1)))/(INDEX(StageAreaVolume!$A$6:$A$17,MATCH(C54,StageAreaVolume!$A$6:$A$17,1)+1)-INDEX(StageAreaVolume!$A$6:$A$17,MATCH(C54,StageAreaVolume!$A$6:$A$17,1)))*(INDEX(StageAreaVolume!$B$6:$B$17,MATCH(C54,StageAreaVolume!$A$6:$A$17,1)+1)-INDEX(StageAreaVolume!$B$6:$B$17,MATCH(C54,StageAreaVolume!$A$6:$A$17,1)))))))))</f>
        <v/>
      </c>
      <c r="I54" s="18">
        <f>IF(A54="","",IF(C54="","",IF(C54&lt;=INDEX(StageAreaVolume!$A$6:$A$17,1),INDEX(StageAreaVolume!$D$6:$D$17,1),IF(C54&gt;=INDEX(StageAreaVolume!$A$6:$A$17,COUNTA(StageAreaVolume!$A$6:$A$17)),INDEX(StageAreaVolume!$D$6:$D$17,COUNTA(StageAreaVolume!$A$6:$A$17)),(INDEX(StageAreaVolume!$D$6:$D$17,MATCH(C54,StageAreaVolume!$A$6:$A$17,1))+(C54-INDEX(StageAreaVolume!$A$6:$A$17,MATCH(C54,StageAreaVolume!$A$6:$A$17,1)))/(INDEX(StageAreaVolume!$A$6:$A$17,MATCH(C54,StageAreaVolume!$A$6:$A$17,1)+1)-INDEX(StageAreaVolume!$A$6:$A$17,MATCH(C54,StageAreaVolume!$A$6:$A$17,1)))*(INDEX(StageAreaVolume!$D$6:$D$17,MATCH(C54,StageAreaVolume!$A$6:$A$17,1)+1)-INDEX(StageAreaVolume!$D$6:$D$17,MATCH(C54,StageAreaVolume!$A$6:$A$17,1)))))))))</f>
        <v/>
      </c>
      <c r="J54" s="25">
        <f>IF(A54="","",IF(A53="",NA(),C53))</f>
        <v/>
      </c>
      <c r="K54" s="19">
        <f>IF(OR(A54="",ISNA(J54)),IF(A54="","",H54),(H53+H54)/2)</f>
        <v/>
      </c>
      <c r="L54" s="19">
        <f>IF(OR(A54="",ISNA(J54)),0,IF(AND(B54=0,D54="N",E54="N",C54&lt;J54,C54&gt;0),1,0))</f>
        <v/>
      </c>
      <c r="M54" s="25">
        <f>IF(L54&lt;&gt;1,"",IF(K54&lt;=0,"",(I53-I54-G54/1000*K54)/K54*1000))</f>
        <v/>
      </c>
      <c r="N54" s="18">
        <f>IF(A54="","",IF(L54=1,I53-I54-O54,IF(OR(C54&gt;0,N(J54)&gt;0),MeanMDWIR/1000*K54,0)))</f>
        <v/>
      </c>
      <c r="O54" s="18">
        <f>IF(A54="","",G54/1000*K54)</f>
        <v/>
      </c>
      <c r="P54" s="27">
        <f>IF(A54="","",IF(L54=1,"dry",IF(D54="Y","spill",IF(B54&gt;0,"wet",IF(E54="Y","pumped","other")))))</f>
        <v/>
      </c>
    </row>
    <row r="55">
      <c r="A55" s="26">
        <f>IF(DailyPond!A55="","",DailyPond!A55)</f>
        <v/>
      </c>
      <c r="B55" s="18">
        <f>IF(A55="","",DailyPond!B55)</f>
        <v/>
      </c>
      <c r="C55" s="25">
        <f>IF(A55="","",DailyPond!C55)</f>
        <v/>
      </c>
      <c r="D55" s="27">
        <f>IF(A55="","",DailyPond!D55)</f>
        <v/>
      </c>
      <c r="E55" s="27">
        <f>IF(A55="","",DailyPond!E55)</f>
        <v/>
      </c>
      <c r="F55" s="19">
        <f>IF(A55="","",MONTH(A55))</f>
        <v/>
      </c>
      <c r="G55" s="18">
        <f>IF(A55="","",VLOOKUP(F55,Evaporation!$A$6:$B$17,2,FALSE))</f>
        <v/>
      </c>
      <c r="H55" s="19">
        <f>IF(A55="","",IF(C55="","",IF(C55&lt;=INDEX(StageAreaVolume!$A$6:$A$17,1),INDEX(StageAreaVolume!$B$6:$B$17,1),IF(C55&gt;=INDEX(StageAreaVolume!$A$6:$A$17,COUNTA(StageAreaVolume!$A$6:$A$17)),INDEX(StageAreaVolume!$B$6:$B$17,COUNTA(StageAreaVolume!$A$6:$A$17)),(INDEX(StageAreaVolume!$B$6:$B$17,MATCH(C55,StageAreaVolume!$A$6:$A$17,1))+(C55-INDEX(StageAreaVolume!$A$6:$A$17,MATCH(C55,StageAreaVolume!$A$6:$A$17,1)))/(INDEX(StageAreaVolume!$A$6:$A$17,MATCH(C55,StageAreaVolume!$A$6:$A$17,1)+1)-INDEX(StageAreaVolume!$A$6:$A$17,MATCH(C55,StageAreaVolume!$A$6:$A$17,1)))*(INDEX(StageAreaVolume!$B$6:$B$17,MATCH(C55,StageAreaVolume!$A$6:$A$17,1)+1)-INDEX(StageAreaVolume!$B$6:$B$17,MATCH(C55,StageAreaVolume!$A$6:$A$17,1)))))))))</f>
        <v/>
      </c>
      <c r="I55" s="18">
        <f>IF(A55="","",IF(C55="","",IF(C55&lt;=INDEX(StageAreaVolume!$A$6:$A$17,1),INDEX(StageAreaVolume!$D$6:$D$17,1),IF(C55&gt;=INDEX(StageAreaVolume!$A$6:$A$17,COUNTA(StageAreaVolume!$A$6:$A$17)),INDEX(StageAreaVolume!$D$6:$D$17,COUNTA(StageAreaVolume!$A$6:$A$17)),(INDEX(StageAreaVolume!$D$6:$D$17,MATCH(C55,StageAreaVolume!$A$6:$A$17,1))+(C55-INDEX(StageAreaVolume!$A$6:$A$17,MATCH(C55,StageAreaVolume!$A$6:$A$17,1)))/(INDEX(StageAreaVolume!$A$6:$A$17,MATCH(C55,StageAreaVolume!$A$6:$A$17,1)+1)-INDEX(StageAreaVolume!$A$6:$A$17,MATCH(C55,StageAreaVolume!$A$6:$A$17,1)))*(INDEX(StageAreaVolume!$D$6:$D$17,MATCH(C55,StageAreaVolume!$A$6:$A$17,1)+1)-INDEX(StageAreaVolume!$D$6:$D$17,MATCH(C55,StageAreaVolume!$A$6:$A$17,1)))))))))</f>
        <v/>
      </c>
      <c r="J55" s="25">
        <f>IF(A55="","",IF(A54="",NA(),C54))</f>
        <v/>
      </c>
      <c r="K55" s="19">
        <f>IF(OR(A55="",ISNA(J55)),IF(A55="","",H55),(H54+H55)/2)</f>
        <v/>
      </c>
      <c r="L55" s="19">
        <f>IF(OR(A55="",ISNA(J55)),0,IF(AND(B55=0,D55="N",E55="N",C55&lt;J55,C55&gt;0),1,0))</f>
        <v/>
      </c>
      <c r="M55" s="25">
        <f>IF(L55&lt;&gt;1,"",IF(K55&lt;=0,"",(I54-I55-G55/1000*K55)/K55*1000))</f>
        <v/>
      </c>
      <c r="N55" s="18">
        <f>IF(A55="","",IF(L55=1,I54-I55-O55,IF(OR(C55&gt;0,N(J55)&gt;0),MeanMDWIR/1000*K55,0)))</f>
        <v/>
      </c>
      <c r="O55" s="18">
        <f>IF(A55="","",G55/1000*K55)</f>
        <v/>
      </c>
      <c r="P55" s="27">
        <f>IF(A55="","",IF(L55=1,"dry",IF(D55="Y","spill",IF(B55&gt;0,"wet",IF(E55="Y","pumped","other")))))</f>
        <v/>
      </c>
    </row>
    <row r="56">
      <c r="A56" s="26">
        <f>IF(DailyPond!A56="","",DailyPond!A56)</f>
        <v/>
      </c>
      <c r="B56" s="18">
        <f>IF(A56="","",DailyPond!B56)</f>
        <v/>
      </c>
      <c r="C56" s="25">
        <f>IF(A56="","",DailyPond!C56)</f>
        <v/>
      </c>
      <c r="D56" s="27">
        <f>IF(A56="","",DailyPond!D56)</f>
        <v/>
      </c>
      <c r="E56" s="27">
        <f>IF(A56="","",DailyPond!E56)</f>
        <v/>
      </c>
      <c r="F56" s="19">
        <f>IF(A56="","",MONTH(A56))</f>
        <v/>
      </c>
      <c r="G56" s="18">
        <f>IF(A56="","",VLOOKUP(F56,Evaporation!$A$6:$B$17,2,FALSE))</f>
        <v/>
      </c>
      <c r="H56" s="19">
        <f>IF(A56="","",IF(C56="","",IF(C56&lt;=INDEX(StageAreaVolume!$A$6:$A$17,1),INDEX(StageAreaVolume!$B$6:$B$17,1),IF(C56&gt;=INDEX(StageAreaVolume!$A$6:$A$17,COUNTA(StageAreaVolume!$A$6:$A$17)),INDEX(StageAreaVolume!$B$6:$B$17,COUNTA(StageAreaVolume!$A$6:$A$17)),(INDEX(StageAreaVolume!$B$6:$B$17,MATCH(C56,StageAreaVolume!$A$6:$A$17,1))+(C56-INDEX(StageAreaVolume!$A$6:$A$17,MATCH(C56,StageAreaVolume!$A$6:$A$17,1)))/(INDEX(StageAreaVolume!$A$6:$A$17,MATCH(C56,StageAreaVolume!$A$6:$A$17,1)+1)-INDEX(StageAreaVolume!$A$6:$A$17,MATCH(C56,StageAreaVolume!$A$6:$A$17,1)))*(INDEX(StageAreaVolume!$B$6:$B$17,MATCH(C56,StageAreaVolume!$A$6:$A$17,1)+1)-INDEX(StageAreaVolume!$B$6:$B$17,MATCH(C56,StageAreaVolume!$A$6:$A$17,1)))))))))</f>
        <v/>
      </c>
      <c r="I56" s="18">
        <f>IF(A56="","",IF(C56="","",IF(C56&lt;=INDEX(StageAreaVolume!$A$6:$A$17,1),INDEX(StageAreaVolume!$D$6:$D$17,1),IF(C56&gt;=INDEX(StageAreaVolume!$A$6:$A$17,COUNTA(StageAreaVolume!$A$6:$A$17)),INDEX(StageAreaVolume!$D$6:$D$17,COUNTA(StageAreaVolume!$A$6:$A$17)),(INDEX(StageAreaVolume!$D$6:$D$17,MATCH(C56,StageAreaVolume!$A$6:$A$17,1))+(C56-INDEX(StageAreaVolume!$A$6:$A$17,MATCH(C56,StageAreaVolume!$A$6:$A$17,1)))/(INDEX(StageAreaVolume!$A$6:$A$17,MATCH(C56,StageAreaVolume!$A$6:$A$17,1)+1)-INDEX(StageAreaVolume!$A$6:$A$17,MATCH(C56,StageAreaVolume!$A$6:$A$17,1)))*(INDEX(StageAreaVolume!$D$6:$D$17,MATCH(C56,StageAreaVolume!$A$6:$A$17,1)+1)-INDEX(StageAreaVolume!$D$6:$D$17,MATCH(C56,StageAreaVolume!$A$6:$A$17,1)))))))))</f>
        <v/>
      </c>
      <c r="J56" s="25">
        <f>IF(A56="","",IF(A55="",NA(),C55))</f>
        <v/>
      </c>
      <c r="K56" s="19">
        <f>IF(OR(A56="",ISNA(J56)),IF(A56="","",H56),(H55+H56)/2)</f>
        <v/>
      </c>
      <c r="L56" s="19">
        <f>IF(OR(A56="",ISNA(J56)),0,IF(AND(B56=0,D56="N",E56="N",C56&lt;J56,C56&gt;0),1,0))</f>
        <v/>
      </c>
      <c r="M56" s="25">
        <f>IF(L56&lt;&gt;1,"",IF(K56&lt;=0,"",(I55-I56-G56/1000*K56)/K56*1000))</f>
        <v/>
      </c>
      <c r="N56" s="18">
        <f>IF(A56="","",IF(L56=1,I55-I56-O56,IF(OR(C56&gt;0,N(J56)&gt;0),MeanMDWIR/1000*K56,0)))</f>
        <v/>
      </c>
      <c r="O56" s="18">
        <f>IF(A56="","",G56/1000*K56)</f>
        <v/>
      </c>
      <c r="P56" s="27">
        <f>IF(A56="","",IF(L56=1,"dry",IF(D56="Y","spill",IF(B56&gt;0,"wet",IF(E56="Y","pumped","other")))))</f>
        <v/>
      </c>
    </row>
    <row r="57">
      <c r="A57" s="26">
        <f>IF(DailyPond!A57="","",DailyPond!A57)</f>
        <v/>
      </c>
      <c r="B57" s="18">
        <f>IF(A57="","",DailyPond!B57)</f>
        <v/>
      </c>
      <c r="C57" s="25">
        <f>IF(A57="","",DailyPond!C57)</f>
        <v/>
      </c>
      <c r="D57" s="27">
        <f>IF(A57="","",DailyPond!D57)</f>
        <v/>
      </c>
      <c r="E57" s="27">
        <f>IF(A57="","",DailyPond!E57)</f>
        <v/>
      </c>
      <c r="F57" s="19">
        <f>IF(A57="","",MONTH(A57))</f>
        <v/>
      </c>
      <c r="G57" s="18">
        <f>IF(A57="","",VLOOKUP(F57,Evaporation!$A$6:$B$17,2,FALSE))</f>
        <v/>
      </c>
      <c r="H57" s="19">
        <f>IF(A57="","",IF(C57="","",IF(C57&lt;=INDEX(StageAreaVolume!$A$6:$A$17,1),INDEX(StageAreaVolume!$B$6:$B$17,1),IF(C57&gt;=INDEX(StageAreaVolume!$A$6:$A$17,COUNTA(StageAreaVolume!$A$6:$A$17)),INDEX(StageAreaVolume!$B$6:$B$17,COUNTA(StageAreaVolume!$A$6:$A$17)),(INDEX(StageAreaVolume!$B$6:$B$17,MATCH(C57,StageAreaVolume!$A$6:$A$17,1))+(C57-INDEX(StageAreaVolume!$A$6:$A$17,MATCH(C57,StageAreaVolume!$A$6:$A$17,1)))/(INDEX(StageAreaVolume!$A$6:$A$17,MATCH(C57,StageAreaVolume!$A$6:$A$17,1)+1)-INDEX(StageAreaVolume!$A$6:$A$17,MATCH(C57,StageAreaVolume!$A$6:$A$17,1)))*(INDEX(StageAreaVolume!$B$6:$B$17,MATCH(C57,StageAreaVolume!$A$6:$A$17,1)+1)-INDEX(StageAreaVolume!$B$6:$B$17,MATCH(C57,StageAreaVolume!$A$6:$A$17,1)))))))))</f>
        <v/>
      </c>
      <c r="I57" s="18">
        <f>IF(A57="","",IF(C57="","",IF(C57&lt;=INDEX(StageAreaVolume!$A$6:$A$17,1),INDEX(StageAreaVolume!$D$6:$D$17,1),IF(C57&gt;=INDEX(StageAreaVolume!$A$6:$A$17,COUNTA(StageAreaVolume!$A$6:$A$17)),INDEX(StageAreaVolume!$D$6:$D$17,COUNTA(StageAreaVolume!$A$6:$A$17)),(INDEX(StageAreaVolume!$D$6:$D$17,MATCH(C57,StageAreaVolume!$A$6:$A$17,1))+(C57-INDEX(StageAreaVolume!$A$6:$A$17,MATCH(C57,StageAreaVolume!$A$6:$A$17,1)))/(INDEX(StageAreaVolume!$A$6:$A$17,MATCH(C57,StageAreaVolume!$A$6:$A$17,1)+1)-INDEX(StageAreaVolume!$A$6:$A$17,MATCH(C57,StageAreaVolume!$A$6:$A$17,1)))*(INDEX(StageAreaVolume!$D$6:$D$17,MATCH(C57,StageAreaVolume!$A$6:$A$17,1)+1)-INDEX(StageAreaVolume!$D$6:$D$17,MATCH(C57,StageAreaVolume!$A$6:$A$17,1)))))))))</f>
        <v/>
      </c>
      <c r="J57" s="25">
        <f>IF(A57="","",IF(A56="",NA(),C56))</f>
        <v/>
      </c>
      <c r="K57" s="19">
        <f>IF(OR(A57="",ISNA(J57)),IF(A57="","",H57),(H56+H57)/2)</f>
        <v/>
      </c>
      <c r="L57" s="19">
        <f>IF(OR(A57="",ISNA(J57)),0,IF(AND(B57=0,D57="N",E57="N",C57&lt;J57,C57&gt;0),1,0))</f>
        <v/>
      </c>
      <c r="M57" s="25">
        <f>IF(L57&lt;&gt;1,"",IF(K57&lt;=0,"",(I56-I57-G57/1000*K57)/K57*1000))</f>
        <v/>
      </c>
      <c r="N57" s="18">
        <f>IF(A57="","",IF(L57=1,I56-I57-O57,IF(OR(C57&gt;0,N(J57)&gt;0),MeanMDWIR/1000*K57,0)))</f>
        <v/>
      </c>
      <c r="O57" s="18">
        <f>IF(A57="","",G57/1000*K57)</f>
        <v/>
      </c>
      <c r="P57" s="27">
        <f>IF(A57="","",IF(L57=1,"dry",IF(D57="Y","spill",IF(B57&gt;0,"wet",IF(E57="Y","pumped","other")))))</f>
        <v/>
      </c>
    </row>
    <row r="58">
      <c r="A58" s="26">
        <f>IF(DailyPond!A58="","",DailyPond!A58)</f>
        <v/>
      </c>
      <c r="B58" s="18">
        <f>IF(A58="","",DailyPond!B58)</f>
        <v/>
      </c>
      <c r="C58" s="25">
        <f>IF(A58="","",DailyPond!C58)</f>
        <v/>
      </c>
      <c r="D58" s="27">
        <f>IF(A58="","",DailyPond!D58)</f>
        <v/>
      </c>
      <c r="E58" s="27">
        <f>IF(A58="","",DailyPond!E58)</f>
        <v/>
      </c>
      <c r="F58" s="19">
        <f>IF(A58="","",MONTH(A58))</f>
        <v/>
      </c>
      <c r="G58" s="18">
        <f>IF(A58="","",VLOOKUP(F58,Evaporation!$A$6:$B$17,2,FALSE))</f>
        <v/>
      </c>
      <c r="H58" s="19">
        <f>IF(A58="","",IF(C58="","",IF(C58&lt;=INDEX(StageAreaVolume!$A$6:$A$17,1),INDEX(StageAreaVolume!$B$6:$B$17,1),IF(C58&gt;=INDEX(StageAreaVolume!$A$6:$A$17,COUNTA(StageAreaVolume!$A$6:$A$17)),INDEX(StageAreaVolume!$B$6:$B$17,COUNTA(StageAreaVolume!$A$6:$A$17)),(INDEX(StageAreaVolume!$B$6:$B$17,MATCH(C58,StageAreaVolume!$A$6:$A$17,1))+(C58-INDEX(StageAreaVolume!$A$6:$A$17,MATCH(C58,StageAreaVolume!$A$6:$A$17,1)))/(INDEX(StageAreaVolume!$A$6:$A$17,MATCH(C58,StageAreaVolume!$A$6:$A$17,1)+1)-INDEX(StageAreaVolume!$A$6:$A$17,MATCH(C58,StageAreaVolume!$A$6:$A$17,1)))*(INDEX(StageAreaVolume!$B$6:$B$17,MATCH(C58,StageAreaVolume!$A$6:$A$17,1)+1)-INDEX(StageAreaVolume!$B$6:$B$17,MATCH(C58,StageAreaVolume!$A$6:$A$17,1)))))))))</f>
        <v/>
      </c>
      <c r="I58" s="18">
        <f>IF(A58="","",IF(C58="","",IF(C58&lt;=INDEX(StageAreaVolume!$A$6:$A$17,1),INDEX(StageAreaVolume!$D$6:$D$17,1),IF(C58&gt;=INDEX(StageAreaVolume!$A$6:$A$17,COUNTA(StageAreaVolume!$A$6:$A$17)),INDEX(StageAreaVolume!$D$6:$D$17,COUNTA(StageAreaVolume!$A$6:$A$17)),(INDEX(StageAreaVolume!$D$6:$D$17,MATCH(C58,StageAreaVolume!$A$6:$A$17,1))+(C58-INDEX(StageAreaVolume!$A$6:$A$17,MATCH(C58,StageAreaVolume!$A$6:$A$17,1)))/(INDEX(StageAreaVolume!$A$6:$A$17,MATCH(C58,StageAreaVolume!$A$6:$A$17,1)+1)-INDEX(StageAreaVolume!$A$6:$A$17,MATCH(C58,StageAreaVolume!$A$6:$A$17,1)))*(INDEX(StageAreaVolume!$D$6:$D$17,MATCH(C58,StageAreaVolume!$A$6:$A$17,1)+1)-INDEX(StageAreaVolume!$D$6:$D$17,MATCH(C58,StageAreaVolume!$A$6:$A$17,1)))))))))</f>
        <v/>
      </c>
      <c r="J58" s="25">
        <f>IF(A58="","",IF(A57="",NA(),C57))</f>
        <v/>
      </c>
      <c r="K58" s="19">
        <f>IF(OR(A58="",ISNA(J58)),IF(A58="","",H58),(H57+H58)/2)</f>
        <v/>
      </c>
      <c r="L58" s="19">
        <f>IF(OR(A58="",ISNA(J58)),0,IF(AND(B58=0,D58="N",E58="N",C58&lt;J58,C58&gt;0),1,0))</f>
        <v/>
      </c>
      <c r="M58" s="25">
        <f>IF(L58&lt;&gt;1,"",IF(K58&lt;=0,"",(I57-I58-G58/1000*K58)/K58*1000))</f>
        <v/>
      </c>
      <c r="N58" s="18">
        <f>IF(A58="","",IF(L58=1,I57-I58-O58,IF(OR(C58&gt;0,N(J58)&gt;0),MeanMDWIR/1000*K58,0)))</f>
        <v/>
      </c>
      <c r="O58" s="18">
        <f>IF(A58="","",G58/1000*K58)</f>
        <v/>
      </c>
      <c r="P58" s="27">
        <f>IF(A58="","",IF(L58=1,"dry",IF(D58="Y","spill",IF(B58&gt;0,"wet",IF(E58="Y","pumped","other")))))</f>
        <v/>
      </c>
    </row>
    <row r="59">
      <c r="A59" s="26">
        <f>IF(DailyPond!A59="","",DailyPond!A59)</f>
        <v/>
      </c>
      <c r="B59" s="18">
        <f>IF(A59="","",DailyPond!B59)</f>
        <v/>
      </c>
      <c r="C59" s="25">
        <f>IF(A59="","",DailyPond!C59)</f>
        <v/>
      </c>
      <c r="D59" s="27">
        <f>IF(A59="","",DailyPond!D59)</f>
        <v/>
      </c>
      <c r="E59" s="27">
        <f>IF(A59="","",DailyPond!E59)</f>
        <v/>
      </c>
      <c r="F59" s="19">
        <f>IF(A59="","",MONTH(A59))</f>
        <v/>
      </c>
      <c r="G59" s="18">
        <f>IF(A59="","",VLOOKUP(F59,Evaporation!$A$6:$B$17,2,FALSE))</f>
        <v/>
      </c>
      <c r="H59" s="19">
        <f>IF(A59="","",IF(C59="","",IF(C59&lt;=INDEX(StageAreaVolume!$A$6:$A$17,1),INDEX(StageAreaVolume!$B$6:$B$17,1),IF(C59&gt;=INDEX(StageAreaVolume!$A$6:$A$17,COUNTA(StageAreaVolume!$A$6:$A$17)),INDEX(StageAreaVolume!$B$6:$B$17,COUNTA(StageAreaVolume!$A$6:$A$17)),(INDEX(StageAreaVolume!$B$6:$B$17,MATCH(C59,StageAreaVolume!$A$6:$A$17,1))+(C59-INDEX(StageAreaVolume!$A$6:$A$17,MATCH(C59,StageAreaVolume!$A$6:$A$17,1)))/(INDEX(StageAreaVolume!$A$6:$A$17,MATCH(C59,StageAreaVolume!$A$6:$A$17,1)+1)-INDEX(StageAreaVolume!$A$6:$A$17,MATCH(C59,StageAreaVolume!$A$6:$A$17,1)))*(INDEX(StageAreaVolume!$B$6:$B$17,MATCH(C59,StageAreaVolume!$A$6:$A$17,1)+1)-INDEX(StageAreaVolume!$B$6:$B$17,MATCH(C59,StageAreaVolume!$A$6:$A$17,1)))))))))</f>
        <v/>
      </c>
      <c r="I59" s="18">
        <f>IF(A59="","",IF(C59="","",IF(C59&lt;=INDEX(StageAreaVolume!$A$6:$A$17,1),INDEX(StageAreaVolume!$D$6:$D$17,1),IF(C59&gt;=INDEX(StageAreaVolume!$A$6:$A$17,COUNTA(StageAreaVolume!$A$6:$A$17)),INDEX(StageAreaVolume!$D$6:$D$17,COUNTA(StageAreaVolume!$A$6:$A$17)),(INDEX(StageAreaVolume!$D$6:$D$17,MATCH(C59,StageAreaVolume!$A$6:$A$17,1))+(C59-INDEX(StageAreaVolume!$A$6:$A$17,MATCH(C59,StageAreaVolume!$A$6:$A$17,1)))/(INDEX(StageAreaVolume!$A$6:$A$17,MATCH(C59,StageAreaVolume!$A$6:$A$17,1)+1)-INDEX(StageAreaVolume!$A$6:$A$17,MATCH(C59,StageAreaVolume!$A$6:$A$17,1)))*(INDEX(StageAreaVolume!$D$6:$D$17,MATCH(C59,StageAreaVolume!$A$6:$A$17,1)+1)-INDEX(StageAreaVolume!$D$6:$D$17,MATCH(C59,StageAreaVolume!$A$6:$A$17,1)))))))))</f>
        <v/>
      </c>
      <c r="J59" s="25">
        <f>IF(A59="","",IF(A58="",NA(),C58))</f>
        <v/>
      </c>
      <c r="K59" s="19">
        <f>IF(OR(A59="",ISNA(J59)),IF(A59="","",H59),(H58+H59)/2)</f>
        <v/>
      </c>
      <c r="L59" s="19">
        <f>IF(OR(A59="",ISNA(J59)),0,IF(AND(B59=0,D59="N",E59="N",C59&lt;J59,C59&gt;0),1,0))</f>
        <v/>
      </c>
      <c r="M59" s="25">
        <f>IF(L59&lt;&gt;1,"",IF(K59&lt;=0,"",(I58-I59-G59/1000*K59)/K59*1000))</f>
        <v/>
      </c>
      <c r="N59" s="18">
        <f>IF(A59="","",IF(L59=1,I58-I59-O59,IF(OR(C59&gt;0,N(J59)&gt;0),MeanMDWIR/1000*K59,0)))</f>
        <v/>
      </c>
      <c r="O59" s="18">
        <f>IF(A59="","",G59/1000*K59)</f>
        <v/>
      </c>
      <c r="P59" s="27">
        <f>IF(A59="","",IF(L59=1,"dry",IF(D59="Y","spill",IF(B59&gt;0,"wet",IF(E59="Y","pumped","other")))))</f>
        <v/>
      </c>
    </row>
    <row r="60">
      <c r="A60" s="26">
        <f>IF(DailyPond!A60="","",DailyPond!A60)</f>
        <v/>
      </c>
      <c r="B60" s="18">
        <f>IF(A60="","",DailyPond!B60)</f>
        <v/>
      </c>
      <c r="C60" s="25">
        <f>IF(A60="","",DailyPond!C60)</f>
        <v/>
      </c>
      <c r="D60" s="27">
        <f>IF(A60="","",DailyPond!D60)</f>
        <v/>
      </c>
      <c r="E60" s="27">
        <f>IF(A60="","",DailyPond!E60)</f>
        <v/>
      </c>
      <c r="F60" s="19">
        <f>IF(A60="","",MONTH(A60))</f>
        <v/>
      </c>
      <c r="G60" s="18">
        <f>IF(A60="","",VLOOKUP(F60,Evaporation!$A$6:$B$17,2,FALSE))</f>
        <v/>
      </c>
      <c r="H60" s="19">
        <f>IF(A60="","",IF(C60="","",IF(C60&lt;=INDEX(StageAreaVolume!$A$6:$A$17,1),INDEX(StageAreaVolume!$B$6:$B$17,1),IF(C60&gt;=INDEX(StageAreaVolume!$A$6:$A$17,COUNTA(StageAreaVolume!$A$6:$A$17)),INDEX(StageAreaVolume!$B$6:$B$17,COUNTA(StageAreaVolume!$A$6:$A$17)),(INDEX(StageAreaVolume!$B$6:$B$17,MATCH(C60,StageAreaVolume!$A$6:$A$17,1))+(C60-INDEX(StageAreaVolume!$A$6:$A$17,MATCH(C60,StageAreaVolume!$A$6:$A$17,1)))/(INDEX(StageAreaVolume!$A$6:$A$17,MATCH(C60,StageAreaVolume!$A$6:$A$17,1)+1)-INDEX(StageAreaVolume!$A$6:$A$17,MATCH(C60,StageAreaVolume!$A$6:$A$17,1)))*(INDEX(StageAreaVolume!$B$6:$B$17,MATCH(C60,StageAreaVolume!$A$6:$A$17,1)+1)-INDEX(StageAreaVolume!$B$6:$B$17,MATCH(C60,StageAreaVolume!$A$6:$A$17,1)))))))))</f>
        <v/>
      </c>
      <c r="I60" s="18">
        <f>IF(A60="","",IF(C60="","",IF(C60&lt;=INDEX(StageAreaVolume!$A$6:$A$17,1),INDEX(StageAreaVolume!$D$6:$D$17,1),IF(C60&gt;=INDEX(StageAreaVolume!$A$6:$A$17,COUNTA(StageAreaVolume!$A$6:$A$17)),INDEX(StageAreaVolume!$D$6:$D$17,COUNTA(StageAreaVolume!$A$6:$A$17)),(INDEX(StageAreaVolume!$D$6:$D$17,MATCH(C60,StageAreaVolume!$A$6:$A$17,1))+(C60-INDEX(StageAreaVolume!$A$6:$A$17,MATCH(C60,StageAreaVolume!$A$6:$A$17,1)))/(INDEX(StageAreaVolume!$A$6:$A$17,MATCH(C60,StageAreaVolume!$A$6:$A$17,1)+1)-INDEX(StageAreaVolume!$A$6:$A$17,MATCH(C60,StageAreaVolume!$A$6:$A$17,1)))*(INDEX(StageAreaVolume!$D$6:$D$17,MATCH(C60,StageAreaVolume!$A$6:$A$17,1)+1)-INDEX(StageAreaVolume!$D$6:$D$17,MATCH(C60,StageAreaVolume!$A$6:$A$17,1)))))))))</f>
        <v/>
      </c>
      <c r="J60" s="25">
        <f>IF(A60="","",IF(A59="",NA(),C59))</f>
        <v/>
      </c>
      <c r="K60" s="19">
        <f>IF(OR(A60="",ISNA(J60)),IF(A60="","",H60),(H59+H60)/2)</f>
        <v/>
      </c>
      <c r="L60" s="19">
        <f>IF(OR(A60="",ISNA(J60)),0,IF(AND(B60=0,D60="N",E60="N",C60&lt;J60,C60&gt;0),1,0))</f>
        <v/>
      </c>
      <c r="M60" s="25">
        <f>IF(L60&lt;&gt;1,"",IF(K60&lt;=0,"",(I59-I60-G60/1000*K60)/K60*1000))</f>
        <v/>
      </c>
      <c r="N60" s="18">
        <f>IF(A60="","",IF(L60=1,I59-I60-O60,IF(OR(C60&gt;0,N(J60)&gt;0),MeanMDWIR/1000*K60,0)))</f>
        <v/>
      </c>
      <c r="O60" s="18">
        <f>IF(A60="","",G60/1000*K60)</f>
        <v/>
      </c>
      <c r="P60" s="27">
        <f>IF(A60="","",IF(L60=1,"dry",IF(D60="Y","spill",IF(B60&gt;0,"wet",IF(E60="Y","pumped","other")))))</f>
        <v/>
      </c>
    </row>
    <row r="61">
      <c r="A61" s="26">
        <f>IF(DailyPond!A61="","",DailyPond!A61)</f>
        <v/>
      </c>
      <c r="B61" s="18">
        <f>IF(A61="","",DailyPond!B61)</f>
        <v/>
      </c>
      <c r="C61" s="25">
        <f>IF(A61="","",DailyPond!C61)</f>
        <v/>
      </c>
      <c r="D61" s="27">
        <f>IF(A61="","",DailyPond!D61)</f>
        <v/>
      </c>
      <c r="E61" s="27">
        <f>IF(A61="","",DailyPond!E61)</f>
        <v/>
      </c>
      <c r="F61" s="19">
        <f>IF(A61="","",MONTH(A61))</f>
        <v/>
      </c>
      <c r="G61" s="18">
        <f>IF(A61="","",VLOOKUP(F61,Evaporation!$A$6:$B$17,2,FALSE))</f>
        <v/>
      </c>
      <c r="H61" s="19">
        <f>IF(A61="","",IF(C61="","",IF(C61&lt;=INDEX(StageAreaVolume!$A$6:$A$17,1),INDEX(StageAreaVolume!$B$6:$B$17,1),IF(C61&gt;=INDEX(StageAreaVolume!$A$6:$A$17,COUNTA(StageAreaVolume!$A$6:$A$17)),INDEX(StageAreaVolume!$B$6:$B$17,COUNTA(StageAreaVolume!$A$6:$A$17)),(INDEX(StageAreaVolume!$B$6:$B$17,MATCH(C61,StageAreaVolume!$A$6:$A$17,1))+(C61-INDEX(StageAreaVolume!$A$6:$A$17,MATCH(C61,StageAreaVolume!$A$6:$A$17,1)))/(INDEX(StageAreaVolume!$A$6:$A$17,MATCH(C61,StageAreaVolume!$A$6:$A$17,1)+1)-INDEX(StageAreaVolume!$A$6:$A$17,MATCH(C61,StageAreaVolume!$A$6:$A$17,1)))*(INDEX(StageAreaVolume!$B$6:$B$17,MATCH(C61,StageAreaVolume!$A$6:$A$17,1)+1)-INDEX(StageAreaVolume!$B$6:$B$17,MATCH(C61,StageAreaVolume!$A$6:$A$17,1)))))))))</f>
        <v/>
      </c>
      <c r="I61" s="18">
        <f>IF(A61="","",IF(C61="","",IF(C61&lt;=INDEX(StageAreaVolume!$A$6:$A$17,1),INDEX(StageAreaVolume!$D$6:$D$17,1),IF(C61&gt;=INDEX(StageAreaVolume!$A$6:$A$17,COUNTA(StageAreaVolume!$A$6:$A$17)),INDEX(StageAreaVolume!$D$6:$D$17,COUNTA(StageAreaVolume!$A$6:$A$17)),(INDEX(StageAreaVolume!$D$6:$D$17,MATCH(C61,StageAreaVolume!$A$6:$A$17,1))+(C61-INDEX(StageAreaVolume!$A$6:$A$17,MATCH(C61,StageAreaVolume!$A$6:$A$17,1)))/(INDEX(StageAreaVolume!$A$6:$A$17,MATCH(C61,StageAreaVolume!$A$6:$A$17,1)+1)-INDEX(StageAreaVolume!$A$6:$A$17,MATCH(C61,StageAreaVolume!$A$6:$A$17,1)))*(INDEX(StageAreaVolume!$D$6:$D$17,MATCH(C61,StageAreaVolume!$A$6:$A$17,1)+1)-INDEX(StageAreaVolume!$D$6:$D$17,MATCH(C61,StageAreaVolume!$A$6:$A$17,1)))))))))</f>
        <v/>
      </c>
      <c r="J61" s="25">
        <f>IF(A61="","",IF(A60="",NA(),C60))</f>
        <v/>
      </c>
      <c r="K61" s="19">
        <f>IF(OR(A61="",ISNA(J61)),IF(A61="","",H61),(H60+H61)/2)</f>
        <v/>
      </c>
      <c r="L61" s="19">
        <f>IF(OR(A61="",ISNA(J61)),0,IF(AND(B61=0,D61="N",E61="N",C61&lt;J61,C61&gt;0),1,0))</f>
        <v/>
      </c>
      <c r="M61" s="25">
        <f>IF(L61&lt;&gt;1,"",IF(K61&lt;=0,"",(I60-I61-G61/1000*K61)/K61*1000))</f>
        <v/>
      </c>
      <c r="N61" s="18">
        <f>IF(A61="","",IF(L61=1,I60-I61-O61,IF(OR(C61&gt;0,N(J61)&gt;0),MeanMDWIR/1000*K61,0)))</f>
        <v/>
      </c>
      <c r="O61" s="18">
        <f>IF(A61="","",G61/1000*K61)</f>
        <v/>
      </c>
      <c r="P61" s="27">
        <f>IF(A61="","",IF(L61=1,"dry",IF(D61="Y","spill",IF(B61&gt;0,"wet",IF(E61="Y","pumped","other")))))</f>
        <v/>
      </c>
    </row>
    <row r="62">
      <c r="A62" s="26">
        <f>IF(DailyPond!A62="","",DailyPond!A62)</f>
        <v/>
      </c>
      <c r="B62" s="18">
        <f>IF(A62="","",DailyPond!B62)</f>
        <v/>
      </c>
      <c r="C62" s="25">
        <f>IF(A62="","",DailyPond!C62)</f>
        <v/>
      </c>
      <c r="D62" s="27">
        <f>IF(A62="","",DailyPond!D62)</f>
        <v/>
      </c>
      <c r="E62" s="27">
        <f>IF(A62="","",DailyPond!E62)</f>
        <v/>
      </c>
      <c r="F62" s="19">
        <f>IF(A62="","",MONTH(A62))</f>
        <v/>
      </c>
      <c r="G62" s="18">
        <f>IF(A62="","",VLOOKUP(F62,Evaporation!$A$6:$B$17,2,FALSE))</f>
        <v/>
      </c>
      <c r="H62" s="19">
        <f>IF(A62="","",IF(C62="","",IF(C62&lt;=INDEX(StageAreaVolume!$A$6:$A$17,1),INDEX(StageAreaVolume!$B$6:$B$17,1),IF(C62&gt;=INDEX(StageAreaVolume!$A$6:$A$17,COUNTA(StageAreaVolume!$A$6:$A$17)),INDEX(StageAreaVolume!$B$6:$B$17,COUNTA(StageAreaVolume!$A$6:$A$17)),(INDEX(StageAreaVolume!$B$6:$B$17,MATCH(C62,StageAreaVolume!$A$6:$A$17,1))+(C62-INDEX(StageAreaVolume!$A$6:$A$17,MATCH(C62,StageAreaVolume!$A$6:$A$17,1)))/(INDEX(StageAreaVolume!$A$6:$A$17,MATCH(C62,StageAreaVolume!$A$6:$A$17,1)+1)-INDEX(StageAreaVolume!$A$6:$A$17,MATCH(C62,StageAreaVolume!$A$6:$A$17,1)))*(INDEX(StageAreaVolume!$B$6:$B$17,MATCH(C62,StageAreaVolume!$A$6:$A$17,1)+1)-INDEX(StageAreaVolume!$B$6:$B$17,MATCH(C62,StageAreaVolume!$A$6:$A$17,1)))))))))</f>
        <v/>
      </c>
      <c r="I62" s="18">
        <f>IF(A62="","",IF(C62="","",IF(C62&lt;=INDEX(StageAreaVolume!$A$6:$A$17,1),INDEX(StageAreaVolume!$D$6:$D$17,1),IF(C62&gt;=INDEX(StageAreaVolume!$A$6:$A$17,COUNTA(StageAreaVolume!$A$6:$A$17)),INDEX(StageAreaVolume!$D$6:$D$17,COUNTA(StageAreaVolume!$A$6:$A$17)),(INDEX(StageAreaVolume!$D$6:$D$17,MATCH(C62,StageAreaVolume!$A$6:$A$17,1))+(C62-INDEX(StageAreaVolume!$A$6:$A$17,MATCH(C62,StageAreaVolume!$A$6:$A$17,1)))/(INDEX(StageAreaVolume!$A$6:$A$17,MATCH(C62,StageAreaVolume!$A$6:$A$17,1)+1)-INDEX(StageAreaVolume!$A$6:$A$17,MATCH(C62,StageAreaVolume!$A$6:$A$17,1)))*(INDEX(StageAreaVolume!$D$6:$D$17,MATCH(C62,StageAreaVolume!$A$6:$A$17,1)+1)-INDEX(StageAreaVolume!$D$6:$D$17,MATCH(C62,StageAreaVolume!$A$6:$A$17,1)))))))))</f>
        <v/>
      </c>
      <c r="J62" s="25">
        <f>IF(A62="","",IF(A61="",NA(),C61))</f>
        <v/>
      </c>
      <c r="K62" s="19">
        <f>IF(OR(A62="",ISNA(J62)),IF(A62="","",H62),(H61+H62)/2)</f>
        <v/>
      </c>
      <c r="L62" s="19">
        <f>IF(OR(A62="",ISNA(J62)),0,IF(AND(B62=0,D62="N",E62="N",C62&lt;J62,C62&gt;0),1,0))</f>
        <v/>
      </c>
      <c r="M62" s="25">
        <f>IF(L62&lt;&gt;1,"",IF(K62&lt;=0,"",(I61-I62-G62/1000*K62)/K62*1000))</f>
        <v/>
      </c>
      <c r="N62" s="18">
        <f>IF(A62="","",IF(L62=1,I61-I62-O62,IF(OR(C62&gt;0,N(J62)&gt;0),MeanMDWIR/1000*K62,0)))</f>
        <v/>
      </c>
      <c r="O62" s="18">
        <f>IF(A62="","",G62/1000*K62)</f>
        <v/>
      </c>
      <c r="P62" s="27">
        <f>IF(A62="","",IF(L62=1,"dry",IF(D62="Y","spill",IF(B62&gt;0,"wet",IF(E62="Y","pumped","other")))))</f>
        <v/>
      </c>
    </row>
    <row r="63">
      <c r="A63" s="26">
        <f>IF(DailyPond!A63="","",DailyPond!A63)</f>
        <v/>
      </c>
      <c r="B63" s="18">
        <f>IF(A63="","",DailyPond!B63)</f>
        <v/>
      </c>
      <c r="C63" s="25">
        <f>IF(A63="","",DailyPond!C63)</f>
        <v/>
      </c>
      <c r="D63" s="27">
        <f>IF(A63="","",DailyPond!D63)</f>
        <v/>
      </c>
      <c r="E63" s="27">
        <f>IF(A63="","",DailyPond!E63)</f>
        <v/>
      </c>
      <c r="F63" s="19">
        <f>IF(A63="","",MONTH(A63))</f>
        <v/>
      </c>
      <c r="G63" s="18">
        <f>IF(A63="","",VLOOKUP(F63,Evaporation!$A$6:$B$17,2,FALSE))</f>
        <v/>
      </c>
      <c r="H63" s="19">
        <f>IF(A63="","",IF(C63="","",IF(C63&lt;=INDEX(StageAreaVolume!$A$6:$A$17,1),INDEX(StageAreaVolume!$B$6:$B$17,1),IF(C63&gt;=INDEX(StageAreaVolume!$A$6:$A$17,COUNTA(StageAreaVolume!$A$6:$A$17)),INDEX(StageAreaVolume!$B$6:$B$17,COUNTA(StageAreaVolume!$A$6:$A$17)),(INDEX(StageAreaVolume!$B$6:$B$17,MATCH(C63,StageAreaVolume!$A$6:$A$17,1))+(C63-INDEX(StageAreaVolume!$A$6:$A$17,MATCH(C63,StageAreaVolume!$A$6:$A$17,1)))/(INDEX(StageAreaVolume!$A$6:$A$17,MATCH(C63,StageAreaVolume!$A$6:$A$17,1)+1)-INDEX(StageAreaVolume!$A$6:$A$17,MATCH(C63,StageAreaVolume!$A$6:$A$17,1)))*(INDEX(StageAreaVolume!$B$6:$B$17,MATCH(C63,StageAreaVolume!$A$6:$A$17,1)+1)-INDEX(StageAreaVolume!$B$6:$B$17,MATCH(C63,StageAreaVolume!$A$6:$A$17,1)))))))))</f>
        <v/>
      </c>
      <c r="I63" s="18">
        <f>IF(A63="","",IF(C63="","",IF(C63&lt;=INDEX(StageAreaVolume!$A$6:$A$17,1),INDEX(StageAreaVolume!$D$6:$D$17,1),IF(C63&gt;=INDEX(StageAreaVolume!$A$6:$A$17,COUNTA(StageAreaVolume!$A$6:$A$17)),INDEX(StageAreaVolume!$D$6:$D$17,COUNTA(StageAreaVolume!$A$6:$A$17)),(INDEX(StageAreaVolume!$D$6:$D$17,MATCH(C63,StageAreaVolume!$A$6:$A$17,1))+(C63-INDEX(StageAreaVolume!$A$6:$A$17,MATCH(C63,StageAreaVolume!$A$6:$A$17,1)))/(INDEX(StageAreaVolume!$A$6:$A$17,MATCH(C63,StageAreaVolume!$A$6:$A$17,1)+1)-INDEX(StageAreaVolume!$A$6:$A$17,MATCH(C63,StageAreaVolume!$A$6:$A$17,1)))*(INDEX(StageAreaVolume!$D$6:$D$17,MATCH(C63,StageAreaVolume!$A$6:$A$17,1)+1)-INDEX(StageAreaVolume!$D$6:$D$17,MATCH(C63,StageAreaVolume!$A$6:$A$17,1)))))))))</f>
        <v/>
      </c>
      <c r="J63" s="25">
        <f>IF(A63="","",IF(A62="",NA(),C62))</f>
        <v/>
      </c>
      <c r="K63" s="19">
        <f>IF(OR(A63="",ISNA(J63)),IF(A63="","",H63),(H62+H63)/2)</f>
        <v/>
      </c>
      <c r="L63" s="19">
        <f>IF(OR(A63="",ISNA(J63)),0,IF(AND(B63=0,D63="N",E63="N",C63&lt;J63,C63&gt;0),1,0))</f>
        <v/>
      </c>
      <c r="M63" s="25">
        <f>IF(L63&lt;&gt;1,"",IF(K63&lt;=0,"",(I62-I63-G63/1000*K63)/K63*1000))</f>
        <v/>
      </c>
      <c r="N63" s="18">
        <f>IF(A63="","",IF(L63=1,I62-I63-O63,IF(OR(C63&gt;0,N(J63)&gt;0),MeanMDWIR/1000*K63,0)))</f>
        <v/>
      </c>
      <c r="O63" s="18">
        <f>IF(A63="","",G63/1000*K63)</f>
        <v/>
      </c>
      <c r="P63" s="27">
        <f>IF(A63="","",IF(L63=1,"dry",IF(D63="Y","spill",IF(B63&gt;0,"wet",IF(E63="Y","pumped","other")))))</f>
        <v/>
      </c>
    </row>
    <row r="64">
      <c r="A64" s="26">
        <f>IF(DailyPond!A64="","",DailyPond!A64)</f>
        <v/>
      </c>
      <c r="B64" s="18">
        <f>IF(A64="","",DailyPond!B64)</f>
        <v/>
      </c>
      <c r="C64" s="25">
        <f>IF(A64="","",DailyPond!C64)</f>
        <v/>
      </c>
      <c r="D64" s="27">
        <f>IF(A64="","",DailyPond!D64)</f>
        <v/>
      </c>
      <c r="E64" s="27">
        <f>IF(A64="","",DailyPond!E64)</f>
        <v/>
      </c>
      <c r="F64" s="19">
        <f>IF(A64="","",MONTH(A64))</f>
        <v/>
      </c>
      <c r="G64" s="18">
        <f>IF(A64="","",VLOOKUP(F64,Evaporation!$A$6:$B$17,2,FALSE))</f>
        <v/>
      </c>
      <c r="H64" s="19">
        <f>IF(A64="","",IF(C64="","",IF(C64&lt;=INDEX(StageAreaVolume!$A$6:$A$17,1),INDEX(StageAreaVolume!$B$6:$B$17,1),IF(C64&gt;=INDEX(StageAreaVolume!$A$6:$A$17,COUNTA(StageAreaVolume!$A$6:$A$17)),INDEX(StageAreaVolume!$B$6:$B$17,COUNTA(StageAreaVolume!$A$6:$A$17)),(INDEX(StageAreaVolume!$B$6:$B$17,MATCH(C64,StageAreaVolume!$A$6:$A$17,1))+(C64-INDEX(StageAreaVolume!$A$6:$A$17,MATCH(C64,StageAreaVolume!$A$6:$A$17,1)))/(INDEX(StageAreaVolume!$A$6:$A$17,MATCH(C64,StageAreaVolume!$A$6:$A$17,1)+1)-INDEX(StageAreaVolume!$A$6:$A$17,MATCH(C64,StageAreaVolume!$A$6:$A$17,1)))*(INDEX(StageAreaVolume!$B$6:$B$17,MATCH(C64,StageAreaVolume!$A$6:$A$17,1)+1)-INDEX(StageAreaVolume!$B$6:$B$17,MATCH(C64,StageAreaVolume!$A$6:$A$17,1)))))))))</f>
        <v/>
      </c>
      <c r="I64" s="18">
        <f>IF(A64="","",IF(C64="","",IF(C64&lt;=INDEX(StageAreaVolume!$A$6:$A$17,1),INDEX(StageAreaVolume!$D$6:$D$17,1),IF(C64&gt;=INDEX(StageAreaVolume!$A$6:$A$17,COUNTA(StageAreaVolume!$A$6:$A$17)),INDEX(StageAreaVolume!$D$6:$D$17,COUNTA(StageAreaVolume!$A$6:$A$17)),(INDEX(StageAreaVolume!$D$6:$D$17,MATCH(C64,StageAreaVolume!$A$6:$A$17,1))+(C64-INDEX(StageAreaVolume!$A$6:$A$17,MATCH(C64,StageAreaVolume!$A$6:$A$17,1)))/(INDEX(StageAreaVolume!$A$6:$A$17,MATCH(C64,StageAreaVolume!$A$6:$A$17,1)+1)-INDEX(StageAreaVolume!$A$6:$A$17,MATCH(C64,StageAreaVolume!$A$6:$A$17,1)))*(INDEX(StageAreaVolume!$D$6:$D$17,MATCH(C64,StageAreaVolume!$A$6:$A$17,1)+1)-INDEX(StageAreaVolume!$D$6:$D$17,MATCH(C64,StageAreaVolume!$A$6:$A$17,1)))))))))</f>
        <v/>
      </c>
      <c r="J64" s="25">
        <f>IF(A64="","",IF(A63="",NA(),C63))</f>
        <v/>
      </c>
      <c r="K64" s="19">
        <f>IF(OR(A64="",ISNA(J64)),IF(A64="","",H64),(H63+H64)/2)</f>
        <v/>
      </c>
      <c r="L64" s="19">
        <f>IF(OR(A64="",ISNA(J64)),0,IF(AND(B64=0,D64="N",E64="N",C64&lt;J64,C64&gt;0),1,0))</f>
        <v/>
      </c>
      <c r="M64" s="25">
        <f>IF(L64&lt;&gt;1,"",IF(K64&lt;=0,"",(I63-I64-G64/1000*K64)/K64*1000))</f>
        <v/>
      </c>
      <c r="N64" s="18">
        <f>IF(A64="","",IF(L64=1,I63-I64-O64,IF(OR(C64&gt;0,N(J64)&gt;0),MeanMDWIR/1000*K64,0)))</f>
        <v/>
      </c>
      <c r="O64" s="18">
        <f>IF(A64="","",G64/1000*K64)</f>
        <v/>
      </c>
      <c r="P64" s="27">
        <f>IF(A64="","",IF(L64=1,"dry",IF(D64="Y","spill",IF(B64&gt;0,"wet",IF(E64="Y","pumped","other")))))</f>
        <v/>
      </c>
    </row>
    <row r="65">
      <c r="A65" s="26">
        <f>IF(DailyPond!A65="","",DailyPond!A65)</f>
        <v/>
      </c>
      <c r="B65" s="18">
        <f>IF(A65="","",DailyPond!B65)</f>
        <v/>
      </c>
      <c r="C65" s="25">
        <f>IF(A65="","",DailyPond!C65)</f>
        <v/>
      </c>
      <c r="D65" s="27">
        <f>IF(A65="","",DailyPond!D65)</f>
        <v/>
      </c>
      <c r="E65" s="27">
        <f>IF(A65="","",DailyPond!E65)</f>
        <v/>
      </c>
      <c r="F65" s="19">
        <f>IF(A65="","",MONTH(A65))</f>
        <v/>
      </c>
      <c r="G65" s="18">
        <f>IF(A65="","",VLOOKUP(F65,Evaporation!$A$6:$B$17,2,FALSE))</f>
        <v/>
      </c>
      <c r="H65" s="19">
        <f>IF(A65="","",IF(C65="","",IF(C65&lt;=INDEX(StageAreaVolume!$A$6:$A$17,1),INDEX(StageAreaVolume!$B$6:$B$17,1),IF(C65&gt;=INDEX(StageAreaVolume!$A$6:$A$17,COUNTA(StageAreaVolume!$A$6:$A$17)),INDEX(StageAreaVolume!$B$6:$B$17,COUNTA(StageAreaVolume!$A$6:$A$17)),(INDEX(StageAreaVolume!$B$6:$B$17,MATCH(C65,StageAreaVolume!$A$6:$A$17,1))+(C65-INDEX(StageAreaVolume!$A$6:$A$17,MATCH(C65,StageAreaVolume!$A$6:$A$17,1)))/(INDEX(StageAreaVolume!$A$6:$A$17,MATCH(C65,StageAreaVolume!$A$6:$A$17,1)+1)-INDEX(StageAreaVolume!$A$6:$A$17,MATCH(C65,StageAreaVolume!$A$6:$A$17,1)))*(INDEX(StageAreaVolume!$B$6:$B$17,MATCH(C65,StageAreaVolume!$A$6:$A$17,1)+1)-INDEX(StageAreaVolume!$B$6:$B$17,MATCH(C65,StageAreaVolume!$A$6:$A$17,1)))))))))</f>
        <v/>
      </c>
      <c r="I65" s="18">
        <f>IF(A65="","",IF(C65="","",IF(C65&lt;=INDEX(StageAreaVolume!$A$6:$A$17,1),INDEX(StageAreaVolume!$D$6:$D$17,1),IF(C65&gt;=INDEX(StageAreaVolume!$A$6:$A$17,COUNTA(StageAreaVolume!$A$6:$A$17)),INDEX(StageAreaVolume!$D$6:$D$17,COUNTA(StageAreaVolume!$A$6:$A$17)),(INDEX(StageAreaVolume!$D$6:$D$17,MATCH(C65,StageAreaVolume!$A$6:$A$17,1))+(C65-INDEX(StageAreaVolume!$A$6:$A$17,MATCH(C65,StageAreaVolume!$A$6:$A$17,1)))/(INDEX(StageAreaVolume!$A$6:$A$17,MATCH(C65,StageAreaVolume!$A$6:$A$17,1)+1)-INDEX(StageAreaVolume!$A$6:$A$17,MATCH(C65,StageAreaVolume!$A$6:$A$17,1)))*(INDEX(StageAreaVolume!$D$6:$D$17,MATCH(C65,StageAreaVolume!$A$6:$A$17,1)+1)-INDEX(StageAreaVolume!$D$6:$D$17,MATCH(C65,StageAreaVolume!$A$6:$A$17,1)))))))))</f>
        <v/>
      </c>
      <c r="J65" s="25">
        <f>IF(A65="","",IF(A64="",NA(),C64))</f>
        <v/>
      </c>
      <c r="K65" s="19">
        <f>IF(OR(A65="",ISNA(J65)),IF(A65="","",H65),(H64+H65)/2)</f>
        <v/>
      </c>
      <c r="L65" s="19">
        <f>IF(OR(A65="",ISNA(J65)),0,IF(AND(B65=0,D65="N",E65="N",C65&lt;J65,C65&gt;0),1,0))</f>
        <v/>
      </c>
      <c r="M65" s="25">
        <f>IF(L65&lt;&gt;1,"",IF(K65&lt;=0,"",(I64-I65-G65/1000*K65)/K65*1000))</f>
        <v/>
      </c>
      <c r="N65" s="18">
        <f>IF(A65="","",IF(L65=1,I64-I65-O65,IF(OR(C65&gt;0,N(J65)&gt;0),MeanMDWIR/1000*K65,0)))</f>
        <v/>
      </c>
      <c r="O65" s="18">
        <f>IF(A65="","",G65/1000*K65)</f>
        <v/>
      </c>
      <c r="P65" s="27">
        <f>IF(A65="","",IF(L65=1,"dry",IF(D65="Y","spill",IF(B65&gt;0,"wet",IF(E65="Y","pumped","other")))))</f>
        <v/>
      </c>
    </row>
    <row r="66">
      <c r="A66" s="26">
        <f>IF(DailyPond!A66="","",DailyPond!A66)</f>
        <v/>
      </c>
      <c r="B66" s="18">
        <f>IF(A66="","",DailyPond!B66)</f>
        <v/>
      </c>
      <c r="C66" s="25">
        <f>IF(A66="","",DailyPond!C66)</f>
        <v/>
      </c>
      <c r="D66" s="27">
        <f>IF(A66="","",DailyPond!D66)</f>
        <v/>
      </c>
      <c r="E66" s="27">
        <f>IF(A66="","",DailyPond!E66)</f>
        <v/>
      </c>
      <c r="F66" s="19">
        <f>IF(A66="","",MONTH(A66))</f>
        <v/>
      </c>
      <c r="G66" s="18">
        <f>IF(A66="","",VLOOKUP(F66,Evaporation!$A$6:$B$17,2,FALSE))</f>
        <v/>
      </c>
      <c r="H66" s="19">
        <f>IF(A66="","",IF(C66="","",IF(C66&lt;=INDEX(StageAreaVolume!$A$6:$A$17,1),INDEX(StageAreaVolume!$B$6:$B$17,1),IF(C66&gt;=INDEX(StageAreaVolume!$A$6:$A$17,COUNTA(StageAreaVolume!$A$6:$A$17)),INDEX(StageAreaVolume!$B$6:$B$17,COUNTA(StageAreaVolume!$A$6:$A$17)),(INDEX(StageAreaVolume!$B$6:$B$17,MATCH(C66,StageAreaVolume!$A$6:$A$17,1))+(C66-INDEX(StageAreaVolume!$A$6:$A$17,MATCH(C66,StageAreaVolume!$A$6:$A$17,1)))/(INDEX(StageAreaVolume!$A$6:$A$17,MATCH(C66,StageAreaVolume!$A$6:$A$17,1)+1)-INDEX(StageAreaVolume!$A$6:$A$17,MATCH(C66,StageAreaVolume!$A$6:$A$17,1)))*(INDEX(StageAreaVolume!$B$6:$B$17,MATCH(C66,StageAreaVolume!$A$6:$A$17,1)+1)-INDEX(StageAreaVolume!$B$6:$B$17,MATCH(C66,StageAreaVolume!$A$6:$A$17,1)))))))))</f>
        <v/>
      </c>
      <c r="I66" s="18">
        <f>IF(A66="","",IF(C66="","",IF(C66&lt;=INDEX(StageAreaVolume!$A$6:$A$17,1),INDEX(StageAreaVolume!$D$6:$D$17,1),IF(C66&gt;=INDEX(StageAreaVolume!$A$6:$A$17,COUNTA(StageAreaVolume!$A$6:$A$17)),INDEX(StageAreaVolume!$D$6:$D$17,COUNTA(StageAreaVolume!$A$6:$A$17)),(INDEX(StageAreaVolume!$D$6:$D$17,MATCH(C66,StageAreaVolume!$A$6:$A$17,1))+(C66-INDEX(StageAreaVolume!$A$6:$A$17,MATCH(C66,StageAreaVolume!$A$6:$A$17,1)))/(INDEX(StageAreaVolume!$A$6:$A$17,MATCH(C66,StageAreaVolume!$A$6:$A$17,1)+1)-INDEX(StageAreaVolume!$A$6:$A$17,MATCH(C66,StageAreaVolume!$A$6:$A$17,1)))*(INDEX(StageAreaVolume!$D$6:$D$17,MATCH(C66,StageAreaVolume!$A$6:$A$17,1)+1)-INDEX(StageAreaVolume!$D$6:$D$17,MATCH(C66,StageAreaVolume!$A$6:$A$17,1)))))))))</f>
        <v/>
      </c>
      <c r="J66" s="25">
        <f>IF(A66="","",IF(A65="",NA(),C65))</f>
        <v/>
      </c>
      <c r="K66" s="19">
        <f>IF(OR(A66="",ISNA(J66)),IF(A66="","",H66),(H65+H66)/2)</f>
        <v/>
      </c>
      <c r="L66" s="19">
        <f>IF(OR(A66="",ISNA(J66)),0,IF(AND(B66=0,D66="N",E66="N",C66&lt;J66,C66&gt;0),1,0))</f>
        <v/>
      </c>
      <c r="M66" s="25">
        <f>IF(L66&lt;&gt;1,"",IF(K66&lt;=0,"",(I65-I66-G66/1000*K66)/K66*1000))</f>
        <v/>
      </c>
      <c r="N66" s="18">
        <f>IF(A66="","",IF(L66=1,I65-I66-O66,IF(OR(C66&gt;0,N(J66)&gt;0),MeanMDWIR/1000*K66,0)))</f>
        <v/>
      </c>
      <c r="O66" s="18">
        <f>IF(A66="","",G66/1000*K66)</f>
        <v/>
      </c>
      <c r="P66" s="27">
        <f>IF(A66="","",IF(L66=1,"dry",IF(D66="Y","spill",IF(B66&gt;0,"wet",IF(E66="Y","pumped","other")))))</f>
        <v/>
      </c>
    </row>
    <row r="67">
      <c r="A67" s="26">
        <f>IF(DailyPond!A67="","",DailyPond!A67)</f>
        <v/>
      </c>
      <c r="B67" s="18">
        <f>IF(A67="","",DailyPond!B67)</f>
        <v/>
      </c>
      <c r="C67" s="25">
        <f>IF(A67="","",DailyPond!C67)</f>
        <v/>
      </c>
      <c r="D67" s="27">
        <f>IF(A67="","",DailyPond!D67)</f>
        <v/>
      </c>
      <c r="E67" s="27">
        <f>IF(A67="","",DailyPond!E67)</f>
        <v/>
      </c>
      <c r="F67" s="19">
        <f>IF(A67="","",MONTH(A67))</f>
        <v/>
      </c>
      <c r="G67" s="18">
        <f>IF(A67="","",VLOOKUP(F67,Evaporation!$A$6:$B$17,2,FALSE))</f>
        <v/>
      </c>
      <c r="H67" s="19">
        <f>IF(A67="","",IF(C67="","",IF(C67&lt;=INDEX(StageAreaVolume!$A$6:$A$17,1),INDEX(StageAreaVolume!$B$6:$B$17,1),IF(C67&gt;=INDEX(StageAreaVolume!$A$6:$A$17,COUNTA(StageAreaVolume!$A$6:$A$17)),INDEX(StageAreaVolume!$B$6:$B$17,COUNTA(StageAreaVolume!$A$6:$A$17)),(INDEX(StageAreaVolume!$B$6:$B$17,MATCH(C67,StageAreaVolume!$A$6:$A$17,1))+(C67-INDEX(StageAreaVolume!$A$6:$A$17,MATCH(C67,StageAreaVolume!$A$6:$A$17,1)))/(INDEX(StageAreaVolume!$A$6:$A$17,MATCH(C67,StageAreaVolume!$A$6:$A$17,1)+1)-INDEX(StageAreaVolume!$A$6:$A$17,MATCH(C67,StageAreaVolume!$A$6:$A$17,1)))*(INDEX(StageAreaVolume!$B$6:$B$17,MATCH(C67,StageAreaVolume!$A$6:$A$17,1)+1)-INDEX(StageAreaVolume!$B$6:$B$17,MATCH(C67,StageAreaVolume!$A$6:$A$17,1)))))))))</f>
        <v/>
      </c>
      <c r="I67" s="18">
        <f>IF(A67="","",IF(C67="","",IF(C67&lt;=INDEX(StageAreaVolume!$A$6:$A$17,1),INDEX(StageAreaVolume!$D$6:$D$17,1),IF(C67&gt;=INDEX(StageAreaVolume!$A$6:$A$17,COUNTA(StageAreaVolume!$A$6:$A$17)),INDEX(StageAreaVolume!$D$6:$D$17,COUNTA(StageAreaVolume!$A$6:$A$17)),(INDEX(StageAreaVolume!$D$6:$D$17,MATCH(C67,StageAreaVolume!$A$6:$A$17,1))+(C67-INDEX(StageAreaVolume!$A$6:$A$17,MATCH(C67,StageAreaVolume!$A$6:$A$17,1)))/(INDEX(StageAreaVolume!$A$6:$A$17,MATCH(C67,StageAreaVolume!$A$6:$A$17,1)+1)-INDEX(StageAreaVolume!$A$6:$A$17,MATCH(C67,StageAreaVolume!$A$6:$A$17,1)))*(INDEX(StageAreaVolume!$D$6:$D$17,MATCH(C67,StageAreaVolume!$A$6:$A$17,1)+1)-INDEX(StageAreaVolume!$D$6:$D$17,MATCH(C67,StageAreaVolume!$A$6:$A$17,1)))))))))</f>
        <v/>
      </c>
      <c r="J67" s="25">
        <f>IF(A67="","",IF(A66="",NA(),C66))</f>
        <v/>
      </c>
      <c r="K67" s="19">
        <f>IF(OR(A67="",ISNA(J67)),IF(A67="","",H67),(H66+H67)/2)</f>
        <v/>
      </c>
      <c r="L67" s="19">
        <f>IF(OR(A67="",ISNA(J67)),0,IF(AND(B67=0,D67="N",E67="N",C67&lt;J67,C67&gt;0),1,0))</f>
        <v/>
      </c>
      <c r="M67" s="25">
        <f>IF(L67&lt;&gt;1,"",IF(K67&lt;=0,"",(I66-I67-G67/1000*K67)/K67*1000))</f>
        <v/>
      </c>
      <c r="N67" s="18">
        <f>IF(A67="","",IF(L67=1,I66-I67-O67,IF(OR(C67&gt;0,N(J67)&gt;0),MeanMDWIR/1000*K67,0)))</f>
        <v/>
      </c>
      <c r="O67" s="18">
        <f>IF(A67="","",G67/1000*K67)</f>
        <v/>
      </c>
      <c r="P67" s="27">
        <f>IF(A67="","",IF(L67=1,"dry",IF(D67="Y","spill",IF(B67&gt;0,"wet",IF(E67="Y","pumped","other")))))</f>
        <v/>
      </c>
    </row>
    <row r="68">
      <c r="A68" s="26">
        <f>IF(DailyPond!A68="","",DailyPond!A68)</f>
        <v/>
      </c>
      <c r="B68" s="18">
        <f>IF(A68="","",DailyPond!B68)</f>
        <v/>
      </c>
      <c r="C68" s="25">
        <f>IF(A68="","",DailyPond!C68)</f>
        <v/>
      </c>
      <c r="D68" s="27">
        <f>IF(A68="","",DailyPond!D68)</f>
        <v/>
      </c>
      <c r="E68" s="27">
        <f>IF(A68="","",DailyPond!E68)</f>
        <v/>
      </c>
      <c r="F68" s="19">
        <f>IF(A68="","",MONTH(A68))</f>
        <v/>
      </c>
      <c r="G68" s="18">
        <f>IF(A68="","",VLOOKUP(F68,Evaporation!$A$6:$B$17,2,FALSE))</f>
        <v/>
      </c>
      <c r="H68" s="19">
        <f>IF(A68="","",IF(C68="","",IF(C68&lt;=INDEX(StageAreaVolume!$A$6:$A$17,1),INDEX(StageAreaVolume!$B$6:$B$17,1),IF(C68&gt;=INDEX(StageAreaVolume!$A$6:$A$17,COUNTA(StageAreaVolume!$A$6:$A$17)),INDEX(StageAreaVolume!$B$6:$B$17,COUNTA(StageAreaVolume!$A$6:$A$17)),(INDEX(StageAreaVolume!$B$6:$B$17,MATCH(C68,StageAreaVolume!$A$6:$A$17,1))+(C68-INDEX(StageAreaVolume!$A$6:$A$17,MATCH(C68,StageAreaVolume!$A$6:$A$17,1)))/(INDEX(StageAreaVolume!$A$6:$A$17,MATCH(C68,StageAreaVolume!$A$6:$A$17,1)+1)-INDEX(StageAreaVolume!$A$6:$A$17,MATCH(C68,StageAreaVolume!$A$6:$A$17,1)))*(INDEX(StageAreaVolume!$B$6:$B$17,MATCH(C68,StageAreaVolume!$A$6:$A$17,1)+1)-INDEX(StageAreaVolume!$B$6:$B$17,MATCH(C68,StageAreaVolume!$A$6:$A$17,1)))))))))</f>
        <v/>
      </c>
      <c r="I68" s="18">
        <f>IF(A68="","",IF(C68="","",IF(C68&lt;=INDEX(StageAreaVolume!$A$6:$A$17,1),INDEX(StageAreaVolume!$D$6:$D$17,1),IF(C68&gt;=INDEX(StageAreaVolume!$A$6:$A$17,COUNTA(StageAreaVolume!$A$6:$A$17)),INDEX(StageAreaVolume!$D$6:$D$17,COUNTA(StageAreaVolume!$A$6:$A$17)),(INDEX(StageAreaVolume!$D$6:$D$17,MATCH(C68,StageAreaVolume!$A$6:$A$17,1))+(C68-INDEX(StageAreaVolume!$A$6:$A$17,MATCH(C68,StageAreaVolume!$A$6:$A$17,1)))/(INDEX(StageAreaVolume!$A$6:$A$17,MATCH(C68,StageAreaVolume!$A$6:$A$17,1)+1)-INDEX(StageAreaVolume!$A$6:$A$17,MATCH(C68,StageAreaVolume!$A$6:$A$17,1)))*(INDEX(StageAreaVolume!$D$6:$D$17,MATCH(C68,StageAreaVolume!$A$6:$A$17,1)+1)-INDEX(StageAreaVolume!$D$6:$D$17,MATCH(C68,StageAreaVolume!$A$6:$A$17,1)))))))))</f>
        <v/>
      </c>
      <c r="J68" s="25">
        <f>IF(A68="","",IF(A67="",NA(),C67))</f>
        <v/>
      </c>
      <c r="K68" s="19">
        <f>IF(OR(A68="",ISNA(J68)),IF(A68="","",H68),(H67+H68)/2)</f>
        <v/>
      </c>
      <c r="L68" s="19">
        <f>IF(OR(A68="",ISNA(J68)),0,IF(AND(B68=0,D68="N",E68="N",C68&lt;J68,C68&gt;0),1,0))</f>
        <v/>
      </c>
      <c r="M68" s="25">
        <f>IF(L68&lt;&gt;1,"",IF(K68&lt;=0,"",(I67-I68-G68/1000*K68)/K68*1000))</f>
        <v/>
      </c>
      <c r="N68" s="18">
        <f>IF(A68="","",IF(L68=1,I67-I68-O68,IF(OR(C68&gt;0,N(J68)&gt;0),MeanMDWIR/1000*K68,0)))</f>
        <v/>
      </c>
      <c r="O68" s="18">
        <f>IF(A68="","",G68/1000*K68)</f>
        <v/>
      </c>
      <c r="P68" s="27">
        <f>IF(A68="","",IF(L68=1,"dry",IF(D68="Y","spill",IF(B68&gt;0,"wet",IF(E68="Y","pumped","other")))))</f>
        <v/>
      </c>
    </row>
    <row r="69">
      <c r="A69" s="26">
        <f>IF(DailyPond!A69="","",DailyPond!A69)</f>
        <v/>
      </c>
      <c r="B69" s="18">
        <f>IF(A69="","",DailyPond!B69)</f>
        <v/>
      </c>
      <c r="C69" s="25">
        <f>IF(A69="","",DailyPond!C69)</f>
        <v/>
      </c>
      <c r="D69" s="27">
        <f>IF(A69="","",DailyPond!D69)</f>
        <v/>
      </c>
      <c r="E69" s="27">
        <f>IF(A69="","",DailyPond!E69)</f>
        <v/>
      </c>
      <c r="F69" s="19">
        <f>IF(A69="","",MONTH(A69))</f>
        <v/>
      </c>
      <c r="G69" s="18">
        <f>IF(A69="","",VLOOKUP(F69,Evaporation!$A$6:$B$17,2,FALSE))</f>
        <v/>
      </c>
      <c r="H69" s="19">
        <f>IF(A69="","",IF(C69="","",IF(C69&lt;=INDEX(StageAreaVolume!$A$6:$A$17,1),INDEX(StageAreaVolume!$B$6:$B$17,1),IF(C69&gt;=INDEX(StageAreaVolume!$A$6:$A$17,COUNTA(StageAreaVolume!$A$6:$A$17)),INDEX(StageAreaVolume!$B$6:$B$17,COUNTA(StageAreaVolume!$A$6:$A$17)),(INDEX(StageAreaVolume!$B$6:$B$17,MATCH(C69,StageAreaVolume!$A$6:$A$17,1))+(C69-INDEX(StageAreaVolume!$A$6:$A$17,MATCH(C69,StageAreaVolume!$A$6:$A$17,1)))/(INDEX(StageAreaVolume!$A$6:$A$17,MATCH(C69,StageAreaVolume!$A$6:$A$17,1)+1)-INDEX(StageAreaVolume!$A$6:$A$17,MATCH(C69,StageAreaVolume!$A$6:$A$17,1)))*(INDEX(StageAreaVolume!$B$6:$B$17,MATCH(C69,StageAreaVolume!$A$6:$A$17,1)+1)-INDEX(StageAreaVolume!$B$6:$B$17,MATCH(C69,StageAreaVolume!$A$6:$A$17,1)))))))))</f>
        <v/>
      </c>
      <c r="I69" s="18">
        <f>IF(A69="","",IF(C69="","",IF(C69&lt;=INDEX(StageAreaVolume!$A$6:$A$17,1),INDEX(StageAreaVolume!$D$6:$D$17,1),IF(C69&gt;=INDEX(StageAreaVolume!$A$6:$A$17,COUNTA(StageAreaVolume!$A$6:$A$17)),INDEX(StageAreaVolume!$D$6:$D$17,COUNTA(StageAreaVolume!$A$6:$A$17)),(INDEX(StageAreaVolume!$D$6:$D$17,MATCH(C69,StageAreaVolume!$A$6:$A$17,1))+(C69-INDEX(StageAreaVolume!$A$6:$A$17,MATCH(C69,StageAreaVolume!$A$6:$A$17,1)))/(INDEX(StageAreaVolume!$A$6:$A$17,MATCH(C69,StageAreaVolume!$A$6:$A$17,1)+1)-INDEX(StageAreaVolume!$A$6:$A$17,MATCH(C69,StageAreaVolume!$A$6:$A$17,1)))*(INDEX(StageAreaVolume!$D$6:$D$17,MATCH(C69,StageAreaVolume!$A$6:$A$17,1)+1)-INDEX(StageAreaVolume!$D$6:$D$17,MATCH(C69,StageAreaVolume!$A$6:$A$17,1)))))))))</f>
        <v/>
      </c>
      <c r="J69" s="25">
        <f>IF(A69="","",IF(A68="",NA(),C68))</f>
        <v/>
      </c>
      <c r="K69" s="19">
        <f>IF(OR(A69="",ISNA(J69)),IF(A69="","",H69),(H68+H69)/2)</f>
        <v/>
      </c>
      <c r="L69" s="19">
        <f>IF(OR(A69="",ISNA(J69)),0,IF(AND(B69=0,D69="N",E69="N",C69&lt;J69,C69&gt;0),1,0))</f>
        <v/>
      </c>
      <c r="M69" s="25">
        <f>IF(L69&lt;&gt;1,"",IF(K69&lt;=0,"",(I68-I69-G69/1000*K69)/K69*1000))</f>
        <v/>
      </c>
      <c r="N69" s="18">
        <f>IF(A69="","",IF(L69=1,I68-I69-O69,IF(OR(C69&gt;0,N(J69)&gt;0),MeanMDWIR/1000*K69,0)))</f>
        <v/>
      </c>
      <c r="O69" s="18">
        <f>IF(A69="","",G69/1000*K69)</f>
        <v/>
      </c>
      <c r="P69" s="27">
        <f>IF(A69="","",IF(L69=1,"dry",IF(D69="Y","spill",IF(B69&gt;0,"wet",IF(E69="Y","pumped","other")))))</f>
        <v/>
      </c>
    </row>
    <row r="70">
      <c r="A70" s="26">
        <f>IF(DailyPond!A70="","",DailyPond!A70)</f>
        <v/>
      </c>
      <c r="B70" s="18">
        <f>IF(A70="","",DailyPond!B70)</f>
        <v/>
      </c>
      <c r="C70" s="25">
        <f>IF(A70="","",DailyPond!C70)</f>
        <v/>
      </c>
      <c r="D70" s="27">
        <f>IF(A70="","",DailyPond!D70)</f>
        <v/>
      </c>
      <c r="E70" s="27">
        <f>IF(A70="","",DailyPond!E70)</f>
        <v/>
      </c>
      <c r="F70" s="19">
        <f>IF(A70="","",MONTH(A70))</f>
        <v/>
      </c>
      <c r="G70" s="18">
        <f>IF(A70="","",VLOOKUP(F70,Evaporation!$A$6:$B$17,2,FALSE))</f>
        <v/>
      </c>
      <c r="H70" s="19">
        <f>IF(A70="","",IF(C70="","",IF(C70&lt;=INDEX(StageAreaVolume!$A$6:$A$17,1),INDEX(StageAreaVolume!$B$6:$B$17,1),IF(C70&gt;=INDEX(StageAreaVolume!$A$6:$A$17,COUNTA(StageAreaVolume!$A$6:$A$17)),INDEX(StageAreaVolume!$B$6:$B$17,COUNTA(StageAreaVolume!$A$6:$A$17)),(INDEX(StageAreaVolume!$B$6:$B$17,MATCH(C70,StageAreaVolume!$A$6:$A$17,1))+(C70-INDEX(StageAreaVolume!$A$6:$A$17,MATCH(C70,StageAreaVolume!$A$6:$A$17,1)))/(INDEX(StageAreaVolume!$A$6:$A$17,MATCH(C70,StageAreaVolume!$A$6:$A$17,1)+1)-INDEX(StageAreaVolume!$A$6:$A$17,MATCH(C70,StageAreaVolume!$A$6:$A$17,1)))*(INDEX(StageAreaVolume!$B$6:$B$17,MATCH(C70,StageAreaVolume!$A$6:$A$17,1)+1)-INDEX(StageAreaVolume!$B$6:$B$17,MATCH(C70,StageAreaVolume!$A$6:$A$17,1)))))))))</f>
        <v/>
      </c>
      <c r="I70" s="18">
        <f>IF(A70="","",IF(C70="","",IF(C70&lt;=INDEX(StageAreaVolume!$A$6:$A$17,1),INDEX(StageAreaVolume!$D$6:$D$17,1),IF(C70&gt;=INDEX(StageAreaVolume!$A$6:$A$17,COUNTA(StageAreaVolume!$A$6:$A$17)),INDEX(StageAreaVolume!$D$6:$D$17,COUNTA(StageAreaVolume!$A$6:$A$17)),(INDEX(StageAreaVolume!$D$6:$D$17,MATCH(C70,StageAreaVolume!$A$6:$A$17,1))+(C70-INDEX(StageAreaVolume!$A$6:$A$17,MATCH(C70,StageAreaVolume!$A$6:$A$17,1)))/(INDEX(StageAreaVolume!$A$6:$A$17,MATCH(C70,StageAreaVolume!$A$6:$A$17,1)+1)-INDEX(StageAreaVolume!$A$6:$A$17,MATCH(C70,StageAreaVolume!$A$6:$A$17,1)))*(INDEX(StageAreaVolume!$D$6:$D$17,MATCH(C70,StageAreaVolume!$A$6:$A$17,1)+1)-INDEX(StageAreaVolume!$D$6:$D$17,MATCH(C70,StageAreaVolume!$A$6:$A$17,1)))))))))</f>
        <v/>
      </c>
      <c r="J70" s="25">
        <f>IF(A70="","",IF(A69="",NA(),C69))</f>
        <v/>
      </c>
      <c r="K70" s="19">
        <f>IF(OR(A70="",ISNA(J70)),IF(A70="","",H70),(H69+H70)/2)</f>
        <v/>
      </c>
      <c r="L70" s="19">
        <f>IF(OR(A70="",ISNA(J70)),0,IF(AND(B70=0,D70="N",E70="N",C70&lt;J70,C70&gt;0),1,0))</f>
        <v/>
      </c>
      <c r="M70" s="25">
        <f>IF(L70&lt;&gt;1,"",IF(K70&lt;=0,"",(I69-I70-G70/1000*K70)/K70*1000))</f>
        <v/>
      </c>
      <c r="N70" s="18">
        <f>IF(A70="","",IF(L70=1,I69-I70-O70,IF(OR(C70&gt;0,N(J70)&gt;0),MeanMDWIR/1000*K70,0)))</f>
        <v/>
      </c>
      <c r="O70" s="18">
        <f>IF(A70="","",G70/1000*K70)</f>
        <v/>
      </c>
      <c r="P70" s="27">
        <f>IF(A70="","",IF(L70=1,"dry",IF(D70="Y","spill",IF(B70&gt;0,"wet",IF(E70="Y","pumped","other")))))</f>
        <v/>
      </c>
    </row>
    <row r="71">
      <c r="A71" s="26">
        <f>IF(DailyPond!A71="","",DailyPond!A71)</f>
        <v/>
      </c>
      <c r="B71" s="18">
        <f>IF(A71="","",DailyPond!B71)</f>
        <v/>
      </c>
      <c r="C71" s="25">
        <f>IF(A71="","",DailyPond!C71)</f>
        <v/>
      </c>
      <c r="D71" s="27">
        <f>IF(A71="","",DailyPond!D71)</f>
        <v/>
      </c>
      <c r="E71" s="27">
        <f>IF(A71="","",DailyPond!E71)</f>
        <v/>
      </c>
      <c r="F71" s="19">
        <f>IF(A71="","",MONTH(A71))</f>
        <v/>
      </c>
      <c r="G71" s="18">
        <f>IF(A71="","",VLOOKUP(F71,Evaporation!$A$6:$B$17,2,FALSE))</f>
        <v/>
      </c>
      <c r="H71" s="19">
        <f>IF(A71="","",IF(C71="","",IF(C71&lt;=INDEX(StageAreaVolume!$A$6:$A$17,1),INDEX(StageAreaVolume!$B$6:$B$17,1),IF(C71&gt;=INDEX(StageAreaVolume!$A$6:$A$17,COUNTA(StageAreaVolume!$A$6:$A$17)),INDEX(StageAreaVolume!$B$6:$B$17,COUNTA(StageAreaVolume!$A$6:$A$17)),(INDEX(StageAreaVolume!$B$6:$B$17,MATCH(C71,StageAreaVolume!$A$6:$A$17,1))+(C71-INDEX(StageAreaVolume!$A$6:$A$17,MATCH(C71,StageAreaVolume!$A$6:$A$17,1)))/(INDEX(StageAreaVolume!$A$6:$A$17,MATCH(C71,StageAreaVolume!$A$6:$A$17,1)+1)-INDEX(StageAreaVolume!$A$6:$A$17,MATCH(C71,StageAreaVolume!$A$6:$A$17,1)))*(INDEX(StageAreaVolume!$B$6:$B$17,MATCH(C71,StageAreaVolume!$A$6:$A$17,1)+1)-INDEX(StageAreaVolume!$B$6:$B$17,MATCH(C71,StageAreaVolume!$A$6:$A$17,1)))))))))</f>
        <v/>
      </c>
      <c r="I71" s="18">
        <f>IF(A71="","",IF(C71="","",IF(C71&lt;=INDEX(StageAreaVolume!$A$6:$A$17,1),INDEX(StageAreaVolume!$D$6:$D$17,1),IF(C71&gt;=INDEX(StageAreaVolume!$A$6:$A$17,COUNTA(StageAreaVolume!$A$6:$A$17)),INDEX(StageAreaVolume!$D$6:$D$17,COUNTA(StageAreaVolume!$A$6:$A$17)),(INDEX(StageAreaVolume!$D$6:$D$17,MATCH(C71,StageAreaVolume!$A$6:$A$17,1))+(C71-INDEX(StageAreaVolume!$A$6:$A$17,MATCH(C71,StageAreaVolume!$A$6:$A$17,1)))/(INDEX(StageAreaVolume!$A$6:$A$17,MATCH(C71,StageAreaVolume!$A$6:$A$17,1)+1)-INDEX(StageAreaVolume!$A$6:$A$17,MATCH(C71,StageAreaVolume!$A$6:$A$17,1)))*(INDEX(StageAreaVolume!$D$6:$D$17,MATCH(C71,StageAreaVolume!$A$6:$A$17,1)+1)-INDEX(StageAreaVolume!$D$6:$D$17,MATCH(C71,StageAreaVolume!$A$6:$A$17,1)))))))))</f>
        <v/>
      </c>
      <c r="J71" s="25">
        <f>IF(A71="","",IF(A70="",NA(),C70))</f>
        <v/>
      </c>
      <c r="K71" s="19">
        <f>IF(OR(A71="",ISNA(J71)),IF(A71="","",H71),(H70+H71)/2)</f>
        <v/>
      </c>
      <c r="L71" s="19">
        <f>IF(OR(A71="",ISNA(J71)),0,IF(AND(B71=0,D71="N",E71="N",C71&lt;J71,C71&gt;0),1,0))</f>
        <v/>
      </c>
      <c r="M71" s="25">
        <f>IF(L71&lt;&gt;1,"",IF(K71&lt;=0,"",(I70-I71-G71/1000*K71)/K71*1000))</f>
        <v/>
      </c>
      <c r="N71" s="18">
        <f>IF(A71="","",IF(L71=1,I70-I71-O71,IF(OR(C71&gt;0,N(J71)&gt;0),MeanMDWIR/1000*K71,0)))</f>
        <v/>
      </c>
      <c r="O71" s="18">
        <f>IF(A71="","",G71/1000*K71)</f>
        <v/>
      </c>
      <c r="P71" s="27">
        <f>IF(A71="","",IF(L71=1,"dry",IF(D71="Y","spill",IF(B71&gt;0,"wet",IF(E71="Y","pumped","other")))))</f>
        <v/>
      </c>
    </row>
    <row r="72">
      <c r="A72" s="26">
        <f>IF(DailyPond!A72="","",DailyPond!A72)</f>
        <v/>
      </c>
      <c r="B72" s="18">
        <f>IF(A72="","",DailyPond!B72)</f>
        <v/>
      </c>
      <c r="C72" s="25">
        <f>IF(A72="","",DailyPond!C72)</f>
        <v/>
      </c>
      <c r="D72" s="27">
        <f>IF(A72="","",DailyPond!D72)</f>
        <v/>
      </c>
      <c r="E72" s="27">
        <f>IF(A72="","",DailyPond!E72)</f>
        <v/>
      </c>
      <c r="F72" s="19">
        <f>IF(A72="","",MONTH(A72))</f>
        <v/>
      </c>
      <c r="G72" s="18">
        <f>IF(A72="","",VLOOKUP(F72,Evaporation!$A$6:$B$17,2,FALSE))</f>
        <v/>
      </c>
      <c r="H72" s="19">
        <f>IF(A72="","",IF(C72="","",IF(C72&lt;=INDEX(StageAreaVolume!$A$6:$A$17,1),INDEX(StageAreaVolume!$B$6:$B$17,1),IF(C72&gt;=INDEX(StageAreaVolume!$A$6:$A$17,COUNTA(StageAreaVolume!$A$6:$A$17)),INDEX(StageAreaVolume!$B$6:$B$17,COUNTA(StageAreaVolume!$A$6:$A$17)),(INDEX(StageAreaVolume!$B$6:$B$17,MATCH(C72,StageAreaVolume!$A$6:$A$17,1))+(C72-INDEX(StageAreaVolume!$A$6:$A$17,MATCH(C72,StageAreaVolume!$A$6:$A$17,1)))/(INDEX(StageAreaVolume!$A$6:$A$17,MATCH(C72,StageAreaVolume!$A$6:$A$17,1)+1)-INDEX(StageAreaVolume!$A$6:$A$17,MATCH(C72,StageAreaVolume!$A$6:$A$17,1)))*(INDEX(StageAreaVolume!$B$6:$B$17,MATCH(C72,StageAreaVolume!$A$6:$A$17,1)+1)-INDEX(StageAreaVolume!$B$6:$B$17,MATCH(C72,StageAreaVolume!$A$6:$A$17,1)))))))))</f>
        <v/>
      </c>
      <c r="I72" s="18">
        <f>IF(A72="","",IF(C72="","",IF(C72&lt;=INDEX(StageAreaVolume!$A$6:$A$17,1),INDEX(StageAreaVolume!$D$6:$D$17,1),IF(C72&gt;=INDEX(StageAreaVolume!$A$6:$A$17,COUNTA(StageAreaVolume!$A$6:$A$17)),INDEX(StageAreaVolume!$D$6:$D$17,COUNTA(StageAreaVolume!$A$6:$A$17)),(INDEX(StageAreaVolume!$D$6:$D$17,MATCH(C72,StageAreaVolume!$A$6:$A$17,1))+(C72-INDEX(StageAreaVolume!$A$6:$A$17,MATCH(C72,StageAreaVolume!$A$6:$A$17,1)))/(INDEX(StageAreaVolume!$A$6:$A$17,MATCH(C72,StageAreaVolume!$A$6:$A$17,1)+1)-INDEX(StageAreaVolume!$A$6:$A$17,MATCH(C72,StageAreaVolume!$A$6:$A$17,1)))*(INDEX(StageAreaVolume!$D$6:$D$17,MATCH(C72,StageAreaVolume!$A$6:$A$17,1)+1)-INDEX(StageAreaVolume!$D$6:$D$17,MATCH(C72,StageAreaVolume!$A$6:$A$17,1)))))))))</f>
        <v/>
      </c>
      <c r="J72" s="25">
        <f>IF(A72="","",IF(A71="",NA(),C71))</f>
        <v/>
      </c>
      <c r="K72" s="19">
        <f>IF(OR(A72="",ISNA(J72)),IF(A72="","",H72),(H71+H72)/2)</f>
        <v/>
      </c>
      <c r="L72" s="19">
        <f>IF(OR(A72="",ISNA(J72)),0,IF(AND(B72=0,D72="N",E72="N",C72&lt;J72,C72&gt;0),1,0))</f>
        <v/>
      </c>
      <c r="M72" s="25">
        <f>IF(L72&lt;&gt;1,"",IF(K72&lt;=0,"",(I71-I72-G72/1000*K72)/K72*1000))</f>
        <v/>
      </c>
      <c r="N72" s="18">
        <f>IF(A72="","",IF(L72=1,I71-I72-O72,IF(OR(C72&gt;0,N(J72)&gt;0),MeanMDWIR/1000*K72,0)))</f>
        <v/>
      </c>
      <c r="O72" s="18">
        <f>IF(A72="","",G72/1000*K72)</f>
        <v/>
      </c>
      <c r="P72" s="27">
        <f>IF(A72="","",IF(L72=1,"dry",IF(D72="Y","spill",IF(B72&gt;0,"wet",IF(E72="Y","pumped","other")))))</f>
        <v/>
      </c>
    </row>
    <row r="73">
      <c r="A73" s="26">
        <f>IF(DailyPond!A73="","",DailyPond!A73)</f>
        <v/>
      </c>
      <c r="B73" s="18">
        <f>IF(A73="","",DailyPond!B73)</f>
        <v/>
      </c>
      <c r="C73" s="25">
        <f>IF(A73="","",DailyPond!C73)</f>
        <v/>
      </c>
      <c r="D73" s="27">
        <f>IF(A73="","",DailyPond!D73)</f>
        <v/>
      </c>
      <c r="E73" s="27">
        <f>IF(A73="","",DailyPond!E73)</f>
        <v/>
      </c>
      <c r="F73" s="19">
        <f>IF(A73="","",MONTH(A73))</f>
        <v/>
      </c>
      <c r="G73" s="18">
        <f>IF(A73="","",VLOOKUP(F73,Evaporation!$A$6:$B$17,2,FALSE))</f>
        <v/>
      </c>
      <c r="H73" s="19">
        <f>IF(A73="","",IF(C73="","",IF(C73&lt;=INDEX(StageAreaVolume!$A$6:$A$17,1),INDEX(StageAreaVolume!$B$6:$B$17,1),IF(C73&gt;=INDEX(StageAreaVolume!$A$6:$A$17,COUNTA(StageAreaVolume!$A$6:$A$17)),INDEX(StageAreaVolume!$B$6:$B$17,COUNTA(StageAreaVolume!$A$6:$A$17)),(INDEX(StageAreaVolume!$B$6:$B$17,MATCH(C73,StageAreaVolume!$A$6:$A$17,1))+(C73-INDEX(StageAreaVolume!$A$6:$A$17,MATCH(C73,StageAreaVolume!$A$6:$A$17,1)))/(INDEX(StageAreaVolume!$A$6:$A$17,MATCH(C73,StageAreaVolume!$A$6:$A$17,1)+1)-INDEX(StageAreaVolume!$A$6:$A$17,MATCH(C73,StageAreaVolume!$A$6:$A$17,1)))*(INDEX(StageAreaVolume!$B$6:$B$17,MATCH(C73,StageAreaVolume!$A$6:$A$17,1)+1)-INDEX(StageAreaVolume!$B$6:$B$17,MATCH(C73,StageAreaVolume!$A$6:$A$17,1)))))))))</f>
        <v/>
      </c>
      <c r="I73" s="18">
        <f>IF(A73="","",IF(C73="","",IF(C73&lt;=INDEX(StageAreaVolume!$A$6:$A$17,1),INDEX(StageAreaVolume!$D$6:$D$17,1),IF(C73&gt;=INDEX(StageAreaVolume!$A$6:$A$17,COUNTA(StageAreaVolume!$A$6:$A$17)),INDEX(StageAreaVolume!$D$6:$D$17,COUNTA(StageAreaVolume!$A$6:$A$17)),(INDEX(StageAreaVolume!$D$6:$D$17,MATCH(C73,StageAreaVolume!$A$6:$A$17,1))+(C73-INDEX(StageAreaVolume!$A$6:$A$17,MATCH(C73,StageAreaVolume!$A$6:$A$17,1)))/(INDEX(StageAreaVolume!$A$6:$A$17,MATCH(C73,StageAreaVolume!$A$6:$A$17,1)+1)-INDEX(StageAreaVolume!$A$6:$A$17,MATCH(C73,StageAreaVolume!$A$6:$A$17,1)))*(INDEX(StageAreaVolume!$D$6:$D$17,MATCH(C73,StageAreaVolume!$A$6:$A$17,1)+1)-INDEX(StageAreaVolume!$D$6:$D$17,MATCH(C73,StageAreaVolume!$A$6:$A$17,1)))))))))</f>
        <v/>
      </c>
      <c r="J73" s="25">
        <f>IF(A73="","",IF(A72="",NA(),C72))</f>
        <v/>
      </c>
      <c r="K73" s="19">
        <f>IF(OR(A73="",ISNA(J73)),IF(A73="","",H73),(H72+H73)/2)</f>
        <v/>
      </c>
      <c r="L73" s="19">
        <f>IF(OR(A73="",ISNA(J73)),0,IF(AND(B73=0,D73="N",E73="N",C73&lt;J73,C73&gt;0),1,0))</f>
        <v/>
      </c>
      <c r="M73" s="25">
        <f>IF(L73&lt;&gt;1,"",IF(K73&lt;=0,"",(I72-I73-G73/1000*K73)/K73*1000))</f>
        <v/>
      </c>
      <c r="N73" s="18">
        <f>IF(A73="","",IF(L73=1,I72-I73-O73,IF(OR(C73&gt;0,N(J73)&gt;0),MeanMDWIR/1000*K73,0)))</f>
        <v/>
      </c>
      <c r="O73" s="18">
        <f>IF(A73="","",G73/1000*K73)</f>
        <v/>
      </c>
      <c r="P73" s="27">
        <f>IF(A73="","",IF(L73=1,"dry",IF(D73="Y","spill",IF(B73&gt;0,"wet",IF(E73="Y","pumped","other")))))</f>
        <v/>
      </c>
    </row>
    <row r="74">
      <c r="A74" s="26">
        <f>IF(DailyPond!A74="","",DailyPond!A74)</f>
        <v/>
      </c>
      <c r="B74" s="18">
        <f>IF(A74="","",DailyPond!B74)</f>
        <v/>
      </c>
      <c r="C74" s="25">
        <f>IF(A74="","",DailyPond!C74)</f>
        <v/>
      </c>
      <c r="D74" s="27">
        <f>IF(A74="","",DailyPond!D74)</f>
        <v/>
      </c>
      <c r="E74" s="27">
        <f>IF(A74="","",DailyPond!E74)</f>
        <v/>
      </c>
      <c r="F74" s="19">
        <f>IF(A74="","",MONTH(A74))</f>
        <v/>
      </c>
      <c r="G74" s="18">
        <f>IF(A74="","",VLOOKUP(F74,Evaporation!$A$6:$B$17,2,FALSE))</f>
        <v/>
      </c>
      <c r="H74" s="19">
        <f>IF(A74="","",IF(C74="","",IF(C74&lt;=INDEX(StageAreaVolume!$A$6:$A$17,1),INDEX(StageAreaVolume!$B$6:$B$17,1),IF(C74&gt;=INDEX(StageAreaVolume!$A$6:$A$17,COUNTA(StageAreaVolume!$A$6:$A$17)),INDEX(StageAreaVolume!$B$6:$B$17,COUNTA(StageAreaVolume!$A$6:$A$17)),(INDEX(StageAreaVolume!$B$6:$B$17,MATCH(C74,StageAreaVolume!$A$6:$A$17,1))+(C74-INDEX(StageAreaVolume!$A$6:$A$17,MATCH(C74,StageAreaVolume!$A$6:$A$17,1)))/(INDEX(StageAreaVolume!$A$6:$A$17,MATCH(C74,StageAreaVolume!$A$6:$A$17,1)+1)-INDEX(StageAreaVolume!$A$6:$A$17,MATCH(C74,StageAreaVolume!$A$6:$A$17,1)))*(INDEX(StageAreaVolume!$B$6:$B$17,MATCH(C74,StageAreaVolume!$A$6:$A$17,1)+1)-INDEX(StageAreaVolume!$B$6:$B$17,MATCH(C74,StageAreaVolume!$A$6:$A$17,1)))))))))</f>
        <v/>
      </c>
      <c r="I74" s="18">
        <f>IF(A74="","",IF(C74="","",IF(C74&lt;=INDEX(StageAreaVolume!$A$6:$A$17,1),INDEX(StageAreaVolume!$D$6:$D$17,1),IF(C74&gt;=INDEX(StageAreaVolume!$A$6:$A$17,COUNTA(StageAreaVolume!$A$6:$A$17)),INDEX(StageAreaVolume!$D$6:$D$17,COUNTA(StageAreaVolume!$A$6:$A$17)),(INDEX(StageAreaVolume!$D$6:$D$17,MATCH(C74,StageAreaVolume!$A$6:$A$17,1))+(C74-INDEX(StageAreaVolume!$A$6:$A$17,MATCH(C74,StageAreaVolume!$A$6:$A$17,1)))/(INDEX(StageAreaVolume!$A$6:$A$17,MATCH(C74,StageAreaVolume!$A$6:$A$17,1)+1)-INDEX(StageAreaVolume!$A$6:$A$17,MATCH(C74,StageAreaVolume!$A$6:$A$17,1)))*(INDEX(StageAreaVolume!$D$6:$D$17,MATCH(C74,StageAreaVolume!$A$6:$A$17,1)+1)-INDEX(StageAreaVolume!$D$6:$D$17,MATCH(C74,StageAreaVolume!$A$6:$A$17,1)))))))))</f>
        <v/>
      </c>
      <c r="J74" s="25">
        <f>IF(A74="","",IF(A73="",NA(),C73))</f>
        <v/>
      </c>
      <c r="K74" s="19">
        <f>IF(OR(A74="",ISNA(J74)),IF(A74="","",H74),(H73+H74)/2)</f>
        <v/>
      </c>
      <c r="L74" s="19">
        <f>IF(OR(A74="",ISNA(J74)),0,IF(AND(B74=0,D74="N",E74="N",C74&lt;J74,C74&gt;0),1,0))</f>
        <v/>
      </c>
      <c r="M74" s="25">
        <f>IF(L74&lt;&gt;1,"",IF(K74&lt;=0,"",(I73-I74-G74/1000*K74)/K74*1000))</f>
        <v/>
      </c>
      <c r="N74" s="18">
        <f>IF(A74="","",IF(L74=1,I73-I74-O74,IF(OR(C74&gt;0,N(J74)&gt;0),MeanMDWIR/1000*K74,0)))</f>
        <v/>
      </c>
      <c r="O74" s="18">
        <f>IF(A74="","",G74/1000*K74)</f>
        <v/>
      </c>
      <c r="P74" s="27">
        <f>IF(A74="","",IF(L74=1,"dry",IF(D74="Y","spill",IF(B74&gt;0,"wet",IF(E74="Y","pumped","other")))))</f>
        <v/>
      </c>
    </row>
    <row r="75">
      <c r="A75" s="26">
        <f>IF(DailyPond!A75="","",DailyPond!A75)</f>
        <v/>
      </c>
      <c r="B75" s="18">
        <f>IF(A75="","",DailyPond!B75)</f>
        <v/>
      </c>
      <c r="C75" s="25">
        <f>IF(A75="","",DailyPond!C75)</f>
        <v/>
      </c>
      <c r="D75" s="27">
        <f>IF(A75="","",DailyPond!D75)</f>
        <v/>
      </c>
      <c r="E75" s="27">
        <f>IF(A75="","",DailyPond!E75)</f>
        <v/>
      </c>
      <c r="F75" s="19">
        <f>IF(A75="","",MONTH(A75))</f>
        <v/>
      </c>
      <c r="G75" s="18">
        <f>IF(A75="","",VLOOKUP(F75,Evaporation!$A$6:$B$17,2,FALSE))</f>
        <v/>
      </c>
      <c r="H75" s="19">
        <f>IF(A75="","",IF(C75="","",IF(C75&lt;=INDEX(StageAreaVolume!$A$6:$A$17,1),INDEX(StageAreaVolume!$B$6:$B$17,1),IF(C75&gt;=INDEX(StageAreaVolume!$A$6:$A$17,COUNTA(StageAreaVolume!$A$6:$A$17)),INDEX(StageAreaVolume!$B$6:$B$17,COUNTA(StageAreaVolume!$A$6:$A$17)),(INDEX(StageAreaVolume!$B$6:$B$17,MATCH(C75,StageAreaVolume!$A$6:$A$17,1))+(C75-INDEX(StageAreaVolume!$A$6:$A$17,MATCH(C75,StageAreaVolume!$A$6:$A$17,1)))/(INDEX(StageAreaVolume!$A$6:$A$17,MATCH(C75,StageAreaVolume!$A$6:$A$17,1)+1)-INDEX(StageAreaVolume!$A$6:$A$17,MATCH(C75,StageAreaVolume!$A$6:$A$17,1)))*(INDEX(StageAreaVolume!$B$6:$B$17,MATCH(C75,StageAreaVolume!$A$6:$A$17,1)+1)-INDEX(StageAreaVolume!$B$6:$B$17,MATCH(C75,StageAreaVolume!$A$6:$A$17,1)))))))))</f>
        <v/>
      </c>
      <c r="I75" s="18">
        <f>IF(A75="","",IF(C75="","",IF(C75&lt;=INDEX(StageAreaVolume!$A$6:$A$17,1),INDEX(StageAreaVolume!$D$6:$D$17,1),IF(C75&gt;=INDEX(StageAreaVolume!$A$6:$A$17,COUNTA(StageAreaVolume!$A$6:$A$17)),INDEX(StageAreaVolume!$D$6:$D$17,COUNTA(StageAreaVolume!$A$6:$A$17)),(INDEX(StageAreaVolume!$D$6:$D$17,MATCH(C75,StageAreaVolume!$A$6:$A$17,1))+(C75-INDEX(StageAreaVolume!$A$6:$A$17,MATCH(C75,StageAreaVolume!$A$6:$A$17,1)))/(INDEX(StageAreaVolume!$A$6:$A$17,MATCH(C75,StageAreaVolume!$A$6:$A$17,1)+1)-INDEX(StageAreaVolume!$A$6:$A$17,MATCH(C75,StageAreaVolume!$A$6:$A$17,1)))*(INDEX(StageAreaVolume!$D$6:$D$17,MATCH(C75,StageAreaVolume!$A$6:$A$17,1)+1)-INDEX(StageAreaVolume!$D$6:$D$17,MATCH(C75,StageAreaVolume!$A$6:$A$17,1)))))))))</f>
        <v/>
      </c>
      <c r="J75" s="25">
        <f>IF(A75="","",IF(A74="",NA(),C74))</f>
        <v/>
      </c>
      <c r="K75" s="19">
        <f>IF(OR(A75="",ISNA(J75)),IF(A75="","",H75),(H74+H75)/2)</f>
        <v/>
      </c>
      <c r="L75" s="19">
        <f>IF(OR(A75="",ISNA(J75)),0,IF(AND(B75=0,D75="N",E75="N",C75&lt;J75,C75&gt;0),1,0))</f>
        <v/>
      </c>
      <c r="M75" s="25">
        <f>IF(L75&lt;&gt;1,"",IF(K75&lt;=0,"",(I74-I75-G75/1000*K75)/K75*1000))</f>
        <v/>
      </c>
      <c r="N75" s="18">
        <f>IF(A75="","",IF(L75=1,I74-I75-O75,IF(OR(C75&gt;0,N(J75)&gt;0),MeanMDWIR/1000*K75,0)))</f>
        <v/>
      </c>
      <c r="O75" s="18">
        <f>IF(A75="","",G75/1000*K75)</f>
        <v/>
      </c>
      <c r="P75" s="27">
        <f>IF(A75="","",IF(L75=1,"dry",IF(D75="Y","spill",IF(B75&gt;0,"wet",IF(E75="Y","pumped","other")))))</f>
        <v/>
      </c>
    </row>
    <row r="76">
      <c r="A76" s="26">
        <f>IF(DailyPond!A76="","",DailyPond!A76)</f>
        <v/>
      </c>
      <c r="B76" s="18">
        <f>IF(A76="","",DailyPond!B76)</f>
        <v/>
      </c>
      <c r="C76" s="25">
        <f>IF(A76="","",DailyPond!C76)</f>
        <v/>
      </c>
      <c r="D76" s="27">
        <f>IF(A76="","",DailyPond!D76)</f>
        <v/>
      </c>
      <c r="E76" s="27">
        <f>IF(A76="","",DailyPond!E76)</f>
        <v/>
      </c>
      <c r="F76" s="19">
        <f>IF(A76="","",MONTH(A76))</f>
        <v/>
      </c>
      <c r="G76" s="18">
        <f>IF(A76="","",VLOOKUP(F76,Evaporation!$A$6:$B$17,2,FALSE))</f>
        <v/>
      </c>
      <c r="H76" s="19">
        <f>IF(A76="","",IF(C76="","",IF(C76&lt;=INDEX(StageAreaVolume!$A$6:$A$17,1),INDEX(StageAreaVolume!$B$6:$B$17,1),IF(C76&gt;=INDEX(StageAreaVolume!$A$6:$A$17,COUNTA(StageAreaVolume!$A$6:$A$17)),INDEX(StageAreaVolume!$B$6:$B$17,COUNTA(StageAreaVolume!$A$6:$A$17)),(INDEX(StageAreaVolume!$B$6:$B$17,MATCH(C76,StageAreaVolume!$A$6:$A$17,1))+(C76-INDEX(StageAreaVolume!$A$6:$A$17,MATCH(C76,StageAreaVolume!$A$6:$A$17,1)))/(INDEX(StageAreaVolume!$A$6:$A$17,MATCH(C76,StageAreaVolume!$A$6:$A$17,1)+1)-INDEX(StageAreaVolume!$A$6:$A$17,MATCH(C76,StageAreaVolume!$A$6:$A$17,1)))*(INDEX(StageAreaVolume!$B$6:$B$17,MATCH(C76,StageAreaVolume!$A$6:$A$17,1)+1)-INDEX(StageAreaVolume!$B$6:$B$17,MATCH(C76,StageAreaVolume!$A$6:$A$17,1)))))))))</f>
        <v/>
      </c>
      <c r="I76" s="18">
        <f>IF(A76="","",IF(C76="","",IF(C76&lt;=INDEX(StageAreaVolume!$A$6:$A$17,1),INDEX(StageAreaVolume!$D$6:$D$17,1),IF(C76&gt;=INDEX(StageAreaVolume!$A$6:$A$17,COUNTA(StageAreaVolume!$A$6:$A$17)),INDEX(StageAreaVolume!$D$6:$D$17,COUNTA(StageAreaVolume!$A$6:$A$17)),(INDEX(StageAreaVolume!$D$6:$D$17,MATCH(C76,StageAreaVolume!$A$6:$A$17,1))+(C76-INDEX(StageAreaVolume!$A$6:$A$17,MATCH(C76,StageAreaVolume!$A$6:$A$17,1)))/(INDEX(StageAreaVolume!$A$6:$A$17,MATCH(C76,StageAreaVolume!$A$6:$A$17,1)+1)-INDEX(StageAreaVolume!$A$6:$A$17,MATCH(C76,StageAreaVolume!$A$6:$A$17,1)))*(INDEX(StageAreaVolume!$D$6:$D$17,MATCH(C76,StageAreaVolume!$A$6:$A$17,1)+1)-INDEX(StageAreaVolume!$D$6:$D$17,MATCH(C76,StageAreaVolume!$A$6:$A$17,1)))))))))</f>
        <v/>
      </c>
      <c r="J76" s="25">
        <f>IF(A76="","",IF(A75="",NA(),C75))</f>
        <v/>
      </c>
      <c r="K76" s="19">
        <f>IF(OR(A76="",ISNA(J76)),IF(A76="","",H76),(H75+H76)/2)</f>
        <v/>
      </c>
      <c r="L76" s="19">
        <f>IF(OR(A76="",ISNA(J76)),0,IF(AND(B76=0,D76="N",E76="N",C76&lt;J76,C76&gt;0),1,0))</f>
        <v/>
      </c>
      <c r="M76" s="25">
        <f>IF(L76&lt;&gt;1,"",IF(K76&lt;=0,"",(I75-I76-G76/1000*K76)/K76*1000))</f>
        <v/>
      </c>
      <c r="N76" s="18">
        <f>IF(A76="","",IF(L76=1,I75-I76-O76,IF(OR(C76&gt;0,N(J76)&gt;0),MeanMDWIR/1000*K76,0)))</f>
        <v/>
      </c>
      <c r="O76" s="18">
        <f>IF(A76="","",G76/1000*K76)</f>
        <v/>
      </c>
      <c r="P76" s="27">
        <f>IF(A76="","",IF(L76=1,"dry",IF(D76="Y","spill",IF(B76&gt;0,"wet",IF(E76="Y","pumped","other")))))</f>
        <v/>
      </c>
    </row>
    <row r="77">
      <c r="A77" s="26">
        <f>IF(DailyPond!A77="","",DailyPond!A77)</f>
        <v/>
      </c>
      <c r="B77" s="18">
        <f>IF(A77="","",DailyPond!B77)</f>
        <v/>
      </c>
      <c r="C77" s="25">
        <f>IF(A77="","",DailyPond!C77)</f>
        <v/>
      </c>
      <c r="D77" s="27">
        <f>IF(A77="","",DailyPond!D77)</f>
        <v/>
      </c>
      <c r="E77" s="27">
        <f>IF(A77="","",DailyPond!E77)</f>
        <v/>
      </c>
      <c r="F77" s="19">
        <f>IF(A77="","",MONTH(A77))</f>
        <v/>
      </c>
      <c r="G77" s="18">
        <f>IF(A77="","",VLOOKUP(F77,Evaporation!$A$6:$B$17,2,FALSE))</f>
        <v/>
      </c>
      <c r="H77" s="19">
        <f>IF(A77="","",IF(C77="","",IF(C77&lt;=INDEX(StageAreaVolume!$A$6:$A$17,1),INDEX(StageAreaVolume!$B$6:$B$17,1),IF(C77&gt;=INDEX(StageAreaVolume!$A$6:$A$17,COUNTA(StageAreaVolume!$A$6:$A$17)),INDEX(StageAreaVolume!$B$6:$B$17,COUNTA(StageAreaVolume!$A$6:$A$17)),(INDEX(StageAreaVolume!$B$6:$B$17,MATCH(C77,StageAreaVolume!$A$6:$A$17,1))+(C77-INDEX(StageAreaVolume!$A$6:$A$17,MATCH(C77,StageAreaVolume!$A$6:$A$17,1)))/(INDEX(StageAreaVolume!$A$6:$A$17,MATCH(C77,StageAreaVolume!$A$6:$A$17,1)+1)-INDEX(StageAreaVolume!$A$6:$A$17,MATCH(C77,StageAreaVolume!$A$6:$A$17,1)))*(INDEX(StageAreaVolume!$B$6:$B$17,MATCH(C77,StageAreaVolume!$A$6:$A$17,1)+1)-INDEX(StageAreaVolume!$B$6:$B$17,MATCH(C77,StageAreaVolume!$A$6:$A$17,1)))))))))</f>
        <v/>
      </c>
      <c r="I77" s="18">
        <f>IF(A77="","",IF(C77="","",IF(C77&lt;=INDEX(StageAreaVolume!$A$6:$A$17,1),INDEX(StageAreaVolume!$D$6:$D$17,1),IF(C77&gt;=INDEX(StageAreaVolume!$A$6:$A$17,COUNTA(StageAreaVolume!$A$6:$A$17)),INDEX(StageAreaVolume!$D$6:$D$17,COUNTA(StageAreaVolume!$A$6:$A$17)),(INDEX(StageAreaVolume!$D$6:$D$17,MATCH(C77,StageAreaVolume!$A$6:$A$17,1))+(C77-INDEX(StageAreaVolume!$A$6:$A$17,MATCH(C77,StageAreaVolume!$A$6:$A$17,1)))/(INDEX(StageAreaVolume!$A$6:$A$17,MATCH(C77,StageAreaVolume!$A$6:$A$17,1)+1)-INDEX(StageAreaVolume!$A$6:$A$17,MATCH(C77,StageAreaVolume!$A$6:$A$17,1)))*(INDEX(StageAreaVolume!$D$6:$D$17,MATCH(C77,StageAreaVolume!$A$6:$A$17,1)+1)-INDEX(StageAreaVolume!$D$6:$D$17,MATCH(C77,StageAreaVolume!$A$6:$A$17,1)))))))))</f>
        <v/>
      </c>
      <c r="J77" s="25">
        <f>IF(A77="","",IF(A76="",NA(),C76))</f>
        <v/>
      </c>
      <c r="K77" s="19">
        <f>IF(OR(A77="",ISNA(J77)),IF(A77="","",H77),(H76+H77)/2)</f>
        <v/>
      </c>
      <c r="L77" s="19">
        <f>IF(OR(A77="",ISNA(J77)),0,IF(AND(B77=0,D77="N",E77="N",C77&lt;J77,C77&gt;0),1,0))</f>
        <v/>
      </c>
      <c r="M77" s="25">
        <f>IF(L77&lt;&gt;1,"",IF(K77&lt;=0,"",(I76-I77-G77/1000*K77)/K77*1000))</f>
        <v/>
      </c>
      <c r="N77" s="18">
        <f>IF(A77="","",IF(L77=1,I76-I77-O77,IF(OR(C77&gt;0,N(J77)&gt;0),MeanMDWIR/1000*K77,0)))</f>
        <v/>
      </c>
      <c r="O77" s="18">
        <f>IF(A77="","",G77/1000*K77)</f>
        <v/>
      </c>
      <c r="P77" s="27">
        <f>IF(A77="","",IF(L77=1,"dry",IF(D77="Y","spill",IF(B77&gt;0,"wet",IF(E77="Y","pumped","other")))))</f>
        <v/>
      </c>
    </row>
    <row r="78">
      <c r="A78" s="26">
        <f>IF(DailyPond!A78="","",DailyPond!A78)</f>
        <v/>
      </c>
      <c r="B78" s="18">
        <f>IF(A78="","",DailyPond!B78)</f>
        <v/>
      </c>
      <c r="C78" s="25">
        <f>IF(A78="","",DailyPond!C78)</f>
        <v/>
      </c>
      <c r="D78" s="27">
        <f>IF(A78="","",DailyPond!D78)</f>
        <v/>
      </c>
      <c r="E78" s="27">
        <f>IF(A78="","",DailyPond!E78)</f>
        <v/>
      </c>
      <c r="F78" s="19">
        <f>IF(A78="","",MONTH(A78))</f>
        <v/>
      </c>
      <c r="G78" s="18">
        <f>IF(A78="","",VLOOKUP(F78,Evaporation!$A$6:$B$17,2,FALSE))</f>
        <v/>
      </c>
      <c r="H78" s="19">
        <f>IF(A78="","",IF(C78="","",IF(C78&lt;=INDEX(StageAreaVolume!$A$6:$A$17,1),INDEX(StageAreaVolume!$B$6:$B$17,1),IF(C78&gt;=INDEX(StageAreaVolume!$A$6:$A$17,COUNTA(StageAreaVolume!$A$6:$A$17)),INDEX(StageAreaVolume!$B$6:$B$17,COUNTA(StageAreaVolume!$A$6:$A$17)),(INDEX(StageAreaVolume!$B$6:$B$17,MATCH(C78,StageAreaVolume!$A$6:$A$17,1))+(C78-INDEX(StageAreaVolume!$A$6:$A$17,MATCH(C78,StageAreaVolume!$A$6:$A$17,1)))/(INDEX(StageAreaVolume!$A$6:$A$17,MATCH(C78,StageAreaVolume!$A$6:$A$17,1)+1)-INDEX(StageAreaVolume!$A$6:$A$17,MATCH(C78,StageAreaVolume!$A$6:$A$17,1)))*(INDEX(StageAreaVolume!$B$6:$B$17,MATCH(C78,StageAreaVolume!$A$6:$A$17,1)+1)-INDEX(StageAreaVolume!$B$6:$B$17,MATCH(C78,StageAreaVolume!$A$6:$A$17,1)))))))))</f>
        <v/>
      </c>
      <c r="I78" s="18">
        <f>IF(A78="","",IF(C78="","",IF(C78&lt;=INDEX(StageAreaVolume!$A$6:$A$17,1),INDEX(StageAreaVolume!$D$6:$D$17,1),IF(C78&gt;=INDEX(StageAreaVolume!$A$6:$A$17,COUNTA(StageAreaVolume!$A$6:$A$17)),INDEX(StageAreaVolume!$D$6:$D$17,COUNTA(StageAreaVolume!$A$6:$A$17)),(INDEX(StageAreaVolume!$D$6:$D$17,MATCH(C78,StageAreaVolume!$A$6:$A$17,1))+(C78-INDEX(StageAreaVolume!$A$6:$A$17,MATCH(C78,StageAreaVolume!$A$6:$A$17,1)))/(INDEX(StageAreaVolume!$A$6:$A$17,MATCH(C78,StageAreaVolume!$A$6:$A$17,1)+1)-INDEX(StageAreaVolume!$A$6:$A$17,MATCH(C78,StageAreaVolume!$A$6:$A$17,1)))*(INDEX(StageAreaVolume!$D$6:$D$17,MATCH(C78,StageAreaVolume!$A$6:$A$17,1)+1)-INDEX(StageAreaVolume!$D$6:$D$17,MATCH(C78,StageAreaVolume!$A$6:$A$17,1)))))))))</f>
        <v/>
      </c>
      <c r="J78" s="25">
        <f>IF(A78="","",IF(A77="",NA(),C77))</f>
        <v/>
      </c>
      <c r="K78" s="19">
        <f>IF(OR(A78="",ISNA(J78)),IF(A78="","",H78),(H77+H78)/2)</f>
        <v/>
      </c>
      <c r="L78" s="19">
        <f>IF(OR(A78="",ISNA(J78)),0,IF(AND(B78=0,D78="N",E78="N",C78&lt;J78,C78&gt;0),1,0))</f>
        <v/>
      </c>
      <c r="M78" s="25">
        <f>IF(L78&lt;&gt;1,"",IF(K78&lt;=0,"",(I77-I78-G78/1000*K78)/K78*1000))</f>
        <v/>
      </c>
      <c r="N78" s="18">
        <f>IF(A78="","",IF(L78=1,I77-I78-O78,IF(OR(C78&gt;0,N(J78)&gt;0),MeanMDWIR/1000*K78,0)))</f>
        <v/>
      </c>
      <c r="O78" s="18">
        <f>IF(A78="","",G78/1000*K78)</f>
        <v/>
      </c>
      <c r="P78" s="27">
        <f>IF(A78="","",IF(L78=1,"dry",IF(D78="Y","spill",IF(B78&gt;0,"wet",IF(E78="Y","pumped","other")))))</f>
        <v/>
      </c>
    </row>
    <row r="79">
      <c r="A79" s="26">
        <f>IF(DailyPond!A79="","",DailyPond!A79)</f>
        <v/>
      </c>
      <c r="B79" s="18">
        <f>IF(A79="","",DailyPond!B79)</f>
        <v/>
      </c>
      <c r="C79" s="25">
        <f>IF(A79="","",DailyPond!C79)</f>
        <v/>
      </c>
      <c r="D79" s="27">
        <f>IF(A79="","",DailyPond!D79)</f>
        <v/>
      </c>
      <c r="E79" s="27">
        <f>IF(A79="","",DailyPond!E79)</f>
        <v/>
      </c>
      <c r="F79" s="19">
        <f>IF(A79="","",MONTH(A79))</f>
        <v/>
      </c>
      <c r="G79" s="18">
        <f>IF(A79="","",VLOOKUP(F79,Evaporation!$A$6:$B$17,2,FALSE))</f>
        <v/>
      </c>
      <c r="H79" s="19">
        <f>IF(A79="","",IF(C79="","",IF(C79&lt;=INDEX(StageAreaVolume!$A$6:$A$17,1),INDEX(StageAreaVolume!$B$6:$B$17,1),IF(C79&gt;=INDEX(StageAreaVolume!$A$6:$A$17,COUNTA(StageAreaVolume!$A$6:$A$17)),INDEX(StageAreaVolume!$B$6:$B$17,COUNTA(StageAreaVolume!$A$6:$A$17)),(INDEX(StageAreaVolume!$B$6:$B$17,MATCH(C79,StageAreaVolume!$A$6:$A$17,1))+(C79-INDEX(StageAreaVolume!$A$6:$A$17,MATCH(C79,StageAreaVolume!$A$6:$A$17,1)))/(INDEX(StageAreaVolume!$A$6:$A$17,MATCH(C79,StageAreaVolume!$A$6:$A$17,1)+1)-INDEX(StageAreaVolume!$A$6:$A$17,MATCH(C79,StageAreaVolume!$A$6:$A$17,1)))*(INDEX(StageAreaVolume!$B$6:$B$17,MATCH(C79,StageAreaVolume!$A$6:$A$17,1)+1)-INDEX(StageAreaVolume!$B$6:$B$17,MATCH(C79,StageAreaVolume!$A$6:$A$17,1)))))))))</f>
        <v/>
      </c>
      <c r="I79" s="18">
        <f>IF(A79="","",IF(C79="","",IF(C79&lt;=INDEX(StageAreaVolume!$A$6:$A$17,1),INDEX(StageAreaVolume!$D$6:$D$17,1),IF(C79&gt;=INDEX(StageAreaVolume!$A$6:$A$17,COUNTA(StageAreaVolume!$A$6:$A$17)),INDEX(StageAreaVolume!$D$6:$D$17,COUNTA(StageAreaVolume!$A$6:$A$17)),(INDEX(StageAreaVolume!$D$6:$D$17,MATCH(C79,StageAreaVolume!$A$6:$A$17,1))+(C79-INDEX(StageAreaVolume!$A$6:$A$17,MATCH(C79,StageAreaVolume!$A$6:$A$17,1)))/(INDEX(StageAreaVolume!$A$6:$A$17,MATCH(C79,StageAreaVolume!$A$6:$A$17,1)+1)-INDEX(StageAreaVolume!$A$6:$A$17,MATCH(C79,StageAreaVolume!$A$6:$A$17,1)))*(INDEX(StageAreaVolume!$D$6:$D$17,MATCH(C79,StageAreaVolume!$A$6:$A$17,1)+1)-INDEX(StageAreaVolume!$D$6:$D$17,MATCH(C79,StageAreaVolume!$A$6:$A$17,1)))))))))</f>
        <v/>
      </c>
      <c r="J79" s="25">
        <f>IF(A79="","",IF(A78="",NA(),C78))</f>
        <v/>
      </c>
      <c r="K79" s="19">
        <f>IF(OR(A79="",ISNA(J79)),IF(A79="","",H79),(H78+H79)/2)</f>
        <v/>
      </c>
      <c r="L79" s="19">
        <f>IF(OR(A79="",ISNA(J79)),0,IF(AND(B79=0,D79="N",E79="N",C79&lt;J79,C79&gt;0),1,0))</f>
        <v/>
      </c>
      <c r="M79" s="25">
        <f>IF(L79&lt;&gt;1,"",IF(K79&lt;=0,"",(I78-I79-G79/1000*K79)/K79*1000))</f>
        <v/>
      </c>
      <c r="N79" s="18">
        <f>IF(A79="","",IF(L79=1,I78-I79-O79,IF(OR(C79&gt;0,N(J79)&gt;0),MeanMDWIR/1000*K79,0)))</f>
        <v/>
      </c>
      <c r="O79" s="18">
        <f>IF(A79="","",G79/1000*K79)</f>
        <v/>
      </c>
      <c r="P79" s="27">
        <f>IF(A79="","",IF(L79=1,"dry",IF(D79="Y","spill",IF(B79&gt;0,"wet",IF(E79="Y","pumped","other")))))</f>
        <v/>
      </c>
    </row>
    <row r="80">
      <c r="A80" s="26">
        <f>IF(DailyPond!A80="","",DailyPond!A80)</f>
        <v/>
      </c>
      <c r="B80" s="18">
        <f>IF(A80="","",DailyPond!B80)</f>
        <v/>
      </c>
      <c r="C80" s="25">
        <f>IF(A80="","",DailyPond!C80)</f>
        <v/>
      </c>
      <c r="D80" s="27">
        <f>IF(A80="","",DailyPond!D80)</f>
        <v/>
      </c>
      <c r="E80" s="27">
        <f>IF(A80="","",DailyPond!E80)</f>
        <v/>
      </c>
      <c r="F80" s="19">
        <f>IF(A80="","",MONTH(A80))</f>
        <v/>
      </c>
      <c r="G80" s="18">
        <f>IF(A80="","",VLOOKUP(F80,Evaporation!$A$6:$B$17,2,FALSE))</f>
        <v/>
      </c>
      <c r="H80" s="19">
        <f>IF(A80="","",IF(C80="","",IF(C80&lt;=INDEX(StageAreaVolume!$A$6:$A$17,1),INDEX(StageAreaVolume!$B$6:$B$17,1),IF(C80&gt;=INDEX(StageAreaVolume!$A$6:$A$17,COUNTA(StageAreaVolume!$A$6:$A$17)),INDEX(StageAreaVolume!$B$6:$B$17,COUNTA(StageAreaVolume!$A$6:$A$17)),(INDEX(StageAreaVolume!$B$6:$B$17,MATCH(C80,StageAreaVolume!$A$6:$A$17,1))+(C80-INDEX(StageAreaVolume!$A$6:$A$17,MATCH(C80,StageAreaVolume!$A$6:$A$17,1)))/(INDEX(StageAreaVolume!$A$6:$A$17,MATCH(C80,StageAreaVolume!$A$6:$A$17,1)+1)-INDEX(StageAreaVolume!$A$6:$A$17,MATCH(C80,StageAreaVolume!$A$6:$A$17,1)))*(INDEX(StageAreaVolume!$B$6:$B$17,MATCH(C80,StageAreaVolume!$A$6:$A$17,1)+1)-INDEX(StageAreaVolume!$B$6:$B$17,MATCH(C80,StageAreaVolume!$A$6:$A$17,1)))))))))</f>
        <v/>
      </c>
      <c r="I80" s="18">
        <f>IF(A80="","",IF(C80="","",IF(C80&lt;=INDEX(StageAreaVolume!$A$6:$A$17,1),INDEX(StageAreaVolume!$D$6:$D$17,1),IF(C80&gt;=INDEX(StageAreaVolume!$A$6:$A$17,COUNTA(StageAreaVolume!$A$6:$A$17)),INDEX(StageAreaVolume!$D$6:$D$17,COUNTA(StageAreaVolume!$A$6:$A$17)),(INDEX(StageAreaVolume!$D$6:$D$17,MATCH(C80,StageAreaVolume!$A$6:$A$17,1))+(C80-INDEX(StageAreaVolume!$A$6:$A$17,MATCH(C80,StageAreaVolume!$A$6:$A$17,1)))/(INDEX(StageAreaVolume!$A$6:$A$17,MATCH(C80,StageAreaVolume!$A$6:$A$17,1)+1)-INDEX(StageAreaVolume!$A$6:$A$17,MATCH(C80,StageAreaVolume!$A$6:$A$17,1)))*(INDEX(StageAreaVolume!$D$6:$D$17,MATCH(C80,StageAreaVolume!$A$6:$A$17,1)+1)-INDEX(StageAreaVolume!$D$6:$D$17,MATCH(C80,StageAreaVolume!$A$6:$A$17,1)))))))))</f>
        <v/>
      </c>
      <c r="J80" s="25">
        <f>IF(A80="","",IF(A79="",NA(),C79))</f>
        <v/>
      </c>
      <c r="K80" s="19">
        <f>IF(OR(A80="",ISNA(J80)),IF(A80="","",H80),(H79+H80)/2)</f>
        <v/>
      </c>
      <c r="L80" s="19">
        <f>IF(OR(A80="",ISNA(J80)),0,IF(AND(B80=0,D80="N",E80="N",C80&lt;J80,C80&gt;0),1,0))</f>
        <v/>
      </c>
      <c r="M80" s="25">
        <f>IF(L80&lt;&gt;1,"",IF(K80&lt;=0,"",(I79-I80-G80/1000*K80)/K80*1000))</f>
        <v/>
      </c>
      <c r="N80" s="18">
        <f>IF(A80="","",IF(L80=1,I79-I80-O80,IF(OR(C80&gt;0,N(J80)&gt;0),MeanMDWIR/1000*K80,0)))</f>
        <v/>
      </c>
      <c r="O80" s="18">
        <f>IF(A80="","",G80/1000*K80)</f>
        <v/>
      </c>
      <c r="P80" s="27">
        <f>IF(A80="","",IF(L80=1,"dry",IF(D80="Y","spill",IF(B80&gt;0,"wet",IF(E80="Y","pumped","other")))))</f>
        <v/>
      </c>
    </row>
    <row r="81">
      <c r="A81" s="26">
        <f>IF(DailyPond!A81="","",DailyPond!A81)</f>
        <v/>
      </c>
      <c r="B81" s="18">
        <f>IF(A81="","",DailyPond!B81)</f>
        <v/>
      </c>
      <c r="C81" s="25">
        <f>IF(A81="","",DailyPond!C81)</f>
        <v/>
      </c>
      <c r="D81" s="27">
        <f>IF(A81="","",DailyPond!D81)</f>
        <v/>
      </c>
      <c r="E81" s="27">
        <f>IF(A81="","",DailyPond!E81)</f>
        <v/>
      </c>
      <c r="F81" s="19">
        <f>IF(A81="","",MONTH(A81))</f>
        <v/>
      </c>
      <c r="G81" s="18">
        <f>IF(A81="","",VLOOKUP(F81,Evaporation!$A$6:$B$17,2,FALSE))</f>
        <v/>
      </c>
      <c r="H81" s="19">
        <f>IF(A81="","",IF(C81="","",IF(C81&lt;=INDEX(StageAreaVolume!$A$6:$A$17,1),INDEX(StageAreaVolume!$B$6:$B$17,1),IF(C81&gt;=INDEX(StageAreaVolume!$A$6:$A$17,COUNTA(StageAreaVolume!$A$6:$A$17)),INDEX(StageAreaVolume!$B$6:$B$17,COUNTA(StageAreaVolume!$A$6:$A$17)),(INDEX(StageAreaVolume!$B$6:$B$17,MATCH(C81,StageAreaVolume!$A$6:$A$17,1))+(C81-INDEX(StageAreaVolume!$A$6:$A$17,MATCH(C81,StageAreaVolume!$A$6:$A$17,1)))/(INDEX(StageAreaVolume!$A$6:$A$17,MATCH(C81,StageAreaVolume!$A$6:$A$17,1)+1)-INDEX(StageAreaVolume!$A$6:$A$17,MATCH(C81,StageAreaVolume!$A$6:$A$17,1)))*(INDEX(StageAreaVolume!$B$6:$B$17,MATCH(C81,StageAreaVolume!$A$6:$A$17,1)+1)-INDEX(StageAreaVolume!$B$6:$B$17,MATCH(C81,StageAreaVolume!$A$6:$A$17,1)))))))))</f>
        <v/>
      </c>
      <c r="I81" s="18">
        <f>IF(A81="","",IF(C81="","",IF(C81&lt;=INDEX(StageAreaVolume!$A$6:$A$17,1),INDEX(StageAreaVolume!$D$6:$D$17,1),IF(C81&gt;=INDEX(StageAreaVolume!$A$6:$A$17,COUNTA(StageAreaVolume!$A$6:$A$17)),INDEX(StageAreaVolume!$D$6:$D$17,COUNTA(StageAreaVolume!$A$6:$A$17)),(INDEX(StageAreaVolume!$D$6:$D$17,MATCH(C81,StageAreaVolume!$A$6:$A$17,1))+(C81-INDEX(StageAreaVolume!$A$6:$A$17,MATCH(C81,StageAreaVolume!$A$6:$A$17,1)))/(INDEX(StageAreaVolume!$A$6:$A$17,MATCH(C81,StageAreaVolume!$A$6:$A$17,1)+1)-INDEX(StageAreaVolume!$A$6:$A$17,MATCH(C81,StageAreaVolume!$A$6:$A$17,1)))*(INDEX(StageAreaVolume!$D$6:$D$17,MATCH(C81,StageAreaVolume!$A$6:$A$17,1)+1)-INDEX(StageAreaVolume!$D$6:$D$17,MATCH(C81,StageAreaVolume!$A$6:$A$17,1)))))))))</f>
        <v/>
      </c>
      <c r="J81" s="25">
        <f>IF(A81="","",IF(A80="",NA(),C80))</f>
        <v/>
      </c>
      <c r="K81" s="19">
        <f>IF(OR(A81="",ISNA(J81)),IF(A81="","",H81),(H80+H81)/2)</f>
        <v/>
      </c>
      <c r="L81" s="19">
        <f>IF(OR(A81="",ISNA(J81)),0,IF(AND(B81=0,D81="N",E81="N",C81&lt;J81,C81&gt;0),1,0))</f>
        <v/>
      </c>
      <c r="M81" s="25">
        <f>IF(L81&lt;&gt;1,"",IF(K81&lt;=0,"",(I80-I81-G81/1000*K81)/K81*1000))</f>
        <v/>
      </c>
      <c r="N81" s="18">
        <f>IF(A81="","",IF(L81=1,I80-I81-O81,IF(OR(C81&gt;0,N(J81)&gt;0),MeanMDWIR/1000*K81,0)))</f>
        <v/>
      </c>
      <c r="O81" s="18">
        <f>IF(A81="","",G81/1000*K81)</f>
        <v/>
      </c>
      <c r="P81" s="27">
        <f>IF(A81="","",IF(L81=1,"dry",IF(D81="Y","spill",IF(B81&gt;0,"wet",IF(E81="Y","pumped","other")))))</f>
        <v/>
      </c>
    </row>
    <row r="82">
      <c r="A82" s="26">
        <f>IF(DailyPond!A82="","",DailyPond!A82)</f>
        <v/>
      </c>
      <c r="B82" s="18">
        <f>IF(A82="","",DailyPond!B82)</f>
        <v/>
      </c>
      <c r="C82" s="25">
        <f>IF(A82="","",DailyPond!C82)</f>
        <v/>
      </c>
      <c r="D82" s="27">
        <f>IF(A82="","",DailyPond!D82)</f>
        <v/>
      </c>
      <c r="E82" s="27">
        <f>IF(A82="","",DailyPond!E82)</f>
        <v/>
      </c>
      <c r="F82" s="19">
        <f>IF(A82="","",MONTH(A82))</f>
        <v/>
      </c>
      <c r="G82" s="18">
        <f>IF(A82="","",VLOOKUP(F82,Evaporation!$A$6:$B$17,2,FALSE))</f>
        <v/>
      </c>
      <c r="H82" s="19">
        <f>IF(A82="","",IF(C82="","",IF(C82&lt;=INDEX(StageAreaVolume!$A$6:$A$17,1),INDEX(StageAreaVolume!$B$6:$B$17,1),IF(C82&gt;=INDEX(StageAreaVolume!$A$6:$A$17,COUNTA(StageAreaVolume!$A$6:$A$17)),INDEX(StageAreaVolume!$B$6:$B$17,COUNTA(StageAreaVolume!$A$6:$A$17)),(INDEX(StageAreaVolume!$B$6:$B$17,MATCH(C82,StageAreaVolume!$A$6:$A$17,1))+(C82-INDEX(StageAreaVolume!$A$6:$A$17,MATCH(C82,StageAreaVolume!$A$6:$A$17,1)))/(INDEX(StageAreaVolume!$A$6:$A$17,MATCH(C82,StageAreaVolume!$A$6:$A$17,1)+1)-INDEX(StageAreaVolume!$A$6:$A$17,MATCH(C82,StageAreaVolume!$A$6:$A$17,1)))*(INDEX(StageAreaVolume!$B$6:$B$17,MATCH(C82,StageAreaVolume!$A$6:$A$17,1)+1)-INDEX(StageAreaVolume!$B$6:$B$17,MATCH(C82,StageAreaVolume!$A$6:$A$17,1)))))))))</f>
        <v/>
      </c>
      <c r="I82" s="18">
        <f>IF(A82="","",IF(C82="","",IF(C82&lt;=INDEX(StageAreaVolume!$A$6:$A$17,1),INDEX(StageAreaVolume!$D$6:$D$17,1),IF(C82&gt;=INDEX(StageAreaVolume!$A$6:$A$17,COUNTA(StageAreaVolume!$A$6:$A$17)),INDEX(StageAreaVolume!$D$6:$D$17,COUNTA(StageAreaVolume!$A$6:$A$17)),(INDEX(StageAreaVolume!$D$6:$D$17,MATCH(C82,StageAreaVolume!$A$6:$A$17,1))+(C82-INDEX(StageAreaVolume!$A$6:$A$17,MATCH(C82,StageAreaVolume!$A$6:$A$17,1)))/(INDEX(StageAreaVolume!$A$6:$A$17,MATCH(C82,StageAreaVolume!$A$6:$A$17,1)+1)-INDEX(StageAreaVolume!$A$6:$A$17,MATCH(C82,StageAreaVolume!$A$6:$A$17,1)))*(INDEX(StageAreaVolume!$D$6:$D$17,MATCH(C82,StageAreaVolume!$A$6:$A$17,1)+1)-INDEX(StageAreaVolume!$D$6:$D$17,MATCH(C82,StageAreaVolume!$A$6:$A$17,1)))))))))</f>
        <v/>
      </c>
      <c r="J82" s="25">
        <f>IF(A82="","",IF(A81="",NA(),C81))</f>
        <v/>
      </c>
      <c r="K82" s="19">
        <f>IF(OR(A82="",ISNA(J82)),IF(A82="","",H82),(H81+H82)/2)</f>
        <v/>
      </c>
      <c r="L82" s="19">
        <f>IF(OR(A82="",ISNA(J82)),0,IF(AND(B82=0,D82="N",E82="N",C82&lt;J82,C82&gt;0),1,0))</f>
        <v/>
      </c>
      <c r="M82" s="25">
        <f>IF(L82&lt;&gt;1,"",IF(K82&lt;=0,"",(I81-I82-G82/1000*K82)/K82*1000))</f>
        <v/>
      </c>
      <c r="N82" s="18">
        <f>IF(A82="","",IF(L82=1,I81-I82-O82,IF(OR(C82&gt;0,N(J82)&gt;0),MeanMDWIR/1000*K82,0)))</f>
        <v/>
      </c>
      <c r="O82" s="18">
        <f>IF(A82="","",G82/1000*K82)</f>
        <v/>
      </c>
      <c r="P82" s="27">
        <f>IF(A82="","",IF(L82=1,"dry",IF(D82="Y","spill",IF(B82&gt;0,"wet",IF(E82="Y","pumped","other")))))</f>
        <v/>
      </c>
    </row>
    <row r="83">
      <c r="A83" s="26">
        <f>IF(DailyPond!A83="","",DailyPond!A83)</f>
        <v/>
      </c>
      <c r="B83" s="18">
        <f>IF(A83="","",DailyPond!B83)</f>
        <v/>
      </c>
      <c r="C83" s="25">
        <f>IF(A83="","",DailyPond!C83)</f>
        <v/>
      </c>
      <c r="D83" s="27">
        <f>IF(A83="","",DailyPond!D83)</f>
        <v/>
      </c>
      <c r="E83" s="27">
        <f>IF(A83="","",DailyPond!E83)</f>
        <v/>
      </c>
      <c r="F83" s="19">
        <f>IF(A83="","",MONTH(A83))</f>
        <v/>
      </c>
      <c r="G83" s="18">
        <f>IF(A83="","",VLOOKUP(F83,Evaporation!$A$6:$B$17,2,FALSE))</f>
        <v/>
      </c>
      <c r="H83" s="19">
        <f>IF(A83="","",IF(C83="","",IF(C83&lt;=INDEX(StageAreaVolume!$A$6:$A$17,1),INDEX(StageAreaVolume!$B$6:$B$17,1),IF(C83&gt;=INDEX(StageAreaVolume!$A$6:$A$17,COUNTA(StageAreaVolume!$A$6:$A$17)),INDEX(StageAreaVolume!$B$6:$B$17,COUNTA(StageAreaVolume!$A$6:$A$17)),(INDEX(StageAreaVolume!$B$6:$B$17,MATCH(C83,StageAreaVolume!$A$6:$A$17,1))+(C83-INDEX(StageAreaVolume!$A$6:$A$17,MATCH(C83,StageAreaVolume!$A$6:$A$17,1)))/(INDEX(StageAreaVolume!$A$6:$A$17,MATCH(C83,StageAreaVolume!$A$6:$A$17,1)+1)-INDEX(StageAreaVolume!$A$6:$A$17,MATCH(C83,StageAreaVolume!$A$6:$A$17,1)))*(INDEX(StageAreaVolume!$B$6:$B$17,MATCH(C83,StageAreaVolume!$A$6:$A$17,1)+1)-INDEX(StageAreaVolume!$B$6:$B$17,MATCH(C83,StageAreaVolume!$A$6:$A$17,1)))))))))</f>
        <v/>
      </c>
      <c r="I83" s="18">
        <f>IF(A83="","",IF(C83="","",IF(C83&lt;=INDEX(StageAreaVolume!$A$6:$A$17,1),INDEX(StageAreaVolume!$D$6:$D$17,1),IF(C83&gt;=INDEX(StageAreaVolume!$A$6:$A$17,COUNTA(StageAreaVolume!$A$6:$A$17)),INDEX(StageAreaVolume!$D$6:$D$17,COUNTA(StageAreaVolume!$A$6:$A$17)),(INDEX(StageAreaVolume!$D$6:$D$17,MATCH(C83,StageAreaVolume!$A$6:$A$17,1))+(C83-INDEX(StageAreaVolume!$A$6:$A$17,MATCH(C83,StageAreaVolume!$A$6:$A$17,1)))/(INDEX(StageAreaVolume!$A$6:$A$17,MATCH(C83,StageAreaVolume!$A$6:$A$17,1)+1)-INDEX(StageAreaVolume!$A$6:$A$17,MATCH(C83,StageAreaVolume!$A$6:$A$17,1)))*(INDEX(StageAreaVolume!$D$6:$D$17,MATCH(C83,StageAreaVolume!$A$6:$A$17,1)+1)-INDEX(StageAreaVolume!$D$6:$D$17,MATCH(C83,StageAreaVolume!$A$6:$A$17,1)))))))))</f>
        <v/>
      </c>
      <c r="J83" s="25">
        <f>IF(A83="","",IF(A82="",NA(),C82))</f>
        <v/>
      </c>
      <c r="K83" s="19">
        <f>IF(OR(A83="",ISNA(J83)),IF(A83="","",H83),(H82+H83)/2)</f>
        <v/>
      </c>
      <c r="L83" s="19">
        <f>IF(OR(A83="",ISNA(J83)),0,IF(AND(B83=0,D83="N",E83="N",C83&lt;J83,C83&gt;0),1,0))</f>
        <v/>
      </c>
      <c r="M83" s="25">
        <f>IF(L83&lt;&gt;1,"",IF(K83&lt;=0,"",(I82-I83-G83/1000*K83)/K83*1000))</f>
        <v/>
      </c>
      <c r="N83" s="18">
        <f>IF(A83="","",IF(L83=1,I82-I83-O83,IF(OR(C83&gt;0,N(J83)&gt;0),MeanMDWIR/1000*K83,0)))</f>
        <v/>
      </c>
      <c r="O83" s="18">
        <f>IF(A83="","",G83/1000*K83)</f>
        <v/>
      </c>
      <c r="P83" s="27">
        <f>IF(A83="","",IF(L83=1,"dry",IF(D83="Y","spill",IF(B83&gt;0,"wet",IF(E83="Y","pumped","other")))))</f>
        <v/>
      </c>
    </row>
    <row r="84">
      <c r="A84" s="26">
        <f>IF(DailyPond!A84="","",DailyPond!A84)</f>
        <v/>
      </c>
      <c r="B84" s="18">
        <f>IF(A84="","",DailyPond!B84)</f>
        <v/>
      </c>
      <c r="C84" s="25">
        <f>IF(A84="","",DailyPond!C84)</f>
        <v/>
      </c>
      <c r="D84" s="27">
        <f>IF(A84="","",DailyPond!D84)</f>
        <v/>
      </c>
      <c r="E84" s="27">
        <f>IF(A84="","",DailyPond!E84)</f>
        <v/>
      </c>
      <c r="F84" s="19">
        <f>IF(A84="","",MONTH(A84))</f>
        <v/>
      </c>
      <c r="G84" s="18">
        <f>IF(A84="","",VLOOKUP(F84,Evaporation!$A$6:$B$17,2,FALSE))</f>
        <v/>
      </c>
      <c r="H84" s="19">
        <f>IF(A84="","",IF(C84="","",IF(C84&lt;=INDEX(StageAreaVolume!$A$6:$A$17,1),INDEX(StageAreaVolume!$B$6:$B$17,1),IF(C84&gt;=INDEX(StageAreaVolume!$A$6:$A$17,COUNTA(StageAreaVolume!$A$6:$A$17)),INDEX(StageAreaVolume!$B$6:$B$17,COUNTA(StageAreaVolume!$A$6:$A$17)),(INDEX(StageAreaVolume!$B$6:$B$17,MATCH(C84,StageAreaVolume!$A$6:$A$17,1))+(C84-INDEX(StageAreaVolume!$A$6:$A$17,MATCH(C84,StageAreaVolume!$A$6:$A$17,1)))/(INDEX(StageAreaVolume!$A$6:$A$17,MATCH(C84,StageAreaVolume!$A$6:$A$17,1)+1)-INDEX(StageAreaVolume!$A$6:$A$17,MATCH(C84,StageAreaVolume!$A$6:$A$17,1)))*(INDEX(StageAreaVolume!$B$6:$B$17,MATCH(C84,StageAreaVolume!$A$6:$A$17,1)+1)-INDEX(StageAreaVolume!$B$6:$B$17,MATCH(C84,StageAreaVolume!$A$6:$A$17,1)))))))))</f>
        <v/>
      </c>
      <c r="I84" s="18">
        <f>IF(A84="","",IF(C84="","",IF(C84&lt;=INDEX(StageAreaVolume!$A$6:$A$17,1),INDEX(StageAreaVolume!$D$6:$D$17,1),IF(C84&gt;=INDEX(StageAreaVolume!$A$6:$A$17,COUNTA(StageAreaVolume!$A$6:$A$17)),INDEX(StageAreaVolume!$D$6:$D$17,COUNTA(StageAreaVolume!$A$6:$A$17)),(INDEX(StageAreaVolume!$D$6:$D$17,MATCH(C84,StageAreaVolume!$A$6:$A$17,1))+(C84-INDEX(StageAreaVolume!$A$6:$A$17,MATCH(C84,StageAreaVolume!$A$6:$A$17,1)))/(INDEX(StageAreaVolume!$A$6:$A$17,MATCH(C84,StageAreaVolume!$A$6:$A$17,1)+1)-INDEX(StageAreaVolume!$A$6:$A$17,MATCH(C84,StageAreaVolume!$A$6:$A$17,1)))*(INDEX(StageAreaVolume!$D$6:$D$17,MATCH(C84,StageAreaVolume!$A$6:$A$17,1)+1)-INDEX(StageAreaVolume!$D$6:$D$17,MATCH(C84,StageAreaVolume!$A$6:$A$17,1)))))))))</f>
        <v/>
      </c>
      <c r="J84" s="25">
        <f>IF(A84="","",IF(A83="",NA(),C83))</f>
        <v/>
      </c>
      <c r="K84" s="19">
        <f>IF(OR(A84="",ISNA(J84)),IF(A84="","",H84),(H83+H84)/2)</f>
        <v/>
      </c>
      <c r="L84" s="19">
        <f>IF(OR(A84="",ISNA(J84)),0,IF(AND(B84=0,D84="N",E84="N",C84&lt;J84,C84&gt;0),1,0))</f>
        <v/>
      </c>
      <c r="M84" s="25">
        <f>IF(L84&lt;&gt;1,"",IF(K84&lt;=0,"",(I83-I84-G84/1000*K84)/K84*1000))</f>
        <v/>
      </c>
      <c r="N84" s="18">
        <f>IF(A84="","",IF(L84=1,I83-I84-O84,IF(OR(C84&gt;0,N(J84)&gt;0),MeanMDWIR/1000*K84,0)))</f>
        <v/>
      </c>
      <c r="O84" s="18">
        <f>IF(A84="","",G84/1000*K84)</f>
        <v/>
      </c>
      <c r="P84" s="27">
        <f>IF(A84="","",IF(L84=1,"dry",IF(D84="Y","spill",IF(B84&gt;0,"wet",IF(E84="Y","pumped","other")))))</f>
        <v/>
      </c>
    </row>
    <row r="85">
      <c r="A85" s="26">
        <f>IF(DailyPond!A85="","",DailyPond!A85)</f>
        <v/>
      </c>
      <c r="B85" s="18">
        <f>IF(A85="","",DailyPond!B85)</f>
        <v/>
      </c>
      <c r="C85" s="25">
        <f>IF(A85="","",DailyPond!C85)</f>
        <v/>
      </c>
      <c r="D85" s="27">
        <f>IF(A85="","",DailyPond!D85)</f>
        <v/>
      </c>
      <c r="E85" s="27">
        <f>IF(A85="","",DailyPond!E85)</f>
        <v/>
      </c>
      <c r="F85" s="19">
        <f>IF(A85="","",MONTH(A85))</f>
        <v/>
      </c>
      <c r="G85" s="18">
        <f>IF(A85="","",VLOOKUP(F85,Evaporation!$A$6:$B$17,2,FALSE))</f>
        <v/>
      </c>
      <c r="H85" s="19">
        <f>IF(A85="","",IF(C85="","",IF(C85&lt;=INDEX(StageAreaVolume!$A$6:$A$17,1),INDEX(StageAreaVolume!$B$6:$B$17,1),IF(C85&gt;=INDEX(StageAreaVolume!$A$6:$A$17,COUNTA(StageAreaVolume!$A$6:$A$17)),INDEX(StageAreaVolume!$B$6:$B$17,COUNTA(StageAreaVolume!$A$6:$A$17)),(INDEX(StageAreaVolume!$B$6:$B$17,MATCH(C85,StageAreaVolume!$A$6:$A$17,1))+(C85-INDEX(StageAreaVolume!$A$6:$A$17,MATCH(C85,StageAreaVolume!$A$6:$A$17,1)))/(INDEX(StageAreaVolume!$A$6:$A$17,MATCH(C85,StageAreaVolume!$A$6:$A$17,1)+1)-INDEX(StageAreaVolume!$A$6:$A$17,MATCH(C85,StageAreaVolume!$A$6:$A$17,1)))*(INDEX(StageAreaVolume!$B$6:$B$17,MATCH(C85,StageAreaVolume!$A$6:$A$17,1)+1)-INDEX(StageAreaVolume!$B$6:$B$17,MATCH(C85,StageAreaVolume!$A$6:$A$17,1)))))))))</f>
        <v/>
      </c>
      <c r="I85" s="18">
        <f>IF(A85="","",IF(C85="","",IF(C85&lt;=INDEX(StageAreaVolume!$A$6:$A$17,1),INDEX(StageAreaVolume!$D$6:$D$17,1),IF(C85&gt;=INDEX(StageAreaVolume!$A$6:$A$17,COUNTA(StageAreaVolume!$A$6:$A$17)),INDEX(StageAreaVolume!$D$6:$D$17,COUNTA(StageAreaVolume!$A$6:$A$17)),(INDEX(StageAreaVolume!$D$6:$D$17,MATCH(C85,StageAreaVolume!$A$6:$A$17,1))+(C85-INDEX(StageAreaVolume!$A$6:$A$17,MATCH(C85,StageAreaVolume!$A$6:$A$17,1)))/(INDEX(StageAreaVolume!$A$6:$A$17,MATCH(C85,StageAreaVolume!$A$6:$A$17,1)+1)-INDEX(StageAreaVolume!$A$6:$A$17,MATCH(C85,StageAreaVolume!$A$6:$A$17,1)))*(INDEX(StageAreaVolume!$D$6:$D$17,MATCH(C85,StageAreaVolume!$A$6:$A$17,1)+1)-INDEX(StageAreaVolume!$D$6:$D$17,MATCH(C85,StageAreaVolume!$A$6:$A$17,1)))))))))</f>
        <v/>
      </c>
      <c r="J85" s="25">
        <f>IF(A85="","",IF(A84="",NA(),C84))</f>
        <v/>
      </c>
      <c r="K85" s="19">
        <f>IF(OR(A85="",ISNA(J85)),IF(A85="","",H85),(H84+H85)/2)</f>
        <v/>
      </c>
      <c r="L85" s="19">
        <f>IF(OR(A85="",ISNA(J85)),0,IF(AND(B85=0,D85="N",E85="N",C85&lt;J85,C85&gt;0),1,0))</f>
        <v/>
      </c>
      <c r="M85" s="25">
        <f>IF(L85&lt;&gt;1,"",IF(K85&lt;=0,"",(I84-I85-G85/1000*K85)/K85*1000))</f>
        <v/>
      </c>
      <c r="N85" s="18">
        <f>IF(A85="","",IF(L85=1,I84-I85-O85,IF(OR(C85&gt;0,N(J85)&gt;0),MeanMDWIR/1000*K85,0)))</f>
        <v/>
      </c>
      <c r="O85" s="18">
        <f>IF(A85="","",G85/1000*K85)</f>
        <v/>
      </c>
      <c r="P85" s="27">
        <f>IF(A85="","",IF(L85=1,"dry",IF(D85="Y","spill",IF(B85&gt;0,"wet",IF(E85="Y","pumped","other")))))</f>
        <v/>
      </c>
    </row>
    <row r="86">
      <c r="A86" s="26">
        <f>IF(DailyPond!A86="","",DailyPond!A86)</f>
        <v/>
      </c>
      <c r="B86" s="18">
        <f>IF(A86="","",DailyPond!B86)</f>
        <v/>
      </c>
      <c r="C86" s="25">
        <f>IF(A86="","",DailyPond!C86)</f>
        <v/>
      </c>
      <c r="D86" s="27">
        <f>IF(A86="","",DailyPond!D86)</f>
        <v/>
      </c>
      <c r="E86" s="27">
        <f>IF(A86="","",DailyPond!E86)</f>
        <v/>
      </c>
      <c r="F86" s="19">
        <f>IF(A86="","",MONTH(A86))</f>
        <v/>
      </c>
      <c r="G86" s="18">
        <f>IF(A86="","",VLOOKUP(F86,Evaporation!$A$6:$B$17,2,FALSE))</f>
        <v/>
      </c>
      <c r="H86" s="19">
        <f>IF(A86="","",IF(C86="","",IF(C86&lt;=INDEX(StageAreaVolume!$A$6:$A$17,1),INDEX(StageAreaVolume!$B$6:$B$17,1),IF(C86&gt;=INDEX(StageAreaVolume!$A$6:$A$17,COUNTA(StageAreaVolume!$A$6:$A$17)),INDEX(StageAreaVolume!$B$6:$B$17,COUNTA(StageAreaVolume!$A$6:$A$17)),(INDEX(StageAreaVolume!$B$6:$B$17,MATCH(C86,StageAreaVolume!$A$6:$A$17,1))+(C86-INDEX(StageAreaVolume!$A$6:$A$17,MATCH(C86,StageAreaVolume!$A$6:$A$17,1)))/(INDEX(StageAreaVolume!$A$6:$A$17,MATCH(C86,StageAreaVolume!$A$6:$A$17,1)+1)-INDEX(StageAreaVolume!$A$6:$A$17,MATCH(C86,StageAreaVolume!$A$6:$A$17,1)))*(INDEX(StageAreaVolume!$B$6:$B$17,MATCH(C86,StageAreaVolume!$A$6:$A$17,1)+1)-INDEX(StageAreaVolume!$B$6:$B$17,MATCH(C86,StageAreaVolume!$A$6:$A$17,1)))))))))</f>
        <v/>
      </c>
      <c r="I86" s="18">
        <f>IF(A86="","",IF(C86="","",IF(C86&lt;=INDEX(StageAreaVolume!$A$6:$A$17,1),INDEX(StageAreaVolume!$D$6:$D$17,1),IF(C86&gt;=INDEX(StageAreaVolume!$A$6:$A$17,COUNTA(StageAreaVolume!$A$6:$A$17)),INDEX(StageAreaVolume!$D$6:$D$17,COUNTA(StageAreaVolume!$A$6:$A$17)),(INDEX(StageAreaVolume!$D$6:$D$17,MATCH(C86,StageAreaVolume!$A$6:$A$17,1))+(C86-INDEX(StageAreaVolume!$A$6:$A$17,MATCH(C86,StageAreaVolume!$A$6:$A$17,1)))/(INDEX(StageAreaVolume!$A$6:$A$17,MATCH(C86,StageAreaVolume!$A$6:$A$17,1)+1)-INDEX(StageAreaVolume!$A$6:$A$17,MATCH(C86,StageAreaVolume!$A$6:$A$17,1)))*(INDEX(StageAreaVolume!$D$6:$D$17,MATCH(C86,StageAreaVolume!$A$6:$A$17,1)+1)-INDEX(StageAreaVolume!$D$6:$D$17,MATCH(C86,StageAreaVolume!$A$6:$A$17,1)))))))))</f>
        <v/>
      </c>
      <c r="J86" s="25">
        <f>IF(A86="","",IF(A85="",NA(),C85))</f>
        <v/>
      </c>
      <c r="K86" s="19">
        <f>IF(OR(A86="",ISNA(J86)),IF(A86="","",H86),(H85+H86)/2)</f>
        <v/>
      </c>
      <c r="L86" s="19">
        <f>IF(OR(A86="",ISNA(J86)),0,IF(AND(B86=0,D86="N",E86="N",C86&lt;J86,C86&gt;0),1,0))</f>
        <v/>
      </c>
      <c r="M86" s="25">
        <f>IF(L86&lt;&gt;1,"",IF(K86&lt;=0,"",(I85-I86-G86/1000*K86)/K86*1000))</f>
        <v/>
      </c>
      <c r="N86" s="18">
        <f>IF(A86="","",IF(L86=1,I85-I86-O86,IF(OR(C86&gt;0,N(J86)&gt;0),MeanMDWIR/1000*K86,0)))</f>
        <v/>
      </c>
      <c r="O86" s="18">
        <f>IF(A86="","",G86/1000*K86)</f>
        <v/>
      </c>
      <c r="P86" s="27">
        <f>IF(A86="","",IF(L86=1,"dry",IF(D86="Y","spill",IF(B86&gt;0,"wet",IF(E86="Y","pumped","other")))))</f>
        <v/>
      </c>
    </row>
    <row r="87">
      <c r="A87" s="26">
        <f>IF(DailyPond!A87="","",DailyPond!A87)</f>
        <v/>
      </c>
      <c r="B87" s="18">
        <f>IF(A87="","",DailyPond!B87)</f>
        <v/>
      </c>
      <c r="C87" s="25">
        <f>IF(A87="","",DailyPond!C87)</f>
        <v/>
      </c>
      <c r="D87" s="27">
        <f>IF(A87="","",DailyPond!D87)</f>
        <v/>
      </c>
      <c r="E87" s="27">
        <f>IF(A87="","",DailyPond!E87)</f>
        <v/>
      </c>
      <c r="F87" s="19">
        <f>IF(A87="","",MONTH(A87))</f>
        <v/>
      </c>
      <c r="G87" s="18">
        <f>IF(A87="","",VLOOKUP(F87,Evaporation!$A$6:$B$17,2,FALSE))</f>
        <v/>
      </c>
      <c r="H87" s="19">
        <f>IF(A87="","",IF(C87="","",IF(C87&lt;=INDEX(StageAreaVolume!$A$6:$A$17,1),INDEX(StageAreaVolume!$B$6:$B$17,1),IF(C87&gt;=INDEX(StageAreaVolume!$A$6:$A$17,COUNTA(StageAreaVolume!$A$6:$A$17)),INDEX(StageAreaVolume!$B$6:$B$17,COUNTA(StageAreaVolume!$A$6:$A$17)),(INDEX(StageAreaVolume!$B$6:$B$17,MATCH(C87,StageAreaVolume!$A$6:$A$17,1))+(C87-INDEX(StageAreaVolume!$A$6:$A$17,MATCH(C87,StageAreaVolume!$A$6:$A$17,1)))/(INDEX(StageAreaVolume!$A$6:$A$17,MATCH(C87,StageAreaVolume!$A$6:$A$17,1)+1)-INDEX(StageAreaVolume!$A$6:$A$17,MATCH(C87,StageAreaVolume!$A$6:$A$17,1)))*(INDEX(StageAreaVolume!$B$6:$B$17,MATCH(C87,StageAreaVolume!$A$6:$A$17,1)+1)-INDEX(StageAreaVolume!$B$6:$B$17,MATCH(C87,StageAreaVolume!$A$6:$A$17,1)))))))))</f>
        <v/>
      </c>
      <c r="I87" s="18">
        <f>IF(A87="","",IF(C87="","",IF(C87&lt;=INDEX(StageAreaVolume!$A$6:$A$17,1),INDEX(StageAreaVolume!$D$6:$D$17,1),IF(C87&gt;=INDEX(StageAreaVolume!$A$6:$A$17,COUNTA(StageAreaVolume!$A$6:$A$17)),INDEX(StageAreaVolume!$D$6:$D$17,COUNTA(StageAreaVolume!$A$6:$A$17)),(INDEX(StageAreaVolume!$D$6:$D$17,MATCH(C87,StageAreaVolume!$A$6:$A$17,1))+(C87-INDEX(StageAreaVolume!$A$6:$A$17,MATCH(C87,StageAreaVolume!$A$6:$A$17,1)))/(INDEX(StageAreaVolume!$A$6:$A$17,MATCH(C87,StageAreaVolume!$A$6:$A$17,1)+1)-INDEX(StageAreaVolume!$A$6:$A$17,MATCH(C87,StageAreaVolume!$A$6:$A$17,1)))*(INDEX(StageAreaVolume!$D$6:$D$17,MATCH(C87,StageAreaVolume!$A$6:$A$17,1)+1)-INDEX(StageAreaVolume!$D$6:$D$17,MATCH(C87,StageAreaVolume!$A$6:$A$17,1)))))))))</f>
        <v/>
      </c>
      <c r="J87" s="25">
        <f>IF(A87="","",IF(A86="",NA(),C86))</f>
        <v/>
      </c>
      <c r="K87" s="19">
        <f>IF(OR(A87="",ISNA(J87)),IF(A87="","",H87),(H86+H87)/2)</f>
        <v/>
      </c>
      <c r="L87" s="19">
        <f>IF(OR(A87="",ISNA(J87)),0,IF(AND(B87=0,D87="N",E87="N",C87&lt;J87,C87&gt;0),1,0))</f>
        <v/>
      </c>
      <c r="M87" s="25">
        <f>IF(L87&lt;&gt;1,"",IF(K87&lt;=0,"",(I86-I87-G87/1000*K87)/K87*1000))</f>
        <v/>
      </c>
      <c r="N87" s="18">
        <f>IF(A87="","",IF(L87=1,I86-I87-O87,IF(OR(C87&gt;0,N(J87)&gt;0),MeanMDWIR/1000*K87,0)))</f>
        <v/>
      </c>
      <c r="O87" s="18">
        <f>IF(A87="","",G87/1000*K87)</f>
        <v/>
      </c>
      <c r="P87" s="27">
        <f>IF(A87="","",IF(L87=1,"dry",IF(D87="Y","spill",IF(B87&gt;0,"wet",IF(E87="Y","pumped","other")))))</f>
        <v/>
      </c>
    </row>
    <row r="88">
      <c r="A88" s="26">
        <f>IF(DailyPond!A88="","",DailyPond!A88)</f>
        <v/>
      </c>
      <c r="B88" s="18">
        <f>IF(A88="","",DailyPond!B88)</f>
        <v/>
      </c>
      <c r="C88" s="25">
        <f>IF(A88="","",DailyPond!C88)</f>
        <v/>
      </c>
      <c r="D88" s="27">
        <f>IF(A88="","",DailyPond!D88)</f>
        <v/>
      </c>
      <c r="E88" s="27">
        <f>IF(A88="","",DailyPond!E88)</f>
        <v/>
      </c>
      <c r="F88" s="19">
        <f>IF(A88="","",MONTH(A88))</f>
        <v/>
      </c>
      <c r="G88" s="18">
        <f>IF(A88="","",VLOOKUP(F88,Evaporation!$A$6:$B$17,2,FALSE))</f>
        <v/>
      </c>
      <c r="H88" s="19">
        <f>IF(A88="","",IF(C88="","",IF(C88&lt;=INDEX(StageAreaVolume!$A$6:$A$17,1),INDEX(StageAreaVolume!$B$6:$B$17,1),IF(C88&gt;=INDEX(StageAreaVolume!$A$6:$A$17,COUNTA(StageAreaVolume!$A$6:$A$17)),INDEX(StageAreaVolume!$B$6:$B$17,COUNTA(StageAreaVolume!$A$6:$A$17)),(INDEX(StageAreaVolume!$B$6:$B$17,MATCH(C88,StageAreaVolume!$A$6:$A$17,1))+(C88-INDEX(StageAreaVolume!$A$6:$A$17,MATCH(C88,StageAreaVolume!$A$6:$A$17,1)))/(INDEX(StageAreaVolume!$A$6:$A$17,MATCH(C88,StageAreaVolume!$A$6:$A$17,1)+1)-INDEX(StageAreaVolume!$A$6:$A$17,MATCH(C88,StageAreaVolume!$A$6:$A$17,1)))*(INDEX(StageAreaVolume!$B$6:$B$17,MATCH(C88,StageAreaVolume!$A$6:$A$17,1)+1)-INDEX(StageAreaVolume!$B$6:$B$17,MATCH(C88,StageAreaVolume!$A$6:$A$17,1)))))))))</f>
        <v/>
      </c>
      <c r="I88" s="18">
        <f>IF(A88="","",IF(C88="","",IF(C88&lt;=INDEX(StageAreaVolume!$A$6:$A$17,1),INDEX(StageAreaVolume!$D$6:$D$17,1),IF(C88&gt;=INDEX(StageAreaVolume!$A$6:$A$17,COUNTA(StageAreaVolume!$A$6:$A$17)),INDEX(StageAreaVolume!$D$6:$D$17,COUNTA(StageAreaVolume!$A$6:$A$17)),(INDEX(StageAreaVolume!$D$6:$D$17,MATCH(C88,StageAreaVolume!$A$6:$A$17,1))+(C88-INDEX(StageAreaVolume!$A$6:$A$17,MATCH(C88,StageAreaVolume!$A$6:$A$17,1)))/(INDEX(StageAreaVolume!$A$6:$A$17,MATCH(C88,StageAreaVolume!$A$6:$A$17,1)+1)-INDEX(StageAreaVolume!$A$6:$A$17,MATCH(C88,StageAreaVolume!$A$6:$A$17,1)))*(INDEX(StageAreaVolume!$D$6:$D$17,MATCH(C88,StageAreaVolume!$A$6:$A$17,1)+1)-INDEX(StageAreaVolume!$D$6:$D$17,MATCH(C88,StageAreaVolume!$A$6:$A$17,1)))))))))</f>
        <v/>
      </c>
      <c r="J88" s="25">
        <f>IF(A88="","",IF(A87="",NA(),C87))</f>
        <v/>
      </c>
      <c r="K88" s="19">
        <f>IF(OR(A88="",ISNA(J88)),IF(A88="","",H88),(H87+H88)/2)</f>
        <v/>
      </c>
      <c r="L88" s="19">
        <f>IF(OR(A88="",ISNA(J88)),0,IF(AND(B88=0,D88="N",E88="N",C88&lt;J88,C88&gt;0),1,0))</f>
        <v/>
      </c>
      <c r="M88" s="25">
        <f>IF(L88&lt;&gt;1,"",IF(K88&lt;=0,"",(I87-I88-G88/1000*K88)/K88*1000))</f>
        <v/>
      </c>
      <c r="N88" s="18">
        <f>IF(A88="","",IF(L88=1,I87-I88-O88,IF(OR(C88&gt;0,N(J88)&gt;0),MeanMDWIR/1000*K88,0)))</f>
        <v/>
      </c>
      <c r="O88" s="18">
        <f>IF(A88="","",G88/1000*K88)</f>
        <v/>
      </c>
      <c r="P88" s="27">
        <f>IF(A88="","",IF(L88=1,"dry",IF(D88="Y","spill",IF(B88&gt;0,"wet",IF(E88="Y","pumped","other")))))</f>
        <v/>
      </c>
    </row>
    <row r="89">
      <c r="A89" s="26">
        <f>IF(DailyPond!A89="","",DailyPond!A89)</f>
        <v/>
      </c>
      <c r="B89" s="18">
        <f>IF(A89="","",DailyPond!B89)</f>
        <v/>
      </c>
      <c r="C89" s="25">
        <f>IF(A89="","",DailyPond!C89)</f>
        <v/>
      </c>
      <c r="D89" s="27">
        <f>IF(A89="","",DailyPond!D89)</f>
        <v/>
      </c>
      <c r="E89" s="27">
        <f>IF(A89="","",DailyPond!E89)</f>
        <v/>
      </c>
      <c r="F89" s="19">
        <f>IF(A89="","",MONTH(A89))</f>
        <v/>
      </c>
      <c r="G89" s="18">
        <f>IF(A89="","",VLOOKUP(F89,Evaporation!$A$6:$B$17,2,FALSE))</f>
        <v/>
      </c>
      <c r="H89" s="19">
        <f>IF(A89="","",IF(C89="","",IF(C89&lt;=INDEX(StageAreaVolume!$A$6:$A$17,1),INDEX(StageAreaVolume!$B$6:$B$17,1),IF(C89&gt;=INDEX(StageAreaVolume!$A$6:$A$17,COUNTA(StageAreaVolume!$A$6:$A$17)),INDEX(StageAreaVolume!$B$6:$B$17,COUNTA(StageAreaVolume!$A$6:$A$17)),(INDEX(StageAreaVolume!$B$6:$B$17,MATCH(C89,StageAreaVolume!$A$6:$A$17,1))+(C89-INDEX(StageAreaVolume!$A$6:$A$17,MATCH(C89,StageAreaVolume!$A$6:$A$17,1)))/(INDEX(StageAreaVolume!$A$6:$A$17,MATCH(C89,StageAreaVolume!$A$6:$A$17,1)+1)-INDEX(StageAreaVolume!$A$6:$A$17,MATCH(C89,StageAreaVolume!$A$6:$A$17,1)))*(INDEX(StageAreaVolume!$B$6:$B$17,MATCH(C89,StageAreaVolume!$A$6:$A$17,1)+1)-INDEX(StageAreaVolume!$B$6:$B$17,MATCH(C89,StageAreaVolume!$A$6:$A$17,1)))))))))</f>
        <v/>
      </c>
      <c r="I89" s="18">
        <f>IF(A89="","",IF(C89="","",IF(C89&lt;=INDEX(StageAreaVolume!$A$6:$A$17,1),INDEX(StageAreaVolume!$D$6:$D$17,1),IF(C89&gt;=INDEX(StageAreaVolume!$A$6:$A$17,COUNTA(StageAreaVolume!$A$6:$A$17)),INDEX(StageAreaVolume!$D$6:$D$17,COUNTA(StageAreaVolume!$A$6:$A$17)),(INDEX(StageAreaVolume!$D$6:$D$17,MATCH(C89,StageAreaVolume!$A$6:$A$17,1))+(C89-INDEX(StageAreaVolume!$A$6:$A$17,MATCH(C89,StageAreaVolume!$A$6:$A$17,1)))/(INDEX(StageAreaVolume!$A$6:$A$17,MATCH(C89,StageAreaVolume!$A$6:$A$17,1)+1)-INDEX(StageAreaVolume!$A$6:$A$17,MATCH(C89,StageAreaVolume!$A$6:$A$17,1)))*(INDEX(StageAreaVolume!$D$6:$D$17,MATCH(C89,StageAreaVolume!$A$6:$A$17,1)+1)-INDEX(StageAreaVolume!$D$6:$D$17,MATCH(C89,StageAreaVolume!$A$6:$A$17,1)))))))))</f>
        <v/>
      </c>
      <c r="J89" s="25">
        <f>IF(A89="","",IF(A88="",NA(),C88))</f>
        <v/>
      </c>
      <c r="K89" s="19">
        <f>IF(OR(A89="",ISNA(J89)),IF(A89="","",H89),(H88+H89)/2)</f>
        <v/>
      </c>
      <c r="L89" s="19">
        <f>IF(OR(A89="",ISNA(J89)),0,IF(AND(B89=0,D89="N",E89="N",C89&lt;J89,C89&gt;0),1,0))</f>
        <v/>
      </c>
      <c r="M89" s="25">
        <f>IF(L89&lt;&gt;1,"",IF(K89&lt;=0,"",(I88-I89-G89/1000*K89)/K89*1000))</f>
        <v/>
      </c>
      <c r="N89" s="18">
        <f>IF(A89="","",IF(L89=1,I88-I89-O89,IF(OR(C89&gt;0,N(J89)&gt;0),MeanMDWIR/1000*K89,0)))</f>
        <v/>
      </c>
      <c r="O89" s="18">
        <f>IF(A89="","",G89/1000*K89)</f>
        <v/>
      </c>
      <c r="P89" s="27">
        <f>IF(A89="","",IF(L89=1,"dry",IF(D89="Y","spill",IF(B89&gt;0,"wet",IF(E89="Y","pumped","other")))))</f>
        <v/>
      </c>
    </row>
    <row r="90">
      <c r="A90" s="26">
        <f>IF(DailyPond!A90="","",DailyPond!A90)</f>
        <v/>
      </c>
      <c r="B90" s="18">
        <f>IF(A90="","",DailyPond!B90)</f>
        <v/>
      </c>
      <c r="C90" s="25">
        <f>IF(A90="","",DailyPond!C90)</f>
        <v/>
      </c>
      <c r="D90" s="27">
        <f>IF(A90="","",DailyPond!D90)</f>
        <v/>
      </c>
      <c r="E90" s="27">
        <f>IF(A90="","",DailyPond!E90)</f>
        <v/>
      </c>
      <c r="F90" s="19">
        <f>IF(A90="","",MONTH(A90))</f>
        <v/>
      </c>
      <c r="G90" s="18">
        <f>IF(A90="","",VLOOKUP(F90,Evaporation!$A$6:$B$17,2,FALSE))</f>
        <v/>
      </c>
      <c r="H90" s="19">
        <f>IF(A90="","",IF(C90="","",IF(C90&lt;=INDEX(StageAreaVolume!$A$6:$A$17,1),INDEX(StageAreaVolume!$B$6:$B$17,1),IF(C90&gt;=INDEX(StageAreaVolume!$A$6:$A$17,COUNTA(StageAreaVolume!$A$6:$A$17)),INDEX(StageAreaVolume!$B$6:$B$17,COUNTA(StageAreaVolume!$A$6:$A$17)),(INDEX(StageAreaVolume!$B$6:$B$17,MATCH(C90,StageAreaVolume!$A$6:$A$17,1))+(C90-INDEX(StageAreaVolume!$A$6:$A$17,MATCH(C90,StageAreaVolume!$A$6:$A$17,1)))/(INDEX(StageAreaVolume!$A$6:$A$17,MATCH(C90,StageAreaVolume!$A$6:$A$17,1)+1)-INDEX(StageAreaVolume!$A$6:$A$17,MATCH(C90,StageAreaVolume!$A$6:$A$17,1)))*(INDEX(StageAreaVolume!$B$6:$B$17,MATCH(C90,StageAreaVolume!$A$6:$A$17,1)+1)-INDEX(StageAreaVolume!$B$6:$B$17,MATCH(C90,StageAreaVolume!$A$6:$A$17,1)))))))))</f>
        <v/>
      </c>
      <c r="I90" s="18">
        <f>IF(A90="","",IF(C90="","",IF(C90&lt;=INDEX(StageAreaVolume!$A$6:$A$17,1),INDEX(StageAreaVolume!$D$6:$D$17,1),IF(C90&gt;=INDEX(StageAreaVolume!$A$6:$A$17,COUNTA(StageAreaVolume!$A$6:$A$17)),INDEX(StageAreaVolume!$D$6:$D$17,COUNTA(StageAreaVolume!$A$6:$A$17)),(INDEX(StageAreaVolume!$D$6:$D$17,MATCH(C90,StageAreaVolume!$A$6:$A$17,1))+(C90-INDEX(StageAreaVolume!$A$6:$A$17,MATCH(C90,StageAreaVolume!$A$6:$A$17,1)))/(INDEX(StageAreaVolume!$A$6:$A$17,MATCH(C90,StageAreaVolume!$A$6:$A$17,1)+1)-INDEX(StageAreaVolume!$A$6:$A$17,MATCH(C90,StageAreaVolume!$A$6:$A$17,1)))*(INDEX(StageAreaVolume!$D$6:$D$17,MATCH(C90,StageAreaVolume!$A$6:$A$17,1)+1)-INDEX(StageAreaVolume!$D$6:$D$17,MATCH(C90,StageAreaVolume!$A$6:$A$17,1)))))))))</f>
        <v/>
      </c>
      <c r="J90" s="25">
        <f>IF(A90="","",IF(A89="",NA(),C89))</f>
        <v/>
      </c>
      <c r="K90" s="19">
        <f>IF(OR(A90="",ISNA(J90)),IF(A90="","",H90),(H89+H90)/2)</f>
        <v/>
      </c>
      <c r="L90" s="19">
        <f>IF(OR(A90="",ISNA(J90)),0,IF(AND(B90=0,D90="N",E90="N",C90&lt;J90,C90&gt;0),1,0))</f>
        <v/>
      </c>
      <c r="M90" s="25">
        <f>IF(L90&lt;&gt;1,"",IF(K90&lt;=0,"",(I89-I90-G90/1000*K90)/K90*1000))</f>
        <v/>
      </c>
      <c r="N90" s="18">
        <f>IF(A90="","",IF(L90=1,I89-I90-O90,IF(OR(C90&gt;0,N(J90)&gt;0),MeanMDWIR/1000*K90,0)))</f>
        <v/>
      </c>
      <c r="O90" s="18">
        <f>IF(A90="","",G90/1000*K90)</f>
        <v/>
      </c>
      <c r="P90" s="27">
        <f>IF(A90="","",IF(L90=1,"dry",IF(D90="Y","spill",IF(B90&gt;0,"wet",IF(E90="Y","pumped","other")))))</f>
        <v/>
      </c>
    </row>
    <row r="91">
      <c r="A91" s="26">
        <f>IF(DailyPond!A91="","",DailyPond!A91)</f>
        <v/>
      </c>
      <c r="B91" s="18">
        <f>IF(A91="","",DailyPond!B91)</f>
        <v/>
      </c>
      <c r="C91" s="25">
        <f>IF(A91="","",DailyPond!C91)</f>
        <v/>
      </c>
      <c r="D91" s="27">
        <f>IF(A91="","",DailyPond!D91)</f>
        <v/>
      </c>
      <c r="E91" s="27">
        <f>IF(A91="","",DailyPond!E91)</f>
        <v/>
      </c>
      <c r="F91" s="19">
        <f>IF(A91="","",MONTH(A91))</f>
        <v/>
      </c>
      <c r="G91" s="18">
        <f>IF(A91="","",VLOOKUP(F91,Evaporation!$A$6:$B$17,2,FALSE))</f>
        <v/>
      </c>
      <c r="H91" s="19">
        <f>IF(A91="","",IF(C91="","",IF(C91&lt;=INDEX(StageAreaVolume!$A$6:$A$17,1),INDEX(StageAreaVolume!$B$6:$B$17,1),IF(C91&gt;=INDEX(StageAreaVolume!$A$6:$A$17,COUNTA(StageAreaVolume!$A$6:$A$17)),INDEX(StageAreaVolume!$B$6:$B$17,COUNTA(StageAreaVolume!$A$6:$A$17)),(INDEX(StageAreaVolume!$B$6:$B$17,MATCH(C91,StageAreaVolume!$A$6:$A$17,1))+(C91-INDEX(StageAreaVolume!$A$6:$A$17,MATCH(C91,StageAreaVolume!$A$6:$A$17,1)))/(INDEX(StageAreaVolume!$A$6:$A$17,MATCH(C91,StageAreaVolume!$A$6:$A$17,1)+1)-INDEX(StageAreaVolume!$A$6:$A$17,MATCH(C91,StageAreaVolume!$A$6:$A$17,1)))*(INDEX(StageAreaVolume!$B$6:$B$17,MATCH(C91,StageAreaVolume!$A$6:$A$17,1)+1)-INDEX(StageAreaVolume!$B$6:$B$17,MATCH(C91,StageAreaVolume!$A$6:$A$17,1)))))))))</f>
        <v/>
      </c>
      <c r="I91" s="18">
        <f>IF(A91="","",IF(C91="","",IF(C91&lt;=INDEX(StageAreaVolume!$A$6:$A$17,1),INDEX(StageAreaVolume!$D$6:$D$17,1),IF(C91&gt;=INDEX(StageAreaVolume!$A$6:$A$17,COUNTA(StageAreaVolume!$A$6:$A$17)),INDEX(StageAreaVolume!$D$6:$D$17,COUNTA(StageAreaVolume!$A$6:$A$17)),(INDEX(StageAreaVolume!$D$6:$D$17,MATCH(C91,StageAreaVolume!$A$6:$A$17,1))+(C91-INDEX(StageAreaVolume!$A$6:$A$17,MATCH(C91,StageAreaVolume!$A$6:$A$17,1)))/(INDEX(StageAreaVolume!$A$6:$A$17,MATCH(C91,StageAreaVolume!$A$6:$A$17,1)+1)-INDEX(StageAreaVolume!$A$6:$A$17,MATCH(C91,StageAreaVolume!$A$6:$A$17,1)))*(INDEX(StageAreaVolume!$D$6:$D$17,MATCH(C91,StageAreaVolume!$A$6:$A$17,1)+1)-INDEX(StageAreaVolume!$D$6:$D$17,MATCH(C91,StageAreaVolume!$A$6:$A$17,1)))))))))</f>
        <v/>
      </c>
      <c r="J91" s="25">
        <f>IF(A91="","",IF(A90="",NA(),C90))</f>
        <v/>
      </c>
      <c r="K91" s="19">
        <f>IF(OR(A91="",ISNA(J91)),IF(A91="","",H91),(H90+H91)/2)</f>
        <v/>
      </c>
      <c r="L91" s="19">
        <f>IF(OR(A91="",ISNA(J91)),0,IF(AND(B91=0,D91="N",E91="N",C91&lt;J91,C91&gt;0),1,0))</f>
        <v/>
      </c>
      <c r="M91" s="25">
        <f>IF(L91&lt;&gt;1,"",IF(K91&lt;=0,"",(I90-I91-G91/1000*K91)/K91*1000))</f>
        <v/>
      </c>
      <c r="N91" s="18">
        <f>IF(A91="","",IF(L91=1,I90-I91-O91,IF(OR(C91&gt;0,N(J91)&gt;0),MeanMDWIR/1000*K91,0)))</f>
        <v/>
      </c>
      <c r="O91" s="18">
        <f>IF(A91="","",G91/1000*K91)</f>
        <v/>
      </c>
      <c r="P91" s="27">
        <f>IF(A91="","",IF(L91=1,"dry",IF(D91="Y","spill",IF(B91&gt;0,"wet",IF(E91="Y","pumped","other")))))</f>
        <v/>
      </c>
    </row>
    <row r="92">
      <c r="A92" s="26">
        <f>IF(DailyPond!A92="","",DailyPond!A92)</f>
        <v/>
      </c>
      <c r="B92" s="18">
        <f>IF(A92="","",DailyPond!B92)</f>
        <v/>
      </c>
      <c r="C92" s="25">
        <f>IF(A92="","",DailyPond!C92)</f>
        <v/>
      </c>
      <c r="D92" s="27">
        <f>IF(A92="","",DailyPond!D92)</f>
        <v/>
      </c>
      <c r="E92" s="27">
        <f>IF(A92="","",DailyPond!E92)</f>
        <v/>
      </c>
      <c r="F92" s="19">
        <f>IF(A92="","",MONTH(A92))</f>
        <v/>
      </c>
      <c r="G92" s="18">
        <f>IF(A92="","",VLOOKUP(F92,Evaporation!$A$6:$B$17,2,FALSE))</f>
        <v/>
      </c>
      <c r="H92" s="19">
        <f>IF(A92="","",IF(C92="","",IF(C92&lt;=INDEX(StageAreaVolume!$A$6:$A$17,1),INDEX(StageAreaVolume!$B$6:$B$17,1),IF(C92&gt;=INDEX(StageAreaVolume!$A$6:$A$17,COUNTA(StageAreaVolume!$A$6:$A$17)),INDEX(StageAreaVolume!$B$6:$B$17,COUNTA(StageAreaVolume!$A$6:$A$17)),(INDEX(StageAreaVolume!$B$6:$B$17,MATCH(C92,StageAreaVolume!$A$6:$A$17,1))+(C92-INDEX(StageAreaVolume!$A$6:$A$17,MATCH(C92,StageAreaVolume!$A$6:$A$17,1)))/(INDEX(StageAreaVolume!$A$6:$A$17,MATCH(C92,StageAreaVolume!$A$6:$A$17,1)+1)-INDEX(StageAreaVolume!$A$6:$A$17,MATCH(C92,StageAreaVolume!$A$6:$A$17,1)))*(INDEX(StageAreaVolume!$B$6:$B$17,MATCH(C92,StageAreaVolume!$A$6:$A$17,1)+1)-INDEX(StageAreaVolume!$B$6:$B$17,MATCH(C92,StageAreaVolume!$A$6:$A$17,1)))))))))</f>
        <v/>
      </c>
      <c r="I92" s="18">
        <f>IF(A92="","",IF(C92="","",IF(C92&lt;=INDEX(StageAreaVolume!$A$6:$A$17,1),INDEX(StageAreaVolume!$D$6:$D$17,1),IF(C92&gt;=INDEX(StageAreaVolume!$A$6:$A$17,COUNTA(StageAreaVolume!$A$6:$A$17)),INDEX(StageAreaVolume!$D$6:$D$17,COUNTA(StageAreaVolume!$A$6:$A$17)),(INDEX(StageAreaVolume!$D$6:$D$17,MATCH(C92,StageAreaVolume!$A$6:$A$17,1))+(C92-INDEX(StageAreaVolume!$A$6:$A$17,MATCH(C92,StageAreaVolume!$A$6:$A$17,1)))/(INDEX(StageAreaVolume!$A$6:$A$17,MATCH(C92,StageAreaVolume!$A$6:$A$17,1)+1)-INDEX(StageAreaVolume!$A$6:$A$17,MATCH(C92,StageAreaVolume!$A$6:$A$17,1)))*(INDEX(StageAreaVolume!$D$6:$D$17,MATCH(C92,StageAreaVolume!$A$6:$A$17,1)+1)-INDEX(StageAreaVolume!$D$6:$D$17,MATCH(C92,StageAreaVolume!$A$6:$A$17,1)))))))))</f>
        <v/>
      </c>
      <c r="J92" s="25">
        <f>IF(A92="","",IF(A91="",NA(),C91))</f>
        <v/>
      </c>
      <c r="K92" s="19">
        <f>IF(OR(A92="",ISNA(J92)),IF(A92="","",H92),(H91+H92)/2)</f>
        <v/>
      </c>
      <c r="L92" s="19">
        <f>IF(OR(A92="",ISNA(J92)),0,IF(AND(B92=0,D92="N",E92="N",C92&lt;J92,C92&gt;0),1,0))</f>
        <v/>
      </c>
      <c r="M92" s="25">
        <f>IF(L92&lt;&gt;1,"",IF(K92&lt;=0,"",(I91-I92-G92/1000*K92)/K92*1000))</f>
        <v/>
      </c>
      <c r="N92" s="18">
        <f>IF(A92="","",IF(L92=1,I91-I92-O92,IF(OR(C92&gt;0,N(J92)&gt;0),MeanMDWIR/1000*K92,0)))</f>
        <v/>
      </c>
      <c r="O92" s="18">
        <f>IF(A92="","",G92/1000*K92)</f>
        <v/>
      </c>
      <c r="P92" s="27">
        <f>IF(A92="","",IF(L92=1,"dry",IF(D92="Y","spill",IF(B92&gt;0,"wet",IF(E92="Y","pumped","other")))))</f>
        <v/>
      </c>
    </row>
    <row r="93">
      <c r="A93" s="26">
        <f>IF(DailyPond!A93="","",DailyPond!A93)</f>
        <v/>
      </c>
      <c r="B93" s="18">
        <f>IF(A93="","",DailyPond!B93)</f>
        <v/>
      </c>
      <c r="C93" s="25">
        <f>IF(A93="","",DailyPond!C93)</f>
        <v/>
      </c>
      <c r="D93" s="27">
        <f>IF(A93="","",DailyPond!D93)</f>
        <v/>
      </c>
      <c r="E93" s="27">
        <f>IF(A93="","",DailyPond!E93)</f>
        <v/>
      </c>
      <c r="F93" s="19">
        <f>IF(A93="","",MONTH(A93))</f>
        <v/>
      </c>
      <c r="G93" s="18">
        <f>IF(A93="","",VLOOKUP(F93,Evaporation!$A$6:$B$17,2,FALSE))</f>
        <v/>
      </c>
      <c r="H93" s="19">
        <f>IF(A93="","",IF(C93="","",IF(C93&lt;=INDEX(StageAreaVolume!$A$6:$A$17,1),INDEX(StageAreaVolume!$B$6:$B$17,1),IF(C93&gt;=INDEX(StageAreaVolume!$A$6:$A$17,COUNTA(StageAreaVolume!$A$6:$A$17)),INDEX(StageAreaVolume!$B$6:$B$17,COUNTA(StageAreaVolume!$A$6:$A$17)),(INDEX(StageAreaVolume!$B$6:$B$17,MATCH(C93,StageAreaVolume!$A$6:$A$17,1))+(C93-INDEX(StageAreaVolume!$A$6:$A$17,MATCH(C93,StageAreaVolume!$A$6:$A$17,1)))/(INDEX(StageAreaVolume!$A$6:$A$17,MATCH(C93,StageAreaVolume!$A$6:$A$17,1)+1)-INDEX(StageAreaVolume!$A$6:$A$17,MATCH(C93,StageAreaVolume!$A$6:$A$17,1)))*(INDEX(StageAreaVolume!$B$6:$B$17,MATCH(C93,StageAreaVolume!$A$6:$A$17,1)+1)-INDEX(StageAreaVolume!$B$6:$B$17,MATCH(C93,StageAreaVolume!$A$6:$A$17,1)))))))))</f>
        <v/>
      </c>
      <c r="I93" s="18">
        <f>IF(A93="","",IF(C93="","",IF(C93&lt;=INDEX(StageAreaVolume!$A$6:$A$17,1),INDEX(StageAreaVolume!$D$6:$D$17,1),IF(C93&gt;=INDEX(StageAreaVolume!$A$6:$A$17,COUNTA(StageAreaVolume!$A$6:$A$17)),INDEX(StageAreaVolume!$D$6:$D$17,COUNTA(StageAreaVolume!$A$6:$A$17)),(INDEX(StageAreaVolume!$D$6:$D$17,MATCH(C93,StageAreaVolume!$A$6:$A$17,1))+(C93-INDEX(StageAreaVolume!$A$6:$A$17,MATCH(C93,StageAreaVolume!$A$6:$A$17,1)))/(INDEX(StageAreaVolume!$A$6:$A$17,MATCH(C93,StageAreaVolume!$A$6:$A$17,1)+1)-INDEX(StageAreaVolume!$A$6:$A$17,MATCH(C93,StageAreaVolume!$A$6:$A$17,1)))*(INDEX(StageAreaVolume!$D$6:$D$17,MATCH(C93,StageAreaVolume!$A$6:$A$17,1)+1)-INDEX(StageAreaVolume!$D$6:$D$17,MATCH(C93,StageAreaVolume!$A$6:$A$17,1)))))))))</f>
        <v/>
      </c>
      <c r="J93" s="25">
        <f>IF(A93="","",IF(A92="",NA(),C92))</f>
        <v/>
      </c>
      <c r="K93" s="19">
        <f>IF(OR(A93="",ISNA(J93)),IF(A93="","",H93),(H92+H93)/2)</f>
        <v/>
      </c>
      <c r="L93" s="19">
        <f>IF(OR(A93="",ISNA(J93)),0,IF(AND(B93=0,D93="N",E93="N",C93&lt;J93,C93&gt;0),1,0))</f>
        <v/>
      </c>
      <c r="M93" s="25">
        <f>IF(L93&lt;&gt;1,"",IF(K93&lt;=0,"",(I92-I93-G93/1000*K93)/K93*1000))</f>
        <v/>
      </c>
      <c r="N93" s="18">
        <f>IF(A93="","",IF(L93=1,I92-I93-O93,IF(OR(C93&gt;0,N(J93)&gt;0),MeanMDWIR/1000*K93,0)))</f>
        <v/>
      </c>
      <c r="O93" s="18">
        <f>IF(A93="","",G93/1000*K93)</f>
        <v/>
      </c>
      <c r="P93" s="27">
        <f>IF(A93="","",IF(L93=1,"dry",IF(D93="Y","spill",IF(B93&gt;0,"wet",IF(E93="Y","pumped","other")))))</f>
        <v/>
      </c>
    </row>
    <row r="94">
      <c r="A94" s="26">
        <f>IF(DailyPond!A94="","",DailyPond!A94)</f>
        <v/>
      </c>
      <c r="B94" s="18">
        <f>IF(A94="","",DailyPond!B94)</f>
        <v/>
      </c>
      <c r="C94" s="25">
        <f>IF(A94="","",DailyPond!C94)</f>
        <v/>
      </c>
      <c r="D94" s="27">
        <f>IF(A94="","",DailyPond!D94)</f>
        <v/>
      </c>
      <c r="E94" s="27">
        <f>IF(A94="","",DailyPond!E94)</f>
        <v/>
      </c>
      <c r="F94" s="19">
        <f>IF(A94="","",MONTH(A94))</f>
        <v/>
      </c>
      <c r="G94" s="18">
        <f>IF(A94="","",VLOOKUP(F94,Evaporation!$A$6:$B$17,2,FALSE))</f>
        <v/>
      </c>
      <c r="H94" s="19">
        <f>IF(A94="","",IF(C94="","",IF(C94&lt;=INDEX(StageAreaVolume!$A$6:$A$17,1),INDEX(StageAreaVolume!$B$6:$B$17,1),IF(C94&gt;=INDEX(StageAreaVolume!$A$6:$A$17,COUNTA(StageAreaVolume!$A$6:$A$17)),INDEX(StageAreaVolume!$B$6:$B$17,COUNTA(StageAreaVolume!$A$6:$A$17)),(INDEX(StageAreaVolume!$B$6:$B$17,MATCH(C94,StageAreaVolume!$A$6:$A$17,1))+(C94-INDEX(StageAreaVolume!$A$6:$A$17,MATCH(C94,StageAreaVolume!$A$6:$A$17,1)))/(INDEX(StageAreaVolume!$A$6:$A$17,MATCH(C94,StageAreaVolume!$A$6:$A$17,1)+1)-INDEX(StageAreaVolume!$A$6:$A$17,MATCH(C94,StageAreaVolume!$A$6:$A$17,1)))*(INDEX(StageAreaVolume!$B$6:$B$17,MATCH(C94,StageAreaVolume!$A$6:$A$17,1)+1)-INDEX(StageAreaVolume!$B$6:$B$17,MATCH(C94,StageAreaVolume!$A$6:$A$17,1)))))))))</f>
        <v/>
      </c>
      <c r="I94" s="18">
        <f>IF(A94="","",IF(C94="","",IF(C94&lt;=INDEX(StageAreaVolume!$A$6:$A$17,1),INDEX(StageAreaVolume!$D$6:$D$17,1),IF(C94&gt;=INDEX(StageAreaVolume!$A$6:$A$17,COUNTA(StageAreaVolume!$A$6:$A$17)),INDEX(StageAreaVolume!$D$6:$D$17,COUNTA(StageAreaVolume!$A$6:$A$17)),(INDEX(StageAreaVolume!$D$6:$D$17,MATCH(C94,StageAreaVolume!$A$6:$A$17,1))+(C94-INDEX(StageAreaVolume!$A$6:$A$17,MATCH(C94,StageAreaVolume!$A$6:$A$17,1)))/(INDEX(StageAreaVolume!$A$6:$A$17,MATCH(C94,StageAreaVolume!$A$6:$A$17,1)+1)-INDEX(StageAreaVolume!$A$6:$A$17,MATCH(C94,StageAreaVolume!$A$6:$A$17,1)))*(INDEX(StageAreaVolume!$D$6:$D$17,MATCH(C94,StageAreaVolume!$A$6:$A$17,1)+1)-INDEX(StageAreaVolume!$D$6:$D$17,MATCH(C94,StageAreaVolume!$A$6:$A$17,1)))))))))</f>
        <v/>
      </c>
      <c r="J94" s="25">
        <f>IF(A94="","",IF(A93="",NA(),C93))</f>
        <v/>
      </c>
      <c r="K94" s="19">
        <f>IF(OR(A94="",ISNA(J94)),IF(A94="","",H94),(H93+H94)/2)</f>
        <v/>
      </c>
      <c r="L94" s="19">
        <f>IF(OR(A94="",ISNA(J94)),0,IF(AND(B94=0,D94="N",E94="N",C94&lt;J94,C94&gt;0),1,0))</f>
        <v/>
      </c>
      <c r="M94" s="25">
        <f>IF(L94&lt;&gt;1,"",IF(K94&lt;=0,"",(I93-I94-G94/1000*K94)/K94*1000))</f>
        <v/>
      </c>
      <c r="N94" s="18">
        <f>IF(A94="","",IF(L94=1,I93-I94-O94,IF(OR(C94&gt;0,N(J94)&gt;0),MeanMDWIR/1000*K94,0)))</f>
        <v/>
      </c>
      <c r="O94" s="18">
        <f>IF(A94="","",G94/1000*K94)</f>
        <v/>
      </c>
      <c r="P94" s="27">
        <f>IF(A94="","",IF(L94=1,"dry",IF(D94="Y","spill",IF(B94&gt;0,"wet",IF(E94="Y","pumped","other")))))</f>
        <v/>
      </c>
    </row>
    <row r="95">
      <c r="A95" s="26">
        <f>IF(DailyPond!A95="","",DailyPond!A95)</f>
        <v/>
      </c>
      <c r="B95" s="18">
        <f>IF(A95="","",DailyPond!B95)</f>
        <v/>
      </c>
      <c r="C95" s="25">
        <f>IF(A95="","",DailyPond!C95)</f>
        <v/>
      </c>
      <c r="D95" s="27">
        <f>IF(A95="","",DailyPond!D95)</f>
        <v/>
      </c>
      <c r="E95" s="27">
        <f>IF(A95="","",DailyPond!E95)</f>
        <v/>
      </c>
      <c r="F95" s="19">
        <f>IF(A95="","",MONTH(A95))</f>
        <v/>
      </c>
      <c r="G95" s="18">
        <f>IF(A95="","",VLOOKUP(F95,Evaporation!$A$6:$B$17,2,FALSE))</f>
        <v/>
      </c>
      <c r="H95" s="19">
        <f>IF(A95="","",IF(C95="","",IF(C95&lt;=INDEX(StageAreaVolume!$A$6:$A$17,1),INDEX(StageAreaVolume!$B$6:$B$17,1),IF(C95&gt;=INDEX(StageAreaVolume!$A$6:$A$17,COUNTA(StageAreaVolume!$A$6:$A$17)),INDEX(StageAreaVolume!$B$6:$B$17,COUNTA(StageAreaVolume!$A$6:$A$17)),(INDEX(StageAreaVolume!$B$6:$B$17,MATCH(C95,StageAreaVolume!$A$6:$A$17,1))+(C95-INDEX(StageAreaVolume!$A$6:$A$17,MATCH(C95,StageAreaVolume!$A$6:$A$17,1)))/(INDEX(StageAreaVolume!$A$6:$A$17,MATCH(C95,StageAreaVolume!$A$6:$A$17,1)+1)-INDEX(StageAreaVolume!$A$6:$A$17,MATCH(C95,StageAreaVolume!$A$6:$A$17,1)))*(INDEX(StageAreaVolume!$B$6:$B$17,MATCH(C95,StageAreaVolume!$A$6:$A$17,1)+1)-INDEX(StageAreaVolume!$B$6:$B$17,MATCH(C95,StageAreaVolume!$A$6:$A$17,1)))))))))</f>
        <v/>
      </c>
      <c r="I95" s="18">
        <f>IF(A95="","",IF(C95="","",IF(C95&lt;=INDEX(StageAreaVolume!$A$6:$A$17,1),INDEX(StageAreaVolume!$D$6:$D$17,1),IF(C95&gt;=INDEX(StageAreaVolume!$A$6:$A$17,COUNTA(StageAreaVolume!$A$6:$A$17)),INDEX(StageAreaVolume!$D$6:$D$17,COUNTA(StageAreaVolume!$A$6:$A$17)),(INDEX(StageAreaVolume!$D$6:$D$17,MATCH(C95,StageAreaVolume!$A$6:$A$17,1))+(C95-INDEX(StageAreaVolume!$A$6:$A$17,MATCH(C95,StageAreaVolume!$A$6:$A$17,1)))/(INDEX(StageAreaVolume!$A$6:$A$17,MATCH(C95,StageAreaVolume!$A$6:$A$17,1)+1)-INDEX(StageAreaVolume!$A$6:$A$17,MATCH(C95,StageAreaVolume!$A$6:$A$17,1)))*(INDEX(StageAreaVolume!$D$6:$D$17,MATCH(C95,StageAreaVolume!$A$6:$A$17,1)+1)-INDEX(StageAreaVolume!$D$6:$D$17,MATCH(C95,StageAreaVolume!$A$6:$A$17,1)))))))))</f>
        <v/>
      </c>
      <c r="J95" s="25">
        <f>IF(A95="","",IF(A94="",NA(),C94))</f>
        <v/>
      </c>
      <c r="K95" s="19">
        <f>IF(OR(A95="",ISNA(J95)),IF(A95="","",H95),(H94+H95)/2)</f>
        <v/>
      </c>
      <c r="L95" s="19">
        <f>IF(OR(A95="",ISNA(J95)),0,IF(AND(B95=0,D95="N",E95="N",C95&lt;J95,C95&gt;0),1,0))</f>
        <v/>
      </c>
      <c r="M95" s="25">
        <f>IF(L95&lt;&gt;1,"",IF(K95&lt;=0,"",(I94-I95-G95/1000*K95)/K95*1000))</f>
        <v/>
      </c>
      <c r="N95" s="18">
        <f>IF(A95="","",IF(L95=1,I94-I95-O95,IF(OR(C95&gt;0,N(J95)&gt;0),MeanMDWIR/1000*K95,0)))</f>
        <v/>
      </c>
      <c r="O95" s="18">
        <f>IF(A95="","",G95/1000*K95)</f>
        <v/>
      </c>
      <c r="P95" s="27">
        <f>IF(A95="","",IF(L95=1,"dry",IF(D95="Y","spill",IF(B95&gt;0,"wet",IF(E95="Y","pumped","other")))))</f>
        <v/>
      </c>
    </row>
    <row r="96">
      <c r="A96" s="26">
        <f>IF(DailyPond!A96="","",DailyPond!A96)</f>
        <v/>
      </c>
      <c r="B96" s="18">
        <f>IF(A96="","",DailyPond!B96)</f>
        <v/>
      </c>
      <c r="C96" s="25">
        <f>IF(A96="","",DailyPond!C96)</f>
        <v/>
      </c>
      <c r="D96" s="27">
        <f>IF(A96="","",DailyPond!D96)</f>
        <v/>
      </c>
      <c r="E96" s="27">
        <f>IF(A96="","",DailyPond!E96)</f>
        <v/>
      </c>
      <c r="F96" s="19">
        <f>IF(A96="","",MONTH(A96))</f>
        <v/>
      </c>
      <c r="G96" s="18">
        <f>IF(A96="","",VLOOKUP(F96,Evaporation!$A$6:$B$17,2,FALSE))</f>
        <v/>
      </c>
      <c r="H96" s="19">
        <f>IF(A96="","",IF(C96="","",IF(C96&lt;=INDEX(StageAreaVolume!$A$6:$A$17,1),INDEX(StageAreaVolume!$B$6:$B$17,1),IF(C96&gt;=INDEX(StageAreaVolume!$A$6:$A$17,COUNTA(StageAreaVolume!$A$6:$A$17)),INDEX(StageAreaVolume!$B$6:$B$17,COUNTA(StageAreaVolume!$A$6:$A$17)),(INDEX(StageAreaVolume!$B$6:$B$17,MATCH(C96,StageAreaVolume!$A$6:$A$17,1))+(C96-INDEX(StageAreaVolume!$A$6:$A$17,MATCH(C96,StageAreaVolume!$A$6:$A$17,1)))/(INDEX(StageAreaVolume!$A$6:$A$17,MATCH(C96,StageAreaVolume!$A$6:$A$17,1)+1)-INDEX(StageAreaVolume!$A$6:$A$17,MATCH(C96,StageAreaVolume!$A$6:$A$17,1)))*(INDEX(StageAreaVolume!$B$6:$B$17,MATCH(C96,StageAreaVolume!$A$6:$A$17,1)+1)-INDEX(StageAreaVolume!$B$6:$B$17,MATCH(C96,StageAreaVolume!$A$6:$A$17,1)))))))))</f>
        <v/>
      </c>
      <c r="I96" s="18">
        <f>IF(A96="","",IF(C96="","",IF(C96&lt;=INDEX(StageAreaVolume!$A$6:$A$17,1),INDEX(StageAreaVolume!$D$6:$D$17,1),IF(C96&gt;=INDEX(StageAreaVolume!$A$6:$A$17,COUNTA(StageAreaVolume!$A$6:$A$17)),INDEX(StageAreaVolume!$D$6:$D$17,COUNTA(StageAreaVolume!$A$6:$A$17)),(INDEX(StageAreaVolume!$D$6:$D$17,MATCH(C96,StageAreaVolume!$A$6:$A$17,1))+(C96-INDEX(StageAreaVolume!$A$6:$A$17,MATCH(C96,StageAreaVolume!$A$6:$A$17,1)))/(INDEX(StageAreaVolume!$A$6:$A$17,MATCH(C96,StageAreaVolume!$A$6:$A$17,1)+1)-INDEX(StageAreaVolume!$A$6:$A$17,MATCH(C96,StageAreaVolume!$A$6:$A$17,1)))*(INDEX(StageAreaVolume!$D$6:$D$17,MATCH(C96,StageAreaVolume!$A$6:$A$17,1)+1)-INDEX(StageAreaVolume!$D$6:$D$17,MATCH(C96,StageAreaVolume!$A$6:$A$17,1)))))))))</f>
        <v/>
      </c>
      <c r="J96" s="25">
        <f>IF(A96="","",IF(A95="",NA(),C95))</f>
        <v/>
      </c>
      <c r="K96" s="19">
        <f>IF(OR(A96="",ISNA(J96)),IF(A96="","",H96),(H95+H96)/2)</f>
        <v/>
      </c>
      <c r="L96" s="19">
        <f>IF(OR(A96="",ISNA(J96)),0,IF(AND(B96=0,D96="N",E96="N",C96&lt;J96,C96&gt;0),1,0))</f>
        <v/>
      </c>
      <c r="M96" s="25">
        <f>IF(L96&lt;&gt;1,"",IF(K96&lt;=0,"",(I95-I96-G96/1000*K96)/K96*1000))</f>
        <v/>
      </c>
      <c r="N96" s="18">
        <f>IF(A96="","",IF(L96=1,I95-I96-O96,IF(OR(C96&gt;0,N(J96)&gt;0),MeanMDWIR/1000*K96,0)))</f>
        <v/>
      </c>
      <c r="O96" s="18">
        <f>IF(A96="","",G96/1000*K96)</f>
        <v/>
      </c>
      <c r="P96" s="27">
        <f>IF(A96="","",IF(L96=1,"dry",IF(D96="Y","spill",IF(B96&gt;0,"wet",IF(E96="Y","pumped","other")))))</f>
        <v/>
      </c>
    </row>
    <row r="97">
      <c r="A97" s="26">
        <f>IF(DailyPond!A97="","",DailyPond!A97)</f>
        <v/>
      </c>
      <c r="B97" s="18">
        <f>IF(A97="","",DailyPond!B97)</f>
        <v/>
      </c>
      <c r="C97" s="25">
        <f>IF(A97="","",DailyPond!C97)</f>
        <v/>
      </c>
      <c r="D97" s="27">
        <f>IF(A97="","",DailyPond!D97)</f>
        <v/>
      </c>
      <c r="E97" s="27">
        <f>IF(A97="","",DailyPond!E97)</f>
        <v/>
      </c>
      <c r="F97" s="19">
        <f>IF(A97="","",MONTH(A97))</f>
        <v/>
      </c>
      <c r="G97" s="18">
        <f>IF(A97="","",VLOOKUP(F97,Evaporation!$A$6:$B$17,2,FALSE))</f>
        <v/>
      </c>
      <c r="H97" s="19">
        <f>IF(A97="","",IF(C97="","",IF(C97&lt;=INDEX(StageAreaVolume!$A$6:$A$17,1),INDEX(StageAreaVolume!$B$6:$B$17,1),IF(C97&gt;=INDEX(StageAreaVolume!$A$6:$A$17,COUNTA(StageAreaVolume!$A$6:$A$17)),INDEX(StageAreaVolume!$B$6:$B$17,COUNTA(StageAreaVolume!$A$6:$A$17)),(INDEX(StageAreaVolume!$B$6:$B$17,MATCH(C97,StageAreaVolume!$A$6:$A$17,1))+(C97-INDEX(StageAreaVolume!$A$6:$A$17,MATCH(C97,StageAreaVolume!$A$6:$A$17,1)))/(INDEX(StageAreaVolume!$A$6:$A$17,MATCH(C97,StageAreaVolume!$A$6:$A$17,1)+1)-INDEX(StageAreaVolume!$A$6:$A$17,MATCH(C97,StageAreaVolume!$A$6:$A$17,1)))*(INDEX(StageAreaVolume!$B$6:$B$17,MATCH(C97,StageAreaVolume!$A$6:$A$17,1)+1)-INDEX(StageAreaVolume!$B$6:$B$17,MATCH(C97,StageAreaVolume!$A$6:$A$17,1)))))))))</f>
        <v/>
      </c>
      <c r="I97" s="18">
        <f>IF(A97="","",IF(C97="","",IF(C97&lt;=INDEX(StageAreaVolume!$A$6:$A$17,1),INDEX(StageAreaVolume!$D$6:$D$17,1),IF(C97&gt;=INDEX(StageAreaVolume!$A$6:$A$17,COUNTA(StageAreaVolume!$A$6:$A$17)),INDEX(StageAreaVolume!$D$6:$D$17,COUNTA(StageAreaVolume!$A$6:$A$17)),(INDEX(StageAreaVolume!$D$6:$D$17,MATCH(C97,StageAreaVolume!$A$6:$A$17,1))+(C97-INDEX(StageAreaVolume!$A$6:$A$17,MATCH(C97,StageAreaVolume!$A$6:$A$17,1)))/(INDEX(StageAreaVolume!$A$6:$A$17,MATCH(C97,StageAreaVolume!$A$6:$A$17,1)+1)-INDEX(StageAreaVolume!$A$6:$A$17,MATCH(C97,StageAreaVolume!$A$6:$A$17,1)))*(INDEX(StageAreaVolume!$D$6:$D$17,MATCH(C97,StageAreaVolume!$A$6:$A$17,1)+1)-INDEX(StageAreaVolume!$D$6:$D$17,MATCH(C97,StageAreaVolume!$A$6:$A$17,1)))))))))</f>
        <v/>
      </c>
      <c r="J97" s="25">
        <f>IF(A97="","",IF(A96="",NA(),C96))</f>
        <v/>
      </c>
      <c r="K97" s="19">
        <f>IF(OR(A97="",ISNA(J97)),IF(A97="","",H97),(H96+H97)/2)</f>
        <v/>
      </c>
      <c r="L97" s="19">
        <f>IF(OR(A97="",ISNA(J97)),0,IF(AND(B97=0,D97="N",E97="N",C97&lt;J97,C97&gt;0),1,0))</f>
        <v/>
      </c>
      <c r="M97" s="25">
        <f>IF(L97&lt;&gt;1,"",IF(K97&lt;=0,"",(I96-I97-G97/1000*K97)/K97*1000))</f>
        <v/>
      </c>
      <c r="N97" s="18">
        <f>IF(A97="","",IF(L97=1,I96-I97-O97,IF(OR(C97&gt;0,N(J97)&gt;0),MeanMDWIR/1000*K97,0)))</f>
        <v/>
      </c>
      <c r="O97" s="18">
        <f>IF(A97="","",G97/1000*K97)</f>
        <v/>
      </c>
      <c r="P97" s="27">
        <f>IF(A97="","",IF(L97=1,"dry",IF(D97="Y","spill",IF(B97&gt;0,"wet",IF(E97="Y","pumped","other")))))</f>
        <v/>
      </c>
    </row>
    <row r="98">
      <c r="A98" s="26">
        <f>IF(DailyPond!A98="","",DailyPond!A98)</f>
        <v/>
      </c>
      <c r="B98" s="18">
        <f>IF(A98="","",DailyPond!B98)</f>
        <v/>
      </c>
      <c r="C98" s="25">
        <f>IF(A98="","",DailyPond!C98)</f>
        <v/>
      </c>
      <c r="D98" s="27">
        <f>IF(A98="","",DailyPond!D98)</f>
        <v/>
      </c>
      <c r="E98" s="27">
        <f>IF(A98="","",DailyPond!E98)</f>
        <v/>
      </c>
      <c r="F98" s="19">
        <f>IF(A98="","",MONTH(A98))</f>
        <v/>
      </c>
      <c r="G98" s="18">
        <f>IF(A98="","",VLOOKUP(F98,Evaporation!$A$6:$B$17,2,FALSE))</f>
        <v/>
      </c>
      <c r="H98" s="19">
        <f>IF(A98="","",IF(C98="","",IF(C98&lt;=INDEX(StageAreaVolume!$A$6:$A$17,1),INDEX(StageAreaVolume!$B$6:$B$17,1),IF(C98&gt;=INDEX(StageAreaVolume!$A$6:$A$17,COUNTA(StageAreaVolume!$A$6:$A$17)),INDEX(StageAreaVolume!$B$6:$B$17,COUNTA(StageAreaVolume!$A$6:$A$17)),(INDEX(StageAreaVolume!$B$6:$B$17,MATCH(C98,StageAreaVolume!$A$6:$A$17,1))+(C98-INDEX(StageAreaVolume!$A$6:$A$17,MATCH(C98,StageAreaVolume!$A$6:$A$17,1)))/(INDEX(StageAreaVolume!$A$6:$A$17,MATCH(C98,StageAreaVolume!$A$6:$A$17,1)+1)-INDEX(StageAreaVolume!$A$6:$A$17,MATCH(C98,StageAreaVolume!$A$6:$A$17,1)))*(INDEX(StageAreaVolume!$B$6:$B$17,MATCH(C98,StageAreaVolume!$A$6:$A$17,1)+1)-INDEX(StageAreaVolume!$B$6:$B$17,MATCH(C98,StageAreaVolume!$A$6:$A$17,1)))))))))</f>
        <v/>
      </c>
      <c r="I98" s="18">
        <f>IF(A98="","",IF(C98="","",IF(C98&lt;=INDEX(StageAreaVolume!$A$6:$A$17,1),INDEX(StageAreaVolume!$D$6:$D$17,1),IF(C98&gt;=INDEX(StageAreaVolume!$A$6:$A$17,COUNTA(StageAreaVolume!$A$6:$A$17)),INDEX(StageAreaVolume!$D$6:$D$17,COUNTA(StageAreaVolume!$A$6:$A$17)),(INDEX(StageAreaVolume!$D$6:$D$17,MATCH(C98,StageAreaVolume!$A$6:$A$17,1))+(C98-INDEX(StageAreaVolume!$A$6:$A$17,MATCH(C98,StageAreaVolume!$A$6:$A$17,1)))/(INDEX(StageAreaVolume!$A$6:$A$17,MATCH(C98,StageAreaVolume!$A$6:$A$17,1)+1)-INDEX(StageAreaVolume!$A$6:$A$17,MATCH(C98,StageAreaVolume!$A$6:$A$17,1)))*(INDEX(StageAreaVolume!$D$6:$D$17,MATCH(C98,StageAreaVolume!$A$6:$A$17,1)+1)-INDEX(StageAreaVolume!$D$6:$D$17,MATCH(C98,StageAreaVolume!$A$6:$A$17,1)))))))))</f>
        <v/>
      </c>
      <c r="J98" s="25">
        <f>IF(A98="","",IF(A97="",NA(),C97))</f>
        <v/>
      </c>
      <c r="K98" s="19">
        <f>IF(OR(A98="",ISNA(J98)),IF(A98="","",H98),(H97+H98)/2)</f>
        <v/>
      </c>
      <c r="L98" s="19">
        <f>IF(OR(A98="",ISNA(J98)),0,IF(AND(B98=0,D98="N",E98="N",C98&lt;J98,C98&gt;0),1,0))</f>
        <v/>
      </c>
      <c r="M98" s="25">
        <f>IF(L98&lt;&gt;1,"",IF(K98&lt;=0,"",(I97-I98-G98/1000*K98)/K98*1000))</f>
        <v/>
      </c>
      <c r="N98" s="18">
        <f>IF(A98="","",IF(L98=1,I97-I98-O98,IF(OR(C98&gt;0,N(J98)&gt;0),MeanMDWIR/1000*K98,0)))</f>
        <v/>
      </c>
      <c r="O98" s="18">
        <f>IF(A98="","",G98/1000*K98)</f>
        <v/>
      </c>
      <c r="P98" s="27">
        <f>IF(A98="","",IF(L98=1,"dry",IF(D98="Y","spill",IF(B98&gt;0,"wet",IF(E98="Y","pumped","other")))))</f>
        <v/>
      </c>
    </row>
    <row r="99">
      <c r="A99" s="26">
        <f>IF(DailyPond!A99="","",DailyPond!A99)</f>
        <v/>
      </c>
      <c r="B99" s="18">
        <f>IF(A99="","",DailyPond!B99)</f>
        <v/>
      </c>
      <c r="C99" s="25">
        <f>IF(A99="","",DailyPond!C99)</f>
        <v/>
      </c>
      <c r="D99" s="27">
        <f>IF(A99="","",DailyPond!D99)</f>
        <v/>
      </c>
      <c r="E99" s="27">
        <f>IF(A99="","",DailyPond!E99)</f>
        <v/>
      </c>
      <c r="F99" s="19">
        <f>IF(A99="","",MONTH(A99))</f>
        <v/>
      </c>
      <c r="G99" s="18">
        <f>IF(A99="","",VLOOKUP(F99,Evaporation!$A$6:$B$17,2,FALSE))</f>
        <v/>
      </c>
      <c r="H99" s="19">
        <f>IF(A99="","",IF(C99="","",IF(C99&lt;=INDEX(StageAreaVolume!$A$6:$A$17,1),INDEX(StageAreaVolume!$B$6:$B$17,1),IF(C99&gt;=INDEX(StageAreaVolume!$A$6:$A$17,COUNTA(StageAreaVolume!$A$6:$A$17)),INDEX(StageAreaVolume!$B$6:$B$17,COUNTA(StageAreaVolume!$A$6:$A$17)),(INDEX(StageAreaVolume!$B$6:$B$17,MATCH(C99,StageAreaVolume!$A$6:$A$17,1))+(C99-INDEX(StageAreaVolume!$A$6:$A$17,MATCH(C99,StageAreaVolume!$A$6:$A$17,1)))/(INDEX(StageAreaVolume!$A$6:$A$17,MATCH(C99,StageAreaVolume!$A$6:$A$17,1)+1)-INDEX(StageAreaVolume!$A$6:$A$17,MATCH(C99,StageAreaVolume!$A$6:$A$17,1)))*(INDEX(StageAreaVolume!$B$6:$B$17,MATCH(C99,StageAreaVolume!$A$6:$A$17,1)+1)-INDEX(StageAreaVolume!$B$6:$B$17,MATCH(C99,StageAreaVolume!$A$6:$A$17,1)))))))))</f>
        <v/>
      </c>
      <c r="I99" s="18">
        <f>IF(A99="","",IF(C99="","",IF(C99&lt;=INDEX(StageAreaVolume!$A$6:$A$17,1),INDEX(StageAreaVolume!$D$6:$D$17,1),IF(C99&gt;=INDEX(StageAreaVolume!$A$6:$A$17,COUNTA(StageAreaVolume!$A$6:$A$17)),INDEX(StageAreaVolume!$D$6:$D$17,COUNTA(StageAreaVolume!$A$6:$A$17)),(INDEX(StageAreaVolume!$D$6:$D$17,MATCH(C99,StageAreaVolume!$A$6:$A$17,1))+(C99-INDEX(StageAreaVolume!$A$6:$A$17,MATCH(C99,StageAreaVolume!$A$6:$A$17,1)))/(INDEX(StageAreaVolume!$A$6:$A$17,MATCH(C99,StageAreaVolume!$A$6:$A$17,1)+1)-INDEX(StageAreaVolume!$A$6:$A$17,MATCH(C99,StageAreaVolume!$A$6:$A$17,1)))*(INDEX(StageAreaVolume!$D$6:$D$17,MATCH(C99,StageAreaVolume!$A$6:$A$17,1)+1)-INDEX(StageAreaVolume!$D$6:$D$17,MATCH(C99,StageAreaVolume!$A$6:$A$17,1)))))))))</f>
        <v/>
      </c>
      <c r="J99" s="25">
        <f>IF(A99="","",IF(A98="",NA(),C98))</f>
        <v/>
      </c>
      <c r="K99" s="19">
        <f>IF(OR(A99="",ISNA(J99)),IF(A99="","",H99),(H98+H99)/2)</f>
        <v/>
      </c>
      <c r="L99" s="19">
        <f>IF(OR(A99="",ISNA(J99)),0,IF(AND(B99=0,D99="N",E99="N",C99&lt;J99,C99&gt;0),1,0))</f>
        <v/>
      </c>
      <c r="M99" s="25">
        <f>IF(L99&lt;&gt;1,"",IF(K99&lt;=0,"",(I98-I99-G99/1000*K99)/K99*1000))</f>
        <v/>
      </c>
      <c r="N99" s="18">
        <f>IF(A99="","",IF(L99=1,I98-I99-O99,IF(OR(C99&gt;0,N(J99)&gt;0),MeanMDWIR/1000*K99,0)))</f>
        <v/>
      </c>
      <c r="O99" s="18">
        <f>IF(A99="","",G99/1000*K99)</f>
        <v/>
      </c>
      <c r="P99" s="27">
        <f>IF(A99="","",IF(L99=1,"dry",IF(D99="Y","spill",IF(B99&gt;0,"wet",IF(E99="Y","pumped","other")))))</f>
        <v/>
      </c>
    </row>
    <row r="100">
      <c r="A100" s="26">
        <f>IF(DailyPond!A100="","",DailyPond!A100)</f>
        <v/>
      </c>
      <c r="B100" s="18">
        <f>IF(A100="","",DailyPond!B100)</f>
        <v/>
      </c>
      <c r="C100" s="25">
        <f>IF(A100="","",DailyPond!C100)</f>
        <v/>
      </c>
      <c r="D100" s="27">
        <f>IF(A100="","",DailyPond!D100)</f>
        <v/>
      </c>
      <c r="E100" s="27">
        <f>IF(A100="","",DailyPond!E100)</f>
        <v/>
      </c>
      <c r="F100" s="19">
        <f>IF(A100="","",MONTH(A100))</f>
        <v/>
      </c>
      <c r="G100" s="18">
        <f>IF(A100="","",VLOOKUP(F100,Evaporation!$A$6:$B$17,2,FALSE))</f>
        <v/>
      </c>
      <c r="H100" s="19">
        <f>IF(A100="","",IF(C100="","",IF(C100&lt;=INDEX(StageAreaVolume!$A$6:$A$17,1),INDEX(StageAreaVolume!$B$6:$B$17,1),IF(C100&gt;=INDEX(StageAreaVolume!$A$6:$A$17,COUNTA(StageAreaVolume!$A$6:$A$17)),INDEX(StageAreaVolume!$B$6:$B$17,COUNTA(StageAreaVolume!$A$6:$A$17)),(INDEX(StageAreaVolume!$B$6:$B$17,MATCH(C100,StageAreaVolume!$A$6:$A$17,1))+(C100-INDEX(StageAreaVolume!$A$6:$A$17,MATCH(C100,StageAreaVolume!$A$6:$A$17,1)))/(INDEX(StageAreaVolume!$A$6:$A$17,MATCH(C100,StageAreaVolume!$A$6:$A$17,1)+1)-INDEX(StageAreaVolume!$A$6:$A$17,MATCH(C100,StageAreaVolume!$A$6:$A$17,1)))*(INDEX(StageAreaVolume!$B$6:$B$17,MATCH(C100,StageAreaVolume!$A$6:$A$17,1)+1)-INDEX(StageAreaVolume!$B$6:$B$17,MATCH(C100,StageAreaVolume!$A$6:$A$17,1)))))))))</f>
        <v/>
      </c>
      <c r="I100" s="18">
        <f>IF(A100="","",IF(C100="","",IF(C100&lt;=INDEX(StageAreaVolume!$A$6:$A$17,1),INDEX(StageAreaVolume!$D$6:$D$17,1),IF(C100&gt;=INDEX(StageAreaVolume!$A$6:$A$17,COUNTA(StageAreaVolume!$A$6:$A$17)),INDEX(StageAreaVolume!$D$6:$D$17,COUNTA(StageAreaVolume!$A$6:$A$17)),(INDEX(StageAreaVolume!$D$6:$D$17,MATCH(C100,StageAreaVolume!$A$6:$A$17,1))+(C100-INDEX(StageAreaVolume!$A$6:$A$17,MATCH(C100,StageAreaVolume!$A$6:$A$17,1)))/(INDEX(StageAreaVolume!$A$6:$A$17,MATCH(C100,StageAreaVolume!$A$6:$A$17,1)+1)-INDEX(StageAreaVolume!$A$6:$A$17,MATCH(C100,StageAreaVolume!$A$6:$A$17,1)))*(INDEX(StageAreaVolume!$D$6:$D$17,MATCH(C100,StageAreaVolume!$A$6:$A$17,1)+1)-INDEX(StageAreaVolume!$D$6:$D$17,MATCH(C100,StageAreaVolume!$A$6:$A$17,1)))))))))</f>
        <v/>
      </c>
      <c r="J100" s="25">
        <f>IF(A100="","",IF(A99="",NA(),C99))</f>
        <v/>
      </c>
      <c r="K100" s="19">
        <f>IF(OR(A100="",ISNA(J100)),IF(A100="","",H100),(H99+H100)/2)</f>
        <v/>
      </c>
      <c r="L100" s="19">
        <f>IF(OR(A100="",ISNA(J100)),0,IF(AND(B100=0,D100="N",E100="N",C100&lt;J100,C100&gt;0),1,0))</f>
        <v/>
      </c>
      <c r="M100" s="25">
        <f>IF(L100&lt;&gt;1,"",IF(K100&lt;=0,"",(I99-I100-G100/1000*K100)/K100*1000))</f>
        <v/>
      </c>
      <c r="N100" s="18">
        <f>IF(A100="","",IF(L100=1,I99-I100-O100,IF(OR(C100&gt;0,N(J100)&gt;0),MeanMDWIR/1000*K100,0)))</f>
        <v/>
      </c>
      <c r="O100" s="18">
        <f>IF(A100="","",G100/1000*K100)</f>
        <v/>
      </c>
      <c r="P100" s="27">
        <f>IF(A100="","",IF(L100=1,"dry",IF(D100="Y","spill",IF(B100&gt;0,"wet",IF(E100="Y","pumped","other")))))</f>
        <v/>
      </c>
    </row>
    <row r="101">
      <c r="A101" s="26">
        <f>IF(DailyPond!A101="","",DailyPond!A101)</f>
        <v/>
      </c>
      <c r="B101" s="18">
        <f>IF(A101="","",DailyPond!B101)</f>
        <v/>
      </c>
      <c r="C101" s="25">
        <f>IF(A101="","",DailyPond!C101)</f>
        <v/>
      </c>
      <c r="D101" s="27">
        <f>IF(A101="","",DailyPond!D101)</f>
        <v/>
      </c>
      <c r="E101" s="27">
        <f>IF(A101="","",DailyPond!E101)</f>
        <v/>
      </c>
      <c r="F101" s="19">
        <f>IF(A101="","",MONTH(A101))</f>
        <v/>
      </c>
      <c r="G101" s="18">
        <f>IF(A101="","",VLOOKUP(F101,Evaporation!$A$6:$B$17,2,FALSE))</f>
        <v/>
      </c>
      <c r="H101" s="19">
        <f>IF(A101="","",IF(C101="","",IF(C101&lt;=INDEX(StageAreaVolume!$A$6:$A$17,1),INDEX(StageAreaVolume!$B$6:$B$17,1),IF(C101&gt;=INDEX(StageAreaVolume!$A$6:$A$17,COUNTA(StageAreaVolume!$A$6:$A$17)),INDEX(StageAreaVolume!$B$6:$B$17,COUNTA(StageAreaVolume!$A$6:$A$17)),(INDEX(StageAreaVolume!$B$6:$B$17,MATCH(C101,StageAreaVolume!$A$6:$A$17,1))+(C101-INDEX(StageAreaVolume!$A$6:$A$17,MATCH(C101,StageAreaVolume!$A$6:$A$17,1)))/(INDEX(StageAreaVolume!$A$6:$A$17,MATCH(C101,StageAreaVolume!$A$6:$A$17,1)+1)-INDEX(StageAreaVolume!$A$6:$A$17,MATCH(C101,StageAreaVolume!$A$6:$A$17,1)))*(INDEX(StageAreaVolume!$B$6:$B$17,MATCH(C101,StageAreaVolume!$A$6:$A$17,1)+1)-INDEX(StageAreaVolume!$B$6:$B$17,MATCH(C101,StageAreaVolume!$A$6:$A$17,1)))))))))</f>
        <v/>
      </c>
      <c r="I101" s="18">
        <f>IF(A101="","",IF(C101="","",IF(C101&lt;=INDEX(StageAreaVolume!$A$6:$A$17,1),INDEX(StageAreaVolume!$D$6:$D$17,1),IF(C101&gt;=INDEX(StageAreaVolume!$A$6:$A$17,COUNTA(StageAreaVolume!$A$6:$A$17)),INDEX(StageAreaVolume!$D$6:$D$17,COUNTA(StageAreaVolume!$A$6:$A$17)),(INDEX(StageAreaVolume!$D$6:$D$17,MATCH(C101,StageAreaVolume!$A$6:$A$17,1))+(C101-INDEX(StageAreaVolume!$A$6:$A$17,MATCH(C101,StageAreaVolume!$A$6:$A$17,1)))/(INDEX(StageAreaVolume!$A$6:$A$17,MATCH(C101,StageAreaVolume!$A$6:$A$17,1)+1)-INDEX(StageAreaVolume!$A$6:$A$17,MATCH(C101,StageAreaVolume!$A$6:$A$17,1)))*(INDEX(StageAreaVolume!$D$6:$D$17,MATCH(C101,StageAreaVolume!$A$6:$A$17,1)+1)-INDEX(StageAreaVolume!$D$6:$D$17,MATCH(C101,StageAreaVolume!$A$6:$A$17,1)))))))))</f>
        <v/>
      </c>
      <c r="J101" s="25">
        <f>IF(A101="","",IF(A100="",NA(),C100))</f>
        <v/>
      </c>
      <c r="K101" s="19">
        <f>IF(OR(A101="",ISNA(J101)),IF(A101="","",H101),(H100+H101)/2)</f>
        <v/>
      </c>
      <c r="L101" s="19">
        <f>IF(OR(A101="",ISNA(J101)),0,IF(AND(B101=0,D101="N",E101="N",C101&lt;J101,C101&gt;0),1,0))</f>
        <v/>
      </c>
      <c r="M101" s="25">
        <f>IF(L101&lt;&gt;1,"",IF(K101&lt;=0,"",(I100-I101-G101/1000*K101)/K101*1000))</f>
        <v/>
      </c>
      <c r="N101" s="18">
        <f>IF(A101="","",IF(L101=1,I100-I101-O101,IF(OR(C101&gt;0,N(J101)&gt;0),MeanMDWIR/1000*K101,0)))</f>
        <v/>
      </c>
      <c r="O101" s="18">
        <f>IF(A101="","",G101/1000*K101)</f>
        <v/>
      </c>
      <c r="P101" s="27">
        <f>IF(A101="","",IF(L101=1,"dry",IF(D101="Y","spill",IF(B101&gt;0,"wet",IF(E101="Y","pumped","other")))))</f>
        <v/>
      </c>
    </row>
    <row r="102">
      <c r="A102" s="26">
        <f>IF(DailyPond!A102="","",DailyPond!A102)</f>
        <v/>
      </c>
      <c r="B102" s="18">
        <f>IF(A102="","",DailyPond!B102)</f>
        <v/>
      </c>
      <c r="C102" s="25">
        <f>IF(A102="","",DailyPond!C102)</f>
        <v/>
      </c>
      <c r="D102" s="27">
        <f>IF(A102="","",DailyPond!D102)</f>
        <v/>
      </c>
      <c r="E102" s="27">
        <f>IF(A102="","",DailyPond!E102)</f>
        <v/>
      </c>
      <c r="F102" s="19">
        <f>IF(A102="","",MONTH(A102))</f>
        <v/>
      </c>
      <c r="G102" s="18">
        <f>IF(A102="","",VLOOKUP(F102,Evaporation!$A$6:$B$17,2,FALSE))</f>
        <v/>
      </c>
      <c r="H102" s="19">
        <f>IF(A102="","",IF(C102="","",IF(C102&lt;=INDEX(StageAreaVolume!$A$6:$A$17,1),INDEX(StageAreaVolume!$B$6:$B$17,1),IF(C102&gt;=INDEX(StageAreaVolume!$A$6:$A$17,COUNTA(StageAreaVolume!$A$6:$A$17)),INDEX(StageAreaVolume!$B$6:$B$17,COUNTA(StageAreaVolume!$A$6:$A$17)),(INDEX(StageAreaVolume!$B$6:$B$17,MATCH(C102,StageAreaVolume!$A$6:$A$17,1))+(C102-INDEX(StageAreaVolume!$A$6:$A$17,MATCH(C102,StageAreaVolume!$A$6:$A$17,1)))/(INDEX(StageAreaVolume!$A$6:$A$17,MATCH(C102,StageAreaVolume!$A$6:$A$17,1)+1)-INDEX(StageAreaVolume!$A$6:$A$17,MATCH(C102,StageAreaVolume!$A$6:$A$17,1)))*(INDEX(StageAreaVolume!$B$6:$B$17,MATCH(C102,StageAreaVolume!$A$6:$A$17,1)+1)-INDEX(StageAreaVolume!$B$6:$B$17,MATCH(C102,StageAreaVolume!$A$6:$A$17,1)))))))))</f>
        <v/>
      </c>
      <c r="I102" s="18">
        <f>IF(A102="","",IF(C102="","",IF(C102&lt;=INDEX(StageAreaVolume!$A$6:$A$17,1),INDEX(StageAreaVolume!$D$6:$D$17,1),IF(C102&gt;=INDEX(StageAreaVolume!$A$6:$A$17,COUNTA(StageAreaVolume!$A$6:$A$17)),INDEX(StageAreaVolume!$D$6:$D$17,COUNTA(StageAreaVolume!$A$6:$A$17)),(INDEX(StageAreaVolume!$D$6:$D$17,MATCH(C102,StageAreaVolume!$A$6:$A$17,1))+(C102-INDEX(StageAreaVolume!$A$6:$A$17,MATCH(C102,StageAreaVolume!$A$6:$A$17,1)))/(INDEX(StageAreaVolume!$A$6:$A$17,MATCH(C102,StageAreaVolume!$A$6:$A$17,1)+1)-INDEX(StageAreaVolume!$A$6:$A$17,MATCH(C102,StageAreaVolume!$A$6:$A$17,1)))*(INDEX(StageAreaVolume!$D$6:$D$17,MATCH(C102,StageAreaVolume!$A$6:$A$17,1)+1)-INDEX(StageAreaVolume!$D$6:$D$17,MATCH(C102,StageAreaVolume!$A$6:$A$17,1)))))))))</f>
        <v/>
      </c>
      <c r="J102" s="25">
        <f>IF(A102="","",IF(A101="",NA(),C101))</f>
        <v/>
      </c>
      <c r="K102" s="19">
        <f>IF(OR(A102="",ISNA(J102)),IF(A102="","",H102),(H101+H102)/2)</f>
        <v/>
      </c>
      <c r="L102" s="19">
        <f>IF(OR(A102="",ISNA(J102)),0,IF(AND(B102=0,D102="N",E102="N",C102&lt;J102,C102&gt;0),1,0))</f>
        <v/>
      </c>
      <c r="M102" s="25">
        <f>IF(L102&lt;&gt;1,"",IF(K102&lt;=0,"",(I101-I102-G102/1000*K102)/K102*1000))</f>
        <v/>
      </c>
      <c r="N102" s="18">
        <f>IF(A102="","",IF(L102=1,I101-I102-O102,IF(OR(C102&gt;0,N(J102)&gt;0),MeanMDWIR/1000*K102,0)))</f>
        <v/>
      </c>
      <c r="O102" s="18">
        <f>IF(A102="","",G102/1000*K102)</f>
        <v/>
      </c>
      <c r="P102" s="27">
        <f>IF(A102="","",IF(L102=1,"dry",IF(D102="Y","spill",IF(B102&gt;0,"wet",IF(E102="Y","pumped","other")))))</f>
        <v/>
      </c>
    </row>
    <row r="103">
      <c r="A103" s="26">
        <f>IF(DailyPond!A103="","",DailyPond!A103)</f>
        <v/>
      </c>
      <c r="B103" s="18">
        <f>IF(A103="","",DailyPond!B103)</f>
        <v/>
      </c>
      <c r="C103" s="25">
        <f>IF(A103="","",DailyPond!C103)</f>
        <v/>
      </c>
      <c r="D103" s="27">
        <f>IF(A103="","",DailyPond!D103)</f>
        <v/>
      </c>
      <c r="E103" s="27">
        <f>IF(A103="","",DailyPond!E103)</f>
        <v/>
      </c>
      <c r="F103" s="19">
        <f>IF(A103="","",MONTH(A103))</f>
        <v/>
      </c>
      <c r="G103" s="18">
        <f>IF(A103="","",VLOOKUP(F103,Evaporation!$A$6:$B$17,2,FALSE))</f>
        <v/>
      </c>
      <c r="H103" s="19">
        <f>IF(A103="","",IF(C103="","",IF(C103&lt;=INDEX(StageAreaVolume!$A$6:$A$17,1),INDEX(StageAreaVolume!$B$6:$B$17,1),IF(C103&gt;=INDEX(StageAreaVolume!$A$6:$A$17,COUNTA(StageAreaVolume!$A$6:$A$17)),INDEX(StageAreaVolume!$B$6:$B$17,COUNTA(StageAreaVolume!$A$6:$A$17)),(INDEX(StageAreaVolume!$B$6:$B$17,MATCH(C103,StageAreaVolume!$A$6:$A$17,1))+(C103-INDEX(StageAreaVolume!$A$6:$A$17,MATCH(C103,StageAreaVolume!$A$6:$A$17,1)))/(INDEX(StageAreaVolume!$A$6:$A$17,MATCH(C103,StageAreaVolume!$A$6:$A$17,1)+1)-INDEX(StageAreaVolume!$A$6:$A$17,MATCH(C103,StageAreaVolume!$A$6:$A$17,1)))*(INDEX(StageAreaVolume!$B$6:$B$17,MATCH(C103,StageAreaVolume!$A$6:$A$17,1)+1)-INDEX(StageAreaVolume!$B$6:$B$17,MATCH(C103,StageAreaVolume!$A$6:$A$17,1)))))))))</f>
        <v/>
      </c>
      <c r="I103" s="18">
        <f>IF(A103="","",IF(C103="","",IF(C103&lt;=INDEX(StageAreaVolume!$A$6:$A$17,1),INDEX(StageAreaVolume!$D$6:$D$17,1),IF(C103&gt;=INDEX(StageAreaVolume!$A$6:$A$17,COUNTA(StageAreaVolume!$A$6:$A$17)),INDEX(StageAreaVolume!$D$6:$D$17,COUNTA(StageAreaVolume!$A$6:$A$17)),(INDEX(StageAreaVolume!$D$6:$D$17,MATCH(C103,StageAreaVolume!$A$6:$A$17,1))+(C103-INDEX(StageAreaVolume!$A$6:$A$17,MATCH(C103,StageAreaVolume!$A$6:$A$17,1)))/(INDEX(StageAreaVolume!$A$6:$A$17,MATCH(C103,StageAreaVolume!$A$6:$A$17,1)+1)-INDEX(StageAreaVolume!$A$6:$A$17,MATCH(C103,StageAreaVolume!$A$6:$A$17,1)))*(INDEX(StageAreaVolume!$D$6:$D$17,MATCH(C103,StageAreaVolume!$A$6:$A$17,1)+1)-INDEX(StageAreaVolume!$D$6:$D$17,MATCH(C103,StageAreaVolume!$A$6:$A$17,1)))))))))</f>
        <v/>
      </c>
      <c r="J103" s="25">
        <f>IF(A103="","",IF(A102="",NA(),C102))</f>
        <v/>
      </c>
      <c r="K103" s="19">
        <f>IF(OR(A103="",ISNA(J103)),IF(A103="","",H103),(H102+H103)/2)</f>
        <v/>
      </c>
      <c r="L103" s="19">
        <f>IF(OR(A103="",ISNA(J103)),0,IF(AND(B103=0,D103="N",E103="N",C103&lt;J103,C103&gt;0),1,0))</f>
        <v/>
      </c>
      <c r="M103" s="25">
        <f>IF(L103&lt;&gt;1,"",IF(K103&lt;=0,"",(I102-I103-G103/1000*K103)/K103*1000))</f>
        <v/>
      </c>
      <c r="N103" s="18">
        <f>IF(A103="","",IF(L103=1,I102-I103-O103,IF(OR(C103&gt;0,N(J103)&gt;0),MeanMDWIR/1000*K103,0)))</f>
        <v/>
      </c>
      <c r="O103" s="18">
        <f>IF(A103="","",G103/1000*K103)</f>
        <v/>
      </c>
      <c r="P103" s="27">
        <f>IF(A103="","",IF(L103=1,"dry",IF(D103="Y","spill",IF(B103&gt;0,"wet",IF(E103="Y","pumped","other")))))</f>
        <v/>
      </c>
    </row>
    <row r="104">
      <c r="A104" s="26">
        <f>IF(DailyPond!A104="","",DailyPond!A104)</f>
        <v/>
      </c>
      <c r="B104" s="18">
        <f>IF(A104="","",DailyPond!B104)</f>
        <v/>
      </c>
      <c r="C104" s="25">
        <f>IF(A104="","",DailyPond!C104)</f>
        <v/>
      </c>
      <c r="D104" s="27">
        <f>IF(A104="","",DailyPond!D104)</f>
        <v/>
      </c>
      <c r="E104" s="27">
        <f>IF(A104="","",DailyPond!E104)</f>
        <v/>
      </c>
      <c r="F104" s="19">
        <f>IF(A104="","",MONTH(A104))</f>
        <v/>
      </c>
      <c r="G104" s="18">
        <f>IF(A104="","",VLOOKUP(F104,Evaporation!$A$6:$B$17,2,FALSE))</f>
        <v/>
      </c>
      <c r="H104" s="19">
        <f>IF(A104="","",IF(C104="","",IF(C104&lt;=INDEX(StageAreaVolume!$A$6:$A$17,1),INDEX(StageAreaVolume!$B$6:$B$17,1),IF(C104&gt;=INDEX(StageAreaVolume!$A$6:$A$17,COUNTA(StageAreaVolume!$A$6:$A$17)),INDEX(StageAreaVolume!$B$6:$B$17,COUNTA(StageAreaVolume!$A$6:$A$17)),(INDEX(StageAreaVolume!$B$6:$B$17,MATCH(C104,StageAreaVolume!$A$6:$A$17,1))+(C104-INDEX(StageAreaVolume!$A$6:$A$17,MATCH(C104,StageAreaVolume!$A$6:$A$17,1)))/(INDEX(StageAreaVolume!$A$6:$A$17,MATCH(C104,StageAreaVolume!$A$6:$A$17,1)+1)-INDEX(StageAreaVolume!$A$6:$A$17,MATCH(C104,StageAreaVolume!$A$6:$A$17,1)))*(INDEX(StageAreaVolume!$B$6:$B$17,MATCH(C104,StageAreaVolume!$A$6:$A$17,1)+1)-INDEX(StageAreaVolume!$B$6:$B$17,MATCH(C104,StageAreaVolume!$A$6:$A$17,1)))))))))</f>
        <v/>
      </c>
      <c r="I104" s="18">
        <f>IF(A104="","",IF(C104="","",IF(C104&lt;=INDEX(StageAreaVolume!$A$6:$A$17,1),INDEX(StageAreaVolume!$D$6:$D$17,1),IF(C104&gt;=INDEX(StageAreaVolume!$A$6:$A$17,COUNTA(StageAreaVolume!$A$6:$A$17)),INDEX(StageAreaVolume!$D$6:$D$17,COUNTA(StageAreaVolume!$A$6:$A$17)),(INDEX(StageAreaVolume!$D$6:$D$17,MATCH(C104,StageAreaVolume!$A$6:$A$17,1))+(C104-INDEX(StageAreaVolume!$A$6:$A$17,MATCH(C104,StageAreaVolume!$A$6:$A$17,1)))/(INDEX(StageAreaVolume!$A$6:$A$17,MATCH(C104,StageAreaVolume!$A$6:$A$17,1)+1)-INDEX(StageAreaVolume!$A$6:$A$17,MATCH(C104,StageAreaVolume!$A$6:$A$17,1)))*(INDEX(StageAreaVolume!$D$6:$D$17,MATCH(C104,StageAreaVolume!$A$6:$A$17,1)+1)-INDEX(StageAreaVolume!$D$6:$D$17,MATCH(C104,StageAreaVolume!$A$6:$A$17,1)))))))))</f>
        <v/>
      </c>
      <c r="J104" s="25">
        <f>IF(A104="","",IF(A103="",NA(),C103))</f>
        <v/>
      </c>
      <c r="K104" s="19">
        <f>IF(OR(A104="",ISNA(J104)),IF(A104="","",H104),(H103+H104)/2)</f>
        <v/>
      </c>
      <c r="L104" s="19">
        <f>IF(OR(A104="",ISNA(J104)),0,IF(AND(B104=0,D104="N",E104="N",C104&lt;J104,C104&gt;0),1,0))</f>
        <v/>
      </c>
      <c r="M104" s="25">
        <f>IF(L104&lt;&gt;1,"",IF(K104&lt;=0,"",(I103-I104-G104/1000*K104)/K104*1000))</f>
        <v/>
      </c>
      <c r="N104" s="18">
        <f>IF(A104="","",IF(L104=1,I103-I104-O104,IF(OR(C104&gt;0,N(J104)&gt;0),MeanMDWIR/1000*K104,0)))</f>
        <v/>
      </c>
      <c r="O104" s="18">
        <f>IF(A104="","",G104/1000*K104)</f>
        <v/>
      </c>
      <c r="P104" s="27">
        <f>IF(A104="","",IF(L104=1,"dry",IF(D104="Y","spill",IF(B104&gt;0,"wet",IF(E104="Y","pumped","other")))))</f>
        <v/>
      </c>
    </row>
    <row r="105">
      <c r="A105" s="26">
        <f>IF(DailyPond!A105="","",DailyPond!A105)</f>
        <v/>
      </c>
      <c r="B105" s="18">
        <f>IF(A105="","",DailyPond!B105)</f>
        <v/>
      </c>
      <c r="C105" s="25">
        <f>IF(A105="","",DailyPond!C105)</f>
        <v/>
      </c>
      <c r="D105" s="27">
        <f>IF(A105="","",DailyPond!D105)</f>
        <v/>
      </c>
      <c r="E105" s="27">
        <f>IF(A105="","",DailyPond!E105)</f>
        <v/>
      </c>
      <c r="F105" s="19">
        <f>IF(A105="","",MONTH(A105))</f>
        <v/>
      </c>
      <c r="G105" s="18">
        <f>IF(A105="","",VLOOKUP(F105,Evaporation!$A$6:$B$17,2,FALSE))</f>
        <v/>
      </c>
      <c r="H105" s="19">
        <f>IF(A105="","",IF(C105="","",IF(C105&lt;=INDEX(StageAreaVolume!$A$6:$A$17,1),INDEX(StageAreaVolume!$B$6:$B$17,1),IF(C105&gt;=INDEX(StageAreaVolume!$A$6:$A$17,COUNTA(StageAreaVolume!$A$6:$A$17)),INDEX(StageAreaVolume!$B$6:$B$17,COUNTA(StageAreaVolume!$A$6:$A$17)),(INDEX(StageAreaVolume!$B$6:$B$17,MATCH(C105,StageAreaVolume!$A$6:$A$17,1))+(C105-INDEX(StageAreaVolume!$A$6:$A$17,MATCH(C105,StageAreaVolume!$A$6:$A$17,1)))/(INDEX(StageAreaVolume!$A$6:$A$17,MATCH(C105,StageAreaVolume!$A$6:$A$17,1)+1)-INDEX(StageAreaVolume!$A$6:$A$17,MATCH(C105,StageAreaVolume!$A$6:$A$17,1)))*(INDEX(StageAreaVolume!$B$6:$B$17,MATCH(C105,StageAreaVolume!$A$6:$A$17,1)+1)-INDEX(StageAreaVolume!$B$6:$B$17,MATCH(C105,StageAreaVolume!$A$6:$A$17,1)))))))))</f>
        <v/>
      </c>
      <c r="I105" s="18">
        <f>IF(A105="","",IF(C105="","",IF(C105&lt;=INDEX(StageAreaVolume!$A$6:$A$17,1),INDEX(StageAreaVolume!$D$6:$D$17,1),IF(C105&gt;=INDEX(StageAreaVolume!$A$6:$A$17,COUNTA(StageAreaVolume!$A$6:$A$17)),INDEX(StageAreaVolume!$D$6:$D$17,COUNTA(StageAreaVolume!$A$6:$A$17)),(INDEX(StageAreaVolume!$D$6:$D$17,MATCH(C105,StageAreaVolume!$A$6:$A$17,1))+(C105-INDEX(StageAreaVolume!$A$6:$A$17,MATCH(C105,StageAreaVolume!$A$6:$A$17,1)))/(INDEX(StageAreaVolume!$A$6:$A$17,MATCH(C105,StageAreaVolume!$A$6:$A$17,1)+1)-INDEX(StageAreaVolume!$A$6:$A$17,MATCH(C105,StageAreaVolume!$A$6:$A$17,1)))*(INDEX(StageAreaVolume!$D$6:$D$17,MATCH(C105,StageAreaVolume!$A$6:$A$17,1)+1)-INDEX(StageAreaVolume!$D$6:$D$17,MATCH(C105,StageAreaVolume!$A$6:$A$17,1)))))))))</f>
        <v/>
      </c>
      <c r="J105" s="25">
        <f>IF(A105="","",IF(A104="",NA(),C104))</f>
        <v/>
      </c>
      <c r="K105" s="19">
        <f>IF(OR(A105="",ISNA(J105)),IF(A105="","",H105),(H104+H105)/2)</f>
        <v/>
      </c>
      <c r="L105" s="19">
        <f>IF(OR(A105="",ISNA(J105)),0,IF(AND(B105=0,D105="N",E105="N",C105&lt;J105,C105&gt;0),1,0))</f>
        <v/>
      </c>
      <c r="M105" s="25">
        <f>IF(L105&lt;&gt;1,"",IF(K105&lt;=0,"",(I104-I105-G105/1000*K105)/K105*1000))</f>
        <v/>
      </c>
      <c r="N105" s="18">
        <f>IF(A105="","",IF(L105=1,I104-I105-O105,IF(OR(C105&gt;0,N(J105)&gt;0),MeanMDWIR/1000*K105,0)))</f>
        <v/>
      </c>
      <c r="O105" s="18">
        <f>IF(A105="","",G105/1000*K105)</f>
        <v/>
      </c>
      <c r="P105" s="27">
        <f>IF(A105="","",IF(L105=1,"dry",IF(D105="Y","spill",IF(B105&gt;0,"wet",IF(E105="Y","pumped","other")))))</f>
        <v/>
      </c>
    </row>
    <row r="106">
      <c r="A106" s="26">
        <f>IF(DailyPond!A106="","",DailyPond!A106)</f>
        <v/>
      </c>
      <c r="B106" s="18">
        <f>IF(A106="","",DailyPond!B106)</f>
        <v/>
      </c>
      <c r="C106" s="25">
        <f>IF(A106="","",DailyPond!C106)</f>
        <v/>
      </c>
      <c r="D106" s="27">
        <f>IF(A106="","",DailyPond!D106)</f>
        <v/>
      </c>
      <c r="E106" s="27">
        <f>IF(A106="","",DailyPond!E106)</f>
        <v/>
      </c>
      <c r="F106" s="19">
        <f>IF(A106="","",MONTH(A106))</f>
        <v/>
      </c>
      <c r="G106" s="18">
        <f>IF(A106="","",VLOOKUP(F106,Evaporation!$A$6:$B$17,2,FALSE))</f>
        <v/>
      </c>
      <c r="H106" s="19">
        <f>IF(A106="","",IF(C106="","",IF(C106&lt;=INDEX(StageAreaVolume!$A$6:$A$17,1),INDEX(StageAreaVolume!$B$6:$B$17,1),IF(C106&gt;=INDEX(StageAreaVolume!$A$6:$A$17,COUNTA(StageAreaVolume!$A$6:$A$17)),INDEX(StageAreaVolume!$B$6:$B$17,COUNTA(StageAreaVolume!$A$6:$A$17)),(INDEX(StageAreaVolume!$B$6:$B$17,MATCH(C106,StageAreaVolume!$A$6:$A$17,1))+(C106-INDEX(StageAreaVolume!$A$6:$A$17,MATCH(C106,StageAreaVolume!$A$6:$A$17,1)))/(INDEX(StageAreaVolume!$A$6:$A$17,MATCH(C106,StageAreaVolume!$A$6:$A$17,1)+1)-INDEX(StageAreaVolume!$A$6:$A$17,MATCH(C106,StageAreaVolume!$A$6:$A$17,1)))*(INDEX(StageAreaVolume!$B$6:$B$17,MATCH(C106,StageAreaVolume!$A$6:$A$17,1)+1)-INDEX(StageAreaVolume!$B$6:$B$17,MATCH(C106,StageAreaVolume!$A$6:$A$17,1)))))))))</f>
        <v/>
      </c>
      <c r="I106" s="18">
        <f>IF(A106="","",IF(C106="","",IF(C106&lt;=INDEX(StageAreaVolume!$A$6:$A$17,1),INDEX(StageAreaVolume!$D$6:$D$17,1),IF(C106&gt;=INDEX(StageAreaVolume!$A$6:$A$17,COUNTA(StageAreaVolume!$A$6:$A$17)),INDEX(StageAreaVolume!$D$6:$D$17,COUNTA(StageAreaVolume!$A$6:$A$17)),(INDEX(StageAreaVolume!$D$6:$D$17,MATCH(C106,StageAreaVolume!$A$6:$A$17,1))+(C106-INDEX(StageAreaVolume!$A$6:$A$17,MATCH(C106,StageAreaVolume!$A$6:$A$17,1)))/(INDEX(StageAreaVolume!$A$6:$A$17,MATCH(C106,StageAreaVolume!$A$6:$A$17,1)+1)-INDEX(StageAreaVolume!$A$6:$A$17,MATCH(C106,StageAreaVolume!$A$6:$A$17,1)))*(INDEX(StageAreaVolume!$D$6:$D$17,MATCH(C106,StageAreaVolume!$A$6:$A$17,1)+1)-INDEX(StageAreaVolume!$D$6:$D$17,MATCH(C106,StageAreaVolume!$A$6:$A$17,1)))))))))</f>
        <v/>
      </c>
      <c r="J106" s="25">
        <f>IF(A106="","",IF(A105="",NA(),C105))</f>
        <v/>
      </c>
      <c r="K106" s="19">
        <f>IF(OR(A106="",ISNA(J106)),IF(A106="","",H106),(H105+H106)/2)</f>
        <v/>
      </c>
      <c r="L106" s="19">
        <f>IF(OR(A106="",ISNA(J106)),0,IF(AND(B106=0,D106="N",E106="N",C106&lt;J106,C106&gt;0),1,0))</f>
        <v/>
      </c>
      <c r="M106" s="25">
        <f>IF(L106&lt;&gt;1,"",IF(K106&lt;=0,"",(I105-I106-G106/1000*K106)/K106*1000))</f>
        <v/>
      </c>
      <c r="N106" s="18">
        <f>IF(A106="","",IF(L106=1,I105-I106-O106,IF(OR(C106&gt;0,N(J106)&gt;0),MeanMDWIR/1000*K106,0)))</f>
        <v/>
      </c>
      <c r="O106" s="18">
        <f>IF(A106="","",G106/1000*K106)</f>
        <v/>
      </c>
      <c r="P106" s="27">
        <f>IF(A106="","",IF(L106=1,"dry",IF(D106="Y","spill",IF(B106&gt;0,"wet",IF(E106="Y","pumped","other")))))</f>
        <v/>
      </c>
    </row>
    <row r="107">
      <c r="A107" s="26">
        <f>IF(DailyPond!A107="","",DailyPond!A107)</f>
        <v/>
      </c>
      <c r="B107" s="18">
        <f>IF(A107="","",DailyPond!B107)</f>
        <v/>
      </c>
      <c r="C107" s="25">
        <f>IF(A107="","",DailyPond!C107)</f>
        <v/>
      </c>
      <c r="D107" s="27">
        <f>IF(A107="","",DailyPond!D107)</f>
        <v/>
      </c>
      <c r="E107" s="27">
        <f>IF(A107="","",DailyPond!E107)</f>
        <v/>
      </c>
      <c r="F107" s="19">
        <f>IF(A107="","",MONTH(A107))</f>
        <v/>
      </c>
      <c r="G107" s="18">
        <f>IF(A107="","",VLOOKUP(F107,Evaporation!$A$6:$B$17,2,FALSE))</f>
        <v/>
      </c>
      <c r="H107" s="19">
        <f>IF(A107="","",IF(C107="","",IF(C107&lt;=INDEX(StageAreaVolume!$A$6:$A$17,1),INDEX(StageAreaVolume!$B$6:$B$17,1),IF(C107&gt;=INDEX(StageAreaVolume!$A$6:$A$17,COUNTA(StageAreaVolume!$A$6:$A$17)),INDEX(StageAreaVolume!$B$6:$B$17,COUNTA(StageAreaVolume!$A$6:$A$17)),(INDEX(StageAreaVolume!$B$6:$B$17,MATCH(C107,StageAreaVolume!$A$6:$A$17,1))+(C107-INDEX(StageAreaVolume!$A$6:$A$17,MATCH(C107,StageAreaVolume!$A$6:$A$17,1)))/(INDEX(StageAreaVolume!$A$6:$A$17,MATCH(C107,StageAreaVolume!$A$6:$A$17,1)+1)-INDEX(StageAreaVolume!$A$6:$A$17,MATCH(C107,StageAreaVolume!$A$6:$A$17,1)))*(INDEX(StageAreaVolume!$B$6:$B$17,MATCH(C107,StageAreaVolume!$A$6:$A$17,1)+1)-INDEX(StageAreaVolume!$B$6:$B$17,MATCH(C107,StageAreaVolume!$A$6:$A$17,1)))))))))</f>
        <v/>
      </c>
      <c r="I107" s="18">
        <f>IF(A107="","",IF(C107="","",IF(C107&lt;=INDEX(StageAreaVolume!$A$6:$A$17,1),INDEX(StageAreaVolume!$D$6:$D$17,1),IF(C107&gt;=INDEX(StageAreaVolume!$A$6:$A$17,COUNTA(StageAreaVolume!$A$6:$A$17)),INDEX(StageAreaVolume!$D$6:$D$17,COUNTA(StageAreaVolume!$A$6:$A$17)),(INDEX(StageAreaVolume!$D$6:$D$17,MATCH(C107,StageAreaVolume!$A$6:$A$17,1))+(C107-INDEX(StageAreaVolume!$A$6:$A$17,MATCH(C107,StageAreaVolume!$A$6:$A$17,1)))/(INDEX(StageAreaVolume!$A$6:$A$17,MATCH(C107,StageAreaVolume!$A$6:$A$17,1)+1)-INDEX(StageAreaVolume!$A$6:$A$17,MATCH(C107,StageAreaVolume!$A$6:$A$17,1)))*(INDEX(StageAreaVolume!$D$6:$D$17,MATCH(C107,StageAreaVolume!$A$6:$A$17,1)+1)-INDEX(StageAreaVolume!$D$6:$D$17,MATCH(C107,StageAreaVolume!$A$6:$A$17,1)))))))))</f>
        <v/>
      </c>
      <c r="J107" s="25">
        <f>IF(A107="","",IF(A106="",NA(),C106))</f>
        <v/>
      </c>
      <c r="K107" s="19">
        <f>IF(OR(A107="",ISNA(J107)),IF(A107="","",H107),(H106+H107)/2)</f>
        <v/>
      </c>
      <c r="L107" s="19">
        <f>IF(OR(A107="",ISNA(J107)),0,IF(AND(B107=0,D107="N",E107="N",C107&lt;J107,C107&gt;0),1,0))</f>
        <v/>
      </c>
      <c r="M107" s="25">
        <f>IF(L107&lt;&gt;1,"",IF(K107&lt;=0,"",(I106-I107-G107/1000*K107)/K107*1000))</f>
        <v/>
      </c>
      <c r="N107" s="18">
        <f>IF(A107="","",IF(L107=1,I106-I107-O107,IF(OR(C107&gt;0,N(J107)&gt;0),MeanMDWIR/1000*K107,0)))</f>
        <v/>
      </c>
      <c r="O107" s="18">
        <f>IF(A107="","",G107/1000*K107)</f>
        <v/>
      </c>
      <c r="P107" s="27">
        <f>IF(A107="","",IF(L107=1,"dry",IF(D107="Y","spill",IF(B107&gt;0,"wet",IF(E107="Y","pumped","other")))))</f>
        <v/>
      </c>
    </row>
    <row r="108">
      <c r="A108" s="26">
        <f>IF(DailyPond!A108="","",DailyPond!A108)</f>
        <v/>
      </c>
      <c r="B108" s="18">
        <f>IF(A108="","",DailyPond!B108)</f>
        <v/>
      </c>
      <c r="C108" s="25">
        <f>IF(A108="","",DailyPond!C108)</f>
        <v/>
      </c>
      <c r="D108" s="27">
        <f>IF(A108="","",DailyPond!D108)</f>
        <v/>
      </c>
      <c r="E108" s="27">
        <f>IF(A108="","",DailyPond!E108)</f>
        <v/>
      </c>
      <c r="F108" s="19">
        <f>IF(A108="","",MONTH(A108))</f>
        <v/>
      </c>
      <c r="G108" s="18">
        <f>IF(A108="","",VLOOKUP(F108,Evaporation!$A$6:$B$17,2,FALSE))</f>
        <v/>
      </c>
      <c r="H108" s="19">
        <f>IF(A108="","",IF(C108="","",IF(C108&lt;=INDEX(StageAreaVolume!$A$6:$A$17,1),INDEX(StageAreaVolume!$B$6:$B$17,1),IF(C108&gt;=INDEX(StageAreaVolume!$A$6:$A$17,COUNTA(StageAreaVolume!$A$6:$A$17)),INDEX(StageAreaVolume!$B$6:$B$17,COUNTA(StageAreaVolume!$A$6:$A$17)),(INDEX(StageAreaVolume!$B$6:$B$17,MATCH(C108,StageAreaVolume!$A$6:$A$17,1))+(C108-INDEX(StageAreaVolume!$A$6:$A$17,MATCH(C108,StageAreaVolume!$A$6:$A$17,1)))/(INDEX(StageAreaVolume!$A$6:$A$17,MATCH(C108,StageAreaVolume!$A$6:$A$17,1)+1)-INDEX(StageAreaVolume!$A$6:$A$17,MATCH(C108,StageAreaVolume!$A$6:$A$17,1)))*(INDEX(StageAreaVolume!$B$6:$B$17,MATCH(C108,StageAreaVolume!$A$6:$A$17,1)+1)-INDEX(StageAreaVolume!$B$6:$B$17,MATCH(C108,StageAreaVolume!$A$6:$A$17,1)))))))))</f>
        <v/>
      </c>
      <c r="I108" s="18">
        <f>IF(A108="","",IF(C108="","",IF(C108&lt;=INDEX(StageAreaVolume!$A$6:$A$17,1),INDEX(StageAreaVolume!$D$6:$D$17,1),IF(C108&gt;=INDEX(StageAreaVolume!$A$6:$A$17,COUNTA(StageAreaVolume!$A$6:$A$17)),INDEX(StageAreaVolume!$D$6:$D$17,COUNTA(StageAreaVolume!$A$6:$A$17)),(INDEX(StageAreaVolume!$D$6:$D$17,MATCH(C108,StageAreaVolume!$A$6:$A$17,1))+(C108-INDEX(StageAreaVolume!$A$6:$A$17,MATCH(C108,StageAreaVolume!$A$6:$A$17,1)))/(INDEX(StageAreaVolume!$A$6:$A$17,MATCH(C108,StageAreaVolume!$A$6:$A$17,1)+1)-INDEX(StageAreaVolume!$A$6:$A$17,MATCH(C108,StageAreaVolume!$A$6:$A$17,1)))*(INDEX(StageAreaVolume!$D$6:$D$17,MATCH(C108,StageAreaVolume!$A$6:$A$17,1)+1)-INDEX(StageAreaVolume!$D$6:$D$17,MATCH(C108,StageAreaVolume!$A$6:$A$17,1)))))))))</f>
        <v/>
      </c>
      <c r="J108" s="25">
        <f>IF(A108="","",IF(A107="",NA(),C107))</f>
        <v/>
      </c>
      <c r="K108" s="19">
        <f>IF(OR(A108="",ISNA(J108)),IF(A108="","",H108),(H107+H108)/2)</f>
        <v/>
      </c>
      <c r="L108" s="19">
        <f>IF(OR(A108="",ISNA(J108)),0,IF(AND(B108=0,D108="N",E108="N",C108&lt;J108,C108&gt;0),1,0))</f>
        <v/>
      </c>
      <c r="M108" s="25">
        <f>IF(L108&lt;&gt;1,"",IF(K108&lt;=0,"",(I107-I108-G108/1000*K108)/K108*1000))</f>
        <v/>
      </c>
      <c r="N108" s="18">
        <f>IF(A108="","",IF(L108=1,I107-I108-O108,IF(OR(C108&gt;0,N(J108)&gt;0),MeanMDWIR/1000*K108,0)))</f>
        <v/>
      </c>
      <c r="O108" s="18">
        <f>IF(A108="","",G108/1000*K108)</f>
        <v/>
      </c>
      <c r="P108" s="27">
        <f>IF(A108="","",IF(L108=1,"dry",IF(D108="Y","spill",IF(B108&gt;0,"wet",IF(E108="Y","pumped","other")))))</f>
        <v/>
      </c>
    </row>
    <row r="109">
      <c r="A109" s="26">
        <f>IF(DailyPond!A109="","",DailyPond!A109)</f>
        <v/>
      </c>
      <c r="B109" s="18">
        <f>IF(A109="","",DailyPond!B109)</f>
        <v/>
      </c>
      <c r="C109" s="25">
        <f>IF(A109="","",DailyPond!C109)</f>
        <v/>
      </c>
      <c r="D109" s="27">
        <f>IF(A109="","",DailyPond!D109)</f>
        <v/>
      </c>
      <c r="E109" s="27">
        <f>IF(A109="","",DailyPond!E109)</f>
        <v/>
      </c>
      <c r="F109" s="19">
        <f>IF(A109="","",MONTH(A109))</f>
        <v/>
      </c>
      <c r="G109" s="18">
        <f>IF(A109="","",VLOOKUP(F109,Evaporation!$A$6:$B$17,2,FALSE))</f>
        <v/>
      </c>
      <c r="H109" s="19">
        <f>IF(A109="","",IF(C109="","",IF(C109&lt;=INDEX(StageAreaVolume!$A$6:$A$17,1),INDEX(StageAreaVolume!$B$6:$B$17,1),IF(C109&gt;=INDEX(StageAreaVolume!$A$6:$A$17,COUNTA(StageAreaVolume!$A$6:$A$17)),INDEX(StageAreaVolume!$B$6:$B$17,COUNTA(StageAreaVolume!$A$6:$A$17)),(INDEX(StageAreaVolume!$B$6:$B$17,MATCH(C109,StageAreaVolume!$A$6:$A$17,1))+(C109-INDEX(StageAreaVolume!$A$6:$A$17,MATCH(C109,StageAreaVolume!$A$6:$A$17,1)))/(INDEX(StageAreaVolume!$A$6:$A$17,MATCH(C109,StageAreaVolume!$A$6:$A$17,1)+1)-INDEX(StageAreaVolume!$A$6:$A$17,MATCH(C109,StageAreaVolume!$A$6:$A$17,1)))*(INDEX(StageAreaVolume!$B$6:$B$17,MATCH(C109,StageAreaVolume!$A$6:$A$17,1)+1)-INDEX(StageAreaVolume!$B$6:$B$17,MATCH(C109,StageAreaVolume!$A$6:$A$17,1)))))))))</f>
        <v/>
      </c>
      <c r="I109" s="18">
        <f>IF(A109="","",IF(C109="","",IF(C109&lt;=INDEX(StageAreaVolume!$A$6:$A$17,1),INDEX(StageAreaVolume!$D$6:$D$17,1),IF(C109&gt;=INDEX(StageAreaVolume!$A$6:$A$17,COUNTA(StageAreaVolume!$A$6:$A$17)),INDEX(StageAreaVolume!$D$6:$D$17,COUNTA(StageAreaVolume!$A$6:$A$17)),(INDEX(StageAreaVolume!$D$6:$D$17,MATCH(C109,StageAreaVolume!$A$6:$A$17,1))+(C109-INDEX(StageAreaVolume!$A$6:$A$17,MATCH(C109,StageAreaVolume!$A$6:$A$17,1)))/(INDEX(StageAreaVolume!$A$6:$A$17,MATCH(C109,StageAreaVolume!$A$6:$A$17,1)+1)-INDEX(StageAreaVolume!$A$6:$A$17,MATCH(C109,StageAreaVolume!$A$6:$A$17,1)))*(INDEX(StageAreaVolume!$D$6:$D$17,MATCH(C109,StageAreaVolume!$A$6:$A$17,1)+1)-INDEX(StageAreaVolume!$D$6:$D$17,MATCH(C109,StageAreaVolume!$A$6:$A$17,1)))))))))</f>
        <v/>
      </c>
      <c r="J109" s="25">
        <f>IF(A109="","",IF(A108="",NA(),C108))</f>
        <v/>
      </c>
      <c r="K109" s="19">
        <f>IF(OR(A109="",ISNA(J109)),IF(A109="","",H109),(H108+H109)/2)</f>
        <v/>
      </c>
      <c r="L109" s="19">
        <f>IF(OR(A109="",ISNA(J109)),0,IF(AND(B109=0,D109="N",E109="N",C109&lt;J109,C109&gt;0),1,0))</f>
        <v/>
      </c>
      <c r="M109" s="25">
        <f>IF(L109&lt;&gt;1,"",IF(K109&lt;=0,"",(I108-I109-G109/1000*K109)/K109*1000))</f>
        <v/>
      </c>
      <c r="N109" s="18">
        <f>IF(A109="","",IF(L109=1,I108-I109-O109,IF(OR(C109&gt;0,N(J109)&gt;0),MeanMDWIR/1000*K109,0)))</f>
        <v/>
      </c>
      <c r="O109" s="18">
        <f>IF(A109="","",G109/1000*K109)</f>
        <v/>
      </c>
      <c r="P109" s="27">
        <f>IF(A109="","",IF(L109=1,"dry",IF(D109="Y","spill",IF(B109&gt;0,"wet",IF(E109="Y","pumped","other")))))</f>
        <v/>
      </c>
    </row>
    <row r="110">
      <c r="A110" s="26">
        <f>IF(DailyPond!A110="","",DailyPond!A110)</f>
        <v/>
      </c>
      <c r="B110" s="18">
        <f>IF(A110="","",DailyPond!B110)</f>
        <v/>
      </c>
      <c r="C110" s="25">
        <f>IF(A110="","",DailyPond!C110)</f>
        <v/>
      </c>
      <c r="D110" s="27">
        <f>IF(A110="","",DailyPond!D110)</f>
        <v/>
      </c>
      <c r="E110" s="27">
        <f>IF(A110="","",DailyPond!E110)</f>
        <v/>
      </c>
      <c r="F110" s="19">
        <f>IF(A110="","",MONTH(A110))</f>
        <v/>
      </c>
      <c r="G110" s="18">
        <f>IF(A110="","",VLOOKUP(F110,Evaporation!$A$6:$B$17,2,FALSE))</f>
        <v/>
      </c>
      <c r="H110" s="19">
        <f>IF(A110="","",IF(C110="","",IF(C110&lt;=INDEX(StageAreaVolume!$A$6:$A$17,1),INDEX(StageAreaVolume!$B$6:$B$17,1),IF(C110&gt;=INDEX(StageAreaVolume!$A$6:$A$17,COUNTA(StageAreaVolume!$A$6:$A$17)),INDEX(StageAreaVolume!$B$6:$B$17,COUNTA(StageAreaVolume!$A$6:$A$17)),(INDEX(StageAreaVolume!$B$6:$B$17,MATCH(C110,StageAreaVolume!$A$6:$A$17,1))+(C110-INDEX(StageAreaVolume!$A$6:$A$17,MATCH(C110,StageAreaVolume!$A$6:$A$17,1)))/(INDEX(StageAreaVolume!$A$6:$A$17,MATCH(C110,StageAreaVolume!$A$6:$A$17,1)+1)-INDEX(StageAreaVolume!$A$6:$A$17,MATCH(C110,StageAreaVolume!$A$6:$A$17,1)))*(INDEX(StageAreaVolume!$B$6:$B$17,MATCH(C110,StageAreaVolume!$A$6:$A$17,1)+1)-INDEX(StageAreaVolume!$B$6:$B$17,MATCH(C110,StageAreaVolume!$A$6:$A$17,1)))))))))</f>
        <v/>
      </c>
      <c r="I110" s="18">
        <f>IF(A110="","",IF(C110="","",IF(C110&lt;=INDEX(StageAreaVolume!$A$6:$A$17,1),INDEX(StageAreaVolume!$D$6:$D$17,1),IF(C110&gt;=INDEX(StageAreaVolume!$A$6:$A$17,COUNTA(StageAreaVolume!$A$6:$A$17)),INDEX(StageAreaVolume!$D$6:$D$17,COUNTA(StageAreaVolume!$A$6:$A$17)),(INDEX(StageAreaVolume!$D$6:$D$17,MATCH(C110,StageAreaVolume!$A$6:$A$17,1))+(C110-INDEX(StageAreaVolume!$A$6:$A$17,MATCH(C110,StageAreaVolume!$A$6:$A$17,1)))/(INDEX(StageAreaVolume!$A$6:$A$17,MATCH(C110,StageAreaVolume!$A$6:$A$17,1)+1)-INDEX(StageAreaVolume!$A$6:$A$17,MATCH(C110,StageAreaVolume!$A$6:$A$17,1)))*(INDEX(StageAreaVolume!$D$6:$D$17,MATCH(C110,StageAreaVolume!$A$6:$A$17,1)+1)-INDEX(StageAreaVolume!$D$6:$D$17,MATCH(C110,StageAreaVolume!$A$6:$A$17,1)))))))))</f>
        <v/>
      </c>
      <c r="J110" s="25">
        <f>IF(A110="","",IF(A109="",NA(),C109))</f>
        <v/>
      </c>
      <c r="K110" s="19">
        <f>IF(OR(A110="",ISNA(J110)),IF(A110="","",H110),(H109+H110)/2)</f>
        <v/>
      </c>
      <c r="L110" s="19">
        <f>IF(OR(A110="",ISNA(J110)),0,IF(AND(B110=0,D110="N",E110="N",C110&lt;J110,C110&gt;0),1,0))</f>
        <v/>
      </c>
      <c r="M110" s="25">
        <f>IF(L110&lt;&gt;1,"",IF(K110&lt;=0,"",(I109-I110-G110/1000*K110)/K110*1000))</f>
        <v/>
      </c>
      <c r="N110" s="18">
        <f>IF(A110="","",IF(L110=1,I109-I110-O110,IF(OR(C110&gt;0,N(J110)&gt;0),MeanMDWIR/1000*K110,0)))</f>
        <v/>
      </c>
      <c r="O110" s="18">
        <f>IF(A110="","",G110/1000*K110)</f>
        <v/>
      </c>
      <c r="P110" s="27">
        <f>IF(A110="","",IF(L110=1,"dry",IF(D110="Y","spill",IF(B110&gt;0,"wet",IF(E110="Y","pumped","other")))))</f>
        <v/>
      </c>
    </row>
    <row r="111">
      <c r="A111" s="26">
        <f>IF(DailyPond!A111="","",DailyPond!A111)</f>
        <v/>
      </c>
      <c r="B111" s="18">
        <f>IF(A111="","",DailyPond!B111)</f>
        <v/>
      </c>
      <c r="C111" s="25">
        <f>IF(A111="","",DailyPond!C111)</f>
        <v/>
      </c>
      <c r="D111" s="27">
        <f>IF(A111="","",DailyPond!D111)</f>
        <v/>
      </c>
      <c r="E111" s="27">
        <f>IF(A111="","",DailyPond!E111)</f>
        <v/>
      </c>
      <c r="F111" s="19">
        <f>IF(A111="","",MONTH(A111))</f>
        <v/>
      </c>
      <c r="G111" s="18">
        <f>IF(A111="","",VLOOKUP(F111,Evaporation!$A$6:$B$17,2,FALSE))</f>
        <v/>
      </c>
      <c r="H111" s="19">
        <f>IF(A111="","",IF(C111="","",IF(C111&lt;=INDEX(StageAreaVolume!$A$6:$A$17,1),INDEX(StageAreaVolume!$B$6:$B$17,1),IF(C111&gt;=INDEX(StageAreaVolume!$A$6:$A$17,COUNTA(StageAreaVolume!$A$6:$A$17)),INDEX(StageAreaVolume!$B$6:$B$17,COUNTA(StageAreaVolume!$A$6:$A$17)),(INDEX(StageAreaVolume!$B$6:$B$17,MATCH(C111,StageAreaVolume!$A$6:$A$17,1))+(C111-INDEX(StageAreaVolume!$A$6:$A$17,MATCH(C111,StageAreaVolume!$A$6:$A$17,1)))/(INDEX(StageAreaVolume!$A$6:$A$17,MATCH(C111,StageAreaVolume!$A$6:$A$17,1)+1)-INDEX(StageAreaVolume!$A$6:$A$17,MATCH(C111,StageAreaVolume!$A$6:$A$17,1)))*(INDEX(StageAreaVolume!$B$6:$B$17,MATCH(C111,StageAreaVolume!$A$6:$A$17,1)+1)-INDEX(StageAreaVolume!$B$6:$B$17,MATCH(C111,StageAreaVolume!$A$6:$A$17,1)))))))))</f>
        <v/>
      </c>
      <c r="I111" s="18">
        <f>IF(A111="","",IF(C111="","",IF(C111&lt;=INDEX(StageAreaVolume!$A$6:$A$17,1),INDEX(StageAreaVolume!$D$6:$D$17,1),IF(C111&gt;=INDEX(StageAreaVolume!$A$6:$A$17,COUNTA(StageAreaVolume!$A$6:$A$17)),INDEX(StageAreaVolume!$D$6:$D$17,COUNTA(StageAreaVolume!$A$6:$A$17)),(INDEX(StageAreaVolume!$D$6:$D$17,MATCH(C111,StageAreaVolume!$A$6:$A$17,1))+(C111-INDEX(StageAreaVolume!$A$6:$A$17,MATCH(C111,StageAreaVolume!$A$6:$A$17,1)))/(INDEX(StageAreaVolume!$A$6:$A$17,MATCH(C111,StageAreaVolume!$A$6:$A$17,1)+1)-INDEX(StageAreaVolume!$A$6:$A$17,MATCH(C111,StageAreaVolume!$A$6:$A$17,1)))*(INDEX(StageAreaVolume!$D$6:$D$17,MATCH(C111,StageAreaVolume!$A$6:$A$17,1)+1)-INDEX(StageAreaVolume!$D$6:$D$17,MATCH(C111,StageAreaVolume!$A$6:$A$17,1)))))))))</f>
        <v/>
      </c>
      <c r="J111" s="25">
        <f>IF(A111="","",IF(A110="",NA(),C110))</f>
        <v/>
      </c>
      <c r="K111" s="19">
        <f>IF(OR(A111="",ISNA(J111)),IF(A111="","",H111),(H110+H111)/2)</f>
        <v/>
      </c>
      <c r="L111" s="19">
        <f>IF(OR(A111="",ISNA(J111)),0,IF(AND(B111=0,D111="N",E111="N",C111&lt;J111,C111&gt;0),1,0))</f>
        <v/>
      </c>
      <c r="M111" s="25">
        <f>IF(L111&lt;&gt;1,"",IF(K111&lt;=0,"",(I110-I111-G111/1000*K111)/K111*1000))</f>
        <v/>
      </c>
      <c r="N111" s="18">
        <f>IF(A111="","",IF(L111=1,I110-I111-O111,IF(OR(C111&gt;0,N(J111)&gt;0),MeanMDWIR/1000*K111,0)))</f>
        <v/>
      </c>
      <c r="O111" s="18">
        <f>IF(A111="","",G111/1000*K111)</f>
        <v/>
      </c>
      <c r="P111" s="27">
        <f>IF(A111="","",IF(L111=1,"dry",IF(D111="Y","spill",IF(B111&gt;0,"wet",IF(E111="Y","pumped","other")))))</f>
        <v/>
      </c>
    </row>
    <row r="112">
      <c r="A112" s="26">
        <f>IF(DailyPond!A112="","",DailyPond!A112)</f>
        <v/>
      </c>
      <c r="B112" s="18">
        <f>IF(A112="","",DailyPond!B112)</f>
        <v/>
      </c>
      <c r="C112" s="25">
        <f>IF(A112="","",DailyPond!C112)</f>
        <v/>
      </c>
      <c r="D112" s="27">
        <f>IF(A112="","",DailyPond!D112)</f>
        <v/>
      </c>
      <c r="E112" s="27">
        <f>IF(A112="","",DailyPond!E112)</f>
        <v/>
      </c>
      <c r="F112" s="19">
        <f>IF(A112="","",MONTH(A112))</f>
        <v/>
      </c>
      <c r="G112" s="18">
        <f>IF(A112="","",VLOOKUP(F112,Evaporation!$A$6:$B$17,2,FALSE))</f>
        <v/>
      </c>
      <c r="H112" s="19">
        <f>IF(A112="","",IF(C112="","",IF(C112&lt;=INDEX(StageAreaVolume!$A$6:$A$17,1),INDEX(StageAreaVolume!$B$6:$B$17,1),IF(C112&gt;=INDEX(StageAreaVolume!$A$6:$A$17,COUNTA(StageAreaVolume!$A$6:$A$17)),INDEX(StageAreaVolume!$B$6:$B$17,COUNTA(StageAreaVolume!$A$6:$A$17)),(INDEX(StageAreaVolume!$B$6:$B$17,MATCH(C112,StageAreaVolume!$A$6:$A$17,1))+(C112-INDEX(StageAreaVolume!$A$6:$A$17,MATCH(C112,StageAreaVolume!$A$6:$A$17,1)))/(INDEX(StageAreaVolume!$A$6:$A$17,MATCH(C112,StageAreaVolume!$A$6:$A$17,1)+1)-INDEX(StageAreaVolume!$A$6:$A$17,MATCH(C112,StageAreaVolume!$A$6:$A$17,1)))*(INDEX(StageAreaVolume!$B$6:$B$17,MATCH(C112,StageAreaVolume!$A$6:$A$17,1)+1)-INDEX(StageAreaVolume!$B$6:$B$17,MATCH(C112,StageAreaVolume!$A$6:$A$17,1)))))))))</f>
        <v/>
      </c>
      <c r="I112" s="18">
        <f>IF(A112="","",IF(C112="","",IF(C112&lt;=INDEX(StageAreaVolume!$A$6:$A$17,1),INDEX(StageAreaVolume!$D$6:$D$17,1),IF(C112&gt;=INDEX(StageAreaVolume!$A$6:$A$17,COUNTA(StageAreaVolume!$A$6:$A$17)),INDEX(StageAreaVolume!$D$6:$D$17,COUNTA(StageAreaVolume!$A$6:$A$17)),(INDEX(StageAreaVolume!$D$6:$D$17,MATCH(C112,StageAreaVolume!$A$6:$A$17,1))+(C112-INDEX(StageAreaVolume!$A$6:$A$17,MATCH(C112,StageAreaVolume!$A$6:$A$17,1)))/(INDEX(StageAreaVolume!$A$6:$A$17,MATCH(C112,StageAreaVolume!$A$6:$A$17,1)+1)-INDEX(StageAreaVolume!$A$6:$A$17,MATCH(C112,StageAreaVolume!$A$6:$A$17,1)))*(INDEX(StageAreaVolume!$D$6:$D$17,MATCH(C112,StageAreaVolume!$A$6:$A$17,1)+1)-INDEX(StageAreaVolume!$D$6:$D$17,MATCH(C112,StageAreaVolume!$A$6:$A$17,1)))))))))</f>
        <v/>
      </c>
      <c r="J112" s="25">
        <f>IF(A112="","",IF(A111="",NA(),C111))</f>
        <v/>
      </c>
      <c r="K112" s="19">
        <f>IF(OR(A112="",ISNA(J112)),IF(A112="","",H112),(H111+H112)/2)</f>
        <v/>
      </c>
      <c r="L112" s="19">
        <f>IF(OR(A112="",ISNA(J112)),0,IF(AND(B112=0,D112="N",E112="N",C112&lt;J112,C112&gt;0),1,0))</f>
        <v/>
      </c>
      <c r="M112" s="25">
        <f>IF(L112&lt;&gt;1,"",IF(K112&lt;=0,"",(I111-I112-G112/1000*K112)/K112*1000))</f>
        <v/>
      </c>
      <c r="N112" s="18">
        <f>IF(A112="","",IF(L112=1,I111-I112-O112,IF(OR(C112&gt;0,N(J112)&gt;0),MeanMDWIR/1000*K112,0)))</f>
        <v/>
      </c>
      <c r="O112" s="18">
        <f>IF(A112="","",G112/1000*K112)</f>
        <v/>
      </c>
      <c r="P112" s="27">
        <f>IF(A112="","",IF(L112=1,"dry",IF(D112="Y","spill",IF(B112&gt;0,"wet",IF(E112="Y","pumped","other")))))</f>
        <v/>
      </c>
    </row>
    <row r="113">
      <c r="A113" s="26">
        <f>IF(DailyPond!A113="","",DailyPond!A113)</f>
        <v/>
      </c>
      <c r="B113" s="18">
        <f>IF(A113="","",DailyPond!B113)</f>
        <v/>
      </c>
      <c r="C113" s="25">
        <f>IF(A113="","",DailyPond!C113)</f>
        <v/>
      </c>
      <c r="D113" s="27">
        <f>IF(A113="","",DailyPond!D113)</f>
        <v/>
      </c>
      <c r="E113" s="27">
        <f>IF(A113="","",DailyPond!E113)</f>
        <v/>
      </c>
      <c r="F113" s="19">
        <f>IF(A113="","",MONTH(A113))</f>
        <v/>
      </c>
      <c r="G113" s="18">
        <f>IF(A113="","",VLOOKUP(F113,Evaporation!$A$6:$B$17,2,FALSE))</f>
        <v/>
      </c>
      <c r="H113" s="19">
        <f>IF(A113="","",IF(C113="","",IF(C113&lt;=INDEX(StageAreaVolume!$A$6:$A$17,1),INDEX(StageAreaVolume!$B$6:$B$17,1),IF(C113&gt;=INDEX(StageAreaVolume!$A$6:$A$17,COUNTA(StageAreaVolume!$A$6:$A$17)),INDEX(StageAreaVolume!$B$6:$B$17,COUNTA(StageAreaVolume!$A$6:$A$17)),(INDEX(StageAreaVolume!$B$6:$B$17,MATCH(C113,StageAreaVolume!$A$6:$A$17,1))+(C113-INDEX(StageAreaVolume!$A$6:$A$17,MATCH(C113,StageAreaVolume!$A$6:$A$17,1)))/(INDEX(StageAreaVolume!$A$6:$A$17,MATCH(C113,StageAreaVolume!$A$6:$A$17,1)+1)-INDEX(StageAreaVolume!$A$6:$A$17,MATCH(C113,StageAreaVolume!$A$6:$A$17,1)))*(INDEX(StageAreaVolume!$B$6:$B$17,MATCH(C113,StageAreaVolume!$A$6:$A$17,1)+1)-INDEX(StageAreaVolume!$B$6:$B$17,MATCH(C113,StageAreaVolume!$A$6:$A$17,1)))))))))</f>
        <v/>
      </c>
      <c r="I113" s="18">
        <f>IF(A113="","",IF(C113="","",IF(C113&lt;=INDEX(StageAreaVolume!$A$6:$A$17,1),INDEX(StageAreaVolume!$D$6:$D$17,1),IF(C113&gt;=INDEX(StageAreaVolume!$A$6:$A$17,COUNTA(StageAreaVolume!$A$6:$A$17)),INDEX(StageAreaVolume!$D$6:$D$17,COUNTA(StageAreaVolume!$A$6:$A$17)),(INDEX(StageAreaVolume!$D$6:$D$17,MATCH(C113,StageAreaVolume!$A$6:$A$17,1))+(C113-INDEX(StageAreaVolume!$A$6:$A$17,MATCH(C113,StageAreaVolume!$A$6:$A$17,1)))/(INDEX(StageAreaVolume!$A$6:$A$17,MATCH(C113,StageAreaVolume!$A$6:$A$17,1)+1)-INDEX(StageAreaVolume!$A$6:$A$17,MATCH(C113,StageAreaVolume!$A$6:$A$17,1)))*(INDEX(StageAreaVolume!$D$6:$D$17,MATCH(C113,StageAreaVolume!$A$6:$A$17,1)+1)-INDEX(StageAreaVolume!$D$6:$D$17,MATCH(C113,StageAreaVolume!$A$6:$A$17,1)))))))))</f>
        <v/>
      </c>
      <c r="J113" s="25">
        <f>IF(A113="","",IF(A112="",NA(),C112))</f>
        <v/>
      </c>
      <c r="K113" s="19">
        <f>IF(OR(A113="",ISNA(J113)),IF(A113="","",H113),(H112+H113)/2)</f>
        <v/>
      </c>
      <c r="L113" s="19">
        <f>IF(OR(A113="",ISNA(J113)),0,IF(AND(B113=0,D113="N",E113="N",C113&lt;J113,C113&gt;0),1,0))</f>
        <v/>
      </c>
      <c r="M113" s="25">
        <f>IF(L113&lt;&gt;1,"",IF(K113&lt;=0,"",(I112-I113-G113/1000*K113)/K113*1000))</f>
        <v/>
      </c>
      <c r="N113" s="18">
        <f>IF(A113="","",IF(L113=1,I112-I113-O113,IF(OR(C113&gt;0,N(J113)&gt;0),MeanMDWIR/1000*K113,0)))</f>
        <v/>
      </c>
      <c r="O113" s="18">
        <f>IF(A113="","",G113/1000*K113)</f>
        <v/>
      </c>
      <c r="P113" s="27">
        <f>IF(A113="","",IF(L113=1,"dry",IF(D113="Y","spill",IF(B113&gt;0,"wet",IF(E113="Y","pumped","other")))))</f>
        <v/>
      </c>
    </row>
    <row r="114">
      <c r="A114" s="26">
        <f>IF(DailyPond!A114="","",DailyPond!A114)</f>
        <v/>
      </c>
      <c r="B114" s="18">
        <f>IF(A114="","",DailyPond!B114)</f>
        <v/>
      </c>
      <c r="C114" s="25">
        <f>IF(A114="","",DailyPond!C114)</f>
        <v/>
      </c>
      <c r="D114" s="27">
        <f>IF(A114="","",DailyPond!D114)</f>
        <v/>
      </c>
      <c r="E114" s="27">
        <f>IF(A114="","",DailyPond!E114)</f>
        <v/>
      </c>
      <c r="F114" s="19">
        <f>IF(A114="","",MONTH(A114))</f>
        <v/>
      </c>
      <c r="G114" s="18">
        <f>IF(A114="","",VLOOKUP(F114,Evaporation!$A$6:$B$17,2,FALSE))</f>
        <v/>
      </c>
      <c r="H114" s="19">
        <f>IF(A114="","",IF(C114="","",IF(C114&lt;=INDEX(StageAreaVolume!$A$6:$A$17,1),INDEX(StageAreaVolume!$B$6:$B$17,1),IF(C114&gt;=INDEX(StageAreaVolume!$A$6:$A$17,COUNTA(StageAreaVolume!$A$6:$A$17)),INDEX(StageAreaVolume!$B$6:$B$17,COUNTA(StageAreaVolume!$A$6:$A$17)),(INDEX(StageAreaVolume!$B$6:$B$17,MATCH(C114,StageAreaVolume!$A$6:$A$17,1))+(C114-INDEX(StageAreaVolume!$A$6:$A$17,MATCH(C114,StageAreaVolume!$A$6:$A$17,1)))/(INDEX(StageAreaVolume!$A$6:$A$17,MATCH(C114,StageAreaVolume!$A$6:$A$17,1)+1)-INDEX(StageAreaVolume!$A$6:$A$17,MATCH(C114,StageAreaVolume!$A$6:$A$17,1)))*(INDEX(StageAreaVolume!$B$6:$B$17,MATCH(C114,StageAreaVolume!$A$6:$A$17,1)+1)-INDEX(StageAreaVolume!$B$6:$B$17,MATCH(C114,StageAreaVolume!$A$6:$A$17,1)))))))))</f>
        <v/>
      </c>
      <c r="I114" s="18">
        <f>IF(A114="","",IF(C114="","",IF(C114&lt;=INDEX(StageAreaVolume!$A$6:$A$17,1),INDEX(StageAreaVolume!$D$6:$D$17,1),IF(C114&gt;=INDEX(StageAreaVolume!$A$6:$A$17,COUNTA(StageAreaVolume!$A$6:$A$17)),INDEX(StageAreaVolume!$D$6:$D$17,COUNTA(StageAreaVolume!$A$6:$A$17)),(INDEX(StageAreaVolume!$D$6:$D$17,MATCH(C114,StageAreaVolume!$A$6:$A$17,1))+(C114-INDEX(StageAreaVolume!$A$6:$A$17,MATCH(C114,StageAreaVolume!$A$6:$A$17,1)))/(INDEX(StageAreaVolume!$A$6:$A$17,MATCH(C114,StageAreaVolume!$A$6:$A$17,1)+1)-INDEX(StageAreaVolume!$A$6:$A$17,MATCH(C114,StageAreaVolume!$A$6:$A$17,1)))*(INDEX(StageAreaVolume!$D$6:$D$17,MATCH(C114,StageAreaVolume!$A$6:$A$17,1)+1)-INDEX(StageAreaVolume!$D$6:$D$17,MATCH(C114,StageAreaVolume!$A$6:$A$17,1)))))))))</f>
        <v/>
      </c>
      <c r="J114" s="25">
        <f>IF(A114="","",IF(A113="",NA(),C113))</f>
        <v/>
      </c>
      <c r="K114" s="19">
        <f>IF(OR(A114="",ISNA(J114)),IF(A114="","",H114),(H113+H114)/2)</f>
        <v/>
      </c>
      <c r="L114" s="19">
        <f>IF(OR(A114="",ISNA(J114)),0,IF(AND(B114=0,D114="N",E114="N",C114&lt;J114,C114&gt;0),1,0))</f>
        <v/>
      </c>
      <c r="M114" s="25">
        <f>IF(L114&lt;&gt;1,"",IF(K114&lt;=0,"",(I113-I114-G114/1000*K114)/K114*1000))</f>
        <v/>
      </c>
      <c r="N114" s="18">
        <f>IF(A114="","",IF(L114=1,I113-I114-O114,IF(OR(C114&gt;0,N(J114)&gt;0),MeanMDWIR/1000*K114,0)))</f>
        <v/>
      </c>
      <c r="O114" s="18">
        <f>IF(A114="","",G114/1000*K114)</f>
        <v/>
      </c>
      <c r="P114" s="27">
        <f>IF(A114="","",IF(L114=1,"dry",IF(D114="Y","spill",IF(B114&gt;0,"wet",IF(E114="Y","pumped","other")))))</f>
        <v/>
      </c>
    </row>
    <row r="115">
      <c r="A115" s="26">
        <f>IF(DailyPond!A115="","",DailyPond!A115)</f>
        <v/>
      </c>
      <c r="B115" s="18">
        <f>IF(A115="","",DailyPond!B115)</f>
        <v/>
      </c>
      <c r="C115" s="25">
        <f>IF(A115="","",DailyPond!C115)</f>
        <v/>
      </c>
      <c r="D115" s="27">
        <f>IF(A115="","",DailyPond!D115)</f>
        <v/>
      </c>
      <c r="E115" s="27">
        <f>IF(A115="","",DailyPond!E115)</f>
        <v/>
      </c>
      <c r="F115" s="19">
        <f>IF(A115="","",MONTH(A115))</f>
        <v/>
      </c>
      <c r="G115" s="18">
        <f>IF(A115="","",VLOOKUP(F115,Evaporation!$A$6:$B$17,2,FALSE))</f>
        <v/>
      </c>
      <c r="H115" s="19">
        <f>IF(A115="","",IF(C115="","",IF(C115&lt;=INDEX(StageAreaVolume!$A$6:$A$17,1),INDEX(StageAreaVolume!$B$6:$B$17,1),IF(C115&gt;=INDEX(StageAreaVolume!$A$6:$A$17,COUNTA(StageAreaVolume!$A$6:$A$17)),INDEX(StageAreaVolume!$B$6:$B$17,COUNTA(StageAreaVolume!$A$6:$A$17)),(INDEX(StageAreaVolume!$B$6:$B$17,MATCH(C115,StageAreaVolume!$A$6:$A$17,1))+(C115-INDEX(StageAreaVolume!$A$6:$A$17,MATCH(C115,StageAreaVolume!$A$6:$A$17,1)))/(INDEX(StageAreaVolume!$A$6:$A$17,MATCH(C115,StageAreaVolume!$A$6:$A$17,1)+1)-INDEX(StageAreaVolume!$A$6:$A$17,MATCH(C115,StageAreaVolume!$A$6:$A$17,1)))*(INDEX(StageAreaVolume!$B$6:$B$17,MATCH(C115,StageAreaVolume!$A$6:$A$17,1)+1)-INDEX(StageAreaVolume!$B$6:$B$17,MATCH(C115,StageAreaVolume!$A$6:$A$17,1)))))))))</f>
        <v/>
      </c>
      <c r="I115" s="18">
        <f>IF(A115="","",IF(C115="","",IF(C115&lt;=INDEX(StageAreaVolume!$A$6:$A$17,1),INDEX(StageAreaVolume!$D$6:$D$17,1),IF(C115&gt;=INDEX(StageAreaVolume!$A$6:$A$17,COUNTA(StageAreaVolume!$A$6:$A$17)),INDEX(StageAreaVolume!$D$6:$D$17,COUNTA(StageAreaVolume!$A$6:$A$17)),(INDEX(StageAreaVolume!$D$6:$D$17,MATCH(C115,StageAreaVolume!$A$6:$A$17,1))+(C115-INDEX(StageAreaVolume!$A$6:$A$17,MATCH(C115,StageAreaVolume!$A$6:$A$17,1)))/(INDEX(StageAreaVolume!$A$6:$A$17,MATCH(C115,StageAreaVolume!$A$6:$A$17,1)+1)-INDEX(StageAreaVolume!$A$6:$A$17,MATCH(C115,StageAreaVolume!$A$6:$A$17,1)))*(INDEX(StageAreaVolume!$D$6:$D$17,MATCH(C115,StageAreaVolume!$A$6:$A$17,1)+1)-INDEX(StageAreaVolume!$D$6:$D$17,MATCH(C115,StageAreaVolume!$A$6:$A$17,1)))))))))</f>
        <v/>
      </c>
      <c r="J115" s="25">
        <f>IF(A115="","",IF(A114="",NA(),C114))</f>
        <v/>
      </c>
      <c r="K115" s="19">
        <f>IF(OR(A115="",ISNA(J115)),IF(A115="","",H115),(H114+H115)/2)</f>
        <v/>
      </c>
      <c r="L115" s="19">
        <f>IF(OR(A115="",ISNA(J115)),0,IF(AND(B115=0,D115="N",E115="N",C115&lt;J115,C115&gt;0),1,0))</f>
        <v/>
      </c>
      <c r="M115" s="25">
        <f>IF(L115&lt;&gt;1,"",IF(K115&lt;=0,"",(I114-I115-G115/1000*K115)/K115*1000))</f>
        <v/>
      </c>
      <c r="N115" s="18">
        <f>IF(A115="","",IF(L115=1,I114-I115-O115,IF(OR(C115&gt;0,N(J115)&gt;0),MeanMDWIR/1000*K115,0)))</f>
        <v/>
      </c>
      <c r="O115" s="18">
        <f>IF(A115="","",G115/1000*K115)</f>
        <v/>
      </c>
      <c r="P115" s="27">
        <f>IF(A115="","",IF(L115=1,"dry",IF(D115="Y","spill",IF(B115&gt;0,"wet",IF(E115="Y","pumped","other")))))</f>
        <v/>
      </c>
    </row>
    <row r="116">
      <c r="A116" s="26">
        <f>IF(DailyPond!A116="","",DailyPond!A116)</f>
        <v/>
      </c>
      <c r="B116" s="18">
        <f>IF(A116="","",DailyPond!B116)</f>
        <v/>
      </c>
      <c r="C116" s="25">
        <f>IF(A116="","",DailyPond!C116)</f>
        <v/>
      </c>
      <c r="D116" s="27">
        <f>IF(A116="","",DailyPond!D116)</f>
        <v/>
      </c>
      <c r="E116" s="27">
        <f>IF(A116="","",DailyPond!E116)</f>
        <v/>
      </c>
      <c r="F116" s="19">
        <f>IF(A116="","",MONTH(A116))</f>
        <v/>
      </c>
      <c r="G116" s="18">
        <f>IF(A116="","",VLOOKUP(F116,Evaporation!$A$6:$B$17,2,FALSE))</f>
        <v/>
      </c>
      <c r="H116" s="19">
        <f>IF(A116="","",IF(C116="","",IF(C116&lt;=INDEX(StageAreaVolume!$A$6:$A$17,1),INDEX(StageAreaVolume!$B$6:$B$17,1),IF(C116&gt;=INDEX(StageAreaVolume!$A$6:$A$17,COUNTA(StageAreaVolume!$A$6:$A$17)),INDEX(StageAreaVolume!$B$6:$B$17,COUNTA(StageAreaVolume!$A$6:$A$17)),(INDEX(StageAreaVolume!$B$6:$B$17,MATCH(C116,StageAreaVolume!$A$6:$A$17,1))+(C116-INDEX(StageAreaVolume!$A$6:$A$17,MATCH(C116,StageAreaVolume!$A$6:$A$17,1)))/(INDEX(StageAreaVolume!$A$6:$A$17,MATCH(C116,StageAreaVolume!$A$6:$A$17,1)+1)-INDEX(StageAreaVolume!$A$6:$A$17,MATCH(C116,StageAreaVolume!$A$6:$A$17,1)))*(INDEX(StageAreaVolume!$B$6:$B$17,MATCH(C116,StageAreaVolume!$A$6:$A$17,1)+1)-INDEX(StageAreaVolume!$B$6:$B$17,MATCH(C116,StageAreaVolume!$A$6:$A$17,1)))))))))</f>
        <v/>
      </c>
      <c r="I116" s="18">
        <f>IF(A116="","",IF(C116="","",IF(C116&lt;=INDEX(StageAreaVolume!$A$6:$A$17,1),INDEX(StageAreaVolume!$D$6:$D$17,1),IF(C116&gt;=INDEX(StageAreaVolume!$A$6:$A$17,COUNTA(StageAreaVolume!$A$6:$A$17)),INDEX(StageAreaVolume!$D$6:$D$17,COUNTA(StageAreaVolume!$A$6:$A$17)),(INDEX(StageAreaVolume!$D$6:$D$17,MATCH(C116,StageAreaVolume!$A$6:$A$17,1))+(C116-INDEX(StageAreaVolume!$A$6:$A$17,MATCH(C116,StageAreaVolume!$A$6:$A$17,1)))/(INDEX(StageAreaVolume!$A$6:$A$17,MATCH(C116,StageAreaVolume!$A$6:$A$17,1)+1)-INDEX(StageAreaVolume!$A$6:$A$17,MATCH(C116,StageAreaVolume!$A$6:$A$17,1)))*(INDEX(StageAreaVolume!$D$6:$D$17,MATCH(C116,StageAreaVolume!$A$6:$A$17,1)+1)-INDEX(StageAreaVolume!$D$6:$D$17,MATCH(C116,StageAreaVolume!$A$6:$A$17,1)))))))))</f>
        <v/>
      </c>
      <c r="J116" s="25">
        <f>IF(A116="","",IF(A115="",NA(),C115))</f>
        <v/>
      </c>
      <c r="K116" s="19">
        <f>IF(OR(A116="",ISNA(J116)),IF(A116="","",H116),(H115+H116)/2)</f>
        <v/>
      </c>
      <c r="L116" s="19">
        <f>IF(OR(A116="",ISNA(J116)),0,IF(AND(B116=0,D116="N",E116="N",C116&lt;J116,C116&gt;0),1,0))</f>
        <v/>
      </c>
      <c r="M116" s="25">
        <f>IF(L116&lt;&gt;1,"",IF(K116&lt;=0,"",(I115-I116-G116/1000*K116)/K116*1000))</f>
        <v/>
      </c>
      <c r="N116" s="18">
        <f>IF(A116="","",IF(L116=1,I115-I116-O116,IF(OR(C116&gt;0,N(J116)&gt;0),MeanMDWIR/1000*K116,0)))</f>
        <v/>
      </c>
      <c r="O116" s="18">
        <f>IF(A116="","",G116/1000*K116)</f>
        <v/>
      </c>
      <c r="P116" s="27">
        <f>IF(A116="","",IF(L116=1,"dry",IF(D116="Y","spill",IF(B116&gt;0,"wet",IF(E116="Y","pumped","other")))))</f>
        <v/>
      </c>
    </row>
    <row r="117">
      <c r="A117" s="26">
        <f>IF(DailyPond!A117="","",DailyPond!A117)</f>
        <v/>
      </c>
      <c r="B117" s="18">
        <f>IF(A117="","",DailyPond!B117)</f>
        <v/>
      </c>
      <c r="C117" s="25">
        <f>IF(A117="","",DailyPond!C117)</f>
        <v/>
      </c>
      <c r="D117" s="27">
        <f>IF(A117="","",DailyPond!D117)</f>
        <v/>
      </c>
      <c r="E117" s="27">
        <f>IF(A117="","",DailyPond!E117)</f>
        <v/>
      </c>
      <c r="F117" s="19">
        <f>IF(A117="","",MONTH(A117))</f>
        <v/>
      </c>
      <c r="G117" s="18">
        <f>IF(A117="","",VLOOKUP(F117,Evaporation!$A$6:$B$17,2,FALSE))</f>
        <v/>
      </c>
      <c r="H117" s="19">
        <f>IF(A117="","",IF(C117="","",IF(C117&lt;=INDEX(StageAreaVolume!$A$6:$A$17,1),INDEX(StageAreaVolume!$B$6:$B$17,1),IF(C117&gt;=INDEX(StageAreaVolume!$A$6:$A$17,COUNTA(StageAreaVolume!$A$6:$A$17)),INDEX(StageAreaVolume!$B$6:$B$17,COUNTA(StageAreaVolume!$A$6:$A$17)),(INDEX(StageAreaVolume!$B$6:$B$17,MATCH(C117,StageAreaVolume!$A$6:$A$17,1))+(C117-INDEX(StageAreaVolume!$A$6:$A$17,MATCH(C117,StageAreaVolume!$A$6:$A$17,1)))/(INDEX(StageAreaVolume!$A$6:$A$17,MATCH(C117,StageAreaVolume!$A$6:$A$17,1)+1)-INDEX(StageAreaVolume!$A$6:$A$17,MATCH(C117,StageAreaVolume!$A$6:$A$17,1)))*(INDEX(StageAreaVolume!$B$6:$B$17,MATCH(C117,StageAreaVolume!$A$6:$A$17,1)+1)-INDEX(StageAreaVolume!$B$6:$B$17,MATCH(C117,StageAreaVolume!$A$6:$A$17,1)))))))))</f>
        <v/>
      </c>
      <c r="I117" s="18">
        <f>IF(A117="","",IF(C117="","",IF(C117&lt;=INDEX(StageAreaVolume!$A$6:$A$17,1),INDEX(StageAreaVolume!$D$6:$D$17,1),IF(C117&gt;=INDEX(StageAreaVolume!$A$6:$A$17,COUNTA(StageAreaVolume!$A$6:$A$17)),INDEX(StageAreaVolume!$D$6:$D$17,COUNTA(StageAreaVolume!$A$6:$A$17)),(INDEX(StageAreaVolume!$D$6:$D$17,MATCH(C117,StageAreaVolume!$A$6:$A$17,1))+(C117-INDEX(StageAreaVolume!$A$6:$A$17,MATCH(C117,StageAreaVolume!$A$6:$A$17,1)))/(INDEX(StageAreaVolume!$A$6:$A$17,MATCH(C117,StageAreaVolume!$A$6:$A$17,1)+1)-INDEX(StageAreaVolume!$A$6:$A$17,MATCH(C117,StageAreaVolume!$A$6:$A$17,1)))*(INDEX(StageAreaVolume!$D$6:$D$17,MATCH(C117,StageAreaVolume!$A$6:$A$17,1)+1)-INDEX(StageAreaVolume!$D$6:$D$17,MATCH(C117,StageAreaVolume!$A$6:$A$17,1)))))))))</f>
        <v/>
      </c>
      <c r="J117" s="25">
        <f>IF(A117="","",IF(A116="",NA(),C116))</f>
        <v/>
      </c>
      <c r="K117" s="19">
        <f>IF(OR(A117="",ISNA(J117)),IF(A117="","",H117),(H116+H117)/2)</f>
        <v/>
      </c>
      <c r="L117" s="19">
        <f>IF(OR(A117="",ISNA(J117)),0,IF(AND(B117=0,D117="N",E117="N",C117&lt;J117,C117&gt;0),1,0))</f>
        <v/>
      </c>
      <c r="M117" s="25">
        <f>IF(L117&lt;&gt;1,"",IF(K117&lt;=0,"",(I116-I117-G117/1000*K117)/K117*1000))</f>
        <v/>
      </c>
      <c r="N117" s="18">
        <f>IF(A117="","",IF(L117=1,I116-I117-O117,IF(OR(C117&gt;0,N(J117)&gt;0),MeanMDWIR/1000*K117,0)))</f>
        <v/>
      </c>
      <c r="O117" s="18">
        <f>IF(A117="","",G117/1000*K117)</f>
        <v/>
      </c>
      <c r="P117" s="27">
        <f>IF(A117="","",IF(L117=1,"dry",IF(D117="Y","spill",IF(B117&gt;0,"wet",IF(E117="Y","pumped","other")))))</f>
        <v/>
      </c>
    </row>
    <row r="118">
      <c r="A118" s="26">
        <f>IF(DailyPond!A118="","",DailyPond!A118)</f>
        <v/>
      </c>
      <c r="B118" s="18">
        <f>IF(A118="","",DailyPond!B118)</f>
        <v/>
      </c>
      <c r="C118" s="25">
        <f>IF(A118="","",DailyPond!C118)</f>
        <v/>
      </c>
      <c r="D118" s="27">
        <f>IF(A118="","",DailyPond!D118)</f>
        <v/>
      </c>
      <c r="E118" s="27">
        <f>IF(A118="","",DailyPond!E118)</f>
        <v/>
      </c>
      <c r="F118" s="19">
        <f>IF(A118="","",MONTH(A118))</f>
        <v/>
      </c>
      <c r="G118" s="18">
        <f>IF(A118="","",VLOOKUP(F118,Evaporation!$A$6:$B$17,2,FALSE))</f>
        <v/>
      </c>
      <c r="H118" s="19">
        <f>IF(A118="","",IF(C118="","",IF(C118&lt;=INDEX(StageAreaVolume!$A$6:$A$17,1),INDEX(StageAreaVolume!$B$6:$B$17,1),IF(C118&gt;=INDEX(StageAreaVolume!$A$6:$A$17,COUNTA(StageAreaVolume!$A$6:$A$17)),INDEX(StageAreaVolume!$B$6:$B$17,COUNTA(StageAreaVolume!$A$6:$A$17)),(INDEX(StageAreaVolume!$B$6:$B$17,MATCH(C118,StageAreaVolume!$A$6:$A$17,1))+(C118-INDEX(StageAreaVolume!$A$6:$A$17,MATCH(C118,StageAreaVolume!$A$6:$A$17,1)))/(INDEX(StageAreaVolume!$A$6:$A$17,MATCH(C118,StageAreaVolume!$A$6:$A$17,1)+1)-INDEX(StageAreaVolume!$A$6:$A$17,MATCH(C118,StageAreaVolume!$A$6:$A$17,1)))*(INDEX(StageAreaVolume!$B$6:$B$17,MATCH(C118,StageAreaVolume!$A$6:$A$17,1)+1)-INDEX(StageAreaVolume!$B$6:$B$17,MATCH(C118,StageAreaVolume!$A$6:$A$17,1)))))))))</f>
        <v/>
      </c>
      <c r="I118" s="18">
        <f>IF(A118="","",IF(C118="","",IF(C118&lt;=INDEX(StageAreaVolume!$A$6:$A$17,1),INDEX(StageAreaVolume!$D$6:$D$17,1),IF(C118&gt;=INDEX(StageAreaVolume!$A$6:$A$17,COUNTA(StageAreaVolume!$A$6:$A$17)),INDEX(StageAreaVolume!$D$6:$D$17,COUNTA(StageAreaVolume!$A$6:$A$17)),(INDEX(StageAreaVolume!$D$6:$D$17,MATCH(C118,StageAreaVolume!$A$6:$A$17,1))+(C118-INDEX(StageAreaVolume!$A$6:$A$17,MATCH(C118,StageAreaVolume!$A$6:$A$17,1)))/(INDEX(StageAreaVolume!$A$6:$A$17,MATCH(C118,StageAreaVolume!$A$6:$A$17,1)+1)-INDEX(StageAreaVolume!$A$6:$A$17,MATCH(C118,StageAreaVolume!$A$6:$A$17,1)))*(INDEX(StageAreaVolume!$D$6:$D$17,MATCH(C118,StageAreaVolume!$A$6:$A$17,1)+1)-INDEX(StageAreaVolume!$D$6:$D$17,MATCH(C118,StageAreaVolume!$A$6:$A$17,1)))))))))</f>
        <v/>
      </c>
      <c r="J118" s="25">
        <f>IF(A118="","",IF(A117="",NA(),C117))</f>
        <v/>
      </c>
      <c r="K118" s="19">
        <f>IF(OR(A118="",ISNA(J118)),IF(A118="","",H118),(H117+H118)/2)</f>
        <v/>
      </c>
      <c r="L118" s="19">
        <f>IF(OR(A118="",ISNA(J118)),0,IF(AND(B118=0,D118="N",E118="N",C118&lt;J118,C118&gt;0),1,0))</f>
        <v/>
      </c>
      <c r="M118" s="25">
        <f>IF(L118&lt;&gt;1,"",IF(K118&lt;=0,"",(I117-I118-G118/1000*K118)/K118*1000))</f>
        <v/>
      </c>
      <c r="N118" s="18">
        <f>IF(A118="","",IF(L118=1,I117-I118-O118,IF(OR(C118&gt;0,N(J118)&gt;0),MeanMDWIR/1000*K118,0)))</f>
        <v/>
      </c>
      <c r="O118" s="18">
        <f>IF(A118="","",G118/1000*K118)</f>
        <v/>
      </c>
      <c r="P118" s="27">
        <f>IF(A118="","",IF(L118=1,"dry",IF(D118="Y","spill",IF(B118&gt;0,"wet",IF(E118="Y","pumped","other")))))</f>
        <v/>
      </c>
    </row>
    <row r="119">
      <c r="A119" s="26">
        <f>IF(DailyPond!A119="","",DailyPond!A119)</f>
        <v/>
      </c>
      <c r="B119" s="18">
        <f>IF(A119="","",DailyPond!B119)</f>
        <v/>
      </c>
      <c r="C119" s="25">
        <f>IF(A119="","",DailyPond!C119)</f>
        <v/>
      </c>
      <c r="D119" s="27">
        <f>IF(A119="","",DailyPond!D119)</f>
        <v/>
      </c>
      <c r="E119" s="27">
        <f>IF(A119="","",DailyPond!E119)</f>
        <v/>
      </c>
      <c r="F119" s="19">
        <f>IF(A119="","",MONTH(A119))</f>
        <v/>
      </c>
      <c r="G119" s="18">
        <f>IF(A119="","",VLOOKUP(F119,Evaporation!$A$6:$B$17,2,FALSE))</f>
        <v/>
      </c>
      <c r="H119" s="19">
        <f>IF(A119="","",IF(C119="","",IF(C119&lt;=INDEX(StageAreaVolume!$A$6:$A$17,1),INDEX(StageAreaVolume!$B$6:$B$17,1),IF(C119&gt;=INDEX(StageAreaVolume!$A$6:$A$17,COUNTA(StageAreaVolume!$A$6:$A$17)),INDEX(StageAreaVolume!$B$6:$B$17,COUNTA(StageAreaVolume!$A$6:$A$17)),(INDEX(StageAreaVolume!$B$6:$B$17,MATCH(C119,StageAreaVolume!$A$6:$A$17,1))+(C119-INDEX(StageAreaVolume!$A$6:$A$17,MATCH(C119,StageAreaVolume!$A$6:$A$17,1)))/(INDEX(StageAreaVolume!$A$6:$A$17,MATCH(C119,StageAreaVolume!$A$6:$A$17,1)+1)-INDEX(StageAreaVolume!$A$6:$A$17,MATCH(C119,StageAreaVolume!$A$6:$A$17,1)))*(INDEX(StageAreaVolume!$B$6:$B$17,MATCH(C119,StageAreaVolume!$A$6:$A$17,1)+1)-INDEX(StageAreaVolume!$B$6:$B$17,MATCH(C119,StageAreaVolume!$A$6:$A$17,1)))))))))</f>
        <v/>
      </c>
      <c r="I119" s="18">
        <f>IF(A119="","",IF(C119="","",IF(C119&lt;=INDEX(StageAreaVolume!$A$6:$A$17,1),INDEX(StageAreaVolume!$D$6:$D$17,1),IF(C119&gt;=INDEX(StageAreaVolume!$A$6:$A$17,COUNTA(StageAreaVolume!$A$6:$A$17)),INDEX(StageAreaVolume!$D$6:$D$17,COUNTA(StageAreaVolume!$A$6:$A$17)),(INDEX(StageAreaVolume!$D$6:$D$17,MATCH(C119,StageAreaVolume!$A$6:$A$17,1))+(C119-INDEX(StageAreaVolume!$A$6:$A$17,MATCH(C119,StageAreaVolume!$A$6:$A$17,1)))/(INDEX(StageAreaVolume!$A$6:$A$17,MATCH(C119,StageAreaVolume!$A$6:$A$17,1)+1)-INDEX(StageAreaVolume!$A$6:$A$17,MATCH(C119,StageAreaVolume!$A$6:$A$17,1)))*(INDEX(StageAreaVolume!$D$6:$D$17,MATCH(C119,StageAreaVolume!$A$6:$A$17,1)+1)-INDEX(StageAreaVolume!$D$6:$D$17,MATCH(C119,StageAreaVolume!$A$6:$A$17,1)))))))))</f>
        <v/>
      </c>
      <c r="J119" s="25">
        <f>IF(A119="","",IF(A118="",NA(),C118))</f>
        <v/>
      </c>
      <c r="K119" s="19">
        <f>IF(OR(A119="",ISNA(J119)),IF(A119="","",H119),(H118+H119)/2)</f>
        <v/>
      </c>
      <c r="L119" s="19">
        <f>IF(OR(A119="",ISNA(J119)),0,IF(AND(B119=0,D119="N",E119="N",C119&lt;J119,C119&gt;0),1,0))</f>
        <v/>
      </c>
      <c r="M119" s="25">
        <f>IF(L119&lt;&gt;1,"",IF(K119&lt;=0,"",(I118-I119-G119/1000*K119)/K119*1000))</f>
        <v/>
      </c>
      <c r="N119" s="18">
        <f>IF(A119="","",IF(L119=1,I118-I119-O119,IF(OR(C119&gt;0,N(J119)&gt;0),MeanMDWIR/1000*K119,0)))</f>
        <v/>
      </c>
      <c r="O119" s="18">
        <f>IF(A119="","",G119/1000*K119)</f>
        <v/>
      </c>
      <c r="P119" s="27">
        <f>IF(A119="","",IF(L119=1,"dry",IF(D119="Y","spill",IF(B119&gt;0,"wet",IF(E119="Y","pumped","other")))))</f>
        <v/>
      </c>
    </row>
    <row r="120">
      <c r="A120" s="26">
        <f>IF(DailyPond!A120="","",DailyPond!A120)</f>
        <v/>
      </c>
      <c r="B120" s="18">
        <f>IF(A120="","",DailyPond!B120)</f>
        <v/>
      </c>
      <c r="C120" s="25">
        <f>IF(A120="","",DailyPond!C120)</f>
        <v/>
      </c>
      <c r="D120" s="27">
        <f>IF(A120="","",DailyPond!D120)</f>
        <v/>
      </c>
      <c r="E120" s="27">
        <f>IF(A120="","",DailyPond!E120)</f>
        <v/>
      </c>
      <c r="F120" s="19">
        <f>IF(A120="","",MONTH(A120))</f>
        <v/>
      </c>
      <c r="G120" s="18">
        <f>IF(A120="","",VLOOKUP(F120,Evaporation!$A$6:$B$17,2,FALSE))</f>
        <v/>
      </c>
      <c r="H120" s="19">
        <f>IF(A120="","",IF(C120="","",IF(C120&lt;=INDEX(StageAreaVolume!$A$6:$A$17,1),INDEX(StageAreaVolume!$B$6:$B$17,1),IF(C120&gt;=INDEX(StageAreaVolume!$A$6:$A$17,COUNTA(StageAreaVolume!$A$6:$A$17)),INDEX(StageAreaVolume!$B$6:$B$17,COUNTA(StageAreaVolume!$A$6:$A$17)),(INDEX(StageAreaVolume!$B$6:$B$17,MATCH(C120,StageAreaVolume!$A$6:$A$17,1))+(C120-INDEX(StageAreaVolume!$A$6:$A$17,MATCH(C120,StageAreaVolume!$A$6:$A$17,1)))/(INDEX(StageAreaVolume!$A$6:$A$17,MATCH(C120,StageAreaVolume!$A$6:$A$17,1)+1)-INDEX(StageAreaVolume!$A$6:$A$17,MATCH(C120,StageAreaVolume!$A$6:$A$17,1)))*(INDEX(StageAreaVolume!$B$6:$B$17,MATCH(C120,StageAreaVolume!$A$6:$A$17,1)+1)-INDEX(StageAreaVolume!$B$6:$B$17,MATCH(C120,StageAreaVolume!$A$6:$A$17,1)))))))))</f>
        <v/>
      </c>
      <c r="I120" s="18">
        <f>IF(A120="","",IF(C120="","",IF(C120&lt;=INDEX(StageAreaVolume!$A$6:$A$17,1),INDEX(StageAreaVolume!$D$6:$D$17,1),IF(C120&gt;=INDEX(StageAreaVolume!$A$6:$A$17,COUNTA(StageAreaVolume!$A$6:$A$17)),INDEX(StageAreaVolume!$D$6:$D$17,COUNTA(StageAreaVolume!$A$6:$A$17)),(INDEX(StageAreaVolume!$D$6:$D$17,MATCH(C120,StageAreaVolume!$A$6:$A$17,1))+(C120-INDEX(StageAreaVolume!$A$6:$A$17,MATCH(C120,StageAreaVolume!$A$6:$A$17,1)))/(INDEX(StageAreaVolume!$A$6:$A$17,MATCH(C120,StageAreaVolume!$A$6:$A$17,1)+1)-INDEX(StageAreaVolume!$A$6:$A$17,MATCH(C120,StageAreaVolume!$A$6:$A$17,1)))*(INDEX(StageAreaVolume!$D$6:$D$17,MATCH(C120,StageAreaVolume!$A$6:$A$17,1)+1)-INDEX(StageAreaVolume!$D$6:$D$17,MATCH(C120,StageAreaVolume!$A$6:$A$17,1)))))))))</f>
        <v/>
      </c>
      <c r="J120" s="25">
        <f>IF(A120="","",IF(A119="",NA(),C119))</f>
        <v/>
      </c>
      <c r="K120" s="19">
        <f>IF(OR(A120="",ISNA(J120)),IF(A120="","",H120),(H119+H120)/2)</f>
        <v/>
      </c>
      <c r="L120" s="19">
        <f>IF(OR(A120="",ISNA(J120)),0,IF(AND(B120=0,D120="N",E120="N",C120&lt;J120,C120&gt;0),1,0))</f>
        <v/>
      </c>
      <c r="M120" s="25">
        <f>IF(L120&lt;&gt;1,"",IF(K120&lt;=0,"",(I119-I120-G120/1000*K120)/K120*1000))</f>
        <v/>
      </c>
      <c r="N120" s="18">
        <f>IF(A120="","",IF(L120=1,I119-I120-O120,IF(OR(C120&gt;0,N(J120)&gt;0),MeanMDWIR/1000*K120,0)))</f>
        <v/>
      </c>
      <c r="O120" s="18">
        <f>IF(A120="","",G120/1000*K120)</f>
        <v/>
      </c>
      <c r="P120" s="27">
        <f>IF(A120="","",IF(L120=1,"dry",IF(D120="Y","spill",IF(B120&gt;0,"wet",IF(E120="Y","pumped","other")))))</f>
        <v/>
      </c>
    </row>
    <row r="121">
      <c r="A121" s="26">
        <f>IF(DailyPond!A121="","",DailyPond!A121)</f>
        <v/>
      </c>
      <c r="B121" s="18">
        <f>IF(A121="","",DailyPond!B121)</f>
        <v/>
      </c>
      <c r="C121" s="25">
        <f>IF(A121="","",DailyPond!C121)</f>
        <v/>
      </c>
      <c r="D121" s="27">
        <f>IF(A121="","",DailyPond!D121)</f>
        <v/>
      </c>
      <c r="E121" s="27">
        <f>IF(A121="","",DailyPond!E121)</f>
        <v/>
      </c>
      <c r="F121" s="19">
        <f>IF(A121="","",MONTH(A121))</f>
        <v/>
      </c>
      <c r="G121" s="18">
        <f>IF(A121="","",VLOOKUP(F121,Evaporation!$A$6:$B$17,2,FALSE))</f>
        <v/>
      </c>
      <c r="H121" s="19">
        <f>IF(A121="","",IF(C121="","",IF(C121&lt;=INDEX(StageAreaVolume!$A$6:$A$17,1),INDEX(StageAreaVolume!$B$6:$B$17,1),IF(C121&gt;=INDEX(StageAreaVolume!$A$6:$A$17,COUNTA(StageAreaVolume!$A$6:$A$17)),INDEX(StageAreaVolume!$B$6:$B$17,COUNTA(StageAreaVolume!$A$6:$A$17)),(INDEX(StageAreaVolume!$B$6:$B$17,MATCH(C121,StageAreaVolume!$A$6:$A$17,1))+(C121-INDEX(StageAreaVolume!$A$6:$A$17,MATCH(C121,StageAreaVolume!$A$6:$A$17,1)))/(INDEX(StageAreaVolume!$A$6:$A$17,MATCH(C121,StageAreaVolume!$A$6:$A$17,1)+1)-INDEX(StageAreaVolume!$A$6:$A$17,MATCH(C121,StageAreaVolume!$A$6:$A$17,1)))*(INDEX(StageAreaVolume!$B$6:$B$17,MATCH(C121,StageAreaVolume!$A$6:$A$17,1)+1)-INDEX(StageAreaVolume!$B$6:$B$17,MATCH(C121,StageAreaVolume!$A$6:$A$17,1)))))))))</f>
        <v/>
      </c>
      <c r="I121" s="18">
        <f>IF(A121="","",IF(C121="","",IF(C121&lt;=INDEX(StageAreaVolume!$A$6:$A$17,1),INDEX(StageAreaVolume!$D$6:$D$17,1),IF(C121&gt;=INDEX(StageAreaVolume!$A$6:$A$17,COUNTA(StageAreaVolume!$A$6:$A$17)),INDEX(StageAreaVolume!$D$6:$D$17,COUNTA(StageAreaVolume!$A$6:$A$17)),(INDEX(StageAreaVolume!$D$6:$D$17,MATCH(C121,StageAreaVolume!$A$6:$A$17,1))+(C121-INDEX(StageAreaVolume!$A$6:$A$17,MATCH(C121,StageAreaVolume!$A$6:$A$17,1)))/(INDEX(StageAreaVolume!$A$6:$A$17,MATCH(C121,StageAreaVolume!$A$6:$A$17,1)+1)-INDEX(StageAreaVolume!$A$6:$A$17,MATCH(C121,StageAreaVolume!$A$6:$A$17,1)))*(INDEX(StageAreaVolume!$D$6:$D$17,MATCH(C121,StageAreaVolume!$A$6:$A$17,1)+1)-INDEX(StageAreaVolume!$D$6:$D$17,MATCH(C121,StageAreaVolume!$A$6:$A$17,1)))))))))</f>
        <v/>
      </c>
      <c r="J121" s="25">
        <f>IF(A121="","",IF(A120="",NA(),C120))</f>
        <v/>
      </c>
      <c r="K121" s="19">
        <f>IF(OR(A121="",ISNA(J121)),IF(A121="","",H121),(H120+H121)/2)</f>
        <v/>
      </c>
      <c r="L121" s="19">
        <f>IF(OR(A121="",ISNA(J121)),0,IF(AND(B121=0,D121="N",E121="N",C121&lt;J121,C121&gt;0),1,0))</f>
        <v/>
      </c>
      <c r="M121" s="25">
        <f>IF(L121&lt;&gt;1,"",IF(K121&lt;=0,"",(I120-I121-G121/1000*K121)/K121*1000))</f>
        <v/>
      </c>
      <c r="N121" s="18">
        <f>IF(A121="","",IF(L121=1,I120-I121-O121,IF(OR(C121&gt;0,N(J121)&gt;0),MeanMDWIR/1000*K121,0)))</f>
        <v/>
      </c>
      <c r="O121" s="18">
        <f>IF(A121="","",G121/1000*K121)</f>
        <v/>
      </c>
      <c r="P121" s="27">
        <f>IF(A121="","",IF(L121=1,"dry",IF(D121="Y","spill",IF(B121&gt;0,"wet",IF(E121="Y","pumped","other")))))</f>
        <v/>
      </c>
    </row>
    <row r="122">
      <c r="A122" s="26">
        <f>IF(DailyPond!A122="","",DailyPond!A122)</f>
        <v/>
      </c>
      <c r="B122" s="18">
        <f>IF(A122="","",DailyPond!B122)</f>
        <v/>
      </c>
      <c r="C122" s="25">
        <f>IF(A122="","",DailyPond!C122)</f>
        <v/>
      </c>
      <c r="D122" s="27">
        <f>IF(A122="","",DailyPond!D122)</f>
        <v/>
      </c>
      <c r="E122" s="27">
        <f>IF(A122="","",DailyPond!E122)</f>
        <v/>
      </c>
      <c r="F122" s="19">
        <f>IF(A122="","",MONTH(A122))</f>
        <v/>
      </c>
      <c r="G122" s="18">
        <f>IF(A122="","",VLOOKUP(F122,Evaporation!$A$6:$B$17,2,FALSE))</f>
        <v/>
      </c>
      <c r="H122" s="19">
        <f>IF(A122="","",IF(C122="","",IF(C122&lt;=INDEX(StageAreaVolume!$A$6:$A$17,1),INDEX(StageAreaVolume!$B$6:$B$17,1),IF(C122&gt;=INDEX(StageAreaVolume!$A$6:$A$17,COUNTA(StageAreaVolume!$A$6:$A$17)),INDEX(StageAreaVolume!$B$6:$B$17,COUNTA(StageAreaVolume!$A$6:$A$17)),(INDEX(StageAreaVolume!$B$6:$B$17,MATCH(C122,StageAreaVolume!$A$6:$A$17,1))+(C122-INDEX(StageAreaVolume!$A$6:$A$17,MATCH(C122,StageAreaVolume!$A$6:$A$17,1)))/(INDEX(StageAreaVolume!$A$6:$A$17,MATCH(C122,StageAreaVolume!$A$6:$A$17,1)+1)-INDEX(StageAreaVolume!$A$6:$A$17,MATCH(C122,StageAreaVolume!$A$6:$A$17,1)))*(INDEX(StageAreaVolume!$B$6:$B$17,MATCH(C122,StageAreaVolume!$A$6:$A$17,1)+1)-INDEX(StageAreaVolume!$B$6:$B$17,MATCH(C122,StageAreaVolume!$A$6:$A$17,1)))))))))</f>
        <v/>
      </c>
      <c r="I122" s="18">
        <f>IF(A122="","",IF(C122="","",IF(C122&lt;=INDEX(StageAreaVolume!$A$6:$A$17,1),INDEX(StageAreaVolume!$D$6:$D$17,1),IF(C122&gt;=INDEX(StageAreaVolume!$A$6:$A$17,COUNTA(StageAreaVolume!$A$6:$A$17)),INDEX(StageAreaVolume!$D$6:$D$17,COUNTA(StageAreaVolume!$A$6:$A$17)),(INDEX(StageAreaVolume!$D$6:$D$17,MATCH(C122,StageAreaVolume!$A$6:$A$17,1))+(C122-INDEX(StageAreaVolume!$A$6:$A$17,MATCH(C122,StageAreaVolume!$A$6:$A$17,1)))/(INDEX(StageAreaVolume!$A$6:$A$17,MATCH(C122,StageAreaVolume!$A$6:$A$17,1)+1)-INDEX(StageAreaVolume!$A$6:$A$17,MATCH(C122,StageAreaVolume!$A$6:$A$17,1)))*(INDEX(StageAreaVolume!$D$6:$D$17,MATCH(C122,StageAreaVolume!$A$6:$A$17,1)+1)-INDEX(StageAreaVolume!$D$6:$D$17,MATCH(C122,StageAreaVolume!$A$6:$A$17,1)))))))))</f>
        <v/>
      </c>
      <c r="J122" s="25">
        <f>IF(A122="","",IF(A121="",NA(),C121))</f>
        <v/>
      </c>
      <c r="K122" s="19">
        <f>IF(OR(A122="",ISNA(J122)),IF(A122="","",H122),(H121+H122)/2)</f>
        <v/>
      </c>
      <c r="L122" s="19">
        <f>IF(OR(A122="",ISNA(J122)),0,IF(AND(B122=0,D122="N",E122="N",C122&lt;J122,C122&gt;0),1,0))</f>
        <v/>
      </c>
      <c r="M122" s="25">
        <f>IF(L122&lt;&gt;1,"",IF(K122&lt;=0,"",(I121-I122-G122/1000*K122)/K122*1000))</f>
        <v/>
      </c>
      <c r="N122" s="18">
        <f>IF(A122="","",IF(L122=1,I121-I122-O122,IF(OR(C122&gt;0,N(J122)&gt;0),MeanMDWIR/1000*K122,0)))</f>
        <v/>
      </c>
      <c r="O122" s="18">
        <f>IF(A122="","",G122/1000*K122)</f>
        <v/>
      </c>
      <c r="P122" s="27">
        <f>IF(A122="","",IF(L122=1,"dry",IF(D122="Y","spill",IF(B122&gt;0,"wet",IF(E122="Y","pumped","other")))))</f>
        <v/>
      </c>
    </row>
    <row r="123">
      <c r="A123" s="26">
        <f>IF(DailyPond!A123="","",DailyPond!A123)</f>
        <v/>
      </c>
      <c r="B123" s="18">
        <f>IF(A123="","",DailyPond!B123)</f>
        <v/>
      </c>
      <c r="C123" s="25">
        <f>IF(A123="","",DailyPond!C123)</f>
        <v/>
      </c>
      <c r="D123" s="27">
        <f>IF(A123="","",DailyPond!D123)</f>
        <v/>
      </c>
      <c r="E123" s="27">
        <f>IF(A123="","",DailyPond!E123)</f>
        <v/>
      </c>
      <c r="F123" s="19">
        <f>IF(A123="","",MONTH(A123))</f>
        <v/>
      </c>
      <c r="G123" s="18">
        <f>IF(A123="","",VLOOKUP(F123,Evaporation!$A$6:$B$17,2,FALSE))</f>
        <v/>
      </c>
      <c r="H123" s="19">
        <f>IF(A123="","",IF(C123="","",IF(C123&lt;=INDEX(StageAreaVolume!$A$6:$A$17,1),INDEX(StageAreaVolume!$B$6:$B$17,1),IF(C123&gt;=INDEX(StageAreaVolume!$A$6:$A$17,COUNTA(StageAreaVolume!$A$6:$A$17)),INDEX(StageAreaVolume!$B$6:$B$17,COUNTA(StageAreaVolume!$A$6:$A$17)),(INDEX(StageAreaVolume!$B$6:$B$17,MATCH(C123,StageAreaVolume!$A$6:$A$17,1))+(C123-INDEX(StageAreaVolume!$A$6:$A$17,MATCH(C123,StageAreaVolume!$A$6:$A$17,1)))/(INDEX(StageAreaVolume!$A$6:$A$17,MATCH(C123,StageAreaVolume!$A$6:$A$17,1)+1)-INDEX(StageAreaVolume!$A$6:$A$17,MATCH(C123,StageAreaVolume!$A$6:$A$17,1)))*(INDEX(StageAreaVolume!$B$6:$B$17,MATCH(C123,StageAreaVolume!$A$6:$A$17,1)+1)-INDEX(StageAreaVolume!$B$6:$B$17,MATCH(C123,StageAreaVolume!$A$6:$A$17,1)))))))))</f>
        <v/>
      </c>
      <c r="I123" s="18">
        <f>IF(A123="","",IF(C123="","",IF(C123&lt;=INDEX(StageAreaVolume!$A$6:$A$17,1),INDEX(StageAreaVolume!$D$6:$D$17,1),IF(C123&gt;=INDEX(StageAreaVolume!$A$6:$A$17,COUNTA(StageAreaVolume!$A$6:$A$17)),INDEX(StageAreaVolume!$D$6:$D$17,COUNTA(StageAreaVolume!$A$6:$A$17)),(INDEX(StageAreaVolume!$D$6:$D$17,MATCH(C123,StageAreaVolume!$A$6:$A$17,1))+(C123-INDEX(StageAreaVolume!$A$6:$A$17,MATCH(C123,StageAreaVolume!$A$6:$A$17,1)))/(INDEX(StageAreaVolume!$A$6:$A$17,MATCH(C123,StageAreaVolume!$A$6:$A$17,1)+1)-INDEX(StageAreaVolume!$A$6:$A$17,MATCH(C123,StageAreaVolume!$A$6:$A$17,1)))*(INDEX(StageAreaVolume!$D$6:$D$17,MATCH(C123,StageAreaVolume!$A$6:$A$17,1)+1)-INDEX(StageAreaVolume!$D$6:$D$17,MATCH(C123,StageAreaVolume!$A$6:$A$17,1)))))))))</f>
        <v/>
      </c>
      <c r="J123" s="25">
        <f>IF(A123="","",IF(A122="",NA(),C122))</f>
        <v/>
      </c>
      <c r="K123" s="19">
        <f>IF(OR(A123="",ISNA(J123)),IF(A123="","",H123),(H122+H123)/2)</f>
        <v/>
      </c>
      <c r="L123" s="19">
        <f>IF(OR(A123="",ISNA(J123)),0,IF(AND(B123=0,D123="N",E123="N",C123&lt;J123,C123&gt;0),1,0))</f>
        <v/>
      </c>
      <c r="M123" s="25">
        <f>IF(L123&lt;&gt;1,"",IF(K123&lt;=0,"",(I122-I123-G123/1000*K123)/K123*1000))</f>
        <v/>
      </c>
      <c r="N123" s="18">
        <f>IF(A123="","",IF(L123=1,I122-I123-O123,IF(OR(C123&gt;0,N(J123)&gt;0),MeanMDWIR/1000*K123,0)))</f>
        <v/>
      </c>
      <c r="O123" s="18">
        <f>IF(A123="","",G123/1000*K123)</f>
        <v/>
      </c>
      <c r="P123" s="27">
        <f>IF(A123="","",IF(L123=1,"dry",IF(D123="Y","spill",IF(B123&gt;0,"wet",IF(E123="Y","pumped","other")))))</f>
        <v/>
      </c>
    </row>
    <row r="124">
      <c r="A124" s="26">
        <f>IF(DailyPond!A124="","",DailyPond!A124)</f>
        <v/>
      </c>
      <c r="B124" s="18">
        <f>IF(A124="","",DailyPond!B124)</f>
        <v/>
      </c>
      <c r="C124" s="25">
        <f>IF(A124="","",DailyPond!C124)</f>
        <v/>
      </c>
      <c r="D124" s="27">
        <f>IF(A124="","",DailyPond!D124)</f>
        <v/>
      </c>
      <c r="E124" s="27">
        <f>IF(A124="","",DailyPond!E124)</f>
        <v/>
      </c>
      <c r="F124" s="19">
        <f>IF(A124="","",MONTH(A124))</f>
        <v/>
      </c>
      <c r="G124" s="18">
        <f>IF(A124="","",VLOOKUP(F124,Evaporation!$A$6:$B$17,2,FALSE))</f>
        <v/>
      </c>
      <c r="H124" s="19">
        <f>IF(A124="","",IF(C124="","",IF(C124&lt;=INDEX(StageAreaVolume!$A$6:$A$17,1),INDEX(StageAreaVolume!$B$6:$B$17,1),IF(C124&gt;=INDEX(StageAreaVolume!$A$6:$A$17,COUNTA(StageAreaVolume!$A$6:$A$17)),INDEX(StageAreaVolume!$B$6:$B$17,COUNTA(StageAreaVolume!$A$6:$A$17)),(INDEX(StageAreaVolume!$B$6:$B$17,MATCH(C124,StageAreaVolume!$A$6:$A$17,1))+(C124-INDEX(StageAreaVolume!$A$6:$A$17,MATCH(C124,StageAreaVolume!$A$6:$A$17,1)))/(INDEX(StageAreaVolume!$A$6:$A$17,MATCH(C124,StageAreaVolume!$A$6:$A$17,1)+1)-INDEX(StageAreaVolume!$A$6:$A$17,MATCH(C124,StageAreaVolume!$A$6:$A$17,1)))*(INDEX(StageAreaVolume!$B$6:$B$17,MATCH(C124,StageAreaVolume!$A$6:$A$17,1)+1)-INDEX(StageAreaVolume!$B$6:$B$17,MATCH(C124,StageAreaVolume!$A$6:$A$17,1)))))))))</f>
        <v/>
      </c>
      <c r="I124" s="18">
        <f>IF(A124="","",IF(C124="","",IF(C124&lt;=INDEX(StageAreaVolume!$A$6:$A$17,1),INDEX(StageAreaVolume!$D$6:$D$17,1),IF(C124&gt;=INDEX(StageAreaVolume!$A$6:$A$17,COUNTA(StageAreaVolume!$A$6:$A$17)),INDEX(StageAreaVolume!$D$6:$D$17,COUNTA(StageAreaVolume!$A$6:$A$17)),(INDEX(StageAreaVolume!$D$6:$D$17,MATCH(C124,StageAreaVolume!$A$6:$A$17,1))+(C124-INDEX(StageAreaVolume!$A$6:$A$17,MATCH(C124,StageAreaVolume!$A$6:$A$17,1)))/(INDEX(StageAreaVolume!$A$6:$A$17,MATCH(C124,StageAreaVolume!$A$6:$A$17,1)+1)-INDEX(StageAreaVolume!$A$6:$A$17,MATCH(C124,StageAreaVolume!$A$6:$A$17,1)))*(INDEX(StageAreaVolume!$D$6:$D$17,MATCH(C124,StageAreaVolume!$A$6:$A$17,1)+1)-INDEX(StageAreaVolume!$D$6:$D$17,MATCH(C124,StageAreaVolume!$A$6:$A$17,1)))))))))</f>
        <v/>
      </c>
      <c r="J124" s="25">
        <f>IF(A124="","",IF(A123="",NA(),C123))</f>
        <v/>
      </c>
      <c r="K124" s="19">
        <f>IF(OR(A124="",ISNA(J124)),IF(A124="","",H124),(H123+H124)/2)</f>
        <v/>
      </c>
      <c r="L124" s="19">
        <f>IF(OR(A124="",ISNA(J124)),0,IF(AND(B124=0,D124="N",E124="N",C124&lt;J124,C124&gt;0),1,0))</f>
        <v/>
      </c>
      <c r="M124" s="25">
        <f>IF(L124&lt;&gt;1,"",IF(K124&lt;=0,"",(I123-I124-G124/1000*K124)/K124*1000))</f>
        <v/>
      </c>
      <c r="N124" s="18">
        <f>IF(A124="","",IF(L124=1,I123-I124-O124,IF(OR(C124&gt;0,N(J124)&gt;0),MeanMDWIR/1000*K124,0)))</f>
        <v/>
      </c>
      <c r="O124" s="18">
        <f>IF(A124="","",G124/1000*K124)</f>
        <v/>
      </c>
      <c r="P124" s="27">
        <f>IF(A124="","",IF(L124=1,"dry",IF(D124="Y","spill",IF(B124&gt;0,"wet",IF(E124="Y","pumped","other")))))</f>
        <v/>
      </c>
    </row>
    <row r="125">
      <c r="A125" s="26">
        <f>IF(DailyPond!A125="","",DailyPond!A125)</f>
        <v/>
      </c>
      <c r="B125" s="18">
        <f>IF(A125="","",DailyPond!B125)</f>
        <v/>
      </c>
      <c r="C125" s="25">
        <f>IF(A125="","",DailyPond!C125)</f>
        <v/>
      </c>
      <c r="D125" s="27">
        <f>IF(A125="","",DailyPond!D125)</f>
        <v/>
      </c>
      <c r="E125" s="27">
        <f>IF(A125="","",DailyPond!E125)</f>
        <v/>
      </c>
      <c r="F125" s="19">
        <f>IF(A125="","",MONTH(A125))</f>
        <v/>
      </c>
      <c r="G125" s="18">
        <f>IF(A125="","",VLOOKUP(F125,Evaporation!$A$6:$B$17,2,FALSE))</f>
        <v/>
      </c>
      <c r="H125" s="19">
        <f>IF(A125="","",IF(C125="","",IF(C125&lt;=INDEX(StageAreaVolume!$A$6:$A$17,1),INDEX(StageAreaVolume!$B$6:$B$17,1),IF(C125&gt;=INDEX(StageAreaVolume!$A$6:$A$17,COUNTA(StageAreaVolume!$A$6:$A$17)),INDEX(StageAreaVolume!$B$6:$B$17,COUNTA(StageAreaVolume!$A$6:$A$17)),(INDEX(StageAreaVolume!$B$6:$B$17,MATCH(C125,StageAreaVolume!$A$6:$A$17,1))+(C125-INDEX(StageAreaVolume!$A$6:$A$17,MATCH(C125,StageAreaVolume!$A$6:$A$17,1)))/(INDEX(StageAreaVolume!$A$6:$A$17,MATCH(C125,StageAreaVolume!$A$6:$A$17,1)+1)-INDEX(StageAreaVolume!$A$6:$A$17,MATCH(C125,StageAreaVolume!$A$6:$A$17,1)))*(INDEX(StageAreaVolume!$B$6:$B$17,MATCH(C125,StageAreaVolume!$A$6:$A$17,1)+1)-INDEX(StageAreaVolume!$B$6:$B$17,MATCH(C125,StageAreaVolume!$A$6:$A$17,1)))))))))</f>
        <v/>
      </c>
      <c r="I125" s="18">
        <f>IF(A125="","",IF(C125="","",IF(C125&lt;=INDEX(StageAreaVolume!$A$6:$A$17,1),INDEX(StageAreaVolume!$D$6:$D$17,1),IF(C125&gt;=INDEX(StageAreaVolume!$A$6:$A$17,COUNTA(StageAreaVolume!$A$6:$A$17)),INDEX(StageAreaVolume!$D$6:$D$17,COUNTA(StageAreaVolume!$A$6:$A$17)),(INDEX(StageAreaVolume!$D$6:$D$17,MATCH(C125,StageAreaVolume!$A$6:$A$17,1))+(C125-INDEX(StageAreaVolume!$A$6:$A$17,MATCH(C125,StageAreaVolume!$A$6:$A$17,1)))/(INDEX(StageAreaVolume!$A$6:$A$17,MATCH(C125,StageAreaVolume!$A$6:$A$17,1)+1)-INDEX(StageAreaVolume!$A$6:$A$17,MATCH(C125,StageAreaVolume!$A$6:$A$17,1)))*(INDEX(StageAreaVolume!$D$6:$D$17,MATCH(C125,StageAreaVolume!$A$6:$A$17,1)+1)-INDEX(StageAreaVolume!$D$6:$D$17,MATCH(C125,StageAreaVolume!$A$6:$A$17,1)))))))))</f>
        <v/>
      </c>
      <c r="J125" s="25">
        <f>IF(A125="","",IF(A124="",NA(),C124))</f>
        <v/>
      </c>
      <c r="K125" s="19">
        <f>IF(OR(A125="",ISNA(J125)),IF(A125="","",H125),(H124+H125)/2)</f>
        <v/>
      </c>
      <c r="L125" s="19">
        <f>IF(OR(A125="",ISNA(J125)),0,IF(AND(B125=0,D125="N",E125="N",C125&lt;J125,C125&gt;0),1,0))</f>
        <v/>
      </c>
      <c r="M125" s="25">
        <f>IF(L125&lt;&gt;1,"",IF(K125&lt;=0,"",(I124-I125-G125/1000*K125)/K125*1000))</f>
        <v/>
      </c>
      <c r="N125" s="18">
        <f>IF(A125="","",IF(L125=1,I124-I125-O125,IF(OR(C125&gt;0,N(J125)&gt;0),MeanMDWIR/1000*K125,0)))</f>
        <v/>
      </c>
      <c r="O125" s="18">
        <f>IF(A125="","",G125/1000*K125)</f>
        <v/>
      </c>
      <c r="P125" s="27">
        <f>IF(A125="","",IF(L125=1,"dry",IF(D125="Y","spill",IF(B125&gt;0,"wet",IF(E125="Y","pumped","other")))))</f>
        <v/>
      </c>
    </row>
    <row r="126">
      <c r="A126" s="26">
        <f>IF(DailyPond!A126="","",DailyPond!A126)</f>
        <v/>
      </c>
      <c r="B126" s="18">
        <f>IF(A126="","",DailyPond!B126)</f>
        <v/>
      </c>
      <c r="C126" s="25">
        <f>IF(A126="","",DailyPond!C126)</f>
        <v/>
      </c>
      <c r="D126" s="27">
        <f>IF(A126="","",DailyPond!D126)</f>
        <v/>
      </c>
      <c r="E126" s="27">
        <f>IF(A126="","",DailyPond!E126)</f>
        <v/>
      </c>
      <c r="F126" s="19">
        <f>IF(A126="","",MONTH(A126))</f>
        <v/>
      </c>
      <c r="G126" s="18">
        <f>IF(A126="","",VLOOKUP(F126,Evaporation!$A$6:$B$17,2,FALSE))</f>
        <v/>
      </c>
      <c r="H126" s="19">
        <f>IF(A126="","",IF(C126="","",IF(C126&lt;=INDEX(StageAreaVolume!$A$6:$A$17,1),INDEX(StageAreaVolume!$B$6:$B$17,1),IF(C126&gt;=INDEX(StageAreaVolume!$A$6:$A$17,COUNTA(StageAreaVolume!$A$6:$A$17)),INDEX(StageAreaVolume!$B$6:$B$17,COUNTA(StageAreaVolume!$A$6:$A$17)),(INDEX(StageAreaVolume!$B$6:$B$17,MATCH(C126,StageAreaVolume!$A$6:$A$17,1))+(C126-INDEX(StageAreaVolume!$A$6:$A$17,MATCH(C126,StageAreaVolume!$A$6:$A$17,1)))/(INDEX(StageAreaVolume!$A$6:$A$17,MATCH(C126,StageAreaVolume!$A$6:$A$17,1)+1)-INDEX(StageAreaVolume!$A$6:$A$17,MATCH(C126,StageAreaVolume!$A$6:$A$17,1)))*(INDEX(StageAreaVolume!$B$6:$B$17,MATCH(C126,StageAreaVolume!$A$6:$A$17,1)+1)-INDEX(StageAreaVolume!$B$6:$B$17,MATCH(C126,StageAreaVolume!$A$6:$A$17,1)))))))))</f>
        <v/>
      </c>
      <c r="I126" s="18">
        <f>IF(A126="","",IF(C126="","",IF(C126&lt;=INDEX(StageAreaVolume!$A$6:$A$17,1),INDEX(StageAreaVolume!$D$6:$D$17,1),IF(C126&gt;=INDEX(StageAreaVolume!$A$6:$A$17,COUNTA(StageAreaVolume!$A$6:$A$17)),INDEX(StageAreaVolume!$D$6:$D$17,COUNTA(StageAreaVolume!$A$6:$A$17)),(INDEX(StageAreaVolume!$D$6:$D$17,MATCH(C126,StageAreaVolume!$A$6:$A$17,1))+(C126-INDEX(StageAreaVolume!$A$6:$A$17,MATCH(C126,StageAreaVolume!$A$6:$A$17,1)))/(INDEX(StageAreaVolume!$A$6:$A$17,MATCH(C126,StageAreaVolume!$A$6:$A$17,1)+1)-INDEX(StageAreaVolume!$A$6:$A$17,MATCH(C126,StageAreaVolume!$A$6:$A$17,1)))*(INDEX(StageAreaVolume!$D$6:$D$17,MATCH(C126,StageAreaVolume!$A$6:$A$17,1)+1)-INDEX(StageAreaVolume!$D$6:$D$17,MATCH(C126,StageAreaVolume!$A$6:$A$17,1)))))))))</f>
        <v/>
      </c>
      <c r="J126" s="25">
        <f>IF(A126="","",IF(A125="",NA(),C125))</f>
        <v/>
      </c>
      <c r="K126" s="19">
        <f>IF(OR(A126="",ISNA(J126)),IF(A126="","",H126),(H125+H126)/2)</f>
        <v/>
      </c>
      <c r="L126" s="19">
        <f>IF(OR(A126="",ISNA(J126)),0,IF(AND(B126=0,D126="N",E126="N",C126&lt;J126,C126&gt;0),1,0))</f>
        <v/>
      </c>
      <c r="M126" s="25">
        <f>IF(L126&lt;&gt;1,"",IF(K126&lt;=0,"",(I125-I126-G126/1000*K126)/K126*1000))</f>
        <v/>
      </c>
      <c r="N126" s="18">
        <f>IF(A126="","",IF(L126=1,I125-I126-O126,IF(OR(C126&gt;0,N(J126)&gt;0),MeanMDWIR/1000*K126,0)))</f>
        <v/>
      </c>
      <c r="O126" s="18">
        <f>IF(A126="","",G126/1000*K126)</f>
        <v/>
      </c>
      <c r="P126" s="27">
        <f>IF(A126="","",IF(L126=1,"dry",IF(D126="Y","spill",IF(B126&gt;0,"wet",IF(E126="Y","pumped","other")))))</f>
        <v/>
      </c>
    </row>
    <row r="127">
      <c r="A127" s="26">
        <f>IF(DailyPond!A127="","",DailyPond!A127)</f>
        <v/>
      </c>
      <c r="B127" s="18">
        <f>IF(A127="","",DailyPond!B127)</f>
        <v/>
      </c>
      <c r="C127" s="25">
        <f>IF(A127="","",DailyPond!C127)</f>
        <v/>
      </c>
      <c r="D127" s="27">
        <f>IF(A127="","",DailyPond!D127)</f>
        <v/>
      </c>
      <c r="E127" s="27">
        <f>IF(A127="","",DailyPond!E127)</f>
        <v/>
      </c>
      <c r="F127" s="19">
        <f>IF(A127="","",MONTH(A127))</f>
        <v/>
      </c>
      <c r="G127" s="18">
        <f>IF(A127="","",VLOOKUP(F127,Evaporation!$A$6:$B$17,2,FALSE))</f>
        <v/>
      </c>
      <c r="H127" s="19">
        <f>IF(A127="","",IF(C127="","",IF(C127&lt;=INDEX(StageAreaVolume!$A$6:$A$17,1),INDEX(StageAreaVolume!$B$6:$B$17,1),IF(C127&gt;=INDEX(StageAreaVolume!$A$6:$A$17,COUNTA(StageAreaVolume!$A$6:$A$17)),INDEX(StageAreaVolume!$B$6:$B$17,COUNTA(StageAreaVolume!$A$6:$A$17)),(INDEX(StageAreaVolume!$B$6:$B$17,MATCH(C127,StageAreaVolume!$A$6:$A$17,1))+(C127-INDEX(StageAreaVolume!$A$6:$A$17,MATCH(C127,StageAreaVolume!$A$6:$A$17,1)))/(INDEX(StageAreaVolume!$A$6:$A$17,MATCH(C127,StageAreaVolume!$A$6:$A$17,1)+1)-INDEX(StageAreaVolume!$A$6:$A$17,MATCH(C127,StageAreaVolume!$A$6:$A$17,1)))*(INDEX(StageAreaVolume!$B$6:$B$17,MATCH(C127,StageAreaVolume!$A$6:$A$17,1)+1)-INDEX(StageAreaVolume!$B$6:$B$17,MATCH(C127,StageAreaVolume!$A$6:$A$17,1)))))))))</f>
        <v/>
      </c>
      <c r="I127" s="18">
        <f>IF(A127="","",IF(C127="","",IF(C127&lt;=INDEX(StageAreaVolume!$A$6:$A$17,1),INDEX(StageAreaVolume!$D$6:$D$17,1),IF(C127&gt;=INDEX(StageAreaVolume!$A$6:$A$17,COUNTA(StageAreaVolume!$A$6:$A$17)),INDEX(StageAreaVolume!$D$6:$D$17,COUNTA(StageAreaVolume!$A$6:$A$17)),(INDEX(StageAreaVolume!$D$6:$D$17,MATCH(C127,StageAreaVolume!$A$6:$A$17,1))+(C127-INDEX(StageAreaVolume!$A$6:$A$17,MATCH(C127,StageAreaVolume!$A$6:$A$17,1)))/(INDEX(StageAreaVolume!$A$6:$A$17,MATCH(C127,StageAreaVolume!$A$6:$A$17,1)+1)-INDEX(StageAreaVolume!$A$6:$A$17,MATCH(C127,StageAreaVolume!$A$6:$A$17,1)))*(INDEX(StageAreaVolume!$D$6:$D$17,MATCH(C127,StageAreaVolume!$A$6:$A$17,1)+1)-INDEX(StageAreaVolume!$D$6:$D$17,MATCH(C127,StageAreaVolume!$A$6:$A$17,1)))))))))</f>
        <v/>
      </c>
      <c r="J127" s="25">
        <f>IF(A127="","",IF(A126="",NA(),C126))</f>
        <v/>
      </c>
      <c r="K127" s="19">
        <f>IF(OR(A127="",ISNA(J127)),IF(A127="","",H127),(H126+H127)/2)</f>
        <v/>
      </c>
      <c r="L127" s="19">
        <f>IF(OR(A127="",ISNA(J127)),0,IF(AND(B127=0,D127="N",E127="N",C127&lt;J127,C127&gt;0),1,0))</f>
        <v/>
      </c>
      <c r="M127" s="25">
        <f>IF(L127&lt;&gt;1,"",IF(K127&lt;=0,"",(I126-I127-G127/1000*K127)/K127*1000))</f>
        <v/>
      </c>
      <c r="N127" s="18">
        <f>IF(A127="","",IF(L127=1,I126-I127-O127,IF(OR(C127&gt;0,N(J127)&gt;0),MeanMDWIR/1000*K127,0)))</f>
        <v/>
      </c>
      <c r="O127" s="18">
        <f>IF(A127="","",G127/1000*K127)</f>
        <v/>
      </c>
      <c r="P127" s="27">
        <f>IF(A127="","",IF(L127=1,"dry",IF(D127="Y","spill",IF(B127&gt;0,"wet",IF(E127="Y","pumped","other")))))</f>
        <v/>
      </c>
    </row>
    <row r="128">
      <c r="A128" s="26">
        <f>IF(DailyPond!A128="","",DailyPond!A128)</f>
        <v/>
      </c>
      <c r="B128" s="18">
        <f>IF(A128="","",DailyPond!B128)</f>
        <v/>
      </c>
      <c r="C128" s="25">
        <f>IF(A128="","",DailyPond!C128)</f>
        <v/>
      </c>
      <c r="D128" s="27">
        <f>IF(A128="","",DailyPond!D128)</f>
        <v/>
      </c>
      <c r="E128" s="27">
        <f>IF(A128="","",DailyPond!E128)</f>
        <v/>
      </c>
      <c r="F128" s="19">
        <f>IF(A128="","",MONTH(A128))</f>
        <v/>
      </c>
      <c r="G128" s="18">
        <f>IF(A128="","",VLOOKUP(F128,Evaporation!$A$6:$B$17,2,FALSE))</f>
        <v/>
      </c>
      <c r="H128" s="19">
        <f>IF(A128="","",IF(C128="","",IF(C128&lt;=INDEX(StageAreaVolume!$A$6:$A$17,1),INDEX(StageAreaVolume!$B$6:$B$17,1),IF(C128&gt;=INDEX(StageAreaVolume!$A$6:$A$17,COUNTA(StageAreaVolume!$A$6:$A$17)),INDEX(StageAreaVolume!$B$6:$B$17,COUNTA(StageAreaVolume!$A$6:$A$17)),(INDEX(StageAreaVolume!$B$6:$B$17,MATCH(C128,StageAreaVolume!$A$6:$A$17,1))+(C128-INDEX(StageAreaVolume!$A$6:$A$17,MATCH(C128,StageAreaVolume!$A$6:$A$17,1)))/(INDEX(StageAreaVolume!$A$6:$A$17,MATCH(C128,StageAreaVolume!$A$6:$A$17,1)+1)-INDEX(StageAreaVolume!$A$6:$A$17,MATCH(C128,StageAreaVolume!$A$6:$A$17,1)))*(INDEX(StageAreaVolume!$B$6:$B$17,MATCH(C128,StageAreaVolume!$A$6:$A$17,1)+1)-INDEX(StageAreaVolume!$B$6:$B$17,MATCH(C128,StageAreaVolume!$A$6:$A$17,1)))))))))</f>
        <v/>
      </c>
      <c r="I128" s="18">
        <f>IF(A128="","",IF(C128="","",IF(C128&lt;=INDEX(StageAreaVolume!$A$6:$A$17,1),INDEX(StageAreaVolume!$D$6:$D$17,1),IF(C128&gt;=INDEX(StageAreaVolume!$A$6:$A$17,COUNTA(StageAreaVolume!$A$6:$A$17)),INDEX(StageAreaVolume!$D$6:$D$17,COUNTA(StageAreaVolume!$A$6:$A$17)),(INDEX(StageAreaVolume!$D$6:$D$17,MATCH(C128,StageAreaVolume!$A$6:$A$17,1))+(C128-INDEX(StageAreaVolume!$A$6:$A$17,MATCH(C128,StageAreaVolume!$A$6:$A$17,1)))/(INDEX(StageAreaVolume!$A$6:$A$17,MATCH(C128,StageAreaVolume!$A$6:$A$17,1)+1)-INDEX(StageAreaVolume!$A$6:$A$17,MATCH(C128,StageAreaVolume!$A$6:$A$17,1)))*(INDEX(StageAreaVolume!$D$6:$D$17,MATCH(C128,StageAreaVolume!$A$6:$A$17,1)+1)-INDEX(StageAreaVolume!$D$6:$D$17,MATCH(C128,StageAreaVolume!$A$6:$A$17,1)))))))))</f>
        <v/>
      </c>
      <c r="J128" s="25">
        <f>IF(A128="","",IF(A127="",NA(),C127))</f>
        <v/>
      </c>
      <c r="K128" s="19">
        <f>IF(OR(A128="",ISNA(J128)),IF(A128="","",H128),(H127+H128)/2)</f>
        <v/>
      </c>
      <c r="L128" s="19">
        <f>IF(OR(A128="",ISNA(J128)),0,IF(AND(B128=0,D128="N",E128="N",C128&lt;J128,C128&gt;0),1,0))</f>
        <v/>
      </c>
      <c r="M128" s="25">
        <f>IF(L128&lt;&gt;1,"",IF(K128&lt;=0,"",(I127-I128-G128/1000*K128)/K128*1000))</f>
        <v/>
      </c>
      <c r="N128" s="18">
        <f>IF(A128="","",IF(L128=1,I127-I128-O128,IF(OR(C128&gt;0,N(J128)&gt;0),MeanMDWIR/1000*K128,0)))</f>
        <v/>
      </c>
      <c r="O128" s="18">
        <f>IF(A128="","",G128/1000*K128)</f>
        <v/>
      </c>
      <c r="P128" s="27">
        <f>IF(A128="","",IF(L128=1,"dry",IF(D128="Y","spill",IF(B128&gt;0,"wet",IF(E128="Y","pumped","other")))))</f>
        <v/>
      </c>
    </row>
    <row r="129">
      <c r="A129" s="26">
        <f>IF(DailyPond!A129="","",DailyPond!A129)</f>
        <v/>
      </c>
      <c r="B129" s="18">
        <f>IF(A129="","",DailyPond!B129)</f>
        <v/>
      </c>
      <c r="C129" s="25">
        <f>IF(A129="","",DailyPond!C129)</f>
        <v/>
      </c>
      <c r="D129" s="27">
        <f>IF(A129="","",DailyPond!D129)</f>
        <v/>
      </c>
      <c r="E129" s="27">
        <f>IF(A129="","",DailyPond!E129)</f>
        <v/>
      </c>
      <c r="F129" s="19">
        <f>IF(A129="","",MONTH(A129))</f>
        <v/>
      </c>
      <c r="G129" s="18">
        <f>IF(A129="","",VLOOKUP(F129,Evaporation!$A$6:$B$17,2,FALSE))</f>
        <v/>
      </c>
      <c r="H129" s="19">
        <f>IF(A129="","",IF(C129="","",IF(C129&lt;=INDEX(StageAreaVolume!$A$6:$A$17,1),INDEX(StageAreaVolume!$B$6:$B$17,1),IF(C129&gt;=INDEX(StageAreaVolume!$A$6:$A$17,COUNTA(StageAreaVolume!$A$6:$A$17)),INDEX(StageAreaVolume!$B$6:$B$17,COUNTA(StageAreaVolume!$A$6:$A$17)),(INDEX(StageAreaVolume!$B$6:$B$17,MATCH(C129,StageAreaVolume!$A$6:$A$17,1))+(C129-INDEX(StageAreaVolume!$A$6:$A$17,MATCH(C129,StageAreaVolume!$A$6:$A$17,1)))/(INDEX(StageAreaVolume!$A$6:$A$17,MATCH(C129,StageAreaVolume!$A$6:$A$17,1)+1)-INDEX(StageAreaVolume!$A$6:$A$17,MATCH(C129,StageAreaVolume!$A$6:$A$17,1)))*(INDEX(StageAreaVolume!$B$6:$B$17,MATCH(C129,StageAreaVolume!$A$6:$A$17,1)+1)-INDEX(StageAreaVolume!$B$6:$B$17,MATCH(C129,StageAreaVolume!$A$6:$A$17,1)))))))))</f>
        <v/>
      </c>
      <c r="I129" s="18">
        <f>IF(A129="","",IF(C129="","",IF(C129&lt;=INDEX(StageAreaVolume!$A$6:$A$17,1),INDEX(StageAreaVolume!$D$6:$D$17,1),IF(C129&gt;=INDEX(StageAreaVolume!$A$6:$A$17,COUNTA(StageAreaVolume!$A$6:$A$17)),INDEX(StageAreaVolume!$D$6:$D$17,COUNTA(StageAreaVolume!$A$6:$A$17)),(INDEX(StageAreaVolume!$D$6:$D$17,MATCH(C129,StageAreaVolume!$A$6:$A$17,1))+(C129-INDEX(StageAreaVolume!$A$6:$A$17,MATCH(C129,StageAreaVolume!$A$6:$A$17,1)))/(INDEX(StageAreaVolume!$A$6:$A$17,MATCH(C129,StageAreaVolume!$A$6:$A$17,1)+1)-INDEX(StageAreaVolume!$A$6:$A$17,MATCH(C129,StageAreaVolume!$A$6:$A$17,1)))*(INDEX(StageAreaVolume!$D$6:$D$17,MATCH(C129,StageAreaVolume!$A$6:$A$17,1)+1)-INDEX(StageAreaVolume!$D$6:$D$17,MATCH(C129,StageAreaVolume!$A$6:$A$17,1)))))))))</f>
        <v/>
      </c>
      <c r="J129" s="25">
        <f>IF(A129="","",IF(A128="",NA(),C128))</f>
        <v/>
      </c>
      <c r="K129" s="19">
        <f>IF(OR(A129="",ISNA(J129)),IF(A129="","",H129),(H128+H129)/2)</f>
        <v/>
      </c>
      <c r="L129" s="19">
        <f>IF(OR(A129="",ISNA(J129)),0,IF(AND(B129=0,D129="N",E129="N",C129&lt;J129,C129&gt;0),1,0))</f>
        <v/>
      </c>
      <c r="M129" s="25">
        <f>IF(L129&lt;&gt;1,"",IF(K129&lt;=0,"",(I128-I129-G129/1000*K129)/K129*1000))</f>
        <v/>
      </c>
      <c r="N129" s="18">
        <f>IF(A129="","",IF(L129=1,I128-I129-O129,IF(OR(C129&gt;0,N(J129)&gt;0),MeanMDWIR/1000*K129,0)))</f>
        <v/>
      </c>
      <c r="O129" s="18">
        <f>IF(A129="","",G129/1000*K129)</f>
        <v/>
      </c>
      <c r="P129" s="27">
        <f>IF(A129="","",IF(L129=1,"dry",IF(D129="Y","spill",IF(B129&gt;0,"wet",IF(E129="Y","pumped","other")))))</f>
        <v/>
      </c>
    </row>
    <row r="130">
      <c r="A130" s="26">
        <f>IF(DailyPond!A130="","",DailyPond!A130)</f>
        <v/>
      </c>
      <c r="B130" s="18">
        <f>IF(A130="","",DailyPond!B130)</f>
        <v/>
      </c>
      <c r="C130" s="25">
        <f>IF(A130="","",DailyPond!C130)</f>
        <v/>
      </c>
      <c r="D130" s="27">
        <f>IF(A130="","",DailyPond!D130)</f>
        <v/>
      </c>
      <c r="E130" s="27">
        <f>IF(A130="","",DailyPond!E130)</f>
        <v/>
      </c>
      <c r="F130" s="19">
        <f>IF(A130="","",MONTH(A130))</f>
        <v/>
      </c>
      <c r="G130" s="18">
        <f>IF(A130="","",VLOOKUP(F130,Evaporation!$A$6:$B$17,2,FALSE))</f>
        <v/>
      </c>
      <c r="H130" s="19">
        <f>IF(A130="","",IF(C130="","",IF(C130&lt;=INDEX(StageAreaVolume!$A$6:$A$17,1),INDEX(StageAreaVolume!$B$6:$B$17,1),IF(C130&gt;=INDEX(StageAreaVolume!$A$6:$A$17,COUNTA(StageAreaVolume!$A$6:$A$17)),INDEX(StageAreaVolume!$B$6:$B$17,COUNTA(StageAreaVolume!$A$6:$A$17)),(INDEX(StageAreaVolume!$B$6:$B$17,MATCH(C130,StageAreaVolume!$A$6:$A$17,1))+(C130-INDEX(StageAreaVolume!$A$6:$A$17,MATCH(C130,StageAreaVolume!$A$6:$A$17,1)))/(INDEX(StageAreaVolume!$A$6:$A$17,MATCH(C130,StageAreaVolume!$A$6:$A$17,1)+1)-INDEX(StageAreaVolume!$A$6:$A$17,MATCH(C130,StageAreaVolume!$A$6:$A$17,1)))*(INDEX(StageAreaVolume!$B$6:$B$17,MATCH(C130,StageAreaVolume!$A$6:$A$17,1)+1)-INDEX(StageAreaVolume!$B$6:$B$17,MATCH(C130,StageAreaVolume!$A$6:$A$17,1)))))))))</f>
        <v/>
      </c>
      <c r="I130" s="18">
        <f>IF(A130="","",IF(C130="","",IF(C130&lt;=INDEX(StageAreaVolume!$A$6:$A$17,1),INDEX(StageAreaVolume!$D$6:$D$17,1),IF(C130&gt;=INDEX(StageAreaVolume!$A$6:$A$17,COUNTA(StageAreaVolume!$A$6:$A$17)),INDEX(StageAreaVolume!$D$6:$D$17,COUNTA(StageAreaVolume!$A$6:$A$17)),(INDEX(StageAreaVolume!$D$6:$D$17,MATCH(C130,StageAreaVolume!$A$6:$A$17,1))+(C130-INDEX(StageAreaVolume!$A$6:$A$17,MATCH(C130,StageAreaVolume!$A$6:$A$17,1)))/(INDEX(StageAreaVolume!$A$6:$A$17,MATCH(C130,StageAreaVolume!$A$6:$A$17,1)+1)-INDEX(StageAreaVolume!$A$6:$A$17,MATCH(C130,StageAreaVolume!$A$6:$A$17,1)))*(INDEX(StageAreaVolume!$D$6:$D$17,MATCH(C130,StageAreaVolume!$A$6:$A$17,1)+1)-INDEX(StageAreaVolume!$D$6:$D$17,MATCH(C130,StageAreaVolume!$A$6:$A$17,1)))))))))</f>
        <v/>
      </c>
      <c r="J130" s="25">
        <f>IF(A130="","",IF(A129="",NA(),C129))</f>
        <v/>
      </c>
      <c r="K130" s="19">
        <f>IF(OR(A130="",ISNA(J130)),IF(A130="","",H130),(H129+H130)/2)</f>
        <v/>
      </c>
      <c r="L130" s="19">
        <f>IF(OR(A130="",ISNA(J130)),0,IF(AND(B130=0,D130="N",E130="N",C130&lt;J130,C130&gt;0),1,0))</f>
        <v/>
      </c>
      <c r="M130" s="25">
        <f>IF(L130&lt;&gt;1,"",IF(K130&lt;=0,"",(I129-I130-G130/1000*K130)/K130*1000))</f>
        <v/>
      </c>
      <c r="N130" s="18">
        <f>IF(A130="","",IF(L130=1,I129-I130-O130,IF(OR(C130&gt;0,N(J130)&gt;0),MeanMDWIR/1000*K130,0)))</f>
        <v/>
      </c>
      <c r="O130" s="18">
        <f>IF(A130="","",G130/1000*K130)</f>
        <v/>
      </c>
      <c r="P130" s="27">
        <f>IF(A130="","",IF(L130=1,"dry",IF(D130="Y","spill",IF(B130&gt;0,"wet",IF(E130="Y","pumped","other")))))</f>
        <v/>
      </c>
    </row>
    <row r="131">
      <c r="A131" s="26">
        <f>IF(DailyPond!A131="","",DailyPond!A131)</f>
        <v/>
      </c>
      <c r="B131" s="18">
        <f>IF(A131="","",DailyPond!B131)</f>
        <v/>
      </c>
      <c r="C131" s="25">
        <f>IF(A131="","",DailyPond!C131)</f>
        <v/>
      </c>
      <c r="D131" s="27">
        <f>IF(A131="","",DailyPond!D131)</f>
        <v/>
      </c>
      <c r="E131" s="27">
        <f>IF(A131="","",DailyPond!E131)</f>
        <v/>
      </c>
      <c r="F131" s="19">
        <f>IF(A131="","",MONTH(A131))</f>
        <v/>
      </c>
      <c r="G131" s="18">
        <f>IF(A131="","",VLOOKUP(F131,Evaporation!$A$6:$B$17,2,FALSE))</f>
        <v/>
      </c>
      <c r="H131" s="19">
        <f>IF(A131="","",IF(C131="","",IF(C131&lt;=INDEX(StageAreaVolume!$A$6:$A$17,1),INDEX(StageAreaVolume!$B$6:$B$17,1),IF(C131&gt;=INDEX(StageAreaVolume!$A$6:$A$17,COUNTA(StageAreaVolume!$A$6:$A$17)),INDEX(StageAreaVolume!$B$6:$B$17,COUNTA(StageAreaVolume!$A$6:$A$17)),(INDEX(StageAreaVolume!$B$6:$B$17,MATCH(C131,StageAreaVolume!$A$6:$A$17,1))+(C131-INDEX(StageAreaVolume!$A$6:$A$17,MATCH(C131,StageAreaVolume!$A$6:$A$17,1)))/(INDEX(StageAreaVolume!$A$6:$A$17,MATCH(C131,StageAreaVolume!$A$6:$A$17,1)+1)-INDEX(StageAreaVolume!$A$6:$A$17,MATCH(C131,StageAreaVolume!$A$6:$A$17,1)))*(INDEX(StageAreaVolume!$B$6:$B$17,MATCH(C131,StageAreaVolume!$A$6:$A$17,1)+1)-INDEX(StageAreaVolume!$B$6:$B$17,MATCH(C131,StageAreaVolume!$A$6:$A$17,1)))))))))</f>
        <v/>
      </c>
      <c r="I131" s="18">
        <f>IF(A131="","",IF(C131="","",IF(C131&lt;=INDEX(StageAreaVolume!$A$6:$A$17,1),INDEX(StageAreaVolume!$D$6:$D$17,1),IF(C131&gt;=INDEX(StageAreaVolume!$A$6:$A$17,COUNTA(StageAreaVolume!$A$6:$A$17)),INDEX(StageAreaVolume!$D$6:$D$17,COUNTA(StageAreaVolume!$A$6:$A$17)),(INDEX(StageAreaVolume!$D$6:$D$17,MATCH(C131,StageAreaVolume!$A$6:$A$17,1))+(C131-INDEX(StageAreaVolume!$A$6:$A$17,MATCH(C131,StageAreaVolume!$A$6:$A$17,1)))/(INDEX(StageAreaVolume!$A$6:$A$17,MATCH(C131,StageAreaVolume!$A$6:$A$17,1)+1)-INDEX(StageAreaVolume!$A$6:$A$17,MATCH(C131,StageAreaVolume!$A$6:$A$17,1)))*(INDEX(StageAreaVolume!$D$6:$D$17,MATCH(C131,StageAreaVolume!$A$6:$A$17,1)+1)-INDEX(StageAreaVolume!$D$6:$D$17,MATCH(C131,StageAreaVolume!$A$6:$A$17,1)))))))))</f>
        <v/>
      </c>
      <c r="J131" s="25">
        <f>IF(A131="","",IF(A130="",NA(),C130))</f>
        <v/>
      </c>
      <c r="K131" s="19">
        <f>IF(OR(A131="",ISNA(J131)),IF(A131="","",H131),(H130+H131)/2)</f>
        <v/>
      </c>
      <c r="L131" s="19">
        <f>IF(OR(A131="",ISNA(J131)),0,IF(AND(B131=0,D131="N",E131="N",C131&lt;J131,C131&gt;0),1,0))</f>
        <v/>
      </c>
      <c r="M131" s="25">
        <f>IF(L131&lt;&gt;1,"",IF(K131&lt;=0,"",(I130-I131-G131/1000*K131)/K131*1000))</f>
        <v/>
      </c>
      <c r="N131" s="18">
        <f>IF(A131="","",IF(L131=1,I130-I131-O131,IF(OR(C131&gt;0,N(J131)&gt;0),MeanMDWIR/1000*K131,0)))</f>
        <v/>
      </c>
      <c r="O131" s="18">
        <f>IF(A131="","",G131/1000*K131)</f>
        <v/>
      </c>
      <c r="P131" s="27">
        <f>IF(A131="","",IF(L131=1,"dry",IF(D131="Y","spill",IF(B131&gt;0,"wet",IF(E131="Y","pumped","other")))))</f>
        <v/>
      </c>
    </row>
    <row r="132">
      <c r="A132" s="26">
        <f>IF(DailyPond!A132="","",DailyPond!A132)</f>
        <v/>
      </c>
      <c r="B132" s="18">
        <f>IF(A132="","",DailyPond!B132)</f>
        <v/>
      </c>
      <c r="C132" s="25">
        <f>IF(A132="","",DailyPond!C132)</f>
        <v/>
      </c>
      <c r="D132" s="27">
        <f>IF(A132="","",DailyPond!D132)</f>
        <v/>
      </c>
      <c r="E132" s="27">
        <f>IF(A132="","",DailyPond!E132)</f>
        <v/>
      </c>
      <c r="F132" s="19">
        <f>IF(A132="","",MONTH(A132))</f>
        <v/>
      </c>
      <c r="G132" s="18">
        <f>IF(A132="","",VLOOKUP(F132,Evaporation!$A$6:$B$17,2,FALSE))</f>
        <v/>
      </c>
      <c r="H132" s="19">
        <f>IF(A132="","",IF(C132="","",IF(C132&lt;=INDEX(StageAreaVolume!$A$6:$A$17,1),INDEX(StageAreaVolume!$B$6:$B$17,1),IF(C132&gt;=INDEX(StageAreaVolume!$A$6:$A$17,COUNTA(StageAreaVolume!$A$6:$A$17)),INDEX(StageAreaVolume!$B$6:$B$17,COUNTA(StageAreaVolume!$A$6:$A$17)),(INDEX(StageAreaVolume!$B$6:$B$17,MATCH(C132,StageAreaVolume!$A$6:$A$17,1))+(C132-INDEX(StageAreaVolume!$A$6:$A$17,MATCH(C132,StageAreaVolume!$A$6:$A$17,1)))/(INDEX(StageAreaVolume!$A$6:$A$17,MATCH(C132,StageAreaVolume!$A$6:$A$17,1)+1)-INDEX(StageAreaVolume!$A$6:$A$17,MATCH(C132,StageAreaVolume!$A$6:$A$17,1)))*(INDEX(StageAreaVolume!$B$6:$B$17,MATCH(C132,StageAreaVolume!$A$6:$A$17,1)+1)-INDEX(StageAreaVolume!$B$6:$B$17,MATCH(C132,StageAreaVolume!$A$6:$A$17,1)))))))))</f>
        <v/>
      </c>
      <c r="I132" s="18">
        <f>IF(A132="","",IF(C132="","",IF(C132&lt;=INDEX(StageAreaVolume!$A$6:$A$17,1),INDEX(StageAreaVolume!$D$6:$D$17,1),IF(C132&gt;=INDEX(StageAreaVolume!$A$6:$A$17,COUNTA(StageAreaVolume!$A$6:$A$17)),INDEX(StageAreaVolume!$D$6:$D$17,COUNTA(StageAreaVolume!$A$6:$A$17)),(INDEX(StageAreaVolume!$D$6:$D$17,MATCH(C132,StageAreaVolume!$A$6:$A$17,1))+(C132-INDEX(StageAreaVolume!$A$6:$A$17,MATCH(C132,StageAreaVolume!$A$6:$A$17,1)))/(INDEX(StageAreaVolume!$A$6:$A$17,MATCH(C132,StageAreaVolume!$A$6:$A$17,1)+1)-INDEX(StageAreaVolume!$A$6:$A$17,MATCH(C132,StageAreaVolume!$A$6:$A$17,1)))*(INDEX(StageAreaVolume!$D$6:$D$17,MATCH(C132,StageAreaVolume!$A$6:$A$17,1)+1)-INDEX(StageAreaVolume!$D$6:$D$17,MATCH(C132,StageAreaVolume!$A$6:$A$17,1)))))))))</f>
        <v/>
      </c>
      <c r="J132" s="25">
        <f>IF(A132="","",IF(A131="",NA(),C131))</f>
        <v/>
      </c>
      <c r="K132" s="19">
        <f>IF(OR(A132="",ISNA(J132)),IF(A132="","",H132),(H131+H132)/2)</f>
        <v/>
      </c>
      <c r="L132" s="19">
        <f>IF(OR(A132="",ISNA(J132)),0,IF(AND(B132=0,D132="N",E132="N",C132&lt;J132,C132&gt;0),1,0))</f>
        <v/>
      </c>
      <c r="M132" s="25">
        <f>IF(L132&lt;&gt;1,"",IF(K132&lt;=0,"",(I131-I132-G132/1000*K132)/K132*1000))</f>
        <v/>
      </c>
      <c r="N132" s="18">
        <f>IF(A132="","",IF(L132=1,I131-I132-O132,IF(OR(C132&gt;0,N(J132)&gt;0),MeanMDWIR/1000*K132,0)))</f>
        <v/>
      </c>
      <c r="O132" s="18">
        <f>IF(A132="","",G132/1000*K132)</f>
        <v/>
      </c>
      <c r="P132" s="27">
        <f>IF(A132="","",IF(L132=1,"dry",IF(D132="Y","spill",IF(B132&gt;0,"wet",IF(E132="Y","pumped","other")))))</f>
        <v/>
      </c>
    </row>
    <row r="133">
      <c r="A133" s="26">
        <f>IF(DailyPond!A133="","",DailyPond!A133)</f>
        <v/>
      </c>
      <c r="B133" s="18">
        <f>IF(A133="","",DailyPond!B133)</f>
        <v/>
      </c>
      <c r="C133" s="25">
        <f>IF(A133="","",DailyPond!C133)</f>
        <v/>
      </c>
      <c r="D133" s="27">
        <f>IF(A133="","",DailyPond!D133)</f>
        <v/>
      </c>
      <c r="E133" s="27">
        <f>IF(A133="","",DailyPond!E133)</f>
        <v/>
      </c>
      <c r="F133" s="19">
        <f>IF(A133="","",MONTH(A133))</f>
        <v/>
      </c>
      <c r="G133" s="18">
        <f>IF(A133="","",VLOOKUP(F133,Evaporation!$A$6:$B$17,2,FALSE))</f>
        <v/>
      </c>
      <c r="H133" s="19">
        <f>IF(A133="","",IF(C133="","",IF(C133&lt;=INDEX(StageAreaVolume!$A$6:$A$17,1),INDEX(StageAreaVolume!$B$6:$B$17,1),IF(C133&gt;=INDEX(StageAreaVolume!$A$6:$A$17,COUNTA(StageAreaVolume!$A$6:$A$17)),INDEX(StageAreaVolume!$B$6:$B$17,COUNTA(StageAreaVolume!$A$6:$A$17)),(INDEX(StageAreaVolume!$B$6:$B$17,MATCH(C133,StageAreaVolume!$A$6:$A$17,1))+(C133-INDEX(StageAreaVolume!$A$6:$A$17,MATCH(C133,StageAreaVolume!$A$6:$A$17,1)))/(INDEX(StageAreaVolume!$A$6:$A$17,MATCH(C133,StageAreaVolume!$A$6:$A$17,1)+1)-INDEX(StageAreaVolume!$A$6:$A$17,MATCH(C133,StageAreaVolume!$A$6:$A$17,1)))*(INDEX(StageAreaVolume!$B$6:$B$17,MATCH(C133,StageAreaVolume!$A$6:$A$17,1)+1)-INDEX(StageAreaVolume!$B$6:$B$17,MATCH(C133,StageAreaVolume!$A$6:$A$17,1)))))))))</f>
        <v/>
      </c>
      <c r="I133" s="18">
        <f>IF(A133="","",IF(C133="","",IF(C133&lt;=INDEX(StageAreaVolume!$A$6:$A$17,1),INDEX(StageAreaVolume!$D$6:$D$17,1),IF(C133&gt;=INDEX(StageAreaVolume!$A$6:$A$17,COUNTA(StageAreaVolume!$A$6:$A$17)),INDEX(StageAreaVolume!$D$6:$D$17,COUNTA(StageAreaVolume!$A$6:$A$17)),(INDEX(StageAreaVolume!$D$6:$D$17,MATCH(C133,StageAreaVolume!$A$6:$A$17,1))+(C133-INDEX(StageAreaVolume!$A$6:$A$17,MATCH(C133,StageAreaVolume!$A$6:$A$17,1)))/(INDEX(StageAreaVolume!$A$6:$A$17,MATCH(C133,StageAreaVolume!$A$6:$A$17,1)+1)-INDEX(StageAreaVolume!$A$6:$A$17,MATCH(C133,StageAreaVolume!$A$6:$A$17,1)))*(INDEX(StageAreaVolume!$D$6:$D$17,MATCH(C133,StageAreaVolume!$A$6:$A$17,1)+1)-INDEX(StageAreaVolume!$D$6:$D$17,MATCH(C133,StageAreaVolume!$A$6:$A$17,1)))))))))</f>
        <v/>
      </c>
      <c r="J133" s="25">
        <f>IF(A133="","",IF(A132="",NA(),C132))</f>
        <v/>
      </c>
      <c r="K133" s="19">
        <f>IF(OR(A133="",ISNA(J133)),IF(A133="","",H133),(H132+H133)/2)</f>
        <v/>
      </c>
      <c r="L133" s="19">
        <f>IF(OR(A133="",ISNA(J133)),0,IF(AND(B133=0,D133="N",E133="N",C133&lt;J133,C133&gt;0),1,0))</f>
        <v/>
      </c>
      <c r="M133" s="25">
        <f>IF(L133&lt;&gt;1,"",IF(K133&lt;=0,"",(I132-I133-G133/1000*K133)/K133*1000))</f>
        <v/>
      </c>
      <c r="N133" s="18">
        <f>IF(A133="","",IF(L133=1,I132-I133-O133,IF(OR(C133&gt;0,N(J133)&gt;0),MeanMDWIR/1000*K133,0)))</f>
        <v/>
      </c>
      <c r="O133" s="18">
        <f>IF(A133="","",G133/1000*K133)</f>
        <v/>
      </c>
      <c r="P133" s="27">
        <f>IF(A133="","",IF(L133=1,"dry",IF(D133="Y","spill",IF(B133&gt;0,"wet",IF(E133="Y","pumped","other")))))</f>
        <v/>
      </c>
    </row>
    <row r="134">
      <c r="A134" s="26">
        <f>IF(DailyPond!A134="","",DailyPond!A134)</f>
        <v/>
      </c>
      <c r="B134" s="18">
        <f>IF(A134="","",DailyPond!B134)</f>
        <v/>
      </c>
      <c r="C134" s="25">
        <f>IF(A134="","",DailyPond!C134)</f>
        <v/>
      </c>
      <c r="D134" s="27">
        <f>IF(A134="","",DailyPond!D134)</f>
        <v/>
      </c>
      <c r="E134" s="27">
        <f>IF(A134="","",DailyPond!E134)</f>
        <v/>
      </c>
      <c r="F134" s="19">
        <f>IF(A134="","",MONTH(A134))</f>
        <v/>
      </c>
      <c r="G134" s="18">
        <f>IF(A134="","",VLOOKUP(F134,Evaporation!$A$6:$B$17,2,FALSE))</f>
        <v/>
      </c>
      <c r="H134" s="19">
        <f>IF(A134="","",IF(C134="","",IF(C134&lt;=INDEX(StageAreaVolume!$A$6:$A$17,1),INDEX(StageAreaVolume!$B$6:$B$17,1),IF(C134&gt;=INDEX(StageAreaVolume!$A$6:$A$17,COUNTA(StageAreaVolume!$A$6:$A$17)),INDEX(StageAreaVolume!$B$6:$B$17,COUNTA(StageAreaVolume!$A$6:$A$17)),(INDEX(StageAreaVolume!$B$6:$B$17,MATCH(C134,StageAreaVolume!$A$6:$A$17,1))+(C134-INDEX(StageAreaVolume!$A$6:$A$17,MATCH(C134,StageAreaVolume!$A$6:$A$17,1)))/(INDEX(StageAreaVolume!$A$6:$A$17,MATCH(C134,StageAreaVolume!$A$6:$A$17,1)+1)-INDEX(StageAreaVolume!$A$6:$A$17,MATCH(C134,StageAreaVolume!$A$6:$A$17,1)))*(INDEX(StageAreaVolume!$B$6:$B$17,MATCH(C134,StageAreaVolume!$A$6:$A$17,1)+1)-INDEX(StageAreaVolume!$B$6:$B$17,MATCH(C134,StageAreaVolume!$A$6:$A$17,1)))))))))</f>
        <v/>
      </c>
      <c r="I134" s="18">
        <f>IF(A134="","",IF(C134="","",IF(C134&lt;=INDEX(StageAreaVolume!$A$6:$A$17,1),INDEX(StageAreaVolume!$D$6:$D$17,1),IF(C134&gt;=INDEX(StageAreaVolume!$A$6:$A$17,COUNTA(StageAreaVolume!$A$6:$A$17)),INDEX(StageAreaVolume!$D$6:$D$17,COUNTA(StageAreaVolume!$A$6:$A$17)),(INDEX(StageAreaVolume!$D$6:$D$17,MATCH(C134,StageAreaVolume!$A$6:$A$17,1))+(C134-INDEX(StageAreaVolume!$A$6:$A$17,MATCH(C134,StageAreaVolume!$A$6:$A$17,1)))/(INDEX(StageAreaVolume!$A$6:$A$17,MATCH(C134,StageAreaVolume!$A$6:$A$17,1)+1)-INDEX(StageAreaVolume!$A$6:$A$17,MATCH(C134,StageAreaVolume!$A$6:$A$17,1)))*(INDEX(StageAreaVolume!$D$6:$D$17,MATCH(C134,StageAreaVolume!$A$6:$A$17,1)+1)-INDEX(StageAreaVolume!$D$6:$D$17,MATCH(C134,StageAreaVolume!$A$6:$A$17,1)))))))))</f>
        <v/>
      </c>
      <c r="J134" s="25">
        <f>IF(A134="","",IF(A133="",NA(),C133))</f>
        <v/>
      </c>
      <c r="K134" s="19">
        <f>IF(OR(A134="",ISNA(J134)),IF(A134="","",H134),(H133+H134)/2)</f>
        <v/>
      </c>
      <c r="L134" s="19">
        <f>IF(OR(A134="",ISNA(J134)),0,IF(AND(B134=0,D134="N",E134="N",C134&lt;J134,C134&gt;0),1,0))</f>
        <v/>
      </c>
      <c r="M134" s="25">
        <f>IF(L134&lt;&gt;1,"",IF(K134&lt;=0,"",(I133-I134-G134/1000*K134)/K134*1000))</f>
        <v/>
      </c>
      <c r="N134" s="18">
        <f>IF(A134="","",IF(L134=1,I133-I134-O134,IF(OR(C134&gt;0,N(J134)&gt;0),MeanMDWIR/1000*K134,0)))</f>
        <v/>
      </c>
      <c r="O134" s="18">
        <f>IF(A134="","",G134/1000*K134)</f>
        <v/>
      </c>
      <c r="P134" s="27">
        <f>IF(A134="","",IF(L134=1,"dry",IF(D134="Y","spill",IF(B134&gt;0,"wet",IF(E134="Y","pumped","other")))))</f>
        <v/>
      </c>
    </row>
    <row r="135">
      <c r="A135" s="26">
        <f>IF(DailyPond!A135="","",DailyPond!A135)</f>
        <v/>
      </c>
      <c r="B135" s="18">
        <f>IF(A135="","",DailyPond!B135)</f>
        <v/>
      </c>
      <c r="C135" s="25">
        <f>IF(A135="","",DailyPond!C135)</f>
        <v/>
      </c>
      <c r="D135" s="27">
        <f>IF(A135="","",DailyPond!D135)</f>
        <v/>
      </c>
      <c r="E135" s="27">
        <f>IF(A135="","",DailyPond!E135)</f>
        <v/>
      </c>
      <c r="F135" s="19">
        <f>IF(A135="","",MONTH(A135))</f>
        <v/>
      </c>
      <c r="G135" s="18">
        <f>IF(A135="","",VLOOKUP(F135,Evaporation!$A$6:$B$17,2,FALSE))</f>
        <v/>
      </c>
      <c r="H135" s="19">
        <f>IF(A135="","",IF(C135="","",IF(C135&lt;=INDEX(StageAreaVolume!$A$6:$A$17,1),INDEX(StageAreaVolume!$B$6:$B$17,1),IF(C135&gt;=INDEX(StageAreaVolume!$A$6:$A$17,COUNTA(StageAreaVolume!$A$6:$A$17)),INDEX(StageAreaVolume!$B$6:$B$17,COUNTA(StageAreaVolume!$A$6:$A$17)),(INDEX(StageAreaVolume!$B$6:$B$17,MATCH(C135,StageAreaVolume!$A$6:$A$17,1))+(C135-INDEX(StageAreaVolume!$A$6:$A$17,MATCH(C135,StageAreaVolume!$A$6:$A$17,1)))/(INDEX(StageAreaVolume!$A$6:$A$17,MATCH(C135,StageAreaVolume!$A$6:$A$17,1)+1)-INDEX(StageAreaVolume!$A$6:$A$17,MATCH(C135,StageAreaVolume!$A$6:$A$17,1)))*(INDEX(StageAreaVolume!$B$6:$B$17,MATCH(C135,StageAreaVolume!$A$6:$A$17,1)+1)-INDEX(StageAreaVolume!$B$6:$B$17,MATCH(C135,StageAreaVolume!$A$6:$A$17,1)))))))))</f>
        <v/>
      </c>
      <c r="I135" s="18">
        <f>IF(A135="","",IF(C135="","",IF(C135&lt;=INDEX(StageAreaVolume!$A$6:$A$17,1),INDEX(StageAreaVolume!$D$6:$D$17,1),IF(C135&gt;=INDEX(StageAreaVolume!$A$6:$A$17,COUNTA(StageAreaVolume!$A$6:$A$17)),INDEX(StageAreaVolume!$D$6:$D$17,COUNTA(StageAreaVolume!$A$6:$A$17)),(INDEX(StageAreaVolume!$D$6:$D$17,MATCH(C135,StageAreaVolume!$A$6:$A$17,1))+(C135-INDEX(StageAreaVolume!$A$6:$A$17,MATCH(C135,StageAreaVolume!$A$6:$A$17,1)))/(INDEX(StageAreaVolume!$A$6:$A$17,MATCH(C135,StageAreaVolume!$A$6:$A$17,1)+1)-INDEX(StageAreaVolume!$A$6:$A$17,MATCH(C135,StageAreaVolume!$A$6:$A$17,1)))*(INDEX(StageAreaVolume!$D$6:$D$17,MATCH(C135,StageAreaVolume!$A$6:$A$17,1)+1)-INDEX(StageAreaVolume!$D$6:$D$17,MATCH(C135,StageAreaVolume!$A$6:$A$17,1)))))))))</f>
        <v/>
      </c>
      <c r="J135" s="25">
        <f>IF(A135="","",IF(A134="",NA(),C134))</f>
        <v/>
      </c>
      <c r="K135" s="19">
        <f>IF(OR(A135="",ISNA(J135)),IF(A135="","",H135),(H134+H135)/2)</f>
        <v/>
      </c>
      <c r="L135" s="19">
        <f>IF(OR(A135="",ISNA(J135)),0,IF(AND(B135=0,D135="N",E135="N",C135&lt;J135,C135&gt;0),1,0))</f>
        <v/>
      </c>
      <c r="M135" s="25">
        <f>IF(L135&lt;&gt;1,"",IF(K135&lt;=0,"",(I134-I135-G135/1000*K135)/K135*1000))</f>
        <v/>
      </c>
      <c r="N135" s="18">
        <f>IF(A135="","",IF(L135=1,I134-I135-O135,IF(OR(C135&gt;0,N(J135)&gt;0),MeanMDWIR/1000*K135,0)))</f>
        <v/>
      </c>
      <c r="O135" s="18">
        <f>IF(A135="","",G135/1000*K135)</f>
        <v/>
      </c>
      <c r="P135" s="27">
        <f>IF(A135="","",IF(L135=1,"dry",IF(D135="Y","spill",IF(B135&gt;0,"wet",IF(E135="Y","pumped","other")))))</f>
        <v/>
      </c>
    </row>
    <row r="136">
      <c r="A136" s="26">
        <f>IF(DailyPond!A136="","",DailyPond!A136)</f>
        <v/>
      </c>
      <c r="B136" s="18">
        <f>IF(A136="","",DailyPond!B136)</f>
        <v/>
      </c>
      <c r="C136" s="25">
        <f>IF(A136="","",DailyPond!C136)</f>
        <v/>
      </c>
      <c r="D136" s="27">
        <f>IF(A136="","",DailyPond!D136)</f>
        <v/>
      </c>
      <c r="E136" s="27">
        <f>IF(A136="","",DailyPond!E136)</f>
        <v/>
      </c>
      <c r="F136" s="19">
        <f>IF(A136="","",MONTH(A136))</f>
        <v/>
      </c>
      <c r="G136" s="18">
        <f>IF(A136="","",VLOOKUP(F136,Evaporation!$A$6:$B$17,2,FALSE))</f>
        <v/>
      </c>
      <c r="H136" s="19">
        <f>IF(A136="","",IF(C136="","",IF(C136&lt;=INDEX(StageAreaVolume!$A$6:$A$17,1),INDEX(StageAreaVolume!$B$6:$B$17,1),IF(C136&gt;=INDEX(StageAreaVolume!$A$6:$A$17,COUNTA(StageAreaVolume!$A$6:$A$17)),INDEX(StageAreaVolume!$B$6:$B$17,COUNTA(StageAreaVolume!$A$6:$A$17)),(INDEX(StageAreaVolume!$B$6:$B$17,MATCH(C136,StageAreaVolume!$A$6:$A$17,1))+(C136-INDEX(StageAreaVolume!$A$6:$A$17,MATCH(C136,StageAreaVolume!$A$6:$A$17,1)))/(INDEX(StageAreaVolume!$A$6:$A$17,MATCH(C136,StageAreaVolume!$A$6:$A$17,1)+1)-INDEX(StageAreaVolume!$A$6:$A$17,MATCH(C136,StageAreaVolume!$A$6:$A$17,1)))*(INDEX(StageAreaVolume!$B$6:$B$17,MATCH(C136,StageAreaVolume!$A$6:$A$17,1)+1)-INDEX(StageAreaVolume!$B$6:$B$17,MATCH(C136,StageAreaVolume!$A$6:$A$17,1)))))))))</f>
        <v/>
      </c>
      <c r="I136" s="18">
        <f>IF(A136="","",IF(C136="","",IF(C136&lt;=INDEX(StageAreaVolume!$A$6:$A$17,1),INDEX(StageAreaVolume!$D$6:$D$17,1),IF(C136&gt;=INDEX(StageAreaVolume!$A$6:$A$17,COUNTA(StageAreaVolume!$A$6:$A$17)),INDEX(StageAreaVolume!$D$6:$D$17,COUNTA(StageAreaVolume!$A$6:$A$17)),(INDEX(StageAreaVolume!$D$6:$D$17,MATCH(C136,StageAreaVolume!$A$6:$A$17,1))+(C136-INDEX(StageAreaVolume!$A$6:$A$17,MATCH(C136,StageAreaVolume!$A$6:$A$17,1)))/(INDEX(StageAreaVolume!$A$6:$A$17,MATCH(C136,StageAreaVolume!$A$6:$A$17,1)+1)-INDEX(StageAreaVolume!$A$6:$A$17,MATCH(C136,StageAreaVolume!$A$6:$A$17,1)))*(INDEX(StageAreaVolume!$D$6:$D$17,MATCH(C136,StageAreaVolume!$A$6:$A$17,1)+1)-INDEX(StageAreaVolume!$D$6:$D$17,MATCH(C136,StageAreaVolume!$A$6:$A$17,1)))))))))</f>
        <v/>
      </c>
      <c r="J136" s="25">
        <f>IF(A136="","",IF(A135="",NA(),C135))</f>
        <v/>
      </c>
      <c r="K136" s="19">
        <f>IF(OR(A136="",ISNA(J136)),IF(A136="","",H136),(H135+H136)/2)</f>
        <v/>
      </c>
      <c r="L136" s="19">
        <f>IF(OR(A136="",ISNA(J136)),0,IF(AND(B136=0,D136="N",E136="N",C136&lt;J136,C136&gt;0),1,0))</f>
        <v/>
      </c>
      <c r="M136" s="25">
        <f>IF(L136&lt;&gt;1,"",IF(K136&lt;=0,"",(I135-I136-G136/1000*K136)/K136*1000))</f>
        <v/>
      </c>
      <c r="N136" s="18">
        <f>IF(A136="","",IF(L136=1,I135-I136-O136,IF(OR(C136&gt;0,N(J136)&gt;0),MeanMDWIR/1000*K136,0)))</f>
        <v/>
      </c>
      <c r="O136" s="18">
        <f>IF(A136="","",G136/1000*K136)</f>
        <v/>
      </c>
      <c r="P136" s="27">
        <f>IF(A136="","",IF(L136=1,"dry",IF(D136="Y","spill",IF(B136&gt;0,"wet",IF(E136="Y","pumped","other")))))</f>
        <v/>
      </c>
    </row>
    <row r="137">
      <c r="A137" s="26">
        <f>IF(DailyPond!A137="","",DailyPond!A137)</f>
        <v/>
      </c>
      <c r="B137" s="18">
        <f>IF(A137="","",DailyPond!B137)</f>
        <v/>
      </c>
      <c r="C137" s="25">
        <f>IF(A137="","",DailyPond!C137)</f>
        <v/>
      </c>
      <c r="D137" s="27">
        <f>IF(A137="","",DailyPond!D137)</f>
        <v/>
      </c>
      <c r="E137" s="27">
        <f>IF(A137="","",DailyPond!E137)</f>
        <v/>
      </c>
      <c r="F137" s="19">
        <f>IF(A137="","",MONTH(A137))</f>
        <v/>
      </c>
      <c r="G137" s="18">
        <f>IF(A137="","",VLOOKUP(F137,Evaporation!$A$6:$B$17,2,FALSE))</f>
        <v/>
      </c>
      <c r="H137" s="19">
        <f>IF(A137="","",IF(C137="","",IF(C137&lt;=INDEX(StageAreaVolume!$A$6:$A$17,1),INDEX(StageAreaVolume!$B$6:$B$17,1),IF(C137&gt;=INDEX(StageAreaVolume!$A$6:$A$17,COUNTA(StageAreaVolume!$A$6:$A$17)),INDEX(StageAreaVolume!$B$6:$B$17,COUNTA(StageAreaVolume!$A$6:$A$17)),(INDEX(StageAreaVolume!$B$6:$B$17,MATCH(C137,StageAreaVolume!$A$6:$A$17,1))+(C137-INDEX(StageAreaVolume!$A$6:$A$17,MATCH(C137,StageAreaVolume!$A$6:$A$17,1)))/(INDEX(StageAreaVolume!$A$6:$A$17,MATCH(C137,StageAreaVolume!$A$6:$A$17,1)+1)-INDEX(StageAreaVolume!$A$6:$A$17,MATCH(C137,StageAreaVolume!$A$6:$A$17,1)))*(INDEX(StageAreaVolume!$B$6:$B$17,MATCH(C137,StageAreaVolume!$A$6:$A$17,1)+1)-INDEX(StageAreaVolume!$B$6:$B$17,MATCH(C137,StageAreaVolume!$A$6:$A$17,1)))))))))</f>
        <v/>
      </c>
      <c r="I137" s="18">
        <f>IF(A137="","",IF(C137="","",IF(C137&lt;=INDEX(StageAreaVolume!$A$6:$A$17,1),INDEX(StageAreaVolume!$D$6:$D$17,1),IF(C137&gt;=INDEX(StageAreaVolume!$A$6:$A$17,COUNTA(StageAreaVolume!$A$6:$A$17)),INDEX(StageAreaVolume!$D$6:$D$17,COUNTA(StageAreaVolume!$A$6:$A$17)),(INDEX(StageAreaVolume!$D$6:$D$17,MATCH(C137,StageAreaVolume!$A$6:$A$17,1))+(C137-INDEX(StageAreaVolume!$A$6:$A$17,MATCH(C137,StageAreaVolume!$A$6:$A$17,1)))/(INDEX(StageAreaVolume!$A$6:$A$17,MATCH(C137,StageAreaVolume!$A$6:$A$17,1)+1)-INDEX(StageAreaVolume!$A$6:$A$17,MATCH(C137,StageAreaVolume!$A$6:$A$17,1)))*(INDEX(StageAreaVolume!$D$6:$D$17,MATCH(C137,StageAreaVolume!$A$6:$A$17,1)+1)-INDEX(StageAreaVolume!$D$6:$D$17,MATCH(C137,StageAreaVolume!$A$6:$A$17,1)))))))))</f>
        <v/>
      </c>
      <c r="J137" s="25">
        <f>IF(A137="","",IF(A136="",NA(),C136))</f>
        <v/>
      </c>
      <c r="K137" s="19">
        <f>IF(OR(A137="",ISNA(J137)),IF(A137="","",H137),(H136+H137)/2)</f>
        <v/>
      </c>
      <c r="L137" s="19">
        <f>IF(OR(A137="",ISNA(J137)),0,IF(AND(B137=0,D137="N",E137="N",C137&lt;J137,C137&gt;0),1,0))</f>
        <v/>
      </c>
      <c r="M137" s="25">
        <f>IF(L137&lt;&gt;1,"",IF(K137&lt;=0,"",(I136-I137-G137/1000*K137)/K137*1000))</f>
        <v/>
      </c>
      <c r="N137" s="18">
        <f>IF(A137="","",IF(L137=1,I136-I137-O137,IF(OR(C137&gt;0,N(J137)&gt;0),MeanMDWIR/1000*K137,0)))</f>
        <v/>
      </c>
      <c r="O137" s="18">
        <f>IF(A137="","",G137/1000*K137)</f>
        <v/>
      </c>
      <c r="P137" s="27">
        <f>IF(A137="","",IF(L137=1,"dry",IF(D137="Y","spill",IF(B137&gt;0,"wet",IF(E137="Y","pumped","other")))))</f>
        <v/>
      </c>
    </row>
    <row r="138">
      <c r="A138" s="26">
        <f>IF(DailyPond!A138="","",DailyPond!A138)</f>
        <v/>
      </c>
      <c r="B138" s="18">
        <f>IF(A138="","",DailyPond!B138)</f>
        <v/>
      </c>
      <c r="C138" s="25">
        <f>IF(A138="","",DailyPond!C138)</f>
        <v/>
      </c>
      <c r="D138" s="27">
        <f>IF(A138="","",DailyPond!D138)</f>
        <v/>
      </c>
      <c r="E138" s="27">
        <f>IF(A138="","",DailyPond!E138)</f>
        <v/>
      </c>
      <c r="F138" s="19">
        <f>IF(A138="","",MONTH(A138))</f>
        <v/>
      </c>
      <c r="G138" s="18">
        <f>IF(A138="","",VLOOKUP(F138,Evaporation!$A$6:$B$17,2,FALSE))</f>
        <v/>
      </c>
      <c r="H138" s="19">
        <f>IF(A138="","",IF(C138="","",IF(C138&lt;=INDEX(StageAreaVolume!$A$6:$A$17,1),INDEX(StageAreaVolume!$B$6:$B$17,1),IF(C138&gt;=INDEX(StageAreaVolume!$A$6:$A$17,COUNTA(StageAreaVolume!$A$6:$A$17)),INDEX(StageAreaVolume!$B$6:$B$17,COUNTA(StageAreaVolume!$A$6:$A$17)),(INDEX(StageAreaVolume!$B$6:$B$17,MATCH(C138,StageAreaVolume!$A$6:$A$17,1))+(C138-INDEX(StageAreaVolume!$A$6:$A$17,MATCH(C138,StageAreaVolume!$A$6:$A$17,1)))/(INDEX(StageAreaVolume!$A$6:$A$17,MATCH(C138,StageAreaVolume!$A$6:$A$17,1)+1)-INDEX(StageAreaVolume!$A$6:$A$17,MATCH(C138,StageAreaVolume!$A$6:$A$17,1)))*(INDEX(StageAreaVolume!$B$6:$B$17,MATCH(C138,StageAreaVolume!$A$6:$A$17,1)+1)-INDEX(StageAreaVolume!$B$6:$B$17,MATCH(C138,StageAreaVolume!$A$6:$A$17,1)))))))))</f>
        <v/>
      </c>
      <c r="I138" s="18">
        <f>IF(A138="","",IF(C138="","",IF(C138&lt;=INDEX(StageAreaVolume!$A$6:$A$17,1),INDEX(StageAreaVolume!$D$6:$D$17,1),IF(C138&gt;=INDEX(StageAreaVolume!$A$6:$A$17,COUNTA(StageAreaVolume!$A$6:$A$17)),INDEX(StageAreaVolume!$D$6:$D$17,COUNTA(StageAreaVolume!$A$6:$A$17)),(INDEX(StageAreaVolume!$D$6:$D$17,MATCH(C138,StageAreaVolume!$A$6:$A$17,1))+(C138-INDEX(StageAreaVolume!$A$6:$A$17,MATCH(C138,StageAreaVolume!$A$6:$A$17,1)))/(INDEX(StageAreaVolume!$A$6:$A$17,MATCH(C138,StageAreaVolume!$A$6:$A$17,1)+1)-INDEX(StageAreaVolume!$A$6:$A$17,MATCH(C138,StageAreaVolume!$A$6:$A$17,1)))*(INDEX(StageAreaVolume!$D$6:$D$17,MATCH(C138,StageAreaVolume!$A$6:$A$17,1)+1)-INDEX(StageAreaVolume!$D$6:$D$17,MATCH(C138,StageAreaVolume!$A$6:$A$17,1)))))))))</f>
        <v/>
      </c>
      <c r="J138" s="25">
        <f>IF(A138="","",IF(A137="",NA(),C137))</f>
        <v/>
      </c>
      <c r="K138" s="19">
        <f>IF(OR(A138="",ISNA(J138)),IF(A138="","",H138),(H137+H138)/2)</f>
        <v/>
      </c>
      <c r="L138" s="19">
        <f>IF(OR(A138="",ISNA(J138)),0,IF(AND(B138=0,D138="N",E138="N",C138&lt;J138,C138&gt;0),1,0))</f>
        <v/>
      </c>
      <c r="M138" s="25">
        <f>IF(L138&lt;&gt;1,"",IF(K138&lt;=0,"",(I137-I138-G138/1000*K138)/K138*1000))</f>
        <v/>
      </c>
      <c r="N138" s="18">
        <f>IF(A138="","",IF(L138=1,I137-I138-O138,IF(OR(C138&gt;0,N(J138)&gt;0),MeanMDWIR/1000*K138,0)))</f>
        <v/>
      </c>
      <c r="O138" s="18">
        <f>IF(A138="","",G138/1000*K138)</f>
        <v/>
      </c>
      <c r="P138" s="27">
        <f>IF(A138="","",IF(L138=1,"dry",IF(D138="Y","spill",IF(B138&gt;0,"wet",IF(E138="Y","pumped","other")))))</f>
        <v/>
      </c>
    </row>
    <row r="139">
      <c r="A139" s="26">
        <f>IF(DailyPond!A139="","",DailyPond!A139)</f>
        <v/>
      </c>
      <c r="B139" s="18">
        <f>IF(A139="","",DailyPond!B139)</f>
        <v/>
      </c>
      <c r="C139" s="25">
        <f>IF(A139="","",DailyPond!C139)</f>
        <v/>
      </c>
      <c r="D139" s="27">
        <f>IF(A139="","",DailyPond!D139)</f>
        <v/>
      </c>
      <c r="E139" s="27">
        <f>IF(A139="","",DailyPond!E139)</f>
        <v/>
      </c>
      <c r="F139" s="19">
        <f>IF(A139="","",MONTH(A139))</f>
        <v/>
      </c>
      <c r="G139" s="18">
        <f>IF(A139="","",VLOOKUP(F139,Evaporation!$A$6:$B$17,2,FALSE))</f>
        <v/>
      </c>
      <c r="H139" s="19">
        <f>IF(A139="","",IF(C139="","",IF(C139&lt;=INDEX(StageAreaVolume!$A$6:$A$17,1),INDEX(StageAreaVolume!$B$6:$B$17,1),IF(C139&gt;=INDEX(StageAreaVolume!$A$6:$A$17,COUNTA(StageAreaVolume!$A$6:$A$17)),INDEX(StageAreaVolume!$B$6:$B$17,COUNTA(StageAreaVolume!$A$6:$A$17)),(INDEX(StageAreaVolume!$B$6:$B$17,MATCH(C139,StageAreaVolume!$A$6:$A$17,1))+(C139-INDEX(StageAreaVolume!$A$6:$A$17,MATCH(C139,StageAreaVolume!$A$6:$A$17,1)))/(INDEX(StageAreaVolume!$A$6:$A$17,MATCH(C139,StageAreaVolume!$A$6:$A$17,1)+1)-INDEX(StageAreaVolume!$A$6:$A$17,MATCH(C139,StageAreaVolume!$A$6:$A$17,1)))*(INDEX(StageAreaVolume!$B$6:$B$17,MATCH(C139,StageAreaVolume!$A$6:$A$17,1)+1)-INDEX(StageAreaVolume!$B$6:$B$17,MATCH(C139,StageAreaVolume!$A$6:$A$17,1)))))))))</f>
        <v/>
      </c>
      <c r="I139" s="18">
        <f>IF(A139="","",IF(C139="","",IF(C139&lt;=INDEX(StageAreaVolume!$A$6:$A$17,1),INDEX(StageAreaVolume!$D$6:$D$17,1),IF(C139&gt;=INDEX(StageAreaVolume!$A$6:$A$17,COUNTA(StageAreaVolume!$A$6:$A$17)),INDEX(StageAreaVolume!$D$6:$D$17,COUNTA(StageAreaVolume!$A$6:$A$17)),(INDEX(StageAreaVolume!$D$6:$D$17,MATCH(C139,StageAreaVolume!$A$6:$A$17,1))+(C139-INDEX(StageAreaVolume!$A$6:$A$17,MATCH(C139,StageAreaVolume!$A$6:$A$17,1)))/(INDEX(StageAreaVolume!$A$6:$A$17,MATCH(C139,StageAreaVolume!$A$6:$A$17,1)+1)-INDEX(StageAreaVolume!$A$6:$A$17,MATCH(C139,StageAreaVolume!$A$6:$A$17,1)))*(INDEX(StageAreaVolume!$D$6:$D$17,MATCH(C139,StageAreaVolume!$A$6:$A$17,1)+1)-INDEX(StageAreaVolume!$D$6:$D$17,MATCH(C139,StageAreaVolume!$A$6:$A$17,1)))))))))</f>
        <v/>
      </c>
      <c r="J139" s="25">
        <f>IF(A139="","",IF(A138="",NA(),C138))</f>
        <v/>
      </c>
      <c r="K139" s="19">
        <f>IF(OR(A139="",ISNA(J139)),IF(A139="","",H139),(H138+H139)/2)</f>
        <v/>
      </c>
      <c r="L139" s="19">
        <f>IF(OR(A139="",ISNA(J139)),0,IF(AND(B139=0,D139="N",E139="N",C139&lt;J139,C139&gt;0),1,0))</f>
        <v/>
      </c>
      <c r="M139" s="25">
        <f>IF(L139&lt;&gt;1,"",IF(K139&lt;=0,"",(I138-I139-G139/1000*K139)/K139*1000))</f>
        <v/>
      </c>
      <c r="N139" s="18">
        <f>IF(A139="","",IF(L139=1,I138-I139-O139,IF(OR(C139&gt;0,N(J139)&gt;0),MeanMDWIR/1000*K139,0)))</f>
        <v/>
      </c>
      <c r="O139" s="18">
        <f>IF(A139="","",G139/1000*K139)</f>
        <v/>
      </c>
      <c r="P139" s="27">
        <f>IF(A139="","",IF(L139=1,"dry",IF(D139="Y","spill",IF(B139&gt;0,"wet",IF(E139="Y","pumped","other")))))</f>
        <v/>
      </c>
    </row>
    <row r="140">
      <c r="A140" s="26">
        <f>IF(DailyPond!A140="","",DailyPond!A140)</f>
        <v/>
      </c>
      <c r="B140" s="18">
        <f>IF(A140="","",DailyPond!B140)</f>
        <v/>
      </c>
      <c r="C140" s="25">
        <f>IF(A140="","",DailyPond!C140)</f>
        <v/>
      </c>
      <c r="D140" s="27">
        <f>IF(A140="","",DailyPond!D140)</f>
        <v/>
      </c>
      <c r="E140" s="27">
        <f>IF(A140="","",DailyPond!E140)</f>
        <v/>
      </c>
      <c r="F140" s="19">
        <f>IF(A140="","",MONTH(A140))</f>
        <v/>
      </c>
      <c r="G140" s="18">
        <f>IF(A140="","",VLOOKUP(F140,Evaporation!$A$6:$B$17,2,FALSE))</f>
        <v/>
      </c>
      <c r="H140" s="19">
        <f>IF(A140="","",IF(C140="","",IF(C140&lt;=INDEX(StageAreaVolume!$A$6:$A$17,1),INDEX(StageAreaVolume!$B$6:$B$17,1),IF(C140&gt;=INDEX(StageAreaVolume!$A$6:$A$17,COUNTA(StageAreaVolume!$A$6:$A$17)),INDEX(StageAreaVolume!$B$6:$B$17,COUNTA(StageAreaVolume!$A$6:$A$17)),(INDEX(StageAreaVolume!$B$6:$B$17,MATCH(C140,StageAreaVolume!$A$6:$A$17,1))+(C140-INDEX(StageAreaVolume!$A$6:$A$17,MATCH(C140,StageAreaVolume!$A$6:$A$17,1)))/(INDEX(StageAreaVolume!$A$6:$A$17,MATCH(C140,StageAreaVolume!$A$6:$A$17,1)+1)-INDEX(StageAreaVolume!$A$6:$A$17,MATCH(C140,StageAreaVolume!$A$6:$A$17,1)))*(INDEX(StageAreaVolume!$B$6:$B$17,MATCH(C140,StageAreaVolume!$A$6:$A$17,1)+1)-INDEX(StageAreaVolume!$B$6:$B$17,MATCH(C140,StageAreaVolume!$A$6:$A$17,1)))))))))</f>
        <v/>
      </c>
      <c r="I140" s="18">
        <f>IF(A140="","",IF(C140="","",IF(C140&lt;=INDEX(StageAreaVolume!$A$6:$A$17,1),INDEX(StageAreaVolume!$D$6:$D$17,1),IF(C140&gt;=INDEX(StageAreaVolume!$A$6:$A$17,COUNTA(StageAreaVolume!$A$6:$A$17)),INDEX(StageAreaVolume!$D$6:$D$17,COUNTA(StageAreaVolume!$A$6:$A$17)),(INDEX(StageAreaVolume!$D$6:$D$17,MATCH(C140,StageAreaVolume!$A$6:$A$17,1))+(C140-INDEX(StageAreaVolume!$A$6:$A$17,MATCH(C140,StageAreaVolume!$A$6:$A$17,1)))/(INDEX(StageAreaVolume!$A$6:$A$17,MATCH(C140,StageAreaVolume!$A$6:$A$17,1)+1)-INDEX(StageAreaVolume!$A$6:$A$17,MATCH(C140,StageAreaVolume!$A$6:$A$17,1)))*(INDEX(StageAreaVolume!$D$6:$D$17,MATCH(C140,StageAreaVolume!$A$6:$A$17,1)+1)-INDEX(StageAreaVolume!$D$6:$D$17,MATCH(C140,StageAreaVolume!$A$6:$A$17,1)))))))))</f>
        <v/>
      </c>
      <c r="J140" s="25">
        <f>IF(A140="","",IF(A139="",NA(),C139))</f>
        <v/>
      </c>
      <c r="K140" s="19">
        <f>IF(OR(A140="",ISNA(J140)),IF(A140="","",H140),(H139+H140)/2)</f>
        <v/>
      </c>
      <c r="L140" s="19">
        <f>IF(OR(A140="",ISNA(J140)),0,IF(AND(B140=0,D140="N",E140="N",C140&lt;J140,C140&gt;0),1,0))</f>
        <v/>
      </c>
      <c r="M140" s="25">
        <f>IF(L140&lt;&gt;1,"",IF(K140&lt;=0,"",(I139-I140-G140/1000*K140)/K140*1000))</f>
        <v/>
      </c>
      <c r="N140" s="18">
        <f>IF(A140="","",IF(L140=1,I139-I140-O140,IF(OR(C140&gt;0,N(J140)&gt;0),MeanMDWIR/1000*K140,0)))</f>
        <v/>
      </c>
      <c r="O140" s="18">
        <f>IF(A140="","",G140/1000*K140)</f>
        <v/>
      </c>
      <c r="P140" s="27">
        <f>IF(A140="","",IF(L140=1,"dry",IF(D140="Y","spill",IF(B140&gt;0,"wet",IF(E140="Y","pumped","other")))))</f>
        <v/>
      </c>
    </row>
    <row r="141">
      <c r="A141" s="26">
        <f>IF(DailyPond!A141="","",DailyPond!A141)</f>
        <v/>
      </c>
      <c r="B141" s="18">
        <f>IF(A141="","",DailyPond!B141)</f>
        <v/>
      </c>
      <c r="C141" s="25">
        <f>IF(A141="","",DailyPond!C141)</f>
        <v/>
      </c>
      <c r="D141" s="27">
        <f>IF(A141="","",DailyPond!D141)</f>
        <v/>
      </c>
      <c r="E141" s="27">
        <f>IF(A141="","",DailyPond!E141)</f>
        <v/>
      </c>
      <c r="F141" s="19">
        <f>IF(A141="","",MONTH(A141))</f>
        <v/>
      </c>
      <c r="G141" s="18">
        <f>IF(A141="","",VLOOKUP(F141,Evaporation!$A$6:$B$17,2,FALSE))</f>
        <v/>
      </c>
      <c r="H141" s="19">
        <f>IF(A141="","",IF(C141="","",IF(C141&lt;=INDEX(StageAreaVolume!$A$6:$A$17,1),INDEX(StageAreaVolume!$B$6:$B$17,1),IF(C141&gt;=INDEX(StageAreaVolume!$A$6:$A$17,COUNTA(StageAreaVolume!$A$6:$A$17)),INDEX(StageAreaVolume!$B$6:$B$17,COUNTA(StageAreaVolume!$A$6:$A$17)),(INDEX(StageAreaVolume!$B$6:$B$17,MATCH(C141,StageAreaVolume!$A$6:$A$17,1))+(C141-INDEX(StageAreaVolume!$A$6:$A$17,MATCH(C141,StageAreaVolume!$A$6:$A$17,1)))/(INDEX(StageAreaVolume!$A$6:$A$17,MATCH(C141,StageAreaVolume!$A$6:$A$17,1)+1)-INDEX(StageAreaVolume!$A$6:$A$17,MATCH(C141,StageAreaVolume!$A$6:$A$17,1)))*(INDEX(StageAreaVolume!$B$6:$B$17,MATCH(C141,StageAreaVolume!$A$6:$A$17,1)+1)-INDEX(StageAreaVolume!$B$6:$B$17,MATCH(C141,StageAreaVolume!$A$6:$A$17,1)))))))))</f>
        <v/>
      </c>
      <c r="I141" s="18">
        <f>IF(A141="","",IF(C141="","",IF(C141&lt;=INDEX(StageAreaVolume!$A$6:$A$17,1),INDEX(StageAreaVolume!$D$6:$D$17,1),IF(C141&gt;=INDEX(StageAreaVolume!$A$6:$A$17,COUNTA(StageAreaVolume!$A$6:$A$17)),INDEX(StageAreaVolume!$D$6:$D$17,COUNTA(StageAreaVolume!$A$6:$A$17)),(INDEX(StageAreaVolume!$D$6:$D$17,MATCH(C141,StageAreaVolume!$A$6:$A$17,1))+(C141-INDEX(StageAreaVolume!$A$6:$A$17,MATCH(C141,StageAreaVolume!$A$6:$A$17,1)))/(INDEX(StageAreaVolume!$A$6:$A$17,MATCH(C141,StageAreaVolume!$A$6:$A$17,1)+1)-INDEX(StageAreaVolume!$A$6:$A$17,MATCH(C141,StageAreaVolume!$A$6:$A$17,1)))*(INDEX(StageAreaVolume!$D$6:$D$17,MATCH(C141,StageAreaVolume!$A$6:$A$17,1)+1)-INDEX(StageAreaVolume!$D$6:$D$17,MATCH(C141,StageAreaVolume!$A$6:$A$17,1)))))))))</f>
        <v/>
      </c>
      <c r="J141" s="25">
        <f>IF(A141="","",IF(A140="",NA(),C140))</f>
        <v/>
      </c>
      <c r="K141" s="19">
        <f>IF(OR(A141="",ISNA(J141)),IF(A141="","",H141),(H140+H141)/2)</f>
        <v/>
      </c>
      <c r="L141" s="19">
        <f>IF(OR(A141="",ISNA(J141)),0,IF(AND(B141=0,D141="N",E141="N",C141&lt;J141,C141&gt;0),1,0))</f>
        <v/>
      </c>
      <c r="M141" s="25">
        <f>IF(L141&lt;&gt;1,"",IF(K141&lt;=0,"",(I140-I141-G141/1000*K141)/K141*1000))</f>
        <v/>
      </c>
      <c r="N141" s="18">
        <f>IF(A141="","",IF(L141=1,I140-I141-O141,IF(OR(C141&gt;0,N(J141)&gt;0),MeanMDWIR/1000*K141,0)))</f>
        <v/>
      </c>
      <c r="O141" s="18">
        <f>IF(A141="","",G141/1000*K141)</f>
        <v/>
      </c>
      <c r="P141" s="27">
        <f>IF(A141="","",IF(L141=1,"dry",IF(D141="Y","spill",IF(B141&gt;0,"wet",IF(E141="Y","pumped","other")))))</f>
        <v/>
      </c>
    </row>
    <row r="142">
      <c r="A142" s="26">
        <f>IF(DailyPond!A142="","",DailyPond!A142)</f>
        <v/>
      </c>
      <c r="B142" s="18">
        <f>IF(A142="","",DailyPond!B142)</f>
        <v/>
      </c>
      <c r="C142" s="25">
        <f>IF(A142="","",DailyPond!C142)</f>
        <v/>
      </c>
      <c r="D142" s="27">
        <f>IF(A142="","",DailyPond!D142)</f>
        <v/>
      </c>
      <c r="E142" s="27">
        <f>IF(A142="","",DailyPond!E142)</f>
        <v/>
      </c>
      <c r="F142" s="19">
        <f>IF(A142="","",MONTH(A142))</f>
        <v/>
      </c>
      <c r="G142" s="18">
        <f>IF(A142="","",VLOOKUP(F142,Evaporation!$A$6:$B$17,2,FALSE))</f>
        <v/>
      </c>
      <c r="H142" s="19">
        <f>IF(A142="","",IF(C142="","",IF(C142&lt;=INDEX(StageAreaVolume!$A$6:$A$17,1),INDEX(StageAreaVolume!$B$6:$B$17,1),IF(C142&gt;=INDEX(StageAreaVolume!$A$6:$A$17,COUNTA(StageAreaVolume!$A$6:$A$17)),INDEX(StageAreaVolume!$B$6:$B$17,COUNTA(StageAreaVolume!$A$6:$A$17)),(INDEX(StageAreaVolume!$B$6:$B$17,MATCH(C142,StageAreaVolume!$A$6:$A$17,1))+(C142-INDEX(StageAreaVolume!$A$6:$A$17,MATCH(C142,StageAreaVolume!$A$6:$A$17,1)))/(INDEX(StageAreaVolume!$A$6:$A$17,MATCH(C142,StageAreaVolume!$A$6:$A$17,1)+1)-INDEX(StageAreaVolume!$A$6:$A$17,MATCH(C142,StageAreaVolume!$A$6:$A$17,1)))*(INDEX(StageAreaVolume!$B$6:$B$17,MATCH(C142,StageAreaVolume!$A$6:$A$17,1)+1)-INDEX(StageAreaVolume!$B$6:$B$17,MATCH(C142,StageAreaVolume!$A$6:$A$17,1)))))))))</f>
        <v/>
      </c>
      <c r="I142" s="18">
        <f>IF(A142="","",IF(C142="","",IF(C142&lt;=INDEX(StageAreaVolume!$A$6:$A$17,1),INDEX(StageAreaVolume!$D$6:$D$17,1),IF(C142&gt;=INDEX(StageAreaVolume!$A$6:$A$17,COUNTA(StageAreaVolume!$A$6:$A$17)),INDEX(StageAreaVolume!$D$6:$D$17,COUNTA(StageAreaVolume!$A$6:$A$17)),(INDEX(StageAreaVolume!$D$6:$D$17,MATCH(C142,StageAreaVolume!$A$6:$A$17,1))+(C142-INDEX(StageAreaVolume!$A$6:$A$17,MATCH(C142,StageAreaVolume!$A$6:$A$17,1)))/(INDEX(StageAreaVolume!$A$6:$A$17,MATCH(C142,StageAreaVolume!$A$6:$A$17,1)+1)-INDEX(StageAreaVolume!$A$6:$A$17,MATCH(C142,StageAreaVolume!$A$6:$A$17,1)))*(INDEX(StageAreaVolume!$D$6:$D$17,MATCH(C142,StageAreaVolume!$A$6:$A$17,1)+1)-INDEX(StageAreaVolume!$D$6:$D$17,MATCH(C142,StageAreaVolume!$A$6:$A$17,1)))))))))</f>
        <v/>
      </c>
      <c r="J142" s="25">
        <f>IF(A142="","",IF(A141="",NA(),C141))</f>
        <v/>
      </c>
      <c r="K142" s="19">
        <f>IF(OR(A142="",ISNA(J142)),IF(A142="","",H142),(H141+H142)/2)</f>
        <v/>
      </c>
      <c r="L142" s="19">
        <f>IF(OR(A142="",ISNA(J142)),0,IF(AND(B142=0,D142="N",E142="N",C142&lt;J142,C142&gt;0),1,0))</f>
        <v/>
      </c>
      <c r="M142" s="25">
        <f>IF(L142&lt;&gt;1,"",IF(K142&lt;=0,"",(I141-I142-G142/1000*K142)/K142*1000))</f>
        <v/>
      </c>
      <c r="N142" s="18">
        <f>IF(A142="","",IF(L142=1,I141-I142-O142,IF(OR(C142&gt;0,N(J142)&gt;0),MeanMDWIR/1000*K142,0)))</f>
        <v/>
      </c>
      <c r="O142" s="18">
        <f>IF(A142="","",G142/1000*K142)</f>
        <v/>
      </c>
      <c r="P142" s="27">
        <f>IF(A142="","",IF(L142=1,"dry",IF(D142="Y","spill",IF(B142&gt;0,"wet",IF(E142="Y","pumped","other")))))</f>
        <v/>
      </c>
    </row>
    <row r="143">
      <c r="A143" s="26">
        <f>IF(DailyPond!A143="","",DailyPond!A143)</f>
        <v/>
      </c>
      <c r="B143" s="18">
        <f>IF(A143="","",DailyPond!B143)</f>
        <v/>
      </c>
      <c r="C143" s="25">
        <f>IF(A143="","",DailyPond!C143)</f>
        <v/>
      </c>
      <c r="D143" s="27">
        <f>IF(A143="","",DailyPond!D143)</f>
        <v/>
      </c>
      <c r="E143" s="27">
        <f>IF(A143="","",DailyPond!E143)</f>
        <v/>
      </c>
      <c r="F143" s="19">
        <f>IF(A143="","",MONTH(A143))</f>
        <v/>
      </c>
      <c r="G143" s="18">
        <f>IF(A143="","",VLOOKUP(F143,Evaporation!$A$6:$B$17,2,FALSE))</f>
        <v/>
      </c>
      <c r="H143" s="19">
        <f>IF(A143="","",IF(C143="","",IF(C143&lt;=INDEX(StageAreaVolume!$A$6:$A$17,1),INDEX(StageAreaVolume!$B$6:$B$17,1),IF(C143&gt;=INDEX(StageAreaVolume!$A$6:$A$17,COUNTA(StageAreaVolume!$A$6:$A$17)),INDEX(StageAreaVolume!$B$6:$B$17,COUNTA(StageAreaVolume!$A$6:$A$17)),(INDEX(StageAreaVolume!$B$6:$B$17,MATCH(C143,StageAreaVolume!$A$6:$A$17,1))+(C143-INDEX(StageAreaVolume!$A$6:$A$17,MATCH(C143,StageAreaVolume!$A$6:$A$17,1)))/(INDEX(StageAreaVolume!$A$6:$A$17,MATCH(C143,StageAreaVolume!$A$6:$A$17,1)+1)-INDEX(StageAreaVolume!$A$6:$A$17,MATCH(C143,StageAreaVolume!$A$6:$A$17,1)))*(INDEX(StageAreaVolume!$B$6:$B$17,MATCH(C143,StageAreaVolume!$A$6:$A$17,1)+1)-INDEX(StageAreaVolume!$B$6:$B$17,MATCH(C143,StageAreaVolume!$A$6:$A$17,1)))))))))</f>
        <v/>
      </c>
      <c r="I143" s="18">
        <f>IF(A143="","",IF(C143="","",IF(C143&lt;=INDEX(StageAreaVolume!$A$6:$A$17,1),INDEX(StageAreaVolume!$D$6:$D$17,1),IF(C143&gt;=INDEX(StageAreaVolume!$A$6:$A$17,COUNTA(StageAreaVolume!$A$6:$A$17)),INDEX(StageAreaVolume!$D$6:$D$17,COUNTA(StageAreaVolume!$A$6:$A$17)),(INDEX(StageAreaVolume!$D$6:$D$17,MATCH(C143,StageAreaVolume!$A$6:$A$17,1))+(C143-INDEX(StageAreaVolume!$A$6:$A$17,MATCH(C143,StageAreaVolume!$A$6:$A$17,1)))/(INDEX(StageAreaVolume!$A$6:$A$17,MATCH(C143,StageAreaVolume!$A$6:$A$17,1)+1)-INDEX(StageAreaVolume!$A$6:$A$17,MATCH(C143,StageAreaVolume!$A$6:$A$17,1)))*(INDEX(StageAreaVolume!$D$6:$D$17,MATCH(C143,StageAreaVolume!$A$6:$A$17,1)+1)-INDEX(StageAreaVolume!$D$6:$D$17,MATCH(C143,StageAreaVolume!$A$6:$A$17,1)))))))))</f>
        <v/>
      </c>
      <c r="J143" s="25">
        <f>IF(A143="","",IF(A142="",NA(),C142))</f>
        <v/>
      </c>
      <c r="K143" s="19">
        <f>IF(OR(A143="",ISNA(J143)),IF(A143="","",H143),(H142+H143)/2)</f>
        <v/>
      </c>
      <c r="L143" s="19">
        <f>IF(OR(A143="",ISNA(J143)),0,IF(AND(B143=0,D143="N",E143="N",C143&lt;J143,C143&gt;0),1,0))</f>
        <v/>
      </c>
      <c r="M143" s="25">
        <f>IF(L143&lt;&gt;1,"",IF(K143&lt;=0,"",(I142-I143-G143/1000*K143)/K143*1000))</f>
        <v/>
      </c>
      <c r="N143" s="18">
        <f>IF(A143="","",IF(L143=1,I142-I143-O143,IF(OR(C143&gt;0,N(J143)&gt;0),MeanMDWIR/1000*K143,0)))</f>
        <v/>
      </c>
      <c r="O143" s="18">
        <f>IF(A143="","",G143/1000*K143)</f>
        <v/>
      </c>
      <c r="P143" s="27">
        <f>IF(A143="","",IF(L143=1,"dry",IF(D143="Y","spill",IF(B143&gt;0,"wet",IF(E143="Y","pumped","other")))))</f>
        <v/>
      </c>
    </row>
    <row r="144">
      <c r="A144" s="26">
        <f>IF(DailyPond!A144="","",DailyPond!A144)</f>
        <v/>
      </c>
      <c r="B144" s="18">
        <f>IF(A144="","",DailyPond!B144)</f>
        <v/>
      </c>
      <c r="C144" s="25">
        <f>IF(A144="","",DailyPond!C144)</f>
        <v/>
      </c>
      <c r="D144" s="27">
        <f>IF(A144="","",DailyPond!D144)</f>
        <v/>
      </c>
      <c r="E144" s="27">
        <f>IF(A144="","",DailyPond!E144)</f>
        <v/>
      </c>
      <c r="F144" s="19">
        <f>IF(A144="","",MONTH(A144))</f>
        <v/>
      </c>
      <c r="G144" s="18">
        <f>IF(A144="","",VLOOKUP(F144,Evaporation!$A$6:$B$17,2,FALSE))</f>
        <v/>
      </c>
      <c r="H144" s="19">
        <f>IF(A144="","",IF(C144="","",IF(C144&lt;=INDEX(StageAreaVolume!$A$6:$A$17,1),INDEX(StageAreaVolume!$B$6:$B$17,1),IF(C144&gt;=INDEX(StageAreaVolume!$A$6:$A$17,COUNTA(StageAreaVolume!$A$6:$A$17)),INDEX(StageAreaVolume!$B$6:$B$17,COUNTA(StageAreaVolume!$A$6:$A$17)),(INDEX(StageAreaVolume!$B$6:$B$17,MATCH(C144,StageAreaVolume!$A$6:$A$17,1))+(C144-INDEX(StageAreaVolume!$A$6:$A$17,MATCH(C144,StageAreaVolume!$A$6:$A$17,1)))/(INDEX(StageAreaVolume!$A$6:$A$17,MATCH(C144,StageAreaVolume!$A$6:$A$17,1)+1)-INDEX(StageAreaVolume!$A$6:$A$17,MATCH(C144,StageAreaVolume!$A$6:$A$17,1)))*(INDEX(StageAreaVolume!$B$6:$B$17,MATCH(C144,StageAreaVolume!$A$6:$A$17,1)+1)-INDEX(StageAreaVolume!$B$6:$B$17,MATCH(C144,StageAreaVolume!$A$6:$A$17,1)))))))))</f>
        <v/>
      </c>
      <c r="I144" s="18">
        <f>IF(A144="","",IF(C144="","",IF(C144&lt;=INDEX(StageAreaVolume!$A$6:$A$17,1),INDEX(StageAreaVolume!$D$6:$D$17,1),IF(C144&gt;=INDEX(StageAreaVolume!$A$6:$A$17,COUNTA(StageAreaVolume!$A$6:$A$17)),INDEX(StageAreaVolume!$D$6:$D$17,COUNTA(StageAreaVolume!$A$6:$A$17)),(INDEX(StageAreaVolume!$D$6:$D$17,MATCH(C144,StageAreaVolume!$A$6:$A$17,1))+(C144-INDEX(StageAreaVolume!$A$6:$A$17,MATCH(C144,StageAreaVolume!$A$6:$A$17,1)))/(INDEX(StageAreaVolume!$A$6:$A$17,MATCH(C144,StageAreaVolume!$A$6:$A$17,1)+1)-INDEX(StageAreaVolume!$A$6:$A$17,MATCH(C144,StageAreaVolume!$A$6:$A$17,1)))*(INDEX(StageAreaVolume!$D$6:$D$17,MATCH(C144,StageAreaVolume!$A$6:$A$17,1)+1)-INDEX(StageAreaVolume!$D$6:$D$17,MATCH(C144,StageAreaVolume!$A$6:$A$17,1)))))))))</f>
        <v/>
      </c>
      <c r="J144" s="25">
        <f>IF(A144="","",IF(A143="",NA(),C143))</f>
        <v/>
      </c>
      <c r="K144" s="19">
        <f>IF(OR(A144="",ISNA(J144)),IF(A144="","",H144),(H143+H144)/2)</f>
        <v/>
      </c>
      <c r="L144" s="19">
        <f>IF(OR(A144="",ISNA(J144)),0,IF(AND(B144=0,D144="N",E144="N",C144&lt;J144,C144&gt;0),1,0))</f>
        <v/>
      </c>
      <c r="M144" s="25">
        <f>IF(L144&lt;&gt;1,"",IF(K144&lt;=0,"",(I143-I144-G144/1000*K144)/K144*1000))</f>
        <v/>
      </c>
      <c r="N144" s="18">
        <f>IF(A144="","",IF(L144=1,I143-I144-O144,IF(OR(C144&gt;0,N(J144)&gt;0),MeanMDWIR/1000*K144,0)))</f>
        <v/>
      </c>
      <c r="O144" s="18">
        <f>IF(A144="","",G144/1000*K144)</f>
        <v/>
      </c>
      <c r="P144" s="27">
        <f>IF(A144="","",IF(L144=1,"dry",IF(D144="Y","spill",IF(B144&gt;0,"wet",IF(E144="Y","pumped","other")))))</f>
        <v/>
      </c>
    </row>
    <row r="145">
      <c r="A145" s="26">
        <f>IF(DailyPond!A145="","",DailyPond!A145)</f>
        <v/>
      </c>
      <c r="B145" s="18">
        <f>IF(A145="","",DailyPond!B145)</f>
        <v/>
      </c>
      <c r="C145" s="25">
        <f>IF(A145="","",DailyPond!C145)</f>
        <v/>
      </c>
      <c r="D145" s="27">
        <f>IF(A145="","",DailyPond!D145)</f>
        <v/>
      </c>
      <c r="E145" s="27">
        <f>IF(A145="","",DailyPond!E145)</f>
        <v/>
      </c>
      <c r="F145" s="19">
        <f>IF(A145="","",MONTH(A145))</f>
        <v/>
      </c>
      <c r="G145" s="18">
        <f>IF(A145="","",VLOOKUP(F145,Evaporation!$A$6:$B$17,2,FALSE))</f>
        <v/>
      </c>
      <c r="H145" s="19">
        <f>IF(A145="","",IF(C145="","",IF(C145&lt;=INDEX(StageAreaVolume!$A$6:$A$17,1),INDEX(StageAreaVolume!$B$6:$B$17,1),IF(C145&gt;=INDEX(StageAreaVolume!$A$6:$A$17,COUNTA(StageAreaVolume!$A$6:$A$17)),INDEX(StageAreaVolume!$B$6:$B$17,COUNTA(StageAreaVolume!$A$6:$A$17)),(INDEX(StageAreaVolume!$B$6:$B$17,MATCH(C145,StageAreaVolume!$A$6:$A$17,1))+(C145-INDEX(StageAreaVolume!$A$6:$A$17,MATCH(C145,StageAreaVolume!$A$6:$A$17,1)))/(INDEX(StageAreaVolume!$A$6:$A$17,MATCH(C145,StageAreaVolume!$A$6:$A$17,1)+1)-INDEX(StageAreaVolume!$A$6:$A$17,MATCH(C145,StageAreaVolume!$A$6:$A$17,1)))*(INDEX(StageAreaVolume!$B$6:$B$17,MATCH(C145,StageAreaVolume!$A$6:$A$17,1)+1)-INDEX(StageAreaVolume!$B$6:$B$17,MATCH(C145,StageAreaVolume!$A$6:$A$17,1)))))))))</f>
        <v/>
      </c>
      <c r="I145" s="18">
        <f>IF(A145="","",IF(C145="","",IF(C145&lt;=INDEX(StageAreaVolume!$A$6:$A$17,1),INDEX(StageAreaVolume!$D$6:$D$17,1),IF(C145&gt;=INDEX(StageAreaVolume!$A$6:$A$17,COUNTA(StageAreaVolume!$A$6:$A$17)),INDEX(StageAreaVolume!$D$6:$D$17,COUNTA(StageAreaVolume!$A$6:$A$17)),(INDEX(StageAreaVolume!$D$6:$D$17,MATCH(C145,StageAreaVolume!$A$6:$A$17,1))+(C145-INDEX(StageAreaVolume!$A$6:$A$17,MATCH(C145,StageAreaVolume!$A$6:$A$17,1)))/(INDEX(StageAreaVolume!$A$6:$A$17,MATCH(C145,StageAreaVolume!$A$6:$A$17,1)+1)-INDEX(StageAreaVolume!$A$6:$A$17,MATCH(C145,StageAreaVolume!$A$6:$A$17,1)))*(INDEX(StageAreaVolume!$D$6:$D$17,MATCH(C145,StageAreaVolume!$A$6:$A$17,1)+1)-INDEX(StageAreaVolume!$D$6:$D$17,MATCH(C145,StageAreaVolume!$A$6:$A$17,1)))))))))</f>
        <v/>
      </c>
      <c r="J145" s="25">
        <f>IF(A145="","",IF(A144="",NA(),C144))</f>
        <v/>
      </c>
      <c r="K145" s="19">
        <f>IF(OR(A145="",ISNA(J145)),IF(A145="","",H145),(H144+H145)/2)</f>
        <v/>
      </c>
      <c r="L145" s="19">
        <f>IF(OR(A145="",ISNA(J145)),0,IF(AND(B145=0,D145="N",E145="N",C145&lt;J145,C145&gt;0),1,0))</f>
        <v/>
      </c>
      <c r="M145" s="25">
        <f>IF(L145&lt;&gt;1,"",IF(K145&lt;=0,"",(I144-I145-G145/1000*K145)/K145*1000))</f>
        <v/>
      </c>
      <c r="N145" s="18">
        <f>IF(A145="","",IF(L145=1,I144-I145-O145,IF(OR(C145&gt;0,N(J145)&gt;0),MeanMDWIR/1000*K145,0)))</f>
        <v/>
      </c>
      <c r="O145" s="18">
        <f>IF(A145="","",G145/1000*K145)</f>
        <v/>
      </c>
      <c r="P145" s="27">
        <f>IF(A145="","",IF(L145=1,"dry",IF(D145="Y","spill",IF(B145&gt;0,"wet",IF(E145="Y","pumped","other")))))</f>
        <v/>
      </c>
    </row>
    <row r="146">
      <c r="A146" s="26">
        <f>IF(DailyPond!A146="","",DailyPond!A146)</f>
        <v/>
      </c>
      <c r="B146" s="18">
        <f>IF(A146="","",DailyPond!B146)</f>
        <v/>
      </c>
      <c r="C146" s="25">
        <f>IF(A146="","",DailyPond!C146)</f>
        <v/>
      </c>
      <c r="D146" s="27">
        <f>IF(A146="","",DailyPond!D146)</f>
        <v/>
      </c>
      <c r="E146" s="27">
        <f>IF(A146="","",DailyPond!E146)</f>
        <v/>
      </c>
      <c r="F146" s="19">
        <f>IF(A146="","",MONTH(A146))</f>
        <v/>
      </c>
      <c r="G146" s="18">
        <f>IF(A146="","",VLOOKUP(F146,Evaporation!$A$6:$B$17,2,FALSE))</f>
        <v/>
      </c>
      <c r="H146" s="19">
        <f>IF(A146="","",IF(C146="","",IF(C146&lt;=INDEX(StageAreaVolume!$A$6:$A$17,1),INDEX(StageAreaVolume!$B$6:$B$17,1),IF(C146&gt;=INDEX(StageAreaVolume!$A$6:$A$17,COUNTA(StageAreaVolume!$A$6:$A$17)),INDEX(StageAreaVolume!$B$6:$B$17,COUNTA(StageAreaVolume!$A$6:$A$17)),(INDEX(StageAreaVolume!$B$6:$B$17,MATCH(C146,StageAreaVolume!$A$6:$A$17,1))+(C146-INDEX(StageAreaVolume!$A$6:$A$17,MATCH(C146,StageAreaVolume!$A$6:$A$17,1)))/(INDEX(StageAreaVolume!$A$6:$A$17,MATCH(C146,StageAreaVolume!$A$6:$A$17,1)+1)-INDEX(StageAreaVolume!$A$6:$A$17,MATCH(C146,StageAreaVolume!$A$6:$A$17,1)))*(INDEX(StageAreaVolume!$B$6:$B$17,MATCH(C146,StageAreaVolume!$A$6:$A$17,1)+1)-INDEX(StageAreaVolume!$B$6:$B$17,MATCH(C146,StageAreaVolume!$A$6:$A$17,1)))))))))</f>
        <v/>
      </c>
      <c r="I146" s="18">
        <f>IF(A146="","",IF(C146="","",IF(C146&lt;=INDEX(StageAreaVolume!$A$6:$A$17,1),INDEX(StageAreaVolume!$D$6:$D$17,1),IF(C146&gt;=INDEX(StageAreaVolume!$A$6:$A$17,COUNTA(StageAreaVolume!$A$6:$A$17)),INDEX(StageAreaVolume!$D$6:$D$17,COUNTA(StageAreaVolume!$A$6:$A$17)),(INDEX(StageAreaVolume!$D$6:$D$17,MATCH(C146,StageAreaVolume!$A$6:$A$17,1))+(C146-INDEX(StageAreaVolume!$A$6:$A$17,MATCH(C146,StageAreaVolume!$A$6:$A$17,1)))/(INDEX(StageAreaVolume!$A$6:$A$17,MATCH(C146,StageAreaVolume!$A$6:$A$17,1)+1)-INDEX(StageAreaVolume!$A$6:$A$17,MATCH(C146,StageAreaVolume!$A$6:$A$17,1)))*(INDEX(StageAreaVolume!$D$6:$D$17,MATCH(C146,StageAreaVolume!$A$6:$A$17,1)+1)-INDEX(StageAreaVolume!$D$6:$D$17,MATCH(C146,StageAreaVolume!$A$6:$A$17,1)))))))))</f>
        <v/>
      </c>
      <c r="J146" s="25">
        <f>IF(A146="","",IF(A145="",NA(),C145))</f>
        <v/>
      </c>
      <c r="K146" s="19">
        <f>IF(OR(A146="",ISNA(J146)),IF(A146="","",H146),(H145+H146)/2)</f>
        <v/>
      </c>
      <c r="L146" s="19">
        <f>IF(OR(A146="",ISNA(J146)),0,IF(AND(B146=0,D146="N",E146="N",C146&lt;J146,C146&gt;0),1,0))</f>
        <v/>
      </c>
      <c r="M146" s="25">
        <f>IF(L146&lt;&gt;1,"",IF(K146&lt;=0,"",(I145-I146-G146/1000*K146)/K146*1000))</f>
        <v/>
      </c>
      <c r="N146" s="18">
        <f>IF(A146="","",IF(L146=1,I145-I146-O146,IF(OR(C146&gt;0,N(J146)&gt;0),MeanMDWIR/1000*K146,0)))</f>
        <v/>
      </c>
      <c r="O146" s="18">
        <f>IF(A146="","",G146/1000*K146)</f>
        <v/>
      </c>
      <c r="P146" s="27">
        <f>IF(A146="","",IF(L146=1,"dry",IF(D146="Y","spill",IF(B146&gt;0,"wet",IF(E146="Y","pumped","other")))))</f>
        <v/>
      </c>
    </row>
    <row r="147">
      <c r="A147" s="26">
        <f>IF(DailyPond!A147="","",DailyPond!A147)</f>
        <v/>
      </c>
      <c r="B147" s="18">
        <f>IF(A147="","",DailyPond!B147)</f>
        <v/>
      </c>
      <c r="C147" s="25">
        <f>IF(A147="","",DailyPond!C147)</f>
        <v/>
      </c>
      <c r="D147" s="27">
        <f>IF(A147="","",DailyPond!D147)</f>
        <v/>
      </c>
      <c r="E147" s="27">
        <f>IF(A147="","",DailyPond!E147)</f>
        <v/>
      </c>
      <c r="F147" s="19">
        <f>IF(A147="","",MONTH(A147))</f>
        <v/>
      </c>
      <c r="G147" s="18">
        <f>IF(A147="","",VLOOKUP(F147,Evaporation!$A$6:$B$17,2,FALSE))</f>
        <v/>
      </c>
      <c r="H147" s="19">
        <f>IF(A147="","",IF(C147="","",IF(C147&lt;=INDEX(StageAreaVolume!$A$6:$A$17,1),INDEX(StageAreaVolume!$B$6:$B$17,1),IF(C147&gt;=INDEX(StageAreaVolume!$A$6:$A$17,COUNTA(StageAreaVolume!$A$6:$A$17)),INDEX(StageAreaVolume!$B$6:$B$17,COUNTA(StageAreaVolume!$A$6:$A$17)),(INDEX(StageAreaVolume!$B$6:$B$17,MATCH(C147,StageAreaVolume!$A$6:$A$17,1))+(C147-INDEX(StageAreaVolume!$A$6:$A$17,MATCH(C147,StageAreaVolume!$A$6:$A$17,1)))/(INDEX(StageAreaVolume!$A$6:$A$17,MATCH(C147,StageAreaVolume!$A$6:$A$17,1)+1)-INDEX(StageAreaVolume!$A$6:$A$17,MATCH(C147,StageAreaVolume!$A$6:$A$17,1)))*(INDEX(StageAreaVolume!$B$6:$B$17,MATCH(C147,StageAreaVolume!$A$6:$A$17,1)+1)-INDEX(StageAreaVolume!$B$6:$B$17,MATCH(C147,StageAreaVolume!$A$6:$A$17,1)))))))))</f>
        <v/>
      </c>
      <c r="I147" s="18">
        <f>IF(A147="","",IF(C147="","",IF(C147&lt;=INDEX(StageAreaVolume!$A$6:$A$17,1),INDEX(StageAreaVolume!$D$6:$D$17,1),IF(C147&gt;=INDEX(StageAreaVolume!$A$6:$A$17,COUNTA(StageAreaVolume!$A$6:$A$17)),INDEX(StageAreaVolume!$D$6:$D$17,COUNTA(StageAreaVolume!$A$6:$A$17)),(INDEX(StageAreaVolume!$D$6:$D$17,MATCH(C147,StageAreaVolume!$A$6:$A$17,1))+(C147-INDEX(StageAreaVolume!$A$6:$A$17,MATCH(C147,StageAreaVolume!$A$6:$A$17,1)))/(INDEX(StageAreaVolume!$A$6:$A$17,MATCH(C147,StageAreaVolume!$A$6:$A$17,1)+1)-INDEX(StageAreaVolume!$A$6:$A$17,MATCH(C147,StageAreaVolume!$A$6:$A$17,1)))*(INDEX(StageAreaVolume!$D$6:$D$17,MATCH(C147,StageAreaVolume!$A$6:$A$17,1)+1)-INDEX(StageAreaVolume!$D$6:$D$17,MATCH(C147,StageAreaVolume!$A$6:$A$17,1)))))))))</f>
        <v/>
      </c>
      <c r="J147" s="25">
        <f>IF(A147="","",IF(A146="",NA(),C146))</f>
        <v/>
      </c>
      <c r="K147" s="19">
        <f>IF(OR(A147="",ISNA(J147)),IF(A147="","",H147),(H146+H147)/2)</f>
        <v/>
      </c>
      <c r="L147" s="19">
        <f>IF(OR(A147="",ISNA(J147)),0,IF(AND(B147=0,D147="N",E147="N",C147&lt;J147,C147&gt;0),1,0))</f>
        <v/>
      </c>
      <c r="M147" s="25">
        <f>IF(L147&lt;&gt;1,"",IF(K147&lt;=0,"",(I146-I147-G147/1000*K147)/K147*1000))</f>
        <v/>
      </c>
      <c r="N147" s="18">
        <f>IF(A147="","",IF(L147=1,I146-I147-O147,IF(OR(C147&gt;0,N(J147)&gt;0),MeanMDWIR/1000*K147,0)))</f>
        <v/>
      </c>
      <c r="O147" s="18">
        <f>IF(A147="","",G147/1000*K147)</f>
        <v/>
      </c>
      <c r="P147" s="27">
        <f>IF(A147="","",IF(L147=1,"dry",IF(D147="Y","spill",IF(B147&gt;0,"wet",IF(E147="Y","pumped","other")))))</f>
        <v/>
      </c>
    </row>
    <row r="148">
      <c r="A148" s="26">
        <f>IF(DailyPond!A148="","",DailyPond!A148)</f>
        <v/>
      </c>
      <c r="B148" s="18">
        <f>IF(A148="","",DailyPond!B148)</f>
        <v/>
      </c>
      <c r="C148" s="25">
        <f>IF(A148="","",DailyPond!C148)</f>
        <v/>
      </c>
      <c r="D148" s="27">
        <f>IF(A148="","",DailyPond!D148)</f>
        <v/>
      </c>
      <c r="E148" s="27">
        <f>IF(A148="","",DailyPond!E148)</f>
        <v/>
      </c>
      <c r="F148" s="19">
        <f>IF(A148="","",MONTH(A148))</f>
        <v/>
      </c>
      <c r="G148" s="18">
        <f>IF(A148="","",VLOOKUP(F148,Evaporation!$A$6:$B$17,2,FALSE))</f>
        <v/>
      </c>
      <c r="H148" s="19">
        <f>IF(A148="","",IF(C148="","",IF(C148&lt;=INDEX(StageAreaVolume!$A$6:$A$17,1),INDEX(StageAreaVolume!$B$6:$B$17,1),IF(C148&gt;=INDEX(StageAreaVolume!$A$6:$A$17,COUNTA(StageAreaVolume!$A$6:$A$17)),INDEX(StageAreaVolume!$B$6:$B$17,COUNTA(StageAreaVolume!$A$6:$A$17)),(INDEX(StageAreaVolume!$B$6:$B$17,MATCH(C148,StageAreaVolume!$A$6:$A$17,1))+(C148-INDEX(StageAreaVolume!$A$6:$A$17,MATCH(C148,StageAreaVolume!$A$6:$A$17,1)))/(INDEX(StageAreaVolume!$A$6:$A$17,MATCH(C148,StageAreaVolume!$A$6:$A$17,1)+1)-INDEX(StageAreaVolume!$A$6:$A$17,MATCH(C148,StageAreaVolume!$A$6:$A$17,1)))*(INDEX(StageAreaVolume!$B$6:$B$17,MATCH(C148,StageAreaVolume!$A$6:$A$17,1)+1)-INDEX(StageAreaVolume!$B$6:$B$17,MATCH(C148,StageAreaVolume!$A$6:$A$17,1)))))))))</f>
        <v/>
      </c>
      <c r="I148" s="18">
        <f>IF(A148="","",IF(C148="","",IF(C148&lt;=INDEX(StageAreaVolume!$A$6:$A$17,1),INDEX(StageAreaVolume!$D$6:$D$17,1),IF(C148&gt;=INDEX(StageAreaVolume!$A$6:$A$17,COUNTA(StageAreaVolume!$A$6:$A$17)),INDEX(StageAreaVolume!$D$6:$D$17,COUNTA(StageAreaVolume!$A$6:$A$17)),(INDEX(StageAreaVolume!$D$6:$D$17,MATCH(C148,StageAreaVolume!$A$6:$A$17,1))+(C148-INDEX(StageAreaVolume!$A$6:$A$17,MATCH(C148,StageAreaVolume!$A$6:$A$17,1)))/(INDEX(StageAreaVolume!$A$6:$A$17,MATCH(C148,StageAreaVolume!$A$6:$A$17,1)+1)-INDEX(StageAreaVolume!$A$6:$A$17,MATCH(C148,StageAreaVolume!$A$6:$A$17,1)))*(INDEX(StageAreaVolume!$D$6:$D$17,MATCH(C148,StageAreaVolume!$A$6:$A$17,1)+1)-INDEX(StageAreaVolume!$D$6:$D$17,MATCH(C148,StageAreaVolume!$A$6:$A$17,1)))))))))</f>
        <v/>
      </c>
      <c r="J148" s="25">
        <f>IF(A148="","",IF(A147="",NA(),C147))</f>
        <v/>
      </c>
      <c r="K148" s="19">
        <f>IF(OR(A148="",ISNA(J148)),IF(A148="","",H148),(H147+H148)/2)</f>
        <v/>
      </c>
      <c r="L148" s="19">
        <f>IF(OR(A148="",ISNA(J148)),0,IF(AND(B148=0,D148="N",E148="N",C148&lt;J148,C148&gt;0),1,0))</f>
        <v/>
      </c>
      <c r="M148" s="25">
        <f>IF(L148&lt;&gt;1,"",IF(K148&lt;=0,"",(I147-I148-G148/1000*K148)/K148*1000))</f>
        <v/>
      </c>
      <c r="N148" s="18">
        <f>IF(A148="","",IF(L148=1,I147-I148-O148,IF(OR(C148&gt;0,N(J148)&gt;0),MeanMDWIR/1000*K148,0)))</f>
        <v/>
      </c>
      <c r="O148" s="18">
        <f>IF(A148="","",G148/1000*K148)</f>
        <v/>
      </c>
      <c r="P148" s="27">
        <f>IF(A148="","",IF(L148=1,"dry",IF(D148="Y","spill",IF(B148&gt;0,"wet",IF(E148="Y","pumped","other")))))</f>
        <v/>
      </c>
    </row>
    <row r="149">
      <c r="A149" s="26">
        <f>IF(DailyPond!A149="","",DailyPond!A149)</f>
        <v/>
      </c>
      <c r="B149" s="18">
        <f>IF(A149="","",DailyPond!B149)</f>
        <v/>
      </c>
      <c r="C149" s="25">
        <f>IF(A149="","",DailyPond!C149)</f>
        <v/>
      </c>
      <c r="D149" s="27">
        <f>IF(A149="","",DailyPond!D149)</f>
        <v/>
      </c>
      <c r="E149" s="27">
        <f>IF(A149="","",DailyPond!E149)</f>
        <v/>
      </c>
      <c r="F149" s="19">
        <f>IF(A149="","",MONTH(A149))</f>
        <v/>
      </c>
      <c r="G149" s="18">
        <f>IF(A149="","",VLOOKUP(F149,Evaporation!$A$6:$B$17,2,FALSE))</f>
        <v/>
      </c>
      <c r="H149" s="19">
        <f>IF(A149="","",IF(C149="","",IF(C149&lt;=INDEX(StageAreaVolume!$A$6:$A$17,1),INDEX(StageAreaVolume!$B$6:$B$17,1),IF(C149&gt;=INDEX(StageAreaVolume!$A$6:$A$17,COUNTA(StageAreaVolume!$A$6:$A$17)),INDEX(StageAreaVolume!$B$6:$B$17,COUNTA(StageAreaVolume!$A$6:$A$17)),(INDEX(StageAreaVolume!$B$6:$B$17,MATCH(C149,StageAreaVolume!$A$6:$A$17,1))+(C149-INDEX(StageAreaVolume!$A$6:$A$17,MATCH(C149,StageAreaVolume!$A$6:$A$17,1)))/(INDEX(StageAreaVolume!$A$6:$A$17,MATCH(C149,StageAreaVolume!$A$6:$A$17,1)+1)-INDEX(StageAreaVolume!$A$6:$A$17,MATCH(C149,StageAreaVolume!$A$6:$A$17,1)))*(INDEX(StageAreaVolume!$B$6:$B$17,MATCH(C149,StageAreaVolume!$A$6:$A$17,1)+1)-INDEX(StageAreaVolume!$B$6:$B$17,MATCH(C149,StageAreaVolume!$A$6:$A$17,1)))))))))</f>
        <v/>
      </c>
      <c r="I149" s="18">
        <f>IF(A149="","",IF(C149="","",IF(C149&lt;=INDEX(StageAreaVolume!$A$6:$A$17,1),INDEX(StageAreaVolume!$D$6:$D$17,1),IF(C149&gt;=INDEX(StageAreaVolume!$A$6:$A$17,COUNTA(StageAreaVolume!$A$6:$A$17)),INDEX(StageAreaVolume!$D$6:$D$17,COUNTA(StageAreaVolume!$A$6:$A$17)),(INDEX(StageAreaVolume!$D$6:$D$17,MATCH(C149,StageAreaVolume!$A$6:$A$17,1))+(C149-INDEX(StageAreaVolume!$A$6:$A$17,MATCH(C149,StageAreaVolume!$A$6:$A$17,1)))/(INDEX(StageAreaVolume!$A$6:$A$17,MATCH(C149,StageAreaVolume!$A$6:$A$17,1)+1)-INDEX(StageAreaVolume!$A$6:$A$17,MATCH(C149,StageAreaVolume!$A$6:$A$17,1)))*(INDEX(StageAreaVolume!$D$6:$D$17,MATCH(C149,StageAreaVolume!$A$6:$A$17,1)+1)-INDEX(StageAreaVolume!$D$6:$D$17,MATCH(C149,StageAreaVolume!$A$6:$A$17,1)))))))))</f>
        <v/>
      </c>
      <c r="J149" s="25">
        <f>IF(A149="","",IF(A148="",NA(),C148))</f>
        <v/>
      </c>
      <c r="K149" s="19">
        <f>IF(OR(A149="",ISNA(J149)),IF(A149="","",H149),(H148+H149)/2)</f>
        <v/>
      </c>
      <c r="L149" s="19">
        <f>IF(OR(A149="",ISNA(J149)),0,IF(AND(B149=0,D149="N",E149="N",C149&lt;J149,C149&gt;0),1,0))</f>
        <v/>
      </c>
      <c r="M149" s="25">
        <f>IF(L149&lt;&gt;1,"",IF(K149&lt;=0,"",(I148-I149-G149/1000*K149)/K149*1000))</f>
        <v/>
      </c>
      <c r="N149" s="18">
        <f>IF(A149="","",IF(L149=1,I148-I149-O149,IF(OR(C149&gt;0,N(J149)&gt;0),MeanMDWIR/1000*K149,0)))</f>
        <v/>
      </c>
      <c r="O149" s="18">
        <f>IF(A149="","",G149/1000*K149)</f>
        <v/>
      </c>
      <c r="P149" s="27">
        <f>IF(A149="","",IF(L149=1,"dry",IF(D149="Y","spill",IF(B149&gt;0,"wet",IF(E149="Y","pumped","other")))))</f>
        <v/>
      </c>
    </row>
    <row r="150">
      <c r="A150" s="26">
        <f>IF(DailyPond!A150="","",DailyPond!A150)</f>
        <v/>
      </c>
      <c r="B150" s="18">
        <f>IF(A150="","",DailyPond!B150)</f>
        <v/>
      </c>
      <c r="C150" s="25">
        <f>IF(A150="","",DailyPond!C150)</f>
        <v/>
      </c>
      <c r="D150" s="27">
        <f>IF(A150="","",DailyPond!D150)</f>
        <v/>
      </c>
      <c r="E150" s="27">
        <f>IF(A150="","",DailyPond!E150)</f>
        <v/>
      </c>
      <c r="F150" s="19">
        <f>IF(A150="","",MONTH(A150))</f>
        <v/>
      </c>
      <c r="G150" s="18">
        <f>IF(A150="","",VLOOKUP(F150,Evaporation!$A$6:$B$17,2,FALSE))</f>
        <v/>
      </c>
      <c r="H150" s="19">
        <f>IF(A150="","",IF(C150="","",IF(C150&lt;=INDEX(StageAreaVolume!$A$6:$A$17,1),INDEX(StageAreaVolume!$B$6:$B$17,1),IF(C150&gt;=INDEX(StageAreaVolume!$A$6:$A$17,COUNTA(StageAreaVolume!$A$6:$A$17)),INDEX(StageAreaVolume!$B$6:$B$17,COUNTA(StageAreaVolume!$A$6:$A$17)),(INDEX(StageAreaVolume!$B$6:$B$17,MATCH(C150,StageAreaVolume!$A$6:$A$17,1))+(C150-INDEX(StageAreaVolume!$A$6:$A$17,MATCH(C150,StageAreaVolume!$A$6:$A$17,1)))/(INDEX(StageAreaVolume!$A$6:$A$17,MATCH(C150,StageAreaVolume!$A$6:$A$17,1)+1)-INDEX(StageAreaVolume!$A$6:$A$17,MATCH(C150,StageAreaVolume!$A$6:$A$17,1)))*(INDEX(StageAreaVolume!$B$6:$B$17,MATCH(C150,StageAreaVolume!$A$6:$A$17,1)+1)-INDEX(StageAreaVolume!$B$6:$B$17,MATCH(C150,StageAreaVolume!$A$6:$A$17,1)))))))))</f>
        <v/>
      </c>
      <c r="I150" s="18">
        <f>IF(A150="","",IF(C150="","",IF(C150&lt;=INDEX(StageAreaVolume!$A$6:$A$17,1),INDEX(StageAreaVolume!$D$6:$D$17,1),IF(C150&gt;=INDEX(StageAreaVolume!$A$6:$A$17,COUNTA(StageAreaVolume!$A$6:$A$17)),INDEX(StageAreaVolume!$D$6:$D$17,COUNTA(StageAreaVolume!$A$6:$A$17)),(INDEX(StageAreaVolume!$D$6:$D$17,MATCH(C150,StageAreaVolume!$A$6:$A$17,1))+(C150-INDEX(StageAreaVolume!$A$6:$A$17,MATCH(C150,StageAreaVolume!$A$6:$A$17,1)))/(INDEX(StageAreaVolume!$A$6:$A$17,MATCH(C150,StageAreaVolume!$A$6:$A$17,1)+1)-INDEX(StageAreaVolume!$A$6:$A$17,MATCH(C150,StageAreaVolume!$A$6:$A$17,1)))*(INDEX(StageAreaVolume!$D$6:$D$17,MATCH(C150,StageAreaVolume!$A$6:$A$17,1)+1)-INDEX(StageAreaVolume!$D$6:$D$17,MATCH(C150,StageAreaVolume!$A$6:$A$17,1)))))))))</f>
        <v/>
      </c>
      <c r="J150" s="25">
        <f>IF(A150="","",IF(A149="",NA(),C149))</f>
        <v/>
      </c>
      <c r="K150" s="19">
        <f>IF(OR(A150="",ISNA(J150)),IF(A150="","",H150),(H149+H150)/2)</f>
        <v/>
      </c>
      <c r="L150" s="19">
        <f>IF(OR(A150="",ISNA(J150)),0,IF(AND(B150=0,D150="N",E150="N",C150&lt;J150,C150&gt;0),1,0))</f>
        <v/>
      </c>
      <c r="M150" s="25">
        <f>IF(L150&lt;&gt;1,"",IF(K150&lt;=0,"",(I149-I150-G150/1000*K150)/K150*1000))</f>
        <v/>
      </c>
      <c r="N150" s="18">
        <f>IF(A150="","",IF(L150=1,I149-I150-O150,IF(OR(C150&gt;0,N(J150)&gt;0),MeanMDWIR/1000*K150,0)))</f>
        <v/>
      </c>
      <c r="O150" s="18">
        <f>IF(A150="","",G150/1000*K150)</f>
        <v/>
      </c>
      <c r="P150" s="27">
        <f>IF(A150="","",IF(L150=1,"dry",IF(D150="Y","spill",IF(B150&gt;0,"wet",IF(E150="Y","pumped","other")))))</f>
        <v/>
      </c>
    </row>
    <row r="151">
      <c r="A151" s="26">
        <f>IF(DailyPond!A151="","",DailyPond!A151)</f>
        <v/>
      </c>
      <c r="B151" s="18">
        <f>IF(A151="","",DailyPond!B151)</f>
        <v/>
      </c>
      <c r="C151" s="25">
        <f>IF(A151="","",DailyPond!C151)</f>
        <v/>
      </c>
      <c r="D151" s="27">
        <f>IF(A151="","",DailyPond!D151)</f>
        <v/>
      </c>
      <c r="E151" s="27">
        <f>IF(A151="","",DailyPond!E151)</f>
        <v/>
      </c>
      <c r="F151" s="19">
        <f>IF(A151="","",MONTH(A151))</f>
        <v/>
      </c>
      <c r="G151" s="18">
        <f>IF(A151="","",VLOOKUP(F151,Evaporation!$A$6:$B$17,2,FALSE))</f>
        <v/>
      </c>
      <c r="H151" s="19">
        <f>IF(A151="","",IF(C151="","",IF(C151&lt;=INDEX(StageAreaVolume!$A$6:$A$17,1),INDEX(StageAreaVolume!$B$6:$B$17,1),IF(C151&gt;=INDEX(StageAreaVolume!$A$6:$A$17,COUNTA(StageAreaVolume!$A$6:$A$17)),INDEX(StageAreaVolume!$B$6:$B$17,COUNTA(StageAreaVolume!$A$6:$A$17)),(INDEX(StageAreaVolume!$B$6:$B$17,MATCH(C151,StageAreaVolume!$A$6:$A$17,1))+(C151-INDEX(StageAreaVolume!$A$6:$A$17,MATCH(C151,StageAreaVolume!$A$6:$A$17,1)))/(INDEX(StageAreaVolume!$A$6:$A$17,MATCH(C151,StageAreaVolume!$A$6:$A$17,1)+1)-INDEX(StageAreaVolume!$A$6:$A$17,MATCH(C151,StageAreaVolume!$A$6:$A$17,1)))*(INDEX(StageAreaVolume!$B$6:$B$17,MATCH(C151,StageAreaVolume!$A$6:$A$17,1)+1)-INDEX(StageAreaVolume!$B$6:$B$17,MATCH(C151,StageAreaVolume!$A$6:$A$17,1)))))))))</f>
        <v/>
      </c>
      <c r="I151" s="18">
        <f>IF(A151="","",IF(C151="","",IF(C151&lt;=INDEX(StageAreaVolume!$A$6:$A$17,1),INDEX(StageAreaVolume!$D$6:$D$17,1),IF(C151&gt;=INDEX(StageAreaVolume!$A$6:$A$17,COUNTA(StageAreaVolume!$A$6:$A$17)),INDEX(StageAreaVolume!$D$6:$D$17,COUNTA(StageAreaVolume!$A$6:$A$17)),(INDEX(StageAreaVolume!$D$6:$D$17,MATCH(C151,StageAreaVolume!$A$6:$A$17,1))+(C151-INDEX(StageAreaVolume!$A$6:$A$17,MATCH(C151,StageAreaVolume!$A$6:$A$17,1)))/(INDEX(StageAreaVolume!$A$6:$A$17,MATCH(C151,StageAreaVolume!$A$6:$A$17,1)+1)-INDEX(StageAreaVolume!$A$6:$A$17,MATCH(C151,StageAreaVolume!$A$6:$A$17,1)))*(INDEX(StageAreaVolume!$D$6:$D$17,MATCH(C151,StageAreaVolume!$A$6:$A$17,1)+1)-INDEX(StageAreaVolume!$D$6:$D$17,MATCH(C151,StageAreaVolume!$A$6:$A$17,1)))))))))</f>
        <v/>
      </c>
      <c r="J151" s="25">
        <f>IF(A151="","",IF(A150="",NA(),C150))</f>
        <v/>
      </c>
      <c r="K151" s="19">
        <f>IF(OR(A151="",ISNA(J151)),IF(A151="","",H151),(H150+H151)/2)</f>
        <v/>
      </c>
      <c r="L151" s="19">
        <f>IF(OR(A151="",ISNA(J151)),0,IF(AND(B151=0,D151="N",E151="N",C151&lt;J151,C151&gt;0),1,0))</f>
        <v/>
      </c>
      <c r="M151" s="25">
        <f>IF(L151&lt;&gt;1,"",IF(K151&lt;=0,"",(I150-I151-G151/1000*K151)/K151*1000))</f>
        <v/>
      </c>
      <c r="N151" s="18">
        <f>IF(A151="","",IF(L151=1,I150-I151-O151,IF(OR(C151&gt;0,N(J151)&gt;0),MeanMDWIR/1000*K151,0)))</f>
        <v/>
      </c>
      <c r="O151" s="18">
        <f>IF(A151="","",G151/1000*K151)</f>
        <v/>
      </c>
      <c r="P151" s="27">
        <f>IF(A151="","",IF(L151=1,"dry",IF(D151="Y","spill",IF(B151&gt;0,"wet",IF(E151="Y","pumped","other")))))</f>
        <v/>
      </c>
    </row>
    <row r="152">
      <c r="A152" s="26">
        <f>IF(DailyPond!A152="","",DailyPond!A152)</f>
        <v/>
      </c>
      <c r="B152" s="18">
        <f>IF(A152="","",DailyPond!B152)</f>
        <v/>
      </c>
      <c r="C152" s="25">
        <f>IF(A152="","",DailyPond!C152)</f>
        <v/>
      </c>
      <c r="D152" s="27">
        <f>IF(A152="","",DailyPond!D152)</f>
        <v/>
      </c>
      <c r="E152" s="27">
        <f>IF(A152="","",DailyPond!E152)</f>
        <v/>
      </c>
      <c r="F152" s="19">
        <f>IF(A152="","",MONTH(A152))</f>
        <v/>
      </c>
      <c r="G152" s="18">
        <f>IF(A152="","",VLOOKUP(F152,Evaporation!$A$6:$B$17,2,FALSE))</f>
        <v/>
      </c>
      <c r="H152" s="19">
        <f>IF(A152="","",IF(C152="","",IF(C152&lt;=INDEX(StageAreaVolume!$A$6:$A$17,1),INDEX(StageAreaVolume!$B$6:$B$17,1),IF(C152&gt;=INDEX(StageAreaVolume!$A$6:$A$17,COUNTA(StageAreaVolume!$A$6:$A$17)),INDEX(StageAreaVolume!$B$6:$B$17,COUNTA(StageAreaVolume!$A$6:$A$17)),(INDEX(StageAreaVolume!$B$6:$B$17,MATCH(C152,StageAreaVolume!$A$6:$A$17,1))+(C152-INDEX(StageAreaVolume!$A$6:$A$17,MATCH(C152,StageAreaVolume!$A$6:$A$17,1)))/(INDEX(StageAreaVolume!$A$6:$A$17,MATCH(C152,StageAreaVolume!$A$6:$A$17,1)+1)-INDEX(StageAreaVolume!$A$6:$A$17,MATCH(C152,StageAreaVolume!$A$6:$A$17,1)))*(INDEX(StageAreaVolume!$B$6:$B$17,MATCH(C152,StageAreaVolume!$A$6:$A$17,1)+1)-INDEX(StageAreaVolume!$B$6:$B$17,MATCH(C152,StageAreaVolume!$A$6:$A$17,1)))))))))</f>
        <v/>
      </c>
      <c r="I152" s="18">
        <f>IF(A152="","",IF(C152="","",IF(C152&lt;=INDEX(StageAreaVolume!$A$6:$A$17,1),INDEX(StageAreaVolume!$D$6:$D$17,1),IF(C152&gt;=INDEX(StageAreaVolume!$A$6:$A$17,COUNTA(StageAreaVolume!$A$6:$A$17)),INDEX(StageAreaVolume!$D$6:$D$17,COUNTA(StageAreaVolume!$A$6:$A$17)),(INDEX(StageAreaVolume!$D$6:$D$17,MATCH(C152,StageAreaVolume!$A$6:$A$17,1))+(C152-INDEX(StageAreaVolume!$A$6:$A$17,MATCH(C152,StageAreaVolume!$A$6:$A$17,1)))/(INDEX(StageAreaVolume!$A$6:$A$17,MATCH(C152,StageAreaVolume!$A$6:$A$17,1)+1)-INDEX(StageAreaVolume!$A$6:$A$17,MATCH(C152,StageAreaVolume!$A$6:$A$17,1)))*(INDEX(StageAreaVolume!$D$6:$D$17,MATCH(C152,StageAreaVolume!$A$6:$A$17,1)+1)-INDEX(StageAreaVolume!$D$6:$D$17,MATCH(C152,StageAreaVolume!$A$6:$A$17,1)))))))))</f>
        <v/>
      </c>
      <c r="J152" s="25">
        <f>IF(A152="","",IF(A151="",NA(),C151))</f>
        <v/>
      </c>
      <c r="K152" s="19">
        <f>IF(OR(A152="",ISNA(J152)),IF(A152="","",H152),(H151+H152)/2)</f>
        <v/>
      </c>
      <c r="L152" s="19">
        <f>IF(OR(A152="",ISNA(J152)),0,IF(AND(B152=0,D152="N",E152="N",C152&lt;J152,C152&gt;0),1,0))</f>
        <v/>
      </c>
      <c r="M152" s="25">
        <f>IF(L152&lt;&gt;1,"",IF(K152&lt;=0,"",(I151-I152-G152/1000*K152)/K152*1000))</f>
        <v/>
      </c>
      <c r="N152" s="18">
        <f>IF(A152="","",IF(L152=1,I151-I152-O152,IF(OR(C152&gt;0,N(J152)&gt;0),MeanMDWIR/1000*K152,0)))</f>
        <v/>
      </c>
      <c r="O152" s="18">
        <f>IF(A152="","",G152/1000*K152)</f>
        <v/>
      </c>
      <c r="P152" s="27">
        <f>IF(A152="","",IF(L152=1,"dry",IF(D152="Y","spill",IF(B152&gt;0,"wet",IF(E152="Y","pumped","other")))))</f>
        <v/>
      </c>
    </row>
    <row r="153">
      <c r="A153" s="26">
        <f>IF(DailyPond!A153="","",DailyPond!A153)</f>
        <v/>
      </c>
      <c r="B153" s="18">
        <f>IF(A153="","",DailyPond!B153)</f>
        <v/>
      </c>
      <c r="C153" s="25">
        <f>IF(A153="","",DailyPond!C153)</f>
        <v/>
      </c>
      <c r="D153" s="27">
        <f>IF(A153="","",DailyPond!D153)</f>
        <v/>
      </c>
      <c r="E153" s="27">
        <f>IF(A153="","",DailyPond!E153)</f>
        <v/>
      </c>
      <c r="F153" s="19">
        <f>IF(A153="","",MONTH(A153))</f>
        <v/>
      </c>
      <c r="G153" s="18">
        <f>IF(A153="","",VLOOKUP(F153,Evaporation!$A$6:$B$17,2,FALSE))</f>
        <v/>
      </c>
      <c r="H153" s="19">
        <f>IF(A153="","",IF(C153="","",IF(C153&lt;=INDEX(StageAreaVolume!$A$6:$A$17,1),INDEX(StageAreaVolume!$B$6:$B$17,1),IF(C153&gt;=INDEX(StageAreaVolume!$A$6:$A$17,COUNTA(StageAreaVolume!$A$6:$A$17)),INDEX(StageAreaVolume!$B$6:$B$17,COUNTA(StageAreaVolume!$A$6:$A$17)),(INDEX(StageAreaVolume!$B$6:$B$17,MATCH(C153,StageAreaVolume!$A$6:$A$17,1))+(C153-INDEX(StageAreaVolume!$A$6:$A$17,MATCH(C153,StageAreaVolume!$A$6:$A$17,1)))/(INDEX(StageAreaVolume!$A$6:$A$17,MATCH(C153,StageAreaVolume!$A$6:$A$17,1)+1)-INDEX(StageAreaVolume!$A$6:$A$17,MATCH(C153,StageAreaVolume!$A$6:$A$17,1)))*(INDEX(StageAreaVolume!$B$6:$B$17,MATCH(C153,StageAreaVolume!$A$6:$A$17,1)+1)-INDEX(StageAreaVolume!$B$6:$B$17,MATCH(C153,StageAreaVolume!$A$6:$A$17,1)))))))))</f>
        <v/>
      </c>
      <c r="I153" s="18">
        <f>IF(A153="","",IF(C153="","",IF(C153&lt;=INDEX(StageAreaVolume!$A$6:$A$17,1),INDEX(StageAreaVolume!$D$6:$D$17,1),IF(C153&gt;=INDEX(StageAreaVolume!$A$6:$A$17,COUNTA(StageAreaVolume!$A$6:$A$17)),INDEX(StageAreaVolume!$D$6:$D$17,COUNTA(StageAreaVolume!$A$6:$A$17)),(INDEX(StageAreaVolume!$D$6:$D$17,MATCH(C153,StageAreaVolume!$A$6:$A$17,1))+(C153-INDEX(StageAreaVolume!$A$6:$A$17,MATCH(C153,StageAreaVolume!$A$6:$A$17,1)))/(INDEX(StageAreaVolume!$A$6:$A$17,MATCH(C153,StageAreaVolume!$A$6:$A$17,1)+1)-INDEX(StageAreaVolume!$A$6:$A$17,MATCH(C153,StageAreaVolume!$A$6:$A$17,1)))*(INDEX(StageAreaVolume!$D$6:$D$17,MATCH(C153,StageAreaVolume!$A$6:$A$17,1)+1)-INDEX(StageAreaVolume!$D$6:$D$17,MATCH(C153,StageAreaVolume!$A$6:$A$17,1)))))))))</f>
        <v/>
      </c>
      <c r="J153" s="25">
        <f>IF(A153="","",IF(A152="",NA(),C152))</f>
        <v/>
      </c>
      <c r="K153" s="19">
        <f>IF(OR(A153="",ISNA(J153)),IF(A153="","",H153),(H152+H153)/2)</f>
        <v/>
      </c>
      <c r="L153" s="19">
        <f>IF(OR(A153="",ISNA(J153)),0,IF(AND(B153=0,D153="N",E153="N",C153&lt;J153,C153&gt;0),1,0))</f>
        <v/>
      </c>
      <c r="M153" s="25">
        <f>IF(L153&lt;&gt;1,"",IF(K153&lt;=0,"",(I152-I153-G153/1000*K153)/K153*1000))</f>
        <v/>
      </c>
      <c r="N153" s="18">
        <f>IF(A153="","",IF(L153=1,I152-I153-O153,IF(OR(C153&gt;0,N(J153)&gt;0),MeanMDWIR/1000*K153,0)))</f>
        <v/>
      </c>
      <c r="O153" s="18">
        <f>IF(A153="","",G153/1000*K153)</f>
        <v/>
      </c>
      <c r="P153" s="27">
        <f>IF(A153="","",IF(L153=1,"dry",IF(D153="Y","spill",IF(B153&gt;0,"wet",IF(E153="Y","pumped","other")))))</f>
        <v/>
      </c>
    </row>
    <row r="154">
      <c r="A154" s="26">
        <f>IF(DailyPond!A154="","",DailyPond!A154)</f>
        <v/>
      </c>
      <c r="B154" s="18">
        <f>IF(A154="","",DailyPond!B154)</f>
        <v/>
      </c>
      <c r="C154" s="25">
        <f>IF(A154="","",DailyPond!C154)</f>
        <v/>
      </c>
      <c r="D154" s="27">
        <f>IF(A154="","",DailyPond!D154)</f>
        <v/>
      </c>
      <c r="E154" s="27">
        <f>IF(A154="","",DailyPond!E154)</f>
        <v/>
      </c>
      <c r="F154" s="19">
        <f>IF(A154="","",MONTH(A154))</f>
        <v/>
      </c>
      <c r="G154" s="18">
        <f>IF(A154="","",VLOOKUP(F154,Evaporation!$A$6:$B$17,2,FALSE))</f>
        <v/>
      </c>
      <c r="H154" s="19">
        <f>IF(A154="","",IF(C154="","",IF(C154&lt;=INDEX(StageAreaVolume!$A$6:$A$17,1),INDEX(StageAreaVolume!$B$6:$B$17,1),IF(C154&gt;=INDEX(StageAreaVolume!$A$6:$A$17,COUNTA(StageAreaVolume!$A$6:$A$17)),INDEX(StageAreaVolume!$B$6:$B$17,COUNTA(StageAreaVolume!$A$6:$A$17)),(INDEX(StageAreaVolume!$B$6:$B$17,MATCH(C154,StageAreaVolume!$A$6:$A$17,1))+(C154-INDEX(StageAreaVolume!$A$6:$A$17,MATCH(C154,StageAreaVolume!$A$6:$A$17,1)))/(INDEX(StageAreaVolume!$A$6:$A$17,MATCH(C154,StageAreaVolume!$A$6:$A$17,1)+1)-INDEX(StageAreaVolume!$A$6:$A$17,MATCH(C154,StageAreaVolume!$A$6:$A$17,1)))*(INDEX(StageAreaVolume!$B$6:$B$17,MATCH(C154,StageAreaVolume!$A$6:$A$17,1)+1)-INDEX(StageAreaVolume!$B$6:$B$17,MATCH(C154,StageAreaVolume!$A$6:$A$17,1)))))))))</f>
        <v/>
      </c>
      <c r="I154" s="18">
        <f>IF(A154="","",IF(C154="","",IF(C154&lt;=INDEX(StageAreaVolume!$A$6:$A$17,1),INDEX(StageAreaVolume!$D$6:$D$17,1),IF(C154&gt;=INDEX(StageAreaVolume!$A$6:$A$17,COUNTA(StageAreaVolume!$A$6:$A$17)),INDEX(StageAreaVolume!$D$6:$D$17,COUNTA(StageAreaVolume!$A$6:$A$17)),(INDEX(StageAreaVolume!$D$6:$D$17,MATCH(C154,StageAreaVolume!$A$6:$A$17,1))+(C154-INDEX(StageAreaVolume!$A$6:$A$17,MATCH(C154,StageAreaVolume!$A$6:$A$17,1)))/(INDEX(StageAreaVolume!$A$6:$A$17,MATCH(C154,StageAreaVolume!$A$6:$A$17,1)+1)-INDEX(StageAreaVolume!$A$6:$A$17,MATCH(C154,StageAreaVolume!$A$6:$A$17,1)))*(INDEX(StageAreaVolume!$D$6:$D$17,MATCH(C154,StageAreaVolume!$A$6:$A$17,1)+1)-INDEX(StageAreaVolume!$D$6:$D$17,MATCH(C154,StageAreaVolume!$A$6:$A$17,1)))))))))</f>
        <v/>
      </c>
      <c r="J154" s="25">
        <f>IF(A154="","",IF(A153="",NA(),C153))</f>
        <v/>
      </c>
      <c r="K154" s="19">
        <f>IF(OR(A154="",ISNA(J154)),IF(A154="","",H154),(H153+H154)/2)</f>
        <v/>
      </c>
      <c r="L154" s="19">
        <f>IF(OR(A154="",ISNA(J154)),0,IF(AND(B154=0,D154="N",E154="N",C154&lt;J154,C154&gt;0),1,0))</f>
        <v/>
      </c>
      <c r="M154" s="25">
        <f>IF(L154&lt;&gt;1,"",IF(K154&lt;=0,"",(I153-I154-G154/1000*K154)/K154*1000))</f>
        <v/>
      </c>
      <c r="N154" s="18">
        <f>IF(A154="","",IF(L154=1,I153-I154-O154,IF(OR(C154&gt;0,N(J154)&gt;0),MeanMDWIR/1000*K154,0)))</f>
        <v/>
      </c>
      <c r="O154" s="18">
        <f>IF(A154="","",G154/1000*K154)</f>
        <v/>
      </c>
      <c r="P154" s="27">
        <f>IF(A154="","",IF(L154=1,"dry",IF(D154="Y","spill",IF(B154&gt;0,"wet",IF(E154="Y","pumped","other")))))</f>
        <v/>
      </c>
    </row>
    <row r="155">
      <c r="A155" s="26">
        <f>IF(DailyPond!A155="","",DailyPond!A155)</f>
        <v/>
      </c>
      <c r="B155" s="18">
        <f>IF(A155="","",DailyPond!B155)</f>
        <v/>
      </c>
      <c r="C155" s="25">
        <f>IF(A155="","",DailyPond!C155)</f>
        <v/>
      </c>
      <c r="D155" s="27">
        <f>IF(A155="","",DailyPond!D155)</f>
        <v/>
      </c>
      <c r="E155" s="27">
        <f>IF(A155="","",DailyPond!E155)</f>
        <v/>
      </c>
      <c r="F155" s="19">
        <f>IF(A155="","",MONTH(A155))</f>
        <v/>
      </c>
      <c r="G155" s="18">
        <f>IF(A155="","",VLOOKUP(F155,Evaporation!$A$6:$B$17,2,FALSE))</f>
        <v/>
      </c>
      <c r="H155" s="19">
        <f>IF(A155="","",IF(C155="","",IF(C155&lt;=INDEX(StageAreaVolume!$A$6:$A$17,1),INDEX(StageAreaVolume!$B$6:$B$17,1),IF(C155&gt;=INDEX(StageAreaVolume!$A$6:$A$17,COUNTA(StageAreaVolume!$A$6:$A$17)),INDEX(StageAreaVolume!$B$6:$B$17,COUNTA(StageAreaVolume!$A$6:$A$17)),(INDEX(StageAreaVolume!$B$6:$B$17,MATCH(C155,StageAreaVolume!$A$6:$A$17,1))+(C155-INDEX(StageAreaVolume!$A$6:$A$17,MATCH(C155,StageAreaVolume!$A$6:$A$17,1)))/(INDEX(StageAreaVolume!$A$6:$A$17,MATCH(C155,StageAreaVolume!$A$6:$A$17,1)+1)-INDEX(StageAreaVolume!$A$6:$A$17,MATCH(C155,StageAreaVolume!$A$6:$A$17,1)))*(INDEX(StageAreaVolume!$B$6:$B$17,MATCH(C155,StageAreaVolume!$A$6:$A$17,1)+1)-INDEX(StageAreaVolume!$B$6:$B$17,MATCH(C155,StageAreaVolume!$A$6:$A$17,1)))))))))</f>
        <v/>
      </c>
      <c r="I155" s="18">
        <f>IF(A155="","",IF(C155="","",IF(C155&lt;=INDEX(StageAreaVolume!$A$6:$A$17,1),INDEX(StageAreaVolume!$D$6:$D$17,1),IF(C155&gt;=INDEX(StageAreaVolume!$A$6:$A$17,COUNTA(StageAreaVolume!$A$6:$A$17)),INDEX(StageAreaVolume!$D$6:$D$17,COUNTA(StageAreaVolume!$A$6:$A$17)),(INDEX(StageAreaVolume!$D$6:$D$17,MATCH(C155,StageAreaVolume!$A$6:$A$17,1))+(C155-INDEX(StageAreaVolume!$A$6:$A$17,MATCH(C155,StageAreaVolume!$A$6:$A$17,1)))/(INDEX(StageAreaVolume!$A$6:$A$17,MATCH(C155,StageAreaVolume!$A$6:$A$17,1)+1)-INDEX(StageAreaVolume!$A$6:$A$17,MATCH(C155,StageAreaVolume!$A$6:$A$17,1)))*(INDEX(StageAreaVolume!$D$6:$D$17,MATCH(C155,StageAreaVolume!$A$6:$A$17,1)+1)-INDEX(StageAreaVolume!$D$6:$D$17,MATCH(C155,StageAreaVolume!$A$6:$A$17,1)))))))))</f>
        <v/>
      </c>
      <c r="J155" s="25">
        <f>IF(A155="","",IF(A154="",NA(),C154))</f>
        <v/>
      </c>
      <c r="K155" s="19">
        <f>IF(OR(A155="",ISNA(J155)),IF(A155="","",H155),(H154+H155)/2)</f>
        <v/>
      </c>
      <c r="L155" s="19">
        <f>IF(OR(A155="",ISNA(J155)),0,IF(AND(B155=0,D155="N",E155="N",C155&lt;J155,C155&gt;0),1,0))</f>
        <v/>
      </c>
      <c r="M155" s="25">
        <f>IF(L155&lt;&gt;1,"",IF(K155&lt;=0,"",(I154-I155-G155/1000*K155)/K155*1000))</f>
        <v/>
      </c>
      <c r="N155" s="18">
        <f>IF(A155="","",IF(L155=1,I154-I155-O155,IF(OR(C155&gt;0,N(J155)&gt;0),MeanMDWIR/1000*K155,0)))</f>
        <v/>
      </c>
      <c r="O155" s="18">
        <f>IF(A155="","",G155/1000*K155)</f>
        <v/>
      </c>
      <c r="P155" s="27">
        <f>IF(A155="","",IF(L155=1,"dry",IF(D155="Y","spill",IF(B155&gt;0,"wet",IF(E155="Y","pumped","other")))))</f>
        <v/>
      </c>
    </row>
    <row r="156">
      <c r="A156" s="26">
        <f>IF(DailyPond!A156="","",DailyPond!A156)</f>
        <v/>
      </c>
      <c r="B156" s="18">
        <f>IF(A156="","",DailyPond!B156)</f>
        <v/>
      </c>
      <c r="C156" s="25">
        <f>IF(A156="","",DailyPond!C156)</f>
        <v/>
      </c>
      <c r="D156" s="27">
        <f>IF(A156="","",DailyPond!D156)</f>
        <v/>
      </c>
      <c r="E156" s="27">
        <f>IF(A156="","",DailyPond!E156)</f>
        <v/>
      </c>
      <c r="F156" s="19">
        <f>IF(A156="","",MONTH(A156))</f>
        <v/>
      </c>
      <c r="G156" s="18">
        <f>IF(A156="","",VLOOKUP(F156,Evaporation!$A$6:$B$17,2,FALSE))</f>
        <v/>
      </c>
      <c r="H156" s="19">
        <f>IF(A156="","",IF(C156="","",IF(C156&lt;=INDEX(StageAreaVolume!$A$6:$A$17,1),INDEX(StageAreaVolume!$B$6:$B$17,1),IF(C156&gt;=INDEX(StageAreaVolume!$A$6:$A$17,COUNTA(StageAreaVolume!$A$6:$A$17)),INDEX(StageAreaVolume!$B$6:$B$17,COUNTA(StageAreaVolume!$A$6:$A$17)),(INDEX(StageAreaVolume!$B$6:$B$17,MATCH(C156,StageAreaVolume!$A$6:$A$17,1))+(C156-INDEX(StageAreaVolume!$A$6:$A$17,MATCH(C156,StageAreaVolume!$A$6:$A$17,1)))/(INDEX(StageAreaVolume!$A$6:$A$17,MATCH(C156,StageAreaVolume!$A$6:$A$17,1)+1)-INDEX(StageAreaVolume!$A$6:$A$17,MATCH(C156,StageAreaVolume!$A$6:$A$17,1)))*(INDEX(StageAreaVolume!$B$6:$B$17,MATCH(C156,StageAreaVolume!$A$6:$A$17,1)+1)-INDEX(StageAreaVolume!$B$6:$B$17,MATCH(C156,StageAreaVolume!$A$6:$A$17,1)))))))))</f>
        <v/>
      </c>
      <c r="I156" s="18">
        <f>IF(A156="","",IF(C156="","",IF(C156&lt;=INDEX(StageAreaVolume!$A$6:$A$17,1),INDEX(StageAreaVolume!$D$6:$D$17,1),IF(C156&gt;=INDEX(StageAreaVolume!$A$6:$A$17,COUNTA(StageAreaVolume!$A$6:$A$17)),INDEX(StageAreaVolume!$D$6:$D$17,COUNTA(StageAreaVolume!$A$6:$A$17)),(INDEX(StageAreaVolume!$D$6:$D$17,MATCH(C156,StageAreaVolume!$A$6:$A$17,1))+(C156-INDEX(StageAreaVolume!$A$6:$A$17,MATCH(C156,StageAreaVolume!$A$6:$A$17,1)))/(INDEX(StageAreaVolume!$A$6:$A$17,MATCH(C156,StageAreaVolume!$A$6:$A$17,1)+1)-INDEX(StageAreaVolume!$A$6:$A$17,MATCH(C156,StageAreaVolume!$A$6:$A$17,1)))*(INDEX(StageAreaVolume!$D$6:$D$17,MATCH(C156,StageAreaVolume!$A$6:$A$17,1)+1)-INDEX(StageAreaVolume!$D$6:$D$17,MATCH(C156,StageAreaVolume!$A$6:$A$17,1)))))))))</f>
        <v/>
      </c>
      <c r="J156" s="25">
        <f>IF(A156="","",IF(A155="",NA(),C155))</f>
        <v/>
      </c>
      <c r="K156" s="19">
        <f>IF(OR(A156="",ISNA(J156)),IF(A156="","",H156),(H155+H156)/2)</f>
        <v/>
      </c>
      <c r="L156" s="19">
        <f>IF(OR(A156="",ISNA(J156)),0,IF(AND(B156=0,D156="N",E156="N",C156&lt;J156,C156&gt;0),1,0))</f>
        <v/>
      </c>
      <c r="M156" s="25">
        <f>IF(L156&lt;&gt;1,"",IF(K156&lt;=0,"",(I155-I156-G156/1000*K156)/K156*1000))</f>
        <v/>
      </c>
      <c r="N156" s="18">
        <f>IF(A156="","",IF(L156=1,I155-I156-O156,IF(OR(C156&gt;0,N(J156)&gt;0),MeanMDWIR/1000*K156,0)))</f>
        <v/>
      </c>
      <c r="O156" s="18">
        <f>IF(A156="","",G156/1000*K156)</f>
        <v/>
      </c>
      <c r="P156" s="27">
        <f>IF(A156="","",IF(L156=1,"dry",IF(D156="Y","spill",IF(B156&gt;0,"wet",IF(E156="Y","pumped","other")))))</f>
        <v/>
      </c>
    </row>
    <row r="157">
      <c r="A157" s="26">
        <f>IF(DailyPond!A157="","",DailyPond!A157)</f>
        <v/>
      </c>
      <c r="B157" s="18">
        <f>IF(A157="","",DailyPond!B157)</f>
        <v/>
      </c>
      <c r="C157" s="25">
        <f>IF(A157="","",DailyPond!C157)</f>
        <v/>
      </c>
      <c r="D157" s="27">
        <f>IF(A157="","",DailyPond!D157)</f>
        <v/>
      </c>
      <c r="E157" s="27">
        <f>IF(A157="","",DailyPond!E157)</f>
        <v/>
      </c>
      <c r="F157" s="19">
        <f>IF(A157="","",MONTH(A157))</f>
        <v/>
      </c>
      <c r="G157" s="18">
        <f>IF(A157="","",VLOOKUP(F157,Evaporation!$A$6:$B$17,2,FALSE))</f>
        <v/>
      </c>
      <c r="H157" s="19">
        <f>IF(A157="","",IF(C157="","",IF(C157&lt;=INDEX(StageAreaVolume!$A$6:$A$17,1),INDEX(StageAreaVolume!$B$6:$B$17,1),IF(C157&gt;=INDEX(StageAreaVolume!$A$6:$A$17,COUNTA(StageAreaVolume!$A$6:$A$17)),INDEX(StageAreaVolume!$B$6:$B$17,COUNTA(StageAreaVolume!$A$6:$A$17)),(INDEX(StageAreaVolume!$B$6:$B$17,MATCH(C157,StageAreaVolume!$A$6:$A$17,1))+(C157-INDEX(StageAreaVolume!$A$6:$A$17,MATCH(C157,StageAreaVolume!$A$6:$A$17,1)))/(INDEX(StageAreaVolume!$A$6:$A$17,MATCH(C157,StageAreaVolume!$A$6:$A$17,1)+1)-INDEX(StageAreaVolume!$A$6:$A$17,MATCH(C157,StageAreaVolume!$A$6:$A$17,1)))*(INDEX(StageAreaVolume!$B$6:$B$17,MATCH(C157,StageAreaVolume!$A$6:$A$17,1)+1)-INDEX(StageAreaVolume!$B$6:$B$17,MATCH(C157,StageAreaVolume!$A$6:$A$17,1)))))))))</f>
        <v/>
      </c>
      <c r="I157" s="18">
        <f>IF(A157="","",IF(C157="","",IF(C157&lt;=INDEX(StageAreaVolume!$A$6:$A$17,1),INDEX(StageAreaVolume!$D$6:$D$17,1),IF(C157&gt;=INDEX(StageAreaVolume!$A$6:$A$17,COUNTA(StageAreaVolume!$A$6:$A$17)),INDEX(StageAreaVolume!$D$6:$D$17,COUNTA(StageAreaVolume!$A$6:$A$17)),(INDEX(StageAreaVolume!$D$6:$D$17,MATCH(C157,StageAreaVolume!$A$6:$A$17,1))+(C157-INDEX(StageAreaVolume!$A$6:$A$17,MATCH(C157,StageAreaVolume!$A$6:$A$17,1)))/(INDEX(StageAreaVolume!$A$6:$A$17,MATCH(C157,StageAreaVolume!$A$6:$A$17,1)+1)-INDEX(StageAreaVolume!$A$6:$A$17,MATCH(C157,StageAreaVolume!$A$6:$A$17,1)))*(INDEX(StageAreaVolume!$D$6:$D$17,MATCH(C157,StageAreaVolume!$A$6:$A$17,1)+1)-INDEX(StageAreaVolume!$D$6:$D$17,MATCH(C157,StageAreaVolume!$A$6:$A$17,1)))))))))</f>
        <v/>
      </c>
      <c r="J157" s="25">
        <f>IF(A157="","",IF(A156="",NA(),C156))</f>
        <v/>
      </c>
      <c r="K157" s="19">
        <f>IF(OR(A157="",ISNA(J157)),IF(A157="","",H157),(H156+H157)/2)</f>
        <v/>
      </c>
      <c r="L157" s="19">
        <f>IF(OR(A157="",ISNA(J157)),0,IF(AND(B157=0,D157="N",E157="N",C157&lt;J157,C157&gt;0),1,0))</f>
        <v/>
      </c>
      <c r="M157" s="25">
        <f>IF(L157&lt;&gt;1,"",IF(K157&lt;=0,"",(I156-I157-G157/1000*K157)/K157*1000))</f>
        <v/>
      </c>
      <c r="N157" s="18">
        <f>IF(A157="","",IF(L157=1,I156-I157-O157,IF(OR(C157&gt;0,N(J157)&gt;0),MeanMDWIR/1000*K157,0)))</f>
        <v/>
      </c>
      <c r="O157" s="18">
        <f>IF(A157="","",G157/1000*K157)</f>
        <v/>
      </c>
      <c r="P157" s="27">
        <f>IF(A157="","",IF(L157=1,"dry",IF(D157="Y","spill",IF(B157&gt;0,"wet",IF(E157="Y","pumped","other")))))</f>
        <v/>
      </c>
    </row>
    <row r="158">
      <c r="A158" s="26">
        <f>IF(DailyPond!A158="","",DailyPond!A158)</f>
        <v/>
      </c>
      <c r="B158" s="18">
        <f>IF(A158="","",DailyPond!B158)</f>
        <v/>
      </c>
      <c r="C158" s="25">
        <f>IF(A158="","",DailyPond!C158)</f>
        <v/>
      </c>
      <c r="D158" s="27">
        <f>IF(A158="","",DailyPond!D158)</f>
        <v/>
      </c>
      <c r="E158" s="27">
        <f>IF(A158="","",DailyPond!E158)</f>
        <v/>
      </c>
      <c r="F158" s="19">
        <f>IF(A158="","",MONTH(A158))</f>
        <v/>
      </c>
      <c r="G158" s="18">
        <f>IF(A158="","",VLOOKUP(F158,Evaporation!$A$6:$B$17,2,FALSE))</f>
        <v/>
      </c>
      <c r="H158" s="19">
        <f>IF(A158="","",IF(C158="","",IF(C158&lt;=INDEX(StageAreaVolume!$A$6:$A$17,1),INDEX(StageAreaVolume!$B$6:$B$17,1),IF(C158&gt;=INDEX(StageAreaVolume!$A$6:$A$17,COUNTA(StageAreaVolume!$A$6:$A$17)),INDEX(StageAreaVolume!$B$6:$B$17,COUNTA(StageAreaVolume!$A$6:$A$17)),(INDEX(StageAreaVolume!$B$6:$B$17,MATCH(C158,StageAreaVolume!$A$6:$A$17,1))+(C158-INDEX(StageAreaVolume!$A$6:$A$17,MATCH(C158,StageAreaVolume!$A$6:$A$17,1)))/(INDEX(StageAreaVolume!$A$6:$A$17,MATCH(C158,StageAreaVolume!$A$6:$A$17,1)+1)-INDEX(StageAreaVolume!$A$6:$A$17,MATCH(C158,StageAreaVolume!$A$6:$A$17,1)))*(INDEX(StageAreaVolume!$B$6:$B$17,MATCH(C158,StageAreaVolume!$A$6:$A$17,1)+1)-INDEX(StageAreaVolume!$B$6:$B$17,MATCH(C158,StageAreaVolume!$A$6:$A$17,1)))))))))</f>
        <v/>
      </c>
      <c r="I158" s="18">
        <f>IF(A158="","",IF(C158="","",IF(C158&lt;=INDEX(StageAreaVolume!$A$6:$A$17,1),INDEX(StageAreaVolume!$D$6:$D$17,1),IF(C158&gt;=INDEX(StageAreaVolume!$A$6:$A$17,COUNTA(StageAreaVolume!$A$6:$A$17)),INDEX(StageAreaVolume!$D$6:$D$17,COUNTA(StageAreaVolume!$A$6:$A$17)),(INDEX(StageAreaVolume!$D$6:$D$17,MATCH(C158,StageAreaVolume!$A$6:$A$17,1))+(C158-INDEX(StageAreaVolume!$A$6:$A$17,MATCH(C158,StageAreaVolume!$A$6:$A$17,1)))/(INDEX(StageAreaVolume!$A$6:$A$17,MATCH(C158,StageAreaVolume!$A$6:$A$17,1)+1)-INDEX(StageAreaVolume!$A$6:$A$17,MATCH(C158,StageAreaVolume!$A$6:$A$17,1)))*(INDEX(StageAreaVolume!$D$6:$D$17,MATCH(C158,StageAreaVolume!$A$6:$A$17,1)+1)-INDEX(StageAreaVolume!$D$6:$D$17,MATCH(C158,StageAreaVolume!$A$6:$A$17,1)))))))))</f>
        <v/>
      </c>
      <c r="J158" s="25">
        <f>IF(A158="","",IF(A157="",NA(),C157))</f>
        <v/>
      </c>
      <c r="K158" s="19">
        <f>IF(OR(A158="",ISNA(J158)),IF(A158="","",H158),(H157+H158)/2)</f>
        <v/>
      </c>
      <c r="L158" s="19">
        <f>IF(OR(A158="",ISNA(J158)),0,IF(AND(B158=0,D158="N",E158="N",C158&lt;J158,C158&gt;0),1,0))</f>
        <v/>
      </c>
      <c r="M158" s="25">
        <f>IF(L158&lt;&gt;1,"",IF(K158&lt;=0,"",(I157-I158-G158/1000*K158)/K158*1000))</f>
        <v/>
      </c>
      <c r="N158" s="18">
        <f>IF(A158="","",IF(L158=1,I157-I158-O158,IF(OR(C158&gt;0,N(J158)&gt;0),MeanMDWIR/1000*K158,0)))</f>
        <v/>
      </c>
      <c r="O158" s="18">
        <f>IF(A158="","",G158/1000*K158)</f>
        <v/>
      </c>
      <c r="P158" s="27">
        <f>IF(A158="","",IF(L158=1,"dry",IF(D158="Y","spill",IF(B158&gt;0,"wet",IF(E158="Y","pumped","other")))))</f>
        <v/>
      </c>
    </row>
    <row r="159">
      <c r="A159" s="26">
        <f>IF(DailyPond!A159="","",DailyPond!A159)</f>
        <v/>
      </c>
      <c r="B159" s="18">
        <f>IF(A159="","",DailyPond!B159)</f>
        <v/>
      </c>
      <c r="C159" s="25">
        <f>IF(A159="","",DailyPond!C159)</f>
        <v/>
      </c>
      <c r="D159" s="27">
        <f>IF(A159="","",DailyPond!D159)</f>
        <v/>
      </c>
      <c r="E159" s="27">
        <f>IF(A159="","",DailyPond!E159)</f>
        <v/>
      </c>
      <c r="F159" s="19">
        <f>IF(A159="","",MONTH(A159))</f>
        <v/>
      </c>
      <c r="G159" s="18">
        <f>IF(A159="","",VLOOKUP(F159,Evaporation!$A$6:$B$17,2,FALSE))</f>
        <v/>
      </c>
      <c r="H159" s="19">
        <f>IF(A159="","",IF(C159="","",IF(C159&lt;=INDEX(StageAreaVolume!$A$6:$A$17,1),INDEX(StageAreaVolume!$B$6:$B$17,1),IF(C159&gt;=INDEX(StageAreaVolume!$A$6:$A$17,COUNTA(StageAreaVolume!$A$6:$A$17)),INDEX(StageAreaVolume!$B$6:$B$17,COUNTA(StageAreaVolume!$A$6:$A$17)),(INDEX(StageAreaVolume!$B$6:$B$17,MATCH(C159,StageAreaVolume!$A$6:$A$17,1))+(C159-INDEX(StageAreaVolume!$A$6:$A$17,MATCH(C159,StageAreaVolume!$A$6:$A$17,1)))/(INDEX(StageAreaVolume!$A$6:$A$17,MATCH(C159,StageAreaVolume!$A$6:$A$17,1)+1)-INDEX(StageAreaVolume!$A$6:$A$17,MATCH(C159,StageAreaVolume!$A$6:$A$17,1)))*(INDEX(StageAreaVolume!$B$6:$B$17,MATCH(C159,StageAreaVolume!$A$6:$A$17,1)+1)-INDEX(StageAreaVolume!$B$6:$B$17,MATCH(C159,StageAreaVolume!$A$6:$A$17,1)))))))))</f>
        <v/>
      </c>
      <c r="I159" s="18">
        <f>IF(A159="","",IF(C159="","",IF(C159&lt;=INDEX(StageAreaVolume!$A$6:$A$17,1),INDEX(StageAreaVolume!$D$6:$D$17,1),IF(C159&gt;=INDEX(StageAreaVolume!$A$6:$A$17,COUNTA(StageAreaVolume!$A$6:$A$17)),INDEX(StageAreaVolume!$D$6:$D$17,COUNTA(StageAreaVolume!$A$6:$A$17)),(INDEX(StageAreaVolume!$D$6:$D$17,MATCH(C159,StageAreaVolume!$A$6:$A$17,1))+(C159-INDEX(StageAreaVolume!$A$6:$A$17,MATCH(C159,StageAreaVolume!$A$6:$A$17,1)))/(INDEX(StageAreaVolume!$A$6:$A$17,MATCH(C159,StageAreaVolume!$A$6:$A$17,1)+1)-INDEX(StageAreaVolume!$A$6:$A$17,MATCH(C159,StageAreaVolume!$A$6:$A$17,1)))*(INDEX(StageAreaVolume!$D$6:$D$17,MATCH(C159,StageAreaVolume!$A$6:$A$17,1)+1)-INDEX(StageAreaVolume!$D$6:$D$17,MATCH(C159,StageAreaVolume!$A$6:$A$17,1)))))))))</f>
        <v/>
      </c>
      <c r="J159" s="25">
        <f>IF(A159="","",IF(A158="",NA(),C158))</f>
        <v/>
      </c>
      <c r="K159" s="19">
        <f>IF(OR(A159="",ISNA(J159)),IF(A159="","",H159),(H158+H159)/2)</f>
        <v/>
      </c>
      <c r="L159" s="19">
        <f>IF(OR(A159="",ISNA(J159)),0,IF(AND(B159=0,D159="N",E159="N",C159&lt;J159,C159&gt;0),1,0))</f>
        <v/>
      </c>
      <c r="M159" s="25">
        <f>IF(L159&lt;&gt;1,"",IF(K159&lt;=0,"",(I158-I159-G159/1000*K159)/K159*1000))</f>
        <v/>
      </c>
      <c r="N159" s="18">
        <f>IF(A159="","",IF(L159=1,I158-I159-O159,IF(OR(C159&gt;0,N(J159)&gt;0),MeanMDWIR/1000*K159,0)))</f>
        <v/>
      </c>
      <c r="O159" s="18">
        <f>IF(A159="","",G159/1000*K159)</f>
        <v/>
      </c>
      <c r="P159" s="27">
        <f>IF(A159="","",IF(L159=1,"dry",IF(D159="Y","spill",IF(B159&gt;0,"wet",IF(E159="Y","pumped","other")))))</f>
        <v/>
      </c>
    </row>
    <row r="160">
      <c r="A160" s="26">
        <f>IF(DailyPond!A160="","",DailyPond!A160)</f>
        <v/>
      </c>
      <c r="B160" s="18">
        <f>IF(A160="","",DailyPond!B160)</f>
        <v/>
      </c>
      <c r="C160" s="25">
        <f>IF(A160="","",DailyPond!C160)</f>
        <v/>
      </c>
      <c r="D160" s="27">
        <f>IF(A160="","",DailyPond!D160)</f>
        <v/>
      </c>
      <c r="E160" s="27">
        <f>IF(A160="","",DailyPond!E160)</f>
        <v/>
      </c>
      <c r="F160" s="19">
        <f>IF(A160="","",MONTH(A160))</f>
        <v/>
      </c>
      <c r="G160" s="18">
        <f>IF(A160="","",VLOOKUP(F160,Evaporation!$A$6:$B$17,2,FALSE))</f>
        <v/>
      </c>
      <c r="H160" s="19">
        <f>IF(A160="","",IF(C160="","",IF(C160&lt;=INDEX(StageAreaVolume!$A$6:$A$17,1),INDEX(StageAreaVolume!$B$6:$B$17,1),IF(C160&gt;=INDEX(StageAreaVolume!$A$6:$A$17,COUNTA(StageAreaVolume!$A$6:$A$17)),INDEX(StageAreaVolume!$B$6:$B$17,COUNTA(StageAreaVolume!$A$6:$A$17)),(INDEX(StageAreaVolume!$B$6:$B$17,MATCH(C160,StageAreaVolume!$A$6:$A$17,1))+(C160-INDEX(StageAreaVolume!$A$6:$A$17,MATCH(C160,StageAreaVolume!$A$6:$A$17,1)))/(INDEX(StageAreaVolume!$A$6:$A$17,MATCH(C160,StageAreaVolume!$A$6:$A$17,1)+1)-INDEX(StageAreaVolume!$A$6:$A$17,MATCH(C160,StageAreaVolume!$A$6:$A$17,1)))*(INDEX(StageAreaVolume!$B$6:$B$17,MATCH(C160,StageAreaVolume!$A$6:$A$17,1)+1)-INDEX(StageAreaVolume!$B$6:$B$17,MATCH(C160,StageAreaVolume!$A$6:$A$17,1)))))))))</f>
        <v/>
      </c>
      <c r="I160" s="18">
        <f>IF(A160="","",IF(C160="","",IF(C160&lt;=INDEX(StageAreaVolume!$A$6:$A$17,1),INDEX(StageAreaVolume!$D$6:$D$17,1),IF(C160&gt;=INDEX(StageAreaVolume!$A$6:$A$17,COUNTA(StageAreaVolume!$A$6:$A$17)),INDEX(StageAreaVolume!$D$6:$D$17,COUNTA(StageAreaVolume!$A$6:$A$17)),(INDEX(StageAreaVolume!$D$6:$D$17,MATCH(C160,StageAreaVolume!$A$6:$A$17,1))+(C160-INDEX(StageAreaVolume!$A$6:$A$17,MATCH(C160,StageAreaVolume!$A$6:$A$17,1)))/(INDEX(StageAreaVolume!$A$6:$A$17,MATCH(C160,StageAreaVolume!$A$6:$A$17,1)+1)-INDEX(StageAreaVolume!$A$6:$A$17,MATCH(C160,StageAreaVolume!$A$6:$A$17,1)))*(INDEX(StageAreaVolume!$D$6:$D$17,MATCH(C160,StageAreaVolume!$A$6:$A$17,1)+1)-INDEX(StageAreaVolume!$D$6:$D$17,MATCH(C160,StageAreaVolume!$A$6:$A$17,1)))))))))</f>
        <v/>
      </c>
      <c r="J160" s="25">
        <f>IF(A160="","",IF(A159="",NA(),C159))</f>
        <v/>
      </c>
      <c r="K160" s="19">
        <f>IF(OR(A160="",ISNA(J160)),IF(A160="","",H160),(H159+H160)/2)</f>
        <v/>
      </c>
      <c r="L160" s="19">
        <f>IF(OR(A160="",ISNA(J160)),0,IF(AND(B160=0,D160="N",E160="N",C160&lt;J160,C160&gt;0),1,0))</f>
        <v/>
      </c>
      <c r="M160" s="25">
        <f>IF(L160&lt;&gt;1,"",IF(K160&lt;=0,"",(I159-I160-G160/1000*K160)/K160*1000))</f>
        <v/>
      </c>
      <c r="N160" s="18">
        <f>IF(A160="","",IF(L160=1,I159-I160-O160,IF(OR(C160&gt;0,N(J160)&gt;0),MeanMDWIR/1000*K160,0)))</f>
        <v/>
      </c>
      <c r="O160" s="18">
        <f>IF(A160="","",G160/1000*K160)</f>
        <v/>
      </c>
      <c r="P160" s="27">
        <f>IF(A160="","",IF(L160=1,"dry",IF(D160="Y","spill",IF(B160&gt;0,"wet",IF(E160="Y","pumped","other")))))</f>
        <v/>
      </c>
    </row>
    <row r="161">
      <c r="A161" s="26">
        <f>IF(DailyPond!A161="","",DailyPond!A161)</f>
        <v/>
      </c>
      <c r="B161" s="18">
        <f>IF(A161="","",DailyPond!B161)</f>
        <v/>
      </c>
      <c r="C161" s="25">
        <f>IF(A161="","",DailyPond!C161)</f>
        <v/>
      </c>
      <c r="D161" s="27">
        <f>IF(A161="","",DailyPond!D161)</f>
        <v/>
      </c>
      <c r="E161" s="27">
        <f>IF(A161="","",DailyPond!E161)</f>
        <v/>
      </c>
      <c r="F161" s="19">
        <f>IF(A161="","",MONTH(A161))</f>
        <v/>
      </c>
      <c r="G161" s="18">
        <f>IF(A161="","",VLOOKUP(F161,Evaporation!$A$6:$B$17,2,FALSE))</f>
        <v/>
      </c>
      <c r="H161" s="19">
        <f>IF(A161="","",IF(C161="","",IF(C161&lt;=INDEX(StageAreaVolume!$A$6:$A$17,1),INDEX(StageAreaVolume!$B$6:$B$17,1),IF(C161&gt;=INDEX(StageAreaVolume!$A$6:$A$17,COUNTA(StageAreaVolume!$A$6:$A$17)),INDEX(StageAreaVolume!$B$6:$B$17,COUNTA(StageAreaVolume!$A$6:$A$17)),(INDEX(StageAreaVolume!$B$6:$B$17,MATCH(C161,StageAreaVolume!$A$6:$A$17,1))+(C161-INDEX(StageAreaVolume!$A$6:$A$17,MATCH(C161,StageAreaVolume!$A$6:$A$17,1)))/(INDEX(StageAreaVolume!$A$6:$A$17,MATCH(C161,StageAreaVolume!$A$6:$A$17,1)+1)-INDEX(StageAreaVolume!$A$6:$A$17,MATCH(C161,StageAreaVolume!$A$6:$A$17,1)))*(INDEX(StageAreaVolume!$B$6:$B$17,MATCH(C161,StageAreaVolume!$A$6:$A$17,1)+1)-INDEX(StageAreaVolume!$B$6:$B$17,MATCH(C161,StageAreaVolume!$A$6:$A$17,1)))))))))</f>
        <v/>
      </c>
      <c r="I161" s="18">
        <f>IF(A161="","",IF(C161="","",IF(C161&lt;=INDEX(StageAreaVolume!$A$6:$A$17,1),INDEX(StageAreaVolume!$D$6:$D$17,1),IF(C161&gt;=INDEX(StageAreaVolume!$A$6:$A$17,COUNTA(StageAreaVolume!$A$6:$A$17)),INDEX(StageAreaVolume!$D$6:$D$17,COUNTA(StageAreaVolume!$A$6:$A$17)),(INDEX(StageAreaVolume!$D$6:$D$17,MATCH(C161,StageAreaVolume!$A$6:$A$17,1))+(C161-INDEX(StageAreaVolume!$A$6:$A$17,MATCH(C161,StageAreaVolume!$A$6:$A$17,1)))/(INDEX(StageAreaVolume!$A$6:$A$17,MATCH(C161,StageAreaVolume!$A$6:$A$17,1)+1)-INDEX(StageAreaVolume!$A$6:$A$17,MATCH(C161,StageAreaVolume!$A$6:$A$17,1)))*(INDEX(StageAreaVolume!$D$6:$D$17,MATCH(C161,StageAreaVolume!$A$6:$A$17,1)+1)-INDEX(StageAreaVolume!$D$6:$D$17,MATCH(C161,StageAreaVolume!$A$6:$A$17,1)))))))))</f>
        <v/>
      </c>
      <c r="J161" s="25">
        <f>IF(A161="","",IF(A160="",NA(),C160))</f>
        <v/>
      </c>
      <c r="K161" s="19">
        <f>IF(OR(A161="",ISNA(J161)),IF(A161="","",H161),(H160+H161)/2)</f>
        <v/>
      </c>
      <c r="L161" s="19">
        <f>IF(OR(A161="",ISNA(J161)),0,IF(AND(B161=0,D161="N",E161="N",C161&lt;J161,C161&gt;0),1,0))</f>
        <v/>
      </c>
      <c r="M161" s="25">
        <f>IF(L161&lt;&gt;1,"",IF(K161&lt;=0,"",(I160-I161-G161/1000*K161)/K161*1000))</f>
        <v/>
      </c>
      <c r="N161" s="18">
        <f>IF(A161="","",IF(L161=1,I160-I161-O161,IF(OR(C161&gt;0,N(J161)&gt;0),MeanMDWIR/1000*K161,0)))</f>
        <v/>
      </c>
      <c r="O161" s="18">
        <f>IF(A161="","",G161/1000*K161)</f>
        <v/>
      </c>
      <c r="P161" s="27">
        <f>IF(A161="","",IF(L161=1,"dry",IF(D161="Y","spill",IF(B161&gt;0,"wet",IF(E161="Y","pumped","other")))))</f>
        <v/>
      </c>
    </row>
    <row r="162">
      <c r="A162" s="26">
        <f>IF(DailyPond!A162="","",DailyPond!A162)</f>
        <v/>
      </c>
      <c r="B162" s="18">
        <f>IF(A162="","",DailyPond!B162)</f>
        <v/>
      </c>
      <c r="C162" s="25">
        <f>IF(A162="","",DailyPond!C162)</f>
        <v/>
      </c>
      <c r="D162" s="27">
        <f>IF(A162="","",DailyPond!D162)</f>
        <v/>
      </c>
      <c r="E162" s="27">
        <f>IF(A162="","",DailyPond!E162)</f>
        <v/>
      </c>
      <c r="F162" s="19">
        <f>IF(A162="","",MONTH(A162))</f>
        <v/>
      </c>
      <c r="G162" s="18">
        <f>IF(A162="","",VLOOKUP(F162,Evaporation!$A$6:$B$17,2,FALSE))</f>
        <v/>
      </c>
      <c r="H162" s="19">
        <f>IF(A162="","",IF(C162="","",IF(C162&lt;=INDEX(StageAreaVolume!$A$6:$A$17,1),INDEX(StageAreaVolume!$B$6:$B$17,1),IF(C162&gt;=INDEX(StageAreaVolume!$A$6:$A$17,COUNTA(StageAreaVolume!$A$6:$A$17)),INDEX(StageAreaVolume!$B$6:$B$17,COUNTA(StageAreaVolume!$A$6:$A$17)),(INDEX(StageAreaVolume!$B$6:$B$17,MATCH(C162,StageAreaVolume!$A$6:$A$17,1))+(C162-INDEX(StageAreaVolume!$A$6:$A$17,MATCH(C162,StageAreaVolume!$A$6:$A$17,1)))/(INDEX(StageAreaVolume!$A$6:$A$17,MATCH(C162,StageAreaVolume!$A$6:$A$17,1)+1)-INDEX(StageAreaVolume!$A$6:$A$17,MATCH(C162,StageAreaVolume!$A$6:$A$17,1)))*(INDEX(StageAreaVolume!$B$6:$B$17,MATCH(C162,StageAreaVolume!$A$6:$A$17,1)+1)-INDEX(StageAreaVolume!$B$6:$B$17,MATCH(C162,StageAreaVolume!$A$6:$A$17,1)))))))))</f>
        <v/>
      </c>
      <c r="I162" s="18">
        <f>IF(A162="","",IF(C162="","",IF(C162&lt;=INDEX(StageAreaVolume!$A$6:$A$17,1),INDEX(StageAreaVolume!$D$6:$D$17,1),IF(C162&gt;=INDEX(StageAreaVolume!$A$6:$A$17,COUNTA(StageAreaVolume!$A$6:$A$17)),INDEX(StageAreaVolume!$D$6:$D$17,COUNTA(StageAreaVolume!$A$6:$A$17)),(INDEX(StageAreaVolume!$D$6:$D$17,MATCH(C162,StageAreaVolume!$A$6:$A$17,1))+(C162-INDEX(StageAreaVolume!$A$6:$A$17,MATCH(C162,StageAreaVolume!$A$6:$A$17,1)))/(INDEX(StageAreaVolume!$A$6:$A$17,MATCH(C162,StageAreaVolume!$A$6:$A$17,1)+1)-INDEX(StageAreaVolume!$A$6:$A$17,MATCH(C162,StageAreaVolume!$A$6:$A$17,1)))*(INDEX(StageAreaVolume!$D$6:$D$17,MATCH(C162,StageAreaVolume!$A$6:$A$17,1)+1)-INDEX(StageAreaVolume!$D$6:$D$17,MATCH(C162,StageAreaVolume!$A$6:$A$17,1)))))))))</f>
        <v/>
      </c>
      <c r="J162" s="25">
        <f>IF(A162="","",IF(A161="",NA(),C161))</f>
        <v/>
      </c>
      <c r="K162" s="19">
        <f>IF(OR(A162="",ISNA(J162)),IF(A162="","",H162),(H161+H162)/2)</f>
        <v/>
      </c>
      <c r="L162" s="19">
        <f>IF(OR(A162="",ISNA(J162)),0,IF(AND(B162=0,D162="N",E162="N",C162&lt;J162,C162&gt;0),1,0))</f>
        <v/>
      </c>
      <c r="M162" s="25">
        <f>IF(L162&lt;&gt;1,"",IF(K162&lt;=0,"",(I161-I162-G162/1000*K162)/K162*1000))</f>
        <v/>
      </c>
      <c r="N162" s="18">
        <f>IF(A162="","",IF(L162=1,I161-I162-O162,IF(OR(C162&gt;0,N(J162)&gt;0),MeanMDWIR/1000*K162,0)))</f>
        <v/>
      </c>
      <c r="O162" s="18">
        <f>IF(A162="","",G162/1000*K162)</f>
        <v/>
      </c>
      <c r="P162" s="27">
        <f>IF(A162="","",IF(L162=1,"dry",IF(D162="Y","spill",IF(B162&gt;0,"wet",IF(E162="Y","pumped","other")))))</f>
        <v/>
      </c>
    </row>
    <row r="163">
      <c r="A163" s="26">
        <f>IF(DailyPond!A163="","",DailyPond!A163)</f>
        <v/>
      </c>
      <c r="B163" s="18">
        <f>IF(A163="","",DailyPond!B163)</f>
        <v/>
      </c>
      <c r="C163" s="25">
        <f>IF(A163="","",DailyPond!C163)</f>
        <v/>
      </c>
      <c r="D163" s="27">
        <f>IF(A163="","",DailyPond!D163)</f>
        <v/>
      </c>
      <c r="E163" s="27">
        <f>IF(A163="","",DailyPond!E163)</f>
        <v/>
      </c>
      <c r="F163" s="19">
        <f>IF(A163="","",MONTH(A163))</f>
        <v/>
      </c>
      <c r="G163" s="18">
        <f>IF(A163="","",VLOOKUP(F163,Evaporation!$A$6:$B$17,2,FALSE))</f>
        <v/>
      </c>
      <c r="H163" s="19">
        <f>IF(A163="","",IF(C163="","",IF(C163&lt;=INDEX(StageAreaVolume!$A$6:$A$17,1),INDEX(StageAreaVolume!$B$6:$B$17,1),IF(C163&gt;=INDEX(StageAreaVolume!$A$6:$A$17,COUNTA(StageAreaVolume!$A$6:$A$17)),INDEX(StageAreaVolume!$B$6:$B$17,COUNTA(StageAreaVolume!$A$6:$A$17)),(INDEX(StageAreaVolume!$B$6:$B$17,MATCH(C163,StageAreaVolume!$A$6:$A$17,1))+(C163-INDEX(StageAreaVolume!$A$6:$A$17,MATCH(C163,StageAreaVolume!$A$6:$A$17,1)))/(INDEX(StageAreaVolume!$A$6:$A$17,MATCH(C163,StageAreaVolume!$A$6:$A$17,1)+1)-INDEX(StageAreaVolume!$A$6:$A$17,MATCH(C163,StageAreaVolume!$A$6:$A$17,1)))*(INDEX(StageAreaVolume!$B$6:$B$17,MATCH(C163,StageAreaVolume!$A$6:$A$17,1)+1)-INDEX(StageAreaVolume!$B$6:$B$17,MATCH(C163,StageAreaVolume!$A$6:$A$17,1)))))))))</f>
        <v/>
      </c>
      <c r="I163" s="18">
        <f>IF(A163="","",IF(C163="","",IF(C163&lt;=INDEX(StageAreaVolume!$A$6:$A$17,1),INDEX(StageAreaVolume!$D$6:$D$17,1),IF(C163&gt;=INDEX(StageAreaVolume!$A$6:$A$17,COUNTA(StageAreaVolume!$A$6:$A$17)),INDEX(StageAreaVolume!$D$6:$D$17,COUNTA(StageAreaVolume!$A$6:$A$17)),(INDEX(StageAreaVolume!$D$6:$D$17,MATCH(C163,StageAreaVolume!$A$6:$A$17,1))+(C163-INDEX(StageAreaVolume!$A$6:$A$17,MATCH(C163,StageAreaVolume!$A$6:$A$17,1)))/(INDEX(StageAreaVolume!$A$6:$A$17,MATCH(C163,StageAreaVolume!$A$6:$A$17,1)+1)-INDEX(StageAreaVolume!$A$6:$A$17,MATCH(C163,StageAreaVolume!$A$6:$A$17,1)))*(INDEX(StageAreaVolume!$D$6:$D$17,MATCH(C163,StageAreaVolume!$A$6:$A$17,1)+1)-INDEX(StageAreaVolume!$D$6:$D$17,MATCH(C163,StageAreaVolume!$A$6:$A$17,1)))))))))</f>
        <v/>
      </c>
      <c r="J163" s="25">
        <f>IF(A163="","",IF(A162="",NA(),C162))</f>
        <v/>
      </c>
      <c r="K163" s="19">
        <f>IF(OR(A163="",ISNA(J163)),IF(A163="","",H163),(H162+H163)/2)</f>
        <v/>
      </c>
      <c r="L163" s="19">
        <f>IF(OR(A163="",ISNA(J163)),0,IF(AND(B163=0,D163="N",E163="N",C163&lt;J163,C163&gt;0),1,0))</f>
        <v/>
      </c>
      <c r="M163" s="25">
        <f>IF(L163&lt;&gt;1,"",IF(K163&lt;=0,"",(I162-I163-G163/1000*K163)/K163*1000))</f>
        <v/>
      </c>
      <c r="N163" s="18">
        <f>IF(A163="","",IF(L163=1,I162-I163-O163,IF(OR(C163&gt;0,N(J163)&gt;0),MeanMDWIR/1000*K163,0)))</f>
        <v/>
      </c>
      <c r="O163" s="18">
        <f>IF(A163="","",G163/1000*K163)</f>
        <v/>
      </c>
      <c r="P163" s="27">
        <f>IF(A163="","",IF(L163=1,"dry",IF(D163="Y","spill",IF(B163&gt;0,"wet",IF(E163="Y","pumped","other")))))</f>
        <v/>
      </c>
    </row>
    <row r="164">
      <c r="A164" s="26">
        <f>IF(DailyPond!A164="","",DailyPond!A164)</f>
        <v/>
      </c>
      <c r="B164" s="18">
        <f>IF(A164="","",DailyPond!B164)</f>
        <v/>
      </c>
      <c r="C164" s="25">
        <f>IF(A164="","",DailyPond!C164)</f>
        <v/>
      </c>
      <c r="D164" s="27">
        <f>IF(A164="","",DailyPond!D164)</f>
        <v/>
      </c>
      <c r="E164" s="27">
        <f>IF(A164="","",DailyPond!E164)</f>
        <v/>
      </c>
      <c r="F164" s="19">
        <f>IF(A164="","",MONTH(A164))</f>
        <v/>
      </c>
      <c r="G164" s="18">
        <f>IF(A164="","",VLOOKUP(F164,Evaporation!$A$6:$B$17,2,FALSE))</f>
        <v/>
      </c>
      <c r="H164" s="19">
        <f>IF(A164="","",IF(C164="","",IF(C164&lt;=INDEX(StageAreaVolume!$A$6:$A$17,1),INDEX(StageAreaVolume!$B$6:$B$17,1),IF(C164&gt;=INDEX(StageAreaVolume!$A$6:$A$17,COUNTA(StageAreaVolume!$A$6:$A$17)),INDEX(StageAreaVolume!$B$6:$B$17,COUNTA(StageAreaVolume!$A$6:$A$17)),(INDEX(StageAreaVolume!$B$6:$B$17,MATCH(C164,StageAreaVolume!$A$6:$A$17,1))+(C164-INDEX(StageAreaVolume!$A$6:$A$17,MATCH(C164,StageAreaVolume!$A$6:$A$17,1)))/(INDEX(StageAreaVolume!$A$6:$A$17,MATCH(C164,StageAreaVolume!$A$6:$A$17,1)+1)-INDEX(StageAreaVolume!$A$6:$A$17,MATCH(C164,StageAreaVolume!$A$6:$A$17,1)))*(INDEX(StageAreaVolume!$B$6:$B$17,MATCH(C164,StageAreaVolume!$A$6:$A$17,1)+1)-INDEX(StageAreaVolume!$B$6:$B$17,MATCH(C164,StageAreaVolume!$A$6:$A$17,1)))))))))</f>
        <v/>
      </c>
      <c r="I164" s="18">
        <f>IF(A164="","",IF(C164="","",IF(C164&lt;=INDEX(StageAreaVolume!$A$6:$A$17,1),INDEX(StageAreaVolume!$D$6:$D$17,1),IF(C164&gt;=INDEX(StageAreaVolume!$A$6:$A$17,COUNTA(StageAreaVolume!$A$6:$A$17)),INDEX(StageAreaVolume!$D$6:$D$17,COUNTA(StageAreaVolume!$A$6:$A$17)),(INDEX(StageAreaVolume!$D$6:$D$17,MATCH(C164,StageAreaVolume!$A$6:$A$17,1))+(C164-INDEX(StageAreaVolume!$A$6:$A$17,MATCH(C164,StageAreaVolume!$A$6:$A$17,1)))/(INDEX(StageAreaVolume!$A$6:$A$17,MATCH(C164,StageAreaVolume!$A$6:$A$17,1)+1)-INDEX(StageAreaVolume!$A$6:$A$17,MATCH(C164,StageAreaVolume!$A$6:$A$17,1)))*(INDEX(StageAreaVolume!$D$6:$D$17,MATCH(C164,StageAreaVolume!$A$6:$A$17,1)+1)-INDEX(StageAreaVolume!$D$6:$D$17,MATCH(C164,StageAreaVolume!$A$6:$A$17,1)))))))))</f>
        <v/>
      </c>
      <c r="J164" s="25">
        <f>IF(A164="","",IF(A163="",NA(),C163))</f>
        <v/>
      </c>
      <c r="K164" s="19">
        <f>IF(OR(A164="",ISNA(J164)),IF(A164="","",H164),(H163+H164)/2)</f>
        <v/>
      </c>
      <c r="L164" s="19">
        <f>IF(OR(A164="",ISNA(J164)),0,IF(AND(B164=0,D164="N",E164="N",C164&lt;J164,C164&gt;0),1,0))</f>
        <v/>
      </c>
      <c r="M164" s="25">
        <f>IF(L164&lt;&gt;1,"",IF(K164&lt;=0,"",(I163-I164-G164/1000*K164)/K164*1000))</f>
        <v/>
      </c>
      <c r="N164" s="18">
        <f>IF(A164="","",IF(L164=1,I163-I164-O164,IF(OR(C164&gt;0,N(J164)&gt;0),MeanMDWIR/1000*K164,0)))</f>
        <v/>
      </c>
      <c r="O164" s="18">
        <f>IF(A164="","",G164/1000*K164)</f>
        <v/>
      </c>
      <c r="P164" s="27">
        <f>IF(A164="","",IF(L164=1,"dry",IF(D164="Y","spill",IF(B164&gt;0,"wet",IF(E164="Y","pumped","other")))))</f>
        <v/>
      </c>
    </row>
    <row r="165">
      <c r="A165" s="26">
        <f>IF(DailyPond!A165="","",DailyPond!A165)</f>
        <v/>
      </c>
      <c r="B165" s="18">
        <f>IF(A165="","",DailyPond!B165)</f>
        <v/>
      </c>
      <c r="C165" s="25">
        <f>IF(A165="","",DailyPond!C165)</f>
        <v/>
      </c>
      <c r="D165" s="27">
        <f>IF(A165="","",DailyPond!D165)</f>
        <v/>
      </c>
      <c r="E165" s="27">
        <f>IF(A165="","",DailyPond!E165)</f>
        <v/>
      </c>
      <c r="F165" s="19">
        <f>IF(A165="","",MONTH(A165))</f>
        <v/>
      </c>
      <c r="G165" s="18">
        <f>IF(A165="","",VLOOKUP(F165,Evaporation!$A$6:$B$17,2,FALSE))</f>
        <v/>
      </c>
      <c r="H165" s="19">
        <f>IF(A165="","",IF(C165="","",IF(C165&lt;=INDEX(StageAreaVolume!$A$6:$A$17,1),INDEX(StageAreaVolume!$B$6:$B$17,1),IF(C165&gt;=INDEX(StageAreaVolume!$A$6:$A$17,COUNTA(StageAreaVolume!$A$6:$A$17)),INDEX(StageAreaVolume!$B$6:$B$17,COUNTA(StageAreaVolume!$A$6:$A$17)),(INDEX(StageAreaVolume!$B$6:$B$17,MATCH(C165,StageAreaVolume!$A$6:$A$17,1))+(C165-INDEX(StageAreaVolume!$A$6:$A$17,MATCH(C165,StageAreaVolume!$A$6:$A$17,1)))/(INDEX(StageAreaVolume!$A$6:$A$17,MATCH(C165,StageAreaVolume!$A$6:$A$17,1)+1)-INDEX(StageAreaVolume!$A$6:$A$17,MATCH(C165,StageAreaVolume!$A$6:$A$17,1)))*(INDEX(StageAreaVolume!$B$6:$B$17,MATCH(C165,StageAreaVolume!$A$6:$A$17,1)+1)-INDEX(StageAreaVolume!$B$6:$B$17,MATCH(C165,StageAreaVolume!$A$6:$A$17,1)))))))))</f>
        <v/>
      </c>
      <c r="I165" s="18">
        <f>IF(A165="","",IF(C165="","",IF(C165&lt;=INDEX(StageAreaVolume!$A$6:$A$17,1),INDEX(StageAreaVolume!$D$6:$D$17,1),IF(C165&gt;=INDEX(StageAreaVolume!$A$6:$A$17,COUNTA(StageAreaVolume!$A$6:$A$17)),INDEX(StageAreaVolume!$D$6:$D$17,COUNTA(StageAreaVolume!$A$6:$A$17)),(INDEX(StageAreaVolume!$D$6:$D$17,MATCH(C165,StageAreaVolume!$A$6:$A$17,1))+(C165-INDEX(StageAreaVolume!$A$6:$A$17,MATCH(C165,StageAreaVolume!$A$6:$A$17,1)))/(INDEX(StageAreaVolume!$A$6:$A$17,MATCH(C165,StageAreaVolume!$A$6:$A$17,1)+1)-INDEX(StageAreaVolume!$A$6:$A$17,MATCH(C165,StageAreaVolume!$A$6:$A$17,1)))*(INDEX(StageAreaVolume!$D$6:$D$17,MATCH(C165,StageAreaVolume!$A$6:$A$17,1)+1)-INDEX(StageAreaVolume!$D$6:$D$17,MATCH(C165,StageAreaVolume!$A$6:$A$17,1)))))))))</f>
        <v/>
      </c>
      <c r="J165" s="25">
        <f>IF(A165="","",IF(A164="",NA(),C164))</f>
        <v/>
      </c>
      <c r="K165" s="19">
        <f>IF(OR(A165="",ISNA(J165)),IF(A165="","",H165),(H164+H165)/2)</f>
        <v/>
      </c>
      <c r="L165" s="19">
        <f>IF(OR(A165="",ISNA(J165)),0,IF(AND(B165=0,D165="N",E165="N",C165&lt;J165,C165&gt;0),1,0))</f>
        <v/>
      </c>
      <c r="M165" s="25">
        <f>IF(L165&lt;&gt;1,"",IF(K165&lt;=0,"",(I164-I165-G165/1000*K165)/K165*1000))</f>
        <v/>
      </c>
      <c r="N165" s="18">
        <f>IF(A165="","",IF(L165=1,I164-I165-O165,IF(OR(C165&gt;0,N(J165)&gt;0),MeanMDWIR/1000*K165,0)))</f>
        <v/>
      </c>
      <c r="O165" s="18">
        <f>IF(A165="","",G165/1000*K165)</f>
        <v/>
      </c>
      <c r="P165" s="27">
        <f>IF(A165="","",IF(L165=1,"dry",IF(D165="Y","spill",IF(B165&gt;0,"wet",IF(E165="Y","pumped","other")))))</f>
        <v/>
      </c>
    </row>
    <row r="166">
      <c r="A166" s="26">
        <f>IF(DailyPond!A166="","",DailyPond!A166)</f>
        <v/>
      </c>
      <c r="B166" s="18">
        <f>IF(A166="","",DailyPond!B166)</f>
        <v/>
      </c>
      <c r="C166" s="25">
        <f>IF(A166="","",DailyPond!C166)</f>
        <v/>
      </c>
      <c r="D166" s="27">
        <f>IF(A166="","",DailyPond!D166)</f>
        <v/>
      </c>
      <c r="E166" s="27">
        <f>IF(A166="","",DailyPond!E166)</f>
        <v/>
      </c>
      <c r="F166" s="19">
        <f>IF(A166="","",MONTH(A166))</f>
        <v/>
      </c>
      <c r="G166" s="18">
        <f>IF(A166="","",VLOOKUP(F166,Evaporation!$A$6:$B$17,2,FALSE))</f>
        <v/>
      </c>
      <c r="H166" s="19">
        <f>IF(A166="","",IF(C166="","",IF(C166&lt;=INDEX(StageAreaVolume!$A$6:$A$17,1),INDEX(StageAreaVolume!$B$6:$B$17,1),IF(C166&gt;=INDEX(StageAreaVolume!$A$6:$A$17,COUNTA(StageAreaVolume!$A$6:$A$17)),INDEX(StageAreaVolume!$B$6:$B$17,COUNTA(StageAreaVolume!$A$6:$A$17)),(INDEX(StageAreaVolume!$B$6:$B$17,MATCH(C166,StageAreaVolume!$A$6:$A$17,1))+(C166-INDEX(StageAreaVolume!$A$6:$A$17,MATCH(C166,StageAreaVolume!$A$6:$A$17,1)))/(INDEX(StageAreaVolume!$A$6:$A$17,MATCH(C166,StageAreaVolume!$A$6:$A$17,1)+1)-INDEX(StageAreaVolume!$A$6:$A$17,MATCH(C166,StageAreaVolume!$A$6:$A$17,1)))*(INDEX(StageAreaVolume!$B$6:$B$17,MATCH(C166,StageAreaVolume!$A$6:$A$17,1)+1)-INDEX(StageAreaVolume!$B$6:$B$17,MATCH(C166,StageAreaVolume!$A$6:$A$17,1)))))))))</f>
        <v/>
      </c>
      <c r="I166" s="18">
        <f>IF(A166="","",IF(C166="","",IF(C166&lt;=INDEX(StageAreaVolume!$A$6:$A$17,1),INDEX(StageAreaVolume!$D$6:$D$17,1),IF(C166&gt;=INDEX(StageAreaVolume!$A$6:$A$17,COUNTA(StageAreaVolume!$A$6:$A$17)),INDEX(StageAreaVolume!$D$6:$D$17,COUNTA(StageAreaVolume!$A$6:$A$17)),(INDEX(StageAreaVolume!$D$6:$D$17,MATCH(C166,StageAreaVolume!$A$6:$A$17,1))+(C166-INDEX(StageAreaVolume!$A$6:$A$17,MATCH(C166,StageAreaVolume!$A$6:$A$17,1)))/(INDEX(StageAreaVolume!$A$6:$A$17,MATCH(C166,StageAreaVolume!$A$6:$A$17,1)+1)-INDEX(StageAreaVolume!$A$6:$A$17,MATCH(C166,StageAreaVolume!$A$6:$A$17,1)))*(INDEX(StageAreaVolume!$D$6:$D$17,MATCH(C166,StageAreaVolume!$A$6:$A$17,1)+1)-INDEX(StageAreaVolume!$D$6:$D$17,MATCH(C166,StageAreaVolume!$A$6:$A$17,1)))))))))</f>
        <v/>
      </c>
      <c r="J166" s="25">
        <f>IF(A166="","",IF(A165="",NA(),C165))</f>
        <v/>
      </c>
      <c r="K166" s="19">
        <f>IF(OR(A166="",ISNA(J166)),IF(A166="","",H166),(H165+H166)/2)</f>
        <v/>
      </c>
      <c r="L166" s="19">
        <f>IF(OR(A166="",ISNA(J166)),0,IF(AND(B166=0,D166="N",E166="N",C166&lt;J166,C166&gt;0),1,0))</f>
        <v/>
      </c>
      <c r="M166" s="25">
        <f>IF(L166&lt;&gt;1,"",IF(K166&lt;=0,"",(I165-I166-G166/1000*K166)/K166*1000))</f>
        <v/>
      </c>
      <c r="N166" s="18">
        <f>IF(A166="","",IF(L166=1,I165-I166-O166,IF(OR(C166&gt;0,N(J166)&gt;0),MeanMDWIR/1000*K166,0)))</f>
        <v/>
      </c>
      <c r="O166" s="18">
        <f>IF(A166="","",G166/1000*K166)</f>
        <v/>
      </c>
      <c r="P166" s="27">
        <f>IF(A166="","",IF(L166=1,"dry",IF(D166="Y","spill",IF(B166&gt;0,"wet",IF(E166="Y","pumped","other")))))</f>
        <v/>
      </c>
    </row>
    <row r="167">
      <c r="A167" s="26">
        <f>IF(DailyPond!A167="","",DailyPond!A167)</f>
        <v/>
      </c>
      <c r="B167" s="18">
        <f>IF(A167="","",DailyPond!B167)</f>
        <v/>
      </c>
      <c r="C167" s="25">
        <f>IF(A167="","",DailyPond!C167)</f>
        <v/>
      </c>
      <c r="D167" s="27">
        <f>IF(A167="","",DailyPond!D167)</f>
        <v/>
      </c>
      <c r="E167" s="27">
        <f>IF(A167="","",DailyPond!E167)</f>
        <v/>
      </c>
      <c r="F167" s="19">
        <f>IF(A167="","",MONTH(A167))</f>
        <v/>
      </c>
      <c r="G167" s="18">
        <f>IF(A167="","",VLOOKUP(F167,Evaporation!$A$6:$B$17,2,FALSE))</f>
        <v/>
      </c>
      <c r="H167" s="19">
        <f>IF(A167="","",IF(C167="","",IF(C167&lt;=INDEX(StageAreaVolume!$A$6:$A$17,1),INDEX(StageAreaVolume!$B$6:$B$17,1),IF(C167&gt;=INDEX(StageAreaVolume!$A$6:$A$17,COUNTA(StageAreaVolume!$A$6:$A$17)),INDEX(StageAreaVolume!$B$6:$B$17,COUNTA(StageAreaVolume!$A$6:$A$17)),(INDEX(StageAreaVolume!$B$6:$B$17,MATCH(C167,StageAreaVolume!$A$6:$A$17,1))+(C167-INDEX(StageAreaVolume!$A$6:$A$17,MATCH(C167,StageAreaVolume!$A$6:$A$17,1)))/(INDEX(StageAreaVolume!$A$6:$A$17,MATCH(C167,StageAreaVolume!$A$6:$A$17,1)+1)-INDEX(StageAreaVolume!$A$6:$A$17,MATCH(C167,StageAreaVolume!$A$6:$A$17,1)))*(INDEX(StageAreaVolume!$B$6:$B$17,MATCH(C167,StageAreaVolume!$A$6:$A$17,1)+1)-INDEX(StageAreaVolume!$B$6:$B$17,MATCH(C167,StageAreaVolume!$A$6:$A$17,1)))))))))</f>
        <v/>
      </c>
      <c r="I167" s="18">
        <f>IF(A167="","",IF(C167="","",IF(C167&lt;=INDEX(StageAreaVolume!$A$6:$A$17,1),INDEX(StageAreaVolume!$D$6:$D$17,1),IF(C167&gt;=INDEX(StageAreaVolume!$A$6:$A$17,COUNTA(StageAreaVolume!$A$6:$A$17)),INDEX(StageAreaVolume!$D$6:$D$17,COUNTA(StageAreaVolume!$A$6:$A$17)),(INDEX(StageAreaVolume!$D$6:$D$17,MATCH(C167,StageAreaVolume!$A$6:$A$17,1))+(C167-INDEX(StageAreaVolume!$A$6:$A$17,MATCH(C167,StageAreaVolume!$A$6:$A$17,1)))/(INDEX(StageAreaVolume!$A$6:$A$17,MATCH(C167,StageAreaVolume!$A$6:$A$17,1)+1)-INDEX(StageAreaVolume!$A$6:$A$17,MATCH(C167,StageAreaVolume!$A$6:$A$17,1)))*(INDEX(StageAreaVolume!$D$6:$D$17,MATCH(C167,StageAreaVolume!$A$6:$A$17,1)+1)-INDEX(StageAreaVolume!$D$6:$D$17,MATCH(C167,StageAreaVolume!$A$6:$A$17,1)))))))))</f>
        <v/>
      </c>
      <c r="J167" s="25">
        <f>IF(A167="","",IF(A166="",NA(),C166))</f>
        <v/>
      </c>
      <c r="K167" s="19">
        <f>IF(OR(A167="",ISNA(J167)),IF(A167="","",H167),(H166+H167)/2)</f>
        <v/>
      </c>
      <c r="L167" s="19">
        <f>IF(OR(A167="",ISNA(J167)),0,IF(AND(B167=0,D167="N",E167="N",C167&lt;J167,C167&gt;0),1,0))</f>
        <v/>
      </c>
      <c r="M167" s="25">
        <f>IF(L167&lt;&gt;1,"",IF(K167&lt;=0,"",(I166-I167-G167/1000*K167)/K167*1000))</f>
        <v/>
      </c>
      <c r="N167" s="18">
        <f>IF(A167="","",IF(L167=1,I166-I167-O167,IF(OR(C167&gt;0,N(J167)&gt;0),MeanMDWIR/1000*K167,0)))</f>
        <v/>
      </c>
      <c r="O167" s="18">
        <f>IF(A167="","",G167/1000*K167)</f>
        <v/>
      </c>
      <c r="P167" s="27">
        <f>IF(A167="","",IF(L167=1,"dry",IF(D167="Y","spill",IF(B167&gt;0,"wet",IF(E167="Y","pumped","other")))))</f>
        <v/>
      </c>
    </row>
    <row r="168">
      <c r="A168" s="26">
        <f>IF(DailyPond!A168="","",DailyPond!A168)</f>
        <v/>
      </c>
      <c r="B168" s="18">
        <f>IF(A168="","",DailyPond!B168)</f>
        <v/>
      </c>
      <c r="C168" s="25">
        <f>IF(A168="","",DailyPond!C168)</f>
        <v/>
      </c>
      <c r="D168" s="27">
        <f>IF(A168="","",DailyPond!D168)</f>
        <v/>
      </c>
      <c r="E168" s="27">
        <f>IF(A168="","",DailyPond!E168)</f>
        <v/>
      </c>
      <c r="F168" s="19">
        <f>IF(A168="","",MONTH(A168))</f>
        <v/>
      </c>
      <c r="G168" s="18">
        <f>IF(A168="","",VLOOKUP(F168,Evaporation!$A$6:$B$17,2,FALSE))</f>
        <v/>
      </c>
      <c r="H168" s="19">
        <f>IF(A168="","",IF(C168="","",IF(C168&lt;=INDEX(StageAreaVolume!$A$6:$A$17,1),INDEX(StageAreaVolume!$B$6:$B$17,1),IF(C168&gt;=INDEX(StageAreaVolume!$A$6:$A$17,COUNTA(StageAreaVolume!$A$6:$A$17)),INDEX(StageAreaVolume!$B$6:$B$17,COUNTA(StageAreaVolume!$A$6:$A$17)),(INDEX(StageAreaVolume!$B$6:$B$17,MATCH(C168,StageAreaVolume!$A$6:$A$17,1))+(C168-INDEX(StageAreaVolume!$A$6:$A$17,MATCH(C168,StageAreaVolume!$A$6:$A$17,1)))/(INDEX(StageAreaVolume!$A$6:$A$17,MATCH(C168,StageAreaVolume!$A$6:$A$17,1)+1)-INDEX(StageAreaVolume!$A$6:$A$17,MATCH(C168,StageAreaVolume!$A$6:$A$17,1)))*(INDEX(StageAreaVolume!$B$6:$B$17,MATCH(C168,StageAreaVolume!$A$6:$A$17,1)+1)-INDEX(StageAreaVolume!$B$6:$B$17,MATCH(C168,StageAreaVolume!$A$6:$A$17,1)))))))))</f>
        <v/>
      </c>
      <c r="I168" s="18">
        <f>IF(A168="","",IF(C168="","",IF(C168&lt;=INDEX(StageAreaVolume!$A$6:$A$17,1),INDEX(StageAreaVolume!$D$6:$D$17,1),IF(C168&gt;=INDEX(StageAreaVolume!$A$6:$A$17,COUNTA(StageAreaVolume!$A$6:$A$17)),INDEX(StageAreaVolume!$D$6:$D$17,COUNTA(StageAreaVolume!$A$6:$A$17)),(INDEX(StageAreaVolume!$D$6:$D$17,MATCH(C168,StageAreaVolume!$A$6:$A$17,1))+(C168-INDEX(StageAreaVolume!$A$6:$A$17,MATCH(C168,StageAreaVolume!$A$6:$A$17,1)))/(INDEX(StageAreaVolume!$A$6:$A$17,MATCH(C168,StageAreaVolume!$A$6:$A$17,1)+1)-INDEX(StageAreaVolume!$A$6:$A$17,MATCH(C168,StageAreaVolume!$A$6:$A$17,1)))*(INDEX(StageAreaVolume!$D$6:$D$17,MATCH(C168,StageAreaVolume!$A$6:$A$17,1)+1)-INDEX(StageAreaVolume!$D$6:$D$17,MATCH(C168,StageAreaVolume!$A$6:$A$17,1)))))))))</f>
        <v/>
      </c>
      <c r="J168" s="25">
        <f>IF(A168="","",IF(A167="",NA(),C167))</f>
        <v/>
      </c>
      <c r="K168" s="19">
        <f>IF(OR(A168="",ISNA(J168)),IF(A168="","",H168),(H167+H168)/2)</f>
        <v/>
      </c>
      <c r="L168" s="19">
        <f>IF(OR(A168="",ISNA(J168)),0,IF(AND(B168=0,D168="N",E168="N",C168&lt;J168,C168&gt;0),1,0))</f>
        <v/>
      </c>
      <c r="M168" s="25">
        <f>IF(L168&lt;&gt;1,"",IF(K168&lt;=0,"",(I167-I168-G168/1000*K168)/K168*1000))</f>
        <v/>
      </c>
      <c r="N168" s="18">
        <f>IF(A168="","",IF(L168=1,I167-I168-O168,IF(OR(C168&gt;0,N(J168)&gt;0),MeanMDWIR/1000*K168,0)))</f>
        <v/>
      </c>
      <c r="O168" s="18">
        <f>IF(A168="","",G168/1000*K168)</f>
        <v/>
      </c>
      <c r="P168" s="27">
        <f>IF(A168="","",IF(L168=1,"dry",IF(D168="Y","spill",IF(B168&gt;0,"wet",IF(E168="Y","pumped","other")))))</f>
        <v/>
      </c>
    </row>
    <row r="169">
      <c r="A169" s="26">
        <f>IF(DailyPond!A169="","",DailyPond!A169)</f>
        <v/>
      </c>
      <c r="B169" s="18">
        <f>IF(A169="","",DailyPond!B169)</f>
        <v/>
      </c>
      <c r="C169" s="25">
        <f>IF(A169="","",DailyPond!C169)</f>
        <v/>
      </c>
      <c r="D169" s="27">
        <f>IF(A169="","",DailyPond!D169)</f>
        <v/>
      </c>
      <c r="E169" s="27">
        <f>IF(A169="","",DailyPond!E169)</f>
        <v/>
      </c>
      <c r="F169" s="19">
        <f>IF(A169="","",MONTH(A169))</f>
        <v/>
      </c>
      <c r="G169" s="18">
        <f>IF(A169="","",VLOOKUP(F169,Evaporation!$A$6:$B$17,2,FALSE))</f>
        <v/>
      </c>
      <c r="H169" s="19">
        <f>IF(A169="","",IF(C169="","",IF(C169&lt;=INDEX(StageAreaVolume!$A$6:$A$17,1),INDEX(StageAreaVolume!$B$6:$B$17,1),IF(C169&gt;=INDEX(StageAreaVolume!$A$6:$A$17,COUNTA(StageAreaVolume!$A$6:$A$17)),INDEX(StageAreaVolume!$B$6:$B$17,COUNTA(StageAreaVolume!$A$6:$A$17)),(INDEX(StageAreaVolume!$B$6:$B$17,MATCH(C169,StageAreaVolume!$A$6:$A$17,1))+(C169-INDEX(StageAreaVolume!$A$6:$A$17,MATCH(C169,StageAreaVolume!$A$6:$A$17,1)))/(INDEX(StageAreaVolume!$A$6:$A$17,MATCH(C169,StageAreaVolume!$A$6:$A$17,1)+1)-INDEX(StageAreaVolume!$A$6:$A$17,MATCH(C169,StageAreaVolume!$A$6:$A$17,1)))*(INDEX(StageAreaVolume!$B$6:$B$17,MATCH(C169,StageAreaVolume!$A$6:$A$17,1)+1)-INDEX(StageAreaVolume!$B$6:$B$17,MATCH(C169,StageAreaVolume!$A$6:$A$17,1)))))))))</f>
        <v/>
      </c>
      <c r="I169" s="18">
        <f>IF(A169="","",IF(C169="","",IF(C169&lt;=INDEX(StageAreaVolume!$A$6:$A$17,1),INDEX(StageAreaVolume!$D$6:$D$17,1),IF(C169&gt;=INDEX(StageAreaVolume!$A$6:$A$17,COUNTA(StageAreaVolume!$A$6:$A$17)),INDEX(StageAreaVolume!$D$6:$D$17,COUNTA(StageAreaVolume!$A$6:$A$17)),(INDEX(StageAreaVolume!$D$6:$D$17,MATCH(C169,StageAreaVolume!$A$6:$A$17,1))+(C169-INDEX(StageAreaVolume!$A$6:$A$17,MATCH(C169,StageAreaVolume!$A$6:$A$17,1)))/(INDEX(StageAreaVolume!$A$6:$A$17,MATCH(C169,StageAreaVolume!$A$6:$A$17,1)+1)-INDEX(StageAreaVolume!$A$6:$A$17,MATCH(C169,StageAreaVolume!$A$6:$A$17,1)))*(INDEX(StageAreaVolume!$D$6:$D$17,MATCH(C169,StageAreaVolume!$A$6:$A$17,1)+1)-INDEX(StageAreaVolume!$D$6:$D$17,MATCH(C169,StageAreaVolume!$A$6:$A$17,1)))))))))</f>
        <v/>
      </c>
      <c r="J169" s="25">
        <f>IF(A169="","",IF(A168="",NA(),C168))</f>
        <v/>
      </c>
      <c r="K169" s="19">
        <f>IF(OR(A169="",ISNA(J169)),IF(A169="","",H169),(H168+H169)/2)</f>
        <v/>
      </c>
      <c r="L169" s="19">
        <f>IF(OR(A169="",ISNA(J169)),0,IF(AND(B169=0,D169="N",E169="N",C169&lt;J169,C169&gt;0),1,0))</f>
        <v/>
      </c>
      <c r="M169" s="25">
        <f>IF(L169&lt;&gt;1,"",IF(K169&lt;=0,"",(I168-I169-G169/1000*K169)/K169*1000))</f>
        <v/>
      </c>
      <c r="N169" s="18">
        <f>IF(A169="","",IF(L169=1,I168-I169-O169,IF(OR(C169&gt;0,N(J169)&gt;0),MeanMDWIR/1000*K169,0)))</f>
        <v/>
      </c>
      <c r="O169" s="18">
        <f>IF(A169="","",G169/1000*K169)</f>
        <v/>
      </c>
      <c r="P169" s="27">
        <f>IF(A169="","",IF(L169=1,"dry",IF(D169="Y","spill",IF(B169&gt;0,"wet",IF(E169="Y","pumped","other")))))</f>
        <v/>
      </c>
    </row>
    <row r="170">
      <c r="A170" s="26">
        <f>IF(DailyPond!A170="","",DailyPond!A170)</f>
        <v/>
      </c>
      <c r="B170" s="18">
        <f>IF(A170="","",DailyPond!B170)</f>
        <v/>
      </c>
      <c r="C170" s="25">
        <f>IF(A170="","",DailyPond!C170)</f>
        <v/>
      </c>
      <c r="D170" s="27">
        <f>IF(A170="","",DailyPond!D170)</f>
        <v/>
      </c>
      <c r="E170" s="27">
        <f>IF(A170="","",DailyPond!E170)</f>
        <v/>
      </c>
      <c r="F170" s="19">
        <f>IF(A170="","",MONTH(A170))</f>
        <v/>
      </c>
      <c r="G170" s="18">
        <f>IF(A170="","",VLOOKUP(F170,Evaporation!$A$6:$B$17,2,FALSE))</f>
        <v/>
      </c>
      <c r="H170" s="19">
        <f>IF(A170="","",IF(C170="","",IF(C170&lt;=INDEX(StageAreaVolume!$A$6:$A$17,1),INDEX(StageAreaVolume!$B$6:$B$17,1),IF(C170&gt;=INDEX(StageAreaVolume!$A$6:$A$17,COUNTA(StageAreaVolume!$A$6:$A$17)),INDEX(StageAreaVolume!$B$6:$B$17,COUNTA(StageAreaVolume!$A$6:$A$17)),(INDEX(StageAreaVolume!$B$6:$B$17,MATCH(C170,StageAreaVolume!$A$6:$A$17,1))+(C170-INDEX(StageAreaVolume!$A$6:$A$17,MATCH(C170,StageAreaVolume!$A$6:$A$17,1)))/(INDEX(StageAreaVolume!$A$6:$A$17,MATCH(C170,StageAreaVolume!$A$6:$A$17,1)+1)-INDEX(StageAreaVolume!$A$6:$A$17,MATCH(C170,StageAreaVolume!$A$6:$A$17,1)))*(INDEX(StageAreaVolume!$B$6:$B$17,MATCH(C170,StageAreaVolume!$A$6:$A$17,1)+1)-INDEX(StageAreaVolume!$B$6:$B$17,MATCH(C170,StageAreaVolume!$A$6:$A$17,1)))))))))</f>
        <v/>
      </c>
      <c r="I170" s="18">
        <f>IF(A170="","",IF(C170="","",IF(C170&lt;=INDEX(StageAreaVolume!$A$6:$A$17,1),INDEX(StageAreaVolume!$D$6:$D$17,1),IF(C170&gt;=INDEX(StageAreaVolume!$A$6:$A$17,COUNTA(StageAreaVolume!$A$6:$A$17)),INDEX(StageAreaVolume!$D$6:$D$17,COUNTA(StageAreaVolume!$A$6:$A$17)),(INDEX(StageAreaVolume!$D$6:$D$17,MATCH(C170,StageAreaVolume!$A$6:$A$17,1))+(C170-INDEX(StageAreaVolume!$A$6:$A$17,MATCH(C170,StageAreaVolume!$A$6:$A$17,1)))/(INDEX(StageAreaVolume!$A$6:$A$17,MATCH(C170,StageAreaVolume!$A$6:$A$17,1)+1)-INDEX(StageAreaVolume!$A$6:$A$17,MATCH(C170,StageAreaVolume!$A$6:$A$17,1)))*(INDEX(StageAreaVolume!$D$6:$D$17,MATCH(C170,StageAreaVolume!$A$6:$A$17,1)+1)-INDEX(StageAreaVolume!$D$6:$D$17,MATCH(C170,StageAreaVolume!$A$6:$A$17,1)))))))))</f>
        <v/>
      </c>
      <c r="J170" s="25">
        <f>IF(A170="","",IF(A169="",NA(),C169))</f>
        <v/>
      </c>
      <c r="K170" s="19">
        <f>IF(OR(A170="",ISNA(J170)),IF(A170="","",H170),(H169+H170)/2)</f>
        <v/>
      </c>
      <c r="L170" s="19">
        <f>IF(OR(A170="",ISNA(J170)),0,IF(AND(B170=0,D170="N",E170="N",C170&lt;J170,C170&gt;0),1,0))</f>
        <v/>
      </c>
      <c r="M170" s="25">
        <f>IF(L170&lt;&gt;1,"",IF(K170&lt;=0,"",(I169-I170-G170/1000*K170)/K170*1000))</f>
        <v/>
      </c>
      <c r="N170" s="18">
        <f>IF(A170="","",IF(L170=1,I169-I170-O170,IF(OR(C170&gt;0,N(J170)&gt;0),MeanMDWIR/1000*K170,0)))</f>
        <v/>
      </c>
      <c r="O170" s="18">
        <f>IF(A170="","",G170/1000*K170)</f>
        <v/>
      </c>
      <c r="P170" s="27">
        <f>IF(A170="","",IF(L170=1,"dry",IF(D170="Y","spill",IF(B170&gt;0,"wet",IF(E170="Y","pumped","other")))))</f>
        <v/>
      </c>
    </row>
    <row r="171">
      <c r="A171" s="26">
        <f>IF(DailyPond!A171="","",DailyPond!A171)</f>
        <v/>
      </c>
      <c r="B171" s="18">
        <f>IF(A171="","",DailyPond!B171)</f>
        <v/>
      </c>
      <c r="C171" s="25">
        <f>IF(A171="","",DailyPond!C171)</f>
        <v/>
      </c>
      <c r="D171" s="27">
        <f>IF(A171="","",DailyPond!D171)</f>
        <v/>
      </c>
      <c r="E171" s="27">
        <f>IF(A171="","",DailyPond!E171)</f>
        <v/>
      </c>
      <c r="F171" s="19">
        <f>IF(A171="","",MONTH(A171))</f>
        <v/>
      </c>
      <c r="G171" s="18">
        <f>IF(A171="","",VLOOKUP(F171,Evaporation!$A$6:$B$17,2,FALSE))</f>
        <v/>
      </c>
      <c r="H171" s="19">
        <f>IF(A171="","",IF(C171="","",IF(C171&lt;=INDEX(StageAreaVolume!$A$6:$A$17,1),INDEX(StageAreaVolume!$B$6:$B$17,1),IF(C171&gt;=INDEX(StageAreaVolume!$A$6:$A$17,COUNTA(StageAreaVolume!$A$6:$A$17)),INDEX(StageAreaVolume!$B$6:$B$17,COUNTA(StageAreaVolume!$A$6:$A$17)),(INDEX(StageAreaVolume!$B$6:$B$17,MATCH(C171,StageAreaVolume!$A$6:$A$17,1))+(C171-INDEX(StageAreaVolume!$A$6:$A$17,MATCH(C171,StageAreaVolume!$A$6:$A$17,1)))/(INDEX(StageAreaVolume!$A$6:$A$17,MATCH(C171,StageAreaVolume!$A$6:$A$17,1)+1)-INDEX(StageAreaVolume!$A$6:$A$17,MATCH(C171,StageAreaVolume!$A$6:$A$17,1)))*(INDEX(StageAreaVolume!$B$6:$B$17,MATCH(C171,StageAreaVolume!$A$6:$A$17,1)+1)-INDEX(StageAreaVolume!$B$6:$B$17,MATCH(C171,StageAreaVolume!$A$6:$A$17,1)))))))))</f>
        <v/>
      </c>
      <c r="I171" s="18">
        <f>IF(A171="","",IF(C171="","",IF(C171&lt;=INDEX(StageAreaVolume!$A$6:$A$17,1),INDEX(StageAreaVolume!$D$6:$D$17,1),IF(C171&gt;=INDEX(StageAreaVolume!$A$6:$A$17,COUNTA(StageAreaVolume!$A$6:$A$17)),INDEX(StageAreaVolume!$D$6:$D$17,COUNTA(StageAreaVolume!$A$6:$A$17)),(INDEX(StageAreaVolume!$D$6:$D$17,MATCH(C171,StageAreaVolume!$A$6:$A$17,1))+(C171-INDEX(StageAreaVolume!$A$6:$A$17,MATCH(C171,StageAreaVolume!$A$6:$A$17,1)))/(INDEX(StageAreaVolume!$A$6:$A$17,MATCH(C171,StageAreaVolume!$A$6:$A$17,1)+1)-INDEX(StageAreaVolume!$A$6:$A$17,MATCH(C171,StageAreaVolume!$A$6:$A$17,1)))*(INDEX(StageAreaVolume!$D$6:$D$17,MATCH(C171,StageAreaVolume!$A$6:$A$17,1)+1)-INDEX(StageAreaVolume!$D$6:$D$17,MATCH(C171,StageAreaVolume!$A$6:$A$17,1)))))))))</f>
        <v/>
      </c>
      <c r="J171" s="25">
        <f>IF(A171="","",IF(A170="",NA(),C170))</f>
        <v/>
      </c>
      <c r="K171" s="19">
        <f>IF(OR(A171="",ISNA(J171)),IF(A171="","",H171),(H170+H171)/2)</f>
        <v/>
      </c>
      <c r="L171" s="19">
        <f>IF(OR(A171="",ISNA(J171)),0,IF(AND(B171=0,D171="N",E171="N",C171&lt;J171,C171&gt;0),1,0))</f>
        <v/>
      </c>
      <c r="M171" s="25">
        <f>IF(L171&lt;&gt;1,"",IF(K171&lt;=0,"",(I170-I171-G171/1000*K171)/K171*1000))</f>
        <v/>
      </c>
      <c r="N171" s="18">
        <f>IF(A171="","",IF(L171=1,I170-I171-O171,IF(OR(C171&gt;0,N(J171)&gt;0),MeanMDWIR/1000*K171,0)))</f>
        <v/>
      </c>
      <c r="O171" s="18">
        <f>IF(A171="","",G171/1000*K171)</f>
        <v/>
      </c>
      <c r="P171" s="27">
        <f>IF(A171="","",IF(L171=1,"dry",IF(D171="Y","spill",IF(B171&gt;0,"wet",IF(E171="Y","pumped","other")))))</f>
        <v/>
      </c>
    </row>
    <row r="172">
      <c r="A172" s="26">
        <f>IF(DailyPond!A172="","",DailyPond!A172)</f>
        <v/>
      </c>
      <c r="B172" s="18">
        <f>IF(A172="","",DailyPond!B172)</f>
        <v/>
      </c>
      <c r="C172" s="25">
        <f>IF(A172="","",DailyPond!C172)</f>
        <v/>
      </c>
      <c r="D172" s="27">
        <f>IF(A172="","",DailyPond!D172)</f>
        <v/>
      </c>
      <c r="E172" s="27">
        <f>IF(A172="","",DailyPond!E172)</f>
        <v/>
      </c>
      <c r="F172" s="19">
        <f>IF(A172="","",MONTH(A172))</f>
        <v/>
      </c>
      <c r="G172" s="18">
        <f>IF(A172="","",VLOOKUP(F172,Evaporation!$A$6:$B$17,2,FALSE))</f>
        <v/>
      </c>
      <c r="H172" s="19">
        <f>IF(A172="","",IF(C172="","",IF(C172&lt;=INDEX(StageAreaVolume!$A$6:$A$17,1),INDEX(StageAreaVolume!$B$6:$B$17,1),IF(C172&gt;=INDEX(StageAreaVolume!$A$6:$A$17,COUNTA(StageAreaVolume!$A$6:$A$17)),INDEX(StageAreaVolume!$B$6:$B$17,COUNTA(StageAreaVolume!$A$6:$A$17)),(INDEX(StageAreaVolume!$B$6:$B$17,MATCH(C172,StageAreaVolume!$A$6:$A$17,1))+(C172-INDEX(StageAreaVolume!$A$6:$A$17,MATCH(C172,StageAreaVolume!$A$6:$A$17,1)))/(INDEX(StageAreaVolume!$A$6:$A$17,MATCH(C172,StageAreaVolume!$A$6:$A$17,1)+1)-INDEX(StageAreaVolume!$A$6:$A$17,MATCH(C172,StageAreaVolume!$A$6:$A$17,1)))*(INDEX(StageAreaVolume!$B$6:$B$17,MATCH(C172,StageAreaVolume!$A$6:$A$17,1)+1)-INDEX(StageAreaVolume!$B$6:$B$17,MATCH(C172,StageAreaVolume!$A$6:$A$17,1)))))))))</f>
        <v/>
      </c>
      <c r="I172" s="18">
        <f>IF(A172="","",IF(C172="","",IF(C172&lt;=INDEX(StageAreaVolume!$A$6:$A$17,1),INDEX(StageAreaVolume!$D$6:$D$17,1),IF(C172&gt;=INDEX(StageAreaVolume!$A$6:$A$17,COUNTA(StageAreaVolume!$A$6:$A$17)),INDEX(StageAreaVolume!$D$6:$D$17,COUNTA(StageAreaVolume!$A$6:$A$17)),(INDEX(StageAreaVolume!$D$6:$D$17,MATCH(C172,StageAreaVolume!$A$6:$A$17,1))+(C172-INDEX(StageAreaVolume!$A$6:$A$17,MATCH(C172,StageAreaVolume!$A$6:$A$17,1)))/(INDEX(StageAreaVolume!$A$6:$A$17,MATCH(C172,StageAreaVolume!$A$6:$A$17,1)+1)-INDEX(StageAreaVolume!$A$6:$A$17,MATCH(C172,StageAreaVolume!$A$6:$A$17,1)))*(INDEX(StageAreaVolume!$D$6:$D$17,MATCH(C172,StageAreaVolume!$A$6:$A$17,1)+1)-INDEX(StageAreaVolume!$D$6:$D$17,MATCH(C172,StageAreaVolume!$A$6:$A$17,1)))))))))</f>
        <v/>
      </c>
      <c r="J172" s="25">
        <f>IF(A172="","",IF(A171="",NA(),C171))</f>
        <v/>
      </c>
      <c r="K172" s="19">
        <f>IF(OR(A172="",ISNA(J172)),IF(A172="","",H172),(H171+H172)/2)</f>
        <v/>
      </c>
      <c r="L172" s="19">
        <f>IF(OR(A172="",ISNA(J172)),0,IF(AND(B172=0,D172="N",E172="N",C172&lt;J172,C172&gt;0),1,0))</f>
        <v/>
      </c>
      <c r="M172" s="25">
        <f>IF(L172&lt;&gt;1,"",IF(K172&lt;=0,"",(I171-I172-G172/1000*K172)/K172*1000))</f>
        <v/>
      </c>
      <c r="N172" s="18">
        <f>IF(A172="","",IF(L172=1,I171-I172-O172,IF(OR(C172&gt;0,N(J172)&gt;0),MeanMDWIR/1000*K172,0)))</f>
        <v/>
      </c>
      <c r="O172" s="18">
        <f>IF(A172="","",G172/1000*K172)</f>
        <v/>
      </c>
      <c r="P172" s="27">
        <f>IF(A172="","",IF(L172=1,"dry",IF(D172="Y","spill",IF(B172&gt;0,"wet",IF(E172="Y","pumped","other")))))</f>
        <v/>
      </c>
    </row>
    <row r="173">
      <c r="A173" s="26">
        <f>IF(DailyPond!A173="","",DailyPond!A173)</f>
        <v/>
      </c>
      <c r="B173" s="18">
        <f>IF(A173="","",DailyPond!B173)</f>
        <v/>
      </c>
      <c r="C173" s="25">
        <f>IF(A173="","",DailyPond!C173)</f>
        <v/>
      </c>
      <c r="D173" s="27">
        <f>IF(A173="","",DailyPond!D173)</f>
        <v/>
      </c>
      <c r="E173" s="27">
        <f>IF(A173="","",DailyPond!E173)</f>
        <v/>
      </c>
      <c r="F173" s="19">
        <f>IF(A173="","",MONTH(A173))</f>
        <v/>
      </c>
      <c r="G173" s="18">
        <f>IF(A173="","",VLOOKUP(F173,Evaporation!$A$6:$B$17,2,FALSE))</f>
        <v/>
      </c>
      <c r="H173" s="19">
        <f>IF(A173="","",IF(C173="","",IF(C173&lt;=INDEX(StageAreaVolume!$A$6:$A$17,1),INDEX(StageAreaVolume!$B$6:$B$17,1),IF(C173&gt;=INDEX(StageAreaVolume!$A$6:$A$17,COUNTA(StageAreaVolume!$A$6:$A$17)),INDEX(StageAreaVolume!$B$6:$B$17,COUNTA(StageAreaVolume!$A$6:$A$17)),(INDEX(StageAreaVolume!$B$6:$B$17,MATCH(C173,StageAreaVolume!$A$6:$A$17,1))+(C173-INDEX(StageAreaVolume!$A$6:$A$17,MATCH(C173,StageAreaVolume!$A$6:$A$17,1)))/(INDEX(StageAreaVolume!$A$6:$A$17,MATCH(C173,StageAreaVolume!$A$6:$A$17,1)+1)-INDEX(StageAreaVolume!$A$6:$A$17,MATCH(C173,StageAreaVolume!$A$6:$A$17,1)))*(INDEX(StageAreaVolume!$B$6:$B$17,MATCH(C173,StageAreaVolume!$A$6:$A$17,1)+1)-INDEX(StageAreaVolume!$B$6:$B$17,MATCH(C173,StageAreaVolume!$A$6:$A$17,1)))))))))</f>
        <v/>
      </c>
      <c r="I173" s="18">
        <f>IF(A173="","",IF(C173="","",IF(C173&lt;=INDEX(StageAreaVolume!$A$6:$A$17,1),INDEX(StageAreaVolume!$D$6:$D$17,1),IF(C173&gt;=INDEX(StageAreaVolume!$A$6:$A$17,COUNTA(StageAreaVolume!$A$6:$A$17)),INDEX(StageAreaVolume!$D$6:$D$17,COUNTA(StageAreaVolume!$A$6:$A$17)),(INDEX(StageAreaVolume!$D$6:$D$17,MATCH(C173,StageAreaVolume!$A$6:$A$17,1))+(C173-INDEX(StageAreaVolume!$A$6:$A$17,MATCH(C173,StageAreaVolume!$A$6:$A$17,1)))/(INDEX(StageAreaVolume!$A$6:$A$17,MATCH(C173,StageAreaVolume!$A$6:$A$17,1)+1)-INDEX(StageAreaVolume!$A$6:$A$17,MATCH(C173,StageAreaVolume!$A$6:$A$17,1)))*(INDEX(StageAreaVolume!$D$6:$D$17,MATCH(C173,StageAreaVolume!$A$6:$A$17,1)+1)-INDEX(StageAreaVolume!$D$6:$D$17,MATCH(C173,StageAreaVolume!$A$6:$A$17,1)))))))))</f>
        <v/>
      </c>
      <c r="J173" s="25">
        <f>IF(A173="","",IF(A172="",NA(),C172))</f>
        <v/>
      </c>
      <c r="K173" s="19">
        <f>IF(OR(A173="",ISNA(J173)),IF(A173="","",H173),(H172+H173)/2)</f>
        <v/>
      </c>
      <c r="L173" s="19">
        <f>IF(OR(A173="",ISNA(J173)),0,IF(AND(B173=0,D173="N",E173="N",C173&lt;J173,C173&gt;0),1,0))</f>
        <v/>
      </c>
      <c r="M173" s="25">
        <f>IF(L173&lt;&gt;1,"",IF(K173&lt;=0,"",(I172-I173-G173/1000*K173)/K173*1000))</f>
        <v/>
      </c>
      <c r="N173" s="18">
        <f>IF(A173="","",IF(L173=1,I172-I173-O173,IF(OR(C173&gt;0,N(J173)&gt;0),MeanMDWIR/1000*K173,0)))</f>
        <v/>
      </c>
      <c r="O173" s="18">
        <f>IF(A173="","",G173/1000*K173)</f>
        <v/>
      </c>
      <c r="P173" s="27">
        <f>IF(A173="","",IF(L173=1,"dry",IF(D173="Y","spill",IF(B173&gt;0,"wet",IF(E173="Y","pumped","other")))))</f>
        <v/>
      </c>
    </row>
    <row r="174">
      <c r="A174" s="26">
        <f>IF(DailyPond!A174="","",DailyPond!A174)</f>
        <v/>
      </c>
      <c r="B174" s="18">
        <f>IF(A174="","",DailyPond!B174)</f>
        <v/>
      </c>
      <c r="C174" s="25">
        <f>IF(A174="","",DailyPond!C174)</f>
        <v/>
      </c>
      <c r="D174" s="27">
        <f>IF(A174="","",DailyPond!D174)</f>
        <v/>
      </c>
      <c r="E174" s="27">
        <f>IF(A174="","",DailyPond!E174)</f>
        <v/>
      </c>
      <c r="F174" s="19">
        <f>IF(A174="","",MONTH(A174))</f>
        <v/>
      </c>
      <c r="G174" s="18">
        <f>IF(A174="","",VLOOKUP(F174,Evaporation!$A$6:$B$17,2,FALSE))</f>
        <v/>
      </c>
      <c r="H174" s="19">
        <f>IF(A174="","",IF(C174="","",IF(C174&lt;=INDEX(StageAreaVolume!$A$6:$A$17,1),INDEX(StageAreaVolume!$B$6:$B$17,1),IF(C174&gt;=INDEX(StageAreaVolume!$A$6:$A$17,COUNTA(StageAreaVolume!$A$6:$A$17)),INDEX(StageAreaVolume!$B$6:$B$17,COUNTA(StageAreaVolume!$A$6:$A$17)),(INDEX(StageAreaVolume!$B$6:$B$17,MATCH(C174,StageAreaVolume!$A$6:$A$17,1))+(C174-INDEX(StageAreaVolume!$A$6:$A$17,MATCH(C174,StageAreaVolume!$A$6:$A$17,1)))/(INDEX(StageAreaVolume!$A$6:$A$17,MATCH(C174,StageAreaVolume!$A$6:$A$17,1)+1)-INDEX(StageAreaVolume!$A$6:$A$17,MATCH(C174,StageAreaVolume!$A$6:$A$17,1)))*(INDEX(StageAreaVolume!$B$6:$B$17,MATCH(C174,StageAreaVolume!$A$6:$A$17,1)+1)-INDEX(StageAreaVolume!$B$6:$B$17,MATCH(C174,StageAreaVolume!$A$6:$A$17,1)))))))))</f>
        <v/>
      </c>
      <c r="I174" s="18">
        <f>IF(A174="","",IF(C174="","",IF(C174&lt;=INDEX(StageAreaVolume!$A$6:$A$17,1),INDEX(StageAreaVolume!$D$6:$D$17,1),IF(C174&gt;=INDEX(StageAreaVolume!$A$6:$A$17,COUNTA(StageAreaVolume!$A$6:$A$17)),INDEX(StageAreaVolume!$D$6:$D$17,COUNTA(StageAreaVolume!$A$6:$A$17)),(INDEX(StageAreaVolume!$D$6:$D$17,MATCH(C174,StageAreaVolume!$A$6:$A$17,1))+(C174-INDEX(StageAreaVolume!$A$6:$A$17,MATCH(C174,StageAreaVolume!$A$6:$A$17,1)))/(INDEX(StageAreaVolume!$A$6:$A$17,MATCH(C174,StageAreaVolume!$A$6:$A$17,1)+1)-INDEX(StageAreaVolume!$A$6:$A$17,MATCH(C174,StageAreaVolume!$A$6:$A$17,1)))*(INDEX(StageAreaVolume!$D$6:$D$17,MATCH(C174,StageAreaVolume!$A$6:$A$17,1)+1)-INDEX(StageAreaVolume!$D$6:$D$17,MATCH(C174,StageAreaVolume!$A$6:$A$17,1)))))))))</f>
        <v/>
      </c>
      <c r="J174" s="25">
        <f>IF(A174="","",IF(A173="",NA(),C173))</f>
        <v/>
      </c>
      <c r="K174" s="19">
        <f>IF(OR(A174="",ISNA(J174)),IF(A174="","",H174),(H173+H174)/2)</f>
        <v/>
      </c>
      <c r="L174" s="19">
        <f>IF(OR(A174="",ISNA(J174)),0,IF(AND(B174=0,D174="N",E174="N",C174&lt;J174,C174&gt;0),1,0))</f>
        <v/>
      </c>
      <c r="M174" s="25">
        <f>IF(L174&lt;&gt;1,"",IF(K174&lt;=0,"",(I173-I174-G174/1000*K174)/K174*1000))</f>
        <v/>
      </c>
      <c r="N174" s="18">
        <f>IF(A174="","",IF(L174=1,I173-I174-O174,IF(OR(C174&gt;0,N(J174)&gt;0),MeanMDWIR/1000*K174,0)))</f>
        <v/>
      </c>
      <c r="O174" s="18">
        <f>IF(A174="","",G174/1000*K174)</f>
        <v/>
      </c>
      <c r="P174" s="27">
        <f>IF(A174="","",IF(L174=1,"dry",IF(D174="Y","spill",IF(B174&gt;0,"wet",IF(E174="Y","pumped","other")))))</f>
        <v/>
      </c>
    </row>
    <row r="175">
      <c r="A175" s="26">
        <f>IF(DailyPond!A175="","",DailyPond!A175)</f>
        <v/>
      </c>
      <c r="B175" s="18">
        <f>IF(A175="","",DailyPond!B175)</f>
        <v/>
      </c>
      <c r="C175" s="25">
        <f>IF(A175="","",DailyPond!C175)</f>
        <v/>
      </c>
      <c r="D175" s="27">
        <f>IF(A175="","",DailyPond!D175)</f>
        <v/>
      </c>
      <c r="E175" s="27">
        <f>IF(A175="","",DailyPond!E175)</f>
        <v/>
      </c>
      <c r="F175" s="19">
        <f>IF(A175="","",MONTH(A175))</f>
        <v/>
      </c>
      <c r="G175" s="18">
        <f>IF(A175="","",VLOOKUP(F175,Evaporation!$A$6:$B$17,2,FALSE))</f>
        <v/>
      </c>
      <c r="H175" s="19">
        <f>IF(A175="","",IF(C175="","",IF(C175&lt;=INDEX(StageAreaVolume!$A$6:$A$17,1),INDEX(StageAreaVolume!$B$6:$B$17,1),IF(C175&gt;=INDEX(StageAreaVolume!$A$6:$A$17,COUNTA(StageAreaVolume!$A$6:$A$17)),INDEX(StageAreaVolume!$B$6:$B$17,COUNTA(StageAreaVolume!$A$6:$A$17)),(INDEX(StageAreaVolume!$B$6:$B$17,MATCH(C175,StageAreaVolume!$A$6:$A$17,1))+(C175-INDEX(StageAreaVolume!$A$6:$A$17,MATCH(C175,StageAreaVolume!$A$6:$A$17,1)))/(INDEX(StageAreaVolume!$A$6:$A$17,MATCH(C175,StageAreaVolume!$A$6:$A$17,1)+1)-INDEX(StageAreaVolume!$A$6:$A$17,MATCH(C175,StageAreaVolume!$A$6:$A$17,1)))*(INDEX(StageAreaVolume!$B$6:$B$17,MATCH(C175,StageAreaVolume!$A$6:$A$17,1)+1)-INDEX(StageAreaVolume!$B$6:$B$17,MATCH(C175,StageAreaVolume!$A$6:$A$17,1)))))))))</f>
        <v/>
      </c>
      <c r="I175" s="18">
        <f>IF(A175="","",IF(C175="","",IF(C175&lt;=INDEX(StageAreaVolume!$A$6:$A$17,1),INDEX(StageAreaVolume!$D$6:$D$17,1),IF(C175&gt;=INDEX(StageAreaVolume!$A$6:$A$17,COUNTA(StageAreaVolume!$A$6:$A$17)),INDEX(StageAreaVolume!$D$6:$D$17,COUNTA(StageAreaVolume!$A$6:$A$17)),(INDEX(StageAreaVolume!$D$6:$D$17,MATCH(C175,StageAreaVolume!$A$6:$A$17,1))+(C175-INDEX(StageAreaVolume!$A$6:$A$17,MATCH(C175,StageAreaVolume!$A$6:$A$17,1)))/(INDEX(StageAreaVolume!$A$6:$A$17,MATCH(C175,StageAreaVolume!$A$6:$A$17,1)+1)-INDEX(StageAreaVolume!$A$6:$A$17,MATCH(C175,StageAreaVolume!$A$6:$A$17,1)))*(INDEX(StageAreaVolume!$D$6:$D$17,MATCH(C175,StageAreaVolume!$A$6:$A$17,1)+1)-INDEX(StageAreaVolume!$D$6:$D$17,MATCH(C175,StageAreaVolume!$A$6:$A$17,1)))))))))</f>
        <v/>
      </c>
      <c r="J175" s="25">
        <f>IF(A175="","",IF(A174="",NA(),C174))</f>
        <v/>
      </c>
      <c r="K175" s="19">
        <f>IF(OR(A175="",ISNA(J175)),IF(A175="","",H175),(H174+H175)/2)</f>
        <v/>
      </c>
      <c r="L175" s="19">
        <f>IF(OR(A175="",ISNA(J175)),0,IF(AND(B175=0,D175="N",E175="N",C175&lt;J175,C175&gt;0),1,0))</f>
        <v/>
      </c>
      <c r="M175" s="25">
        <f>IF(L175&lt;&gt;1,"",IF(K175&lt;=0,"",(I174-I175-G175/1000*K175)/K175*1000))</f>
        <v/>
      </c>
      <c r="N175" s="18">
        <f>IF(A175="","",IF(L175=1,I174-I175-O175,IF(OR(C175&gt;0,N(J175)&gt;0),MeanMDWIR/1000*K175,0)))</f>
        <v/>
      </c>
      <c r="O175" s="18">
        <f>IF(A175="","",G175/1000*K175)</f>
        <v/>
      </c>
      <c r="P175" s="27">
        <f>IF(A175="","",IF(L175=1,"dry",IF(D175="Y","spill",IF(B175&gt;0,"wet",IF(E175="Y","pumped","other")))))</f>
        <v/>
      </c>
    </row>
    <row r="176">
      <c r="A176" s="26">
        <f>IF(DailyPond!A176="","",DailyPond!A176)</f>
        <v/>
      </c>
      <c r="B176" s="18">
        <f>IF(A176="","",DailyPond!B176)</f>
        <v/>
      </c>
      <c r="C176" s="25">
        <f>IF(A176="","",DailyPond!C176)</f>
        <v/>
      </c>
      <c r="D176" s="27">
        <f>IF(A176="","",DailyPond!D176)</f>
        <v/>
      </c>
      <c r="E176" s="27">
        <f>IF(A176="","",DailyPond!E176)</f>
        <v/>
      </c>
      <c r="F176" s="19">
        <f>IF(A176="","",MONTH(A176))</f>
        <v/>
      </c>
      <c r="G176" s="18">
        <f>IF(A176="","",VLOOKUP(F176,Evaporation!$A$6:$B$17,2,FALSE))</f>
        <v/>
      </c>
      <c r="H176" s="19">
        <f>IF(A176="","",IF(C176="","",IF(C176&lt;=INDEX(StageAreaVolume!$A$6:$A$17,1),INDEX(StageAreaVolume!$B$6:$B$17,1),IF(C176&gt;=INDEX(StageAreaVolume!$A$6:$A$17,COUNTA(StageAreaVolume!$A$6:$A$17)),INDEX(StageAreaVolume!$B$6:$B$17,COUNTA(StageAreaVolume!$A$6:$A$17)),(INDEX(StageAreaVolume!$B$6:$B$17,MATCH(C176,StageAreaVolume!$A$6:$A$17,1))+(C176-INDEX(StageAreaVolume!$A$6:$A$17,MATCH(C176,StageAreaVolume!$A$6:$A$17,1)))/(INDEX(StageAreaVolume!$A$6:$A$17,MATCH(C176,StageAreaVolume!$A$6:$A$17,1)+1)-INDEX(StageAreaVolume!$A$6:$A$17,MATCH(C176,StageAreaVolume!$A$6:$A$17,1)))*(INDEX(StageAreaVolume!$B$6:$B$17,MATCH(C176,StageAreaVolume!$A$6:$A$17,1)+1)-INDEX(StageAreaVolume!$B$6:$B$17,MATCH(C176,StageAreaVolume!$A$6:$A$17,1)))))))))</f>
        <v/>
      </c>
      <c r="I176" s="18">
        <f>IF(A176="","",IF(C176="","",IF(C176&lt;=INDEX(StageAreaVolume!$A$6:$A$17,1),INDEX(StageAreaVolume!$D$6:$D$17,1),IF(C176&gt;=INDEX(StageAreaVolume!$A$6:$A$17,COUNTA(StageAreaVolume!$A$6:$A$17)),INDEX(StageAreaVolume!$D$6:$D$17,COUNTA(StageAreaVolume!$A$6:$A$17)),(INDEX(StageAreaVolume!$D$6:$D$17,MATCH(C176,StageAreaVolume!$A$6:$A$17,1))+(C176-INDEX(StageAreaVolume!$A$6:$A$17,MATCH(C176,StageAreaVolume!$A$6:$A$17,1)))/(INDEX(StageAreaVolume!$A$6:$A$17,MATCH(C176,StageAreaVolume!$A$6:$A$17,1)+1)-INDEX(StageAreaVolume!$A$6:$A$17,MATCH(C176,StageAreaVolume!$A$6:$A$17,1)))*(INDEX(StageAreaVolume!$D$6:$D$17,MATCH(C176,StageAreaVolume!$A$6:$A$17,1)+1)-INDEX(StageAreaVolume!$D$6:$D$17,MATCH(C176,StageAreaVolume!$A$6:$A$17,1)))))))))</f>
        <v/>
      </c>
      <c r="J176" s="25">
        <f>IF(A176="","",IF(A175="",NA(),C175))</f>
        <v/>
      </c>
      <c r="K176" s="19">
        <f>IF(OR(A176="",ISNA(J176)),IF(A176="","",H176),(H175+H176)/2)</f>
        <v/>
      </c>
      <c r="L176" s="19">
        <f>IF(OR(A176="",ISNA(J176)),0,IF(AND(B176=0,D176="N",E176="N",C176&lt;J176,C176&gt;0),1,0))</f>
        <v/>
      </c>
      <c r="M176" s="25">
        <f>IF(L176&lt;&gt;1,"",IF(K176&lt;=0,"",(I175-I176-G176/1000*K176)/K176*1000))</f>
        <v/>
      </c>
      <c r="N176" s="18">
        <f>IF(A176="","",IF(L176=1,I175-I176-O176,IF(OR(C176&gt;0,N(J176)&gt;0),MeanMDWIR/1000*K176,0)))</f>
        <v/>
      </c>
      <c r="O176" s="18">
        <f>IF(A176="","",G176/1000*K176)</f>
        <v/>
      </c>
      <c r="P176" s="27">
        <f>IF(A176="","",IF(L176=1,"dry",IF(D176="Y","spill",IF(B176&gt;0,"wet",IF(E176="Y","pumped","other")))))</f>
        <v/>
      </c>
    </row>
    <row r="177">
      <c r="A177" s="26">
        <f>IF(DailyPond!A177="","",DailyPond!A177)</f>
        <v/>
      </c>
      <c r="B177" s="18">
        <f>IF(A177="","",DailyPond!B177)</f>
        <v/>
      </c>
      <c r="C177" s="25">
        <f>IF(A177="","",DailyPond!C177)</f>
        <v/>
      </c>
      <c r="D177" s="27">
        <f>IF(A177="","",DailyPond!D177)</f>
        <v/>
      </c>
      <c r="E177" s="27">
        <f>IF(A177="","",DailyPond!E177)</f>
        <v/>
      </c>
      <c r="F177" s="19">
        <f>IF(A177="","",MONTH(A177))</f>
        <v/>
      </c>
      <c r="G177" s="18">
        <f>IF(A177="","",VLOOKUP(F177,Evaporation!$A$6:$B$17,2,FALSE))</f>
        <v/>
      </c>
      <c r="H177" s="19">
        <f>IF(A177="","",IF(C177="","",IF(C177&lt;=INDEX(StageAreaVolume!$A$6:$A$17,1),INDEX(StageAreaVolume!$B$6:$B$17,1),IF(C177&gt;=INDEX(StageAreaVolume!$A$6:$A$17,COUNTA(StageAreaVolume!$A$6:$A$17)),INDEX(StageAreaVolume!$B$6:$B$17,COUNTA(StageAreaVolume!$A$6:$A$17)),(INDEX(StageAreaVolume!$B$6:$B$17,MATCH(C177,StageAreaVolume!$A$6:$A$17,1))+(C177-INDEX(StageAreaVolume!$A$6:$A$17,MATCH(C177,StageAreaVolume!$A$6:$A$17,1)))/(INDEX(StageAreaVolume!$A$6:$A$17,MATCH(C177,StageAreaVolume!$A$6:$A$17,1)+1)-INDEX(StageAreaVolume!$A$6:$A$17,MATCH(C177,StageAreaVolume!$A$6:$A$17,1)))*(INDEX(StageAreaVolume!$B$6:$B$17,MATCH(C177,StageAreaVolume!$A$6:$A$17,1)+1)-INDEX(StageAreaVolume!$B$6:$B$17,MATCH(C177,StageAreaVolume!$A$6:$A$17,1)))))))))</f>
        <v/>
      </c>
      <c r="I177" s="18">
        <f>IF(A177="","",IF(C177="","",IF(C177&lt;=INDEX(StageAreaVolume!$A$6:$A$17,1),INDEX(StageAreaVolume!$D$6:$D$17,1),IF(C177&gt;=INDEX(StageAreaVolume!$A$6:$A$17,COUNTA(StageAreaVolume!$A$6:$A$17)),INDEX(StageAreaVolume!$D$6:$D$17,COUNTA(StageAreaVolume!$A$6:$A$17)),(INDEX(StageAreaVolume!$D$6:$D$17,MATCH(C177,StageAreaVolume!$A$6:$A$17,1))+(C177-INDEX(StageAreaVolume!$A$6:$A$17,MATCH(C177,StageAreaVolume!$A$6:$A$17,1)))/(INDEX(StageAreaVolume!$A$6:$A$17,MATCH(C177,StageAreaVolume!$A$6:$A$17,1)+1)-INDEX(StageAreaVolume!$A$6:$A$17,MATCH(C177,StageAreaVolume!$A$6:$A$17,1)))*(INDEX(StageAreaVolume!$D$6:$D$17,MATCH(C177,StageAreaVolume!$A$6:$A$17,1)+1)-INDEX(StageAreaVolume!$D$6:$D$17,MATCH(C177,StageAreaVolume!$A$6:$A$17,1)))))))))</f>
        <v/>
      </c>
      <c r="J177" s="25">
        <f>IF(A177="","",IF(A176="",NA(),C176))</f>
        <v/>
      </c>
      <c r="K177" s="19">
        <f>IF(OR(A177="",ISNA(J177)),IF(A177="","",H177),(H176+H177)/2)</f>
        <v/>
      </c>
      <c r="L177" s="19">
        <f>IF(OR(A177="",ISNA(J177)),0,IF(AND(B177=0,D177="N",E177="N",C177&lt;J177,C177&gt;0),1,0))</f>
        <v/>
      </c>
      <c r="M177" s="25">
        <f>IF(L177&lt;&gt;1,"",IF(K177&lt;=0,"",(I176-I177-G177/1000*K177)/K177*1000))</f>
        <v/>
      </c>
      <c r="N177" s="18">
        <f>IF(A177="","",IF(L177=1,I176-I177-O177,IF(OR(C177&gt;0,N(J177)&gt;0),MeanMDWIR/1000*K177,0)))</f>
        <v/>
      </c>
      <c r="O177" s="18">
        <f>IF(A177="","",G177/1000*K177)</f>
        <v/>
      </c>
      <c r="P177" s="27">
        <f>IF(A177="","",IF(L177=1,"dry",IF(D177="Y","spill",IF(B177&gt;0,"wet",IF(E177="Y","pumped","other")))))</f>
        <v/>
      </c>
    </row>
    <row r="178">
      <c r="A178" s="26">
        <f>IF(DailyPond!A178="","",DailyPond!A178)</f>
        <v/>
      </c>
      <c r="B178" s="18">
        <f>IF(A178="","",DailyPond!B178)</f>
        <v/>
      </c>
      <c r="C178" s="25">
        <f>IF(A178="","",DailyPond!C178)</f>
        <v/>
      </c>
      <c r="D178" s="27">
        <f>IF(A178="","",DailyPond!D178)</f>
        <v/>
      </c>
      <c r="E178" s="27">
        <f>IF(A178="","",DailyPond!E178)</f>
        <v/>
      </c>
      <c r="F178" s="19">
        <f>IF(A178="","",MONTH(A178))</f>
        <v/>
      </c>
      <c r="G178" s="18">
        <f>IF(A178="","",VLOOKUP(F178,Evaporation!$A$6:$B$17,2,FALSE))</f>
        <v/>
      </c>
      <c r="H178" s="19">
        <f>IF(A178="","",IF(C178="","",IF(C178&lt;=INDEX(StageAreaVolume!$A$6:$A$17,1),INDEX(StageAreaVolume!$B$6:$B$17,1),IF(C178&gt;=INDEX(StageAreaVolume!$A$6:$A$17,COUNTA(StageAreaVolume!$A$6:$A$17)),INDEX(StageAreaVolume!$B$6:$B$17,COUNTA(StageAreaVolume!$A$6:$A$17)),(INDEX(StageAreaVolume!$B$6:$B$17,MATCH(C178,StageAreaVolume!$A$6:$A$17,1))+(C178-INDEX(StageAreaVolume!$A$6:$A$17,MATCH(C178,StageAreaVolume!$A$6:$A$17,1)))/(INDEX(StageAreaVolume!$A$6:$A$17,MATCH(C178,StageAreaVolume!$A$6:$A$17,1)+1)-INDEX(StageAreaVolume!$A$6:$A$17,MATCH(C178,StageAreaVolume!$A$6:$A$17,1)))*(INDEX(StageAreaVolume!$B$6:$B$17,MATCH(C178,StageAreaVolume!$A$6:$A$17,1)+1)-INDEX(StageAreaVolume!$B$6:$B$17,MATCH(C178,StageAreaVolume!$A$6:$A$17,1)))))))))</f>
        <v/>
      </c>
      <c r="I178" s="18">
        <f>IF(A178="","",IF(C178="","",IF(C178&lt;=INDEX(StageAreaVolume!$A$6:$A$17,1),INDEX(StageAreaVolume!$D$6:$D$17,1),IF(C178&gt;=INDEX(StageAreaVolume!$A$6:$A$17,COUNTA(StageAreaVolume!$A$6:$A$17)),INDEX(StageAreaVolume!$D$6:$D$17,COUNTA(StageAreaVolume!$A$6:$A$17)),(INDEX(StageAreaVolume!$D$6:$D$17,MATCH(C178,StageAreaVolume!$A$6:$A$17,1))+(C178-INDEX(StageAreaVolume!$A$6:$A$17,MATCH(C178,StageAreaVolume!$A$6:$A$17,1)))/(INDEX(StageAreaVolume!$A$6:$A$17,MATCH(C178,StageAreaVolume!$A$6:$A$17,1)+1)-INDEX(StageAreaVolume!$A$6:$A$17,MATCH(C178,StageAreaVolume!$A$6:$A$17,1)))*(INDEX(StageAreaVolume!$D$6:$D$17,MATCH(C178,StageAreaVolume!$A$6:$A$17,1)+1)-INDEX(StageAreaVolume!$D$6:$D$17,MATCH(C178,StageAreaVolume!$A$6:$A$17,1)))))))))</f>
        <v/>
      </c>
      <c r="J178" s="25">
        <f>IF(A178="","",IF(A177="",NA(),C177))</f>
        <v/>
      </c>
      <c r="K178" s="19">
        <f>IF(OR(A178="",ISNA(J178)),IF(A178="","",H178),(H177+H178)/2)</f>
        <v/>
      </c>
      <c r="L178" s="19">
        <f>IF(OR(A178="",ISNA(J178)),0,IF(AND(B178=0,D178="N",E178="N",C178&lt;J178,C178&gt;0),1,0))</f>
        <v/>
      </c>
      <c r="M178" s="25">
        <f>IF(L178&lt;&gt;1,"",IF(K178&lt;=0,"",(I177-I178-G178/1000*K178)/K178*1000))</f>
        <v/>
      </c>
      <c r="N178" s="18">
        <f>IF(A178="","",IF(L178=1,I177-I178-O178,IF(OR(C178&gt;0,N(J178)&gt;0),MeanMDWIR/1000*K178,0)))</f>
        <v/>
      </c>
      <c r="O178" s="18">
        <f>IF(A178="","",G178/1000*K178)</f>
        <v/>
      </c>
      <c r="P178" s="27">
        <f>IF(A178="","",IF(L178=1,"dry",IF(D178="Y","spill",IF(B178&gt;0,"wet",IF(E178="Y","pumped","other")))))</f>
        <v/>
      </c>
    </row>
    <row r="179">
      <c r="A179" s="26">
        <f>IF(DailyPond!A179="","",DailyPond!A179)</f>
        <v/>
      </c>
      <c r="B179" s="18">
        <f>IF(A179="","",DailyPond!B179)</f>
        <v/>
      </c>
      <c r="C179" s="25">
        <f>IF(A179="","",DailyPond!C179)</f>
        <v/>
      </c>
      <c r="D179" s="27">
        <f>IF(A179="","",DailyPond!D179)</f>
        <v/>
      </c>
      <c r="E179" s="27">
        <f>IF(A179="","",DailyPond!E179)</f>
        <v/>
      </c>
      <c r="F179" s="19">
        <f>IF(A179="","",MONTH(A179))</f>
        <v/>
      </c>
      <c r="G179" s="18">
        <f>IF(A179="","",VLOOKUP(F179,Evaporation!$A$6:$B$17,2,FALSE))</f>
        <v/>
      </c>
      <c r="H179" s="19">
        <f>IF(A179="","",IF(C179="","",IF(C179&lt;=INDEX(StageAreaVolume!$A$6:$A$17,1),INDEX(StageAreaVolume!$B$6:$B$17,1),IF(C179&gt;=INDEX(StageAreaVolume!$A$6:$A$17,COUNTA(StageAreaVolume!$A$6:$A$17)),INDEX(StageAreaVolume!$B$6:$B$17,COUNTA(StageAreaVolume!$A$6:$A$17)),(INDEX(StageAreaVolume!$B$6:$B$17,MATCH(C179,StageAreaVolume!$A$6:$A$17,1))+(C179-INDEX(StageAreaVolume!$A$6:$A$17,MATCH(C179,StageAreaVolume!$A$6:$A$17,1)))/(INDEX(StageAreaVolume!$A$6:$A$17,MATCH(C179,StageAreaVolume!$A$6:$A$17,1)+1)-INDEX(StageAreaVolume!$A$6:$A$17,MATCH(C179,StageAreaVolume!$A$6:$A$17,1)))*(INDEX(StageAreaVolume!$B$6:$B$17,MATCH(C179,StageAreaVolume!$A$6:$A$17,1)+1)-INDEX(StageAreaVolume!$B$6:$B$17,MATCH(C179,StageAreaVolume!$A$6:$A$17,1)))))))))</f>
        <v/>
      </c>
      <c r="I179" s="18">
        <f>IF(A179="","",IF(C179="","",IF(C179&lt;=INDEX(StageAreaVolume!$A$6:$A$17,1),INDEX(StageAreaVolume!$D$6:$D$17,1),IF(C179&gt;=INDEX(StageAreaVolume!$A$6:$A$17,COUNTA(StageAreaVolume!$A$6:$A$17)),INDEX(StageAreaVolume!$D$6:$D$17,COUNTA(StageAreaVolume!$A$6:$A$17)),(INDEX(StageAreaVolume!$D$6:$D$17,MATCH(C179,StageAreaVolume!$A$6:$A$17,1))+(C179-INDEX(StageAreaVolume!$A$6:$A$17,MATCH(C179,StageAreaVolume!$A$6:$A$17,1)))/(INDEX(StageAreaVolume!$A$6:$A$17,MATCH(C179,StageAreaVolume!$A$6:$A$17,1)+1)-INDEX(StageAreaVolume!$A$6:$A$17,MATCH(C179,StageAreaVolume!$A$6:$A$17,1)))*(INDEX(StageAreaVolume!$D$6:$D$17,MATCH(C179,StageAreaVolume!$A$6:$A$17,1)+1)-INDEX(StageAreaVolume!$D$6:$D$17,MATCH(C179,StageAreaVolume!$A$6:$A$17,1)))))))))</f>
        <v/>
      </c>
      <c r="J179" s="25">
        <f>IF(A179="","",IF(A178="",NA(),C178))</f>
        <v/>
      </c>
      <c r="K179" s="19">
        <f>IF(OR(A179="",ISNA(J179)),IF(A179="","",H179),(H178+H179)/2)</f>
        <v/>
      </c>
      <c r="L179" s="19">
        <f>IF(OR(A179="",ISNA(J179)),0,IF(AND(B179=0,D179="N",E179="N",C179&lt;J179,C179&gt;0),1,0))</f>
        <v/>
      </c>
      <c r="M179" s="25">
        <f>IF(L179&lt;&gt;1,"",IF(K179&lt;=0,"",(I178-I179-G179/1000*K179)/K179*1000))</f>
        <v/>
      </c>
      <c r="N179" s="18">
        <f>IF(A179="","",IF(L179=1,I178-I179-O179,IF(OR(C179&gt;0,N(J179)&gt;0),MeanMDWIR/1000*K179,0)))</f>
        <v/>
      </c>
      <c r="O179" s="18">
        <f>IF(A179="","",G179/1000*K179)</f>
        <v/>
      </c>
      <c r="P179" s="27">
        <f>IF(A179="","",IF(L179=1,"dry",IF(D179="Y","spill",IF(B179&gt;0,"wet",IF(E179="Y","pumped","other")))))</f>
        <v/>
      </c>
    </row>
    <row r="180">
      <c r="A180" s="26">
        <f>IF(DailyPond!A180="","",DailyPond!A180)</f>
        <v/>
      </c>
      <c r="B180" s="18">
        <f>IF(A180="","",DailyPond!B180)</f>
        <v/>
      </c>
      <c r="C180" s="25">
        <f>IF(A180="","",DailyPond!C180)</f>
        <v/>
      </c>
      <c r="D180" s="27">
        <f>IF(A180="","",DailyPond!D180)</f>
        <v/>
      </c>
      <c r="E180" s="27">
        <f>IF(A180="","",DailyPond!E180)</f>
        <v/>
      </c>
      <c r="F180" s="19">
        <f>IF(A180="","",MONTH(A180))</f>
        <v/>
      </c>
      <c r="G180" s="18">
        <f>IF(A180="","",VLOOKUP(F180,Evaporation!$A$6:$B$17,2,FALSE))</f>
        <v/>
      </c>
      <c r="H180" s="19">
        <f>IF(A180="","",IF(C180="","",IF(C180&lt;=INDEX(StageAreaVolume!$A$6:$A$17,1),INDEX(StageAreaVolume!$B$6:$B$17,1),IF(C180&gt;=INDEX(StageAreaVolume!$A$6:$A$17,COUNTA(StageAreaVolume!$A$6:$A$17)),INDEX(StageAreaVolume!$B$6:$B$17,COUNTA(StageAreaVolume!$A$6:$A$17)),(INDEX(StageAreaVolume!$B$6:$B$17,MATCH(C180,StageAreaVolume!$A$6:$A$17,1))+(C180-INDEX(StageAreaVolume!$A$6:$A$17,MATCH(C180,StageAreaVolume!$A$6:$A$17,1)))/(INDEX(StageAreaVolume!$A$6:$A$17,MATCH(C180,StageAreaVolume!$A$6:$A$17,1)+1)-INDEX(StageAreaVolume!$A$6:$A$17,MATCH(C180,StageAreaVolume!$A$6:$A$17,1)))*(INDEX(StageAreaVolume!$B$6:$B$17,MATCH(C180,StageAreaVolume!$A$6:$A$17,1)+1)-INDEX(StageAreaVolume!$B$6:$B$17,MATCH(C180,StageAreaVolume!$A$6:$A$17,1)))))))))</f>
        <v/>
      </c>
      <c r="I180" s="18">
        <f>IF(A180="","",IF(C180="","",IF(C180&lt;=INDEX(StageAreaVolume!$A$6:$A$17,1),INDEX(StageAreaVolume!$D$6:$D$17,1),IF(C180&gt;=INDEX(StageAreaVolume!$A$6:$A$17,COUNTA(StageAreaVolume!$A$6:$A$17)),INDEX(StageAreaVolume!$D$6:$D$17,COUNTA(StageAreaVolume!$A$6:$A$17)),(INDEX(StageAreaVolume!$D$6:$D$17,MATCH(C180,StageAreaVolume!$A$6:$A$17,1))+(C180-INDEX(StageAreaVolume!$A$6:$A$17,MATCH(C180,StageAreaVolume!$A$6:$A$17,1)))/(INDEX(StageAreaVolume!$A$6:$A$17,MATCH(C180,StageAreaVolume!$A$6:$A$17,1)+1)-INDEX(StageAreaVolume!$A$6:$A$17,MATCH(C180,StageAreaVolume!$A$6:$A$17,1)))*(INDEX(StageAreaVolume!$D$6:$D$17,MATCH(C180,StageAreaVolume!$A$6:$A$17,1)+1)-INDEX(StageAreaVolume!$D$6:$D$17,MATCH(C180,StageAreaVolume!$A$6:$A$17,1)))))))))</f>
        <v/>
      </c>
      <c r="J180" s="25">
        <f>IF(A180="","",IF(A179="",NA(),C179))</f>
        <v/>
      </c>
      <c r="K180" s="19">
        <f>IF(OR(A180="",ISNA(J180)),IF(A180="","",H180),(H179+H180)/2)</f>
        <v/>
      </c>
      <c r="L180" s="19">
        <f>IF(OR(A180="",ISNA(J180)),0,IF(AND(B180=0,D180="N",E180="N",C180&lt;J180,C180&gt;0),1,0))</f>
        <v/>
      </c>
      <c r="M180" s="25">
        <f>IF(L180&lt;&gt;1,"",IF(K180&lt;=0,"",(I179-I180-G180/1000*K180)/K180*1000))</f>
        <v/>
      </c>
      <c r="N180" s="18">
        <f>IF(A180="","",IF(L180=1,I179-I180-O180,IF(OR(C180&gt;0,N(J180)&gt;0),MeanMDWIR/1000*K180,0)))</f>
        <v/>
      </c>
      <c r="O180" s="18">
        <f>IF(A180="","",G180/1000*K180)</f>
        <v/>
      </c>
      <c r="P180" s="27">
        <f>IF(A180="","",IF(L180=1,"dry",IF(D180="Y","spill",IF(B180&gt;0,"wet",IF(E180="Y","pumped","other")))))</f>
        <v/>
      </c>
    </row>
    <row r="181">
      <c r="A181" s="26">
        <f>IF(DailyPond!A181="","",DailyPond!A181)</f>
        <v/>
      </c>
      <c r="B181" s="18">
        <f>IF(A181="","",DailyPond!B181)</f>
        <v/>
      </c>
      <c r="C181" s="25">
        <f>IF(A181="","",DailyPond!C181)</f>
        <v/>
      </c>
      <c r="D181" s="27">
        <f>IF(A181="","",DailyPond!D181)</f>
        <v/>
      </c>
      <c r="E181" s="27">
        <f>IF(A181="","",DailyPond!E181)</f>
        <v/>
      </c>
      <c r="F181" s="19">
        <f>IF(A181="","",MONTH(A181))</f>
        <v/>
      </c>
      <c r="G181" s="18">
        <f>IF(A181="","",VLOOKUP(F181,Evaporation!$A$6:$B$17,2,FALSE))</f>
        <v/>
      </c>
      <c r="H181" s="19">
        <f>IF(A181="","",IF(C181="","",IF(C181&lt;=INDEX(StageAreaVolume!$A$6:$A$17,1),INDEX(StageAreaVolume!$B$6:$B$17,1),IF(C181&gt;=INDEX(StageAreaVolume!$A$6:$A$17,COUNTA(StageAreaVolume!$A$6:$A$17)),INDEX(StageAreaVolume!$B$6:$B$17,COUNTA(StageAreaVolume!$A$6:$A$17)),(INDEX(StageAreaVolume!$B$6:$B$17,MATCH(C181,StageAreaVolume!$A$6:$A$17,1))+(C181-INDEX(StageAreaVolume!$A$6:$A$17,MATCH(C181,StageAreaVolume!$A$6:$A$17,1)))/(INDEX(StageAreaVolume!$A$6:$A$17,MATCH(C181,StageAreaVolume!$A$6:$A$17,1)+1)-INDEX(StageAreaVolume!$A$6:$A$17,MATCH(C181,StageAreaVolume!$A$6:$A$17,1)))*(INDEX(StageAreaVolume!$B$6:$B$17,MATCH(C181,StageAreaVolume!$A$6:$A$17,1)+1)-INDEX(StageAreaVolume!$B$6:$B$17,MATCH(C181,StageAreaVolume!$A$6:$A$17,1)))))))))</f>
        <v/>
      </c>
      <c r="I181" s="18">
        <f>IF(A181="","",IF(C181="","",IF(C181&lt;=INDEX(StageAreaVolume!$A$6:$A$17,1),INDEX(StageAreaVolume!$D$6:$D$17,1),IF(C181&gt;=INDEX(StageAreaVolume!$A$6:$A$17,COUNTA(StageAreaVolume!$A$6:$A$17)),INDEX(StageAreaVolume!$D$6:$D$17,COUNTA(StageAreaVolume!$A$6:$A$17)),(INDEX(StageAreaVolume!$D$6:$D$17,MATCH(C181,StageAreaVolume!$A$6:$A$17,1))+(C181-INDEX(StageAreaVolume!$A$6:$A$17,MATCH(C181,StageAreaVolume!$A$6:$A$17,1)))/(INDEX(StageAreaVolume!$A$6:$A$17,MATCH(C181,StageAreaVolume!$A$6:$A$17,1)+1)-INDEX(StageAreaVolume!$A$6:$A$17,MATCH(C181,StageAreaVolume!$A$6:$A$17,1)))*(INDEX(StageAreaVolume!$D$6:$D$17,MATCH(C181,StageAreaVolume!$A$6:$A$17,1)+1)-INDEX(StageAreaVolume!$D$6:$D$17,MATCH(C181,StageAreaVolume!$A$6:$A$17,1)))))))))</f>
        <v/>
      </c>
      <c r="J181" s="25">
        <f>IF(A181="","",IF(A180="",NA(),C180))</f>
        <v/>
      </c>
      <c r="K181" s="19">
        <f>IF(OR(A181="",ISNA(J181)),IF(A181="","",H181),(H180+H181)/2)</f>
        <v/>
      </c>
      <c r="L181" s="19">
        <f>IF(OR(A181="",ISNA(J181)),0,IF(AND(B181=0,D181="N",E181="N",C181&lt;J181,C181&gt;0),1,0))</f>
        <v/>
      </c>
      <c r="M181" s="25">
        <f>IF(L181&lt;&gt;1,"",IF(K181&lt;=0,"",(I180-I181-G181/1000*K181)/K181*1000))</f>
        <v/>
      </c>
      <c r="N181" s="18">
        <f>IF(A181="","",IF(L181=1,I180-I181-O181,IF(OR(C181&gt;0,N(J181)&gt;0),MeanMDWIR/1000*K181,0)))</f>
        <v/>
      </c>
      <c r="O181" s="18">
        <f>IF(A181="","",G181/1000*K181)</f>
        <v/>
      </c>
      <c r="P181" s="27">
        <f>IF(A181="","",IF(L181=1,"dry",IF(D181="Y","spill",IF(B181&gt;0,"wet",IF(E181="Y","pumped","other")))))</f>
        <v/>
      </c>
    </row>
    <row r="182">
      <c r="A182" s="26">
        <f>IF(DailyPond!A182="","",DailyPond!A182)</f>
        <v/>
      </c>
      <c r="B182" s="18">
        <f>IF(A182="","",DailyPond!B182)</f>
        <v/>
      </c>
      <c r="C182" s="25">
        <f>IF(A182="","",DailyPond!C182)</f>
        <v/>
      </c>
      <c r="D182" s="27">
        <f>IF(A182="","",DailyPond!D182)</f>
        <v/>
      </c>
      <c r="E182" s="27">
        <f>IF(A182="","",DailyPond!E182)</f>
        <v/>
      </c>
      <c r="F182" s="19">
        <f>IF(A182="","",MONTH(A182))</f>
        <v/>
      </c>
      <c r="G182" s="18">
        <f>IF(A182="","",VLOOKUP(F182,Evaporation!$A$6:$B$17,2,FALSE))</f>
        <v/>
      </c>
      <c r="H182" s="19">
        <f>IF(A182="","",IF(C182="","",IF(C182&lt;=INDEX(StageAreaVolume!$A$6:$A$17,1),INDEX(StageAreaVolume!$B$6:$B$17,1),IF(C182&gt;=INDEX(StageAreaVolume!$A$6:$A$17,COUNTA(StageAreaVolume!$A$6:$A$17)),INDEX(StageAreaVolume!$B$6:$B$17,COUNTA(StageAreaVolume!$A$6:$A$17)),(INDEX(StageAreaVolume!$B$6:$B$17,MATCH(C182,StageAreaVolume!$A$6:$A$17,1))+(C182-INDEX(StageAreaVolume!$A$6:$A$17,MATCH(C182,StageAreaVolume!$A$6:$A$17,1)))/(INDEX(StageAreaVolume!$A$6:$A$17,MATCH(C182,StageAreaVolume!$A$6:$A$17,1)+1)-INDEX(StageAreaVolume!$A$6:$A$17,MATCH(C182,StageAreaVolume!$A$6:$A$17,1)))*(INDEX(StageAreaVolume!$B$6:$B$17,MATCH(C182,StageAreaVolume!$A$6:$A$17,1)+1)-INDEX(StageAreaVolume!$B$6:$B$17,MATCH(C182,StageAreaVolume!$A$6:$A$17,1)))))))))</f>
        <v/>
      </c>
      <c r="I182" s="18">
        <f>IF(A182="","",IF(C182="","",IF(C182&lt;=INDEX(StageAreaVolume!$A$6:$A$17,1),INDEX(StageAreaVolume!$D$6:$D$17,1),IF(C182&gt;=INDEX(StageAreaVolume!$A$6:$A$17,COUNTA(StageAreaVolume!$A$6:$A$17)),INDEX(StageAreaVolume!$D$6:$D$17,COUNTA(StageAreaVolume!$A$6:$A$17)),(INDEX(StageAreaVolume!$D$6:$D$17,MATCH(C182,StageAreaVolume!$A$6:$A$17,1))+(C182-INDEX(StageAreaVolume!$A$6:$A$17,MATCH(C182,StageAreaVolume!$A$6:$A$17,1)))/(INDEX(StageAreaVolume!$A$6:$A$17,MATCH(C182,StageAreaVolume!$A$6:$A$17,1)+1)-INDEX(StageAreaVolume!$A$6:$A$17,MATCH(C182,StageAreaVolume!$A$6:$A$17,1)))*(INDEX(StageAreaVolume!$D$6:$D$17,MATCH(C182,StageAreaVolume!$A$6:$A$17,1)+1)-INDEX(StageAreaVolume!$D$6:$D$17,MATCH(C182,StageAreaVolume!$A$6:$A$17,1)))))))))</f>
        <v/>
      </c>
      <c r="J182" s="25">
        <f>IF(A182="","",IF(A181="",NA(),C181))</f>
        <v/>
      </c>
      <c r="K182" s="19">
        <f>IF(OR(A182="",ISNA(J182)),IF(A182="","",H182),(H181+H182)/2)</f>
        <v/>
      </c>
      <c r="L182" s="19">
        <f>IF(OR(A182="",ISNA(J182)),0,IF(AND(B182=0,D182="N",E182="N",C182&lt;J182,C182&gt;0),1,0))</f>
        <v/>
      </c>
      <c r="M182" s="25">
        <f>IF(L182&lt;&gt;1,"",IF(K182&lt;=0,"",(I181-I182-G182/1000*K182)/K182*1000))</f>
        <v/>
      </c>
      <c r="N182" s="18">
        <f>IF(A182="","",IF(L182=1,I181-I182-O182,IF(OR(C182&gt;0,N(J182)&gt;0),MeanMDWIR/1000*K182,0)))</f>
        <v/>
      </c>
      <c r="O182" s="18">
        <f>IF(A182="","",G182/1000*K182)</f>
        <v/>
      </c>
      <c r="P182" s="27">
        <f>IF(A182="","",IF(L182=1,"dry",IF(D182="Y","spill",IF(B182&gt;0,"wet",IF(E182="Y","pumped","other")))))</f>
        <v/>
      </c>
    </row>
    <row r="183">
      <c r="A183" s="26">
        <f>IF(DailyPond!A183="","",DailyPond!A183)</f>
        <v/>
      </c>
      <c r="B183" s="18">
        <f>IF(A183="","",DailyPond!B183)</f>
        <v/>
      </c>
      <c r="C183" s="25">
        <f>IF(A183="","",DailyPond!C183)</f>
        <v/>
      </c>
      <c r="D183" s="27">
        <f>IF(A183="","",DailyPond!D183)</f>
        <v/>
      </c>
      <c r="E183" s="27">
        <f>IF(A183="","",DailyPond!E183)</f>
        <v/>
      </c>
      <c r="F183" s="19">
        <f>IF(A183="","",MONTH(A183))</f>
        <v/>
      </c>
      <c r="G183" s="18">
        <f>IF(A183="","",VLOOKUP(F183,Evaporation!$A$6:$B$17,2,FALSE))</f>
        <v/>
      </c>
      <c r="H183" s="19">
        <f>IF(A183="","",IF(C183="","",IF(C183&lt;=INDEX(StageAreaVolume!$A$6:$A$17,1),INDEX(StageAreaVolume!$B$6:$B$17,1),IF(C183&gt;=INDEX(StageAreaVolume!$A$6:$A$17,COUNTA(StageAreaVolume!$A$6:$A$17)),INDEX(StageAreaVolume!$B$6:$B$17,COUNTA(StageAreaVolume!$A$6:$A$17)),(INDEX(StageAreaVolume!$B$6:$B$17,MATCH(C183,StageAreaVolume!$A$6:$A$17,1))+(C183-INDEX(StageAreaVolume!$A$6:$A$17,MATCH(C183,StageAreaVolume!$A$6:$A$17,1)))/(INDEX(StageAreaVolume!$A$6:$A$17,MATCH(C183,StageAreaVolume!$A$6:$A$17,1)+1)-INDEX(StageAreaVolume!$A$6:$A$17,MATCH(C183,StageAreaVolume!$A$6:$A$17,1)))*(INDEX(StageAreaVolume!$B$6:$B$17,MATCH(C183,StageAreaVolume!$A$6:$A$17,1)+1)-INDEX(StageAreaVolume!$B$6:$B$17,MATCH(C183,StageAreaVolume!$A$6:$A$17,1)))))))))</f>
        <v/>
      </c>
      <c r="I183" s="18">
        <f>IF(A183="","",IF(C183="","",IF(C183&lt;=INDEX(StageAreaVolume!$A$6:$A$17,1),INDEX(StageAreaVolume!$D$6:$D$17,1),IF(C183&gt;=INDEX(StageAreaVolume!$A$6:$A$17,COUNTA(StageAreaVolume!$A$6:$A$17)),INDEX(StageAreaVolume!$D$6:$D$17,COUNTA(StageAreaVolume!$A$6:$A$17)),(INDEX(StageAreaVolume!$D$6:$D$17,MATCH(C183,StageAreaVolume!$A$6:$A$17,1))+(C183-INDEX(StageAreaVolume!$A$6:$A$17,MATCH(C183,StageAreaVolume!$A$6:$A$17,1)))/(INDEX(StageAreaVolume!$A$6:$A$17,MATCH(C183,StageAreaVolume!$A$6:$A$17,1)+1)-INDEX(StageAreaVolume!$A$6:$A$17,MATCH(C183,StageAreaVolume!$A$6:$A$17,1)))*(INDEX(StageAreaVolume!$D$6:$D$17,MATCH(C183,StageAreaVolume!$A$6:$A$17,1)+1)-INDEX(StageAreaVolume!$D$6:$D$17,MATCH(C183,StageAreaVolume!$A$6:$A$17,1)))))))))</f>
        <v/>
      </c>
      <c r="J183" s="25">
        <f>IF(A183="","",IF(A182="",NA(),C182))</f>
        <v/>
      </c>
      <c r="K183" s="19">
        <f>IF(OR(A183="",ISNA(J183)),IF(A183="","",H183),(H182+H183)/2)</f>
        <v/>
      </c>
      <c r="L183" s="19">
        <f>IF(OR(A183="",ISNA(J183)),0,IF(AND(B183=0,D183="N",E183="N",C183&lt;J183,C183&gt;0),1,0))</f>
        <v/>
      </c>
      <c r="M183" s="25">
        <f>IF(L183&lt;&gt;1,"",IF(K183&lt;=0,"",(I182-I183-G183/1000*K183)/K183*1000))</f>
        <v/>
      </c>
      <c r="N183" s="18">
        <f>IF(A183="","",IF(L183=1,I182-I183-O183,IF(OR(C183&gt;0,N(J183)&gt;0),MeanMDWIR/1000*K183,0)))</f>
        <v/>
      </c>
      <c r="O183" s="18">
        <f>IF(A183="","",G183/1000*K183)</f>
        <v/>
      </c>
      <c r="P183" s="27">
        <f>IF(A183="","",IF(L183=1,"dry",IF(D183="Y","spill",IF(B183&gt;0,"wet",IF(E183="Y","pumped","other")))))</f>
        <v/>
      </c>
    </row>
    <row r="184">
      <c r="A184" s="26">
        <f>IF(DailyPond!A184="","",DailyPond!A184)</f>
        <v/>
      </c>
      <c r="B184" s="18">
        <f>IF(A184="","",DailyPond!B184)</f>
        <v/>
      </c>
      <c r="C184" s="25">
        <f>IF(A184="","",DailyPond!C184)</f>
        <v/>
      </c>
      <c r="D184" s="27">
        <f>IF(A184="","",DailyPond!D184)</f>
        <v/>
      </c>
      <c r="E184" s="27">
        <f>IF(A184="","",DailyPond!E184)</f>
        <v/>
      </c>
      <c r="F184" s="19">
        <f>IF(A184="","",MONTH(A184))</f>
        <v/>
      </c>
      <c r="G184" s="18">
        <f>IF(A184="","",VLOOKUP(F184,Evaporation!$A$6:$B$17,2,FALSE))</f>
        <v/>
      </c>
      <c r="H184" s="19">
        <f>IF(A184="","",IF(C184="","",IF(C184&lt;=INDEX(StageAreaVolume!$A$6:$A$17,1),INDEX(StageAreaVolume!$B$6:$B$17,1),IF(C184&gt;=INDEX(StageAreaVolume!$A$6:$A$17,COUNTA(StageAreaVolume!$A$6:$A$17)),INDEX(StageAreaVolume!$B$6:$B$17,COUNTA(StageAreaVolume!$A$6:$A$17)),(INDEX(StageAreaVolume!$B$6:$B$17,MATCH(C184,StageAreaVolume!$A$6:$A$17,1))+(C184-INDEX(StageAreaVolume!$A$6:$A$17,MATCH(C184,StageAreaVolume!$A$6:$A$17,1)))/(INDEX(StageAreaVolume!$A$6:$A$17,MATCH(C184,StageAreaVolume!$A$6:$A$17,1)+1)-INDEX(StageAreaVolume!$A$6:$A$17,MATCH(C184,StageAreaVolume!$A$6:$A$17,1)))*(INDEX(StageAreaVolume!$B$6:$B$17,MATCH(C184,StageAreaVolume!$A$6:$A$17,1)+1)-INDEX(StageAreaVolume!$B$6:$B$17,MATCH(C184,StageAreaVolume!$A$6:$A$17,1)))))))))</f>
        <v/>
      </c>
      <c r="I184" s="18">
        <f>IF(A184="","",IF(C184="","",IF(C184&lt;=INDEX(StageAreaVolume!$A$6:$A$17,1),INDEX(StageAreaVolume!$D$6:$D$17,1),IF(C184&gt;=INDEX(StageAreaVolume!$A$6:$A$17,COUNTA(StageAreaVolume!$A$6:$A$17)),INDEX(StageAreaVolume!$D$6:$D$17,COUNTA(StageAreaVolume!$A$6:$A$17)),(INDEX(StageAreaVolume!$D$6:$D$17,MATCH(C184,StageAreaVolume!$A$6:$A$17,1))+(C184-INDEX(StageAreaVolume!$A$6:$A$17,MATCH(C184,StageAreaVolume!$A$6:$A$17,1)))/(INDEX(StageAreaVolume!$A$6:$A$17,MATCH(C184,StageAreaVolume!$A$6:$A$17,1)+1)-INDEX(StageAreaVolume!$A$6:$A$17,MATCH(C184,StageAreaVolume!$A$6:$A$17,1)))*(INDEX(StageAreaVolume!$D$6:$D$17,MATCH(C184,StageAreaVolume!$A$6:$A$17,1)+1)-INDEX(StageAreaVolume!$D$6:$D$17,MATCH(C184,StageAreaVolume!$A$6:$A$17,1)))))))))</f>
        <v/>
      </c>
      <c r="J184" s="25">
        <f>IF(A184="","",IF(A183="",NA(),C183))</f>
        <v/>
      </c>
      <c r="K184" s="19">
        <f>IF(OR(A184="",ISNA(J184)),IF(A184="","",H184),(H183+H184)/2)</f>
        <v/>
      </c>
      <c r="L184" s="19">
        <f>IF(OR(A184="",ISNA(J184)),0,IF(AND(B184=0,D184="N",E184="N",C184&lt;J184,C184&gt;0),1,0))</f>
        <v/>
      </c>
      <c r="M184" s="25">
        <f>IF(L184&lt;&gt;1,"",IF(K184&lt;=0,"",(I183-I184-G184/1000*K184)/K184*1000))</f>
        <v/>
      </c>
      <c r="N184" s="18">
        <f>IF(A184="","",IF(L184=1,I183-I184-O184,IF(OR(C184&gt;0,N(J184)&gt;0),MeanMDWIR/1000*K184,0)))</f>
        <v/>
      </c>
      <c r="O184" s="18">
        <f>IF(A184="","",G184/1000*K184)</f>
        <v/>
      </c>
      <c r="P184" s="27">
        <f>IF(A184="","",IF(L184=1,"dry",IF(D184="Y","spill",IF(B184&gt;0,"wet",IF(E184="Y","pumped","other")))))</f>
        <v/>
      </c>
    </row>
    <row r="185">
      <c r="A185" s="26">
        <f>IF(DailyPond!A185="","",DailyPond!A185)</f>
        <v/>
      </c>
      <c r="B185" s="18">
        <f>IF(A185="","",DailyPond!B185)</f>
        <v/>
      </c>
      <c r="C185" s="25">
        <f>IF(A185="","",DailyPond!C185)</f>
        <v/>
      </c>
      <c r="D185" s="27">
        <f>IF(A185="","",DailyPond!D185)</f>
        <v/>
      </c>
      <c r="E185" s="27">
        <f>IF(A185="","",DailyPond!E185)</f>
        <v/>
      </c>
      <c r="F185" s="19">
        <f>IF(A185="","",MONTH(A185))</f>
        <v/>
      </c>
      <c r="G185" s="18">
        <f>IF(A185="","",VLOOKUP(F185,Evaporation!$A$6:$B$17,2,FALSE))</f>
        <v/>
      </c>
      <c r="H185" s="19">
        <f>IF(A185="","",IF(C185="","",IF(C185&lt;=INDEX(StageAreaVolume!$A$6:$A$17,1),INDEX(StageAreaVolume!$B$6:$B$17,1),IF(C185&gt;=INDEX(StageAreaVolume!$A$6:$A$17,COUNTA(StageAreaVolume!$A$6:$A$17)),INDEX(StageAreaVolume!$B$6:$B$17,COUNTA(StageAreaVolume!$A$6:$A$17)),(INDEX(StageAreaVolume!$B$6:$B$17,MATCH(C185,StageAreaVolume!$A$6:$A$17,1))+(C185-INDEX(StageAreaVolume!$A$6:$A$17,MATCH(C185,StageAreaVolume!$A$6:$A$17,1)))/(INDEX(StageAreaVolume!$A$6:$A$17,MATCH(C185,StageAreaVolume!$A$6:$A$17,1)+1)-INDEX(StageAreaVolume!$A$6:$A$17,MATCH(C185,StageAreaVolume!$A$6:$A$17,1)))*(INDEX(StageAreaVolume!$B$6:$B$17,MATCH(C185,StageAreaVolume!$A$6:$A$17,1)+1)-INDEX(StageAreaVolume!$B$6:$B$17,MATCH(C185,StageAreaVolume!$A$6:$A$17,1)))))))))</f>
        <v/>
      </c>
      <c r="I185" s="18">
        <f>IF(A185="","",IF(C185="","",IF(C185&lt;=INDEX(StageAreaVolume!$A$6:$A$17,1),INDEX(StageAreaVolume!$D$6:$D$17,1),IF(C185&gt;=INDEX(StageAreaVolume!$A$6:$A$17,COUNTA(StageAreaVolume!$A$6:$A$17)),INDEX(StageAreaVolume!$D$6:$D$17,COUNTA(StageAreaVolume!$A$6:$A$17)),(INDEX(StageAreaVolume!$D$6:$D$17,MATCH(C185,StageAreaVolume!$A$6:$A$17,1))+(C185-INDEX(StageAreaVolume!$A$6:$A$17,MATCH(C185,StageAreaVolume!$A$6:$A$17,1)))/(INDEX(StageAreaVolume!$A$6:$A$17,MATCH(C185,StageAreaVolume!$A$6:$A$17,1)+1)-INDEX(StageAreaVolume!$A$6:$A$17,MATCH(C185,StageAreaVolume!$A$6:$A$17,1)))*(INDEX(StageAreaVolume!$D$6:$D$17,MATCH(C185,StageAreaVolume!$A$6:$A$17,1)+1)-INDEX(StageAreaVolume!$D$6:$D$17,MATCH(C185,StageAreaVolume!$A$6:$A$17,1)))))))))</f>
        <v/>
      </c>
      <c r="J185" s="25">
        <f>IF(A185="","",IF(A184="",NA(),C184))</f>
        <v/>
      </c>
      <c r="K185" s="19">
        <f>IF(OR(A185="",ISNA(J185)),IF(A185="","",H185),(H184+H185)/2)</f>
        <v/>
      </c>
      <c r="L185" s="19">
        <f>IF(OR(A185="",ISNA(J185)),0,IF(AND(B185=0,D185="N",E185="N",C185&lt;J185,C185&gt;0),1,0))</f>
        <v/>
      </c>
      <c r="M185" s="25">
        <f>IF(L185&lt;&gt;1,"",IF(K185&lt;=0,"",(I184-I185-G185/1000*K185)/K185*1000))</f>
        <v/>
      </c>
      <c r="N185" s="18">
        <f>IF(A185="","",IF(L185=1,I184-I185-O185,IF(OR(C185&gt;0,N(J185)&gt;0),MeanMDWIR/1000*K185,0)))</f>
        <v/>
      </c>
      <c r="O185" s="18">
        <f>IF(A185="","",G185/1000*K185)</f>
        <v/>
      </c>
      <c r="P185" s="27">
        <f>IF(A185="","",IF(L185=1,"dry",IF(D185="Y","spill",IF(B185&gt;0,"wet",IF(E185="Y","pumped","other")))))</f>
        <v/>
      </c>
    </row>
    <row r="186">
      <c r="A186" s="26">
        <f>IF(DailyPond!A186="","",DailyPond!A186)</f>
        <v/>
      </c>
      <c r="B186" s="18">
        <f>IF(A186="","",DailyPond!B186)</f>
        <v/>
      </c>
      <c r="C186" s="25">
        <f>IF(A186="","",DailyPond!C186)</f>
        <v/>
      </c>
      <c r="D186" s="27">
        <f>IF(A186="","",DailyPond!D186)</f>
        <v/>
      </c>
      <c r="E186" s="27">
        <f>IF(A186="","",DailyPond!E186)</f>
        <v/>
      </c>
      <c r="F186" s="19">
        <f>IF(A186="","",MONTH(A186))</f>
        <v/>
      </c>
      <c r="G186" s="18">
        <f>IF(A186="","",VLOOKUP(F186,Evaporation!$A$6:$B$17,2,FALSE))</f>
        <v/>
      </c>
      <c r="H186" s="19">
        <f>IF(A186="","",IF(C186="","",IF(C186&lt;=INDEX(StageAreaVolume!$A$6:$A$17,1),INDEX(StageAreaVolume!$B$6:$B$17,1),IF(C186&gt;=INDEX(StageAreaVolume!$A$6:$A$17,COUNTA(StageAreaVolume!$A$6:$A$17)),INDEX(StageAreaVolume!$B$6:$B$17,COUNTA(StageAreaVolume!$A$6:$A$17)),(INDEX(StageAreaVolume!$B$6:$B$17,MATCH(C186,StageAreaVolume!$A$6:$A$17,1))+(C186-INDEX(StageAreaVolume!$A$6:$A$17,MATCH(C186,StageAreaVolume!$A$6:$A$17,1)))/(INDEX(StageAreaVolume!$A$6:$A$17,MATCH(C186,StageAreaVolume!$A$6:$A$17,1)+1)-INDEX(StageAreaVolume!$A$6:$A$17,MATCH(C186,StageAreaVolume!$A$6:$A$17,1)))*(INDEX(StageAreaVolume!$B$6:$B$17,MATCH(C186,StageAreaVolume!$A$6:$A$17,1)+1)-INDEX(StageAreaVolume!$B$6:$B$17,MATCH(C186,StageAreaVolume!$A$6:$A$17,1)))))))))</f>
        <v/>
      </c>
      <c r="I186" s="18">
        <f>IF(A186="","",IF(C186="","",IF(C186&lt;=INDEX(StageAreaVolume!$A$6:$A$17,1),INDEX(StageAreaVolume!$D$6:$D$17,1),IF(C186&gt;=INDEX(StageAreaVolume!$A$6:$A$17,COUNTA(StageAreaVolume!$A$6:$A$17)),INDEX(StageAreaVolume!$D$6:$D$17,COUNTA(StageAreaVolume!$A$6:$A$17)),(INDEX(StageAreaVolume!$D$6:$D$17,MATCH(C186,StageAreaVolume!$A$6:$A$17,1))+(C186-INDEX(StageAreaVolume!$A$6:$A$17,MATCH(C186,StageAreaVolume!$A$6:$A$17,1)))/(INDEX(StageAreaVolume!$A$6:$A$17,MATCH(C186,StageAreaVolume!$A$6:$A$17,1)+1)-INDEX(StageAreaVolume!$A$6:$A$17,MATCH(C186,StageAreaVolume!$A$6:$A$17,1)))*(INDEX(StageAreaVolume!$D$6:$D$17,MATCH(C186,StageAreaVolume!$A$6:$A$17,1)+1)-INDEX(StageAreaVolume!$D$6:$D$17,MATCH(C186,StageAreaVolume!$A$6:$A$17,1)))))))))</f>
        <v/>
      </c>
      <c r="J186" s="25">
        <f>IF(A186="","",IF(A185="",NA(),C185))</f>
        <v/>
      </c>
      <c r="K186" s="19">
        <f>IF(OR(A186="",ISNA(J186)),IF(A186="","",H186),(H185+H186)/2)</f>
        <v/>
      </c>
      <c r="L186" s="19">
        <f>IF(OR(A186="",ISNA(J186)),0,IF(AND(B186=0,D186="N",E186="N",C186&lt;J186,C186&gt;0),1,0))</f>
        <v/>
      </c>
      <c r="M186" s="25">
        <f>IF(L186&lt;&gt;1,"",IF(K186&lt;=0,"",(I185-I186-G186/1000*K186)/K186*1000))</f>
        <v/>
      </c>
      <c r="N186" s="18">
        <f>IF(A186="","",IF(L186=1,I185-I186-O186,IF(OR(C186&gt;0,N(J186)&gt;0),MeanMDWIR/1000*K186,0)))</f>
        <v/>
      </c>
      <c r="O186" s="18">
        <f>IF(A186="","",G186/1000*K186)</f>
        <v/>
      </c>
      <c r="P186" s="27">
        <f>IF(A186="","",IF(L186=1,"dry",IF(D186="Y","spill",IF(B186&gt;0,"wet",IF(E186="Y","pumped","other")))))</f>
        <v/>
      </c>
    </row>
    <row r="187">
      <c r="A187" s="26">
        <f>IF(DailyPond!A187="","",DailyPond!A187)</f>
        <v/>
      </c>
      <c r="B187" s="18">
        <f>IF(A187="","",DailyPond!B187)</f>
        <v/>
      </c>
      <c r="C187" s="25">
        <f>IF(A187="","",DailyPond!C187)</f>
        <v/>
      </c>
      <c r="D187" s="27">
        <f>IF(A187="","",DailyPond!D187)</f>
        <v/>
      </c>
      <c r="E187" s="27">
        <f>IF(A187="","",DailyPond!E187)</f>
        <v/>
      </c>
      <c r="F187" s="19">
        <f>IF(A187="","",MONTH(A187))</f>
        <v/>
      </c>
      <c r="G187" s="18">
        <f>IF(A187="","",VLOOKUP(F187,Evaporation!$A$6:$B$17,2,FALSE))</f>
        <v/>
      </c>
      <c r="H187" s="19">
        <f>IF(A187="","",IF(C187="","",IF(C187&lt;=INDEX(StageAreaVolume!$A$6:$A$17,1),INDEX(StageAreaVolume!$B$6:$B$17,1),IF(C187&gt;=INDEX(StageAreaVolume!$A$6:$A$17,COUNTA(StageAreaVolume!$A$6:$A$17)),INDEX(StageAreaVolume!$B$6:$B$17,COUNTA(StageAreaVolume!$A$6:$A$17)),(INDEX(StageAreaVolume!$B$6:$B$17,MATCH(C187,StageAreaVolume!$A$6:$A$17,1))+(C187-INDEX(StageAreaVolume!$A$6:$A$17,MATCH(C187,StageAreaVolume!$A$6:$A$17,1)))/(INDEX(StageAreaVolume!$A$6:$A$17,MATCH(C187,StageAreaVolume!$A$6:$A$17,1)+1)-INDEX(StageAreaVolume!$A$6:$A$17,MATCH(C187,StageAreaVolume!$A$6:$A$17,1)))*(INDEX(StageAreaVolume!$B$6:$B$17,MATCH(C187,StageAreaVolume!$A$6:$A$17,1)+1)-INDEX(StageAreaVolume!$B$6:$B$17,MATCH(C187,StageAreaVolume!$A$6:$A$17,1)))))))))</f>
        <v/>
      </c>
      <c r="I187" s="18">
        <f>IF(A187="","",IF(C187="","",IF(C187&lt;=INDEX(StageAreaVolume!$A$6:$A$17,1),INDEX(StageAreaVolume!$D$6:$D$17,1),IF(C187&gt;=INDEX(StageAreaVolume!$A$6:$A$17,COUNTA(StageAreaVolume!$A$6:$A$17)),INDEX(StageAreaVolume!$D$6:$D$17,COUNTA(StageAreaVolume!$A$6:$A$17)),(INDEX(StageAreaVolume!$D$6:$D$17,MATCH(C187,StageAreaVolume!$A$6:$A$17,1))+(C187-INDEX(StageAreaVolume!$A$6:$A$17,MATCH(C187,StageAreaVolume!$A$6:$A$17,1)))/(INDEX(StageAreaVolume!$A$6:$A$17,MATCH(C187,StageAreaVolume!$A$6:$A$17,1)+1)-INDEX(StageAreaVolume!$A$6:$A$17,MATCH(C187,StageAreaVolume!$A$6:$A$17,1)))*(INDEX(StageAreaVolume!$D$6:$D$17,MATCH(C187,StageAreaVolume!$A$6:$A$17,1)+1)-INDEX(StageAreaVolume!$D$6:$D$17,MATCH(C187,StageAreaVolume!$A$6:$A$17,1)))))))))</f>
        <v/>
      </c>
      <c r="J187" s="25">
        <f>IF(A187="","",IF(A186="",NA(),C186))</f>
        <v/>
      </c>
      <c r="K187" s="19">
        <f>IF(OR(A187="",ISNA(J187)),IF(A187="","",H187),(H186+H187)/2)</f>
        <v/>
      </c>
      <c r="L187" s="19">
        <f>IF(OR(A187="",ISNA(J187)),0,IF(AND(B187=0,D187="N",E187="N",C187&lt;J187,C187&gt;0),1,0))</f>
        <v/>
      </c>
      <c r="M187" s="25">
        <f>IF(L187&lt;&gt;1,"",IF(K187&lt;=0,"",(I186-I187-G187/1000*K187)/K187*1000))</f>
        <v/>
      </c>
      <c r="N187" s="18">
        <f>IF(A187="","",IF(L187=1,I186-I187-O187,IF(OR(C187&gt;0,N(J187)&gt;0),MeanMDWIR/1000*K187,0)))</f>
        <v/>
      </c>
      <c r="O187" s="18">
        <f>IF(A187="","",G187/1000*K187)</f>
        <v/>
      </c>
      <c r="P187" s="27">
        <f>IF(A187="","",IF(L187=1,"dry",IF(D187="Y","spill",IF(B187&gt;0,"wet",IF(E187="Y","pumped","other")))))</f>
        <v/>
      </c>
    </row>
    <row r="188">
      <c r="A188" s="26">
        <f>IF(DailyPond!A188="","",DailyPond!A188)</f>
        <v/>
      </c>
      <c r="B188" s="18">
        <f>IF(A188="","",DailyPond!B188)</f>
        <v/>
      </c>
      <c r="C188" s="25">
        <f>IF(A188="","",DailyPond!C188)</f>
        <v/>
      </c>
      <c r="D188" s="27">
        <f>IF(A188="","",DailyPond!D188)</f>
        <v/>
      </c>
      <c r="E188" s="27">
        <f>IF(A188="","",DailyPond!E188)</f>
        <v/>
      </c>
      <c r="F188" s="19">
        <f>IF(A188="","",MONTH(A188))</f>
        <v/>
      </c>
      <c r="G188" s="18">
        <f>IF(A188="","",VLOOKUP(F188,Evaporation!$A$6:$B$17,2,FALSE))</f>
        <v/>
      </c>
      <c r="H188" s="19">
        <f>IF(A188="","",IF(C188="","",IF(C188&lt;=INDEX(StageAreaVolume!$A$6:$A$17,1),INDEX(StageAreaVolume!$B$6:$B$17,1),IF(C188&gt;=INDEX(StageAreaVolume!$A$6:$A$17,COUNTA(StageAreaVolume!$A$6:$A$17)),INDEX(StageAreaVolume!$B$6:$B$17,COUNTA(StageAreaVolume!$A$6:$A$17)),(INDEX(StageAreaVolume!$B$6:$B$17,MATCH(C188,StageAreaVolume!$A$6:$A$17,1))+(C188-INDEX(StageAreaVolume!$A$6:$A$17,MATCH(C188,StageAreaVolume!$A$6:$A$17,1)))/(INDEX(StageAreaVolume!$A$6:$A$17,MATCH(C188,StageAreaVolume!$A$6:$A$17,1)+1)-INDEX(StageAreaVolume!$A$6:$A$17,MATCH(C188,StageAreaVolume!$A$6:$A$17,1)))*(INDEX(StageAreaVolume!$B$6:$B$17,MATCH(C188,StageAreaVolume!$A$6:$A$17,1)+1)-INDEX(StageAreaVolume!$B$6:$B$17,MATCH(C188,StageAreaVolume!$A$6:$A$17,1)))))))))</f>
        <v/>
      </c>
      <c r="I188" s="18">
        <f>IF(A188="","",IF(C188="","",IF(C188&lt;=INDEX(StageAreaVolume!$A$6:$A$17,1),INDEX(StageAreaVolume!$D$6:$D$17,1),IF(C188&gt;=INDEX(StageAreaVolume!$A$6:$A$17,COUNTA(StageAreaVolume!$A$6:$A$17)),INDEX(StageAreaVolume!$D$6:$D$17,COUNTA(StageAreaVolume!$A$6:$A$17)),(INDEX(StageAreaVolume!$D$6:$D$17,MATCH(C188,StageAreaVolume!$A$6:$A$17,1))+(C188-INDEX(StageAreaVolume!$A$6:$A$17,MATCH(C188,StageAreaVolume!$A$6:$A$17,1)))/(INDEX(StageAreaVolume!$A$6:$A$17,MATCH(C188,StageAreaVolume!$A$6:$A$17,1)+1)-INDEX(StageAreaVolume!$A$6:$A$17,MATCH(C188,StageAreaVolume!$A$6:$A$17,1)))*(INDEX(StageAreaVolume!$D$6:$D$17,MATCH(C188,StageAreaVolume!$A$6:$A$17,1)+1)-INDEX(StageAreaVolume!$D$6:$D$17,MATCH(C188,StageAreaVolume!$A$6:$A$17,1)))))))))</f>
        <v/>
      </c>
      <c r="J188" s="25">
        <f>IF(A188="","",IF(A187="",NA(),C187))</f>
        <v/>
      </c>
      <c r="K188" s="19">
        <f>IF(OR(A188="",ISNA(J188)),IF(A188="","",H188),(H187+H188)/2)</f>
        <v/>
      </c>
      <c r="L188" s="19">
        <f>IF(OR(A188="",ISNA(J188)),0,IF(AND(B188=0,D188="N",E188="N",C188&lt;J188,C188&gt;0),1,0))</f>
        <v/>
      </c>
      <c r="M188" s="25">
        <f>IF(L188&lt;&gt;1,"",IF(K188&lt;=0,"",(I187-I188-G188/1000*K188)/K188*1000))</f>
        <v/>
      </c>
      <c r="N188" s="18">
        <f>IF(A188="","",IF(L188=1,I187-I188-O188,IF(OR(C188&gt;0,N(J188)&gt;0),MeanMDWIR/1000*K188,0)))</f>
        <v/>
      </c>
      <c r="O188" s="18">
        <f>IF(A188="","",G188/1000*K188)</f>
        <v/>
      </c>
      <c r="P188" s="27">
        <f>IF(A188="","",IF(L188=1,"dry",IF(D188="Y","spill",IF(B188&gt;0,"wet",IF(E188="Y","pumped","other")))))</f>
        <v/>
      </c>
    </row>
    <row r="189">
      <c r="A189" s="26">
        <f>IF(DailyPond!A189="","",DailyPond!A189)</f>
        <v/>
      </c>
      <c r="B189" s="18">
        <f>IF(A189="","",DailyPond!B189)</f>
        <v/>
      </c>
      <c r="C189" s="25">
        <f>IF(A189="","",DailyPond!C189)</f>
        <v/>
      </c>
      <c r="D189" s="27">
        <f>IF(A189="","",DailyPond!D189)</f>
        <v/>
      </c>
      <c r="E189" s="27">
        <f>IF(A189="","",DailyPond!E189)</f>
        <v/>
      </c>
      <c r="F189" s="19">
        <f>IF(A189="","",MONTH(A189))</f>
        <v/>
      </c>
      <c r="G189" s="18">
        <f>IF(A189="","",VLOOKUP(F189,Evaporation!$A$6:$B$17,2,FALSE))</f>
        <v/>
      </c>
      <c r="H189" s="19">
        <f>IF(A189="","",IF(C189="","",IF(C189&lt;=INDEX(StageAreaVolume!$A$6:$A$17,1),INDEX(StageAreaVolume!$B$6:$B$17,1),IF(C189&gt;=INDEX(StageAreaVolume!$A$6:$A$17,COUNTA(StageAreaVolume!$A$6:$A$17)),INDEX(StageAreaVolume!$B$6:$B$17,COUNTA(StageAreaVolume!$A$6:$A$17)),(INDEX(StageAreaVolume!$B$6:$B$17,MATCH(C189,StageAreaVolume!$A$6:$A$17,1))+(C189-INDEX(StageAreaVolume!$A$6:$A$17,MATCH(C189,StageAreaVolume!$A$6:$A$17,1)))/(INDEX(StageAreaVolume!$A$6:$A$17,MATCH(C189,StageAreaVolume!$A$6:$A$17,1)+1)-INDEX(StageAreaVolume!$A$6:$A$17,MATCH(C189,StageAreaVolume!$A$6:$A$17,1)))*(INDEX(StageAreaVolume!$B$6:$B$17,MATCH(C189,StageAreaVolume!$A$6:$A$17,1)+1)-INDEX(StageAreaVolume!$B$6:$B$17,MATCH(C189,StageAreaVolume!$A$6:$A$17,1)))))))))</f>
        <v/>
      </c>
      <c r="I189" s="18">
        <f>IF(A189="","",IF(C189="","",IF(C189&lt;=INDEX(StageAreaVolume!$A$6:$A$17,1),INDEX(StageAreaVolume!$D$6:$D$17,1),IF(C189&gt;=INDEX(StageAreaVolume!$A$6:$A$17,COUNTA(StageAreaVolume!$A$6:$A$17)),INDEX(StageAreaVolume!$D$6:$D$17,COUNTA(StageAreaVolume!$A$6:$A$17)),(INDEX(StageAreaVolume!$D$6:$D$17,MATCH(C189,StageAreaVolume!$A$6:$A$17,1))+(C189-INDEX(StageAreaVolume!$A$6:$A$17,MATCH(C189,StageAreaVolume!$A$6:$A$17,1)))/(INDEX(StageAreaVolume!$A$6:$A$17,MATCH(C189,StageAreaVolume!$A$6:$A$17,1)+1)-INDEX(StageAreaVolume!$A$6:$A$17,MATCH(C189,StageAreaVolume!$A$6:$A$17,1)))*(INDEX(StageAreaVolume!$D$6:$D$17,MATCH(C189,StageAreaVolume!$A$6:$A$17,1)+1)-INDEX(StageAreaVolume!$D$6:$D$17,MATCH(C189,StageAreaVolume!$A$6:$A$17,1)))))))))</f>
        <v/>
      </c>
      <c r="J189" s="25">
        <f>IF(A189="","",IF(A188="",NA(),C188))</f>
        <v/>
      </c>
      <c r="K189" s="19">
        <f>IF(OR(A189="",ISNA(J189)),IF(A189="","",H189),(H188+H189)/2)</f>
        <v/>
      </c>
      <c r="L189" s="19">
        <f>IF(OR(A189="",ISNA(J189)),0,IF(AND(B189=0,D189="N",E189="N",C189&lt;J189,C189&gt;0),1,0))</f>
        <v/>
      </c>
      <c r="M189" s="25">
        <f>IF(L189&lt;&gt;1,"",IF(K189&lt;=0,"",(I188-I189-G189/1000*K189)/K189*1000))</f>
        <v/>
      </c>
      <c r="N189" s="18">
        <f>IF(A189="","",IF(L189=1,I188-I189-O189,IF(OR(C189&gt;0,N(J189)&gt;0),MeanMDWIR/1000*K189,0)))</f>
        <v/>
      </c>
      <c r="O189" s="18">
        <f>IF(A189="","",G189/1000*K189)</f>
        <v/>
      </c>
      <c r="P189" s="27">
        <f>IF(A189="","",IF(L189=1,"dry",IF(D189="Y","spill",IF(B189&gt;0,"wet",IF(E189="Y","pumped","other")))))</f>
        <v/>
      </c>
    </row>
    <row r="190">
      <c r="A190" s="26">
        <f>IF(DailyPond!A190="","",DailyPond!A190)</f>
        <v/>
      </c>
      <c r="B190" s="18">
        <f>IF(A190="","",DailyPond!B190)</f>
        <v/>
      </c>
      <c r="C190" s="25">
        <f>IF(A190="","",DailyPond!C190)</f>
        <v/>
      </c>
      <c r="D190" s="27">
        <f>IF(A190="","",DailyPond!D190)</f>
        <v/>
      </c>
      <c r="E190" s="27">
        <f>IF(A190="","",DailyPond!E190)</f>
        <v/>
      </c>
      <c r="F190" s="19">
        <f>IF(A190="","",MONTH(A190))</f>
        <v/>
      </c>
      <c r="G190" s="18">
        <f>IF(A190="","",VLOOKUP(F190,Evaporation!$A$6:$B$17,2,FALSE))</f>
        <v/>
      </c>
      <c r="H190" s="19">
        <f>IF(A190="","",IF(C190="","",IF(C190&lt;=INDEX(StageAreaVolume!$A$6:$A$17,1),INDEX(StageAreaVolume!$B$6:$B$17,1),IF(C190&gt;=INDEX(StageAreaVolume!$A$6:$A$17,COUNTA(StageAreaVolume!$A$6:$A$17)),INDEX(StageAreaVolume!$B$6:$B$17,COUNTA(StageAreaVolume!$A$6:$A$17)),(INDEX(StageAreaVolume!$B$6:$B$17,MATCH(C190,StageAreaVolume!$A$6:$A$17,1))+(C190-INDEX(StageAreaVolume!$A$6:$A$17,MATCH(C190,StageAreaVolume!$A$6:$A$17,1)))/(INDEX(StageAreaVolume!$A$6:$A$17,MATCH(C190,StageAreaVolume!$A$6:$A$17,1)+1)-INDEX(StageAreaVolume!$A$6:$A$17,MATCH(C190,StageAreaVolume!$A$6:$A$17,1)))*(INDEX(StageAreaVolume!$B$6:$B$17,MATCH(C190,StageAreaVolume!$A$6:$A$17,1)+1)-INDEX(StageAreaVolume!$B$6:$B$17,MATCH(C190,StageAreaVolume!$A$6:$A$17,1)))))))))</f>
        <v/>
      </c>
      <c r="I190" s="18">
        <f>IF(A190="","",IF(C190="","",IF(C190&lt;=INDEX(StageAreaVolume!$A$6:$A$17,1),INDEX(StageAreaVolume!$D$6:$D$17,1),IF(C190&gt;=INDEX(StageAreaVolume!$A$6:$A$17,COUNTA(StageAreaVolume!$A$6:$A$17)),INDEX(StageAreaVolume!$D$6:$D$17,COUNTA(StageAreaVolume!$A$6:$A$17)),(INDEX(StageAreaVolume!$D$6:$D$17,MATCH(C190,StageAreaVolume!$A$6:$A$17,1))+(C190-INDEX(StageAreaVolume!$A$6:$A$17,MATCH(C190,StageAreaVolume!$A$6:$A$17,1)))/(INDEX(StageAreaVolume!$A$6:$A$17,MATCH(C190,StageAreaVolume!$A$6:$A$17,1)+1)-INDEX(StageAreaVolume!$A$6:$A$17,MATCH(C190,StageAreaVolume!$A$6:$A$17,1)))*(INDEX(StageAreaVolume!$D$6:$D$17,MATCH(C190,StageAreaVolume!$A$6:$A$17,1)+1)-INDEX(StageAreaVolume!$D$6:$D$17,MATCH(C190,StageAreaVolume!$A$6:$A$17,1)))))))))</f>
        <v/>
      </c>
      <c r="J190" s="25">
        <f>IF(A190="","",IF(A189="",NA(),C189))</f>
        <v/>
      </c>
      <c r="K190" s="19">
        <f>IF(OR(A190="",ISNA(J190)),IF(A190="","",H190),(H189+H190)/2)</f>
        <v/>
      </c>
      <c r="L190" s="19">
        <f>IF(OR(A190="",ISNA(J190)),0,IF(AND(B190=0,D190="N",E190="N",C190&lt;J190,C190&gt;0),1,0))</f>
        <v/>
      </c>
      <c r="M190" s="25">
        <f>IF(L190&lt;&gt;1,"",IF(K190&lt;=0,"",(I189-I190-G190/1000*K190)/K190*1000))</f>
        <v/>
      </c>
      <c r="N190" s="18">
        <f>IF(A190="","",IF(L190=1,I189-I190-O190,IF(OR(C190&gt;0,N(J190)&gt;0),MeanMDWIR/1000*K190,0)))</f>
        <v/>
      </c>
      <c r="O190" s="18">
        <f>IF(A190="","",G190/1000*K190)</f>
        <v/>
      </c>
      <c r="P190" s="27">
        <f>IF(A190="","",IF(L190=1,"dry",IF(D190="Y","spill",IF(B190&gt;0,"wet",IF(E190="Y","pumped","other")))))</f>
        <v/>
      </c>
    </row>
    <row r="191">
      <c r="A191" s="26">
        <f>IF(DailyPond!A191="","",DailyPond!A191)</f>
        <v/>
      </c>
      <c r="B191" s="18">
        <f>IF(A191="","",DailyPond!B191)</f>
        <v/>
      </c>
      <c r="C191" s="25">
        <f>IF(A191="","",DailyPond!C191)</f>
        <v/>
      </c>
      <c r="D191" s="27">
        <f>IF(A191="","",DailyPond!D191)</f>
        <v/>
      </c>
      <c r="E191" s="27">
        <f>IF(A191="","",DailyPond!E191)</f>
        <v/>
      </c>
      <c r="F191" s="19">
        <f>IF(A191="","",MONTH(A191))</f>
        <v/>
      </c>
      <c r="G191" s="18">
        <f>IF(A191="","",VLOOKUP(F191,Evaporation!$A$6:$B$17,2,FALSE))</f>
        <v/>
      </c>
      <c r="H191" s="19">
        <f>IF(A191="","",IF(C191="","",IF(C191&lt;=INDEX(StageAreaVolume!$A$6:$A$17,1),INDEX(StageAreaVolume!$B$6:$B$17,1),IF(C191&gt;=INDEX(StageAreaVolume!$A$6:$A$17,COUNTA(StageAreaVolume!$A$6:$A$17)),INDEX(StageAreaVolume!$B$6:$B$17,COUNTA(StageAreaVolume!$A$6:$A$17)),(INDEX(StageAreaVolume!$B$6:$B$17,MATCH(C191,StageAreaVolume!$A$6:$A$17,1))+(C191-INDEX(StageAreaVolume!$A$6:$A$17,MATCH(C191,StageAreaVolume!$A$6:$A$17,1)))/(INDEX(StageAreaVolume!$A$6:$A$17,MATCH(C191,StageAreaVolume!$A$6:$A$17,1)+1)-INDEX(StageAreaVolume!$A$6:$A$17,MATCH(C191,StageAreaVolume!$A$6:$A$17,1)))*(INDEX(StageAreaVolume!$B$6:$B$17,MATCH(C191,StageAreaVolume!$A$6:$A$17,1)+1)-INDEX(StageAreaVolume!$B$6:$B$17,MATCH(C191,StageAreaVolume!$A$6:$A$17,1)))))))))</f>
        <v/>
      </c>
      <c r="I191" s="18">
        <f>IF(A191="","",IF(C191="","",IF(C191&lt;=INDEX(StageAreaVolume!$A$6:$A$17,1),INDEX(StageAreaVolume!$D$6:$D$17,1),IF(C191&gt;=INDEX(StageAreaVolume!$A$6:$A$17,COUNTA(StageAreaVolume!$A$6:$A$17)),INDEX(StageAreaVolume!$D$6:$D$17,COUNTA(StageAreaVolume!$A$6:$A$17)),(INDEX(StageAreaVolume!$D$6:$D$17,MATCH(C191,StageAreaVolume!$A$6:$A$17,1))+(C191-INDEX(StageAreaVolume!$A$6:$A$17,MATCH(C191,StageAreaVolume!$A$6:$A$17,1)))/(INDEX(StageAreaVolume!$A$6:$A$17,MATCH(C191,StageAreaVolume!$A$6:$A$17,1)+1)-INDEX(StageAreaVolume!$A$6:$A$17,MATCH(C191,StageAreaVolume!$A$6:$A$17,1)))*(INDEX(StageAreaVolume!$D$6:$D$17,MATCH(C191,StageAreaVolume!$A$6:$A$17,1)+1)-INDEX(StageAreaVolume!$D$6:$D$17,MATCH(C191,StageAreaVolume!$A$6:$A$17,1)))))))))</f>
        <v/>
      </c>
      <c r="J191" s="25">
        <f>IF(A191="","",IF(A190="",NA(),C190))</f>
        <v/>
      </c>
      <c r="K191" s="19">
        <f>IF(OR(A191="",ISNA(J191)),IF(A191="","",H191),(H190+H191)/2)</f>
        <v/>
      </c>
      <c r="L191" s="19">
        <f>IF(OR(A191="",ISNA(J191)),0,IF(AND(B191=0,D191="N",E191="N",C191&lt;J191,C191&gt;0),1,0))</f>
        <v/>
      </c>
      <c r="M191" s="25">
        <f>IF(L191&lt;&gt;1,"",IF(K191&lt;=0,"",(I190-I191-G191/1000*K191)/K191*1000))</f>
        <v/>
      </c>
      <c r="N191" s="18">
        <f>IF(A191="","",IF(L191=1,I190-I191-O191,IF(OR(C191&gt;0,N(J191)&gt;0),MeanMDWIR/1000*K191,0)))</f>
        <v/>
      </c>
      <c r="O191" s="18">
        <f>IF(A191="","",G191/1000*K191)</f>
        <v/>
      </c>
      <c r="P191" s="27">
        <f>IF(A191="","",IF(L191=1,"dry",IF(D191="Y","spill",IF(B191&gt;0,"wet",IF(E191="Y","pumped","other")))))</f>
        <v/>
      </c>
    </row>
    <row r="192">
      <c r="A192" s="26">
        <f>IF(DailyPond!A192="","",DailyPond!A192)</f>
        <v/>
      </c>
      <c r="B192" s="18">
        <f>IF(A192="","",DailyPond!B192)</f>
        <v/>
      </c>
      <c r="C192" s="25">
        <f>IF(A192="","",DailyPond!C192)</f>
        <v/>
      </c>
      <c r="D192" s="27">
        <f>IF(A192="","",DailyPond!D192)</f>
        <v/>
      </c>
      <c r="E192" s="27">
        <f>IF(A192="","",DailyPond!E192)</f>
        <v/>
      </c>
      <c r="F192" s="19">
        <f>IF(A192="","",MONTH(A192))</f>
        <v/>
      </c>
      <c r="G192" s="18">
        <f>IF(A192="","",VLOOKUP(F192,Evaporation!$A$6:$B$17,2,FALSE))</f>
        <v/>
      </c>
      <c r="H192" s="19">
        <f>IF(A192="","",IF(C192="","",IF(C192&lt;=INDEX(StageAreaVolume!$A$6:$A$17,1),INDEX(StageAreaVolume!$B$6:$B$17,1),IF(C192&gt;=INDEX(StageAreaVolume!$A$6:$A$17,COUNTA(StageAreaVolume!$A$6:$A$17)),INDEX(StageAreaVolume!$B$6:$B$17,COUNTA(StageAreaVolume!$A$6:$A$17)),(INDEX(StageAreaVolume!$B$6:$B$17,MATCH(C192,StageAreaVolume!$A$6:$A$17,1))+(C192-INDEX(StageAreaVolume!$A$6:$A$17,MATCH(C192,StageAreaVolume!$A$6:$A$17,1)))/(INDEX(StageAreaVolume!$A$6:$A$17,MATCH(C192,StageAreaVolume!$A$6:$A$17,1)+1)-INDEX(StageAreaVolume!$A$6:$A$17,MATCH(C192,StageAreaVolume!$A$6:$A$17,1)))*(INDEX(StageAreaVolume!$B$6:$B$17,MATCH(C192,StageAreaVolume!$A$6:$A$17,1)+1)-INDEX(StageAreaVolume!$B$6:$B$17,MATCH(C192,StageAreaVolume!$A$6:$A$17,1)))))))))</f>
        <v/>
      </c>
      <c r="I192" s="18">
        <f>IF(A192="","",IF(C192="","",IF(C192&lt;=INDEX(StageAreaVolume!$A$6:$A$17,1),INDEX(StageAreaVolume!$D$6:$D$17,1),IF(C192&gt;=INDEX(StageAreaVolume!$A$6:$A$17,COUNTA(StageAreaVolume!$A$6:$A$17)),INDEX(StageAreaVolume!$D$6:$D$17,COUNTA(StageAreaVolume!$A$6:$A$17)),(INDEX(StageAreaVolume!$D$6:$D$17,MATCH(C192,StageAreaVolume!$A$6:$A$17,1))+(C192-INDEX(StageAreaVolume!$A$6:$A$17,MATCH(C192,StageAreaVolume!$A$6:$A$17,1)))/(INDEX(StageAreaVolume!$A$6:$A$17,MATCH(C192,StageAreaVolume!$A$6:$A$17,1)+1)-INDEX(StageAreaVolume!$A$6:$A$17,MATCH(C192,StageAreaVolume!$A$6:$A$17,1)))*(INDEX(StageAreaVolume!$D$6:$D$17,MATCH(C192,StageAreaVolume!$A$6:$A$17,1)+1)-INDEX(StageAreaVolume!$D$6:$D$17,MATCH(C192,StageAreaVolume!$A$6:$A$17,1)))))))))</f>
        <v/>
      </c>
      <c r="J192" s="25">
        <f>IF(A192="","",IF(A191="",NA(),C191))</f>
        <v/>
      </c>
      <c r="K192" s="19">
        <f>IF(OR(A192="",ISNA(J192)),IF(A192="","",H192),(H191+H192)/2)</f>
        <v/>
      </c>
      <c r="L192" s="19">
        <f>IF(OR(A192="",ISNA(J192)),0,IF(AND(B192=0,D192="N",E192="N",C192&lt;J192,C192&gt;0),1,0))</f>
        <v/>
      </c>
      <c r="M192" s="25">
        <f>IF(L192&lt;&gt;1,"",IF(K192&lt;=0,"",(I191-I192-G192/1000*K192)/K192*1000))</f>
        <v/>
      </c>
      <c r="N192" s="18">
        <f>IF(A192="","",IF(L192=1,I191-I192-O192,IF(OR(C192&gt;0,N(J192)&gt;0),MeanMDWIR/1000*K192,0)))</f>
        <v/>
      </c>
      <c r="O192" s="18">
        <f>IF(A192="","",G192/1000*K192)</f>
        <v/>
      </c>
      <c r="P192" s="27">
        <f>IF(A192="","",IF(L192=1,"dry",IF(D192="Y","spill",IF(B192&gt;0,"wet",IF(E192="Y","pumped","other")))))</f>
        <v/>
      </c>
    </row>
    <row r="193">
      <c r="A193" s="26">
        <f>IF(DailyPond!A193="","",DailyPond!A193)</f>
        <v/>
      </c>
      <c r="B193" s="18">
        <f>IF(A193="","",DailyPond!B193)</f>
        <v/>
      </c>
      <c r="C193" s="25">
        <f>IF(A193="","",DailyPond!C193)</f>
        <v/>
      </c>
      <c r="D193" s="27">
        <f>IF(A193="","",DailyPond!D193)</f>
        <v/>
      </c>
      <c r="E193" s="27">
        <f>IF(A193="","",DailyPond!E193)</f>
        <v/>
      </c>
      <c r="F193" s="19">
        <f>IF(A193="","",MONTH(A193))</f>
        <v/>
      </c>
      <c r="G193" s="18">
        <f>IF(A193="","",VLOOKUP(F193,Evaporation!$A$6:$B$17,2,FALSE))</f>
        <v/>
      </c>
      <c r="H193" s="19">
        <f>IF(A193="","",IF(C193="","",IF(C193&lt;=INDEX(StageAreaVolume!$A$6:$A$17,1),INDEX(StageAreaVolume!$B$6:$B$17,1),IF(C193&gt;=INDEX(StageAreaVolume!$A$6:$A$17,COUNTA(StageAreaVolume!$A$6:$A$17)),INDEX(StageAreaVolume!$B$6:$B$17,COUNTA(StageAreaVolume!$A$6:$A$17)),(INDEX(StageAreaVolume!$B$6:$B$17,MATCH(C193,StageAreaVolume!$A$6:$A$17,1))+(C193-INDEX(StageAreaVolume!$A$6:$A$17,MATCH(C193,StageAreaVolume!$A$6:$A$17,1)))/(INDEX(StageAreaVolume!$A$6:$A$17,MATCH(C193,StageAreaVolume!$A$6:$A$17,1)+1)-INDEX(StageAreaVolume!$A$6:$A$17,MATCH(C193,StageAreaVolume!$A$6:$A$17,1)))*(INDEX(StageAreaVolume!$B$6:$B$17,MATCH(C193,StageAreaVolume!$A$6:$A$17,1)+1)-INDEX(StageAreaVolume!$B$6:$B$17,MATCH(C193,StageAreaVolume!$A$6:$A$17,1)))))))))</f>
        <v/>
      </c>
      <c r="I193" s="18">
        <f>IF(A193="","",IF(C193="","",IF(C193&lt;=INDEX(StageAreaVolume!$A$6:$A$17,1),INDEX(StageAreaVolume!$D$6:$D$17,1),IF(C193&gt;=INDEX(StageAreaVolume!$A$6:$A$17,COUNTA(StageAreaVolume!$A$6:$A$17)),INDEX(StageAreaVolume!$D$6:$D$17,COUNTA(StageAreaVolume!$A$6:$A$17)),(INDEX(StageAreaVolume!$D$6:$D$17,MATCH(C193,StageAreaVolume!$A$6:$A$17,1))+(C193-INDEX(StageAreaVolume!$A$6:$A$17,MATCH(C193,StageAreaVolume!$A$6:$A$17,1)))/(INDEX(StageAreaVolume!$A$6:$A$17,MATCH(C193,StageAreaVolume!$A$6:$A$17,1)+1)-INDEX(StageAreaVolume!$A$6:$A$17,MATCH(C193,StageAreaVolume!$A$6:$A$17,1)))*(INDEX(StageAreaVolume!$D$6:$D$17,MATCH(C193,StageAreaVolume!$A$6:$A$17,1)+1)-INDEX(StageAreaVolume!$D$6:$D$17,MATCH(C193,StageAreaVolume!$A$6:$A$17,1)))))))))</f>
        <v/>
      </c>
      <c r="J193" s="25">
        <f>IF(A193="","",IF(A192="",NA(),C192))</f>
        <v/>
      </c>
      <c r="K193" s="19">
        <f>IF(OR(A193="",ISNA(J193)),IF(A193="","",H193),(H192+H193)/2)</f>
        <v/>
      </c>
      <c r="L193" s="19">
        <f>IF(OR(A193="",ISNA(J193)),0,IF(AND(B193=0,D193="N",E193="N",C193&lt;J193,C193&gt;0),1,0))</f>
        <v/>
      </c>
      <c r="M193" s="25">
        <f>IF(L193&lt;&gt;1,"",IF(K193&lt;=0,"",(I192-I193-G193/1000*K193)/K193*1000))</f>
        <v/>
      </c>
      <c r="N193" s="18">
        <f>IF(A193="","",IF(L193=1,I192-I193-O193,IF(OR(C193&gt;0,N(J193)&gt;0),MeanMDWIR/1000*K193,0)))</f>
        <v/>
      </c>
      <c r="O193" s="18">
        <f>IF(A193="","",G193/1000*K193)</f>
        <v/>
      </c>
      <c r="P193" s="27">
        <f>IF(A193="","",IF(L193=1,"dry",IF(D193="Y","spill",IF(B193&gt;0,"wet",IF(E193="Y","pumped","other")))))</f>
        <v/>
      </c>
    </row>
    <row r="194">
      <c r="A194" s="26">
        <f>IF(DailyPond!A194="","",DailyPond!A194)</f>
        <v/>
      </c>
      <c r="B194" s="18">
        <f>IF(A194="","",DailyPond!B194)</f>
        <v/>
      </c>
      <c r="C194" s="25">
        <f>IF(A194="","",DailyPond!C194)</f>
        <v/>
      </c>
      <c r="D194" s="27">
        <f>IF(A194="","",DailyPond!D194)</f>
        <v/>
      </c>
      <c r="E194" s="27">
        <f>IF(A194="","",DailyPond!E194)</f>
        <v/>
      </c>
      <c r="F194" s="19">
        <f>IF(A194="","",MONTH(A194))</f>
        <v/>
      </c>
      <c r="G194" s="18">
        <f>IF(A194="","",VLOOKUP(F194,Evaporation!$A$6:$B$17,2,FALSE))</f>
        <v/>
      </c>
      <c r="H194" s="19">
        <f>IF(A194="","",IF(C194="","",IF(C194&lt;=INDEX(StageAreaVolume!$A$6:$A$17,1),INDEX(StageAreaVolume!$B$6:$B$17,1),IF(C194&gt;=INDEX(StageAreaVolume!$A$6:$A$17,COUNTA(StageAreaVolume!$A$6:$A$17)),INDEX(StageAreaVolume!$B$6:$B$17,COUNTA(StageAreaVolume!$A$6:$A$17)),(INDEX(StageAreaVolume!$B$6:$B$17,MATCH(C194,StageAreaVolume!$A$6:$A$17,1))+(C194-INDEX(StageAreaVolume!$A$6:$A$17,MATCH(C194,StageAreaVolume!$A$6:$A$17,1)))/(INDEX(StageAreaVolume!$A$6:$A$17,MATCH(C194,StageAreaVolume!$A$6:$A$17,1)+1)-INDEX(StageAreaVolume!$A$6:$A$17,MATCH(C194,StageAreaVolume!$A$6:$A$17,1)))*(INDEX(StageAreaVolume!$B$6:$B$17,MATCH(C194,StageAreaVolume!$A$6:$A$17,1)+1)-INDEX(StageAreaVolume!$B$6:$B$17,MATCH(C194,StageAreaVolume!$A$6:$A$17,1)))))))))</f>
        <v/>
      </c>
      <c r="I194" s="18">
        <f>IF(A194="","",IF(C194="","",IF(C194&lt;=INDEX(StageAreaVolume!$A$6:$A$17,1),INDEX(StageAreaVolume!$D$6:$D$17,1),IF(C194&gt;=INDEX(StageAreaVolume!$A$6:$A$17,COUNTA(StageAreaVolume!$A$6:$A$17)),INDEX(StageAreaVolume!$D$6:$D$17,COUNTA(StageAreaVolume!$A$6:$A$17)),(INDEX(StageAreaVolume!$D$6:$D$17,MATCH(C194,StageAreaVolume!$A$6:$A$17,1))+(C194-INDEX(StageAreaVolume!$A$6:$A$17,MATCH(C194,StageAreaVolume!$A$6:$A$17,1)))/(INDEX(StageAreaVolume!$A$6:$A$17,MATCH(C194,StageAreaVolume!$A$6:$A$17,1)+1)-INDEX(StageAreaVolume!$A$6:$A$17,MATCH(C194,StageAreaVolume!$A$6:$A$17,1)))*(INDEX(StageAreaVolume!$D$6:$D$17,MATCH(C194,StageAreaVolume!$A$6:$A$17,1)+1)-INDEX(StageAreaVolume!$D$6:$D$17,MATCH(C194,StageAreaVolume!$A$6:$A$17,1)))))))))</f>
        <v/>
      </c>
      <c r="J194" s="25">
        <f>IF(A194="","",IF(A193="",NA(),C193))</f>
        <v/>
      </c>
      <c r="K194" s="19">
        <f>IF(OR(A194="",ISNA(J194)),IF(A194="","",H194),(H193+H194)/2)</f>
        <v/>
      </c>
      <c r="L194" s="19">
        <f>IF(OR(A194="",ISNA(J194)),0,IF(AND(B194=0,D194="N",E194="N",C194&lt;J194,C194&gt;0),1,0))</f>
        <v/>
      </c>
      <c r="M194" s="25">
        <f>IF(L194&lt;&gt;1,"",IF(K194&lt;=0,"",(I193-I194-G194/1000*K194)/K194*1000))</f>
        <v/>
      </c>
      <c r="N194" s="18">
        <f>IF(A194="","",IF(L194=1,I193-I194-O194,IF(OR(C194&gt;0,N(J194)&gt;0),MeanMDWIR/1000*K194,0)))</f>
        <v/>
      </c>
      <c r="O194" s="18">
        <f>IF(A194="","",G194/1000*K194)</f>
        <v/>
      </c>
      <c r="P194" s="27">
        <f>IF(A194="","",IF(L194=1,"dry",IF(D194="Y","spill",IF(B194&gt;0,"wet",IF(E194="Y","pumped","other")))))</f>
        <v/>
      </c>
    </row>
    <row r="195">
      <c r="A195" s="26">
        <f>IF(DailyPond!A195="","",DailyPond!A195)</f>
        <v/>
      </c>
      <c r="B195" s="18">
        <f>IF(A195="","",DailyPond!B195)</f>
        <v/>
      </c>
      <c r="C195" s="25">
        <f>IF(A195="","",DailyPond!C195)</f>
        <v/>
      </c>
      <c r="D195" s="27">
        <f>IF(A195="","",DailyPond!D195)</f>
        <v/>
      </c>
      <c r="E195" s="27">
        <f>IF(A195="","",DailyPond!E195)</f>
        <v/>
      </c>
      <c r="F195" s="19">
        <f>IF(A195="","",MONTH(A195))</f>
        <v/>
      </c>
      <c r="G195" s="18">
        <f>IF(A195="","",VLOOKUP(F195,Evaporation!$A$6:$B$17,2,FALSE))</f>
        <v/>
      </c>
      <c r="H195" s="19">
        <f>IF(A195="","",IF(C195="","",IF(C195&lt;=INDEX(StageAreaVolume!$A$6:$A$17,1),INDEX(StageAreaVolume!$B$6:$B$17,1),IF(C195&gt;=INDEX(StageAreaVolume!$A$6:$A$17,COUNTA(StageAreaVolume!$A$6:$A$17)),INDEX(StageAreaVolume!$B$6:$B$17,COUNTA(StageAreaVolume!$A$6:$A$17)),(INDEX(StageAreaVolume!$B$6:$B$17,MATCH(C195,StageAreaVolume!$A$6:$A$17,1))+(C195-INDEX(StageAreaVolume!$A$6:$A$17,MATCH(C195,StageAreaVolume!$A$6:$A$17,1)))/(INDEX(StageAreaVolume!$A$6:$A$17,MATCH(C195,StageAreaVolume!$A$6:$A$17,1)+1)-INDEX(StageAreaVolume!$A$6:$A$17,MATCH(C195,StageAreaVolume!$A$6:$A$17,1)))*(INDEX(StageAreaVolume!$B$6:$B$17,MATCH(C195,StageAreaVolume!$A$6:$A$17,1)+1)-INDEX(StageAreaVolume!$B$6:$B$17,MATCH(C195,StageAreaVolume!$A$6:$A$17,1)))))))))</f>
        <v/>
      </c>
      <c r="I195" s="18">
        <f>IF(A195="","",IF(C195="","",IF(C195&lt;=INDEX(StageAreaVolume!$A$6:$A$17,1),INDEX(StageAreaVolume!$D$6:$D$17,1),IF(C195&gt;=INDEX(StageAreaVolume!$A$6:$A$17,COUNTA(StageAreaVolume!$A$6:$A$17)),INDEX(StageAreaVolume!$D$6:$D$17,COUNTA(StageAreaVolume!$A$6:$A$17)),(INDEX(StageAreaVolume!$D$6:$D$17,MATCH(C195,StageAreaVolume!$A$6:$A$17,1))+(C195-INDEX(StageAreaVolume!$A$6:$A$17,MATCH(C195,StageAreaVolume!$A$6:$A$17,1)))/(INDEX(StageAreaVolume!$A$6:$A$17,MATCH(C195,StageAreaVolume!$A$6:$A$17,1)+1)-INDEX(StageAreaVolume!$A$6:$A$17,MATCH(C195,StageAreaVolume!$A$6:$A$17,1)))*(INDEX(StageAreaVolume!$D$6:$D$17,MATCH(C195,StageAreaVolume!$A$6:$A$17,1)+1)-INDEX(StageAreaVolume!$D$6:$D$17,MATCH(C195,StageAreaVolume!$A$6:$A$17,1)))))))))</f>
        <v/>
      </c>
      <c r="J195" s="25">
        <f>IF(A195="","",IF(A194="",NA(),C194))</f>
        <v/>
      </c>
      <c r="K195" s="19">
        <f>IF(OR(A195="",ISNA(J195)),IF(A195="","",H195),(H194+H195)/2)</f>
        <v/>
      </c>
      <c r="L195" s="19">
        <f>IF(OR(A195="",ISNA(J195)),0,IF(AND(B195=0,D195="N",E195="N",C195&lt;J195,C195&gt;0),1,0))</f>
        <v/>
      </c>
      <c r="M195" s="25">
        <f>IF(L195&lt;&gt;1,"",IF(K195&lt;=0,"",(I194-I195-G195/1000*K195)/K195*1000))</f>
        <v/>
      </c>
      <c r="N195" s="18">
        <f>IF(A195="","",IF(L195=1,I194-I195-O195,IF(OR(C195&gt;0,N(J195)&gt;0),MeanMDWIR/1000*K195,0)))</f>
        <v/>
      </c>
      <c r="O195" s="18">
        <f>IF(A195="","",G195/1000*K195)</f>
        <v/>
      </c>
      <c r="P195" s="27">
        <f>IF(A195="","",IF(L195=1,"dry",IF(D195="Y","spill",IF(B195&gt;0,"wet",IF(E195="Y","pumped","other")))))</f>
        <v/>
      </c>
    </row>
    <row r="196">
      <c r="A196" s="26">
        <f>IF(DailyPond!A196="","",DailyPond!A196)</f>
        <v/>
      </c>
      <c r="B196" s="18">
        <f>IF(A196="","",DailyPond!B196)</f>
        <v/>
      </c>
      <c r="C196" s="25">
        <f>IF(A196="","",DailyPond!C196)</f>
        <v/>
      </c>
      <c r="D196" s="27">
        <f>IF(A196="","",DailyPond!D196)</f>
        <v/>
      </c>
      <c r="E196" s="27">
        <f>IF(A196="","",DailyPond!E196)</f>
        <v/>
      </c>
      <c r="F196" s="19">
        <f>IF(A196="","",MONTH(A196))</f>
        <v/>
      </c>
      <c r="G196" s="18">
        <f>IF(A196="","",VLOOKUP(F196,Evaporation!$A$6:$B$17,2,FALSE))</f>
        <v/>
      </c>
      <c r="H196" s="19">
        <f>IF(A196="","",IF(C196="","",IF(C196&lt;=INDEX(StageAreaVolume!$A$6:$A$17,1),INDEX(StageAreaVolume!$B$6:$B$17,1),IF(C196&gt;=INDEX(StageAreaVolume!$A$6:$A$17,COUNTA(StageAreaVolume!$A$6:$A$17)),INDEX(StageAreaVolume!$B$6:$B$17,COUNTA(StageAreaVolume!$A$6:$A$17)),(INDEX(StageAreaVolume!$B$6:$B$17,MATCH(C196,StageAreaVolume!$A$6:$A$17,1))+(C196-INDEX(StageAreaVolume!$A$6:$A$17,MATCH(C196,StageAreaVolume!$A$6:$A$17,1)))/(INDEX(StageAreaVolume!$A$6:$A$17,MATCH(C196,StageAreaVolume!$A$6:$A$17,1)+1)-INDEX(StageAreaVolume!$A$6:$A$17,MATCH(C196,StageAreaVolume!$A$6:$A$17,1)))*(INDEX(StageAreaVolume!$B$6:$B$17,MATCH(C196,StageAreaVolume!$A$6:$A$17,1)+1)-INDEX(StageAreaVolume!$B$6:$B$17,MATCH(C196,StageAreaVolume!$A$6:$A$17,1)))))))))</f>
        <v/>
      </c>
      <c r="I196" s="18">
        <f>IF(A196="","",IF(C196="","",IF(C196&lt;=INDEX(StageAreaVolume!$A$6:$A$17,1),INDEX(StageAreaVolume!$D$6:$D$17,1),IF(C196&gt;=INDEX(StageAreaVolume!$A$6:$A$17,COUNTA(StageAreaVolume!$A$6:$A$17)),INDEX(StageAreaVolume!$D$6:$D$17,COUNTA(StageAreaVolume!$A$6:$A$17)),(INDEX(StageAreaVolume!$D$6:$D$17,MATCH(C196,StageAreaVolume!$A$6:$A$17,1))+(C196-INDEX(StageAreaVolume!$A$6:$A$17,MATCH(C196,StageAreaVolume!$A$6:$A$17,1)))/(INDEX(StageAreaVolume!$A$6:$A$17,MATCH(C196,StageAreaVolume!$A$6:$A$17,1)+1)-INDEX(StageAreaVolume!$A$6:$A$17,MATCH(C196,StageAreaVolume!$A$6:$A$17,1)))*(INDEX(StageAreaVolume!$D$6:$D$17,MATCH(C196,StageAreaVolume!$A$6:$A$17,1)+1)-INDEX(StageAreaVolume!$D$6:$D$17,MATCH(C196,StageAreaVolume!$A$6:$A$17,1)))))))))</f>
        <v/>
      </c>
      <c r="J196" s="25">
        <f>IF(A196="","",IF(A195="",NA(),C195))</f>
        <v/>
      </c>
      <c r="K196" s="19">
        <f>IF(OR(A196="",ISNA(J196)),IF(A196="","",H196),(H195+H196)/2)</f>
        <v/>
      </c>
      <c r="L196" s="19">
        <f>IF(OR(A196="",ISNA(J196)),0,IF(AND(B196=0,D196="N",E196="N",C196&lt;J196,C196&gt;0),1,0))</f>
        <v/>
      </c>
      <c r="M196" s="25">
        <f>IF(L196&lt;&gt;1,"",IF(K196&lt;=0,"",(I195-I196-G196/1000*K196)/K196*1000))</f>
        <v/>
      </c>
      <c r="N196" s="18">
        <f>IF(A196="","",IF(L196=1,I195-I196-O196,IF(OR(C196&gt;0,N(J196)&gt;0),MeanMDWIR/1000*K196,0)))</f>
        <v/>
      </c>
      <c r="O196" s="18">
        <f>IF(A196="","",G196/1000*K196)</f>
        <v/>
      </c>
      <c r="P196" s="27">
        <f>IF(A196="","",IF(L196=1,"dry",IF(D196="Y","spill",IF(B196&gt;0,"wet",IF(E196="Y","pumped","other")))))</f>
        <v/>
      </c>
    </row>
    <row r="197">
      <c r="A197" s="26">
        <f>IF(DailyPond!A197="","",DailyPond!A197)</f>
        <v/>
      </c>
      <c r="B197" s="18">
        <f>IF(A197="","",DailyPond!B197)</f>
        <v/>
      </c>
      <c r="C197" s="25">
        <f>IF(A197="","",DailyPond!C197)</f>
        <v/>
      </c>
      <c r="D197" s="27">
        <f>IF(A197="","",DailyPond!D197)</f>
        <v/>
      </c>
      <c r="E197" s="27">
        <f>IF(A197="","",DailyPond!E197)</f>
        <v/>
      </c>
      <c r="F197" s="19">
        <f>IF(A197="","",MONTH(A197))</f>
        <v/>
      </c>
      <c r="G197" s="18">
        <f>IF(A197="","",VLOOKUP(F197,Evaporation!$A$6:$B$17,2,FALSE))</f>
        <v/>
      </c>
      <c r="H197" s="19">
        <f>IF(A197="","",IF(C197="","",IF(C197&lt;=INDEX(StageAreaVolume!$A$6:$A$17,1),INDEX(StageAreaVolume!$B$6:$B$17,1),IF(C197&gt;=INDEX(StageAreaVolume!$A$6:$A$17,COUNTA(StageAreaVolume!$A$6:$A$17)),INDEX(StageAreaVolume!$B$6:$B$17,COUNTA(StageAreaVolume!$A$6:$A$17)),(INDEX(StageAreaVolume!$B$6:$B$17,MATCH(C197,StageAreaVolume!$A$6:$A$17,1))+(C197-INDEX(StageAreaVolume!$A$6:$A$17,MATCH(C197,StageAreaVolume!$A$6:$A$17,1)))/(INDEX(StageAreaVolume!$A$6:$A$17,MATCH(C197,StageAreaVolume!$A$6:$A$17,1)+1)-INDEX(StageAreaVolume!$A$6:$A$17,MATCH(C197,StageAreaVolume!$A$6:$A$17,1)))*(INDEX(StageAreaVolume!$B$6:$B$17,MATCH(C197,StageAreaVolume!$A$6:$A$17,1)+1)-INDEX(StageAreaVolume!$B$6:$B$17,MATCH(C197,StageAreaVolume!$A$6:$A$17,1)))))))))</f>
        <v/>
      </c>
      <c r="I197" s="18">
        <f>IF(A197="","",IF(C197="","",IF(C197&lt;=INDEX(StageAreaVolume!$A$6:$A$17,1),INDEX(StageAreaVolume!$D$6:$D$17,1),IF(C197&gt;=INDEX(StageAreaVolume!$A$6:$A$17,COUNTA(StageAreaVolume!$A$6:$A$17)),INDEX(StageAreaVolume!$D$6:$D$17,COUNTA(StageAreaVolume!$A$6:$A$17)),(INDEX(StageAreaVolume!$D$6:$D$17,MATCH(C197,StageAreaVolume!$A$6:$A$17,1))+(C197-INDEX(StageAreaVolume!$A$6:$A$17,MATCH(C197,StageAreaVolume!$A$6:$A$17,1)))/(INDEX(StageAreaVolume!$A$6:$A$17,MATCH(C197,StageAreaVolume!$A$6:$A$17,1)+1)-INDEX(StageAreaVolume!$A$6:$A$17,MATCH(C197,StageAreaVolume!$A$6:$A$17,1)))*(INDEX(StageAreaVolume!$D$6:$D$17,MATCH(C197,StageAreaVolume!$A$6:$A$17,1)+1)-INDEX(StageAreaVolume!$D$6:$D$17,MATCH(C197,StageAreaVolume!$A$6:$A$17,1)))))))))</f>
        <v/>
      </c>
      <c r="J197" s="25">
        <f>IF(A197="","",IF(A196="",NA(),C196))</f>
        <v/>
      </c>
      <c r="K197" s="19">
        <f>IF(OR(A197="",ISNA(J197)),IF(A197="","",H197),(H196+H197)/2)</f>
        <v/>
      </c>
      <c r="L197" s="19">
        <f>IF(OR(A197="",ISNA(J197)),0,IF(AND(B197=0,D197="N",E197="N",C197&lt;J197,C197&gt;0),1,0))</f>
        <v/>
      </c>
      <c r="M197" s="25">
        <f>IF(L197&lt;&gt;1,"",IF(K197&lt;=0,"",(I196-I197-G197/1000*K197)/K197*1000))</f>
        <v/>
      </c>
      <c r="N197" s="18">
        <f>IF(A197="","",IF(L197=1,I196-I197-O197,IF(OR(C197&gt;0,N(J197)&gt;0),MeanMDWIR/1000*K197,0)))</f>
        <v/>
      </c>
      <c r="O197" s="18">
        <f>IF(A197="","",G197/1000*K197)</f>
        <v/>
      </c>
      <c r="P197" s="27">
        <f>IF(A197="","",IF(L197=1,"dry",IF(D197="Y","spill",IF(B197&gt;0,"wet",IF(E197="Y","pumped","other")))))</f>
        <v/>
      </c>
    </row>
    <row r="198">
      <c r="A198" s="26">
        <f>IF(DailyPond!A198="","",DailyPond!A198)</f>
        <v/>
      </c>
      <c r="B198" s="18">
        <f>IF(A198="","",DailyPond!B198)</f>
        <v/>
      </c>
      <c r="C198" s="25">
        <f>IF(A198="","",DailyPond!C198)</f>
        <v/>
      </c>
      <c r="D198" s="27">
        <f>IF(A198="","",DailyPond!D198)</f>
        <v/>
      </c>
      <c r="E198" s="27">
        <f>IF(A198="","",DailyPond!E198)</f>
        <v/>
      </c>
      <c r="F198" s="19">
        <f>IF(A198="","",MONTH(A198))</f>
        <v/>
      </c>
      <c r="G198" s="18">
        <f>IF(A198="","",VLOOKUP(F198,Evaporation!$A$6:$B$17,2,FALSE))</f>
        <v/>
      </c>
      <c r="H198" s="19">
        <f>IF(A198="","",IF(C198="","",IF(C198&lt;=INDEX(StageAreaVolume!$A$6:$A$17,1),INDEX(StageAreaVolume!$B$6:$B$17,1),IF(C198&gt;=INDEX(StageAreaVolume!$A$6:$A$17,COUNTA(StageAreaVolume!$A$6:$A$17)),INDEX(StageAreaVolume!$B$6:$B$17,COUNTA(StageAreaVolume!$A$6:$A$17)),(INDEX(StageAreaVolume!$B$6:$B$17,MATCH(C198,StageAreaVolume!$A$6:$A$17,1))+(C198-INDEX(StageAreaVolume!$A$6:$A$17,MATCH(C198,StageAreaVolume!$A$6:$A$17,1)))/(INDEX(StageAreaVolume!$A$6:$A$17,MATCH(C198,StageAreaVolume!$A$6:$A$17,1)+1)-INDEX(StageAreaVolume!$A$6:$A$17,MATCH(C198,StageAreaVolume!$A$6:$A$17,1)))*(INDEX(StageAreaVolume!$B$6:$B$17,MATCH(C198,StageAreaVolume!$A$6:$A$17,1)+1)-INDEX(StageAreaVolume!$B$6:$B$17,MATCH(C198,StageAreaVolume!$A$6:$A$17,1)))))))))</f>
        <v/>
      </c>
      <c r="I198" s="18">
        <f>IF(A198="","",IF(C198="","",IF(C198&lt;=INDEX(StageAreaVolume!$A$6:$A$17,1),INDEX(StageAreaVolume!$D$6:$D$17,1),IF(C198&gt;=INDEX(StageAreaVolume!$A$6:$A$17,COUNTA(StageAreaVolume!$A$6:$A$17)),INDEX(StageAreaVolume!$D$6:$D$17,COUNTA(StageAreaVolume!$A$6:$A$17)),(INDEX(StageAreaVolume!$D$6:$D$17,MATCH(C198,StageAreaVolume!$A$6:$A$17,1))+(C198-INDEX(StageAreaVolume!$A$6:$A$17,MATCH(C198,StageAreaVolume!$A$6:$A$17,1)))/(INDEX(StageAreaVolume!$A$6:$A$17,MATCH(C198,StageAreaVolume!$A$6:$A$17,1)+1)-INDEX(StageAreaVolume!$A$6:$A$17,MATCH(C198,StageAreaVolume!$A$6:$A$17,1)))*(INDEX(StageAreaVolume!$D$6:$D$17,MATCH(C198,StageAreaVolume!$A$6:$A$17,1)+1)-INDEX(StageAreaVolume!$D$6:$D$17,MATCH(C198,StageAreaVolume!$A$6:$A$17,1)))))))))</f>
        <v/>
      </c>
      <c r="J198" s="25">
        <f>IF(A198="","",IF(A197="",NA(),C197))</f>
        <v/>
      </c>
      <c r="K198" s="19">
        <f>IF(OR(A198="",ISNA(J198)),IF(A198="","",H198),(H197+H198)/2)</f>
        <v/>
      </c>
      <c r="L198" s="19">
        <f>IF(OR(A198="",ISNA(J198)),0,IF(AND(B198=0,D198="N",E198="N",C198&lt;J198,C198&gt;0),1,0))</f>
        <v/>
      </c>
      <c r="M198" s="25">
        <f>IF(L198&lt;&gt;1,"",IF(K198&lt;=0,"",(I197-I198-G198/1000*K198)/K198*1000))</f>
        <v/>
      </c>
      <c r="N198" s="18">
        <f>IF(A198="","",IF(L198=1,I197-I198-O198,IF(OR(C198&gt;0,N(J198)&gt;0),MeanMDWIR/1000*K198,0)))</f>
        <v/>
      </c>
      <c r="O198" s="18">
        <f>IF(A198="","",G198/1000*K198)</f>
        <v/>
      </c>
      <c r="P198" s="27">
        <f>IF(A198="","",IF(L198=1,"dry",IF(D198="Y","spill",IF(B198&gt;0,"wet",IF(E198="Y","pumped","other")))))</f>
        <v/>
      </c>
    </row>
    <row r="199">
      <c r="A199" s="26">
        <f>IF(DailyPond!A199="","",DailyPond!A199)</f>
        <v/>
      </c>
      <c r="B199" s="18">
        <f>IF(A199="","",DailyPond!B199)</f>
        <v/>
      </c>
      <c r="C199" s="25">
        <f>IF(A199="","",DailyPond!C199)</f>
        <v/>
      </c>
      <c r="D199" s="27">
        <f>IF(A199="","",DailyPond!D199)</f>
        <v/>
      </c>
      <c r="E199" s="27">
        <f>IF(A199="","",DailyPond!E199)</f>
        <v/>
      </c>
      <c r="F199" s="19">
        <f>IF(A199="","",MONTH(A199))</f>
        <v/>
      </c>
      <c r="G199" s="18">
        <f>IF(A199="","",VLOOKUP(F199,Evaporation!$A$6:$B$17,2,FALSE))</f>
        <v/>
      </c>
      <c r="H199" s="19">
        <f>IF(A199="","",IF(C199="","",IF(C199&lt;=INDEX(StageAreaVolume!$A$6:$A$17,1),INDEX(StageAreaVolume!$B$6:$B$17,1),IF(C199&gt;=INDEX(StageAreaVolume!$A$6:$A$17,COUNTA(StageAreaVolume!$A$6:$A$17)),INDEX(StageAreaVolume!$B$6:$B$17,COUNTA(StageAreaVolume!$A$6:$A$17)),(INDEX(StageAreaVolume!$B$6:$B$17,MATCH(C199,StageAreaVolume!$A$6:$A$17,1))+(C199-INDEX(StageAreaVolume!$A$6:$A$17,MATCH(C199,StageAreaVolume!$A$6:$A$17,1)))/(INDEX(StageAreaVolume!$A$6:$A$17,MATCH(C199,StageAreaVolume!$A$6:$A$17,1)+1)-INDEX(StageAreaVolume!$A$6:$A$17,MATCH(C199,StageAreaVolume!$A$6:$A$17,1)))*(INDEX(StageAreaVolume!$B$6:$B$17,MATCH(C199,StageAreaVolume!$A$6:$A$17,1)+1)-INDEX(StageAreaVolume!$B$6:$B$17,MATCH(C199,StageAreaVolume!$A$6:$A$17,1)))))))))</f>
        <v/>
      </c>
      <c r="I199" s="18">
        <f>IF(A199="","",IF(C199="","",IF(C199&lt;=INDEX(StageAreaVolume!$A$6:$A$17,1),INDEX(StageAreaVolume!$D$6:$D$17,1),IF(C199&gt;=INDEX(StageAreaVolume!$A$6:$A$17,COUNTA(StageAreaVolume!$A$6:$A$17)),INDEX(StageAreaVolume!$D$6:$D$17,COUNTA(StageAreaVolume!$A$6:$A$17)),(INDEX(StageAreaVolume!$D$6:$D$17,MATCH(C199,StageAreaVolume!$A$6:$A$17,1))+(C199-INDEX(StageAreaVolume!$A$6:$A$17,MATCH(C199,StageAreaVolume!$A$6:$A$17,1)))/(INDEX(StageAreaVolume!$A$6:$A$17,MATCH(C199,StageAreaVolume!$A$6:$A$17,1)+1)-INDEX(StageAreaVolume!$A$6:$A$17,MATCH(C199,StageAreaVolume!$A$6:$A$17,1)))*(INDEX(StageAreaVolume!$D$6:$D$17,MATCH(C199,StageAreaVolume!$A$6:$A$17,1)+1)-INDEX(StageAreaVolume!$D$6:$D$17,MATCH(C199,StageAreaVolume!$A$6:$A$17,1)))))))))</f>
        <v/>
      </c>
      <c r="J199" s="25">
        <f>IF(A199="","",IF(A198="",NA(),C198))</f>
        <v/>
      </c>
      <c r="K199" s="19">
        <f>IF(OR(A199="",ISNA(J199)),IF(A199="","",H199),(H198+H199)/2)</f>
        <v/>
      </c>
      <c r="L199" s="19">
        <f>IF(OR(A199="",ISNA(J199)),0,IF(AND(B199=0,D199="N",E199="N",C199&lt;J199,C199&gt;0),1,0))</f>
        <v/>
      </c>
      <c r="M199" s="25">
        <f>IF(L199&lt;&gt;1,"",IF(K199&lt;=0,"",(I198-I199-G199/1000*K199)/K199*1000))</f>
        <v/>
      </c>
      <c r="N199" s="18">
        <f>IF(A199="","",IF(L199=1,I198-I199-O199,IF(OR(C199&gt;0,N(J199)&gt;0),MeanMDWIR/1000*K199,0)))</f>
        <v/>
      </c>
      <c r="O199" s="18">
        <f>IF(A199="","",G199/1000*K199)</f>
        <v/>
      </c>
      <c r="P199" s="27">
        <f>IF(A199="","",IF(L199=1,"dry",IF(D199="Y","spill",IF(B199&gt;0,"wet",IF(E199="Y","pumped","other")))))</f>
        <v/>
      </c>
    </row>
    <row r="200">
      <c r="A200" s="26">
        <f>IF(DailyPond!A200="","",DailyPond!A200)</f>
        <v/>
      </c>
      <c r="B200" s="18">
        <f>IF(A200="","",DailyPond!B200)</f>
        <v/>
      </c>
      <c r="C200" s="25">
        <f>IF(A200="","",DailyPond!C200)</f>
        <v/>
      </c>
      <c r="D200" s="27">
        <f>IF(A200="","",DailyPond!D200)</f>
        <v/>
      </c>
      <c r="E200" s="27">
        <f>IF(A200="","",DailyPond!E200)</f>
        <v/>
      </c>
      <c r="F200" s="19">
        <f>IF(A200="","",MONTH(A200))</f>
        <v/>
      </c>
      <c r="G200" s="18">
        <f>IF(A200="","",VLOOKUP(F200,Evaporation!$A$6:$B$17,2,FALSE))</f>
        <v/>
      </c>
      <c r="H200" s="19">
        <f>IF(A200="","",IF(C200="","",IF(C200&lt;=INDEX(StageAreaVolume!$A$6:$A$17,1),INDEX(StageAreaVolume!$B$6:$B$17,1),IF(C200&gt;=INDEX(StageAreaVolume!$A$6:$A$17,COUNTA(StageAreaVolume!$A$6:$A$17)),INDEX(StageAreaVolume!$B$6:$B$17,COUNTA(StageAreaVolume!$A$6:$A$17)),(INDEX(StageAreaVolume!$B$6:$B$17,MATCH(C200,StageAreaVolume!$A$6:$A$17,1))+(C200-INDEX(StageAreaVolume!$A$6:$A$17,MATCH(C200,StageAreaVolume!$A$6:$A$17,1)))/(INDEX(StageAreaVolume!$A$6:$A$17,MATCH(C200,StageAreaVolume!$A$6:$A$17,1)+1)-INDEX(StageAreaVolume!$A$6:$A$17,MATCH(C200,StageAreaVolume!$A$6:$A$17,1)))*(INDEX(StageAreaVolume!$B$6:$B$17,MATCH(C200,StageAreaVolume!$A$6:$A$17,1)+1)-INDEX(StageAreaVolume!$B$6:$B$17,MATCH(C200,StageAreaVolume!$A$6:$A$17,1)))))))))</f>
        <v/>
      </c>
      <c r="I200" s="18">
        <f>IF(A200="","",IF(C200="","",IF(C200&lt;=INDEX(StageAreaVolume!$A$6:$A$17,1),INDEX(StageAreaVolume!$D$6:$D$17,1),IF(C200&gt;=INDEX(StageAreaVolume!$A$6:$A$17,COUNTA(StageAreaVolume!$A$6:$A$17)),INDEX(StageAreaVolume!$D$6:$D$17,COUNTA(StageAreaVolume!$A$6:$A$17)),(INDEX(StageAreaVolume!$D$6:$D$17,MATCH(C200,StageAreaVolume!$A$6:$A$17,1))+(C200-INDEX(StageAreaVolume!$A$6:$A$17,MATCH(C200,StageAreaVolume!$A$6:$A$17,1)))/(INDEX(StageAreaVolume!$A$6:$A$17,MATCH(C200,StageAreaVolume!$A$6:$A$17,1)+1)-INDEX(StageAreaVolume!$A$6:$A$17,MATCH(C200,StageAreaVolume!$A$6:$A$17,1)))*(INDEX(StageAreaVolume!$D$6:$D$17,MATCH(C200,StageAreaVolume!$A$6:$A$17,1)+1)-INDEX(StageAreaVolume!$D$6:$D$17,MATCH(C200,StageAreaVolume!$A$6:$A$17,1)))))))))</f>
        <v/>
      </c>
      <c r="J200" s="25">
        <f>IF(A200="","",IF(A199="",NA(),C199))</f>
        <v/>
      </c>
      <c r="K200" s="19">
        <f>IF(OR(A200="",ISNA(J200)),IF(A200="","",H200),(H199+H200)/2)</f>
        <v/>
      </c>
      <c r="L200" s="19">
        <f>IF(OR(A200="",ISNA(J200)),0,IF(AND(B200=0,D200="N",E200="N",C200&lt;J200,C200&gt;0),1,0))</f>
        <v/>
      </c>
      <c r="M200" s="25">
        <f>IF(L200&lt;&gt;1,"",IF(K200&lt;=0,"",(I199-I200-G200/1000*K200)/K200*1000))</f>
        <v/>
      </c>
      <c r="N200" s="18">
        <f>IF(A200="","",IF(L200=1,I199-I200-O200,IF(OR(C200&gt;0,N(J200)&gt;0),MeanMDWIR/1000*K200,0)))</f>
        <v/>
      </c>
      <c r="O200" s="18">
        <f>IF(A200="","",G200/1000*K200)</f>
        <v/>
      </c>
      <c r="P200" s="27">
        <f>IF(A200="","",IF(L200=1,"dry",IF(D200="Y","spill",IF(B200&gt;0,"wet",IF(E200="Y","pumped","other")))))</f>
        <v/>
      </c>
    </row>
    <row r="201">
      <c r="A201" s="26">
        <f>IF(DailyPond!A201="","",DailyPond!A201)</f>
        <v/>
      </c>
      <c r="B201" s="18">
        <f>IF(A201="","",DailyPond!B201)</f>
        <v/>
      </c>
      <c r="C201" s="25">
        <f>IF(A201="","",DailyPond!C201)</f>
        <v/>
      </c>
      <c r="D201" s="27">
        <f>IF(A201="","",DailyPond!D201)</f>
        <v/>
      </c>
      <c r="E201" s="27">
        <f>IF(A201="","",DailyPond!E201)</f>
        <v/>
      </c>
      <c r="F201" s="19">
        <f>IF(A201="","",MONTH(A201))</f>
        <v/>
      </c>
      <c r="G201" s="18">
        <f>IF(A201="","",VLOOKUP(F201,Evaporation!$A$6:$B$17,2,FALSE))</f>
        <v/>
      </c>
      <c r="H201" s="19">
        <f>IF(A201="","",IF(C201="","",IF(C201&lt;=INDEX(StageAreaVolume!$A$6:$A$17,1),INDEX(StageAreaVolume!$B$6:$B$17,1),IF(C201&gt;=INDEX(StageAreaVolume!$A$6:$A$17,COUNTA(StageAreaVolume!$A$6:$A$17)),INDEX(StageAreaVolume!$B$6:$B$17,COUNTA(StageAreaVolume!$A$6:$A$17)),(INDEX(StageAreaVolume!$B$6:$B$17,MATCH(C201,StageAreaVolume!$A$6:$A$17,1))+(C201-INDEX(StageAreaVolume!$A$6:$A$17,MATCH(C201,StageAreaVolume!$A$6:$A$17,1)))/(INDEX(StageAreaVolume!$A$6:$A$17,MATCH(C201,StageAreaVolume!$A$6:$A$17,1)+1)-INDEX(StageAreaVolume!$A$6:$A$17,MATCH(C201,StageAreaVolume!$A$6:$A$17,1)))*(INDEX(StageAreaVolume!$B$6:$B$17,MATCH(C201,StageAreaVolume!$A$6:$A$17,1)+1)-INDEX(StageAreaVolume!$B$6:$B$17,MATCH(C201,StageAreaVolume!$A$6:$A$17,1)))))))))</f>
        <v/>
      </c>
      <c r="I201" s="18">
        <f>IF(A201="","",IF(C201="","",IF(C201&lt;=INDEX(StageAreaVolume!$A$6:$A$17,1),INDEX(StageAreaVolume!$D$6:$D$17,1),IF(C201&gt;=INDEX(StageAreaVolume!$A$6:$A$17,COUNTA(StageAreaVolume!$A$6:$A$17)),INDEX(StageAreaVolume!$D$6:$D$17,COUNTA(StageAreaVolume!$A$6:$A$17)),(INDEX(StageAreaVolume!$D$6:$D$17,MATCH(C201,StageAreaVolume!$A$6:$A$17,1))+(C201-INDEX(StageAreaVolume!$A$6:$A$17,MATCH(C201,StageAreaVolume!$A$6:$A$17,1)))/(INDEX(StageAreaVolume!$A$6:$A$17,MATCH(C201,StageAreaVolume!$A$6:$A$17,1)+1)-INDEX(StageAreaVolume!$A$6:$A$17,MATCH(C201,StageAreaVolume!$A$6:$A$17,1)))*(INDEX(StageAreaVolume!$D$6:$D$17,MATCH(C201,StageAreaVolume!$A$6:$A$17,1)+1)-INDEX(StageAreaVolume!$D$6:$D$17,MATCH(C201,StageAreaVolume!$A$6:$A$17,1)))))))))</f>
        <v/>
      </c>
      <c r="J201" s="25">
        <f>IF(A201="","",IF(A200="",NA(),C200))</f>
        <v/>
      </c>
      <c r="K201" s="19">
        <f>IF(OR(A201="",ISNA(J201)),IF(A201="","",H201),(H200+H201)/2)</f>
        <v/>
      </c>
      <c r="L201" s="19">
        <f>IF(OR(A201="",ISNA(J201)),0,IF(AND(B201=0,D201="N",E201="N",C201&lt;J201,C201&gt;0),1,0))</f>
        <v/>
      </c>
      <c r="M201" s="25">
        <f>IF(L201&lt;&gt;1,"",IF(K201&lt;=0,"",(I200-I201-G201/1000*K201)/K201*1000))</f>
        <v/>
      </c>
      <c r="N201" s="18">
        <f>IF(A201="","",IF(L201=1,I200-I201-O201,IF(OR(C201&gt;0,N(J201)&gt;0),MeanMDWIR/1000*K201,0)))</f>
        <v/>
      </c>
      <c r="O201" s="18">
        <f>IF(A201="","",G201/1000*K201)</f>
        <v/>
      </c>
      <c r="P201" s="27">
        <f>IF(A201="","",IF(L201=1,"dry",IF(D201="Y","spill",IF(B201&gt;0,"wet",IF(E201="Y","pumped","other")))))</f>
        <v/>
      </c>
    </row>
    <row r="202">
      <c r="A202" s="26">
        <f>IF(DailyPond!A202="","",DailyPond!A202)</f>
        <v/>
      </c>
      <c r="B202" s="18">
        <f>IF(A202="","",DailyPond!B202)</f>
        <v/>
      </c>
      <c r="C202" s="25">
        <f>IF(A202="","",DailyPond!C202)</f>
        <v/>
      </c>
      <c r="D202" s="27">
        <f>IF(A202="","",DailyPond!D202)</f>
        <v/>
      </c>
      <c r="E202" s="27">
        <f>IF(A202="","",DailyPond!E202)</f>
        <v/>
      </c>
      <c r="F202" s="19">
        <f>IF(A202="","",MONTH(A202))</f>
        <v/>
      </c>
      <c r="G202" s="18">
        <f>IF(A202="","",VLOOKUP(F202,Evaporation!$A$6:$B$17,2,FALSE))</f>
        <v/>
      </c>
      <c r="H202" s="19">
        <f>IF(A202="","",IF(C202="","",IF(C202&lt;=INDEX(StageAreaVolume!$A$6:$A$17,1),INDEX(StageAreaVolume!$B$6:$B$17,1),IF(C202&gt;=INDEX(StageAreaVolume!$A$6:$A$17,COUNTA(StageAreaVolume!$A$6:$A$17)),INDEX(StageAreaVolume!$B$6:$B$17,COUNTA(StageAreaVolume!$A$6:$A$17)),(INDEX(StageAreaVolume!$B$6:$B$17,MATCH(C202,StageAreaVolume!$A$6:$A$17,1))+(C202-INDEX(StageAreaVolume!$A$6:$A$17,MATCH(C202,StageAreaVolume!$A$6:$A$17,1)))/(INDEX(StageAreaVolume!$A$6:$A$17,MATCH(C202,StageAreaVolume!$A$6:$A$17,1)+1)-INDEX(StageAreaVolume!$A$6:$A$17,MATCH(C202,StageAreaVolume!$A$6:$A$17,1)))*(INDEX(StageAreaVolume!$B$6:$B$17,MATCH(C202,StageAreaVolume!$A$6:$A$17,1)+1)-INDEX(StageAreaVolume!$B$6:$B$17,MATCH(C202,StageAreaVolume!$A$6:$A$17,1)))))))))</f>
        <v/>
      </c>
      <c r="I202" s="18">
        <f>IF(A202="","",IF(C202="","",IF(C202&lt;=INDEX(StageAreaVolume!$A$6:$A$17,1),INDEX(StageAreaVolume!$D$6:$D$17,1),IF(C202&gt;=INDEX(StageAreaVolume!$A$6:$A$17,COUNTA(StageAreaVolume!$A$6:$A$17)),INDEX(StageAreaVolume!$D$6:$D$17,COUNTA(StageAreaVolume!$A$6:$A$17)),(INDEX(StageAreaVolume!$D$6:$D$17,MATCH(C202,StageAreaVolume!$A$6:$A$17,1))+(C202-INDEX(StageAreaVolume!$A$6:$A$17,MATCH(C202,StageAreaVolume!$A$6:$A$17,1)))/(INDEX(StageAreaVolume!$A$6:$A$17,MATCH(C202,StageAreaVolume!$A$6:$A$17,1)+1)-INDEX(StageAreaVolume!$A$6:$A$17,MATCH(C202,StageAreaVolume!$A$6:$A$17,1)))*(INDEX(StageAreaVolume!$D$6:$D$17,MATCH(C202,StageAreaVolume!$A$6:$A$17,1)+1)-INDEX(StageAreaVolume!$D$6:$D$17,MATCH(C202,StageAreaVolume!$A$6:$A$17,1)))))))))</f>
        <v/>
      </c>
      <c r="J202" s="25">
        <f>IF(A202="","",IF(A201="",NA(),C201))</f>
        <v/>
      </c>
      <c r="K202" s="19">
        <f>IF(OR(A202="",ISNA(J202)),IF(A202="","",H202),(H201+H202)/2)</f>
        <v/>
      </c>
      <c r="L202" s="19">
        <f>IF(OR(A202="",ISNA(J202)),0,IF(AND(B202=0,D202="N",E202="N",C202&lt;J202,C202&gt;0),1,0))</f>
        <v/>
      </c>
      <c r="M202" s="25">
        <f>IF(L202&lt;&gt;1,"",IF(K202&lt;=0,"",(I201-I202-G202/1000*K202)/K202*1000))</f>
        <v/>
      </c>
      <c r="N202" s="18">
        <f>IF(A202="","",IF(L202=1,I201-I202-O202,IF(OR(C202&gt;0,N(J202)&gt;0),MeanMDWIR/1000*K202,0)))</f>
        <v/>
      </c>
      <c r="O202" s="18">
        <f>IF(A202="","",G202/1000*K202)</f>
        <v/>
      </c>
      <c r="P202" s="27">
        <f>IF(A202="","",IF(L202=1,"dry",IF(D202="Y","spill",IF(B202&gt;0,"wet",IF(E202="Y","pumped","other")))))</f>
        <v/>
      </c>
    </row>
    <row r="203">
      <c r="A203" s="26">
        <f>IF(DailyPond!A203="","",DailyPond!A203)</f>
        <v/>
      </c>
      <c r="B203" s="18">
        <f>IF(A203="","",DailyPond!B203)</f>
        <v/>
      </c>
      <c r="C203" s="25">
        <f>IF(A203="","",DailyPond!C203)</f>
        <v/>
      </c>
      <c r="D203" s="27">
        <f>IF(A203="","",DailyPond!D203)</f>
        <v/>
      </c>
      <c r="E203" s="27">
        <f>IF(A203="","",DailyPond!E203)</f>
        <v/>
      </c>
      <c r="F203" s="19">
        <f>IF(A203="","",MONTH(A203))</f>
        <v/>
      </c>
      <c r="G203" s="18">
        <f>IF(A203="","",VLOOKUP(F203,Evaporation!$A$6:$B$17,2,FALSE))</f>
        <v/>
      </c>
      <c r="H203" s="19">
        <f>IF(A203="","",IF(C203="","",IF(C203&lt;=INDEX(StageAreaVolume!$A$6:$A$17,1),INDEX(StageAreaVolume!$B$6:$B$17,1),IF(C203&gt;=INDEX(StageAreaVolume!$A$6:$A$17,COUNTA(StageAreaVolume!$A$6:$A$17)),INDEX(StageAreaVolume!$B$6:$B$17,COUNTA(StageAreaVolume!$A$6:$A$17)),(INDEX(StageAreaVolume!$B$6:$B$17,MATCH(C203,StageAreaVolume!$A$6:$A$17,1))+(C203-INDEX(StageAreaVolume!$A$6:$A$17,MATCH(C203,StageAreaVolume!$A$6:$A$17,1)))/(INDEX(StageAreaVolume!$A$6:$A$17,MATCH(C203,StageAreaVolume!$A$6:$A$17,1)+1)-INDEX(StageAreaVolume!$A$6:$A$17,MATCH(C203,StageAreaVolume!$A$6:$A$17,1)))*(INDEX(StageAreaVolume!$B$6:$B$17,MATCH(C203,StageAreaVolume!$A$6:$A$17,1)+1)-INDEX(StageAreaVolume!$B$6:$B$17,MATCH(C203,StageAreaVolume!$A$6:$A$17,1)))))))))</f>
        <v/>
      </c>
      <c r="I203" s="18">
        <f>IF(A203="","",IF(C203="","",IF(C203&lt;=INDEX(StageAreaVolume!$A$6:$A$17,1),INDEX(StageAreaVolume!$D$6:$D$17,1),IF(C203&gt;=INDEX(StageAreaVolume!$A$6:$A$17,COUNTA(StageAreaVolume!$A$6:$A$17)),INDEX(StageAreaVolume!$D$6:$D$17,COUNTA(StageAreaVolume!$A$6:$A$17)),(INDEX(StageAreaVolume!$D$6:$D$17,MATCH(C203,StageAreaVolume!$A$6:$A$17,1))+(C203-INDEX(StageAreaVolume!$A$6:$A$17,MATCH(C203,StageAreaVolume!$A$6:$A$17,1)))/(INDEX(StageAreaVolume!$A$6:$A$17,MATCH(C203,StageAreaVolume!$A$6:$A$17,1)+1)-INDEX(StageAreaVolume!$A$6:$A$17,MATCH(C203,StageAreaVolume!$A$6:$A$17,1)))*(INDEX(StageAreaVolume!$D$6:$D$17,MATCH(C203,StageAreaVolume!$A$6:$A$17,1)+1)-INDEX(StageAreaVolume!$D$6:$D$17,MATCH(C203,StageAreaVolume!$A$6:$A$17,1)))))))))</f>
        <v/>
      </c>
      <c r="J203" s="25">
        <f>IF(A203="","",IF(A202="",NA(),C202))</f>
        <v/>
      </c>
      <c r="K203" s="19">
        <f>IF(OR(A203="",ISNA(J203)),IF(A203="","",H203),(H202+H203)/2)</f>
        <v/>
      </c>
      <c r="L203" s="19">
        <f>IF(OR(A203="",ISNA(J203)),0,IF(AND(B203=0,D203="N",E203="N",C203&lt;J203,C203&gt;0),1,0))</f>
        <v/>
      </c>
      <c r="M203" s="25">
        <f>IF(L203&lt;&gt;1,"",IF(K203&lt;=0,"",(I202-I203-G203/1000*K203)/K203*1000))</f>
        <v/>
      </c>
      <c r="N203" s="18">
        <f>IF(A203="","",IF(L203=1,I202-I203-O203,IF(OR(C203&gt;0,N(J203)&gt;0),MeanMDWIR/1000*K203,0)))</f>
        <v/>
      </c>
      <c r="O203" s="18">
        <f>IF(A203="","",G203/1000*K203)</f>
        <v/>
      </c>
      <c r="P203" s="27">
        <f>IF(A203="","",IF(L203=1,"dry",IF(D203="Y","spill",IF(B203&gt;0,"wet",IF(E203="Y","pumped","other")))))</f>
        <v/>
      </c>
    </row>
    <row r="204">
      <c r="A204" s="26">
        <f>IF(DailyPond!A204="","",DailyPond!A204)</f>
        <v/>
      </c>
      <c r="B204" s="18">
        <f>IF(A204="","",DailyPond!B204)</f>
        <v/>
      </c>
      <c r="C204" s="25">
        <f>IF(A204="","",DailyPond!C204)</f>
        <v/>
      </c>
      <c r="D204" s="27">
        <f>IF(A204="","",DailyPond!D204)</f>
        <v/>
      </c>
      <c r="E204" s="27">
        <f>IF(A204="","",DailyPond!E204)</f>
        <v/>
      </c>
      <c r="F204" s="19">
        <f>IF(A204="","",MONTH(A204))</f>
        <v/>
      </c>
      <c r="G204" s="18">
        <f>IF(A204="","",VLOOKUP(F204,Evaporation!$A$6:$B$17,2,FALSE))</f>
        <v/>
      </c>
      <c r="H204" s="19">
        <f>IF(A204="","",IF(C204="","",IF(C204&lt;=INDEX(StageAreaVolume!$A$6:$A$17,1),INDEX(StageAreaVolume!$B$6:$B$17,1),IF(C204&gt;=INDEX(StageAreaVolume!$A$6:$A$17,COUNTA(StageAreaVolume!$A$6:$A$17)),INDEX(StageAreaVolume!$B$6:$B$17,COUNTA(StageAreaVolume!$A$6:$A$17)),(INDEX(StageAreaVolume!$B$6:$B$17,MATCH(C204,StageAreaVolume!$A$6:$A$17,1))+(C204-INDEX(StageAreaVolume!$A$6:$A$17,MATCH(C204,StageAreaVolume!$A$6:$A$17,1)))/(INDEX(StageAreaVolume!$A$6:$A$17,MATCH(C204,StageAreaVolume!$A$6:$A$17,1)+1)-INDEX(StageAreaVolume!$A$6:$A$17,MATCH(C204,StageAreaVolume!$A$6:$A$17,1)))*(INDEX(StageAreaVolume!$B$6:$B$17,MATCH(C204,StageAreaVolume!$A$6:$A$17,1)+1)-INDEX(StageAreaVolume!$B$6:$B$17,MATCH(C204,StageAreaVolume!$A$6:$A$17,1)))))))))</f>
        <v/>
      </c>
      <c r="I204" s="18">
        <f>IF(A204="","",IF(C204="","",IF(C204&lt;=INDEX(StageAreaVolume!$A$6:$A$17,1),INDEX(StageAreaVolume!$D$6:$D$17,1),IF(C204&gt;=INDEX(StageAreaVolume!$A$6:$A$17,COUNTA(StageAreaVolume!$A$6:$A$17)),INDEX(StageAreaVolume!$D$6:$D$17,COUNTA(StageAreaVolume!$A$6:$A$17)),(INDEX(StageAreaVolume!$D$6:$D$17,MATCH(C204,StageAreaVolume!$A$6:$A$17,1))+(C204-INDEX(StageAreaVolume!$A$6:$A$17,MATCH(C204,StageAreaVolume!$A$6:$A$17,1)))/(INDEX(StageAreaVolume!$A$6:$A$17,MATCH(C204,StageAreaVolume!$A$6:$A$17,1)+1)-INDEX(StageAreaVolume!$A$6:$A$17,MATCH(C204,StageAreaVolume!$A$6:$A$17,1)))*(INDEX(StageAreaVolume!$D$6:$D$17,MATCH(C204,StageAreaVolume!$A$6:$A$17,1)+1)-INDEX(StageAreaVolume!$D$6:$D$17,MATCH(C204,StageAreaVolume!$A$6:$A$17,1)))))))))</f>
        <v/>
      </c>
      <c r="J204" s="25">
        <f>IF(A204="","",IF(A203="",NA(),C203))</f>
        <v/>
      </c>
      <c r="K204" s="19">
        <f>IF(OR(A204="",ISNA(J204)),IF(A204="","",H204),(H203+H204)/2)</f>
        <v/>
      </c>
      <c r="L204" s="19">
        <f>IF(OR(A204="",ISNA(J204)),0,IF(AND(B204=0,D204="N",E204="N",C204&lt;J204,C204&gt;0),1,0))</f>
        <v/>
      </c>
      <c r="M204" s="25">
        <f>IF(L204&lt;&gt;1,"",IF(K204&lt;=0,"",(I203-I204-G204/1000*K204)/K204*1000))</f>
        <v/>
      </c>
      <c r="N204" s="18">
        <f>IF(A204="","",IF(L204=1,I203-I204-O204,IF(OR(C204&gt;0,N(J204)&gt;0),MeanMDWIR/1000*K204,0)))</f>
        <v/>
      </c>
      <c r="O204" s="18">
        <f>IF(A204="","",G204/1000*K204)</f>
        <v/>
      </c>
      <c r="P204" s="27">
        <f>IF(A204="","",IF(L204=1,"dry",IF(D204="Y","spill",IF(B204&gt;0,"wet",IF(E204="Y","pumped","other")))))</f>
        <v/>
      </c>
    </row>
  </sheetData>
  <mergeCells count="1">
    <mergeCell ref="A2:P3"/>
  </mergeCells>
  <conditionalFormatting sqref="L5:L204">
    <cfRule type="expression" priority="1" dxfId="0">
      <formula>L5=1</formula>
    </cfRule>
  </conditionalFormatting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tabColor rgb="0052B788"/>
    <outlinePr summaryBelow="1" summaryRight="1"/>
    <pageSetUpPr fitToPage="1"/>
  </sheetPr>
  <dimension ref="A1:O2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12" customWidth="1" min="4" max="4"/>
    <col width="14" customWidth="1" min="5" max="5"/>
    <col width="16" customWidth="1" min="6" max="6"/>
    <col width="14" customWidth="1" min="7" max="7"/>
    <col width="12" customWidth="1" min="8" max="8"/>
    <col width="20" customWidth="1" min="9" max="9"/>
    <col width="12" customWidth="1" min="10" max="10"/>
    <col width="32" customWidth="1" min="11" max="11"/>
    <col width="14" customWidth="1" min="12" max="12"/>
    <col width="12" customWidth="1" min="13" max="13"/>
    <col width="12" customWidth="1" min="14" max="14"/>
    <col width="16" customWidth="1" min="15" max="15"/>
  </cols>
  <sheetData>
    <row r="1">
      <c r="A1" s="1" t="inlineStr">
        <is>
          <t>Wells (Form C) — INPUT + Δh</t>
        </is>
      </c>
    </row>
    <row r="2">
      <c r="A2" s="2" t="inlineStr">
        <is>
          <t>One row per visit per well. WaterElevation = RimElev_masl − DTW. Seasonal rise for each well is MAX−MIN elevation in this sheet. I4 uses mean rise of W-N and W-M minus mean rise of C.</t>
        </is>
      </c>
    </row>
    <row r="3"/>
    <row r="4" ht="28" customHeight="1">
      <c r="A4" s="4" t="inlineStr">
        <is>
          <t>Date</t>
        </is>
      </c>
      <c r="B4" s="4" t="inlineStr">
        <is>
          <t>Well ID</t>
        </is>
      </c>
      <c r="C4" s="4" t="inlineStr">
        <is>
          <t>Class (W-N/W-M/W-F/C/KS)</t>
        </is>
      </c>
      <c r="D4" s="4" t="inlineStr">
        <is>
          <t>DTW (m)</t>
        </is>
      </c>
      <c r="E4" s="4" t="inlineStr">
        <is>
          <t>Rim elev (m asl)</t>
        </is>
      </c>
      <c r="F4" s="4" t="inlineStr">
        <is>
          <t>Water elev (m asl)</t>
        </is>
      </c>
      <c r="G4" s="4" t="inlineStr">
        <is>
          <t>Pump on (Y/N)</t>
        </is>
      </c>
      <c r="H4" s="4" t="inlineStr">
        <is>
          <t>EC (µS/cm)</t>
        </is>
      </c>
      <c r="I4" s="4" t="inlineStr">
        <is>
          <t>Notes</t>
        </is>
      </c>
      <c r="K4" s="31" t="inlineStr">
        <is>
          <t>Well ID</t>
        </is>
      </c>
      <c r="L4" s="31" t="inlineStr">
        <is>
          <t>Class</t>
        </is>
      </c>
      <c r="M4" s="31" t="inlineStr">
        <is>
          <t>Min elev</t>
        </is>
      </c>
      <c r="N4" s="31" t="inlineStr">
        <is>
          <t>Max elev</t>
        </is>
      </c>
      <c r="O4" s="31" t="inlineStr">
        <is>
          <t>Seasonal Δh (m)</t>
        </is>
      </c>
    </row>
    <row r="5">
      <c r="A5" s="20" t="inlineStr">
        <is>
          <t>2025-03-01</t>
        </is>
      </c>
      <c r="B5" s="11" t="inlineStr">
        <is>
          <t>W-N1</t>
        </is>
      </c>
      <c r="C5" s="11" t="inlineStr">
        <is>
          <t>W-N</t>
        </is>
      </c>
      <c r="D5" s="14" t="n">
        <v>14.2</v>
      </c>
      <c r="E5" s="14" t="n">
        <v>1012.4</v>
      </c>
      <c r="F5" s="25">
        <f>IF(D5="","",E5-D5)</f>
        <v/>
      </c>
      <c r="G5" s="11" t="inlineStr">
        <is>
          <t>N</t>
        </is>
      </c>
      <c r="H5" s="13" t="n"/>
      <c r="I5" s="21" t="n"/>
      <c r="K5" s="11" t="inlineStr">
        <is>
          <t>W-N1</t>
        </is>
      </c>
      <c r="L5" s="27">
        <f>IFERROR(INDEX($C$5:$C$204,MATCH(K5,$B$5:$B$204,0)),"")</f>
        <v/>
      </c>
      <c r="M5" s="25">
        <f>IF(K5="","",MINIFS($F$5:$F$204,$B$5:$B$204,K5))</f>
        <v/>
      </c>
      <c r="N5" s="25">
        <f>IF(K5="","",MAXIFS($F$5:$F$204,$B$5:$B$204,K5))</f>
        <v/>
      </c>
      <c r="O5" s="25">
        <f>IF(K5="","",N5-M5)</f>
        <v/>
      </c>
    </row>
    <row r="6">
      <c r="A6" s="20" t="inlineStr">
        <is>
          <t>2025-03-25</t>
        </is>
      </c>
      <c r="B6" s="11" t="inlineStr">
        <is>
          <t>W-N1</t>
        </is>
      </c>
      <c r="C6" s="11" t="inlineStr">
        <is>
          <t>W-N</t>
        </is>
      </c>
      <c r="D6" s="14" t="n">
        <v>12.4</v>
      </c>
      <c r="E6" s="14" t="n">
        <v>1012.4</v>
      </c>
      <c r="F6" s="25">
        <f>IF(D6="","",E6-D6)</f>
        <v/>
      </c>
      <c r="G6" s="11" t="inlineStr">
        <is>
          <t>N</t>
        </is>
      </c>
      <c r="H6" s="13" t="n"/>
      <c r="I6" s="21" t="n"/>
      <c r="K6" s="11" t="inlineStr">
        <is>
          <t>W-N2</t>
        </is>
      </c>
      <c r="L6" s="27">
        <f>IFERROR(INDEX($C$5:$C$204,MATCH(K6,$B$5:$B$204,0)),"")</f>
        <v/>
      </c>
      <c r="M6" s="25">
        <f>IF(K6="","",MINIFS($F$5:$F$204,$B$5:$B$204,K6))</f>
        <v/>
      </c>
      <c r="N6" s="25">
        <f>IF(K6="","",MAXIFS($F$5:$F$204,$B$5:$B$204,K6))</f>
        <v/>
      </c>
      <c r="O6" s="25">
        <f>IF(K6="","",N6-M6)</f>
        <v/>
      </c>
    </row>
    <row r="7">
      <c r="A7" s="20" t="inlineStr">
        <is>
          <t>2025-04-20</t>
        </is>
      </c>
      <c r="B7" s="11" t="inlineStr">
        <is>
          <t>W-N1</t>
        </is>
      </c>
      <c r="C7" s="11" t="inlineStr">
        <is>
          <t>W-N</t>
        </is>
      </c>
      <c r="D7" s="14" t="n">
        <v>13.1</v>
      </c>
      <c r="E7" s="14" t="n">
        <v>1012.4</v>
      </c>
      <c r="F7" s="25">
        <f>IF(D7="","",E7-D7)</f>
        <v/>
      </c>
      <c r="G7" s="11" t="inlineStr">
        <is>
          <t>N</t>
        </is>
      </c>
      <c r="H7" s="13" t="n"/>
      <c r="I7" s="21" t="n"/>
      <c r="K7" s="11" t="inlineStr">
        <is>
          <t>W-M1</t>
        </is>
      </c>
      <c r="L7" s="27">
        <f>IFERROR(INDEX($C$5:$C$204,MATCH(K7,$B$5:$B$204,0)),"")</f>
        <v/>
      </c>
      <c r="M7" s="25">
        <f>IF(K7="","",MINIFS($F$5:$F$204,$B$5:$B$204,K7))</f>
        <v/>
      </c>
      <c r="N7" s="25">
        <f>IF(K7="","",MAXIFS($F$5:$F$204,$B$5:$B$204,K7))</f>
        <v/>
      </c>
      <c r="O7" s="25">
        <f>IF(K7="","",N7-M7)</f>
        <v/>
      </c>
    </row>
    <row r="8">
      <c r="A8" s="20" t="inlineStr">
        <is>
          <t>2025-03-01</t>
        </is>
      </c>
      <c r="B8" s="11" t="inlineStr">
        <is>
          <t>W-N2</t>
        </is>
      </c>
      <c r="C8" s="11" t="inlineStr">
        <is>
          <t>W-N</t>
        </is>
      </c>
      <c r="D8" s="14" t="n">
        <v>13.5</v>
      </c>
      <c r="E8" s="14" t="n">
        <v>1011.8</v>
      </c>
      <c r="F8" s="25">
        <f>IF(D8="","",E8-D8)</f>
        <v/>
      </c>
      <c r="G8" s="11" t="inlineStr">
        <is>
          <t>N</t>
        </is>
      </c>
      <c r="H8" s="13" t="n"/>
      <c r="I8" s="21" t="n"/>
      <c r="K8" s="11" t="inlineStr">
        <is>
          <t>W-M2</t>
        </is>
      </c>
      <c r="L8" s="27">
        <f>IFERROR(INDEX($C$5:$C$204,MATCH(K8,$B$5:$B$204,0)),"")</f>
        <v/>
      </c>
      <c r="M8" s="25">
        <f>IF(K8="","",MINIFS($F$5:$F$204,$B$5:$B$204,K8))</f>
        <v/>
      </c>
      <c r="N8" s="25">
        <f>IF(K8="","",MAXIFS($F$5:$F$204,$B$5:$B$204,K8))</f>
        <v/>
      </c>
      <c r="O8" s="25">
        <f>IF(K8="","",N8-M8)</f>
        <v/>
      </c>
    </row>
    <row r="9">
      <c r="A9" s="20" t="inlineStr">
        <is>
          <t>2025-03-25</t>
        </is>
      </c>
      <c r="B9" s="11" t="inlineStr">
        <is>
          <t>W-N2</t>
        </is>
      </c>
      <c r="C9" s="11" t="inlineStr">
        <is>
          <t>W-N</t>
        </is>
      </c>
      <c r="D9" s="14" t="n">
        <v>11.85</v>
      </c>
      <c r="E9" s="14" t="n">
        <v>1011.8</v>
      </c>
      <c r="F9" s="25">
        <f>IF(D9="","",E9-D9)</f>
        <v/>
      </c>
      <c r="G9" s="11" t="inlineStr">
        <is>
          <t>N</t>
        </is>
      </c>
      <c r="H9" s="13" t="n"/>
      <c r="I9" s="21" t="n"/>
      <c r="K9" s="11" t="inlineStr">
        <is>
          <t>W-F1</t>
        </is>
      </c>
      <c r="L9" s="27">
        <f>IFERROR(INDEX($C$5:$C$204,MATCH(K9,$B$5:$B$204,0)),"")</f>
        <v/>
      </c>
      <c r="M9" s="25">
        <f>IF(K9="","",MINIFS($F$5:$F$204,$B$5:$B$204,K9))</f>
        <v/>
      </c>
      <c r="N9" s="25">
        <f>IF(K9="","",MAXIFS($F$5:$F$204,$B$5:$B$204,K9))</f>
        <v/>
      </c>
      <c r="O9" s="25">
        <f>IF(K9="","",N9-M9)</f>
        <v/>
      </c>
    </row>
    <row r="10">
      <c r="A10" s="20" t="inlineStr">
        <is>
          <t>2025-04-20</t>
        </is>
      </c>
      <c r="B10" s="11" t="inlineStr">
        <is>
          <t>W-N2</t>
        </is>
      </c>
      <c r="C10" s="11" t="inlineStr">
        <is>
          <t>W-N</t>
        </is>
      </c>
      <c r="D10" s="14" t="n">
        <v>12.55</v>
      </c>
      <c r="E10" s="14" t="n">
        <v>1011.8</v>
      </c>
      <c r="F10" s="25">
        <f>IF(D10="","",E10-D10)</f>
        <v/>
      </c>
      <c r="G10" s="11" t="inlineStr">
        <is>
          <t>N</t>
        </is>
      </c>
      <c r="H10" s="13" t="n"/>
      <c r="I10" s="21" t="n"/>
      <c r="K10" s="11" t="inlineStr">
        <is>
          <t>C1</t>
        </is>
      </c>
      <c r="L10" s="27">
        <f>IFERROR(INDEX($C$5:$C$204,MATCH(K10,$B$5:$B$204,0)),"")</f>
        <v/>
      </c>
      <c r="M10" s="25">
        <f>IF(K10="","",MINIFS($F$5:$F$204,$B$5:$B$204,K10))</f>
        <v/>
      </c>
      <c r="N10" s="25">
        <f>IF(K10="","",MAXIFS($F$5:$F$204,$B$5:$B$204,K10))</f>
        <v/>
      </c>
      <c r="O10" s="25">
        <f>IF(K10="","",N10-M10)</f>
        <v/>
      </c>
    </row>
    <row r="11">
      <c r="A11" s="20" t="inlineStr">
        <is>
          <t>2025-03-01</t>
        </is>
      </c>
      <c r="B11" s="11" t="inlineStr">
        <is>
          <t>W-M1</t>
        </is>
      </c>
      <c r="C11" s="11" t="inlineStr">
        <is>
          <t>W-M</t>
        </is>
      </c>
      <c r="D11" s="14" t="n">
        <v>16</v>
      </c>
      <c r="E11" s="14" t="n">
        <v>1008.1</v>
      </c>
      <c r="F11" s="25">
        <f>IF(D11="","",E11-D11)</f>
        <v/>
      </c>
      <c r="G11" s="11" t="inlineStr">
        <is>
          <t>N</t>
        </is>
      </c>
      <c r="H11" s="13" t="n"/>
      <c r="I11" s="21" t="n"/>
      <c r="K11" s="11" t="inlineStr">
        <is>
          <t>C2</t>
        </is>
      </c>
      <c r="L11" s="27">
        <f>IFERROR(INDEX($C$5:$C$204,MATCH(K11,$B$5:$B$204,0)),"")</f>
        <v/>
      </c>
      <c r="M11" s="25">
        <f>IF(K11="","",MINIFS($F$5:$F$204,$B$5:$B$204,K11))</f>
        <v/>
      </c>
      <c r="N11" s="25">
        <f>IF(K11="","",MAXIFS($F$5:$F$204,$B$5:$B$204,K11))</f>
        <v/>
      </c>
      <c r="O11" s="25">
        <f>IF(K11="","",N11-M11)</f>
        <v/>
      </c>
    </row>
    <row r="12">
      <c r="A12" s="20" t="inlineStr">
        <is>
          <t>2025-03-25</t>
        </is>
      </c>
      <c r="B12" s="11" t="inlineStr">
        <is>
          <t>W-M1</t>
        </is>
      </c>
      <c r="C12" s="11" t="inlineStr">
        <is>
          <t>W-M</t>
        </is>
      </c>
      <c r="D12" s="14" t="n">
        <v>14.9</v>
      </c>
      <c r="E12" s="14" t="n">
        <v>1008.1</v>
      </c>
      <c r="F12" s="25">
        <f>IF(D12="","",E12-D12)</f>
        <v/>
      </c>
      <c r="G12" s="11" t="inlineStr">
        <is>
          <t>N</t>
        </is>
      </c>
      <c r="H12" s="13" t="n"/>
      <c r="I12" s="21" t="n"/>
      <c r="K12" s="11" t="inlineStr">
        <is>
          <t>KS</t>
        </is>
      </c>
      <c r="L12" s="27">
        <f>IFERROR(INDEX($C$5:$C$204,MATCH(K12,$B$5:$B$204,0)),"")</f>
        <v/>
      </c>
      <c r="M12" s="25">
        <f>IF(K12="","",MINIFS($F$5:$F$204,$B$5:$B$204,K12))</f>
        <v/>
      </c>
      <c r="N12" s="25">
        <f>IF(K12="","",MAXIFS($F$5:$F$204,$B$5:$B$204,K12))</f>
        <v/>
      </c>
      <c r="O12" s="25">
        <f>IF(K12="","",N12-M12)</f>
        <v/>
      </c>
    </row>
    <row r="13">
      <c r="A13" s="20" t="inlineStr">
        <is>
          <t>2025-04-20</t>
        </is>
      </c>
      <c r="B13" s="11" t="inlineStr">
        <is>
          <t>W-M1</t>
        </is>
      </c>
      <c r="C13" s="11" t="inlineStr">
        <is>
          <t>W-M</t>
        </is>
      </c>
      <c r="D13" s="14" t="n">
        <v>15.4</v>
      </c>
      <c r="E13" s="14" t="n">
        <v>1008.1</v>
      </c>
      <c r="F13" s="25">
        <f>IF(D13="","",E13-D13)</f>
        <v/>
      </c>
      <c r="G13" s="11" t="inlineStr">
        <is>
          <t>N</t>
        </is>
      </c>
      <c r="H13" s="13" t="n"/>
      <c r="I13" s="21" t="n"/>
    </row>
    <row r="14">
      <c r="A14" s="20" t="inlineStr">
        <is>
          <t>2025-03-01</t>
        </is>
      </c>
      <c r="B14" s="11" t="inlineStr">
        <is>
          <t>W-M2</t>
        </is>
      </c>
      <c r="C14" s="11" t="inlineStr">
        <is>
          <t>W-M</t>
        </is>
      </c>
      <c r="D14" s="14" t="n">
        <v>17.2</v>
      </c>
      <c r="E14" s="14" t="n">
        <v>1007.4</v>
      </c>
      <c r="F14" s="25">
        <f>IF(D14="","",E14-D14)</f>
        <v/>
      </c>
      <c r="G14" s="11" t="inlineStr">
        <is>
          <t>N</t>
        </is>
      </c>
      <c r="H14" s="13" t="n"/>
      <c r="I14" s="21" t="n"/>
    </row>
    <row r="15">
      <c r="A15" s="20" t="inlineStr">
        <is>
          <t>2025-03-25</t>
        </is>
      </c>
      <c r="B15" s="11" t="inlineStr">
        <is>
          <t>W-M2</t>
        </is>
      </c>
      <c r="C15" s="11" t="inlineStr">
        <is>
          <t>W-M</t>
        </is>
      </c>
      <c r="D15" s="14" t="n">
        <v>16.05</v>
      </c>
      <c r="E15" s="14" t="n">
        <v>1007.4</v>
      </c>
      <c r="F15" s="25">
        <f>IF(D15="","",E15-D15)</f>
        <v/>
      </c>
      <c r="G15" s="11" t="inlineStr">
        <is>
          <t>N</t>
        </is>
      </c>
      <c r="H15" s="13" t="n"/>
      <c r="I15" s="21" t="n"/>
      <c r="K15" t="inlineStr">
        <is>
          <t>Mean Δh W-N and W-M (m)</t>
        </is>
      </c>
      <c r="L15" s="25">
        <f>(SUMIF(L5:L12,"W-N",O5:O12)+SUMIF(L5:L12,"W-M",O5:O12))/(COUNTIF(L5:L12,"W-N")+COUNTIF(L5:L12,"W-M"))</f>
        <v/>
      </c>
    </row>
    <row r="16">
      <c r="A16" s="20" t="inlineStr">
        <is>
          <t>2025-04-20</t>
        </is>
      </c>
      <c r="B16" s="11" t="inlineStr">
        <is>
          <t>W-M2</t>
        </is>
      </c>
      <c r="C16" s="11" t="inlineStr">
        <is>
          <t>W-M</t>
        </is>
      </c>
      <c r="D16" s="14" t="n">
        <v>16.6</v>
      </c>
      <c r="E16" s="14" t="n">
        <v>1007.4</v>
      </c>
      <c r="F16" s="25">
        <f>IF(D16="","",E16-D16)</f>
        <v/>
      </c>
      <c r="G16" s="11" t="inlineStr">
        <is>
          <t>N</t>
        </is>
      </c>
      <c r="H16" s="13" t="n"/>
      <c r="I16" s="21" t="n"/>
      <c r="K16" t="inlineStr">
        <is>
          <t>Mean Δh control C (m)</t>
        </is>
      </c>
      <c r="L16" s="25">
        <f>IFERROR(AVERAGEIF(L5:L12,"C",O5:O12),0)</f>
        <v/>
      </c>
    </row>
    <row r="17">
      <c r="A17" s="20" t="inlineStr">
        <is>
          <t>2025-03-01</t>
        </is>
      </c>
      <c r="B17" s="11" t="inlineStr">
        <is>
          <t>W-F1</t>
        </is>
      </c>
      <c r="C17" s="11" t="inlineStr">
        <is>
          <t>W-F</t>
        </is>
      </c>
      <c r="D17" s="14" t="n">
        <v>22.4</v>
      </c>
      <c r="E17" s="14" t="n">
        <v>1002</v>
      </c>
      <c r="F17" s="25">
        <f>IF(D17="","",E17-D17)</f>
        <v/>
      </c>
      <c r="G17" s="11" t="inlineStr">
        <is>
          <t>N</t>
        </is>
      </c>
      <c r="H17" s="13" t="n"/>
      <c r="I17" s="21" t="n"/>
      <c r="K17" t="inlineStr">
        <is>
          <t>I4 extra rise (m)</t>
        </is>
      </c>
      <c r="L17" s="25">
        <f>L15-L16</f>
        <v/>
      </c>
    </row>
    <row r="18">
      <c r="A18" s="20" t="inlineStr">
        <is>
          <t>2025-03-25</t>
        </is>
      </c>
      <c r="B18" s="11" t="inlineStr">
        <is>
          <t>W-F1</t>
        </is>
      </c>
      <c r="C18" s="11" t="inlineStr">
        <is>
          <t>W-F</t>
        </is>
      </c>
      <c r="D18" s="14" t="n">
        <v>21.9</v>
      </c>
      <c r="E18" s="14" t="n">
        <v>1002</v>
      </c>
      <c r="F18" s="25">
        <f>IF(D18="","",E18-D18)</f>
        <v/>
      </c>
      <c r="G18" s="11" t="inlineStr">
        <is>
          <t>N</t>
        </is>
      </c>
      <c r="H18" s="13" t="n"/>
      <c r="I18" s="21" t="n"/>
      <c r="K18" t="inlineStr">
        <is>
          <t>Recharge depth Sy default (mm)</t>
        </is>
      </c>
      <c r="L18" s="18">
        <f>L17*Site!B15*1000</f>
        <v/>
      </c>
    </row>
    <row r="19">
      <c r="A19" s="20" t="inlineStr">
        <is>
          <t>2025-04-20</t>
        </is>
      </c>
      <c r="B19" s="11" t="inlineStr">
        <is>
          <t>W-F1</t>
        </is>
      </c>
      <c r="C19" s="11" t="inlineStr">
        <is>
          <t>W-F</t>
        </is>
      </c>
      <c r="D19" s="14" t="n">
        <v>22.2</v>
      </c>
      <c r="E19" s="14" t="n">
        <v>1002</v>
      </c>
      <c r="F19" s="25">
        <f>IF(D19="","",E19-D19)</f>
        <v/>
      </c>
      <c r="G19" s="11" t="inlineStr">
        <is>
          <t>N</t>
        </is>
      </c>
      <c r="H19" s="13" t="n"/>
      <c r="I19" s="21" t="n"/>
      <c r="K19" t="inlineStr">
        <is>
          <t>Recharge depth Sy low (mm)</t>
        </is>
      </c>
      <c r="L19" s="18">
        <f>L17*Site!B16*1000</f>
        <v/>
      </c>
    </row>
    <row r="20">
      <c r="A20" s="20" t="inlineStr">
        <is>
          <t>2025-03-01</t>
        </is>
      </c>
      <c r="B20" s="11" t="inlineStr">
        <is>
          <t>C1</t>
        </is>
      </c>
      <c r="C20" s="11" t="inlineStr">
        <is>
          <t>C</t>
        </is>
      </c>
      <c r="D20" s="14" t="n">
        <v>15.1</v>
      </c>
      <c r="E20" s="14" t="n">
        <v>1010.5</v>
      </c>
      <c r="F20" s="25">
        <f>IF(D20="","",E20-D20)</f>
        <v/>
      </c>
      <c r="G20" s="11" t="inlineStr">
        <is>
          <t>N</t>
        </is>
      </c>
      <c r="H20" s="13" t="n"/>
      <c r="I20" s="21" t="n"/>
      <c r="K20" t="inlineStr">
        <is>
          <t>Recharge depth Sy high (mm)</t>
        </is>
      </c>
      <c r="L20" s="18">
        <f>L17*Site!B17*1000</f>
        <v/>
      </c>
    </row>
    <row r="21">
      <c r="A21" s="20" t="inlineStr">
        <is>
          <t>2025-03-25</t>
        </is>
      </c>
      <c r="B21" s="11" t="inlineStr">
        <is>
          <t>C1</t>
        </is>
      </c>
      <c r="C21" s="11" t="inlineStr">
        <is>
          <t>C</t>
        </is>
      </c>
      <c r="D21" s="14" t="n">
        <v>14.7</v>
      </c>
      <c r="E21" s="14" t="n">
        <v>1010.5</v>
      </c>
      <c r="F21" s="25">
        <f>IF(D21="","",E21-D21)</f>
        <v/>
      </c>
      <c r="G21" s="11" t="inlineStr">
        <is>
          <t>N</t>
        </is>
      </c>
      <c r="H21" s="13" t="n"/>
      <c r="I21" s="21" t="n"/>
    </row>
    <row r="22">
      <c r="A22" s="20" t="inlineStr">
        <is>
          <t>2025-04-20</t>
        </is>
      </c>
      <c r="B22" s="11" t="inlineStr">
        <is>
          <t>C1</t>
        </is>
      </c>
      <c r="C22" s="11" t="inlineStr">
        <is>
          <t>C</t>
        </is>
      </c>
      <c r="D22" s="14" t="n">
        <v>14.95</v>
      </c>
      <c r="E22" s="14" t="n">
        <v>1010.5</v>
      </c>
      <c r="F22" s="25">
        <f>IF(D22="","",E22-D22)</f>
        <v/>
      </c>
      <c r="G22" s="11" t="inlineStr">
        <is>
          <t>N</t>
        </is>
      </c>
      <c r="H22" s="13" t="n"/>
      <c r="I22" s="21" t="n"/>
      <c r="K22" t="inlineStr">
        <is>
          <t>Python check I4 (m)</t>
        </is>
      </c>
      <c r="L22" s="32" t="n">
        <v>1.025</v>
      </c>
    </row>
    <row r="23">
      <c r="A23" s="20" t="inlineStr">
        <is>
          <t>2025-03-01</t>
        </is>
      </c>
      <c r="B23" s="11" t="inlineStr">
        <is>
          <t>C2</t>
        </is>
      </c>
      <c r="C23" s="11" t="inlineStr">
        <is>
          <t>C</t>
        </is>
      </c>
      <c r="D23" s="14" t="n">
        <v>18.4</v>
      </c>
      <c r="E23" s="14" t="n">
        <v>1006.2</v>
      </c>
      <c r="F23" s="25">
        <f>IF(D23="","",E23-D23)</f>
        <v/>
      </c>
      <c r="G23" s="11" t="inlineStr">
        <is>
          <t>N</t>
        </is>
      </c>
      <c r="H23" s="13" t="n"/>
      <c r="I23" s="21" t="n"/>
    </row>
    <row r="24">
      <c r="A24" s="20" t="inlineStr">
        <is>
          <t>2025-03-25</t>
        </is>
      </c>
      <c r="B24" s="11" t="inlineStr">
        <is>
          <t>C2</t>
        </is>
      </c>
      <c r="C24" s="11" t="inlineStr">
        <is>
          <t>C</t>
        </is>
      </c>
      <c r="D24" s="14" t="n">
        <v>18</v>
      </c>
      <c r="E24" s="14" t="n">
        <v>1006.2</v>
      </c>
      <c r="F24" s="25">
        <f>IF(D24="","",E24-D24)</f>
        <v/>
      </c>
      <c r="G24" s="11" t="inlineStr">
        <is>
          <t>N</t>
        </is>
      </c>
      <c r="H24" s="13" t="n"/>
      <c r="I24" s="21" t="n"/>
    </row>
    <row r="25">
      <c r="A25" s="20" t="inlineStr">
        <is>
          <t>2025-04-20</t>
        </is>
      </c>
      <c r="B25" s="11" t="inlineStr">
        <is>
          <t>C2</t>
        </is>
      </c>
      <c r="C25" s="11" t="inlineStr">
        <is>
          <t>C</t>
        </is>
      </c>
      <c r="D25" s="14" t="n">
        <v>18.25</v>
      </c>
      <c r="E25" s="14" t="n">
        <v>1006.2</v>
      </c>
      <c r="F25" s="25">
        <f>IF(D25="","",E25-D25)</f>
        <v/>
      </c>
      <c r="G25" s="11" t="inlineStr">
        <is>
          <t>N</t>
        </is>
      </c>
      <c r="H25" s="13" t="n"/>
      <c r="I25" s="21" t="n"/>
    </row>
    <row r="26">
      <c r="A26" s="20" t="inlineStr">
        <is>
          <t>2025-03-01</t>
        </is>
      </c>
      <c r="B26" s="11" t="inlineStr">
        <is>
          <t>KS</t>
        </is>
      </c>
      <c r="C26" s="11" t="inlineStr">
        <is>
          <t>KS</t>
        </is>
      </c>
      <c r="D26" s="14" t="n">
        <v>11.8</v>
      </c>
      <c r="E26" s="14" t="n">
        <v>1009.7</v>
      </c>
      <c r="F26" s="25">
        <f>IF(D26="","",E26-D26)</f>
        <v/>
      </c>
      <c r="G26" s="11" t="inlineStr">
        <is>
          <t>N</t>
        </is>
      </c>
      <c r="H26" s="13" t="n"/>
      <c r="I26" s="21" t="n"/>
    </row>
    <row r="27">
      <c r="A27" s="20" t="inlineStr">
        <is>
          <t>2025-03-25</t>
        </is>
      </c>
      <c r="B27" s="11" t="inlineStr">
        <is>
          <t>KS</t>
        </is>
      </c>
      <c r="C27" s="11" t="inlineStr">
        <is>
          <t>KS</t>
        </is>
      </c>
      <c r="D27" s="14" t="n">
        <v>10.5</v>
      </c>
      <c r="E27" s="14" t="n">
        <v>1009.7</v>
      </c>
      <c r="F27" s="25">
        <f>IF(D27="","",E27-D27)</f>
        <v/>
      </c>
      <c r="G27" s="11" t="inlineStr">
        <is>
          <t>N</t>
        </is>
      </c>
      <c r="H27" s="13" t="n"/>
      <c r="I27" s="21" t="n"/>
    </row>
    <row r="28">
      <c r="A28" s="20" t="inlineStr">
        <is>
          <t>2025-04-20</t>
        </is>
      </c>
      <c r="B28" s="11" t="inlineStr">
        <is>
          <t>KS</t>
        </is>
      </c>
      <c r="C28" s="11" t="inlineStr">
        <is>
          <t>KS</t>
        </is>
      </c>
      <c r="D28" s="14" t="n">
        <v>11.1</v>
      </c>
      <c r="E28" s="14" t="n">
        <v>1009.7</v>
      </c>
      <c r="F28" s="25">
        <f>IF(D28="","",E28-D28)</f>
        <v/>
      </c>
      <c r="G28" s="11" t="inlineStr">
        <is>
          <t>N</t>
        </is>
      </c>
      <c r="H28" s="13" t="n"/>
      <c r="I28" s="21" t="n"/>
    </row>
    <row r="29">
      <c r="A29" s="22" t="n"/>
      <c r="B29" s="21" t="n"/>
      <c r="C29" s="21" t="n"/>
      <c r="D29" s="24" t="n"/>
      <c r="E29" s="24" t="n"/>
      <c r="F29" s="25">
        <f>IF(D29="","",E29-D29)</f>
        <v/>
      </c>
      <c r="G29" s="21" t="n"/>
      <c r="H29" s="21" t="n"/>
      <c r="I29" s="21" t="n"/>
    </row>
    <row r="30">
      <c r="A30" s="22" t="n"/>
      <c r="B30" s="21" t="n"/>
      <c r="C30" s="21" t="n"/>
      <c r="D30" s="24" t="n"/>
      <c r="E30" s="24" t="n"/>
      <c r="F30" s="25">
        <f>IF(D30="","",E30-D30)</f>
        <v/>
      </c>
      <c r="G30" s="21" t="n"/>
      <c r="H30" s="21" t="n"/>
      <c r="I30" s="21" t="n"/>
    </row>
    <row r="31">
      <c r="A31" s="22" t="n"/>
      <c r="B31" s="21" t="n"/>
      <c r="C31" s="21" t="n"/>
      <c r="D31" s="24" t="n"/>
      <c r="E31" s="24" t="n"/>
      <c r="F31" s="25">
        <f>IF(D31="","",E31-D31)</f>
        <v/>
      </c>
      <c r="G31" s="21" t="n"/>
      <c r="H31" s="21" t="n"/>
      <c r="I31" s="21" t="n"/>
    </row>
    <row r="32">
      <c r="A32" s="22" t="n"/>
      <c r="B32" s="21" t="n"/>
      <c r="C32" s="21" t="n"/>
      <c r="D32" s="24" t="n"/>
      <c r="E32" s="24" t="n"/>
      <c r="F32" s="25">
        <f>IF(D32="","",E32-D32)</f>
        <v/>
      </c>
      <c r="G32" s="21" t="n"/>
      <c r="H32" s="21" t="n"/>
      <c r="I32" s="21" t="n"/>
    </row>
    <row r="33">
      <c r="A33" s="22" t="n"/>
      <c r="B33" s="21" t="n"/>
      <c r="C33" s="21" t="n"/>
      <c r="D33" s="24" t="n"/>
      <c r="E33" s="24" t="n"/>
      <c r="F33" s="25">
        <f>IF(D33="","",E33-D33)</f>
        <v/>
      </c>
      <c r="G33" s="21" t="n"/>
      <c r="H33" s="21" t="n"/>
      <c r="I33" s="21" t="n"/>
    </row>
    <row r="34">
      <c r="A34" s="22" t="n"/>
      <c r="B34" s="21" t="n"/>
      <c r="C34" s="21" t="n"/>
      <c r="D34" s="24" t="n"/>
      <c r="E34" s="24" t="n"/>
      <c r="F34" s="25">
        <f>IF(D34="","",E34-D34)</f>
        <v/>
      </c>
      <c r="G34" s="21" t="n"/>
      <c r="H34" s="21" t="n"/>
      <c r="I34" s="21" t="n"/>
    </row>
    <row r="35">
      <c r="A35" s="22" t="n"/>
      <c r="B35" s="21" t="n"/>
      <c r="C35" s="21" t="n"/>
      <c r="D35" s="24" t="n"/>
      <c r="E35" s="24" t="n"/>
      <c r="F35" s="25">
        <f>IF(D35="","",E35-D35)</f>
        <v/>
      </c>
      <c r="G35" s="21" t="n"/>
      <c r="H35" s="21" t="n"/>
      <c r="I35" s="21" t="n"/>
    </row>
    <row r="36">
      <c r="A36" s="22" t="n"/>
      <c r="B36" s="21" t="n"/>
      <c r="C36" s="21" t="n"/>
      <c r="D36" s="24" t="n"/>
      <c r="E36" s="24" t="n"/>
      <c r="F36" s="25">
        <f>IF(D36="","",E36-D36)</f>
        <v/>
      </c>
      <c r="G36" s="21" t="n"/>
      <c r="H36" s="21" t="n"/>
      <c r="I36" s="21" t="n"/>
    </row>
    <row r="37">
      <c r="A37" s="22" t="n"/>
      <c r="B37" s="21" t="n"/>
      <c r="C37" s="21" t="n"/>
      <c r="D37" s="24" t="n"/>
      <c r="E37" s="24" t="n"/>
      <c r="F37" s="25">
        <f>IF(D37="","",E37-D37)</f>
        <v/>
      </c>
      <c r="G37" s="21" t="n"/>
      <c r="H37" s="21" t="n"/>
      <c r="I37" s="21" t="n"/>
    </row>
    <row r="38">
      <c r="A38" s="22" t="n"/>
      <c r="B38" s="21" t="n"/>
      <c r="C38" s="21" t="n"/>
      <c r="D38" s="24" t="n"/>
      <c r="E38" s="24" t="n"/>
      <c r="F38" s="25">
        <f>IF(D38="","",E38-D38)</f>
        <v/>
      </c>
      <c r="G38" s="21" t="n"/>
      <c r="H38" s="21" t="n"/>
      <c r="I38" s="21" t="n"/>
    </row>
    <row r="39">
      <c r="A39" s="22" t="n"/>
      <c r="B39" s="21" t="n"/>
      <c r="C39" s="21" t="n"/>
      <c r="D39" s="24" t="n"/>
      <c r="E39" s="24" t="n"/>
      <c r="F39" s="25">
        <f>IF(D39="","",E39-D39)</f>
        <v/>
      </c>
      <c r="G39" s="21" t="n"/>
      <c r="H39" s="21" t="n"/>
      <c r="I39" s="21" t="n"/>
    </row>
    <row r="40">
      <c r="A40" s="22" t="n"/>
      <c r="B40" s="21" t="n"/>
      <c r="C40" s="21" t="n"/>
      <c r="D40" s="24" t="n"/>
      <c r="E40" s="24" t="n"/>
      <c r="F40" s="25">
        <f>IF(D40="","",E40-D40)</f>
        <v/>
      </c>
      <c r="G40" s="21" t="n"/>
      <c r="H40" s="21" t="n"/>
      <c r="I40" s="21" t="n"/>
    </row>
    <row r="41">
      <c r="A41" s="22" t="n"/>
      <c r="B41" s="21" t="n"/>
      <c r="C41" s="21" t="n"/>
      <c r="D41" s="24" t="n"/>
      <c r="E41" s="24" t="n"/>
      <c r="F41" s="25">
        <f>IF(D41="","",E41-D41)</f>
        <v/>
      </c>
      <c r="G41" s="21" t="n"/>
      <c r="H41" s="21" t="n"/>
      <c r="I41" s="21" t="n"/>
    </row>
    <row r="42">
      <c r="A42" s="22" t="n"/>
      <c r="B42" s="21" t="n"/>
      <c r="C42" s="21" t="n"/>
      <c r="D42" s="24" t="n"/>
      <c r="E42" s="24" t="n"/>
      <c r="F42" s="25">
        <f>IF(D42="","",E42-D42)</f>
        <v/>
      </c>
      <c r="G42" s="21" t="n"/>
      <c r="H42" s="21" t="n"/>
      <c r="I42" s="21" t="n"/>
    </row>
    <row r="43">
      <c r="A43" s="22" t="n"/>
      <c r="B43" s="21" t="n"/>
      <c r="C43" s="21" t="n"/>
      <c r="D43" s="24" t="n"/>
      <c r="E43" s="24" t="n"/>
      <c r="F43" s="25">
        <f>IF(D43="","",E43-D43)</f>
        <v/>
      </c>
      <c r="G43" s="21" t="n"/>
      <c r="H43" s="21" t="n"/>
      <c r="I43" s="21" t="n"/>
    </row>
    <row r="44">
      <c r="A44" s="22" t="n"/>
      <c r="B44" s="21" t="n"/>
      <c r="C44" s="21" t="n"/>
      <c r="D44" s="24" t="n"/>
      <c r="E44" s="24" t="n"/>
      <c r="F44" s="25">
        <f>IF(D44="","",E44-D44)</f>
        <v/>
      </c>
      <c r="G44" s="21" t="n"/>
      <c r="H44" s="21" t="n"/>
      <c r="I44" s="21" t="n"/>
    </row>
    <row r="45">
      <c r="A45" s="22" t="n"/>
      <c r="B45" s="21" t="n"/>
      <c r="C45" s="21" t="n"/>
      <c r="D45" s="24" t="n"/>
      <c r="E45" s="24" t="n"/>
      <c r="F45" s="25">
        <f>IF(D45="","",E45-D45)</f>
        <v/>
      </c>
      <c r="G45" s="21" t="n"/>
      <c r="H45" s="21" t="n"/>
      <c r="I45" s="21" t="n"/>
    </row>
    <row r="46">
      <c r="A46" s="22" t="n"/>
      <c r="B46" s="21" t="n"/>
      <c r="C46" s="21" t="n"/>
      <c r="D46" s="24" t="n"/>
      <c r="E46" s="24" t="n"/>
      <c r="F46" s="25">
        <f>IF(D46="","",E46-D46)</f>
        <v/>
      </c>
      <c r="G46" s="21" t="n"/>
      <c r="H46" s="21" t="n"/>
      <c r="I46" s="21" t="n"/>
    </row>
    <row r="47">
      <c r="A47" s="22" t="n"/>
      <c r="B47" s="21" t="n"/>
      <c r="C47" s="21" t="n"/>
      <c r="D47" s="24" t="n"/>
      <c r="E47" s="24" t="n"/>
      <c r="F47" s="25">
        <f>IF(D47="","",E47-D47)</f>
        <v/>
      </c>
      <c r="G47" s="21" t="n"/>
      <c r="H47" s="21" t="n"/>
      <c r="I47" s="21" t="n"/>
    </row>
    <row r="48">
      <c r="A48" s="22" t="n"/>
      <c r="B48" s="21" t="n"/>
      <c r="C48" s="21" t="n"/>
      <c r="D48" s="24" t="n"/>
      <c r="E48" s="24" t="n"/>
      <c r="F48" s="25">
        <f>IF(D48="","",E48-D48)</f>
        <v/>
      </c>
      <c r="G48" s="21" t="n"/>
      <c r="H48" s="21" t="n"/>
      <c r="I48" s="21" t="n"/>
    </row>
    <row r="49">
      <c r="A49" s="22" t="n"/>
      <c r="B49" s="21" t="n"/>
      <c r="C49" s="21" t="n"/>
      <c r="D49" s="24" t="n"/>
      <c r="E49" s="24" t="n"/>
      <c r="F49" s="25">
        <f>IF(D49="","",E49-D49)</f>
        <v/>
      </c>
      <c r="G49" s="21" t="n"/>
      <c r="H49" s="21" t="n"/>
      <c r="I49" s="21" t="n"/>
    </row>
    <row r="50">
      <c r="A50" s="22" t="n"/>
      <c r="B50" s="21" t="n"/>
      <c r="C50" s="21" t="n"/>
      <c r="D50" s="24" t="n"/>
      <c r="E50" s="24" t="n"/>
      <c r="F50" s="25">
        <f>IF(D50="","",E50-D50)</f>
        <v/>
      </c>
      <c r="G50" s="21" t="n"/>
      <c r="H50" s="21" t="n"/>
      <c r="I50" s="21" t="n"/>
    </row>
    <row r="51">
      <c r="A51" s="22" t="n"/>
      <c r="B51" s="21" t="n"/>
      <c r="C51" s="21" t="n"/>
      <c r="D51" s="24" t="n"/>
      <c r="E51" s="24" t="n"/>
      <c r="F51" s="25">
        <f>IF(D51="","",E51-D51)</f>
        <v/>
      </c>
      <c r="G51" s="21" t="n"/>
      <c r="H51" s="21" t="n"/>
      <c r="I51" s="21" t="n"/>
    </row>
    <row r="52">
      <c r="A52" s="22" t="n"/>
      <c r="B52" s="21" t="n"/>
      <c r="C52" s="21" t="n"/>
      <c r="D52" s="24" t="n"/>
      <c r="E52" s="24" t="n"/>
      <c r="F52" s="25">
        <f>IF(D52="","",E52-D52)</f>
        <v/>
      </c>
      <c r="G52" s="21" t="n"/>
      <c r="H52" s="21" t="n"/>
      <c r="I52" s="21" t="n"/>
    </row>
    <row r="53">
      <c r="A53" s="22" t="n"/>
      <c r="B53" s="21" t="n"/>
      <c r="C53" s="21" t="n"/>
      <c r="D53" s="24" t="n"/>
      <c r="E53" s="24" t="n"/>
      <c r="F53" s="25">
        <f>IF(D53="","",E53-D53)</f>
        <v/>
      </c>
      <c r="G53" s="21" t="n"/>
      <c r="H53" s="21" t="n"/>
      <c r="I53" s="21" t="n"/>
    </row>
    <row r="54">
      <c r="A54" s="22" t="n"/>
      <c r="B54" s="21" t="n"/>
      <c r="C54" s="21" t="n"/>
      <c r="D54" s="24" t="n"/>
      <c r="E54" s="24" t="n"/>
      <c r="F54" s="25">
        <f>IF(D54="","",E54-D54)</f>
        <v/>
      </c>
      <c r="G54" s="21" t="n"/>
      <c r="H54" s="21" t="n"/>
      <c r="I54" s="21" t="n"/>
    </row>
    <row r="55">
      <c r="A55" s="22" t="n"/>
      <c r="B55" s="21" t="n"/>
      <c r="C55" s="21" t="n"/>
      <c r="D55" s="24" t="n"/>
      <c r="E55" s="24" t="n"/>
      <c r="F55" s="25">
        <f>IF(D55="","",E55-D55)</f>
        <v/>
      </c>
      <c r="G55" s="21" t="n"/>
      <c r="H55" s="21" t="n"/>
      <c r="I55" s="21" t="n"/>
    </row>
    <row r="56">
      <c r="A56" s="22" t="n"/>
      <c r="B56" s="21" t="n"/>
      <c r="C56" s="21" t="n"/>
      <c r="D56" s="24" t="n"/>
      <c r="E56" s="24" t="n"/>
      <c r="F56" s="25">
        <f>IF(D56="","",E56-D56)</f>
        <v/>
      </c>
      <c r="G56" s="21" t="n"/>
      <c r="H56" s="21" t="n"/>
      <c r="I56" s="21" t="n"/>
    </row>
    <row r="57">
      <c r="A57" s="22" t="n"/>
      <c r="B57" s="21" t="n"/>
      <c r="C57" s="21" t="n"/>
      <c r="D57" s="24" t="n"/>
      <c r="E57" s="24" t="n"/>
      <c r="F57" s="25">
        <f>IF(D57="","",E57-D57)</f>
        <v/>
      </c>
      <c r="G57" s="21" t="n"/>
      <c r="H57" s="21" t="n"/>
      <c r="I57" s="21" t="n"/>
    </row>
    <row r="58">
      <c r="A58" s="22" t="n"/>
      <c r="B58" s="21" t="n"/>
      <c r="C58" s="21" t="n"/>
      <c r="D58" s="24" t="n"/>
      <c r="E58" s="24" t="n"/>
      <c r="F58" s="25">
        <f>IF(D58="","",E58-D58)</f>
        <v/>
      </c>
      <c r="G58" s="21" t="n"/>
      <c r="H58" s="21" t="n"/>
      <c r="I58" s="21" t="n"/>
    </row>
    <row r="59">
      <c r="A59" s="22" t="n"/>
      <c r="B59" s="21" t="n"/>
      <c r="C59" s="21" t="n"/>
      <c r="D59" s="24" t="n"/>
      <c r="E59" s="24" t="n"/>
      <c r="F59" s="25">
        <f>IF(D59="","",E59-D59)</f>
        <v/>
      </c>
      <c r="G59" s="21" t="n"/>
      <c r="H59" s="21" t="n"/>
      <c r="I59" s="21" t="n"/>
    </row>
    <row r="60">
      <c r="A60" s="22" t="n"/>
      <c r="B60" s="21" t="n"/>
      <c r="C60" s="21" t="n"/>
      <c r="D60" s="24" t="n"/>
      <c r="E60" s="24" t="n"/>
      <c r="F60" s="25">
        <f>IF(D60="","",E60-D60)</f>
        <v/>
      </c>
      <c r="G60" s="21" t="n"/>
      <c r="H60" s="21" t="n"/>
      <c r="I60" s="21" t="n"/>
    </row>
    <row r="61">
      <c r="A61" s="22" t="n"/>
      <c r="B61" s="21" t="n"/>
      <c r="C61" s="21" t="n"/>
      <c r="D61" s="24" t="n"/>
      <c r="E61" s="24" t="n"/>
      <c r="F61" s="25">
        <f>IF(D61="","",E61-D61)</f>
        <v/>
      </c>
      <c r="G61" s="21" t="n"/>
      <c r="H61" s="21" t="n"/>
      <c r="I61" s="21" t="n"/>
    </row>
    <row r="62">
      <c r="A62" s="22" t="n"/>
      <c r="B62" s="21" t="n"/>
      <c r="C62" s="21" t="n"/>
      <c r="D62" s="24" t="n"/>
      <c r="E62" s="24" t="n"/>
      <c r="F62" s="25">
        <f>IF(D62="","",E62-D62)</f>
        <v/>
      </c>
      <c r="G62" s="21" t="n"/>
      <c r="H62" s="21" t="n"/>
      <c r="I62" s="21" t="n"/>
    </row>
    <row r="63">
      <c r="A63" s="22" t="n"/>
      <c r="B63" s="21" t="n"/>
      <c r="C63" s="21" t="n"/>
      <c r="D63" s="24" t="n"/>
      <c r="E63" s="24" t="n"/>
      <c r="F63" s="25">
        <f>IF(D63="","",E63-D63)</f>
        <v/>
      </c>
      <c r="G63" s="21" t="n"/>
      <c r="H63" s="21" t="n"/>
      <c r="I63" s="21" t="n"/>
    </row>
    <row r="64">
      <c r="A64" s="22" t="n"/>
      <c r="B64" s="21" t="n"/>
      <c r="C64" s="21" t="n"/>
      <c r="D64" s="24" t="n"/>
      <c r="E64" s="24" t="n"/>
      <c r="F64" s="25">
        <f>IF(D64="","",E64-D64)</f>
        <v/>
      </c>
      <c r="G64" s="21" t="n"/>
      <c r="H64" s="21" t="n"/>
      <c r="I64" s="21" t="n"/>
    </row>
    <row r="65">
      <c r="A65" s="22" t="n"/>
      <c r="B65" s="21" t="n"/>
      <c r="C65" s="21" t="n"/>
      <c r="D65" s="24" t="n"/>
      <c r="E65" s="24" t="n"/>
      <c r="F65" s="25">
        <f>IF(D65="","",E65-D65)</f>
        <v/>
      </c>
      <c r="G65" s="21" t="n"/>
      <c r="H65" s="21" t="n"/>
      <c r="I65" s="21" t="n"/>
    </row>
    <row r="66">
      <c r="A66" s="22" t="n"/>
      <c r="B66" s="21" t="n"/>
      <c r="C66" s="21" t="n"/>
      <c r="D66" s="24" t="n"/>
      <c r="E66" s="24" t="n"/>
      <c r="F66" s="25">
        <f>IF(D66="","",E66-D66)</f>
        <v/>
      </c>
      <c r="G66" s="21" t="n"/>
      <c r="H66" s="21" t="n"/>
      <c r="I66" s="21" t="n"/>
    </row>
    <row r="67">
      <c r="A67" s="22" t="n"/>
      <c r="B67" s="21" t="n"/>
      <c r="C67" s="21" t="n"/>
      <c r="D67" s="24" t="n"/>
      <c r="E67" s="24" t="n"/>
      <c r="F67" s="25">
        <f>IF(D67="","",E67-D67)</f>
        <v/>
      </c>
      <c r="G67" s="21" t="n"/>
      <c r="H67" s="21" t="n"/>
      <c r="I67" s="21" t="n"/>
    </row>
    <row r="68">
      <c r="A68" s="22" t="n"/>
      <c r="B68" s="21" t="n"/>
      <c r="C68" s="21" t="n"/>
      <c r="D68" s="24" t="n"/>
      <c r="E68" s="24" t="n"/>
      <c r="F68" s="25">
        <f>IF(D68="","",E68-D68)</f>
        <v/>
      </c>
      <c r="G68" s="21" t="n"/>
      <c r="H68" s="21" t="n"/>
      <c r="I68" s="21" t="n"/>
    </row>
    <row r="69">
      <c r="A69" s="22" t="n"/>
      <c r="B69" s="21" t="n"/>
      <c r="C69" s="21" t="n"/>
      <c r="D69" s="24" t="n"/>
      <c r="E69" s="24" t="n"/>
      <c r="F69" s="25">
        <f>IF(D69="","",E69-D69)</f>
        <v/>
      </c>
      <c r="G69" s="21" t="n"/>
      <c r="H69" s="21" t="n"/>
      <c r="I69" s="21" t="n"/>
    </row>
    <row r="70">
      <c r="A70" s="22" t="n"/>
      <c r="B70" s="21" t="n"/>
      <c r="C70" s="21" t="n"/>
      <c r="D70" s="24" t="n"/>
      <c r="E70" s="24" t="n"/>
      <c r="F70" s="25">
        <f>IF(D70="","",E70-D70)</f>
        <v/>
      </c>
      <c r="G70" s="21" t="n"/>
      <c r="H70" s="21" t="n"/>
      <c r="I70" s="21" t="n"/>
    </row>
    <row r="71">
      <c r="A71" s="22" t="n"/>
      <c r="B71" s="21" t="n"/>
      <c r="C71" s="21" t="n"/>
      <c r="D71" s="24" t="n"/>
      <c r="E71" s="24" t="n"/>
      <c r="F71" s="25">
        <f>IF(D71="","",E71-D71)</f>
        <v/>
      </c>
      <c r="G71" s="21" t="n"/>
      <c r="H71" s="21" t="n"/>
      <c r="I71" s="21" t="n"/>
    </row>
    <row r="72">
      <c r="A72" s="22" t="n"/>
      <c r="B72" s="21" t="n"/>
      <c r="C72" s="21" t="n"/>
      <c r="D72" s="24" t="n"/>
      <c r="E72" s="24" t="n"/>
      <c r="F72" s="25">
        <f>IF(D72="","",E72-D72)</f>
        <v/>
      </c>
      <c r="G72" s="21" t="n"/>
      <c r="H72" s="21" t="n"/>
      <c r="I72" s="21" t="n"/>
    </row>
    <row r="73">
      <c r="A73" s="22" t="n"/>
      <c r="B73" s="21" t="n"/>
      <c r="C73" s="21" t="n"/>
      <c r="D73" s="24" t="n"/>
      <c r="E73" s="24" t="n"/>
      <c r="F73" s="25">
        <f>IF(D73="","",E73-D73)</f>
        <v/>
      </c>
      <c r="G73" s="21" t="n"/>
      <c r="H73" s="21" t="n"/>
      <c r="I73" s="21" t="n"/>
    </row>
    <row r="74">
      <c r="A74" s="22" t="n"/>
      <c r="B74" s="21" t="n"/>
      <c r="C74" s="21" t="n"/>
      <c r="D74" s="24" t="n"/>
      <c r="E74" s="24" t="n"/>
      <c r="F74" s="25">
        <f>IF(D74="","",E74-D74)</f>
        <v/>
      </c>
      <c r="G74" s="21" t="n"/>
      <c r="H74" s="21" t="n"/>
      <c r="I74" s="21" t="n"/>
    </row>
    <row r="75">
      <c r="A75" s="22" t="n"/>
      <c r="B75" s="21" t="n"/>
      <c r="C75" s="21" t="n"/>
      <c r="D75" s="24" t="n"/>
      <c r="E75" s="24" t="n"/>
      <c r="F75" s="25">
        <f>IF(D75="","",E75-D75)</f>
        <v/>
      </c>
      <c r="G75" s="21" t="n"/>
      <c r="H75" s="21" t="n"/>
      <c r="I75" s="21" t="n"/>
    </row>
    <row r="76">
      <c r="A76" s="22" t="n"/>
      <c r="B76" s="21" t="n"/>
      <c r="C76" s="21" t="n"/>
      <c r="D76" s="24" t="n"/>
      <c r="E76" s="24" t="n"/>
      <c r="F76" s="25">
        <f>IF(D76="","",E76-D76)</f>
        <v/>
      </c>
      <c r="G76" s="21" t="n"/>
      <c r="H76" s="21" t="n"/>
      <c r="I76" s="21" t="n"/>
    </row>
    <row r="77">
      <c r="A77" s="22" t="n"/>
      <c r="B77" s="21" t="n"/>
      <c r="C77" s="21" t="n"/>
      <c r="D77" s="24" t="n"/>
      <c r="E77" s="24" t="n"/>
      <c r="F77" s="25">
        <f>IF(D77="","",E77-D77)</f>
        <v/>
      </c>
      <c r="G77" s="21" t="n"/>
      <c r="H77" s="21" t="n"/>
      <c r="I77" s="21" t="n"/>
    </row>
    <row r="78">
      <c r="A78" s="22" t="n"/>
      <c r="B78" s="21" t="n"/>
      <c r="C78" s="21" t="n"/>
      <c r="D78" s="24" t="n"/>
      <c r="E78" s="24" t="n"/>
      <c r="F78" s="25">
        <f>IF(D78="","",E78-D78)</f>
        <v/>
      </c>
      <c r="G78" s="21" t="n"/>
      <c r="H78" s="21" t="n"/>
      <c r="I78" s="21" t="n"/>
    </row>
    <row r="79">
      <c r="A79" s="22" t="n"/>
      <c r="B79" s="21" t="n"/>
      <c r="C79" s="21" t="n"/>
      <c r="D79" s="24" t="n"/>
      <c r="E79" s="24" t="n"/>
      <c r="F79" s="25">
        <f>IF(D79="","",E79-D79)</f>
        <v/>
      </c>
      <c r="G79" s="21" t="n"/>
      <c r="H79" s="21" t="n"/>
      <c r="I79" s="21" t="n"/>
    </row>
    <row r="80">
      <c r="A80" s="22" t="n"/>
      <c r="B80" s="21" t="n"/>
      <c r="C80" s="21" t="n"/>
      <c r="D80" s="24" t="n"/>
      <c r="E80" s="24" t="n"/>
      <c r="F80" s="25">
        <f>IF(D80="","",E80-D80)</f>
        <v/>
      </c>
      <c r="G80" s="21" t="n"/>
      <c r="H80" s="21" t="n"/>
      <c r="I80" s="21" t="n"/>
    </row>
    <row r="81">
      <c r="A81" s="22" t="n"/>
      <c r="B81" s="21" t="n"/>
      <c r="C81" s="21" t="n"/>
      <c r="D81" s="24" t="n"/>
      <c r="E81" s="24" t="n"/>
      <c r="F81" s="25">
        <f>IF(D81="","",E81-D81)</f>
        <v/>
      </c>
      <c r="G81" s="21" t="n"/>
      <c r="H81" s="21" t="n"/>
      <c r="I81" s="21" t="n"/>
    </row>
    <row r="82">
      <c r="A82" s="22" t="n"/>
      <c r="B82" s="21" t="n"/>
      <c r="C82" s="21" t="n"/>
      <c r="D82" s="24" t="n"/>
      <c r="E82" s="24" t="n"/>
      <c r="F82" s="25">
        <f>IF(D82="","",E82-D82)</f>
        <v/>
      </c>
      <c r="G82" s="21" t="n"/>
      <c r="H82" s="21" t="n"/>
      <c r="I82" s="21" t="n"/>
    </row>
    <row r="83">
      <c r="A83" s="22" t="n"/>
      <c r="B83" s="21" t="n"/>
      <c r="C83" s="21" t="n"/>
      <c r="D83" s="24" t="n"/>
      <c r="E83" s="24" t="n"/>
      <c r="F83" s="25">
        <f>IF(D83="","",E83-D83)</f>
        <v/>
      </c>
      <c r="G83" s="21" t="n"/>
      <c r="H83" s="21" t="n"/>
      <c r="I83" s="21" t="n"/>
    </row>
    <row r="84">
      <c r="A84" s="22" t="n"/>
      <c r="B84" s="21" t="n"/>
      <c r="C84" s="21" t="n"/>
      <c r="D84" s="24" t="n"/>
      <c r="E84" s="24" t="n"/>
      <c r="F84" s="25">
        <f>IF(D84="","",E84-D84)</f>
        <v/>
      </c>
      <c r="G84" s="21" t="n"/>
      <c r="H84" s="21" t="n"/>
      <c r="I84" s="21" t="n"/>
    </row>
    <row r="85">
      <c r="A85" s="22" t="n"/>
      <c r="B85" s="21" t="n"/>
      <c r="C85" s="21" t="n"/>
      <c r="D85" s="24" t="n"/>
      <c r="E85" s="24" t="n"/>
      <c r="F85" s="25">
        <f>IF(D85="","",E85-D85)</f>
        <v/>
      </c>
      <c r="G85" s="21" t="n"/>
      <c r="H85" s="21" t="n"/>
      <c r="I85" s="21" t="n"/>
    </row>
    <row r="86">
      <c r="A86" s="22" t="n"/>
      <c r="B86" s="21" t="n"/>
      <c r="C86" s="21" t="n"/>
      <c r="D86" s="24" t="n"/>
      <c r="E86" s="24" t="n"/>
      <c r="F86" s="25">
        <f>IF(D86="","",E86-D86)</f>
        <v/>
      </c>
      <c r="G86" s="21" t="n"/>
      <c r="H86" s="21" t="n"/>
      <c r="I86" s="21" t="n"/>
    </row>
    <row r="87">
      <c r="A87" s="22" t="n"/>
      <c r="B87" s="21" t="n"/>
      <c r="C87" s="21" t="n"/>
      <c r="D87" s="24" t="n"/>
      <c r="E87" s="24" t="n"/>
      <c r="F87" s="25">
        <f>IF(D87="","",E87-D87)</f>
        <v/>
      </c>
      <c r="G87" s="21" t="n"/>
      <c r="H87" s="21" t="n"/>
      <c r="I87" s="21" t="n"/>
    </row>
    <row r="88">
      <c r="A88" s="22" t="n"/>
      <c r="B88" s="21" t="n"/>
      <c r="C88" s="21" t="n"/>
      <c r="D88" s="24" t="n"/>
      <c r="E88" s="24" t="n"/>
      <c r="F88" s="25">
        <f>IF(D88="","",E88-D88)</f>
        <v/>
      </c>
      <c r="G88" s="21" t="n"/>
      <c r="H88" s="21" t="n"/>
      <c r="I88" s="21" t="n"/>
    </row>
    <row r="89">
      <c r="A89" s="22" t="n"/>
      <c r="B89" s="21" t="n"/>
      <c r="C89" s="21" t="n"/>
      <c r="D89" s="24" t="n"/>
      <c r="E89" s="24" t="n"/>
      <c r="F89" s="25">
        <f>IF(D89="","",E89-D89)</f>
        <v/>
      </c>
      <c r="G89" s="21" t="n"/>
      <c r="H89" s="21" t="n"/>
      <c r="I89" s="21" t="n"/>
    </row>
    <row r="90">
      <c r="A90" s="22" t="n"/>
      <c r="B90" s="21" t="n"/>
      <c r="C90" s="21" t="n"/>
      <c r="D90" s="24" t="n"/>
      <c r="E90" s="24" t="n"/>
      <c r="F90" s="25">
        <f>IF(D90="","",E90-D90)</f>
        <v/>
      </c>
      <c r="G90" s="21" t="n"/>
      <c r="H90" s="21" t="n"/>
      <c r="I90" s="21" t="n"/>
    </row>
    <row r="91">
      <c r="A91" s="22" t="n"/>
      <c r="B91" s="21" t="n"/>
      <c r="C91" s="21" t="n"/>
      <c r="D91" s="24" t="n"/>
      <c r="E91" s="24" t="n"/>
      <c r="F91" s="25">
        <f>IF(D91="","",E91-D91)</f>
        <v/>
      </c>
      <c r="G91" s="21" t="n"/>
      <c r="H91" s="21" t="n"/>
      <c r="I91" s="21" t="n"/>
    </row>
    <row r="92">
      <c r="A92" s="22" t="n"/>
      <c r="B92" s="21" t="n"/>
      <c r="C92" s="21" t="n"/>
      <c r="D92" s="24" t="n"/>
      <c r="E92" s="24" t="n"/>
      <c r="F92" s="25">
        <f>IF(D92="","",E92-D92)</f>
        <v/>
      </c>
      <c r="G92" s="21" t="n"/>
      <c r="H92" s="21" t="n"/>
      <c r="I92" s="21" t="n"/>
    </row>
    <row r="93">
      <c r="A93" s="22" t="n"/>
      <c r="B93" s="21" t="n"/>
      <c r="C93" s="21" t="n"/>
      <c r="D93" s="24" t="n"/>
      <c r="E93" s="24" t="n"/>
      <c r="F93" s="25">
        <f>IF(D93="","",E93-D93)</f>
        <v/>
      </c>
      <c r="G93" s="21" t="n"/>
      <c r="H93" s="21" t="n"/>
      <c r="I93" s="21" t="n"/>
    </row>
    <row r="94">
      <c r="A94" s="22" t="n"/>
      <c r="B94" s="21" t="n"/>
      <c r="C94" s="21" t="n"/>
      <c r="D94" s="24" t="n"/>
      <c r="E94" s="24" t="n"/>
      <c r="F94" s="25">
        <f>IF(D94="","",E94-D94)</f>
        <v/>
      </c>
      <c r="G94" s="21" t="n"/>
      <c r="H94" s="21" t="n"/>
      <c r="I94" s="21" t="n"/>
    </row>
    <row r="95">
      <c r="A95" s="22" t="n"/>
      <c r="B95" s="21" t="n"/>
      <c r="C95" s="21" t="n"/>
      <c r="D95" s="24" t="n"/>
      <c r="E95" s="24" t="n"/>
      <c r="F95" s="25">
        <f>IF(D95="","",E95-D95)</f>
        <v/>
      </c>
      <c r="G95" s="21" t="n"/>
      <c r="H95" s="21" t="n"/>
      <c r="I95" s="21" t="n"/>
    </row>
    <row r="96">
      <c r="A96" s="22" t="n"/>
      <c r="B96" s="21" t="n"/>
      <c r="C96" s="21" t="n"/>
      <c r="D96" s="24" t="n"/>
      <c r="E96" s="24" t="n"/>
      <c r="F96" s="25">
        <f>IF(D96="","",E96-D96)</f>
        <v/>
      </c>
      <c r="G96" s="21" t="n"/>
      <c r="H96" s="21" t="n"/>
      <c r="I96" s="21" t="n"/>
    </row>
    <row r="97">
      <c r="A97" s="22" t="n"/>
      <c r="B97" s="21" t="n"/>
      <c r="C97" s="21" t="n"/>
      <c r="D97" s="24" t="n"/>
      <c r="E97" s="24" t="n"/>
      <c r="F97" s="25">
        <f>IF(D97="","",E97-D97)</f>
        <v/>
      </c>
      <c r="G97" s="21" t="n"/>
      <c r="H97" s="21" t="n"/>
      <c r="I97" s="21" t="n"/>
    </row>
    <row r="98">
      <c r="A98" s="22" t="n"/>
      <c r="B98" s="21" t="n"/>
      <c r="C98" s="21" t="n"/>
      <c r="D98" s="24" t="n"/>
      <c r="E98" s="24" t="n"/>
      <c r="F98" s="25">
        <f>IF(D98="","",E98-D98)</f>
        <v/>
      </c>
      <c r="G98" s="21" t="n"/>
      <c r="H98" s="21" t="n"/>
      <c r="I98" s="21" t="n"/>
    </row>
    <row r="99">
      <c r="A99" s="22" t="n"/>
      <c r="B99" s="21" t="n"/>
      <c r="C99" s="21" t="n"/>
      <c r="D99" s="24" t="n"/>
      <c r="E99" s="24" t="n"/>
      <c r="F99" s="25">
        <f>IF(D99="","",E99-D99)</f>
        <v/>
      </c>
      <c r="G99" s="21" t="n"/>
      <c r="H99" s="21" t="n"/>
      <c r="I99" s="21" t="n"/>
    </row>
    <row r="100">
      <c r="A100" s="22" t="n"/>
      <c r="B100" s="21" t="n"/>
      <c r="C100" s="21" t="n"/>
      <c r="D100" s="24" t="n"/>
      <c r="E100" s="24" t="n"/>
      <c r="F100" s="25">
        <f>IF(D100="","",E100-D100)</f>
        <v/>
      </c>
      <c r="G100" s="21" t="n"/>
      <c r="H100" s="21" t="n"/>
      <c r="I100" s="21" t="n"/>
    </row>
    <row r="101">
      <c r="A101" s="22" t="n"/>
      <c r="B101" s="21" t="n"/>
      <c r="C101" s="21" t="n"/>
      <c r="D101" s="24" t="n"/>
      <c r="E101" s="24" t="n"/>
      <c r="F101" s="25">
        <f>IF(D101="","",E101-D101)</f>
        <v/>
      </c>
      <c r="G101" s="21" t="n"/>
      <c r="H101" s="21" t="n"/>
      <c r="I101" s="21" t="n"/>
    </row>
    <row r="102">
      <c r="A102" s="22" t="n"/>
      <c r="B102" s="21" t="n"/>
      <c r="C102" s="21" t="n"/>
      <c r="D102" s="24" t="n"/>
      <c r="E102" s="24" t="n"/>
      <c r="F102" s="25">
        <f>IF(D102="","",E102-D102)</f>
        <v/>
      </c>
      <c r="G102" s="21" t="n"/>
      <c r="H102" s="21" t="n"/>
      <c r="I102" s="21" t="n"/>
    </row>
    <row r="103">
      <c r="A103" s="22" t="n"/>
      <c r="B103" s="21" t="n"/>
      <c r="C103" s="21" t="n"/>
      <c r="D103" s="24" t="n"/>
      <c r="E103" s="24" t="n"/>
      <c r="F103" s="25">
        <f>IF(D103="","",E103-D103)</f>
        <v/>
      </c>
      <c r="G103" s="21" t="n"/>
      <c r="H103" s="21" t="n"/>
      <c r="I103" s="21" t="n"/>
    </row>
    <row r="104">
      <c r="A104" s="22" t="n"/>
      <c r="B104" s="21" t="n"/>
      <c r="C104" s="21" t="n"/>
      <c r="D104" s="24" t="n"/>
      <c r="E104" s="24" t="n"/>
      <c r="F104" s="25">
        <f>IF(D104="","",E104-D104)</f>
        <v/>
      </c>
      <c r="G104" s="21" t="n"/>
      <c r="H104" s="21" t="n"/>
      <c r="I104" s="21" t="n"/>
    </row>
    <row r="105">
      <c r="A105" s="22" t="n"/>
      <c r="B105" s="21" t="n"/>
      <c r="C105" s="21" t="n"/>
      <c r="D105" s="24" t="n"/>
      <c r="E105" s="24" t="n"/>
      <c r="F105" s="25">
        <f>IF(D105="","",E105-D105)</f>
        <v/>
      </c>
      <c r="G105" s="21" t="n"/>
      <c r="H105" s="21" t="n"/>
      <c r="I105" s="21" t="n"/>
    </row>
    <row r="106">
      <c r="A106" s="22" t="n"/>
      <c r="B106" s="21" t="n"/>
      <c r="C106" s="21" t="n"/>
      <c r="D106" s="24" t="n"/>
      <c r="E106" s="24" t="n"/>
      <c r="F106" s="25">
        <f>IF(D106="","",E106-D106)</f>
        <v/>
      </c>
      <c r="G106" s="21" t="n"/>
      <c r="H106" s="21" t="n"/>
      <c r="I106" s="21" t="n"/>
    </row>
    <row r="107">
      <c r="A107" s="22" t="n"/>
      <c r="B107" s="21" t="n"/>
      <c r="C107" s="21" t="n"/>
      <c r="D107" s="24" t="n"/>
      <c r="E107" s="24" t="n"/>
      <c r="F107" s="25">
        <f>IF(D107="","",E107-D107)</f>
        <v/>
      </c>
      <c r="G107" s="21" t="n"/>
      <c r="H107" s="21" t="n"/>
      <c r="I107" s="21" t="n"/>
    </row>
    <row r="108">
      <c r="A108" s="22" t="n"/>
      <c r="B108" s="21" t="n"/>
      <c r="C108" s="21" t="n"/>
      <c r="D108" s="24" t="n"/>
      <c r="E108" s="24" t="n"/>
      <c r="F108" s="25">
        <f>IF(D108="","",E108-D108)</f>
        <v/>
      </c>
      <c r="G108" s="21" t="n"/>
      <c r="H108" s="21" t="n"/>
      <c r="I108" s="21" t="n"/>
    </row>
    <row r="109">
      <c r="A109" s="22" t="n"/>
      <c r="B109" s="21" t="n"/>
      <c r="C109" s="21" t="n"/>
      <c r="D109" s="24" t="n"/>
      <c r="E109" s="24" t="n"/>
      <c r="F109" s="25">
        <f>IF(D109="","",E109-D109)</f>
        <v/>
      </c>
      <c r="G109" s="21" t="n"/>
      <c r="H109" s="21" t="n"/>
      <c r="I109" s="21" t="n"/>
    </row>
    <row r="110">
      <c r="A110" s="22" t="n"/>
      <c r="B110" s="21" t="n"/>
      <c r="C110" s="21" t="n"/>
      <c r="D110" s="24" t="n"/>
      <c r="E110" s="24" t="n"/>
      <c r="F110" s="25">
        <f>IF(D110="","",E110-D110)</f>
        <v/>
      </c>
      <c r="G110" s="21" t="n"/>
      <c r="H110" s="21" t="n"/>
      <c r="I110" s="21" t="n"/>
    </row>
    <row r="111">
      <c r="A111" s="22" t="n"/>
      <c r="B111" s="21" t="n"/>
      <c r="C111" s="21" t="n"/>
      <c r="D111" s="24" t="n"/>
      <c r="E111" s="24" t="n"/>
      <c r="F111" s="25">
        <f>IF(D111="","",E111-D111)</f>
        <v/>
      </c>
      <c r="G111" s="21" t="n"/>
      <c r="H111" s="21" t="n"/>
      <c r="I111" s="21" t="n"/>
    </row>
    <row r="112">
      <c r="A112" s="22" t="n"/>
      <c r="B112" s="21" t="n"/>
      <c r="C112" s="21" t="n"/>
      <c r="D112" s="24" t="n"/>
      <c r="E112" s="24" t="n"/>
      <c r="F112" s="25">
        <f>IF(D112="","",E112-D112)</f>
        <v/>
      </c>
      <c r="G112" s="21" t="n"/>
      <c r="H112" s="21" t="n"/>
      <c r="I112" s="21" t="n"/>
    </row>
    <row r="113">
      <c r="A113" s="22" t="n"/>
      <c r="B113" s="21" t="n"/>
      <c r="C113" s="21" t="n"/>
      <c r="D113" s="24" t="n"/>
      <c r="E113" s="24" t="n"/>
      <c r="F113" s="25">
        <f>IF(D113="","",E113-D113)</f>
        <v/>
      </c>
      <c r="G113" s="21" t="n"/>
      <c r="H113" s="21" t="n"/>
      <c r="I113" s="21" t="n"/>
    </row>
    <row r="114">
      <c r="A114" s="22" t="n"/>
      <c r="B114" s="21" t="n"/>
      <c r="C114" s="21" t="n"/>
      <c r="D114" s="24" t="n"/>
      <c r="E114" s="24" t="n"/>
      <c r="F114" s="25">
        <f>IF(D114="","",E114-D114)</f>
        <v/>
      </c>
      <c r="G114" s="21" t="n"/>
      <c r="H114" s="21" t="n"/>
      <c r="I114" s="21" t="n"/>
    </row>
    <row r="115">
      <c r="A115" s="22" t="n"/>
      <c r="B115" s="21" t="n"/>
      <c r="C115" s="21" t="n"/>
      <c r="D115" s="24" t="n"/>
      <c r="E115" s="24" t="n"/>
      <c r="F115" s="25">
        <f>IF(D115="","",E115-D115)</f>
        <v/>
      </c>
      <c r="G115" s="21" t="n"/>
      <c r="H115" s="21" t="n"/>
      <c r="I115" s="21" t="n"/>
    </row>
    <row r="116">
      <c r="A116" s="22" t="n"/>
      <c r="B116" s="21" t="n"/>
      <c r="C116" s="21" t="n"/>
      <c r="D116" s="24" t="n"/>
      <c r="E116" s="24" t="n"/>
      <c r="F116" s="25">
        <f>IF(D116="","",E116-D116)</f>
        <v/>
      </c>
      <c r="G116" s="21" t="n"/>
      <c r="H116" s="21" t="n"/>
      <c r="I116" s="21" t="n"/>
    </row>
    <row r="117">
      <c r="A117" s="22" t="n"/>
      <c r="B117" s="21" t="n"/>
      <c r="C117" s="21" t="n"/>
      <c r="D117" s="24" t="n"/>
      <c r="E117" s="24" t="n"/>
      <c r="F117" s="25">
        <f>IF(D117="","",E117-D117)</f>
        <v/>
      </c>
      <c r="G117" s="21" t="n"/>
      <c r="H117" s="21" t="n"/>
      <c r="I117" s="21" t="n"/>
    </row>
    <row r="118">
      <c r="A118" s="22" t="n"/>
      <c r="B118" s="21" t="n"/>
      <c r="C118" s="21" t="n"/>
      <c r="D118" s="24" t="n"/>
      <c r="E118" s="24" t="n"/>
      <c r="F118" s="25">
        <f>IF(D118="","",E118-D118)</f>
        <v/>
      </c>
      <c r="G118" s="21" t="n"/>
      <c r="H118" s="21" t="n"/>
      <c r="I118" s="21" t="n"/>
    </row>
    <row r="119">
      <c r="A119" s="22" t="n"/>
      <c r="B119" s="21" t="n"/>
      <c r="C119" s="21" t="n"/>
      <c r="D119" s="24" t="n"/>
      <c r="E119" s="24" t="n"/>
      <c r="F119" s="25">
        <f>IF(D119="","",E119-D119)</f>
        <v/>
      </c>
      <c r="G119" s="21" t="n"/>
      <c r="H119" s="21" t="n"/>
      <c r="I119" s="21" t="n"/>
    </row>
    <row r="120">
      <c r="A120" s="22" t="n"/>
      <c r="B120" s="21" t="n"/>
      <c r="C120" s="21" t="n"/>
      <c r="D120" s="24" t="n"/>
      <c r="E120" s="24" t="n"/>
      <c r="F120" s="25">
        <f>IF(D120="","",E120-D120)</f>
        <v/>
      </c>
      <c r="G120" s="21" t="n"/>
      <c r="H120" s="21" t="n"/>
      <c r="I120" s="21" t="n"/>
    </row>
    <row r="121">
      <c r="A121" s="22" t="n"/>
      <c r="B121" s="21" t="n"/>
      <c r="C121" s="21" t="n"/>
      <c r="D121" s="24" t="n"/>
      <c r="E121" s="24" t="n"/>
      <c r="F121" s="25">
        <f>IF(D121="","",E121-D121)</f>
        <v/>
      </c>
      <c r="G121" s="21" t="n"/>
      <c r="H121" s="21" t="n"/>
      <c r="I121" s="21" t="n"/>
    </row>
    <row r="122">
      <c r="A122" s="22" t="n"/>
      <c r="B122" s="21" t="n"/>
      <c r="C122" s="21" t="n"/>
      <c r="D122" s="24" t="n"/>
      <c r="E122" s="24" t="n"/>
      <c r="F122" s="25">
        <f>IF(D122="","",E122-D122)</f>
        <v/>
      </c>
      <c r="G122" s="21" t="n"/>
      <c r="H122" s="21" t="n"/>
      <c r="I122" s="21" t="n"/>
    </row>
    <row r="123">
      <c r="A123" s="22" t="n"/>
      <c r="B123" s="21" t="n"/>
      <c r="C123" s="21" t="n"/>
      <c r="D123" s="24" t="n"/>
      <c r="E123" s="24" t="n"/>
      <c r="F123" s="25">
        <f>IF(D123="","",E123-D123)</f>
        <v/>
      </c>
      <c r="G123" s="21" t="n"/>
      <c r="H123" s="21" t="n"/>
      <c r="I123" s="21" t="n"/>
    </row>
    <row r="124">
      <c r="A124" s="22" t="n"/>
      <c r="B124" s="21" t="n"/>
      <c r="C124" s="21" t="n"/>
      <c r="D124" s="24" t="n"/>
      <c r="E124" s="24" t="n"/>
      <c r="F124" s="25">
        <f>IF(D124="","",E124-D124)</f>
        <v/>
      </c>
      <c r="G124" s="21" t="n"/>
      <c r="H124" s="21" t="n"/>
      <c r="I124" s="21" t="n"/>
    </row>
    <row r="125">
      <c r="A125" s="22" t="n"/>
      <c r="B125" s="21" t="n"/>
      <c r="C125" s="21" t="n"/>
      <c r="D125" s="24" t="n"/>
      <c r="E125" s="24" t="n"/>
      <c r="F125" s="25">
        <f>IF(D125="","",E125-D125)</f>
        <v/>
      </c>
      <c r="G125" s="21" t="n"/>
      <c r="H125" s="21" t="n"/>
      <c r="I125" s="21" t="n"/>
    </row>
    <row r="126">
      <c r="A126" s="22" t="n"/>
      <c r="B126" s="21" t="n"/>
      <c r="C126" s="21" t="n"/>
      <c r="D126" s="24" t="n"/>
      <c r="E126" s="24" t="n"/>
      <c r="F126" s="25">
        <f>IF(D126="","",E126-D126)</f>
        <v/>
      </c>
      <c r="G126" s="21" t="n"/>
      <c r="H126" s="21" t="n"/>
      <c r="I126" s="21" t="n"/>
    </row>
    <row r="127">
      <c r="A127" s="22" t="n"/>
      <c r="B127" s="21" t="n"/>
      <c r="C127" s="21" t="n"/>
      <c r="D127" s="24" t="n"/>
      <c r="E127" s="24" t="n"/>
      <c r="F127" s="25">
        <f>IF(D127="","",E127-D127)</f>
        <v/>
      </c>
      <c r="G127" s="21" t="n"/>
      <c r="H127" s="21" t="n"/>
      <c r="I127" s="21" t="n"/>
    </row>
    <row r="128">
      <c r="A128" s="22" t="n"/>
      <c r="B128" s="21" t="n"/>
      <c r="C128" s="21" t="n"/>
      <c r="D128" s="24" t="n"/>
      <c r="E128" s="24" t="n"/>
      <c r="F128" s="25">
        <f>IF(D128="","",E128-D128)</f>
        <v/>
      </c>
      <c r="G128" s="21" t="n"/>
      <c r="H128" s="21" t="n"/>
      <c r="I128" s="21" t="n"/>
    </row>
    <row r="129">
      <c r="A129" s="22" t="n"/>
      <c r="B129" s="21" t="n"/>
      <c r="C129" s="21" t="n"/>
      <c r="D129" s="24" t="n"/>
      <c r="E129" s="24" t="n"/>
      <c r="F129" s="25">
        <f>IF(D129="","",E129-D129)</f>
        <v/>
      </c>
      <c r="G129" s="21" t="n"/>
      <c r="H129" s="21" t="n"/>
      <c r="I129" s="21" t="n"/>
    </row>
    <row r="130">
      <c r="A130" s="22" t="n"/>
      <c r="B130" s="21" t="n"/>
      <c r="C130" s="21" t="n"/>
      <c r="D130" s="24" t="n"/>
      <c r="E130" s="24" t="n"/>
      <c r="F130" s="25">
        <f>IF(D130="","",E130-D130)</f>
        <v/>
      </c>
      <c r="G130" s="21" t="n"/>
      <c r="H130" s="21" t="n"/>
      <c r="I130" s="21" t="n"/>
    </row>
    <row r="131">
      <c r="A131" s="22" t="n"/>
      <c r="B131" s="21" t="n"/>
      <c r="C131" s="21" t="n"/>
      <c r="D131" s="24" t="n"/>
      <c r="E131" s="24" t="n"/>
      <c r="F131" s="25">
        <f>IF(D131="","",E131-D131)</f>
        <v/>
      </c>
      <c r="G131" s="21" t="n"/>
      <c r="H131" s="21" t="n"/>
      <c r="I131" s="21" t="n"/>
    </row>
    <row r="132">
      <c r="A132" s="22" t="n"/>
      <c r="B132" s="21" t="n"/>
      <c r="C132" s="21" t="n"/>
      <c r="D132" s="24" t="n"/>
      <c r="E132" s="24" t="n"/>
      <c r="F132" s="25">
        <f>IF(D132="","",E132-D132)</f>
        <v/>
      </c>
      <c r="G132" s="21" t="n"/>
      <c r="H132" s="21" t="n"/>
      <c r="I132" s="21" t="n"/>
    </row>
    <row r="133">
      <c r="A133" s="22" t="n"/>
      <c r="B133" s="21" t="n"/>
      <c r="C133" s="21" t="n"/>
      <c r="D133" s="24" t="n"/>
      <c r="E133" s="24" t="n"/>
      <c r="F133" s="25">
        <f>IF(D133="","",E133-D133)</f>
        <v/>
      </c>
      <c r="G133" s="21" t="n"/>
      <c r="H133" s="21" t="n"/>
      <c r="I133" s="21" t="n"/>
    </row>
    <row r="134">
      <c r="A134" s="22" t="n"/>
      <c r="B134" s="21" t="n"/>
      <c r="C134" s="21" t="n"/>
      <c r="D134" s="24" t="n"/>
      <c r="E134" s="24" t="n"/>
      <c r="F134" s="25">
        <f>IF(D134="","",E134-D134)</f>
        <v/>
      </c>
      <c r="G134" s="21" t="n"/>
      <c r="H134" s="21" t="n"/>
      <c r="I134" s="21" t="n"/>
    </row>
    <row r="135">
      <c r="A135" s="22" t="n"/>
      <c r="B135" s="21" t="n"/>
      <c r="C135" s="21" t="n"/>
      <c r="D135" s="24" t="n"/>
      <c r="E135" s="24" t="n"/>
      <c r="F135" s="25">
        <f>IF(D135="","",E135-D135)</f>
        <v/>
      </c>
      <c r="G135" s="21" t="n"/>
      <c r="H135" s="21" t="n"/>
      <c r="I135" s="21" t="n"/>
    </row>
    <row r="136">
      <c r="A136" s="22" t="n"/>
      <c r="B136" s="21" t="n"/>
      <c r="C136" s="21" t="n"/>
      <c r="D136" s="24" t="n"/>
      <c r="E136" s="24" t="n"/>
      <c r="F136" s="25">
        <f>IF(D136="","",E136-D136)</f>
        <v/>
      </c>
      <c r="G136" s="21" t="n"/>
      <c r="H136" s="21" t="n"/>
      <c r="I136" s="21" t="n"/>
    </row>
    <row r="137">
      <c r="A137" s="22" t="n"/>
      <c r="B137" s="21" t="n"/>
      <c r="C137" s="21" t="n"/>
      <c r="D137" s="24" t="n"/>
      <c r="E137" s="24" t="n"/>
      <c r="F137" s="25">
        <f>IF(D137="","",E137-D137)</f>
        <v/>
      </c>
      <c r="G137" s="21" t="n"/>
      <c r="H137" s="21" t="n"/>
      <c r="I137" s="21" t="n"/>
    </row>
    <row r="138">
      <c r="A138" s="22" t="n"/>
      <c r="B138" s="21" t="n"/>
      <c r="C138" s="21" t="n"/>
      <c r="D138" s="24" t="n"/>
      <c r="E138" s="24" t="n"/>
      <c r="F138" s="25">
        <f>IF(D138="","",E138-D138)</f>
        <v/>
      </c>
      <c r="G138" s="21" t="n"/>
      <c r="H138" s="21" t="n"/>
      <c r="I138" s="21" t="n"/>
    </row>
    <row r="139">
      <c r="A139" s="22" t="n"/>
      <c r="B139" s="21" t="n"/>
      <c r="C139" s="21" t="n"/>
      <c r="D139" s="24" t="n"/>
      <c r="E139" s="24" t="n"/>
      <c r="F139" s="25">
        <f>IF(D139="","",E139-D139)</f>
        <v/>
      </c>
      <c r="G139" s="21" t="n"/>
      <c r="H139" s="21" t="n"/>
      <c r="I139" s="21" t="n"/>
    </row>
    <row r="140">
      <c r="A140" s="22" t="n"/>
      <c r="B140" s="21" t="n"/>
      <c r="C140" s="21" t="n"/>
      <c r="D140" s="24" t="n"/>
      <c r="E140" s="24" t="n"/>
      <c r="F140" s="25">
        <f>IF(D140="","",E140-D140)</f>
        <v/>
      </c>
      <c r="G140" s="21" t="n"/>
      <c r="H140" s="21" t="n"/>
      <c r="I140" s="21" t="n"/>
    </row>
    <row r="141">
      <c r="A141" s="22" t="n"/>
      <c r="B141" s="21" t="n"/>
      <c r="C141" s="21" t="n"/>
      <c r="D141" s="24" t="n"/>
      <c r="E141" s="24" t="n"/>
      <c r="F141" s="25">
        <f>IF(D141="","",E141-D141)</f>
        <v/>
      </c>
      <c r="G141" s="21" t="n"/>
      <c r="H141" s="21" t="n"/>
      <c r="I141" s="21" t="n"/>
    </row>
    <row r="142">
      <c r="A142" s="22" t="n"/>
      <c r="B142" s="21" t="n"/>
      <c r="C142" s="21" t="n"/>
      <c r="D142" s="24" t="n"/>
      <c r="E142" s="24" t="n"/>
      <c r="F142" s="25">
        <f>IF(D142="","",E142-D142)</f>
        <v/>
      </c>
      <c r="G142" s="21" t="n"/>
      <c r="H142" s="21" t="n"/>
      <c r="I142" s="21" t="n"/>
    </row>
    <row r="143">
      <c r="A143" s="22" t="n"/>
      <c r="B143" s="21" t="n"/>
      <c r="C143" s="21" t="n"/>
      <c r="D143" s="24" t="n"/>
      <c r="E143" s="24" t="n"/>
      <c r="F143" s="25">
        <f>IF(D143="","",E143-D143)</f>
        <v/>
      </c>
      <c r="G143" s="21" t="n"/>
      <c r="H143" s="21" t="n"/>
      <c r="I143" s="21" t="n"/>
    </row>
    <row r="144">
      <c r="A144" s="22" t="n"/>
      <c r="B144" s="21" t="n"/>
      <c r="C144" s="21" t="n"/>
      <c r="D144" s="24" t="n"/>
      <c r="E144" s="24" t="n"/>
      <c r="F144" s="25">
        <f>IF(D144="","",E144-D144)</f>
        <v/>
      </c>
      <c r="G144" s="21" t="n"/>
      <c r="H144" s="21" t="n"/>
      <c r="I144" s="21" t="n"/>
    </row>
    <row r="145">
      <c r="A145" s="22" t="n"/>
      <c r="B145" s="21" t="n"/>
      <c r="C145" s="21" t="n"/>
      <c r="D145" s="24" t="n"/>
      <c r="E145" s="24" t="n"/>
      <c r="F145" s="25">
        <f>IF(D145="","",E145-D145)</f>
        <v/>
      </c>
      <c r="G145" s="21" t="n"/>
      <c r="H145" s="21" t="n"/>
      <c r="I145" s="21" t="n"/>
    </row>
    <row r="146">
      <c r="A146" s="22" t="n"/>
      <c r="B146" s="21" t="n"/>
      <c r="C146" s="21" t="n"/>
      <c r="D146" s="24" t="n"/>
      <c r="E146" s="24" t="n"/>
      <c r="F146" s="25">
        <f>IF(D146="","",E146-D146)</f>
        <v/>
      </c>
      <c r="G146" s="21" t="n"/>
      <c r="H146" s="21" t="n"/>
      <c r="I146" s="21" t="n"/>
    </row>
    <row r="147">
      <c r="A147" s="22" t="n"/>
      <c r="B147" s="21" t="n"/>
      <c r="C147" s="21" t="n"/>
      <c r="D147" s="24" t="n"/>
      <c r="E147" s="24" t="n"/>
      <c r="F147" s="25">
        <f>IF(D147="","",E147-D147)</f>
        <v/>
      </c>
      <c r="G147" s="21" t="n"/>
      <c r="H147" s="21" t="n"/>
      <c r="I147" s="21" t="n"/>
    </row>
    <row r="148">
      <c r="A148" s="22" t="n"/>
      <c r="B148" s="21" t="n"/>
      <c r="C148" s="21" t="n"/>
      <c r="D148" s="24" t="n"/>
      <c r="E148" s="24" t="n"/>
      <c r="F148" s="25">
        <f>IF(D148="","",E148-D148)</f>
        <v/>
      </c>
      <c r="G148" s="21" t="n"/>
      <c r="H148" s="21" t="n"/>
      <c r="I148" s="21" t="n"/>
    </row>
    <row r="149">
      <c r="A149" s="22" t="n"/>
      <c r="B149" s="21" t="n"/>
      <c r="C149" s="21" t="n"/>
      <c r="D149" s="24" t="n"/>
      <c r="E149" s="24" t="n"/>
      <c r="F149" s="25">
        <f>IF(D149="","",E149-D149)</f>
        <v/>
      </c>
      <c r="G149" s="21" t="n"/>
      <c r="H149" s="21" t="n"/>
      <c r="I149" s="21" t="n"/>
    </row>
    <row r="150">
      <c r="A150" s="22" t="n"/>
      <c r="B150" s="21" t="n"/>
      <c r="C150" s="21" t="n"/>
      <c r="D150" s="24" t="n"/>
      <c r="E150" s="24" t="n"/>
      <c r="F150" s="25">
        <f>IF(D150="","",E150-D150)</f>
        <v/>
      </c>
      <c r="G150" s="21" t="n"/>
      <c r="H150" s="21" t="n"/>
      <c r="I150" s="21" t="n"/>
    </row>
    <row r="151">
      <c r="A151" s="22" t="n"/>
      <c r="B151" s="21" t="n"/>
      <c r="C151" s="21" t="n"/>
      <c r="D151" s="24" t="n"/>
      <c r="E151" s="24" t="n"/>
      <c r="F151" s="25">
        <f>IF(D151="","",E151-D151)</f>
        <v/>
      </c>
      <c r="G151" s="21" t="n"/>
      <c r="H151" s="21" t="n"/>
      <c r="I151" s="21" t="n"/>
    </row>
    <row r="152">
      <c r="A152" s="22" t="n"/>
      <c r="B152" s="21" t="n"/>
      <c r="C152" s="21" t="n"/>
      <c r="D152" s="24" t="n"/>
      <c r="E152" s="24" t="n"/>
      <c r="F152" s="25">
        <f>IF(D152="","",E152-D152)</f>
        <v/>
      </c>
      <c r="G152" s="21" t="n"/>
      <c r="H152" s="21" t="n"/>
      <c r="I152" s="21" t="n"/>
    </row>
    <row r="153">
      <c r="A153" s="22" t="n"/>
      <c r="B153" s="21" t="n"/>
      <c r="C153" s="21" t="n"/>
      <c r="D153" s="24" t="n"/>
      <c r="E153" s="24" t="n"/>
      <c r="F153" s="25">
        <f>IF(D153="","",E153-D153)</f>
        <v/>
      </c>
      <c r="G153" s="21" t="n"/>
      <c r="H153" s="21" t="n"/>
      <c r="I153" s="21" t="n"/>
    </row>
    <row r="154">
      <c r="A154" s="22" t="n"/>
      <c r="B154" s="21" t="n"/>
      <c r="C154" s="21" t="n"/>
      <c r="D154" s="24" t="n"/>
      <c r="E154" s="24" t="n"/>
      <c r="F154" s="25">
        <f>IF(D154="","",E154-D154)</f>
        <v/>
      </c>
      <c r="G154" s="21" t="n"/>
      <c r="H154" s="21" t="n"/>
      <c r="I154" s="21" t="n"/>
    </row>
    <row r="155">
      <c r="A155" s="22" t="n"/>
      <c r="B155" s="21" t="n"/>
      <c r="C155" s="21" t="n"/>
      <c r="D155" s="24" t="n"/>
      <c r="E155" s="24" t="n"/>
      <c r="F155" s="25">
        <f>IF(D155="","",E155-D155)</f>
        <v/>
      </c>
      <c r="G155" s="21" t="n"/>
      <c r="H155" s="21" t="n"/>
      <c r="I155" s="21" t="n"/>
    </row>
    <row r="156">
      <c r="A156" s="22" t="n"/>
      <c r="B156" s="21" t="n"/>
      <c r="C156" s="21" t="n"/>
      <c r="D156" s="24" t="n"/>
      <c r="E156" s="24" t="n"/>
      <c r="F156" s="25">
        <f>IF(D156="","",E156-D156)</f>
        <v/>
      </c>
      <c r="G156" s="21" t="n"/>
      <c r="H156" s="21" t="n"/>
      <c r="I156" s="21" t="n"/>
    </row>
    <row r="157">
      <c r="A157" s="22" t="n"/>
      <c r="B157" s="21" t="n"/>
      <c r="C157" s="21" t="n"/>
      <c r="D157" s="24" t="n"/>
      <c r="E157" s="24" t="n"/>
      <c r="F157" s="25">
        <f>IF(D157="","",E157-D157)</f>
        <v/>
      </c>
      <c r="G157" s="21" t="n"/>
      <c r="H157" s="21" t="n"/>
      <c r="I157" s="21" t="n"/>
    </row>
    <row r="158">
      <c r="A158" s="22" t="n"/>
      <c r="B158" s="21" t="n"/>
      <c r="C158" s="21" t="n"/>
      <c r="D158" s="24" t="n"/>
      <c r="E158" s="24" t="n"/>
      <c r="F158" s="25">
        <f>IF(D158="","",E158-D158)</f>
        <v/>
      </c>
      <c r="G158" s="21" t="n"/>
      <c r="H158" s="21" t="n"/>
      <c r="I158" s="21" t="n"/>
    </row>
    <row r="159">
      <c r="A159" s="22" t="n"/>
      <c r="B159" s="21" t="n"/>
      <c r="C159" s="21" t="n"/>
      <c r="D159" s="24" t="n"/>
      <c r="E159" s="24" t="n"/>
      <c r="F159" s="25">
        <f>IF(D159="","",E159-D159)</f>
        <v/>
      </c>
      <c r="G159" s="21" t="n"/>
      <c r="H159" s="21" t="n"/>
      <c r="I159" s="21" t="n"/>
    </row>
    <row r="160">
      <c r="A160" s="22" t="n"/>
      <c r="B160" s="21" t="n"/>
      <c r="C160" s="21" t="n"/>
      <c r="D160" s="24" t="n"/>
      <c r="E160" s="24" t="n"/>
      <c r="F160" s="25">
        <f>IF(D160="","",E160-D160)</f>
        <v/>
      </c>
      <c r="G160" s="21" t="n"/>
      <c r="H160" s="21" t="n"/>
      <c r="I160" s="21" t="n"/>
    </row>
    <row r="161">
      <c r="A161" s="22" t="n"/>
      <c r="B161" s="21" t="n"/>
      <c r="C161" s="21" t="n"/>
      <c r="D161" s="24" t="n"/>
      <c r="E161" s="24" t="n"/>
      <c r="F161" s="25">
        <f>IF(D161="","",E161-D161)</f>
        <v/>
      </c>
      <c r="G161" s="21" t="n"/>
      <c r="H161" s="21" t="n"/>
      <c r="I161" s="21" t="n"/>
    </row>
    <row r="162">
      <c r="A162" s="22" t="n"/>
      <c r="B162" s="21" t="n"/>
      <c r="C162" s="21" t="n"/>
      <c r="D162" s="24" t="n"/>
      <c r="E162" s="24" t="n"/>
      <c r="F162" s="25">
        <f>IF(D162="","",E162-D162)</f>
        <v/>
      </c>
      <c r="G162" s="21" t="n"/>
      <c r="H162" s="21" t="n"/>
      <c r="I162" s="21" t="n"/>
    </row>
    <row r="163">
      <c r="A163" s="22" t="n"/>
      <c r="B163" s="21" t="n"/>
      <c r="C163" s="21" t="n"/>
      <c r="D163" s="24" t="n"/>
      <c r="E163" s="24" t="n"/>
      <c r="F163" s="25">
        <f>IF(D163="","",E163-D163)</f>
        <v/>
      </c>
      <c r="G163" s="21" t="n"/>
      <c r="H163" s="21" t="n"/>
      <c r="I163" s="21" t="n"/>
    </row>
    <row r="164">
      <c r="A164" s="22" t="n"/>
      <c r="B164" s="21" t="n"/>
      <c r="C164" s="21" t="n"/>
      <c r="D164" s="24" t="n"/>
      <c r="E164" s="24" t="n"/>
      <c r="F164" s="25">
        <f>IF(D164="","",E164-D164)</f>
        <v/>
      </c>
      <c r="G164" s="21" t="n"/>
      <c r="H164" s="21" t="n"/>
      <c r="I164" s="21" t="n"/>
    </row>
    <row r="165">
      <c r="A165" s="22" t="n"/>
      <c r="B165" s="21" t="n"/>
      <c r="C165" s="21" t="n"/>
      <c r="D165" s="24" t="n"/>
      <c r="E165" s="24" t="n"/>
      <c r="F165" s="25">
        <f>IF(D165="","",E165-D165)</f>
        <v/>
      </c>
      <c r="G165" s="21" t="n"/>
      <c r="H165" s="21" t="n"/>
      <c r="I165" s="21" t="n"/>
    </row>
    <row r="166">
      <c r="A166" s="22" t="n"/>
      <c r="B166" s="21" t="n"/>
      <c r="C166" s="21" t="n"/>
      <c r="D166" s="24" t="n"/>
      <c r="E166" s="24" t="n"/>
      <c r="F166" s="25">
        <f>IF(D166="","",E166-D166)</f>
        <v/>
      </c>
      <c r="G166" s="21" t="n"/>
      <c r="H166" s="21" t="n"/>
      <c r="I166" s="21" t="n"/>
    </row>
    <row r="167">
      <c r="A167" s="22" t="n"/>
      <c r="B167" s="21" t="n"/>
      <c r="C167" s="21" t="n"/>
      <c r="D167" s="24" t="n"/>
      <c r="E167" s="24" t="n"/>
      <c r="F167" s="25">
        <f>IF(D167="","",E167-D167)</f>
        <v/>
      </c>
      <c r="G167" s="21" t="n"/>
      <c r="H167" s="21" t="n"/>
      <c r="I167" s="21" t="n"/>
    </row>
    <row r="168">
      <c r="A168" s="22" t="n"/>
      <c r="B168" s="21" t="n"/>
      <c r="C168" s="21" t="n"/>
      <c r="D168" s="24" t="n"/>
      <c r="E168" s="24" t="n"/>
      <c r="F168" s="25">
        <f>IF(D168="","",E168-D168)</f>
        <v/>
      </c>
      <c r="G168" s="21" t="n"/>
      <c r="H168" s="21" t="n"/>
      <c r="I168" s="21" t="n"/>
    </row>
    <row r="169">
      <c r="A169" s="22" t="n"/>
      <c r="B169" s="21" t="n"/>
      <c r="C169" s="21" t="n"/>
      <c r="D169" s="24" t="n"/>
      <c r="E169" s="24" t="n"/>
      <c r="F169" s="25">
        <f>IF(D169="","",E169-D169)</f>
        <v/>
      </c>
      <c r="G169" s="21" t="n"/>
      <c r="H169" s="21" t="n"/>
      <c r="I169" s="21" t="n"/>
    </row>
    <row r="170">
      <c r="A170" s="22" t="n"/>
      <c r="B170" s="21" t="n"/>
      <c r="C170" s="21" t="n"/>
      <c r="D170" s="24" t="n"/>
      <c r="E170" s="24" t="n"/>
      <c r="F170" s="25">
        <f>IF(D170="","",E170-D170)</f>
        <v/>
      </c>
      <c r="G170" s="21" t="n"/>
      <c r="H170" s="21" t="n"/>
      <c r="I170" s="21" t="n"/>
    </row>
    <row r="171">
      <c r="A171" s="22" t="n"/>
      <c r="B171" s="21" t="n"/>
      <c r="C171" s="21" t="n"/>
      <c r="D171" s="24" t="n"/>
      <c r="E171" s="24" t="n"/>
      <c r="F171" s="25">
        <f>IF(D171="","",E171-D171)</f>
        <v/>
      </c>
      <c r="G171" s="21" t="n"/>
      <c r="H171" s="21" t="n"/>
      <c r="I171" s="21" t="n"/>
    </row>
    <row r="172">
      <c r="A172" s="22" t="n"/>
      <c r="B172" s="21" t="n"/>
      <c r="C172" s="21" t="n"/>
      <c r="D172" s="24" t="n"/>
      <c r="E172" s="24" t="n"/>
      <c r="F172" s="25">
        <f>IF(D172="","",E172-D172)</f>
        <v/>
      </c>
      <c r="G172" s="21" t="n"/>
      <c r="H172" s="21" t="n"/>
      <c r="I172" s="21" t="n"/>
    </row>
    <row r="173">
      <c r="A173" s="22" t="n"/>
      <c r="B173" s="21" t="n"/>
      <c r="C173" s="21" t="n"/>
      <c r="D173" s="24" t="n"/>
      <c r="E173" s="24" t="n"/>
      <c r="F173" s="25">
        <f>IF(D173="","",E173-D173)</f>
        <v/>
      </c>
      <c r="G173" s="21" t="n"/>
      <c r="H173" s="21" t="n"/>
      <c r="I173" s="21" t="n"/>
    </row>
    <row r="174">
      <c r="A174" s="22" t="n"/>
      <c r="B174" s="21" t="n"/>
      <c r="C174" s="21" t="n"/>
      <c r="D174" s="24" t="n"/>
      <c r="E174" s="24" t="n"/>
      <c r="F174" s="25">
        <f>IF(D174="","",E174-D174)</f>
        <v/>
      </c>
      <c r="G174" s="21" t="n"/>
      <c r="H174" s="21" t="n"/>
      <c r="I174" s="21" t="n"/>
    </row>
    <row r="175">
      <c r="A175" s="22" t="n"/>
      <c r="B175" s="21" t="n"/>
      <c r="C175" s="21" t="n"/>
      <c r="D175" s="24" t="n"/>
      <c r="E175" s="24" t="n"/>
      <c r="F175" s="25">
        <f>IF(D175="","",E175-D175)</f>
        <v/>
      </c>
      <c r="G175" s="21" t="n"/>
      <c r="H175" s="21" t="n"/>
      <c r="I175" s="21" t="n"/>
    </row>
    <row r="176">
      <c r="A176" s="22" t="n"/>
      <c r="B176" s="21" t="n"/>
      <c r="C176" s="21" t="n"/>
      <c r="D176" s="24" t="n"/>
      <c r="E176" s="24" t="n"/>
      <c r="F176" s="25">
        <f>IF(D176="","",E176-D176)</f>
        <v/>
      </c>
      <c r="G176" s="21" t="n"/>
      <c r="H176" s="21" t="n"/>
      <c r="I176" s="21" t="n"/>
    </row>
    <row r="177">
      <c r="A177" s="22" t="n"/>
      <c r="B177" s="21" t="n"/>
      <c r="C177" s="21" t="n"/>
      <c r="D177" s="24" t="n"/>
      <c r="E177" s="24" t="n"/>
      <c r="F177" s="25">
        <f>IF(D177="","",E177-D177)</f>
        <v/>
      </c>
      <c r="G177" s="21" t="n"/>
      <c r="H177" s="21" t="n"/>
      <c r="I177" s="21" t="n"/>
    </row>
    <row r="178">
      <c r="A178" s="22" t="n"/>
      <c r="B178" s="21" t="n"/>
      <c r="C178" s="21" t="n"/>
      <c r="D178" s="24" t="n"/>
      <c r="E178" s="24" t="n"/>
      <c r="F178" s="25">
        <f>IF(D178="","",E178-D178)</f>
        <v/>
      </c>
      <c r="G178" s="21" t="n"/>
      <c r="H178" s="21" t="n"/>
      <c r="I178" s="21" t="n"/>
    </row>
    <row r="179">
      <c r="A179" s="22" t="n"/>
      <c r="B179" s="21" t="n"/>
      <c r="C179" s="21" t="n"/>
      <c r="D179" s="24" t="n"/>
      <c r="E179" s="24" t="n"/>
      <c r="F179" s="25">
        <f>IF(D179="","",E179-D179)</f>
        <v/>
      </c>
      <c r="G179" s="21" t="n"/>
      <c r="H179" s="21" t="n"/>
      <c r="I179" s="21" t="n"/>
    </row>
    <row r="180">
      <c r="A180" s="22" t="n"/>
      <c r="B180" s="21" t="n"/>
      <c r="C180" s="21" t="n"/>
      <c r="D180" s="24" t="n"/>
      <c r="E180" s="24" t="n"/>
      <c r="F180" s="25">
        <f>IF(D180="","",E180-D180)</f>
        <v/>
      </c>
      <c r="G180" s="21" t="n"/>
      <c r="H180" s="21" t="n"/>
      <c r="I180" s="21" t="n"/>
    </row>
    <row r="181">
      <c r="A181" s="22" t="n"/>
      <c r="B181" s="21" t="n"/>
      <c r="C181" s="21" t="n"/>
      <c r="D181" s="24" t="n"/>
      <c r="E181" s="24" t="n"/>
      <c r="F181" s="25">
        <f>IF(D181="","",E181-D181)</f>
        <v/>
      </c>
      <c r="G181" s="21" t="n"/>
      <c r="H181" s="21" t="n"/>
      <c r="I181" s="21" t="n"/>
    </row>
    <row r="182">
      <c r="A182" s="22" t="n"/>
      <c r="B182" s="21" t="n"/>
      <c r="C182" s="21" t="n"/>
      <c r="D182" s="24" t="n"/>
      <c r="E182" s="24" t="n"/>
      <c r="F182" s="25">
        <f>IF(D182="","",E182-D182)</f>
        <v/>
      </c>
      <c r="G182" s="21" t="n"/>
      <c r="H182" s="21" t="n"/>
      <c r="I182" s="21" t="n"/>
    </row>
    <row r="183">
      <c r="A183" s="22" t="n"/>
      <c r="B183" s="21" t="n"/>
      <c r="C183" s="21" t="n"/>
      <c r="D183" s="24" t="n"/>
      <c r="E183" s="24" t="n"/>
      <c r="F183" s="25">
        <f>IF(D183="","",E183-D183)</f>
        <v/>
      </c>
      <c r="G183" s="21" t="n"/>
      <c r="H183" s="21" t="n"/>
      <c r="I183" s="21" t="n"/>
    </row>
    <row r="184">
      <c r="A184" s="22" t="n"/>
      <c r="B184" s="21" t="n"/>
      <c r="C184" s="21" t="n"/>
      <c r="D184" s="24" t="n"/>
      <c r="E184" s="24" t="n"/>
      <c r="F184" s="25">
        <f>IF(D184="","",E184-D184)</f>
        <v/>
      </c>
      <c r="G184" s="21" t="n"/>
      <c r="H184" s="21" t="n"/>
      <c r="I184" s="21" t="n"/>
    </row>
    <row r="185">
      <c r="A185" s="22" t="n"/>
      <c r="B185" s="21" t="n"/>
      <c r="C185" s="21" t="n"/>
      <c r="D185" s="24" t="n"/>
      <c r="E185" s="24" t="n"/>
      <c r="F185" s="25">
        <f>IF(D185="","",E185-D185)</f>
        <v/>
      </c>
      <c r="G185" s="21" t="n"/>
      <c r="H185" s="21" t="n"/>
      <c r="I185" s="21" t="n"/>
    </row>
    <row r="186">
      <c r="A186" s="22" t="n"/>
      <c r="B186" s="21" t="n"/>
      <c r="C186" s="21" t="n"/>
      <c r="D186" s="24" t="n"/>
      <c r="E186" s="24" t="n"/>
      <c r="F186" s="25">
        <f>IF(D186="","",E186-D186)</f>
        <v/>
      </c>
      <c r="G186" s="21" t="n"/>
      <c r="H186" s="21" t="n"/>
      <c r="I186" s="21" t="n"/>
    </row>
    <row r="187">
      <c r="A187" s="22" t="n"/>
      <c r="B187" s="21" t="n"/>
      <c r="C187" s="21" t="n"/>
      <c r="D187" s="24" t="n"/>
      <c r="E187" s="24" t="n"/>
      <c r="F187" s="25">
        <f>IF(D187="","",E187-D187)</f>
        <v/>
      </c>
      <c r="G187" s="21" t="n"/>
      <c r="H187" s="21" t="n"/>
      <c r="I187" s="21" t="n"/>
    </row>
    <row r="188">
      <c r="A188" s="22" t="n"/>
      <c r="B188" s="21" t="n"/>
      <c r="C188" s="21" t="n"/>
      <c r="D188" s="24" t="n"/>
      <c r="E188" s="24" t="n"/>
      <c r="F188" s="25">
        <f>IF(D188="","",E188-D188)</f>
        <v/>
      </c>
      <c r="G188" s="21" t="n"/>
      <c r="H188" s="21" t="n"/>
      <c r="I188" s="21" t="n"/>
    </row>
    <row r="189">
      <c r="A189" s="22" t="n"/>
      <c r="B189" s="21" t="n"/>
      <c r="C189" s="21" t="n"/>
      <c r="D189" s="24" t="n"/>
      <c r="E189" s="24" t="n"/>
      <c r="F189" s="25">
        <f>IF(D189="","",E189-D189)</f>
        <v/>
      </c>
      <c r="G189" s="21" t="n"/>
      <c r="H189" s="21" t="n"/>
      <c r="I189" s="21" t="n"/>
    </row>
    <row r="190">
      <c r="A190" s="22" t="n"/>
      <c r="B190" s="21" t="n"/>
      <c r="C190" s="21" t="n"/>
      <c r="D190" s="24" t="n"/>
      <c r="E190" s="24" t="n"/>
      <c r="F190" s="25">
        <f>IF(D190="","",E190-D190)</f>
        <v/>
      </c>
      <c r="G190" s="21" t="n"/>
      <c r="H190" s="21" t="n"/>
      <c r="I190" s="21" t="n"/>
    </row>
    <row r="191">
      <c r="A191" s="22" t="n"/>
      <c r="B191" s="21" t="n"/>
      <c r="C191" s="21" t="n"/>
      <c r="D191" s="24" t="n"/>
      <c r="E191" s="24" t="n"/>
      <c r="F191" s="25">
        <f>IF(D191="","",E191-D191)</f>
        <v/>
      </c>
      <c r="G191" s="21" t="n"/>
      <c r="H191" s="21" t="n"/>
      <c r="I191" s="21" t="n"/>
    </row>
    <row r="192">
      <c r="A192" s="22" t="n"/>
      <c r="B192" s="21" t="n"/>
      <c r="C192" s="21" t="n"/>
      <c r="D192" s="24" t="n"/>
      <c r="E192" s="24" t="n"/>
      <c r="F192" s="25">
        <f>IF(D192="","",E192-D192)</f>
        <v/>
      </c>
      <c r="G192" s="21" t="n"/>
      <c r="H192" s="21" t="n"/>
      <c r="I192" s="21" t="n"/>
    </row>
    <row r="193">
      <c r="A193" s="22" t="n"/>
      <c r="B193" s="21" t="n"/>
      <c r="C193" s="21" t="n"/>
      <c r="D193" s="24" t="n"/>
      <c r="E193" s="24" t="n"/>
      <c r="F193" s="25">
        <f>IF(D193="","",E193-D193)</f>
        <v/>
      </c>
      <c r="G193" s="21" t="n"/>
      <c r="H193" s="21" t="n"/>
      <c r="I193" s="21" t="n"/>
    </row>
    <row r="194">
      <c r="A194" s="22" t="n"/>
      <c r="B194" s="21" t="n"/>
      <c r="C194" s="21" t="n"/>
      <c r="D194" s="24" t="n"/>
      <c r="E194" s="24" t="n"/>
      <c r="F194" s="25">
        <f>IF(D194="","",E194-D194)</f>
        <v/>
      </c>
      <c r="G194" s="21" t="n"/>
      <c r="H194" s="21" t="n"/>
      <c r="I194" s="21" t="n"/>
    </row>
    <row r="195">
      <c r="A195" s="22" t="n"/>
      <c r="B195" s="21" t="n"/>
      <c r="C195" s="21" t="n"/>
      <c r="D195" s="24" t="n"/>
      <c r="E195" s="24" t="n"/>
      <c r="F195" s="25">
        <f>IF(D195="","",E195-D195)</f>
        <v/>
      </c>
      <c r="G195" s="21" t="n"/>
      <c r="H195" s="21" t="n"/>
      <c r="I195" s="21" t="n"/>
    </row>
    <row r="196">
      <c r="A196" s="22" t="n"/>
      <c r="B196" s="21" t="n"/>
      <c r="C196" s="21" t="n"/>
      <c r="D196" s="24" t="n"/>
      <c r="E196" s="24" t="n"/>
      <c r="F196" s="25">
        <f>IF(D196="","",E196-D196)</f>
        <v/>
      </c>
      <c r="G196" s="21" t="n"/>
      <c r="H196" s="21" t="n"/>
      <c r="I196" s="21" t="n"/>
    </row>
    <row r="197">
      <c r="A197" s="22" t="n"/>
      <c r="B197" s="21" t="n"/>
      <c r="C197" s="21" t="n"/>
      <c r="D197" s="24" t="n"/>
      <c r="E197" s="24" t="n"/>
      <c r="F197" s="25">
        <f>IF(D197="","",E197-D197)</f>
        <v/>
      </c>
      <c r="G197" s="21" t="n"/>
      <c r="H197" s="21" t="n"/>
      <c r="I197" s="21" t="n"/>
    </row>
    <row r="198">
      <c r="A198" s="22" t="n"/>
      <c r="B198" s="21" t="n"/>
      <c r="C198" s="21" t="n"/>
      <c r="D198" s="24" t="n"/>
      <c r="E198" s="24" t="n"/>
      <c r="F198" s="25">
        <f>IF(D198="","",E198-D198)</f>
        <v/>
      </c>
      <c r="G198" s="21" t="n"/>
      <c r="H198" s="21" t="n"/>
      <c r="I198" s="21" t="n"/>
    </row>
    <row r="199">
      <c r="A199" s="22" t="n"/>
      <c r="B199" s="21" t="n"/>
      <c r="C199" s="21" t="n"/>
      <c r="D199" s="24" t="n"/>
      <c r="E199" s="24" t="n"/>
      <c r="F199" s="25">
        <f>IF(D199="","",E199-D199)</f>
        <v/>
      </c>
      <c r="G199" s="21" t="n"/>
      <c r="H199" s="21" t="n"/>
      <c r="I199" s="21" t="n"/>
    </row>
    <row r="200">
      <c r="A200" s="22" t="n"/>
      <c r="B200" s="21" t="n"/>
      <c r="C200" s="21" t="n"/>
      <c r="D200" s="24" t="n"/>
      <c r="E200" s="24" t="n"/>
      <c r="F200" s="25">
        <f>IF(D200="","",E200-D200)</f>
        <v/>
      </c>
      <c r="G200" s="21" t="n"/>
      <c r="H200" s="21" t="n"/>
      <c r="I200" s="21" t="n"/>
    </row>
    <row r="201">
      <c r="A201" s="22" t="n"/>
      <c r="B201" s="21" t="n"/>
      <c r="C201" s="21" t="n"/>
      <c r="D201" s="24" t="n"/>
      <c r="E201" s="24" t="n"/>
      <c r="F201" s="25">
        <f>IF(D201="","",E201-D201)</f>
        <v/>
      </c>
      <c r="G201" s="21" t="n"/>
      <c r="H201" s="21" t="n"/>
      <c r="I201" s="21" t="n"/>
    </row>
    <row r="202">
      <c r="A202" s="22" t="n"/>
      <c r="B202" s="21" t="n"/>
      <c r="C202" s="21" t="n"/>
      <c r="D202" s="24" t="n"/>
      <c r="E202" s="24" t="n"/>
      <c r="F202" s="25">
        <f>IF(D202="","",E202-D202)</f>
        <v/>
      </c>
      <c r="G202" s="21" t="n"/>
      <c r="H202" s="21" t="n"/>
      <c r="I202" s="21" t="n"/>
    </row>
    <row r="203">
      <c r="A203" s="22" t="n"/>
      <c r="B203" s="21" t="n"/>
      <c r="C203" s="21" t="n"/>
      <c r="D203" s="24" t="n"/>
      <c r="E203" s="24" t="n"/>
      <c r="F203" s="25">
        <f>IF(D203="","",E203-D203)</f>
        <v/>
      </c>
      <c r="G203" s="21" t="n"/>
      <c r="H203" s="21" t="n"/>
      <c r="I203" s="21" t="n"/>
    </row>
    <row r="204">
      <c r="A204" s="22" t="n"/>
      <c r="B204" s="21" t="n"/>
      <c r="C204" s="21" t="n"/>
      <c r="D204" s="24" t="n"/>
      <c r="E204" s="24" t="n"/>
      <c r="F204" s="25">
        <f>IF(D204="","",E204-D204)</f>
        <v/>
      </c>
      <c r="G204" s="21" t="n"/>
      <c r="H204" s="21" t="n"/>
      <c r="I204" s="21" t="n"/>
    </row>
  </sheetData>
  <mergeCells count="1">
    <mergeCell ref="A2:J3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tabColor rgb="00D9480F"/>
    <outlinePr summaryBelow="1" summaryRight="1"/>
    <pageSetUpPr fitToPage="1"/>
  </sheetPr>
  <dimension ref="A1:L10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4" customWidth="1" min="4" max="4"/>
    <col width="16" customWidth="1" min="5" max="5"/>
    <col width="24" customWidth="1" min="6" max="6"/>
    <col width="12" customWidth="1" min="7" max="7"/>
    <col width="32" customWidth="1" min="8" max="8"/>
    <col width="14" customWidth="1" min="9" max="9"/>
  </cols>
  <sheetData>
    <row r="1">
      <c r="A1" s="1" t="inlineStr">
        <is>
          <t>Karez outlet (Form C) — INPUT</t>
        </is>
      </c>
    </row>
    <row r="2">
      <c r="A2" t="inlineStr">
        <is>
          <t>Weekly (or daily while ponded) discharge at owkura. Q = 0 means dry. Do not enter the tunnel.</t>
        </is>
      </c>
    </row>
    <row r="3"/>
    <row r="4" ht="28" customHeight="1">
      <c r="A4" s="4" t="inlineStr">
        <is>
          <t>Date</t>
        </is>
      </c>
      <c r="B4" s="4" t="inlineStr">
        <is>
          <t>Karez name</t>
        </is>
      </c>
      <c r="C4" s="4" t="inlineStr">
        <is>
          <t>Q (L/s)</t>
        </is>
      </c>
      <c r="D4" s="4" t="inlineStr">
        <is>
          <t>Flowing (1/0)</t>
        </is>
      </c>
      <c r="E4" s="4" t="inlineStr">
        <is>
          <t>Control Q (L/s)</t>
        </is>
      </c>
      <c r="F4" s="4" t="inlineStr">
        <is>
          <t>Notes</t>
        </is>
      </c>
      <c r="H4" t="inlineStr">
        <is>
          <t>Treated flow days (visits)</t>
        </is>
      </c>
      <c r="I4" s="19">
        <f>SUM(D5:D104)</f>
        <v/>
      </c>
    </row>
    <row r="5">
      <c r="A5" s="20" t="inlineStr">
        <is>
          <t>2025-03-01</t>
        </is>
      </c>
      <c r="B5" s="11" t="inlineStr">
        <is>
          <t>Example karez</t>
        </is>
      </c>
      <c r="C5" s="14" t="n">
        <v>0</v>
      </c>
      <c r="D5" s="19">
        <f>IF(C5="","",IF(C5&gt;0,1,0))</f>
        <v/>
      </c>
      <c r="E5" s="14" t="n">
        <v>0</v>
      </c>
      <c r="F5" s="21" t="n"/>
      <c r="H5" t="inlineStr">
        <is>
          <t>Mean Q while flowing (L/s)</t>
        </is>
      </c>
      <c r="I5" s="25">
        <f>IFERROR(AVERAGEIF(D5:D104,1,C5:C104),0)</f>
        <v/>
      </c>
    </row>
    <row r="6">
      <c r="A6" s="20" t="inlineStr">
        <is>
          <t>2025-03-08</t>
        </is>
      </c>
      <c r="B6" s="11" t="inlineStr">
        <is>
          <t>Example karez</t>
        </is>
      </c>
      <c r="C6" s="14" t="n">
        <v>0.4</v>
      </c>
      <c r="D6" s="19">
        <f>IF(C6="","",IF(C6&gt;0,1,0))</f>
        <v/>
      </c>
      <c r="E6" s="14" t="n">
        <v>0</v>
      </c>
      <c r="F6" s="21" t="n"/>
      <c r="H6" t="inlineStr">
        <is>
          <t>Control flow days</t>
        </is>
      </c>
      <c r="I6" s="19">
        <f>COUNTIF(E5:E104,"&gt;0")</f>
        <v/>
      </c>
    </row>
    <row r="7">
      <c r="A7" s="20" t="inlineStr">
        <is>
          <t>2025-03-15</t>
        </is>
      </c>
      <c r="B7" s="11" t="inlineStr">
        <is>
          <t>Example karez</t>
        </is>
      </c>
      <c r="C7" s="14" t="n">
        <v>1.8</v>
      </c>
      <c r="D7" s="19">
        <f>IF(C7="","",IF(C7&gt;0,1,0))</f>
        <v/>
      </c>
      <c r="E7" s="14" t="n">
        <v>0.2</v>
      </c>
      <c r="F7" s="21" t="n"/>
      <c r="H7" t="inlineStr">
        <is>
          <t>I5 extra flow-day visits</t>
        </is>
      </c>
      <c r="I7" s="19">
        <f>I4-I6</f>
        <v/>
      </c>
    </row>
    <row r="8">
      <c r="A8" s="20" t="inlineStr">
        <is>
          <t>2025-03-22</t>
        </is>
      </c>
      <c r="B8" s="11" t="inlineStr">
        <is>
          <t>Example karez</t>
        </is>
      </c>
      <c r="C8" s="14" t="n">
        <v>2.4</v>
      </c>
      <c r="D8" s="19">
        <f>IF(C8="","",IF(C8&gt;0,1,0))</f>
        <v/>
      </c>
      <c r="E8" s="14" t="n">
        <v>0.3</v>
      </c>
      <c r="F8" s="21" t="n"/>
      <c r="H8" t="inlineStr">
        <is>
          <t>Note</t>
        </is>
      </c>
      <c r="I8" t="inlineStr">
        <is>
          <t>If visits are weekly, multiply extra visits × 7 for extra days (Summary does this).</t>
        </is>
      </c>
    </row>
    <row r="9">
      <c r="A9" s="20" t="inlineStr">
        <is>
          <t>2025-03-29</t>
        </is>
      </c>
      <c r="B9" s="11" t="inlineStr">
        <is>
          <t>Example karez</t>
        </is>
      </c>
      <c r="C9" s="14" t="n">
        <v>2.1</v>
      </c>
      <c r="D9" s="19">
        <f>IF(C9="","",IF(C9&gt;0,1,0))</f>
        <v/>
      </c>
      <c r="E9" s="14" t="n">
        <v>0.2</v>
      </c>
      <c r="F9" s="21" t="n"/>
    </row>
    <row r="10">
      <c r="A10" s="20" t="inlineStr">
        <is>
          <t>2025-04-05</t>
        </is>
      </c>
      <c r="B10" s="11" t="inlineStr">
        <is>
          <t>Example karez</t>
        </is>
      </c>
      <c r="C10" s="14" t="n">
        <v>1.5</v>
      </c>
      <c r="D10" s="19">
        <f>IF(C10="","",IF(C10&gt;0,1,0))</f>
        <v/>
      </c>
      <c r="E10" s="14" t="n">
        <v>0.1</v>
      </c>
      <c r="F10" s="21" t="n"/>
    </row>
    <row r="11">
      <c r="A11" s="20" t="inlineStr">
        <is>
          <t>2025-04-12</t>
        </is>
      </c>
      <c r="B11" s="11" t="inlineStr">
        <is>
          <t>Example karez</t>
        </is>
      </c>
      <c r="C11" s="14" t="n">
        <v>0.9</v>
      </c>
      <c r="D11" s="19">
        <f>IF(C11="","",IF(C11&gt;0,1,0))</f>
        <v/>
      </c>
      <c r="E11" s="14" t="n">
        <v>0</v>
      </c>
      <c r="F11" s="21" t="n"/>
    </row>
    <row r="12">
      <c r="A12" s="20" t="inlineStr">
        <is>
          <t>2025-04-19</t>
        </is>
      </c>
      <c r="B12" s="11" t="inlineStr">
        <is>
          <t>Example karez</t>
        </is>
      </c>
      <c r="C12" s="14" t="n">
        <v>0.3</v>
      </c>
      <c r="D12" s="19">
        <f>IF(C12="","",IF(C12&gt;0,1,0))</f>
        <v/>
      </c>
      <c r="E12" s="14" t="n">
        <v>0</v>
      </c>
      <c r="F12" s="21" t="n"/>
    </row>
    <row r="13">
      <c r="A13" s="20" t="inlineStr">
        <is>
          <t>2025-04-26</t>
        </is>
      </c>
      <c r="B13" s="11" t="inlineStr">
        <is>
          <t>Example karez</t>
        </is>
      </c>
      <c r="C13" s="14" t="n">
        <v>0</v>
      </c>
      <c r="D13" s="19">
        <f>IF(C13="","",IF(C13&gt;0,1,0))</f>
        <v/>
      </c>
      <c r="E13" s="14" t="n">
        <v>0</v>
      </c>
      <c r="F13" s="21" t="n"/>
    </row>
    <row r="14">
      <c r="A14" s="20" t="inlineStr">
        <is>
          <t>2025-05-03</t>
        </is>
      </c>
      <c r="B14" s="11" t="inlineStr">
        <is>
          <t>Example karez</t>
        </is>
      </c>
      <c r="C14" s="14" t="n">
        <v>0</v>
      </c>
      <c r="D14" s="19">
        <f>IF(C14="","",IF(C14&gt;0,1,0))</f>
        <v/>
      </c>
      <c r="E14" s="14" t="n">
        <v>0</v>
      </c>
      <c r="F14" s="21" t="n"/>
    </row>
    <row r="15">
      <c r="A15" s="22" t="n"/>
      <c r="B15" s="21" t="n"/>
      <c r="C15" s="24" t="n"/>
      <c r="D15" s="19">
        <f>IF(C15="","",IF(C15&gt;0,1,0))</f>
        <v/>
      </c>
      <c r="E15" s="24" t="n"/>
      <c r="F15" s="21" t="n"/>
    </row>
    <row r="16">
      <c r="A16" s="22" t="n"/>
      <c r="B16" s="21" t="n"/>
      <c r="C16" s="24" t="n"/>
      <c r="D16" s="19">
        <f>IF(C16="","",IF(C16&gt;0,1,0))</f>
        <v/>
      </c>
      <c r="E16" s="24" t="n"/>
      <c r="F16" s="21" t="n"/>
    </row>
    <row r="17">
      <c r="A17" s="22" t="n"/>
      <c r="B17" s="21" t="n"/>
      <c r="C17" s="24" t="n"/>
      <c r="D17" s="19">
        <f>IF(C17="","",IF(C17&gt;0,1,0))</f>
        <v/>
      </c>
      <c r="E17" s="24" t="n"/>
      <c r="F17" s="21" t="n"/>
    </row>
    <row r="18">
      <c r="A18" s="22" t="n"/>
      <c r="B18" s="21" t="n"/>
      <c r="C18" s="24" t="n"/>
      <c r="D18" s="19">
        <f>IF(C18="","",IF(C18&gt;0,1,0))</f>
        <v/>
      </c>
      <c r="E18" s="24" t="n"/>
      <c r="F18" s="21" t="n"/>
    </row>
    <row r="19">
      <c r="A19" s="22" t="n"/>
      <c r="B19" s="21" t="n"/>
      <c r="C19" s="24" t="n"/>
      <c r="D19" s="19">
        <f>IF(C19="","",IF(C19&gt;0,1,0))</f>
        <v/>
      </c>
      <c r="E19" s="24" t="n"/>
      <c r="F19" s="21" t="n"/>
    </row>
    <row r="20">
      <c r="A20" s="22" t="n"/>
      <c r="B20" s="21" t="n"/>
      <c r="C20" s="24" t="n"/>
      <c r="D20" s="19">
        <f>IF(C20="","",IF(C20&gt;0,1,0))</f>
        <v/>
      </c>
      <c r="E20" s="24" t="n"/>
      <c r="F20" s="21" t="n"/>
    </row>
    <row r="21">
      <c r="A21" s="22" t="n"/>
      <c r="B21" s="21" t="n"/>
      <c r="C21" s="24" t="n"/>
      <c r="D21" s="19">
        <f>IF(C21="","",IF(C21&gt;0,1,0))</f>
        <v/>
      </c>
      <c r="E21" s="24" t="n"/>
      <c r="F21" s="21" t="n"/>
    </row>
    <row r="22">
      <c r="A22" s="22" t="n"/>
      <c r="B22" s="21" t="n"/>
      <c r="C22" s="24" t="n"/>
      <c r="D22" s="19">
        <f>IF(C22="","",IF(C22&gt;0,1,0))</f>
        <v/>
      </c>
      <c r="E22" s="24" t="n"/>
      <c r="F22" s="21" t="n"/>
    </row>
    <row r="23">
      <c r="A23" s="22" t="n"/>
      <c r="B23" s="21" t="n"/>
      <c r="C23" s="24" t="n"/>
      <c r="D23" s="19">
        <f>IF(C23="","",IF(C23&gt;0,1,0))</f>
        <v/>
      </c>
      <c r="E23" s="24" t="n"/>
      <c r="F23" s="21" t="n"/>
    </row>
    <row r="24">
      <c r="A24" s="22" t="n"/>
      <c r="B24" s="21" t="n"/>
      <c r="C24" s="24" t="n"/>
      <c r="D24" s="19">
        <f>IF(C24="","",IF(C24&gt;0,1,0))</f>
        <v/>
      </c>
      <c r="E24" s="24" t="n"/>
      <c r="F24" s="21" t="n"/>
    </row>
    <row r="25">
      <c r="A25" s="22" t="n"/>
      <c r="B25" s="21" t="n"/>
      <c r="C25" s="24" t="n"/>
      <c r="D25" s="19">
        <f>IF(C25="","",IF(C25&gt;0,1,0))</f>
        <v/>
      </c>
      <c r="E25" s="24" t="n"/>
      <c r="F25" s="21" t="n"/>
    </row>
    <row r="26">
      <c r="A26" s="22" t="n"/>
      <c r="B26" s="21" t="n"/>
      <c r="C26" s="24" t="n"/>
      <c r="D26" s="19">
        <f>IF(C26="","",IF(C26&gt;0,1,0))</f>
        <v/>
      </c>
      <c r="E26" s="24" t="n"/>
      <c r="F26" s="21" t="n"/>
    </row>
    <row r="27">
      <c r="A27" s="22" t="n"/>
      <c r="B27" s="21" t="n"/>
      <c r="C27" s="24" t="n"/>
      <c r="D27" s="19">
        <f>IF(C27="","",IF(C27&gt;0,1,0))</f>
        <v/>
      </c>
      <c r="E27" s="24" t="n"/>
      <c r="F27" s="21" t="n"/>
    </row>
    <row r="28">
      <c r="A28" s="22" t="n"/>
      <c r="B28" s="21" t="n"/>
      <c r="C28" s="24" t="n"/>
      <c r="D28" s="19">
        <f>IF(C28="","",IF(C28&gt;0,1,0))</f>
        <v/>
      </c>
      <c r="E28" s="24" t="n"/>
      <c r="F28" s="21" t="n"/>
    </row>
    <row r="29">
      <c r="A29" s="22" t="n"/>
      <c r="B29" s="21" t="n"/>
      <c r="C29" s="24" t="n"/>
      <c r="D29" s="19">
        <f>IF(C29="","",IF(C29&gt;0,1,0))</f>
        <v/>
      </c>
      <c r="E29" s="24" t="n"/>
      <c r="F29" s="21" t="n"/>
    </row>
    <row r="30">
      <c r="A30" s="22" t="n"/>
      <c r="B30" s="21" t="n"/>
      <c r="C30" s="24" t="n"/>
      <c r="D30" s="19">
        <f>IF(C30="","",IF(C30&gt;0,1,0))</f>
        <v/>
      </c>
      <c r="E30" s="24" t="n"/>
      <c r="F30" s="21" t="n"/>
    </row>
    <row r="31">
      <c r="A31" s="22" t="n"/>
      <c r="B31" s="21" t="n"/>
      <c r="C31" s="24" t="n"/>
      <c r="D31" s="19">
        <f>IF(C31="","",IF(C31&gt;0,1,0))</f>
        <v/>
      </c>
      <c r="E31" s="24" t="n"/>
      <c r="F31" s="21" t="n"/>
    </row>
    <row r="32">
      <c r="A32" s="22" t="n"/>
      <c r="B32" s="21" t="n"/>
      <c r="C32" s="24" t="n"/>
      <c r="D32" s="19">
        <f>IF(C32="","",IF(C32&gt;0,1,0))</f>
        <v/>
      </c>
      <c r="E32" s="24" t="n"/>
      <c r="F32" s="21" t="n"/>
    </row>
    <row r="33">
      <c r="A33" s="22" t="n"/>
      <c r="B33" s="21" t="n"/>
      <c r="C33" s="24" t="n"/>
      <c r="D33" s="19">
        <f>IF(C33="","",IF(C33&gt;0,1,0))</f>
        <v/>
      </c>
      <c r="E33" s="24" t="n"/>
      <c r="F33" s="21" t="n"/>
    </row>
    <row r="34">
      <c r="A34" s="22" t="n"/>
      <c r="B34" s="21" t="n"/>
      <c r="C34" s="24" t="n"/>
      <c r="D34" s="19">
        <f>IF(C34="","",IF(C34&gt;0,1,0))</f>
        <v/>
      </c>
      <c r="E34" s="24" t="n"/>
      <c r="F34" s="21" t="n"/>
    </row>
    <row r="35">
      <c r="A35" s="22" t="n"/>
      <c r="B35" s="21" t="n"/>
      <c r="C35" s="24" t="n"/>
      <c r="D35" s="19">
        <f>IF(C35="","",IF(C35&gt;0,1,0))</f>
        <v/>
      </c>
      <c r="E35" s="24" t="n"/>
      <c r="F35" s="21" t="n"/>
    </row>
    <row r="36">
      <c r="A36" s="22" t="n"/>
      <c r="B36" s="21" t="n"/>
      <c r="C36" s="24" t="n"/>
      <c r="D36" s="19">
        <f>IF(C36="","",IF(C36&gt;0,1,0))</f>
        <v/>
      </c>
      <c r="E36" s="24" t="n"/>
      <c r="F36" s="21" t="n"/>
    </row>
    <row r="37">
      <c r="A37" s="22" t="n"/>
      <c r="B37" s="21" t="n"/>
      <c r="C37" s="24" t="n"/>
      <c r="D37" s="19">
        <f>IF(C37="","",IF(C37&gt;0,1,0))</f>
        <v/>
      </c>
      <c r="E37" s="24" t="n"/>
      <c r="F37" s="21" t="n"/>
    </row>
    <row r="38">
      <c r="A38" s="22" t="n"/>
      <c r="B38" s="21" t="n"/>
      <c r="C38" s="24" t="n"/>
      <c r="D38" s="19">
        <f>IF(C38="","",IF(C38&gt;0,1,0))</f>
        <v/>
      </c>
      <c r="E38" s="24" t="n"/>
      <c r="F38" s="21" t="n"/>
    </row>
    <row r="39">
      <c r="A39" s="22" t="n"/>
      <c r="B39" s="21" t="n"/>
      <c r="C39" s="24" t="n"/>
      <c r="D39" s="19">
        <f>IF(C39="","",IF(C39&gt;0,1,0))</f>
        <v/>
      </c>
      <c r="E39" s="24" t="n"/>
      <c r="F39" s="21" t="n"/>
    </row>
    <row r="40">
      <c r="A40" s="22" t="n"/>
      <c r="B40" s="21" t="n"/>
      <c r="C40" s="24" t="n"/>
      <c r="D40" s="19">
        <f>IF(C40="","",IF(C40&gt;0,1,0))</f>
        <v/>
      </c>
      <c r="E40" s="24" t="n"/>
      <c r="F40" s="21" t="n"/>
    </row>
    <row r="41">
      <c r="A41" s="22" t="n"/>
      <c r="B41" s="21" t="n"/>
      <c r="C41" s="24" t="n"/>
      <c r="D41" s="19">
        <f>IF(C41="","",IF(C41&gt;0,1,0))</f>
        <v/>
      </c>
      <c r="E41" s="24" t="n"/>
      <c r="F41" s="21" t="n"/>
    </row>
    <row r="42">
      <c r="A42" s="22" t="n"/>
      <c r="B42" s="21" t="n"/>
      <c r="C42" s="24" t="n"/>
      <c r="D42" s="19">
        <f>IF(C42="","",IF(C42&gt;0,1,0))</f>
        <v/>
      </c>
      <c r="E42" s="24" t="n"/>
      <c r="F42" s="21" t="n"/>
    </row>
    <row r="43">
      <c r="A43" s="22" t="n"/>
      <c r="B43" s="21" t="n"/>
      <c r="C43" s="24" t="n"/>
      <c r="D43" s="19">
        <f>IF(C43="","",IF(C43&gt;0,1,0))</f>
        <v/>
      </c>
      <c r="E43" s="24" t="n"/>
      <c r="F43" s="21" t="n"/>
    </row>
    <row r="44">
      <c r="A44" s="22" t="n"/>
      <c r="B44" s="21" t="n"/>
      <c r="C44" s="24" t="n"/>
      <c r="D44" s="19">
        <f>IF(C44="","",IF(C44&gt;0,1,0))</f>
        <v/>
      </c>
      <c r="E44" s="24" t="n"/>
      <c r="F44" s="21" t="n"/>
    </row>
    <row r="45">
      <c r="A45" s="22" t="n"/>
      <c r="B45" s="21" t="n"/>
      <c r="C45" s="24" t="n"/>
      <c r="D45" s="19">
        <f>IF(C45="","",IF(C45&gt;0,1,0))</f>
        <v/>
      </c>
      <c r="E45" s="24" t="n"/>
      <c r="F45" s="21" t="n"/>
    </row>
    <row r="46">
      <c r="A46" s="22" t="n"/>
      <c r="B46" s="21" t="n"/>
      <c r="C46" s="24" t="n"/>
      <c r="D46" s="19">
        <f>IF(C46="","",IF(C46&gt;0,1,0))</f>
        <v/>
      </c>
      <c r="E46" s="24" t="n"/>
      <c r="F46" s="21" t="n"/>
    </row>
    <row r="47">
      <c r="A47" s="22" t="n"/>
      <c r="B47" s="21" t="n"/>
      <c r="C47" s="24" t="n"/>
      <c r="D47" s="19">
        <f>IF(C47="","",IF(C47&gt;0,1,0))</f>
        <v/>
      </c>
      <c r="E47" s="24" t="n"/>
      <c r="F47" s="21" t="n"/>
    </row>
    <row r="48">
      <c r="A48" s="22" t="n"/>
      <c r="B48" s="21" t="n"/>
      <c r="C48" s="24" t="n"/>
      <c r="D48" s="19">
        <f>IF(C48="","",IF(C48&gt;0,1,0))</f>
        <v/>
      </c>
      <c r="E48" s="24" t="n"/>
      <c r="F48" s="21" t="n"/>
    </row>
    <row r="49">
      <c r="A49" s="22" t="n"/>
      <c r="B49" s="21" t="n"/>
      <c r="C49" s="24" t="n"/>
      <c r="D49" s="19">
        <f>IF(C49="","",IF(C49&gt;0,1,0))</f>
        <v/>
      </c>
      <c r="E49" s="24" t="n"/>
      <c r="F49" s="21" t="n"/>
    </row>
    <row r="50">
      <c r="A50" s="22" t="n"/>
      <c r="B50" s="21" t="n"/>
      <c r="C50" s="24" t="n"/>
      <c r="D50" s="19">
        <f>IF(C50="","",IF(C50&gt;0,1,0))</f>
        <v/>
      </c>
      <c r="E50" s="24" t="n"/>
      <c r="F50" s="21" t="n"/>
    </row>
    <row r="51">
      <c r="A51" s="22" t="n"/>
      <c r="B51" s="21" t="n"/>
      <c r="C51" s="24" t="n"/>
      <c r="D51" s="19">
        <f>IF(C51="","",IF(C51&gt;0,1,0))</f>
        <v/>
      </c>
      <c r="E51" s="24" t="n"/>
      <c r="F51" s="21" t="n"/>
    </row>
    <row r="52">
      <c r="A52" s="22" t="n"/>
      <c r="B52" s="21" t="n"/>
      <c r="C52" s="24" t="n"/>
      <c r="D52" s="19">
        <f>IF(C52="","",IF(C52&gt;0,1,0))</f>
        <v/>
      </c>
      <c r="E52" s="24" t="n"/>
      <c r="F52" s="21" t="n"/>
    </row>
    <row r="53">
      <c r="A53" s="22" t="n"/>
      <c r="B53" s="21" t="n"/>
      <c r="C53" s="24" t="n"/>
      <c r="D53" s="19">
        <f>IF(C53="","",IF(C53&gt;0,1,0))</f>
        <v/>
      </c>
      <c r="E53" s="24" t="n"/>
      <c r="F53" s="21" t="n"/>
    </row>
    <row r="54">
      <c r="A54" s="22" t="n"/>
      <c r="B54" s="21" t="n"/>
      <c r="C54" s="24" t="n"/>
      <c r="D54" s="19">
        <f>IF(C54="","",IF(C54&gt;0,1,0))</f>
        <v/>
      </c>
      <c r="E54" s="24" t="n"/>
      <c r="F54" s="21" t="n"/>
    </row>
    <row r="55">
      <c r="A55" s="22" t="n"/>
      <c r="B55" s="21" t="n"/>
      <c r="C55" s="24" t="n"/>
      <c r="D55" s="19">
        <f>IF(C55="","",IF(C55&gt;0,1,0))</f>
        <v/>
      </c>
      <c r="E55" s="24" t="n"/>
      <c r="F55" s="21" t="n"/>
    </row>
    <row r="56">
      <c r="A56" s="22" t="n"/>
      <c r="B56" s="21" t="n"/>
      <c r="C56" s="24" t="n"/>
      <c r="D56" s="19">
        <f>IF(C56="","",IF(C56&gt;0,1,0))</f>
        <v/>
      </c>
      <c r="E56" s="24" t="n"/>
      <c r="F56" s="21" t="n"/>
    </row>
    <row r="57">
      <c r="A57" s="22" t="n"/>
      <c r="B57" s="21" t="n"/>
      <c r="C57" s="24" t="n"/>
      <c r="D57" s="19">
        <f>IF(C57="","",IF(C57&gt;0,1,0))</f>
        <v/>
      </c>
      <c r="E57" s="24" t="n"/>
      <c r="F57" s="21" t="n"/>
    </row>
    <row r="58">
      <c r="A58" s="22" t="n"/>
      <c r="B58" s="21" t="n"/>
      <c r="C58" s="24" t="n"/>
      <c r="D58" s="19">
        <f>IF(C58="","",IF(C58&gt;0,1,0))</f>
        <v/>
      </c>
      <c r="E58" s="24" t="n"/>
      <c r="F58" s="21" t="n"/>
    </row>
    <row r="59">
      <c r="A59" s="22" t="n"/>
      <c r="B59" s="21" t="n"/>
      <c r="C59" s="24" t="n"/>
      <c r="D59" s="19">
        <f>IF(C59="","",IF(C59&gt;0,1,0))</f>
        <v/>
      </c>
      <c r="E59" s="24" t="n"/>
      <c r="F59" s="21" t="n"/>
    </row>
    <row r="60">
      <c r="A60" s="22" t="n"/>
      <c r="B60" s="21" t="n"/>
      <c r="C60" s="24" t="n"/>
      <c r="D60" s="19">
        <f>IF(C60="","",IF(C60&gt;0,1,0))</f>
        <v/>
      </c>
      <c r="E60" s="24" t="n"/>
      <c r="F60" s="21" t="n"/>
    </row>
    <row r="61">
      <c r="A61" s="22" t="n"/>
      <c r="B61" s="21" t="n"/>
      <c r="C61" s="24" t="n"/>
      <c r="D61" s="19">
        <f>IF(C61="","",IF(C61&gt;0,1,0))</f>
        <v/>
      </c>
      <c r="E61" s="24" t="n"/>
      <c r="F61" s="21" t="n"/>
    </row>
    <row r="62">
      <c r="A62" s="22" t="n"/>
      <c r="B62" s="21" t="n"/>
      <c r="C62" s="24" t="n"/>
      <c r="D62" s="19">
        <f>IF(C62="","",IF(C62&gt;0,1,0))</f>
        <v/>
      </c>
      <c r="E62" s="24" t="n"/>
      <c r="F62" s="21" t="n"/>
    </row>
    <row r="63">
      <c r="A63" s="22" t="n"/>
      <c r="B63" s="21" t="n"/>
      <c r="C63" s="24" t="n"/>
      <c r="D63" s="19">
        <f>IF(C63="","",IF(C63&gt;0,1,0))</f>
        <v/>
      </c>
      <c r="E63" s="24" t="n"/>
      <c r="F63" s="21" t="n"/>
    </row>
    <row r="64">
      <c r="A64" s="22" t="n"/>
      <c r="B64" s="21" t="n"/>
      <c r="C64" s="24" t="n"/>
      <c r="D64" s="19">
        <f>IF(C64="","",IF(C64&gt;0,1,0))</f>
        <v/>
      </c>
      <c r="E64" s="24" t="n"/>
      <c r="F64" s="21" t="n"/>
    </row>
    <row r="65">
      <c r="A65" s="22" t="n"/>
      <c r="B65" s="21" t="n"/>
      <c r="C65" s="24" t="n"/>
      <c r="D65" s="19">
        <f>IF(C65="","",IF(C65&gt;0,1,0))</f>
        <v/>
      </c>
      <c r="E65" s="24" t="n"/>
      <c r="F65" s="21" t="n"/>
    </row>
    <row r="66">
      <c r="A66" s="22" t="n"/>
      <c r="B66" s="21" t="n"/>
      <c r="C66" s="24" t="n"/>
      <c r="D66" s="19">
        <f>IF(C66="","",IF(C66&gt;0,1,0))</f>
        <v/>
      </c>
      <c r="E66" s="24" t="n"/>
      <c r="F66" s="21" t="n"/>
    </row>
    <row r="67">
      <c r="A67" s="22" t="n"/>
      <c r="B67" s="21" t="n"/>
      <c r="C67" s="24" t="n"/>
      <c r="D67" s="19">
        <f>IF(C67="","",IF(C67&gt;0,1,0))</f>
        <v/>
      </c>
      <c r="E67" s="24" t="n"/>
      <c r="F67" s="21" t="n"/>
    </row>
    <row r="68">
      <c r="A68" s="22" t="n"/>
      <c r="B68" s="21" t="n"/>
      <c r="C68" s="24" t="n"/>
      <c r="D68" s="19">
        <f>IF(C68="","",IF(C68&gt;0,1,0))</f>
        <v/>
      </c>
      <c r="E68" s="24" t="n"/>
      <c r="F68" s="21" t="n"/>
    </row>
    <row r="69">
      <c r="A69" s="22" t="n"/>
      <c r="B69" s="21" t="n"/>
      <c r="C69" s="24" t="n"/>
      <c r="D69" s="19">
        <f>IF(C69="","",IF(C69&gt;0,1,0))</f>
        <v/>
      </c>
      <c r="E69" s="24" t="n"/>
      <c r="F69" s="21" t="n"/>
    </row>
    <row r="70">
      <c r="A70" s="22" t="n"/>
      <c r="B70" s="21" t="n"/>
      <c r="C70" s="24" t="n"/>
      <c r="D70" s="19">
        <f>IF(C70="","",IF(C70&gt;0,1,0))</f>
        <v/>
      </c>
      <c r="E70" s="24" t="n"/>
      <c r="F70" s="21" t="n"/>
    </row>
    <row r="71">
      <c r="A71" s="22" t="n"/>
      <c r="B71" s="21" t="n"/>
      <c r="C71" s="24" t="n"/>
      <c r="D71" s="19">
        <f>IF(C71="","",IF(C71&gt;0,1,0))</f>
        <v/>
      </c>
      <c r="E71" s="24" t="n"/>
      <c r="F71" s="21" t="n"/>
    </row>
    <row r="72">
      <c r="A72" s="22" t="n"/>
      <c r="B72" s="21" t="n"/>
      <c r="C72" s="24" t="n"/>
      <c r="D72" s="19">
        <f>IF(C72="","",IF(C72&gt;0,1,0))</f>
        <v/>
      </c>
      <c r="E72" s="24" t="n"/>
      <c r="F72" s="21" t="n"/>
    </row>
    <row r="73">
      <c r="A73" s="22" t="n"/>
      <c r="B73" s="21" t="n"/>
      <c r="C73" s="24" t="n"/>
      <c r="D73" s="19">
        <f>IF(C73="","",IF(C73&gt;0,1,0))</f>
        <v/>
      </c>
      <c r="E73" s="24" t="n"/>
      <c r="F73" s="21" t="n"/>
    </row>
    <row r="74">
      <c r="A74" s="22" t="n"/>
      <c r="B74" s="21" t="n"/>
      <c r="C74" s="24" t="n"/>
      <c r="D74" s="19">
        <f>IF(C74="","",IF(C74&gt;0,1,0))</f>
        <v/>
      </c>
      <c r="E74" s="24" t="n"/>
      <c r="F74" s="21" t="n"/>
    </row>
    <row r="75">
      <c r="A75" s="22" t="n"/>
      <c r="B75" s="21" t="n"/>
      <c r="C75" s="24" t="n"/>
      <c r="D75" s="19">
        <f>IF(C75="","",IF(C75&gt;0,1,0))</f>
        <v/>
      </c>
      <c r="E75" s="24" t="n"/>
      <c r="F75" s="21" t="n"/>
    </row>
    <row r="76">
      <c r="A76" s="22" t="n"/>
      <c r="B76" s="21" t="n"/>
      <c r="C76" s="24" t="n"/>
      <c r="D76" s="19">
        <f>IF(C76="","",IF(C76&gt;0,1,0))</f>
        <v/>
      </c>
      <c r="E76" s="24" t="n"/>
      <c r="F76" s="21" t="n"/>
    </row>
    <row r="77">
      <c r="A77" s="22" t="n"/>
      <c r="B77" s="21" t="n"/>
      <c r="C77" s="24" t="n"/>
      <c r="D77" s="19">
        <f>IF(C77="","",IF(C77&gt;0,1,0))</f>
        <v/>
      </c>
      <c r="E77" s="24" t="n"/>
      <c r="F77" s="21" t="n"/>
    </row>
    <row r="78">
      <c r="A78" s="22" t="n"/>
      <c r="B78" s="21" t="n"/>
      <c r="C78" s="24" t="n"/>
      <c r="D78" s="19">
        <f>IF(C78="","",IF(C78&gt;0,1,0))</f>
        <v/>
      </c>
      <c r="E78" s="24" t="n"/>
      <c r="F78" s="21" t="n"/>
    </row>
    <row r="79">
      <c r="A79" s="22" t="n"/>
      <c r="B79" s="21" t="n"/>
      <c r="C79" s="24" t="n"/>
      <c r="D79" s="19">
        <f>IF(C79="","",IF(C79&gt;0,1,0))</f>
        <v/>
      </c>
      <c r="E79" s="24" t="n"/>
      <c r="F79" s="21" t="n"/>
    </row>
    <row r="80">
      <c r="A80" s="22" t="n"/>
      <c r="B80" s="21" t="n"/>
      <c r="C80" s="24" t="n"/>
      <c r="D80" s="19">
        <f>IF(C80="","",IF(C80&gt;0,1,0))</f>
        <v/>
      </c>
      <c r="E80" s="24" t="n"/>
      <c r="F80" s="21" t="n"/>
    </row>
    <row r="81">
      <c r="A81" s="22" t="n"/>
      <c r="B81" s="21" t="n"/>
      <c r="C81" s="24" t="n"/>
      <c r="D81" s="19">
        <f>IF(C81="","",IF(C81&gt;0,1,0))</f>
        <v/>
      </c>
      <c r="E81" s="24" t="n"/>
      <c r="F81" s="21" t="n"/>
    </row>
    <row r="82">
      <c r="A82" s="22" t="n"/>
      <c r="B82" s="21" t="n"/>
      <c r="C82" s="24" t="n"/>
      <c r="D82" s="19">
        <f>IF(C82="","",IF(C82&gt;0,1,0))</f>
        <v/>
      </c>
      <c r="E82" s="24" t="n"/>
      <c r="F82" s="21" t="n"/>
    </row>
    <row r="83">
      <c r="A83" s="22" t="n"/>
      <c r="B83" s="21" t="n"/>
      <c r="C83" s="24" t="n"/>
      <c r="D83" s="19">
        <f>IF(C83="","",IF(C83&gt;0,1,0))</f>
        <v/>
      </c>
      <c r="E83" s="24" t="n"/>
      <c r="F83" s="21" t="n"/>
    </row>
    <row r="84">
      <c r="A84" s="22" t="n"/>
      <c r="B84" s="21" t="n"/>
      <c r="C84" s="24" t="n"/>
      <c r="D84" s="19">
        <f>IF(C84="","",IF(C84&gt;0,1,0))</f>
        <v/>
      </c>
      <c r="E84" s="24" t="n"/>
      <c r="F84" s="21" t="n"/>
    </row>
    <row r="85">
      <c r="A85" s="22" t="n"/>
      <c r="B85" s="21" t="n"/>
      <c r="C85" s="24" t="n"/>
      <c r="D85" s="19">
        <f>IF(C85="","",IF(C85&gt;0,1,0))</f>
        <v/>
      </c>
      <c r="E85" s="24" t="n"/>
      <c r="F85" s="21" t="n"/>
    </row>
    <row r="86">
      <c r="A86" s="22" t="n"/>
      <c r="B86" s="21" t="n"/>
      <c r="C86" s="24" t="n"/>
      <c r="D86" s="19">
        <f>IF(C86="","",IF(C86&gt;0,1,0))</f>
        <v/>
      </c>
      <c r="E86" s="24" t="n"/>
      <c r="F86" s="21" t="n"/>
    </row>
    <row r="87">
      <c r="A87" s="22" t="n"/>
      <c r="B87" s="21" t="n"/>
      <c r="C87" s="24" t="n"/>
      <c r="D87" s="19">
        <f>IF(C87="","",IF(C87&gt;0,1,0))</f>
        <v/>
      </c>
      <c r="E87" s="24" t="n"/>
      <c r="F87" s="21" t="n"/>
    </row>
    <row r="88">
      <c r="A88" s="22" t="n"/>
      <c r="B88" s="21" t="n"/>
      <c r="C88" s="24" t="n"/>
      <c r="D88" s="19">
        <f>IF(C88="","",IF(C88&gt;0,1,0))</f>
        <v/>
      </c>
      <c r="E88" s="24" t="n"/>
      <c r="F88" s="21" t="n"/>
    </row>
    <row r="89">
      <c r="A89" s="22" t="n"/>
      <c r="B89" s="21" t="n"/>
      <c r="C89" s="24" t="n"/>
      <c r="D89" s="19">
        <f>IF(C89="","",IF(C89&gt;0,1,0))</f>
        <v/>
      </c>
      <c r="E89" s="24" t="n"/>
      <c r="F89" s="21" t="n"/>
    </row>
    <row r="90">
      <c r="A90" s="22" t="n"/>
      <c r="B90" s="21" t="n"/>
      <c r="C90" s="24" t="n"/>
      <c r="D90" s="19">
        <f>IF(C90="","",IF(C90&gt;0,1,0))</f>
        <v/>
      </c>
      <c r="E90" s="24" t="n"/>
      <c r="F90" s="21" t="n"/>
    </row>
    <row r="91">
      <c r="A91" s="22" t="n"/>
      <c r="B91" s="21" t="n"/>
      <c r="C91" s="24" t="n"/>
      <c r="D91" s="19">
        <f>IF(C91="","",IF(C91&gt;0,1,0))</f>
        <v/>
      </c>
      <c r="E91" s="24" t="n"/>
      <c r="F91" s="21" t="n"/>
    </row>
    <row r="92">
      <c r="A92" s="22" t="n"/>
      <c r="B92" s="21" t="n"/>
      <c r="C92" s="24" t="n"/>
      <c r="D92" s="19">
        <f>IF(C92="","",IF(C92&gt;0,1,0))</f>
        <v/>
      </c>
      <c r="E92" s="24" t="n"/>
      <c r="F92" s="21" t="n"/>
    </row>
    <row r="93">
      <c r="A93" s="22" t="n"/>
      <c r="B93" s="21" t="n"/>
      <c r="C93" s="24" t="n"/>
      <c r="D93" s="19">
        <f>IF(C93="","",IF(C93&gt;0,1,0))</f>
        <v/>
      </c>
      <c r="E93" s="24" t="n"/>
      <c r="F93" s="21" t="n"/>
    </row>
    <row r="94">
      <c r="A94" s="22" t="n"/>
      <c r="B94" s="21" t="n"/>
      <c r="C94" s="24" t="n"/>
      <c r="D94" s="19">
        <f>IF(C94="","",IF(C94&gt;0,1,0))</f>
        <v/>
      </c>
      <c r="E94" s="24" t="n"/>
      <c r="F94" s="21" t="n"/>
    </row>
    <row r="95">
      <c r="A95" s="22" t="n"/>
      <c r="B95" s="21" t="n"/>
      <c r="C95" s="24" t="n"/>
      <c r="D95" s="19">
        <f>IF(C95="","",IF(C95&gt;0,1,0))</f>
        <v/>
      </c>
      <c r="E95" s="24" t="n"/>
      <c r="F95" s="21" t="n"/>
    </row>
    <row r="96">
      <c r="A96" s="22" t="n"/>
      <c r="B96" s="21" t="n"/>
      <c r="C96" s="24" t="n"/>
      <c r="D96" s="19">
        <f>IF(C96="","",IF(C96&gt;0,1,0))</f>
        <v/>
      </c>
      <c r="E96" s="24" t="n"/>
      <c r="F96" s="21" t="n"/>
    </row>
    <row r="97">
      <c r="A97" s="22" t="n"/>
      <c r="B97" s="21" t="n"/>
      <c r="C97" s="24" t="n"/>
      <c r="D97" s="19">
        <f>IF(C97="","",IF(C97&gt;0,1,0))</f>
        <v/>
      </c>
      <c r="E97" s="24" t="n"/>
      <c r="F97" s="21" t="n"/>
    </row>
    <row r="98">
      <c r="A98" s="22" t="n"/>
      <c r="B98" s="21" t="n"/>
      <c r="C98" s="24" t="n"/>
      <c r="D98" s="19">
        <f>IF(C98="","",IF(C98&gt;0,1,0))</f>
        <v/>
      </c>
      <c r="E98" s="24" t="n"/>
      <c r="F98" s="21" t="n"/>
    </row>
    <row r="99">
      <c r="A99" s="22" t="n"/>
      <c r="B99" s="21" t="n"/>
      <c r="C99" s="24" t="n"/>
      <c r="D99" s="19">
        <f>IF(C99="","",IF(C99&gt;0,1,0))</f>
        <v/>
      </c>
      <c r="E99" s="24" t="n"/>
      <c r="F99" s="21" t="n"/>
    </row>
    <row r="100">
      <c r="A100" s="22" t="n"/>
      <c r="B100" s="21" t="n"/>
      <c r="C100" s="24" t="n"/>
      <c r="D100" s="19">
        <f>IF(C100="","",IF(C100&gt;0,1,0))</f>
        <v/>
      </c>
      <c r="E100" s="24" t="n"/>
      <c r="F100" s="21" t="n"/>
    </row>
    <row r="101">
      <c r="A101" s="22" t="n"/>
      <c r="B101" s="21" t="n"/>
      <c r="C101" s="24" t="n"/>
      <c r="D101" s="19">
        <f>IF(C101="","",IF(C101&gt;0,1,0))</f>
        <v/>
      </c>
      <c r="E101" s="24" t="n"/>
      <c r="F101" s="21" t="n"/>
    </row>
    <row r="102">
      <c r="A102" s="22" t="n"/>
      <c r="B102" s="21" t="n"/>
      <c r="C102" s="24" t="n"/>
      <c r="D102" s="19">
        <f>IF(C102="","",IF(C102&gt;0,1,0))</f>
        <v/>
      </c>
      <c r="E102" s="24" t="n"/>
      <c r="F102" s="21" t="n"/>
    </row>
    <row r="103">
      <c r="A103" s="22" t="n"/>
      <c r="B103" s="21" t="n"/>
      <c r="C103" s="24" t="n"/>
      <c r="D103" s="19">
        <f>IF(C103="","",IF(C103&gt;0,1,0))</f>
        <v/>
      </c>
      <c r="E103" s="24" t="n"/>
      <c r="F103" s="21" t="n"/>
    </row>
    <row r="104">
      <c r="A104" s="22" t="n"/>
      <c r="B104" s="21" t="n"/>
      <c r="C104" s="24" t="n"/>
      <c r="D104" s="19">
        <f>IF(C104="","",IF(C104&gt;0,1,0))</f>
        <v/>
      </c>
      <c r="E104" s="24" t="n"/>
      <c r="F104" s="21" t="n"/>
    </row>
  </sheetData>
  <mergeCells count="2">
    <mergeCell ref="I8:L8"/>
    <mergeCell ref="A2:F3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tabColor rgb="001D5673"/>
    <outlinePr summaryBelow="1" summaryRight="1"/>
    <pageSetUpPr fitToPage="1"/>
  </sheetPr>
  <dimension ref="A1:E28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18" customWidth="1" min="3" max="3"/>
    <col width="22" customWidth="1" min="4" max="4"/>
    <col width="62" customWidth="1" min="5" max="5"/>
  </cols>
  <sheetData>
    <row r="1">
      <c r="A1" s="1" t="inlineStr">
        <is>
          <t>Annual summary — I1 to I5</t>
        </is>
      </c>
    </row>
    <row r="2">
      <c r="A2" s="3">
        <f>CONCATENATE("Dam ",Site!B4," — ",Site!B5," — ",Site!B6)</f>
        <v/>
      </c>
    </row>
    <row r="4" ht="28" customHeight="1">
      <c r="A4" s="4" t="inlineStr">
        <is>
          <t>ID</t>
        </is>
      </c>
      <c r="B4" s="4" t="inlineStr">
        <is>
          <t>Indicator</t>
        </is>
      </c>
      <c r="C4" s="4" t="inlineStr">
        <is>
          <t>Value</t>
        </is>
      </c>
      <c r="D4" s="4" t="inlineStr">
        <is>
          <t>Unit</t>
        </is>
      </c>
      <c r="E4" s="4" t="inlineStr">
        <is>
          <t>How it is computed</t>
        </is>
      </c>
    </row>
    <row r="5" ht="22" customHeight="1">
      <c r="A5" s="33" t="inlineStr">
        <is>
          <t>I1</t>
        </is>
      </c>
      <c r="B5" s="5" t="inlineStr">
        <is>
          <t>Infiltration volume</t>
        </is>
      </c>
      <c r="C5" s="18">
        <f>DailyCalc!S2</f>
        <v/>
      </c>
      <c r="D5" s="5" t="inlineStr">
        <is>
          <t>m³</t>
        </is>
      </c>
      <c r="E5" s="6" t="inlineStr">
        <is>
          <t>Sum of daily infiltration (dry-day storage drop − E, else MDWIR × A)</t>
        </is>
      </c>
    </row>
    <row r="6" ht="22" customHeight="1">
      <c r="A6" s="33" t="inlineStr">
        <is>
          <t>I2</t>
        </is>
      </c>
      <c r="B6" s="5" t="inlineStr">
        <is>
          <t>Fillings per year</t>
        </is>
      </c>
      <c r="C6" s="25">
        <f>IF(StageAreaVolume!B20=0,"",C5/StageAreaVolume!B20)</f>
        <v/>
      </c>
      <c r="D6" s="5" t="inlineStr">
        <is>
          <t>—</t>
        </is>
      </c>
      <c r="E6" s="6" t="inlineStr">
        <is>
          <t>I1 / crest storage</t>
        </is>
      </c>
    </row>
    <row r="7" ht="22" customHeight="1">
      <c r="A7" s="33" t="inlineStr">
        <is>
          <t>I3</t>
        </is>
      </c>
      <c r="B7" s="5" t="inlineStr">
        <is>
          <t>Mean MDWIR</t>
        </is>
      </c>
      <c r="C7" s="18">
        <f>DailyCalc!S1</f>
        <v/>
      </c>
      <c r="D7" s="5" t="inlineStr">
        <is>
          <t>mm/day</t>
        </is>
      </c>
      <c r="E7" s="6" t="inlineStr">
        <is>
          <t>Average dry-day infiltration rate</t>
        </is>
      </c>
    </row>
    <row r="8" ht="22" customHeight="1">
      <c r="A8" s="34" t="inlineStr"/>
      <c r="B8" s="5" t="inlineStr">
        <is>
          <t>Mean E while ponded</t>
        </is>
      </c>
      <c r="C8" s="18">
        <f>IFERROR(AVERAGEIF(DailyCalc!C5:C204,"&gt;0",DailyCalc!G5:G204),0)</f>
        <v/>
      </c>
      <c r="D8" s="5" t="inlineStr">
        <is>
          <t>mm/day</t>
        </is>
      </c>
      <c r="E8" s="6" t="inlineStr">
        <is>
          <t>Evaporation on days with water</t>
        </is>
      </c>
    </row>
    <row r="9" ht="22" customHeight="1">
      <c r="A9" s="34" t="inlineStr"/>
      <c r="B9" s="5" t="inlineStr">
        <is>
          <t>MDWIR / E</t>
        </is>
      </c>
      <c r="C9" s="25">
        <f>IF(C8=0,"",C7/C8)</f>
        <v/>
      </c>
      <c r="D9" s="5" t="inlineStr">
        <is>
          <t>—</t>
        </is>
      </c>
      <c r="E9" s="6" t="inlineStr">
        <is>
          <t>Healthy gravel beds are often 4–8</t>
        </is>
      </c>
    </row>
    <row r="10" ht="22" customHeight="1">
      <c r="A10" s="33" t="inlineStr">
        <is>
          <t>I4</t>
        </is>
      </c>
      <c r="B10" s="5" t="inlineStr">
        <is>
          <t>Extra water-table rise vs control</t>
        </is>
      </c>
      <c r="C10" s="25">
        <f>Wells!L17</f>
        <v/>
      </c>
      <c r="D10" s="5" t="inlineStr">
        <is>
          <t>m</t>
        </is>
      </c>
      <c r="E10" s="6" t="inlineStr">
        <is>
          <t>Mean Δh of W-N and W-M minus mean Δh of C</t>
        </is>
      </c>
    </row>
    <row r="11" ht="22" customHeight="1">
      <c r="A11" s="34" t="inlineStr"/>
      <c r="B11" s="5" t="inlineStr">
        <is>
          <t>Recharge depth (Sy default)</t>
        </is>
      </c>
      <c r="C11" s="18">
        <f>Wells!L18</f>
        <v/>
      </c>
      <c r="D11" s="5" t="inlineStr">
        <is>
          <t>mm</t>
        </is>
      </c>
      <c r="E11" s="6" t="inlineStr">
        <is>
          <t>Sy × I4; not a volume</t>
        </is>
      </c>
    </row>
    <row r="12" ht="22" customHeight="1">
      <c r="A12" s="34" t="inlineStr"/>
      <c r="B12" s="5" t="inlineStr">
        <is>
          <t>Recharge depth range</t>
        </is>
      </c>
      <c r="C12" s="35">
        <f>TEXT(Wells!L19,"0.0")&amp;" – "&amp;TEXT(Wells!L20,"0.0")</f>
        <v/>
      </c>
      <c r="D12" s="5" t="inlineStr">
        <is>
          <t>mm</t>
        </is>
      </c>
      <c r="E12" s="6" t="inlineStr">
        <is>
          <t>Sy low to Sy high</t>
        </is>
      </c>
    </row>
    <row r="13" ht="22" customHeight="1">
      <c r="A13" s="33" t="inlineStr">
        <is>
          <t>I5</t>
        </is>
      </c>
      <c r="B13" s="5" t="inlineStr">
        <is>
          <t>Extra karez flow-day visits</t>
        </is>
      </c>
      <c r="C13" s="25">
        <f>Karez!I7</f>
        <v/>
      </c>
      <c r="D13" s="5" t="inlineStr">
        <is>
          <t>visits</t>
        </is>
      </c>
      <c r="E13" s="6" t="inlineStr">
        <is>
          <t>Treated flowing visits − control flowing visits</t>
        </is>
      </c>
    </row>
    <row r="14" ht="22" customHeight="1">
      <c r="A14" s="34" t="inlineStr"/>
      <c r="B14" s="5" t="inlineStr">
        <is>
          <t>Extra karez days if weekly</t>
        </is>
      </c>
      <c r="C14" s="25">
        <f>C13*7</f>
        <v/>
      </c>
      <c r="D14" s="5" t="inlineStr">
        <is>
          <t>days</t>
        </is>
      </c>
      <c r="E14" s="6" t="inlineStr">
        <is>
          <t>Assumes weekly KO visits</t>
        </is>
      </c>
    </row>
    <row r="15" ht="22" customHeight="1">
      <c r="A15" s="34" t="inlineStr"/>
      <c r="B15" s="5" t="inlineStr">
        <is>
          <t>Mean KO discharge while flowing</t>
        </is>
      </c>
      <c r="C15" s="25">
        <f>Karez!I5</f>
        <v/>
      </c>
      <c r="D15" s="5" t="inlineStr">
        <is>
          <t>L/s</t>
        </is>
      </c>
      <c r="E15" s="6" t="inlineStr">
        <is>
          <t>Average of Q &gt; 0</t>
        </is>
      </c>
    </row>
    <row r="16" ht="22" customHeight="1">
      <c r="A16" s="34" t="inlineStr"/>
      <c r="B16" s="5" t="inlineStr">
        <is>
          <t>Days with water in pond</t>
        </is>
      </c>
      <c r="C16" s="25">
        <f>DailyCalc!S3</f>
        <v/>
      </c>
      <c r="D16" s="5" t="inlineStr">
        <is>
          <t>days</t>
        </is>
      </c>
      <c r="E16" s="6" t="inlineStr">
        <is>
          <t>Stage &gt; 0</t>
        </is>
      </c>
    </row>
    <row r="17" ht="22" customHeight="1">
      <c r="A17" s="34" t="inlineStr"/>
      <c r="B17" s="5" t="inlineStr">
        <is>
          <t>Dry days used for MDWIR</t>
        </is>
      </c>
      <c r="C17" s="25">
        <f>DailyCalc!S4</f>
        <v/>
      </c>
      <c r="D17" s="5" t="inlineStr">
        <is>
          <t>days</t>
        </is>
      </c>
      <c r="E17" s="6" t="inlineStr">
        <is>
          <t>Should be as many as possible</t>
        </is>
      </c>
    </row>
    <row r="18" ht="22" customHeight="1">
      <c r="A18" s="34" t="inlineStr"/>
      <c r="B18" s="5" t="inlineStr">
        <is>
          <t>Crest storage</t>
        </is>
      </c>
      <c r="C18" s="18">
        <f>StageAreaVolume!B20</f>
        <v/>
      </c>
      <c r="D18" s="5" t="inlineStr">
        <is>
          <t>m³</t>
        </is>
      </c>
      <c r="E18" s="6" t="inlineStr">
        <is>
          <t>From survey</t>
        </is>
      </c>
    </row>
    <row r="19" ht="22" customHeight="1">
      <c r="A19" s="34" t="inlineStr"/>
      <c r="B19" s="5" t="inlineStr">
        <is>
          <t>Catchment rain in DailyPond</t>
        </is>
      </c>
      <c r="C19" s="18">
        <f>SUM(DailyPond!B5:B204)</f>
        <v/>
      </c>
      <c r="D19" s="5" t="inlineStr">
        <is>
          <t>mm</t>
        </is>
      </c>
      <c r="E19" s="6" t="inlineStr">
        <is>
          <t>Village gauge total for logged days</t>
        </is>
      </c>
    </row>
    <row r="20" ht="22" customHeight="1">
      <c r="A20" s="34" t="inlineStr"/>
      <c r="B20" s="5" t="inlineStr">
        <is>
          <t>I1 as depth on catchment</t>
        </is>
      </c>
      <c r="C20" s="18">
        <f>IF(Site!B14=0,"",C5/(Site!B14*10))</f>
        <v/>
      </c>
      <c r="D20" s="5" t="inlineStr">
        <is>
          <t>mm</t>
        </is>
      </c>
      <c r="E20" s="6" t="inlineStr">
        <is>
          <t>m³ / (ha × 10) = mm</t>
        </is>
      </c>
    </row>
    <row r="23">
      <c r="A23" s="3" t="inlineStr">
        <is>
          <t>Workbook vs independent Python check (example dataset only)</t>
        </is>
      </c>
    </row>
    <row r="24">
      <c r="A24" t="inlineStr">
        <is>
          <t>Python I1 (m³)</t>
        </is>
      </c>
      <c r="B24" s="18" t="n">
        <v>6365.418698335041</v>
      </c>
      <c r="C24" t="inlineStr">
        <is>
          <t>Workbook I1 − Python</t>
        </is>
      </c>
      <c r="D24" s="18">
        <f>C5-B24</f>
        <v/>
      </c>
    </row>
    <row r="25">
      <c r="A25" t="inlineStr">
        <is>
          <t>Python mean MDWIR (mm/d)</t>
        </is>
      </c>
      <c r="B25" s="25" t="n">
        <v>48.21522767955886</v>
      </c>
      <c r="C25" t="inlineStr">
        <is>
          <t>Workbook MDWIR − Python</t>
        </is>
      </c>
      <c r="D25" s="25">
        <f>C7-B25</f>
        <v/>
      </c>
    </row>
    <row r="26">
      <c r="A26" t="inlineStr">
        <is>
          <t>Python I4 (m)</t>
        </is>
      </c>
      <c r="B26" s="36" t="n">
        <v>1.025</v>
      </c>
      <c r="C26" t="inlineStr">
        <is>
          <t>Workbook I4 − Python</t>
        </is>
      </c>
      <c r="D26" s="36">
        <f>C10-B26</f>
        <v/>
      </c>
    </row>
    <row r="27">
      <c r="A27" s="2" t="inlineStr">
        <is>
          <t>If the example is still loaded, differences should be near zero (interpolation rounding &lt; ~2%). After you replace the example, ignore this block.</t>
        </is>
      </c>
    </row>
    <row r="28"/>
  </sheetData>
  <mergeCells count="2">
    <mergeCell ref="A27:E28"/>
    <mergeCell ref="A2:D2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tabColor rgb="00B0894A"/>
    <outlinePr summaryBelow="1" summaryRight="1"/>
    <pageSetUpPr fitToPage="1"/>
  </sheetPr>
  <dimension ref="A1:C10"/>
  <sheetViews>
    <sheetView workbookViewId="0">
      <selection activeCell="A1" sqref="A1"/>
    </sheetView>
  </sheetViews>
  <sheetFormatPr baseColWidth="8" defaultRowHeight="15"/>
  <cols>
    <col width="48" customWidth="1" min="1" max="1"/>
    <col width="42" customWidth="1" min="2" max="2"/>
    <col width="62" customWidth="1" min="3" max="3"/>
  </cols>
  <sheetData>
    <row r="1">
      <c r="A1" s="1" t="inlineStr">
        <is>
          <t>Annual scorecard (copy onto Form D)</t>
        </is>
      </c>
    </row>
    <row r="3">
      <c r="A3" s="37" t="inlineStr">
        <is>
          <t>Test</t>
        </is>
      </c>
      <c r="B3" s="37" t="inlineStr">
        <is>
          <t>Result</t>
        </is>
      </c>
      <c r="C3" s="37" t="inlineStr">
        <is>
          <t>Suggested decision</t>
        </is>
      </c>
    </row>
    <row r="4" ht="36" customHeight="1">
      <c r="A4" s="38" t="inlineStr">
        <is>
          <t>Is MDWIR at least 4 × evaporation?</t>
        </is>
      </c>
      <c r="B4" s="39">
        <f>IF(Summary!C9&gt;=4,"YES — bed is infiltrating","NO — pond may be evaporating or silted")</f>
        <v/>
      </c>
      <c r="C4" s="40" t="inlineStr">
        <is>
          <t>If NO: schedule manual desilting this dry season. Do not compact with machinery.</t>
        </is>
      </c>
    </row>
    <row r="5" ht="36" customHeight="1">
      <c r="A5" s="38" t="inlineStr">
        <is>
          <t>Did treated wells rise &gt; 0.3 m more than control?</t>
        </is>
      </c>
      <c r="B5" s="39">
        <f>IF(Summary!C10&gt;0.3,"YES — local water table responded","NO — response not detected")</f>
        <v/>
      </c>
      <c r="C5" s="40" t="inlineStr">
        <is>
          <t>If NO but I1 is large: check new pumps, wait one more year for unsaturated-zone lag, inspect karez.</t>
        </is>
      </c>
    </row>
    <row r="6" ht="36" customHeight="1">
      <c r="A6" s="38" t="inlineStr">
        <is>
          <t>Did the karez flow more than the control?</t>
        </is>
      </c>
      <c r="B6" s="39">
        <f>IF(Summary!C13&gt;0,"YES — extra flow visits","NO — no extra karez flow")</f>
        <v/>
      </c>
      <c r="C6" s="40" t="inlineStr">
        <is>
          <t>If wells rose but karez did not: gallery may be above the water table or collapsed.</t>
        </is>
      </c>
    </row>
    <row r="7" ht="36" customHeight="1">
      <c r="A7" s="38" t="inlineStr">
        <is>
          <t>Fillings per year</t>
        </is>
      </c>
      <c r="B7" s="41">
        <f>Summary!C6</f>
        <v/>
      </c>
      <c r="C7" s="40" t="inlineStr">
        <is>
          <t>Gujarat/Rajasthan analogues often 1–7. Below 1 in a normal year is poor siting or a clogged bed.</t>
        </is>
      </c>
    </row>
    <row r="8" ht="36" customHeight="1">
      <c r="A8" s="38" t="inlineStr">
        <is>
          <t>Decision (edit by hand after the committee meeting)</t>
        </is>
      </c>
      <c r="B8" s="42" t="inlineStr">
        <is>
          <t>Maintain only — example dataset looks functional</t>
        </is>
      </c>
      <c r="C8" s="38" t="n"/>
    </row>
    <row r="10">
      <c r="A10" s="43" t="inlineStr">
        <is>
          <t>Do not claim regional groundwater recovery from one dam. Report I1–I5 and the map of which wells rose.</t>
        </is>
      </c>
    </row>
  </sheetData>
  <mergeCells count="2">
    <mergeCell ref="A10:C10"/>
    <mergeCell ref="B8:C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2026-08-27T06:12:00Z</dcterms:created>
  <dcterms:modified xsi:type="dcterms:W3CDTF">2026-08-27T06:12:01Z</dcterms:modified>
</cp:coreProperties>
</file>